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pivotTables/pivotTable2.xml" ContentType="application/vnd.openxmlformats-officedocument.spreadsheetml.pivotTable+xml"/>
  <Override PartName="/xl/tables/table4.xml" ContentType="application/vnd.openxmlformats-officedocument.spreadsheetml.table+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pivotTables/pivotTable3.xml" ContentType="application/vnd.openxmlformats-officedocument.spreadsheetml.pivotTable+xml"/>
  <Override PartName="/xl/tables/table5.xml" ContentType="application/vnd.openxmlformats-officedocument.spreadsheetml.table+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6.xml" ContentType="application/vnd.openxmlformats-officedocument.spreadsheetml.table+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ml.chartshapes+xml"/>
  <Override PartName="/xl/charts/chart10.xml" ContentType="application/vnd.openxmlformats-officedocument.drawingml.chart+xml"/>
  <Override PartName="/xl/drawings/drawing11.xml" ContentType="application/vnd.openxmlformats-officedocument.drawingml.chartshapes+xml"/>
  <Override PartName="/xl/charts/chart11.xml" ContentType="application/vnd.openxmlformats-officedocument.drawingml.chart+xml"/>
  <Override PartName="/xl/drawings/drawing12.xml" ContentType="application/vnd.openxmlformats-officedocument.drawingml.chartshapes+xml"/>
  <Override PartName="/xl/charts/chart12.xml" ContentType="application/vnd.openxmlformats-officedocument.drawingml.chart+xml"/>
  <Override PartName="/xl/drawings/drawing13.xml" ContentType="application/vnd.openxmlformats-officedocument.drawingml.chartshapes+xml"/>
  <Override PartName="/xl/drawings/drawing14.xml" ContentType="application/vnd.openxmlformats-officedocument.drawing+xml"/>
  <Override PartName="/xl/charts/chart13.xml" ContentType="application/vnd.openxmlformats-officedocument.drawingml.chart+xml"/>
  <Override PartName="/xl/drawings/drawing15.xml" ContentType="application/vnd.openxmlformats-officedocument.drawingml.chartshapes+xml"/>
  <Override PartName="/xl/charts/chart14.xml" ContentType="application/vnd.openxmlformats-officedocument.drawingml.chart+xml"/>
  <Override PartName="/xl/drawings/drawing16.xml" ContentType="application/vnd.openxmlformats-officedocument.drawingml.chartshapes+xml"/>
  <Override PartName="/xl/charts/chart15.xml" ContentType="application/vnd.openxmlformats-officedocument.drawingml.chart+xml"/>
  <Override PartName="/xl/drawings/drawing17.xml" ContentType="application/vnd.openxmlformats-officedocument.drawingml.chartshapes+xml"/>
  <Override PartName="/xl/charts/chart16.xml" ContentType="application/vnd.openxmlformats-officedocument.drawingml.chart+xml"/>
  <Override PartName="/xl/drawings/drawing18.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filterPrivacy="1" hidePivotFieldList="1" defaultThemeVersion="124226"/>
  <xr:revisionPtr revIDLastSave="22" documentId="13_ncr:1_{AA7A088D-BC9D-474E-B19C-8198E1E19B1B}" xr6:coauthVersionLast="47" xr6:coauthVersionMax="47" xr10:uidLastSave="{617B2C30-5A8E-42A0-9377-16B84A91C961}"/>
  <bookViews>
    <workbookView xWindow="-108" yWindow="-108" windowWidth="23256" windowHeight="12576" activeTab="9" xr2:uid="{00000000-000D-0000-FFFF-FFFF00000000}"/>
  </bookViews>
  <sheets>
    <sheet name="Page de garde" sheetId="10" r:id="rId1"/>
    <sheet name="Feuil1" sheetId="39" r:id="rId2"/>
    <sheet name="Raw data R4" sheetId="35" r:id="rId3"/>
    <sheet name="R1" sheetId="1" r:id="rId4"/>
    <sheet name="Graph R4" sheetId="8" r:id="rId5"/>
    <sheet name="Raw data R2" sheetId="36" r:id="rId6"/>
    <sheet name="R2" sheetId="23" r:id="rId7"/>
    <sheet name="Graph R2" sheetId="19" r:id="rId8"/>
    <sheet name="Raw data R5" sheetId="37" r:id="rId9"/>
    <sheet name="R3" sheetId="33" r:id="rId10"/>
    <sheet name="Graph R5"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s>
  <definedNames>
    <definedName name="_xlnm.Print_Area" localSheetId="0">'Page de garde'!$A$1:$I$52</definedName>
  </definedNames>
  <calcPr calcId="191029"/>
  <pivotCaches>
    <pivotCache cacheId="0" r:id="rId20"/>
    <pivotCache cacheId="1" r:id="rId21"/>
    <pivotCache cacheId="2" r:id="rId22"/>
    <pivotCache cacheId="3" r:id="rId2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40" i="10" l="1"/>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B58" i="10"/>
  <c r="C58" i="10"/>
  <c r="D58" i="10"/>
  <c r="E58" i="10"/>
  <c r="C39" i="10"/>
  <c r="D39" i="10"/>
  <c r="E39" i="10"/>
  <c r="B39" i="10"/>
  <c r="A7" i="10" l="1"/>
  <c r="A8" i="10"/>
  <c r="A9" i="10"/>
  <c r="A10" i="10"/>
  <c r="A11" i="10"/>
  <c r="A12" i="10"/>
  <c r="A13" i="10"/>
  <c r="A14" i="10"/>
  <c r="A15" i="10"/>
  <c r="A7" i="22" s="1"/>
  <c r="A16" i="10"/>
  <c r="A8" i="22" s="1"/>
  <c r="A17" i="10"/>
  <c r="A9" i="22" s="1"/>
  <c r="A18" i="10"/>
  <c r="A10" i="22" s="1"/>
  <c r="A19" i="10"/>
  <c r="A11" i="22" s="1"/>
  <c r="A20" i="10"/>
  <c r="A12" i="22" s="1"/>
  <c r="A21" i="10"/>
  <c r="A13" i="22" s="1"/>
  <c r="A22" i="10"/>
  <c r="A14" i="22" s="1"/>
  <c r="A23" i="10"/>
  <c r="A15" i="22" s="1"/>
  <c r="A24" i="10"/>
  <c r="A16" i="22" s="1"/>
  <c r="A25" i="10"/>
  <c r="A17" i="22" s="1"/>
  <c r="A26" i="10"/>
  <c r="A18" i="22" s="1"/>
  <c r="A27" i="10"/>
  <c r="A19" i="22" s="1"/>
  <c r="A28" i="10"/>
  <c r="A20" i="22" s="1"/>
  <c r="A29" i="10"/>
  <c r="A21" i="22" s="1"/>
  <c r="A30" i="10"/>
  <c r="A22" i="22" s="1"/>
  <c r="A31" i="10"/>
  <c r="A23" i="22" s="1"/>
  <c r="A32" i="10"/>
  <c r="A24" i="22" s="1"/>
  <c r="A33" i="10"/>
  <c r="A25" i="22" s="1"/>
  <c r="A34" i="10"/>
  <c r="A26" i="22" s="1"/>
  <c r="A35" i="10"/>
  <c r="A36" i="10"/>
  <c r="A37" i="10"/>
  <c r="A38" i="10"/>
  <c r="A39" i="10"/>
  <c r="A40" i="10"/>
  <c r="A41" i="10"/>
  <c r="A42" i="10"/>
  <c r="A43" i="10"/>
  <c r="A44" i="10"/>
  <c r="A45" i="10"/>
  <c r="A46" i="10"/>
  <c r="A47" i="10"/>
  <c r="A48" i="10"/>
  <c r="A49" i="10"/>
  <c r="A50" i="10"/>
  <c r="A51" i="10"/>
  <c r="A52" i="10"/>
  <c r="A53" i="10"/>
  <c r="A54" i="10"/>
  <c r="A55" i="10"/>
  <c r="A56" i="10"/>
  <c r="A57" i="10"/>
  <c r="A58"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B33" i="33"/>
  <c r="B43" i="4" s="1"/>
  <c r="O30" i="33"/>
  <c r="O40" i="4" s="1"/>
  <c r="E29" i="33"/>
  <c r="E39" i="4" s="1"/>
  <c r="D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S35" i="33" s="1"/>
  <c r="S45" i="4" s="1"/>
  <c r="L23" i="33"/>
  <c r="J23" i="33"/>
  <c r="I23" i="33"/>
  <c r="H23" i="33"/>
  <c r="G23" i="33"/>
  <c r="F23" i="33"/>
  <c r="E23" i="33"/>
  <c r="D23" i="33"/>
  <c r="C23" i="33"/>
  <c r="B23" i="33"/>
  <c r="A22" i="33"/>
  <c r="H22" i="33"/>
  <c r="G45" i="33"/>
  <c r="F27" i="33"/>
  <c r="F52" i="33" s="1"/>
  <c r="E45" i="33"/>
  <c r="D22" i="33"/>
  <c r="C45" i="33"/>
  <c r="B45" i="33"/>
  <c r="O36" i="33" l="1"/>
  <c r="O46" i="4" s="1"/>
  <c r="O37" i="33"/>
  <c r="O47" i="4" s="1"/>
  <c r="O38" i="33"/>
  <c r="O48" i="4" s="1"/>
  <c r="O39" i="33"/>
  <c r="O49" i="4" s="1"/>
  <c r="O40" i="33"/>
  <c r="O50" i="4" s="1"/>
  <c r="O41" i="33"/>
  <c r="O51" i="4" s="1"/>
  <c r="O42" i="33"/>
  <c r="O52" i="4" s="1"/>
  <c r="O43" i="33"/>
  <c r="O53" i="4" s="1"/>
  <c r="U28" i="33"/>
  <c r="K29" i="33"/>
  <c r="K39" i="4" s="1"/>
  <c r="C30" i="33"/>
  <c r="C40" i="4" s="1"/>
  <c r="P30" i="33"/>
  <c r="P40" i="4" s="1"/>
  <c r="C31" i="33"/>
  <c r="C41" i="4" s="1"/>
  <c r="T31" i="33"/>
  <c r="T41" i="4" s="1"/>
  <c r="G32" i="33"/>
  <c r="G42" i="4" s="1"/>
  <c r="C33" i="33"/>
  <c r="C43" i="4" s="1"/>
  <c r="T33" i="33"/>
  <c r="T43" i="4" s="1"/>
  <c r="C34" i="33"/>
  <c r="C44" i="4" s="1"/>
  <c r="P34" i="33"/>
  <c r="P44" i="4" s="1"/>
  <c r="K35" i="33"/>
  <c r="K45" i="4" s="1"/>
  <c r="E28" i="33"/>
  <c r="E38" i="4" s="1"/>
  <c r="I28" i="33"/>
  <c r="I38" i="4" s="1"/>
  <c r="M28" i="33"/>
  <c r="M38" i="4" s="1"/>
  <c r="R28" i="33"/>
  <c r="V28" i="33"/>
  <c r="D29" i="33"/>
  <c r="D46" i="33" s="1"/>
  <c r="D53" i="33" s="1"/>
  <c r="H29" i="33"/>
  <c r="H39" i="4" s="1"/>
  <c r="L29" i="33"/>
  <c r="L39" i="4" s="1"/>
  <c r="Q29" i="33"/>
  <c r="Q39" i="4" s="1"/>
  <c r="U29" i="33"/>
  <c r="U39" i="4" s="1"/>
  <c r="D30" i="33"/>
  <c r="D40" i="4" s="1"/>
  <c r="H30" i="33"/>
  <c r="H40" i="4" s="1"/>
  <c r="L30" i="33"/>
  <c r="L40" i="4" s="1"/>
  <c r="Q30" i="33"/>
  <c r="Q40" i="4" s="1"/>
  <c r="U30" i="33"/>
  <c r="U40" i="4" s="1"/>
  <c r="D31" i="33"/>
  <c r="D41" i="4" s="1"/>
  <c r="H31" i="33"/>
  <c r="H41" i="4" s="1"/>
  <c r="L31" i="33"/>
  <c r="L41" i="4" s="1"/>
  <c r="Q31" i="33"/>
  <c r="Q41" i="4" s="1"/>
  <c r="U31" i="33"/>
  <c r="U41" i="4" s="1"/>
  <c r="D32" i="33"/>
  <c r="D42" i="4" s="1"/>
  <c r="H32" i="33"/>
  <c r="H42" i="4" s="1"/>
  <c r="L32" i="33"/>
  <c r="L42" i="4" s="1"/>
  <c r="Q32" i="33"/>
  <c r="Q42" i="4" s="1"/>
  <c r="U32" i="33"/>
  <c r="U42" i="4" s="1"/>
  <c r="D33" i="33"/>
  <c r="D43" i="4" s="1"/>
  <c r="H33" i="33"/>
  <c r="H43" i="4" s="1"/>
  <c r="L33" i="33"/>
  <c r="L43" i="4" s="1"/>
  <c r="Q33" i="33"/>
  <c r="Q43" i="4" s="1"/>
  <c r="U33" i="33"/>
  <c r="U43" i="4" s="1"/>
  <c r="D34" i="33"/>
  <c r="D44" i="4" s="1"/>
  <c r="H34" i="33"/>
  <c r="H44" i="4" s="1"/>
  <c r="L34" i="33"/>
  <c r="L44" i="4" s="1"/>
  <c r="Q34" i="33"/>
  <c r="Q44" i="4" s="1"/>
  <c r="U34" i="33"/>
  <c r="U44" i="4" s="1"/>
  <c r="D35" i="33"/>
  <c r="D45" i="4" s="1"/>
  <c r="H35" i="33"/>
  <c r="H45" i="4" s="1"/>
  <c r="L35" i="33"/>
  <c r="L45" i="4" s="1"/>
  <c r="Q35" i="33"/>
  <c r="Q45" i="4" s="1"/>
  <c r="U35" i="33"/>
  <c r="U45" i="4" s="1"/>
  <c r="H28" i="33"/>
  <c r="Q28" i="33"/>
  <c r="Q38" i="4" s="1"/>
  <c r="G29" i="33"/>
  <c r="G39" i="4" s="1"/>
  <c r="T29" i="33"/>
  <c r="T39" i="4" s="1"/>
  <c r="K30" i="33"/>
  <c r="K40" i="4" s="1"/>
  <c r="G31" i="33"/>
  <c r="G41" i="4" s="1"/>
  <c r="P31" i="33"/>
  <c r="P41" i="4" s="1"/>
  <c r="K32" i="33"/>
  <c r="K42" i="4" s="1"/>
  <c r="T32" i="33"/>
  <c r="T42" i="4" s="1"/>
  <c r="G33" i="33"/>
  <c r="G43" i="4" s="1"/>
  <c r="P33" i="33"/>
  <c r="P43" i="4" s="1"/>
  <c r="G34" i="33"/>
  <c r="G44" i="4" s="1"/>
  <c r="C35" i="33"/>
  <c r="C45" i="4" s="1"/>
  <c r="T35" i="33"/>
  <c r="T45" i="4" s="1"/>
  <c r="B28" i="33"/>
  <c r="F28" i="33"/>
  <c r="J28" i="33"/>
  <c r="J38" i="4" s="1"/>
  <c r="O28" i="33"/>
  <c r="O38" i="4" s="1"/>
  <c r="S28" i="33"/>
  <c r="B29" i="33"/>
  <c r="B39" i="4" s="1"/>
  <c r="I29" i="33"/>
  <c r="I39" i="4" s="1"/>
  <c r="M29" i="33"/>
  <c r="M39" i="4" s="1"/>
  <c r="R29" i="33"/>
  <c r="R39" i="4" s="1"/>
  <c r="V29" i="33"/>
  <c r="V39" i="4" s="1"/>
  <c r="B30" i="33"/>
  <c r="B40" i="4" s="1"/>
  <c r="E30" i="33"/>
  <c r="E40" i="4" s="1"/>
  <c r="I30" i="33"/>
  <c r="I40" i="4" s="1"/>
  <c r="M30" i="33"/>
  <c r="M40" i="4" s="1"/>
  <c r="R30" i="33"/>
  <c r="R40" i="4" s="1"/>
  <c r="V30" i="33"/>
  <c r="V40" i="4" s="1"/>
  <c r="B31" i="33"/>
  <c r="B41" i="4" s="1"/>
  <c r="E31" i="33"/>
  <c r="E41" i="4" s="1"/>
  <c r="I31" i="33"/>
  <c r="I41" i="4" s="1"/>
  <c r="M31" i="33"/>
  <c r="M41" i="4" s="1"/>
  <c r="R31" i="33"/>
  <c r="R41" i="4" s="1"/>
  <c r="V31" i="33"/>
  <c r="V41" i="4" s="1"/>
  <c r="B32" i="33"/>
  <c r="B42" i="4" s="1"/>
  <c r="E32" i="33"/>
  <c r="E42" i="4" s="1"/>
  <c r="I32" i="33"/>
  <c r="I42" i="4" s="1"/>
  <c r="M32" i="33"/>
  <c r="M42" i="4" s="1"/>
  <c r="R32" i="33"/>
  <c r="R42" i="4" s="1"/>
  <c r="V32" i="33"/>
  <c r="V42" i="4" s="1"/>
  <c r="E33" i="33"/>
  <c r="E43" i="4" s="1"/>
  <c r="I33" i="33"/>
  <c r="I43" i="4" s="1"/>
  <c r="M33" i="33"/>
  <c r="M43" i="4" s="1"/>
  <c r="R33" i="33"/>
  <c r="R43" i="4" s="1"/>
  <c r="V33" i="33"/>
  <c r="V43" i="4" s="1"/>
  <c r="B34" i="33"/>
  <c r="B44" i="4" s="1"/>
  <c r="E34" i="33"/>
  <c r="E44" i="4" s="1"/>
  <c r="I34" i="33"/>
  <c r="I44" i="4" s="1"/>
  <c r="M34" i="33"/>
  <c r="M44" i="4" s="1"/>
  <c r="R34" i="33"/>
  <c r="R44" i="4" s="1"/>
  <c r="V34" i="33"/>
  <c r="V44" i="4" s="1"/>
  <c r="B35" i="33"/>
  <c r="B45" i="4" s="1"/>
  <c r="E35" i="33"/>
  <c r="E45" i="4" s="1"/>
  <c r="I35" i="33"/>
  <c r="I45" i="4" s="1"/>
  <c r="M35" i="33"/>
  <c r="M45" i="4" s="1"/>
  <c r="R35" i="33"/>
  <c r="R45" i="4" s="1"/>
  <c r="V35" i="33"/>
  <c r="V45" i="4" s="1"/>
  <c r="L28" i="33"/>
  <c r="C29" i="33"/>
  <c r="C39" i="4" s="1"/>
  <c r="P29" i="33"/>
  <c r="P39" i="4" s="1"/>
  <c r="G30" i="33"/>
  <c r="G40" i="4" s="1"/>
  <c r="T30" i="33"/>
  <c r="T40" i="4" s="1"/>
  <c r="K31" i="33"/>
  <c r="K41" i="4" s="1"/>
  <c r="C32" i="33"/>
  <c r="C42" i="4" s="1"/>
  <c r="P32" i="33"/>
  <c r="P42" i="4" s="1"/>
  <c r="K33" i="33"/>
  <c r="K43" i="4" s="1"/>
  <c r="K34" i="33"/>
  <c r="K44" i="4" s="1"/>
  <c r="T34" i="33"/>
  <c r="T44" i="4" s="1"/>
  <c r="G35" i="33"/>
  <c r="G45" i="4" s="1"/>
  <c r="P35" i="33"/>
  <c r="P45" i="4" s="1"/>
  <c r="C28" i="33"/>
  <c r="C38" i="4" s="1"/>
  <c r="G28" i="33"/>
  <c r="G47" i="33" s="1"/>
  <c r="G48" i="33" s="1"/>
  <c r="G54" i="33" s="1"/>
  <c r="K28" i="33"/>
  <c r="K38" i="4" s="1"/>
  <c r="P28" i="33"/>
  <c r="T28" i="33"/>
  <c r="T38" i="4" s="1"/>
  <c r="F29" i="33"/>
  <c r="F39" i="4" s="1"/>
  <c r="J29" i="33"/>
  <c r="J39" i="4" s="1"/>
  <c r="O29" i="33"/>
  <c r="O39" i="4" s="1"/>
  <c r="S29" i="33"/>
  <c r="S39" i="4" s="1"/>
  <c r="F30" i="33"/>
  <c r="F40" i="4" s="1"/>
  <c r="J30" i="33"/>
  <c r="J40" i="4" s="1"/>
  <c r="S30" i="33"/>
  <c r="S40" i="4" s="1"/>
  <c r="F31" i="33"/>
  <c r="F41" i="4" s="1"/>
  <c r="J31" i="33"/>
  <c r="J41" i="4" s="1"/>
  <c r="O31" i="33"/>
  <c r="O41" i="4" s="1"/>
  <c r="S31" i="33"/>
  <c r="S41" i="4" s="1"/>
  <c r="F32" i="33"/>
  <c r="F42" i="4" s="1"/>
  <c r="J32" i="33"/>
  <c r="J42" i="4" s="1"/>
  <c r="O32" i="33"/>
  <c r="O42" i="4" s="1"/>
  <c r="S32" i="33"/>
  <c r="S42" i="4" s="1"/>
  <c r="F33" i="33"/>
  <c r="F43" i="4" s="1"/>
  <c r="J33" i="33"/>
  <c r="J43" i="4" s="1"/>
  <c r="O33" i="33"/>
  <c r="O43" i="4" s="1"/>
  <c r="S33" i="33"/>
  <c r="S43" i="4" s="1"/>
  <c r="F34" i="33"/>
  <c r="F44" i="4" s="1"/>
  <c r="J34" i="33"/>
  <c r="J44" i="4" s="1"/>
  <c r="O34" i="33"/>
  <c r="O44" i="4" s="1"/>
  <c r="S34" i="33"/>
  <c r="S44" i="4" s="1"/>
  <c r="F35" i="33"/>
  <c r="F45" i="4" s="1"/>
  <c r="J35" i="33"/>
  <c r="J45" i="4" s="1"/>
  <c r="O35" i="33"/>
  <c r="O45" i="4" s="1"/>
  <c r="D38" i="4"/>
  <c r="H38" i="4"/>
  <c r="B38" i="4"/>
  <c r="U38" i="4"/>
  <c r="R38" i="4"/>
  <c r="V38" i="4"/>
  <c r="B22" i="33"/>
  <c r="E22" i="33"/>
  <c r="I45" i="33"/>
  <c r="I52" i="33"/>
  <c r="I27" i="33"/>
  <c r="P47" i="33"/>
  <c r="P48" i="33" s="1"/>
  <c r="P54" i="33" s="1"/>
  <c r="B27" i="33"/>
  <c r="B52" i="33" s="1"/>
  <c r="D27" i="33"/>
  <c r="D52" i="33" s="1"/>
  <c r="I22" i="33"/>
  <c r="E27" i="33"/>
  <c r="E52" i="33" s="1"/>
  <c r="F38" i="4"/>
  <c r="S38" i="4"/>
  <c r="D45" i="33"/>
  <c r="F22" i="33"/>
  <c r="M46" i="33"/>
  <c r="M53" i="33" s="1"/>
  <c r="F45" i="33"/>
  <c r="G22" i="33"/>
  <c r="G27" i="33"/>
  <c r="G52" i="33" s="1"/>
  <c r="C22" i="33"/>
  <c r="C27" i="33"/>
  <c r="C52" i="33" s="1"/>
  <c r="H27" i="33"/>
  <c r="H52" i="33" s="1"/>
  <c r="H45" i="33"/>
  <c r="G56" i="33"/>
  <c r="B56" i="33"/>
  <c r="K56" i="33"/>
  <c r="J56" i="33"/>
  <c r="E56" i="33"/>
  <c r="Q56" i="33"/>
  <c r="R56" i="33"/>
  <c r="S56" i="33"/>
  <c r="H56" i="33"/>
  <c r="P56" i="33"/>
  <c r="D56" i="33"/>
  <c r="F56" i="33"/>
  <c r="T56" i="33"/>
  <c r="U56" i="33"/>
  <c r="V56" i="33"/>
  <c r="L56" i="33"/>
  <c r="I56" i="33"/>
  <c r="C56" i="33"/>
  <c r="M56" i="33"/>
  <c r="O56" i="33"/>
  <c r="H46" i="33" l="1"/>
  <c r="H53" i="33" s="1"/>
  <c r="O47" i="33"/>
  <c r="O48" i="33" s="1"/>
  <c r="O54" i="33" s="1"/>
  <c r="V46" i="33"/>
  <c r="V53" i="33" s="1"/>
  <c r="U46" i="33"/>
  <c r="U53" i="33" s="1"/>
  <c r="I46" i="33"/>
  <c r="I53" i="33" s="1"/>
  <c r="F46" i="33"/>
  <c r="F53" i="33" s="1"/>
  <c r="Q46" i="33"/>
  <c r="Q53" i="33" s="1"/>
  <c r="Q55" i="33" s="1"/>
  <c r="J47" i="33"/>
  <c r="J48" i="33" s="1"/>
  <c r="J54" i="33" s="1"/>
  <c r="E46" i="33"/>
  <c r="E53" i="33" s="1"/>
  <c r="S47" i="33"/>
  <c r="S48" i="33" s="1"/>
  <c r="S54" i="33" s="1"/>
  <c r="C46" i="33"/>
  <c r="C53" i="33" s="1"/>
  <c r="R46" i="33"/>
  <c r="R53" i="33" s="1"/>
  <c r="B46" i="33"/>
  <c r="B53" i="33" s="1"/>
  <c r="M55" i="33" s="1"/>
  <c r="D47" i="33"/>
  <c r="D48" i="33" s="1"/>
  <c r="D54" i="33" s="1"/>
  <c r="I47" i="33"/>
  <c r="I48" i="33" s="1"/>
  <c r="I54" i="33" s="1"/>
  <c r="P57" i="33"/>
  <c r="L57" i="33"/>
  <c r="F57" i="33"/>
  <c r="R57" i="33"/>
  <c r="K57" i="33"/>
  <c r="S57" i="33"/>
  <c r="B57" i="33"/>
  <c r="F59" i="33" s="1"/>
  <c r="M57" i="33"/>
  <c r="O57" i="33"/>
  <c r="G57" i="33"/>
  <c r="Q57" i="33"/>
  <c r="D57" i="33"/>
  <c r="I57" i="33"/>
  <c r="T57" i="33"/>
  <c r="C57" i="33"/>
  <c r="J57" i="33"/>
  <c r="H57" i="33"/>
  <c r="V57" i="33"/>
  <c r="E57" i="33"/>
  <c r="U57" i="33"/>
  <c r="R47" i="33"/>
  <c r="R48" i="33" s="1"/>
  <c r="R54" i="33" s="1"/>
  <c r="B47" i="33"/>
  <c r="B48" i="33" s="1"/>
  <c r="B54" i="33" s="1"/>
  <c r="U47" i="33"/>
  <c r="U48" i="33" s="1"/>
  <c r="U54" i="33" s="1"/>
  <c r="S46" i="33"/>
  <c r="S53" i="33" s="1"/>
  <c r="S55" i="33" s="1"/>
  <c r="F47" i="33"/>
  <c r="F48" i="33" s="1"/>
  <c r="F54" i="33" s="1"/>
  <c r="T47" i="33"/>
  <c r="T48" i="33" s="1"/>
  <c r="T54" i="33" s="1"/>
  <c r="P38" i="4"/>
  <c r="K47" i="33"/>
  <c r="K48" i="33" s="1"/>
  <c r="K54" i="33" s="1"/>
  <c r="C47" i="33"/>
  <c r="C48" i="33" s="1"/>
  <c r="C54" i="33" s="1"/>
  <c r="L38" i="4"/>
  <c r="T46" i="33"/>
  <c r="T53" i="33" s="1"/>
  <c r="T55" i="33" s="1"/>
  <c r="P46" i="33"/>
  <c r="P53" i="33" s="1"/>
  <c r="P55" i="33" s="1"/>
  <c r="D39" i="4"/>
  <c r="V47" i="33"/>
  <c r="V48" i="33" s="1"/>
  <c r="V54" i="33" s="1"/>
  <c r="M47" i="33"/>
  <c r="M48" i="33" s="1"/>
  <c r="M54" i="33" s="1"/>
  <c r="E47" i="33"/>
  <c r="E48" i="33" s="1"/>
  <c r="E54" i="33" s="1"/>
  <c r="L47" i="33"/>
  <c r="L48" i="33" s="1"/>
  <c r="L54" i="33" s="1"/>
  <c r="H47" i="33"/>
  <c r="H48" i="33" s="1"/>
  <c r="H54" i="33" s="1"/>
  <c r="O46" i="33"/>
  <c r="O53" i="33" s="1"/>
  <c r="O55" i="33" s="1"/>
  <c r="J46" i="33"/>
  <c r="J53" i="33" s="1"/>
  <c r="G46" i="33"/>
  <c r="G53" i="33" s="1"/>
  <c r="Q47" i="33"/>
  <c r="Q48" i="33" s="1"/>
  <c r="Q54" i="33" s="1"/>
  <c r="L46" i="33"/>
  <c r="L53" i="33" s="1"/>
  <c r="K46" i="33"/>
  <c r="K53" i="33" s="1"/>
  <c r="G38" i="4"/>
  <c r="V55" i="33"/>
  <c r="U55" i="33"/>
  <c r="B64" i="33"/>
  <c r="C59" i="33" l="1"/>
  <c r="C60" i="33" s="1"/>
  <c r="D59" i="33"/>
  <c r="D60" i="33" s="1"/>
  <c r="D61" i="33" s="1"/>
  <c r="J59" i="33"/>
  <c r="J60" i="33" s="1"/>
  <c r="M59" i="33"/>
  <c r="M60" i="33" s="1"/>
  <c r="M61" i="33" s="1"/>
  <c r="H59" i="33"/>
  <c r="H60" i="33" s="1"/>
  <c r="H61" i="33" s="1"/>
  <c r="O59" i="33"/>
  <c r="O60" i="33" s="1"/>
  <c r="E59" i="33"/>
  <c r="E60" i="33" s="1"/>
  <c r="G59" i="33"/>
  <c r="G60" i="33" s="1"/>
  <c r="G61" i="33" s="1"/>
  <c r="I59" i="33"/>
  <c r="I60" i="33" s="1"/>
  <c r="K59" i="33"/>
  <c r="K60" i="33" s="1"/>
  <c r="R55" i="33"/>
  <c r="S59" i="33"/>
  <c r="S60" i="33" s="1"/>
  <c r="T59" i="33"/>
  <c r="T60" i="33" s="1"/>
  <c r="L59" i="33"/>
  <c r="L60" i="33" s="1"/>
  <c r="L61" i="33" s="1"/>
  <c r="U59" i="33"/>
  <c r="U60" i="33" s="1"/>
  <c r="B65" i="33"/>
  <c r="V59" i="33"/>
  <c r="V60" i="33" s="1"/>
  <c r="Q59" i="33"/>
  <c r="Q60" i="33" s="1"/>
  <c r="P59" i="33"/>
  <c r="P60" i="33" s="1"/>
  <c r="R59" i="33"/>
  <c r="R60" i="33" s="1"/>
  <c r="F60" i="33"/>
  <c r="F61" i="33" s="1"/>
  <c r="D55" i="33"/>
  <c r="B55" i="33"/>
  <c r="K55" i="33"/>
  <c r="L55" i="33"/>
  <c r="G55" i="33"/>
  <c r="F55" i="33"/>
  <c r="C55" i="33"/>
  <c r="J55" i="33"/>
  <c r="H55" i="33"/>
  <c r="I55" i="33"/>
  <c r="E55" i="33"/>
  <c r="R61" i="33" l="1"/>
  <c r="J61" i="33"/>
  <c r="T61" i="33"/>
  <c r="P61" i="33"/>
  <c r="U61" i="33"/>
  <c r="C61" i="33"/>
  <c r="V61" i="33"/>
  <c r="K61" i="33"/>
  <c r="I61" i="33"/>
  <c r="O61" i="33"/>
  <c r="E61" i="33"/>
  <c r="Q61" i="33"/>
  <c r="S61" i="33"/>
  <c r="M4" i="33"/>
  <c r="L4" i="33" l="1"/>
  <c r="L22" i="33" s="1"/>
  <c r="K4" i="33"/>
  <c r="K22" i="33" s="1"/>
  <c r="J4" i="33"/>
  <c r="J52" i="33" s="1"/>
  <c r="M45" i="33"/>
  <c r="M52" i="33"/>
  <c r="M27" i="33"/>
  <c r="M22" i="33"/>
  <c r="K52" i="33" l="1"/>
  <c r="K45"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36" i="23"/>
  <c r="P30" i="4" s="1"/>
  <c r="Q36" i="23"/>
  <c r="Q30" i="4" s="1"/>
  <c r="R36" i="23"/>
  <c r="R30" i="4" s="1"/>
  <c r="S36" i="23"/>
  <c r="T36" i="23"/>
  <c r="T30" i="4" s="1"/>
  <c r="U36" i="23"/>
  <c r="U30" i="4" s="1"/>
  <c r="V36" i="23"/>
  <c r="V30" i="4" s="1"/>
  <c r="P37" i="23"/>
  <c r="P31" i="4" s="1"/>
  <c r="Q37" i="23"/>
  <c r="R37" i="23"/>
  <c r="R31" i="4" s="1"/>
  <c r="S37" i="23"/>
  <c r="S31" i="4" s="1"/>
  <c r="T37" i="23"/>
  <c r="T31" i="4" s="1"/>
  <c r="U37" i="23"/>
  <c r="U31" i="4" s="1"/>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V39" i="23"/>
  <c r="P40" i="23"/>
  <c r="P34" i="4" s="1"/>
  <c r="Q40" i="23"/>
  <c r="Q34" i="4" s="1"/>
  <c r="R40" i="23"/>
  <c r="R34" i="4" s="1"/>
  <c r="S40" i="23"/>
  <c r="T40" i="23"/>
  <c r="T34" i="4" s="1"/>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S36" i="4" s="1"/>
  <c r="T42" i="23"/>
  <c r="T36" i="4" s="1"/>
  <c r="U42" i="23"/>
  <c r="U36" i="4" s="1"/>
  <c r="V42" i="23"/>
  <c r="V36" i="4" s="1"/>
  <c r="P43" i="23"/>
  <c r="Q43" i="23"/>
  <c r="Q37" i="4" s="1"/>
  <c r="R43" i="23"/>
  <c r="S43" i="23"/>
  <c r="T43" i="23"/>
  <c r="U43" i="23"/>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33" i="1"/>
  <c r="S11"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L29" i="1"/>
  <c r="L7" i="4" s="1"/>
  <c r="L34" i="1"/>
  <c r="L12" i="4" s="1"/>
  <c r="M34" i="1"/>
  <c r="M12" i="4" s="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U37" i="4"/>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S34" i="4"/>
  <c r="I40" i="23"/>
  <c r="I34" i="4" s="1"/>
  <c r="H40" i="23"/>
  <c r="H34" i="4" s="1"/>
  <c r="G40" i="23"/>
  <c r="G34" i="4" s="1"/>
  <c r="F40" i="23"/>
  <c r="F34" i="4" s="1"/>
  <c r="E40" i="23"/>
  <c r="E34" i="4" s="1"/>
  <c r="D40" i="23"/>
  <c r="D34" i="4" s="1"/>
  <c r="C40" i="23"/>
  <c r="C34" i="4" s="1"/>
  <c r="B40" i="23"/>
  <c r="B34" i="4" s="1"/>
  <c r="V33" i="4"/>
  <c r="U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Q31" i="4"/>
  <c r="I37" i="23"/>
  <c r="I31" i="4" s="1"/>
  <c r="H37" i="23"/>
  <c r="H31" i="4" s="1"/>
  <c r="G37" i="23"/>
  <c r="G31" i="4" s="1"/>
  <c r="F37" i="23"/>
  <c r="F31" i="4" s="1"/>
  <c r="E37" i="23"/>
  <c r="E31" i="4" s="1"/>
  <c r="D37" i="23"/>
  <c r="D31" i="4" s="1"/>
  <c r="C37" i="23"/>
  <c r="C31" i="4" s="1"/>
  <c r="B37" i="23"/>
  <c r="B31" i="4" s="1"/>
  <c r="S30" i="4"/>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F29" i="23"/>
  <c r="F23" i="4" s="1"/>
  <c r="D31" i="23"/>
  <c r="D25" i="4" s="1"/>
  <c r="C28" i="23"/>
  <c r="J29" i="23"/>
  <c r="J23" i="4" s="1"/>
  <c r="J40" i="23"/>
  <c r="J34" i="4" s="1"/>
  <c r="J36" i="23"/>
  <c r="J30" i="4" s="1"/>
  <c r="G35" i="23"/>
  <c r="G29" i="4" s="1"/>
  <c r="C35" i="23"/>
  <c r="C29" i="4" s="1"/>
  <c r="H34" i="23"/>
  <c r="H28" i="4" s="1"/>
  <c r="D34" i="23"/>
  <c r="D28" i="4" s="1"/>
  <c r="I33" i="23"/>
  <c r="I27" i="4" s="1"/>
  <c r="E33" i="23"/>
  <c r="E27" i="4" s="1"/>
  <c r="J32" i="23"/>
  <c r="J26" i="4" s="1"/>
  <c r="F32" i="23"/>
  <c r="F26" i="4" s="1"/>
  <c r="G31" i="23"/>
  <c r="G25" i="4" s="1"/>
  <c r="C31" i="23"/>
  <c r="C25" i="4" s="1"/>
  <c r="H30" i="23"/>
  <c r="H24" i="4" s="1"/>
  <c r="D30" i="23"/>
  <c r="D24" i="4" s="1"/>
  <c r="I29" i="23"/>
  <c r="I23" i="4" s="1"/>
  <c r="E29" i="23"/>
  <c r="E23" i="4" s="1"/>
  <c r="J28" i="23"/>
  <c r="F28" i="23"/>
  <c r="J42" i="23"/>
  <c r="J36" i="4" s="1"/>
  <c r="J38" i="23"/>
  <c r="J32" i="4" s="1"/>
  <c r="J34" i="23"/>
  <c r="J28" i="4" s="1"/>
  <c r="F34" i="23"/>
  <c r="F28" i="4" s="1"/>
  <c r="C33" i="23"/>
  <c r="C27" i="4" s="1"/>
  <c r="H32" i="23"/>
  <c r="H26" i="4" s="1"/>
  <c r="I31" i="23"/>
  <c r="I25" i="4" s="1"/>
  <c r="E31" i="23"/>
  <c r="E25" i="4" s="1"/>
  <c r="J30" i="23"/>
  <c r="J24" i="4" s="1"/>
  <c r="F30" i="23"/>
  <c r="F24" i="4" s="1"/>
  <c r="C29" i="23"/>
  <c r="C23" i="4" s="1"/>
  <c r="D28" i="23"/>
  <c r="J41" i="23"/>
  <c r="J35" i="4" s="1"/>
  <c r="J37" i="23"/>
  <c r="J31" i="4" s="1"/>
  <c r="H35" i="23"/>
  <c r="H29" i="4" s="1"/>
  <c r="I34" i="23"/>
  <c r="I28" i="4" s="1"/>
  <c r="E34" i="23"/>
  <c r="E28" i="4" s="1"/>
  <c r="C32" i="23"/>
  <c r="C26" i="4" s="1"/>
  <c r="J43" i="23"/>
  <c r="J39" i="23"/>
  <c r="J33" i="4" s="1"/>
  <c r="J35" i="23"/>
  <c r="J29" i="4" s="1"/>
  <c r="F35" i="23"/>
  <c r="F29" i="4" s="1"/>
  <c r="G34" i="23"/>
  <c r="G28" i="4" s="1"/>
  <c r="C34" i="23"/>
  <c r="C28" i="4" s="1"/>
  <c r="H33" i="23"/>
  <c r="H27" i="4" s="1"/>
  <c r="D33" i="23"/>
  <c r="D27" i="4" s="1"/>
  <c r="I32" i="23"/>
  <c r="I26" i="4" s="1"/>
  <c r="E32" i="23"/>
  <c r="E26" i="4" s="1"/>
  <c r="J31" i="23"/>
  <c r="J25" i="4" s="1"/>
  <c r="F31" i="23"/>
  <c r="F25" i="4" s="1"/>
  <c r="G30" i="23"/>
  <c r="G24" i="4" s="1"/>
  <c r="C30" i="23"/>
  <c r="C24" i="4" s="1"/>
  <c r="H29" i="23"/>
  <c r="H23" i="4" s="1"/>
  <c r="D29" i="23"/>
  <c r="D23" i="4" s="1"/>
  <c r="I28" i="23"/>
  <c r="E28" i="23"/>
  <c r="I35" i="23"/>
  <c r="I29" i="4" s="1"/>
  <c r="E35" i="23"/>
  <c r="E29" i="4" s="1"/>
  <c r="G33" i="23"/>
  <c r="G27" i="4" s="1"/>
  <c r="D32" i="23"/>
  <c r="D26" i="4" s="1"/>
  <c r="G29" i="23"/>
  <c r="G23" i="4" s="1"/>
  <c r="H28" i="23"/>
  <c r="D35" i="23"/>
  <c r="D29" i="4" s="1"/>
  <c r="J33" i="23"/>
  <c r="J27" i="4" s="1"/>
  <c r="F33" i="23"/>
  <c r="F27" i="4" s="1"/>
  <c r="G32" i="23"/>
  <c r="G26" i="4" s="1"/>
  <c r="H31" i="23"/>
  <c r="H25" i="4" s="1"/>
  <c r="G28" i="23"/>
  <c r="I30" i="23"/>
  <c r="I24" i="4" s="1"/>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F32" i="1"/>
  <c r="F10" i="4" s="1"/>
  <c r="H34" i="1"/>
  <c r="H12" i="4" s="1"/>
  <c r="E35" i="1"/>
  <c r="E13" i="4" s="1"/>
  <c r="D35" i="1"/>
  <c r="D13" i="4" s="1"/>
  <c r="H35" i="1"/>
  <c r="H13" i="4" s="1"/>
  <c r="E30" i="1"/>
  <c r="E8" i="4" s="1"/>
  <c r="D33" i="1"/>
  <c r="D11" i="4" s="1"/>
  <c r="H33" i="1"/>
  <c r="H11" i="4" s="1"/>
  <c r="I34" i="1"/>
  <c r="I12" i="4" s="1"/>
  <c r="F35" i="1"/>
  <c r="F13" i="4" s="1"/>
  <c r="E29" i="1"/>
  <c r="I29" i="1"/>
  <c r="H32" i="1"/>
  <c r="H10" i="4" s="1"/>
  <c r="E33" i="1"/>
  <c r="E11" i="4" s="1"/>
  <c r="I33" i="1"/>
  <c r="I11" i="4" s="1"/>
  <c r="C35" i="1"/>
  <c r="C13" i="4" s="1"/>
  <c r="G35" i="1"/>
  <c r="G13" i="4" s="1"/>
  <c r="F29" i="1"/>
  <c r="F7" i="4" s="1"/>
  <c r="F33" i="1"/>
  <c r="F11" i="4" s="1"/>
  <c r="G34" i="1"/>
  <c r="G12" i="4" s="1"/>
  <c r="O39" i="1"/>
  <c r="O17" i="4" s="1"/>
  <c r="O43" i="1"/>
  <c r="Q31" i="1"/>
  <c r="Q9" i="4" s="1"/>
  <c r="Q34" i="1"/>
  <c r="Q12" i="4" s="1"/>
  <c r="O42" i="1"/>
  <c r="O20" i="4" s="1"/>
  <c r="O32" i="1"/>
  <c r="O10" i="4" s="1"/>
  <c r="O40" i="1"/>
  <c r="O18"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J56" i="23"/>
  <c r="H56" i="23"/>
  <c r="C56" i="23"/>
  <c r="D56" i="23"/>
  <c r="F56" i="23"/>
  <c r="I56" i="23"/>
  <c r="G56" i="23"/>
  <c r="L28" i="1" l="1"/>
  <c r="S32" i="1"/>
  <c r="S10" i="4" s="1"/>
  <c r="O9" i="12"/>
  <c r="O10" i="12" s="1"/>
  <c r="O43" i="23"/>
  <c r="O39" i="23"/>
  <c r="O33" i="4" s="1"/>
  <c r="T35" i="23"/>
  <c r="T29" i="4" s="1"/>
  <c r="U34" i="23"/>
  <c r="U28" i="4" s="1"/>
  <c r="V31" i="23"/>
  <c r="V25" i="4" s="1"/>
  <c r="U28" i="23"/>
  <c r="U22" i="4" s="1"/>
  <c r="E30" i="23"/>
  <c r="K35" i="23"/>
  <c r="K29" i="4" s="1"/>
  <c r="O42" i="23"/>
  <c r="O36" i="4" s="1"/>
  <c r="O36" i="23"/>
  <c r="O30" i="4" s="1"/>
  <c r="P35" i="23"/>
  <c r="P29" i="4" s="1"/>
  <c r="Q34" i="23"/>
  <c r="Q28" i="4" s="1"/>
  <c r="S33" i="23"/>
  <c r="S27" i="4" s="1"/>
  <c r="R31" i="23"/>
  <c r="R25" i="4" s="1"/>
  <c r="T30" i="23"/>
  <c r="T24" i="4" s="1"/>
  <c r="Q28" i="23"/>
  <c r="M33" i="23"/>
  <c r="M27" i="4" s="1"/>
  <c r="M31" i="23"/>
  <c r="M25" i="4" s="1"/>
  <c r="K30" i="23"/>
  <c r="K24" i="4" s="1"/>
  <c r="O41" i="23"/>
  <c r="O35" i="4" s="1"/>
  <c r="P30" i="23"/>
  <c r="P24" i="4" s="1"/>
  <c r="V29" i="23"/>
  <c r="V23" i="4" s="1"/>
  <c r="L32" i="23"/>
  <c r="L26" i="4" s="1"/>
  <c r="M28" i="23"/>
  <c r="O40" i="23"/>
  <c r="O34" i="4" s="1"/>
  <c r="S32" i="23"/>
  <c r="S26" i="4" s="1"/>
  <c r="R29" i="23"/>
  <c r="R23" i="4" s="1"/>
  <c r="M34" i="23"/>
  <c r="M28" i="4" s="1"/>
  <c r="L33" i="23"/>
  <c r="L27" i="4" s="1"/>
  <c r="K32" i="23"/>
  <c r="K26" i="4" s="1"/>
  <c r="L31" i="23"/>
  <c r="L25" i="4" s="1"/>
  <c r="M29" i="23"/>
  <c r="L28" i="23"/>
  <c r="O35" i="23"/>
  <c r="O29" i="4" s="1"/>
  <c r="S35" i="23"/>
  <c r="S29" i="4" s="1"/>
  <c r="T34" i="23"/>
  <c r="T28" i="4" s="1"/>
  <c r="P34" i="23"/>
  <c r="P28" i="4" s="1"/>
  <c r="V33" i="23"/>
  <c r="V27" i="4" s="1"/>
  <c r="R33" i="23"/>
  <c r="R27" i="4" s="1"/>
  <c r="V32" i="23"/>
  <c r="V26" i="4" s="1"/>
  <c r="R32" i="23"/>
  <c r="R26" i="4" s="1"/>
  <c r="U31" i="23"/>
  <c r="U25" i="4" s="1"/>
  <c r="Q31" i="23"/>
  <c r="Q25" i="4" s="1"/>
  <c r="S30" i="23"/>
  <c r="S24" i="4" s="1"/>
  <c r="U29" i="23"/>
  <c r="Q29" i="23"/>
  <c r="T28" i="23"/>
  <c r="P28" i="23"/>
  <c r="M35" i="23"/>
  <c r="M29" i="4" s="1"/>
  <c r="L34" i="23"/>
  <c r="L28" i="4" s="1"/>
  <c r="K33" i="23"/>
  <c r="K27" i="4" s="1"/>
  <c r="K31" i="23"/>
  <c r="K25" i="4" s="1"/>
  <c r="M30" i="23"/>
  <c r="M24" i="4" s="1"/>
  <c r="L29" i="23"/>
  <c r="L23" i="4" s="1"/>
  <c r="K28" i="23"/>
  <c r="O33" i="23"/>
  <c r="O27" i="4" s="1"/>
  <c r="V35" i="23"/>
  <c r="V29" i="4" s="1"/>
  <c r="R35" i="23"/>
  <c r="R29" i="4" s="1"/>
  <c r="S34" i="23"/>
  <c r="S28" i="4" s="1"/>
  <c r="U33" i="23"/>
  <c r="U27" i="4" s="1"/>
  <c r="Q33" i="23"/>
  <c r="Q27" i="4" s="1"/>
  <c r="U32" i="23"/>
  <c r="U26" i="4" s="1"/>
  <c r="Q32" i="23"/>
  <c r="Q26" i="4" s="1"/>
  <c r="T31" i="23"/>
  <c r="T25" i="4" s="1"/>
  <c r="P31" i="23"/>
  <c r="P25" i="4" s="1"/>
  <c r="V30" i="23"/>
  <c r="V24" i="4" s="1"/>
  <c r="R30" i="23"/>
  <c r="R24" i="4" s="1"/>
  <c r="T29" i="23"/>
  <c r="T23" i="4" s="1"/>
  <c r="P29" i="23"/>
  <c r="P46" i="23" s="1"/>
  <c r="P53" i="23" s="1"/>
  <c r="S28" i="23"/>
  <c r="L35" i="23"/>
  <c r="L29" i="4" s="1"/>
  <c r="K34" i="23"/>
  <c r="K28" i="4" s="1"/>
  <c r="M32" i="23"/>
  <c r="M26" i="4" s="1"/>
  <c r="L30" i="23"/>
  <c r="L24" i="4" s="1"/>
  <c r="K29" i="23"/>
  <c r="K23" i="4" s="1"/>
  <c r="O29" i="23"/>
  <c r="O23" i="4" s="1"/>
  <c r="U35" i="23"/>
  <c r="U29" i="4" s="1"/>
  <c r="Q35" i="23"/>
  <c r="Q29" i="4" s="1"/>
  <c r="V34" i="23"/>
  <c r="V28" i="4" s="1"/>
  <c r="R34" i="23"/>
  <c r="R28" i="4" s="1"/>
  <c r="T33" i="23"/>
  <c r="P33" i="23"/>
  <c r="P27" i="4" s="1"/>
  <c r="T32" i="23"/>
  <c r="T26" i="4" s="1"/>
  <c r="P32" i="23"/>
  <c r="P26" i="4" s="1"/>
  <c r="S31" i="23"/>
  <c r="S25" i="4" s="1"/>
  <c r="U30" i="23"/>
  <c r="U24" i="4" s="1"/>
  <c r="Q30" i="23"/>
  <c r="Q24" i="4" s="1"/>
  <c r="S29" i="23"/>
  <c r="S23" i="4" s="1"/>
  <c r="V28" i="23"/>
  <c r="R28" i="23"/>
  <c r="R22" i="4" s="1"/>
  <c r="K33" i="1"/>
  <c r="K11" i="4" s="1"/>
  <c r="M32" i="1"/>
  <c r="M10" i="4" s="1"/>
  <c r="S34" i="1"/>
  <c r="S12" i="4" s="1"/>
  <c r="U29" i="1"/>
  <c r="U7" i="4" s="1"/>
  <c r="J33" i="1"/>
  <c r="J11" i="4" s="1"/>
  <c r="M35" i="1"/>
  <c r="M13" i="4" s="1"/>
  <c r="M29" i="1"/>
  <c r="M7" i="4" s="1"/>
  <c r="U35" i="1"/>
  <c r="U13" i="4" s="1"/>
  <c r="U28" i="1"/>
  <c r="U6" i="4" s="1"/>
  <c r="G30" i="1"/>
  <c r="G8" i="4" s="1"/>
  <c r="F34" i="1"/>
  <c r="F12" i="4" s="1"/>
  <c r="F30" i="1"/>
  <c r="F8" i="4" s="1"/>
  <c r="I30" i="1"/>
  <c r="I8" i="4" s="1"/>
  <c r="H31" i="1"/>
  <c r="H30" i="1"/>
  <c r="H8" i="4" s="1"/>
  <c r="J29" i="1"/>
  <c r="J7" i="4" s="1"/>
  <c r="M31" i="1"/>
  <c r="M9" i="4" s="1"/>
  <c r="T33" i="1"/>
  <c r="T11" i="4" s="1"/>
  <c r="U31" i="1"/>
  <c r="U9" i="4" s="1"/>
  <c r="T30" i="1"/>
  <c r="T8" i="4" s="1"/>
  <c r="R33" i="1"/>
  <c r="R11" i="4" s="1"/>
  <c r="J32" i="1"/>
  <c r="L35" i="1"/>
  <c r="L13" i="4" s="1"/>
  <c r="K34" i="1"/>
  <c r="K12" i="4" s="1"/>
  <c r="L32" i="1"/>
  <c r="L10" i="4" s="1"/>
  <c r="L31" i="1"/>
  <c r="L9" i="4" s="1"/>
  <c r="M30" i="1"/>
  <c r="M8" i="4" s="1"/>
  <c r="K28" i="1"/>
  <c r="T35" i="1"/>
  <c r="T13" i="4" s="1"/>
  <c r="V34" i="1"/>
  <c r="V12" i="4" s="1"/>
  <c r="V32" i="1"/>
  <c r="V10" i="4" s="1"/>
  <c r="T31" i="1"/>
  <c r="T9" i="4" s="1"/>
  <c r="S30" i="1"/>
  <c r="S8" i="4" s="1"/>
  <c r="T29" i="1"/>
  <c r="T7" i="4" s="1"/>
  <c r="T28" i="1"/>
  <c r="T6" i="4" s="1"/>
  <c r="G29" i="1"/>
  <c r="G7" i="4" s="1"/>
  <c r="J35" i="1"/>
  <c r="J13" i="4" s="1"/>
  <c r="J31" i="1"/>
  <c r="J9" i="4" s="1"/>
  <c r="K35" i="1"/>
  <c r="K13" i="4" s="1"/>
  <c r="M33" i="1"/>
  <c r="M11" i="4" s="1"/>
  <c r="K32" i="1"/>
  <c r="K10" i="4" s="1"/>
  <c r="K31" i="1"/>
  <c r="K9" i="4" s="1"/>
  <c r="L30" i="1"/>
  <c r="L46" i="1" s="1"/>
  <c r="L53" i="1" s="1"/>
  <c r="K29" i="1"/>
  <c r="K7" i="4" s="1"/>
  <c r="S35" i="1"/>
  <c r="S13" i="4" s="1"/>
  <c r="U34" i="1"/>
  <c r="U12" i="4" s="1"/>
  <c r="V33" i="1"/>
  <c r="V11" i="4" s="1"/>
  <c r="U32" i="1"/>
  <c r="U10" i="4" s="1"/>
  <c r="S31" i="1"/>
  <c r="S9" i="4" s="1"/>
  <c r="V30" i="1"/>
  <c r="V8" i="4" s="1"/>
  <c r="S29" i="1"/>
  <c r="S7" i="4" s="1"/>
  <c r="S28" i="1"/>
  <c r="E32" i="1"/>
  <c r="E10" i="4" s="1"/>
  <c r="C33" i="1"/>
  <c r="C11" i="4" s="1"/>
  <c r="J34" i="1"/>
  <c r="J12" i="4" s="1"/>
  <c r="J30" i="1"/>
  <c r="J8" i="4" s="1"/>
  <c r="J28" i="1"/>
  <c r="L33" i="1"/>
  <c r="L11" i="4" s="1"/>
  <c r="K30" i="1"/>
  <c r="K8" i="4" s="1"/>
  <c r="M28" i="1"/>
  <c r="V35" i="1"/>
  <c r="V13" i="4" s="1"/>
  <c r="T34" i="1"/>
  <c r="T12" i="4" s="1"/>
  <c r="U33" i="1"/>
  <c r="U11" i="4" s="1"/>
  <c r="T32" i="1"/>
  <c r="T10" i="4" s="1"/>
  <c r="V31" i="1"/>
  <c r="V9" i="4" s="1"/>
  <c r="U30" i="1"/>
  <c r="V29" i="1"/>
  <c r="V7" i="4" s="1"/>
  <c r="V28" i="1"/>
  <c r="E22" i="4"/>
  <c r="F22" i="4"/>
  <c r="L6" i="4"/>
  <c r="M22" i="4"/>
  <c r="P6" i="4"/>
  <c r="Q6" i="4"/>
  <c r="H22" i="4"/>
  <c r="I22" i="4"/>
  <c r="D22" i="4"/>
  <c r="J22" i="4"/>
  <c r="C22" i="4"/>
  <c r="J6" i="4"/>
  <c r="L22" i="4"/>
  <c r="Q22" i="4"/>
  <c r="G22"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B28" i="23"/>
  <c r="B30" i="23"/>
  <c r="B24" i="4" s="1"/>
  <c r="B34" i="23"/>
  <c r="B28" i="4" s="1"/>
  <c r="B35" i="23"/>
  <c r="O28" i="23"/>
  <c r="B31" i="23"/>
  <c r="B25" i="4" s="1"/>
  <c r="G47" i="23"/>
  <c r="G48" i="23" s="1"/>
  <c r="G54" i="23" s="1"/>
  <c r="B29" i="23"/>
  <c r="B23" i="4" s="1"/>
  <c r="Q32" i="1"/>
  <c r="P32" i="1"/>
  <c r="P10" i="4" s="1"/>
  <c r="D4" i="4"/>
  <c r="O29" i="1"/>
  <c r="O7" i="4" s="1"/>
  <c r="B27" i="23"/>
  <c r="B52" i="23" s="1"/>
  <c r="K45" i="23"/>
  <c r="E27" i="23"/>
  <c r="E52" i="23" s="1"/>
  <c r="Q30" i="1"/>
  <c r="Q8" i="4" s="1"/>
  <c r="B29" i="1"/>
  <c r="B7" i="4" s="1"/>
  <c r="P35" i="1"/>
  <c r="P13" i="4" s="1"/>
  <c r="P31" i="1"/>
  <c r="P9" i="4" s="1"/>
  <c r="H22" i="23"/>
  <c r="D47" i="23"/>
  <c r="D48" i="23" s="1"/>
  <c r="D54" i="23" s="1"/>
  <c r="G46" i="23"/>
  <c r="G53" i="23" s="1"/>
  <c r="P37" i="1"/>
  <c r="F22" i="23"/>
  <c r="E46" i="23"/>
  <c r="E53" i="23" s="1"/>
  <c r="O36" i="1"/>
  <c r="H45" i="23"/>
  <c r="H47" i="23"/>
  <c r="H48" i="23" s="1"/>
  <c r="H54" i="23" s="1"/>
  <c r="D46" i="23"/>
  <c r="D53" i="23" s="1"/>
  <c r="R31" i="1"/>
  <c r="R9" i="4" s="1"/>
  <c r="V22" i="4"/>
  <c r="T27" i="4"/>
  <c r="H46" i="23"/>
  <c r="H53" i="23" s="1"/>
  <c r="J57" i="23"/>
  <c r="H57" i="23"/>
  <c r="C57" i="23"/>
  <c r="F57" i="23"/>
  <c r="I57" i="23"/>
  <c r="D57" i="23"/>
  <c r="G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B32" i="1"/>
  <c r="D28" i="1"/>
  <c r="C32" i="1"/>
  <c r="B28" i="1"/>
  <c r="D32" i="1"/>
  <c r="B30" i="1"/>
  <c r="B8" i="4" s="1"/>
  <c r="C28" i="1"/>
  <c r="D31" i="1"/>
  <c r="D9" i="4" s="1"/>
  <c r="L47" i="1"/>
  <c r="L48" i="1" s="1"/>
  <c r="L54" i="1" s="1"/>
  <c r="O28" i="1"/>
  <c r="C30" i="1"/>
  <c r="C8" i="4" s="1"/>
  <c r="C31" i="1"/>
  <c r="C9" i="4" s="1"/>
  <c r="D29" i="1"/>
  <c r="D7" i="4" s="1"/>
  <c r="D30" i="1"/>
  <c r="G21" i="4"/>
  <c r="I21" i="4"/>
  <c r="F21" i="4"/>
  <c r="H21" i="4"/>
  <c r="E21" i="4"/>
  <c r="L52" i="23"/>
  <c r="E7" i="4"/>
  <c r="D17" i="4"/>
  <c r="H9" i="4"/>
  <c r="J10" i="4"/>
  <c r="C4" i="4"/>
  <c r="C47" i="23"/>
  <c r="C48" i="23" s="1"/>
  <c r="C54" i="23" s="1"/>
  <c r="J47" i="23"/>
  <c r="J48" i="23" s="1"/>
  <c r="J54" i="23" s="1"/>
  <c r="E47" i="23"/>
  <c r="E48" i="23" s="1"/>
  <c r="E54" i="23" s="1"/>
  <c r="I46" i="23"/>
  <c r="I53" i="23" s="1"/>
  <c r="F47" i="23"/>
  <c r="F48" i="23" s="1"/>
  <c r="F54" i="23" s="1"/>
  <c r="U47" i="23"/>
  <c r="U48" i="23" s="1"/>
  <c r="U54" i="23" s="1"/>
  <c r="A47" i="22"/>
  <c r="F46" i="23"/>
  <c r="F53" i="23" s="1"/>
  <c r="J46" i="23"/>
  <c r="J53" i="23" s="1"/>
  <c r="I47" i="23"/>
  <c r="I48" i="23" s="1"/>
  <c r="I54" i="23" s="1"/>
  <c r="C46" i="23"/>
  <c r="C53" i="23" s="1"/>
  <c r="G27" i="23"/>
  <c r="G52" i="23" s="1"/>
  <c r="A50" i="22"/>
  <c r="H50" i="22" s="1"/>
  <c r="K27" i="23"/>
  <c r="L22" i="1"/>
  <c r="I7" i="4"/>
  <c r="D27" i="1"/>
  <c r="D52" i="1" s="1"/>
  <c r="D45" i="1"/>
  <c r="D22" i="23"/>
  <c r="D45" i="23"/>
  <c r="D27" i="23"/>
  <c r="D52"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R56" i="23"/>
  <c r="J78" i="4"/>
  <c r="L56" i="23"/>
  <c r="H56" i="1"/>
  <c r="O56" i="1"/>
  <c r="U56" i="23"/>
  <c r="P56" i="1"/>
  <c r="F56" i="1"/>
  <c r="K56" i="1"/>
  <c r="E56" i="1"/>
  <c r="K56" i="23"/>
  <c r="O56" i="23"/>
  <c r="S56" i="23"/>
  <c r="Q56" i="23"/>
  <c r="G56" i="1"/>
  <c r="M56" i="23"/>
  <c r="T56" i="1"/>
  <c r="P56" i="23"/>
  <c r="M56" i="1"/>
  <c r="U56" i="1"/>
  <c r="J56" i="1"/>
  <c r="B56" i="1"/>
  <c r="R56" i="1"/>
  <c r="V56" i="1"/>
  <c r="Q56" i="1"/>
  <c r="L56" i="1"/>
  <c r="I56" i="1"/>
  <c r="T56" i="23"/>
  <c r="D56" i="1"/>
  <c r="B56" i="23"/>
  <c r="S56" i="1"/>
  <c r="C56" i="1"/>
  <c r="E56" i="23"/>
  <c r="V56" i="23"/>
  <c r="V46" i="1" l="1"/>
  <c r="V53" i="1" s="1"/>
  <c r="P23" i="4"/>
  <c r="L47" i="23"/>
  <c r="L48" i="23" s="1"/>
  <c r="L54" i="23" s="1"/>
  <c r="V47" i="23"/>
  <c r="V48" i="23" s="1"/>
  <c r="V54" i="23" s="1"/>
  <c r="P47" i="23"/>
  <c r="P48" i="23" s="1"/>
  <c r="P54" i="23" s="1"/>
  <c r="V47" i="1"/>
  <c r="V48" i="1" s="1"/>
  <c r="V54" i="1" s="1"/>
  <c r="S47" i="1"/>
  <c r="S48" i="1" s="1"/>
  <c r="S54" i="1" s="1"/>
  <c r="E57" i="23"/>
  <c r="M47" i="23"/>
  <c r="M48" i="23" s="1"/>
  <c r="M54" i="23" s="1"/>
  <c r="K46" i="23"/>
  <c r="K53" i="23" s="1"/>
  <c r="E24" i="4"/>
  <c r="U46" i="23"/>
  <c r="U53" i="23" s="1"/>
  <c r="M46" i="23"/>
  <c r="M53" i="23" s="1"/>
  <c r="R57" i="23"/>
  <c r="S57" i="23"/>
  <c r="Q57" i="23"/>
  <c r="K57" i="23"/>
  <c r="T57" i="23"/>
  <c r="V57" i="23"/>
  <c r="U57" i="23"/>
  <c r="L57" i="23"/>
  <c r="P57" i="23"/>
  <c r="M57" i="23"/>
  <c r="S47" i="23"/>
  <c r="S48" i="23" s="1"/>
  <c r="S54" i="23" s="1"/>
  <c r="Q47" i="23"/>
  <c r="Q48" i="23" s="1"/>
  <c r="Q54" i="23" s="1"/>
  <c r="Q46" i="23"/>
  <c r="Q53" i="23" s="1"/>
  <c r="S22" i="4"/>
  <c r="Q23" i="4"/>
  <c r="K22" i="4"/>
  <c r="T22" i="4"/>
  <c r="T56" i="4" s="1"/>
  <c r="T75" i="4" s="1"/>
  <c r="S46" i="23"/>
  <c r="S53" i="23" s="1"/>
  <c r="T46" i="23"/>
  <c r="T53" i="23" s="1"/>
  <c r="K47" i="23"/>
  <c r="K48" i="23" s="1"/>
  <c r="K54" i="23" s="1"/>
  <c r="U23" i="4"/>
  <c r="T47" i="23"/>
  <c r="T48" i="23" s="1"/>
  <c r="T54" i="23" s="1"/>
  <c r="L46" i="23"/>
  <c r="L53" i="23" s="1"/>
  <c r="R47" i="23"/>
  <c r="R48" i="23" s="1"/>
  <c r="R54" i="23" s="1"/>
  <c r="R46" i="23"/>
  <c r="R53" i="23" s="1"/>
  <c r="M23" i="4"/>
  <c r="T46" i="1"/>
  <c r="T53" i="1" s="1"/>
  <c r="M57" i="1"/>
  <c r="L57" i="1"/>
  <c r="T57" i="1"/>
  <c r="S57" i="1"/>
  <c r="K57" i="1"/>
  <c r="U57" i="1"/>
  <c r="V57" i="1"/>
  <c r="J57" i="1"/>
  <c r="M46" i="1"/>
  <c r="M53" i="1" s="1"/>
  <c r="M47" i="1"/>
  <c r="M48" i="1" s="1"/>
  <c r="M54" i="1" s="1"/>
  <c r="M6" i="4"/>
  <c r="L8" i="4"/>
  <c r="L63" i="4" s="1"/>
  <c r="L64" i="4" s="1"/>
  <c r="S46" i="1"/>
  <c r="S53" i="1" s="1"/>
  <c r="K47" i="1"/>
  <c r="K48" i="1" s="1"/>
  <c r="K54" i="1" s="1"/>
  <c r="J47" i="1"/>
  <c r="J48" i="1" s="1"/>
  <c r="J54" i="1" s="1"/>
  <c r="K46" i="1"/>
  <c r="K53" i="1" s="1"/>
  <c r="K6" i="4"/>
  <c r="U8" i="4"/>
  <c r="U56" i="4" s="1"/>
  <c r="U75" i="4" s="1"/>
  <c r="J46" i="1"/>
  <c r="J53" i="1" s="1"/>
  <c r="U47" i="1"/>
  <c r="U48" i="1" s="1"/>
  <c r="U54" i="1" s="1"/>
  <c r="V6" i="4"/>
  <c r="V56" i="4" s="1"/>
  <c r="V75" i="4" s="1"/>
  <c r="T47" i="1"/>
  <c r="T48" i="1" s="1"/>
  <c r="T54" i="1" s="1"/>
  <c r="U46" i="1"/>
  <c r="U53" i="1" s="1"/>
  <c r="S6" i="4"/>
  <c r="F46" i="1"/>
  <c r="F53" i="1" s="1"/>
  <c r="P47" i="1"/>
  <c r="P48" i="1" s="1"/>
  <c r="P54" i="1" s="1"/>
  <c r="D6" i="4"/>
  <c r="R6" i="4"/>
  <c r="C6" i="4"/>
  <c r="B22" i="4"/>
  <c r="I6" i="4"/>
  <c r="P7" i="4"/>
  <c r="E6" i="4"/>
  <c r="H6" i="4"/>
  <c r="F6" i="4"/>
  <c r="O6" i="4"/>
  <c r="B6" i="4"/>
  <c r="G6" i="4"/>
  <c r="Q7" i="4"/>
  <c r="J63" i="4"/>
  <c r="J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H57" i="1"/>
  <c r="G57" i="1"/>
  <c r="F57" i="1"/>
  <c r="I57" i="1"/>
  <c r="E57" i="1"/>
  <c r="H7" i="4"/>
  <c r="G46" i="1"/>
  <c r="G53" i="1" s="1"/>
  <c r="H46" i="1"/>
  <c r="H53" i="1" s="1"/>
  <c r="H47" i="1"/>
  <c r="H48" i="1" s="1"/>
  <c r="H54" i="1" s="1"/>
  <c r="G11" i="4"/>
  <c r="F9" i="4"/>
  <c r="I13" i="4"/>
  <c r="E12" i="4"/>
  <c r="I55" i="4"/>
  <c r="I62" i="4"/>
  <c r="L56" i="4"/>
  <c r="L75" i="4" s="1"/>
  <c r="J56" i="4"/>
  <c r="J75" i="4" s="1"/>
  <c r="O55" i="4"/>
  <c r="O62" i="4"/>
  <c r="F55" i="4"/>
  <c r="F62" i="4"/>
  <c r="M55" i="4"/>
  <c r="M62" i="4"/>
  <c r="J55" i="4"/>
  <c r="J62" i="4"/>
  <c r="J57" i="4"/>
  <c r="J58" i="4" s="1"/>
  <c r="J76" i="4" s="1"/>
  <c r="P55" i="4"/>
  <c r="P62" i="4"/>
  <c r="G55" i="4"/>
  <c r="G62" i="4"/>
  <c r="H74" i="4"/>
  <c r="H62" i="4"/>
  <c r="U22" i="33"/>
  <c r="U45" i="33"/>
  <c r="U27" i="33"/>
  <c r="U52" i="33" s="1"/>
  <c r="R45" i="33"/>
  <c r="R27" i="33"/>
  <c r="R52" i="33" s="1"/>
  <c r="R22" i="33"/>
  <c r="C74" i="4"/>
  <c r="C62" i="4"/>
  <c r="D55" i="4"/>
  <c r="D62" i="4"/>
  <c r="S27" i="33"/>
  <c r="S52" i="33" s="1"/>
  <c r="S22" i="33"/>
  <c r="S45" i="33"/>
  <c r="A36" i="22"/>
  <c r="H36" i="22" s="1"/>
  <c r="V4" i="33"/>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J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55"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O74" i="4"/>
  <c r="P74" i="4"/>
  <c r="AD2" i="12"/>
  <c r="T78" i="4"/>
  <c r="D78" i="4"/>
  <c r="I78" i="4"/>
  <c r="H78" i="4"/>
  <c r="C78" i="4"/>
  <c r="E78" i="4"/>
  <c r="O78" i="4"/>
  <c r="M78" i="4"/>
  <c r="S78" i="4"/>
  <c r="K78" i="4"/>
  <c r="P78" i="4"/>
  <c r="U78" i="4"/>
  <c r="F78" i="4"/>
  <c r="V78" i="4"/>
  <c r="B78" i="4"/>
  <c r="Q78" i="4"/>
  <c r="R78" i="4"/>
  <c r="G78" i="4"/>
  <c r="L78" i="4"/>
  <c r="M63" i="4" l="1"/>
  <c r="M64" i="4" s="1"/>
  <c r="T63" i="4"/>
  <c r="T64" i="4" s="1"/>
  <c r="K57" i="4"/>
  <c r="K58" i="4" s="1"/>
  <c r="K76" i="4" s="1"/>
  <c r="G4" i="12" s="1"/>
  <c r="T57" i="4"/>
  <c r="T58" i="4" s="1"/>
  <c r="T76" i="4" s="1"/>
  <c r="C63" i="4"/>
  <c r="C64" i="4" s="1"/>
  <c r="M56" i="4"/>
  <c r="M75" i="4" s="1"/>
  <c r="V63" i="4"/>
  <c r="V64" i="4" s="1"/>
  <c r="S57" i="4"/>
  <c r="S58" i="4" s="1"/>
  <c r="S76" i="4" s="1"/>
  <c r="V57" i="4"/>
  <c r="V58" i="4" s="1"/>
  <c r="V76" i="4" s="1"/>
  <c r="K63" i="4"/>
  <c r="K64" i="4" s="1"/>
  <c r="U63" i="4"/>
  <c r="U64" i="4" s="1"/>
  <c r="K56" i="4"/>
  <c r="K75" i="4" s="1"/>
  <c r="T79" i="4"/>
  <c r="U57" i="4"/>
  <c r="U58" i="4" s="1"/>
  <c r="U76" i="4" s="1"/>
  <c r="M57" i="4"/>
  <c r="M58" i="4" s="1"/>
  <c r="M76" i="4" s="1"/>
  <c r="I4" i="12" s="1"/>
  <c r="S79" i="4"/>
  <c r="L79" i="4"/>
  <c r="M79" i="4"/>
  <c r="U79" i="4"/>
  <c r="V79" i="4"/>
  <c r="K79" i="4"/>
  <c r="L57" i="4"/>
  <c r="L58" i="4" s="1"/>
  <c r="L76" i="4" s="1"/>
  <c r="H4" i="12" s="1"/>
  <c r="S56" i="4"/>
  <c r="S75" i="4" s="1"/>
  <c r="S63" i="4"/>
  <c r="S64" i="4" s="1"/>
  <c r="F63" i="4"/>
  <c r="F64" i="4" s="1"/>
  <c r="H56" i="4"/>
  <c r="H75" i="4" s="1"/>
  <c r="V4" i="4"/>
  <c r="V55" i="4" s="1"/>
  <c r="G55" i="1"/>
  <c r="R63" i="4"/>
  <c r="R64" i="4" s="1"/>
  <c r="I63" i="4"/>
  <c r="I64" i="4" s="1"/>
  <c r="C55" i="23"/>
  <c r="F55" i="23"/>
  <c r="I57" i="4"/>
  <c r="I58" i="4" s="1"/>
  <c r="I76" i="4" s="1"/>
  <c r="P55" i="23"/>
  <c r="V55" i="23"/>
  <c r="Q55" i="23"/>
  <c r="U55" i="23"/>
  <c r="T55" i="1"/>
  <c r="R55" i="23"/>
  <c r="T55" i="23"/>
  <c r="V55" i="1"/>
  <c r="R55" i="1"/>
  <c r="P55" i="1"/>
  <c r="S55" i="1"/>
  <c r="U55" i="1"/>
  <c r="Q55" i="1"/>
  <c r="S55" i="23"/>
  <c r="D63" i="4"/>
  <c r="D64" i="4" s="1"/>
  <c r="B63" i="4"/>
  <c r="B64" i="4" s="1"/>
  <c r="O63" i="4"/>
  <c r="O64" i="4" s="1"/>
  <c r="G56" i="4"/>
  <c r="G75" i="4" s="1"/>
  <c r="H57" i="4"/>
  <c r="H58" i="4" s="1"/>
  <c r="H76" i="4" s="1"/>
  <c r="H63" i="4"/>
  <c r="H64" i="4" s="1"/>
  <c r="P63" i="4"/>
  <c r="P64" i="4" s="1"/>
  <c r="G63" i="4"/>
  <c r="G64" i="4" s="1"/>
  <c r="E63" i="4"/>
  <c r="E64" i="4" s="1"/>
  <c r="Q63" i="4"/>
  <c r="Q64" i="4" s="1"/>
  <c r="V27" i="23"/>
  <c r="V52" i="23" s="1"/>
  <c r="I56" i="4"/>
  <c r="I75" i="4" s="1"/>
  <c r="J4" i="12"/>
  <c r="M4" i="12"/>
  <c r="F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D55" i="23"/>
  <c r="H55" i="23"/>
  <c r="K55" i="23"/>
  <c r="J55" i="23"/>
  <c r="M55" i="23"/>
  <c r="G55" i="23"/>
  <c r="E55" i="23"/>
  <c r="I55" i="23"/>
  <c r="R59" i="23"/>
  <c r="R60" i="23" s="1"/>
  <c r="O79" i="4"/>
  <c r="B79" i="4"/>
  <c r="B64" i="23"/>
  <c r="L59" i="23"/>
  <c r="L60" i="23" s="1"/>
  <c r="F59" i="23"/>
  <c r="F60" i="23" s="1"/>
  <c r="Q59" i="23"/>
  <c r="Q60" i="23" s="1"/>
  <c r="V59" i="23"/>
  <c r="V60" i="23" s="1"/>
  <c r="P59" i="23"/>
  <c r="P60" i="23" s="1"/>
  <c r="T59" i="23"/>
  <c r="T60" i="23" s="1"/>
  <c r="U59" i="23"/>
  <c r="U60" i="23" s="1"/>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E60" i="23" s="1"/>
  <c r="J59" i="23"/>
  <c r="J60" i="23" s="1"/>
  <c r="K59" i="23"/>
  <c r="K60" i="23" s="1"/>
  <c r="D59" i="23"/>
  <c r="D60" i="23" s="1"/>
  <c r="I59" i="23"/>
  <c r="I60" i="23" s="1"/>
  <c r="O59" i="23"/>
  <c r="O60" i="23" s="1"/>
  <c r="G59" i="23"/>
  <c r="G60" i="23" s="1"/>
  <c r="H59" i="23"/>
  <c r="H60" i="23" s="1"/>
  <c r="M59" i="23"/>
  <c r="M60" i="23" s="1"/>
  <c r="C55" i="1"/>
  <c r="H55" i="1"/>
  <c r="F55" i="1"/>
  <c r="I55" i="1"/>
  <c r="L55" i="1"/>
  <c r="J55" i="1"/>
  <c r="D55" i="1"/>
  <c r="K55" i="1"/>
  <c r="E55" i="1"/>
  <c r="H3" i="12"/>
  <c r="O59" i="1"/>
  <c r="O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G3" i="12"/>
  <c r="T27" i="23"/>
  <c r="T52" i="23" s="1"/>
  <c r="T45" i="23"/>
  <c r="T22" i="23"/>
  <c r="F3" i="12"/>
  <c r="J3" i="12"/>
  <c r="I3" i="12"/>
  <c r="T27" i="1"/>
  <c r="T52" i="1" s="1"/>
  <c r="T45" i="1"/>
  <c r="T4" i="4"/>
  <c r="T62" i="4" s="1"/>
  <c r="T22" i="1"/>
  <c r="V62" i="4" l="1"/>
  <c r="V74" i="4"/>
  <c r="Z2" i="12" s="1"/>
  <c r="AH2" i="12"/>
  <c r="AA2" i="12"/>
  <c r="P75" i="4"/>
  <c r="B5" i="27" s="1"/>
  <c r="O81" i="4"/>
  <c r="O82" i="4" s="1"/>
  <c r="AE2" i="12"/>
  <c r="U74" i="4"/>
  <c r="Y2" i="12" s="1"/>
  <c r="U62" i="4"/>
  <c r="B6" i="12"/>
  <c r="B6" i="27"/>
  <c r="R61" i="23"/>
  <c r="U55" i="4"/>
  <c r="F3" i="27"/>
  <c r="V77" i="4"/>
  <c r="U77" i="4"/>
  <c r="O77" i="4"/>
  <c r="S77" i="4"/>
  <c r="Q77" i="4"/>
  <c r="R77" i="4"/>
  <c r="P81" i="4"/>
  <c r="P82" i="4" s="1"/>
  <c r="Q81" i="4"/>
  <c r="Q82" i="4" s="1"/>
  <c r="B86" i="4"/>
  <c r="B87" i="4"/>
  <c r="B75"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P3" i="12"/>
  <c r="Q3" i="12"/>
  <c r="K2" i="12"/>
  <c r="K4" i="12" s="1"/>
  <c r="B4" i="27"/>
  <c r="B4" i="12"/>
  <c r="O61" i="1"/>
  <c r="Q61" i="1"/>
  <c r="P61" i="1"/>
  <c r="C61" i="1"/>
  <c r="R61" i="1"/>
  <c r="AB2" i="12"/>
  <c r="AB4" i="12" s="1"/>
  <c r="AF2" i="12"/>
  <c r="T55" i="4"/>
  <c r="T74" i="4"/>
  <c r="B5" i="12" l="1"/>
  <c r="P77" i="4"/>
  <c r="AD4" i="12"/>
  <c r="AE4" i="12"/>
  <c r="Z4" i="12"/>
  <c r="W4" i="12"/>
  <c r="AG4" i="12"/>
  <c r="AC4" i="12"/>
  <c r="AH4" i="12"/>
  <c r="AF4" i="12"/>
  <c r="Y4" i="12"/>
  <c r="AA4" i="12"/>
  <c r="K77" i="4"/>
  <c r="J77" i="4"/>
  <c r="G77" i="4"/>
  <c r="F77" i="4"/>
  <c r="L77" i="4"/>
  <c r="B77" i="4"/>
  <c r="B2" i="27"/>
  <c r="G6" i="27" s="1"/>
  <c r="M77" i="4"/>
  <c r="I77" i="4"/>
  <c r="B2" i="12"/>
  <c r="E6" i="12" s="1"/>
  <c r="H77" i="4"/>
  <c r="D77" i="4"/>
  <c r="C77" i="4"/>
  <c r="E77" i="4"/>
  <c r="AG8" i="12"/>
  <c r="AG9" i="12" s="1"/>
  <c r="AG10" i="12" s="1"/>
  <c r="U8" i="12"/>
  <c r="AJ8" i="12"/>
  <c r="AJ9" i="12" s="1"/>
  <c r="AJ10" i="12" s="1"/>
  <c r="AB8" i="12"/>
  <c r="Z8" i="12"/>
  <c r="Z9" i="12" s="1"/>
  <c r="Z10" i="12" s="1"/>
  <c r="AC8" i="12"/>
  <c r="V8" i="12"/>
  <c r="V9" i="12" s="1"/>
  <c r="V10" i="12" s="1"/>
  <c r="X8" i="12"/>
  <c r="AH8" i="12"/>
  <c r="AH9" i="12" s="1"/>
  <c r="AH10" i="12" s="1"/>
  <c r="AD8" i="12"/>
  <c r="AI8" i="12"/>
  <c r="AI9" i="12" s="1"/>
  <c r="AI10" i="12" s="1"/>
  <c r="W8" i="12"/>
  <c r="Y8" i="12"/>
  <c r="Y9" i="12" s="1"/>
  <c r="Y10" i="12" s="1"/>
  <c r="AE8" i="12"/>
  <c r="AA8" i="12"/>
  <c r="AA9" i="12" s="1"/>
  <c r="AA10" i="12" s="1"/>
  <c r="AF8" i="12"/>
  <c r="H8" i="27"/>
  <c r="H9" i="27" s="1"/>
  <c r="H10" i="27" s="1"/>
  <c r="J8" i="27"/>
  <c r="J9" i="27" s="1"/>
  <c r="J10" i="27" s="1"/>
  <c r="I8" i="27"/>
  <c r="I9" i="27" s="1"/>
  <c r="I10" i="27" s="1"/>
  <c r="P83" i="4"/>
  <c r="S5" i="12"/>
  <c r="Q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AE9" i="12" l="1"/>
  <c r="AE10" i="12" s="1"/>
  <c r="AD9" i="12"/>
  <c r="AD10" i="12" s="1"/>
  <c r="AC9" i="12"/>
  <c r="AC10" i="12" s="1"/>
  <c r="U9" i="12"/>
  <c r="U10" i="12" s="1"/>
  <c r="AF9" i="12"/>
  <c r="AF10" i="12" s="1"/>
  <c r="W9" i="12"/>
  <c r="W10" i="12" s="1"/>
  <c r="X9" i="12"/>
  <c r="X10" i="12" s="1"/>
  <c r="AB9" i="12"/>
  <c r="AB10" i="12" s="1"/>
  <c r="P5" i="12"/>
  <c r="R5" i="12"/>
  <c r="Q5" i="12"/>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F19" i="22"/>
  <c r="G19" i="22" s="1"/>
  <c r="F23" i="22"/>
  <c r="G23" i="22" s="1"/>
  <c r="N5" i="12"/>
  <c r="M5" i="12"/>
  <c r="I5" i="12"/>
  <c r="F20" i="22"/>
  <c r="I20" i="22" s="1"/>
  <c r="F9" i="22"/>
  <c r="F12" i="22"/>
  <c r="K12" i="22" s="1"/>
  <c r="M12" i="22" s="1"/>
  <c r="F16" i="22"/>
  <c r="G16" i="22" s="1"/>
  <c r="F22" i="22"/>
  <c r="I22" i="22" s="1"/>
  <c r="J5" i="12"/>
  <c r="F15" i="22"/>
  <c r="I15" i="22" s="1"/>
  <c r="L5" i="12"/>
  <c r="F21" i="22"/>
  <c r="G21" i="22" s="1"/>
  <c r="F5" i="12"/>
  <c r="F24" i="22"/>
  <c r="G24" i="22" s="1"/>
  <c r="F10" i="22"/>
  <c r="F11" i="22"/>
  <c r="F13" i="22"/>
  <c r="I13" i="22" s="1"/>
  <c r="F14" i="22"/>
  <c r="I14" i="22" s="1"/>
  <c r="F18" i="22"/>
  <c r="G18" i="22" s="1"/>
  <c r="F8" i="22"/>
  <c r="G8" i="22" s="1"/>
  <c r="F5" i="27"/>
  <c r="F25" i="22"/>
  <c r="K25" i="22" s="1"/>
  <c r="M25" i="22" s="1"/>
  <c r="G5" i="12"/>
  <c r="H5" i="12"/>
  <c r="F17" i="22"/>
  <c r="K17" i="22" s="1"/>
  <c r="M17" i="22" s="1"/>
  <c r="K5" i="12"/>
  <c r="G51" i="22"/>
  <c r="J51" i="22" s="1"/>
  <c r="I51" i="22"/>
  <c r="M51" i="22" s="1"/>
  <c r="K51" i="22"/>
  <c r="N51" i="22" s="1"/>
  <c r="G44" i="22"/>
  <c r="J44" i="22" s="1"/>
  <c r="I44" i="22"/>
  <c r="M44" i="22" s="1"/>
  <c r="K44" i="22"/>
  <c r="N44" i="22" s="1"/>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G45" i="22"/>
  <c r="J45" i="22" s="1"/>
  <c r="I45" i="22"/>
  <c r="M45" i="22" s="1"/>
  <c r="K45" i="22"/>
  <c r="N45" i="22" s="1"/>
  <c r="G36" i="22"/>
  <c r="J36" i="22" s="1"/>
  <c r="G48" i="22"/>
  <c r="J48" i="22" s="1"/>
  <c r="I48" i="22"/>
  <c r="M48" i="22" s="1"/>
  <c r="K48" i="22"/>
  <c r="N48" i="22" s="1"/>
  <c r="G43" i="22"/>
  <c r="J43" i="22" s="1"/>
  <c r="I43" i="22"/>
  <c r="M43" i="22" s="1"/>
  <c r="K43" i="22"/>
  <c r="N43" i="22" s="1"/>
  <c r="L3" i="28"/>
  <c r="K15" i="22" l="1"/>
  <c r="M15" i="22" s="1"/>
  <c r="I24" i="22"/>
  <c r="G15" i="22"/>
  <c r="I36" i="22"/>
  <c r="K36" i="22" s="1"/>
  <c r="N36" i="22" s="1"/>
  <c r="I33" i="22"/>
  <c r="K33" i="22" s="1"/>
  <c r="N33" i="22" s="1"/>
  <c r="G9" i="22"/>
  <c r="I9" i="22" s="1"/>
  <c r="K9" i="22" s="1"/>
  <c r="M9" i="22" s="1"/>
  <c r="I32" i="22"/>
  <c r="K32" i="22" s="1"/>
  <c r="N32" i="22" s="1"/>
  <c r="I34" i="22"/>
  <c r="K34" i="22" s="1"/>
  <c r="N34" i="22" s="1"/>
  <c r="I35" i="22"/>
  <c r="K35" i="22" s="1"/>
  <c r="N35" i="22" s="1"/>
  <c r="G14" i="22"/>
  <c r="M33" i="22"/>
  <c r="M36" i="22"/>
  <c r="K26" i="22"/>
  <c r="M26" i="22" s="1"/>
  <c r="G12" i="22"/>
  <c r="I12" i="22"/>
  <c r="G13" i="22"/>
  <c r="K14" i="22"/>
  <c r="M14" i="22" s="1"/>
  <c r="I25" i="22"/>
  <c r="G25" i="22"/>
  <c r="K24" i="22"/>
  <c r="M24" i="22" s="1"/>
  <c r="G7" i="22"/>
  <c r="I7" i="22" s="1"/>
  <c r="I18" i="22"/>
  <c r="K19" i="22"/>
  <c r="M19" i="22" s="1"/>
  <c r="K16" i="22"/>
  <c r="M16" i="22" s="1"/>
  <c r="I19" i="22"/>
  <c r="K18" i="22"/>
  <c r="M18" i="22" s="1"/>
  <c r="G10" i="22"/>
  <c r="I10" i="22" s="1"/>
  <c r="K10" i="22" s="1"/>
  <c r="G22" i="22"/>
  <c r="K21" i="22"/>
  <c r="M21" i="22" s="1"/>
  <c r="G11" i="22"/>
  <c r="I11" i="22" s="1"/>
  <c r="K11" i="22" s="1"/>
  <c r="M11" i="22" s="1"/>
  <c r="I17" i="22"/>
  <c r="I26" i="22"/>
  <c r="G17" i="22"/>
  <c r="K13" i="22"/>
  <c r="M13" i="22" s="1"/>
  <c r="I16" i="22"/>
  <c r="G20" i="22"/>
  <c r="K23" i="22"/>
  <c r="M23" i="22" s="1"/>
  <c r="I21" i="22"/>
  <c r="K22" i="22"/>
  <c r="M22" i="22" s="1"/>
  <c r="I8" i="22"/>
  <c r="K8" i="22" s="1"/>
  <c r="M8" i="22" s="1"/>
  <c r="I23" i="22"/>
  <c r="K20" i="22"/>
  <c r="M20" i="22" s="1"/>
  <c r="H3" i="28"/>
  <c r="N12" i="22"/>
  <c r="N25" i="22"/>
  <c r="N17" i="22"/>
  <c r="L2" i="28"/>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N15" i="22" l="1"/>
  <c r="M34" i="22"/>
  <c r="G3" i="28"/>
  <c r="K7" i="22"/>
  <c r="M32" i="22"/>
  <c r="M35" i="22"/>
  <c r="N26" i="22"/>
  <c r="M10" i="22"/>
  <c r="N10" i="22"/>
  <c r="G2" i="28"/>
  <c r="N14" i="22"/>
  <c r="N24" i="22"/>
  <c r="N18" i="22"/>
  <c r="N13" i="22"/>
  <c r="N19" i="22"/>
  <c r="N20" i="22"/>
  <c r="N16" i="22"/>
  <c r="N8" i="22"/>
  <c r="N21" i="22"/>
  <c r="N11" i="22"/>
  <c r="N9" i="22"/>
  <c r="N23" i="22"/>
  <c r="N22" i="22"/>
  <c r="N7" i="22" l="1"/>
  <c r="M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<sst xmlns="http://schemas.openxmlformats.org/spreadsheetml/2006/main" count="7553" uniqueCount="4194">
  <si>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</si>
  <si>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</si>
  <si>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</si>
  <si>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</si>
  <si>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</si>
  <si>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</si>
  <si>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</si>
  <si>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</si>
  <si>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</si>
  <si>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</si>
  <si>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</si>
  <si>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</si>
  <si>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</si>
  <si>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</si>
  <si>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</si>
  <si>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</si>
  <si>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</si>
  <si>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</si>
  <si>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</si>
  <si>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</si>
  <si>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</si>
  <si>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</si>
  <si>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</si>
  <si>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</si>
  <si>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</si>
  <si>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</si>
  <si>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</si>
  <si>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</si>
  <si>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</si>
  <si>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</si>
  <si>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</si>
  <si>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</si>
  <si>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</si>
  <si>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</si>
  <si>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</si>
  <si>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</si>
  <si>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</si>
  <si>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</si>
  <si>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</si>
  <si>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</si>
  <si>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</si>
  <si>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</si>
  <si>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</si>
  <si>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</si>
  <si>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</si>
  <si>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</si>
  <si>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</si>
  <si>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</si>
  <si>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</si>
  <si>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</si>
  <si>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</si>
  <si>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</si>
  <si>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</si>
  <si>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</si>
  <si>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</si>
  <si>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</si>
  <si>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</si>
  <si>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</si>
  <si>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</si>
  <si>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</si>
  <si>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</si>
  <si>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</si>
  <si>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</si>
  <si>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</si>
  <si>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</si>
  <si>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</si>
  <si>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</si>
  <si>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</si>
  <si>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</si>
  <si>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</si>
  <si>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</si>
  <si>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</si>
  <si>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</si>
  <si>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</si>
  <si>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</si>
  <si>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</si>
  <si>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</si>
  <si>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</si>
  <si>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</si>
  <si>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</si>
  <si>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</si>
  <si>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</si>
  <si>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</si>
  <si>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</si>
  <si>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</si>
  <si>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</si>
  <si>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</si>
  <si>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</si>
  <si>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</si>
  <si>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</si>
  <si>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</si>
  <si>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</si>
  <si>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</si>
  <si>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</si>
  <si>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</si>
  <si>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</si>
  <si>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</si>
  <si>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</si>
  <si>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</si>
  <si>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</si>
  <si>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</si>
  <si>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</si>
  <si>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</si>
  <si>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</si>
  <si>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</si>
  <si>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</si>
  <si>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</si>
  <si>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</si>
  <si>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</si>
  <si>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</si>
  <si>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</si>
  <si>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</si>
  <si>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</si>
  <si>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</si>
  <si>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</si>
  <si>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</si>
  <si>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</si>
  <si>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</si>
  <si>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</si>
  <si>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</si>
  <si>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</si>
  <si>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</si>
  <si>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</si>
  <si>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</si>
  <si>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</si>
  <si>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</si>
  <si>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</si>
  <si>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</si>
  <si>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</si>
  <si>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</si>
  <si>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</si>
  <si>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</si>
  <si>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</si>
  <si>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</si>
  <si>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</si>
  <si>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</si>
  <si>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</si>
  <si>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</si>
  <si>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</si>
  <si>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</si>
  <si>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</si>
  <si>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</si>
  <si>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</si>
  <si>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</si>
  <si>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</si>
  <si>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</si>
  <si>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</si>
  <si>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</si>
  <si>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</si>
  <si>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</si>
  <si>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</si>
  <si>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</si>
  <si>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</si>
  <si>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</si>
  <si>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</si>
  <si>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</si>
  <si>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</si>
  <si>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</si>
  <si>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</si>
  <si>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</si>
  <si>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</si>
  <si>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</si>
  <si>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</si>
  <si>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</si>
  <si>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</si>
  <si>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Test</t>
  </si>
  <si>
    <t>Arabinose</t>
  </si>
  <si>
    <t xml:space="preserve">\\192.168.24.208\images\R&amp;D\2-Test oestrogénique\OECD and AOPs\REACTIV oecd interlaboratory validation\WF data\Repeats for invalid experiments - EBO\2022-EBO-ARABINOSE R4\plaque 1/@01 TS/A1_01.tif </t>
  </si>
  <si>
    <t xml:space="preserve"> 108.7688 </t>
  </si>
  <si>
    <t xml:space="preserve"> 62.2 </t>
  </si>
  <si>
    <t xml:space="preserve">\\192.168.24.208\images\R&amp;D\2-Test oestrogénique\OECD and AOPs\REACTIV oecd interlaboratory validation\WF data\Repeats for invalid experiments - EBO\2022-EBO-ARABINOSE R4\plaque 1/@01 TS/A1_02.tif </t>
  </si>
  <si>
    <t xml:space="preserve"> 282.7988 </t>
  </si>
  <si>
    <t xml:space="preserve"> 63.1538 </t>
  </si>
  <si>
    <t xml:space="preserve">\\192.168.24.208\images\R&amp;D\2-Test oestrogénique\OECD and AOPs\REACTIV oecd interlaboratory validation\WF data\Repeats for invalid experiments - EBO\2022-EBO-ARABINOSE R4\plaque 1/@01 TS/A1_03.tif </t>
  </si>
  <si>
    <t xml:space="preserve"> 261.0451 </t>
  </si>
  <si>
    <t xml:space="preserve"> 62.6667 </t>
  </si>
  <si>
    <t xml:space="preserve">\\192.168.24.208\images\R&amp;D\2-Test oestrogénique\OECD and AOPs\REACTIV oecd interlaboratory validation\WF data\Repeats for invalid experiments - EBO\2022-EBO-ARABINOSE R4\plaque 1/@01 TS/B1_01.tif </t>
  </si>
  <si>
    <t xml:space="preserve"> 957.1652 </t>
  </si>
  <si>
    <t xml:space="preserve"> 65.25 </t>
  </si>
  <si>
    <t xml:space="preserve">\\192.168.24.208\images\R&amp;D\2-Test oestrogénique\OECD and AOPs\REACTIV oecd interlaboratory validation\WF data\Repeats for invalid experiments - EBO\2022-EBO-ARABINOSE R4\plaque 1/@01 TS/B1_02.tif </t>
  </si>
  <si>
    <t xml:space="preserve"> 674.3664 </t>
  </si>
  <si>
    <t xml:space="preserve"> 66.871 </t>
  </si>
  <si>
    <t xml:space="preserve">\\192.168.24.208\images\R&amp;D\2-Test oestrogénique\OECD and AOPs\REACTIV oecd interlaboratory validation\WF data\Repeats for invalid experiments - EBO\2022-EBO-ARABINOSE R4\plaque 1/@01 TS/B1_03.tif </t>
  </si>
  <si>
    <t xml:space="preserve"> 130.5225 </t>
  </si>
  <si>
    <t xml:space="preserve"> 62.3333 </t>
  </si>
  <si>
    <t xml:space="preserve">\\192.168.24.208\images\R&amp;D\2-Test oestrogénique\OECD and AOPs\REACTIV oecd interlaboratory validation\WF data\Repeats for invalid experiments - EBO\2022-EBO-ARABINOSE R4\plaque 1/@01 TS/C1_01.tif </t>
  </si>
  <si>
    <t xml:space="preserve"> 174.03 </t>
  </si>
  <si>
    <t xml:space="preserve"> 66.125 </t>
  </si>
  <si>
    <t xml:space="preserve">\\192.168.24.208\images\R&amp;D\2-Test oestrogénique\OECD and AOPs\REACTIV oecd interlaboratory validation\WF data\Repeats for invalid experiments - EBO\2022-EBO-ARABINOSE R4\plaque 1/@01 TS/C1_02.tif </t>
  </si>
  <si>
    <t xml:space="preserve"> 435.0751 </t>
  </si>
  <si>
    <t xml:space="preserve"> 62.4 </t>
  </si>
  <si>
    <t xml:space="preserve">\\192.168.24.208\images\R&amp;D\2-Test oestrogénique\OECD and AOPs\REACTIV oecd interlaboratory validation\WF data\Repeats for invalid experiments - EBO\2022-EBO-ARABINOSE R4\plaque 1/@01 TS/C1_03.tif </t>
  </si>
  <si>
    <t xml:space="preserve"> 326.3063 </t>
  </si>
  <si>
    <t xml:space="preserve">\\192.168.24.208\images\R&amp;D\2-Test oestrogénique\OECD and AOPs\REACTIV oecd interlaboratory validation\WF data\Repeats for invalid experiments - EBO\2022-EBO-ARABINOSE R4\plaque 1/@01 TS/D1_01.tif </t>
  </si>
  <si>
    <t xml:space="preserve"> 1196.4565 </t>
  </si>
  <si>
    <t xml:space="preserve"> 63.5273 </t>
  </si>
  <si>
    <t xml:space="preserve">\\192.168.24.208\images\R&amp;D\2-Test oestrogénique\OECD and AOPs\REACTIV oecd interlaboratory validation\WF data\Repeats for invalid experiments - EBO\2022-EBO-ARABINOSE R4\plaque 1/@01 TS/D1_02.tif </t>
  </si>
  <si>
    <t xml:space="preserve"> 1000.6727 </t>
  </si>
  <si>
    <t xml:space="preserve"> 63.8696 </t>
  </si>
  <si>
    <t xml:space="preserve">\\192.168.24.208\images\R&amp;D\2-Test oestrogénique\OECD and AOPs\REACTIV oecd interlaboratory validation\WF data\Repeats for invalid experiments - EBO\2022-EBO-ARABINOSE R4\plaque 1/@01 TS/D1_03.tif </t>
  </si>
  <si>
    <t xml:space="preserve"> 63.75 </t>
  </si>
  <si>
    <t xml:space="preserve">\\192.168.24.208\images\R&amp;D\2-Test oestrogénique\OECD and AOPs\REACTIV oecd interlaboratory validation\WF data\Repeats for invalid experiments - EBO\2022-EBO-ARABINOSE R4\plaque 1/@01 TS/E1_01.tif </t>
  </si>
  <si>
    <t xml:space="preserve"> 64.4615 </t>
  </si>
  <si>
    <t xml:space="preserve">\\192.168.24.208\images\R&amp;D\2-Test oestrogénique\OECD and AOPs\REACTIV oecd interlaboratory validation\WF data\Repeats for invalid experiments - EBO\2022-EBO-ARABINOSE R4\plaque 1/@01 TS/E1_02.tif </t>
  </si>
  <si>
    <t xml:space="preserve"> 195.7838 </t>
  </si>
  <si>
    <t xml:space="preserve"> 63.3333 </t>
  </si>
  <si>
    <t>\\192.168.24.208\images\R&amp;D\2-Test oestrogénique\OECD and AOPs\REACTIV oecd interlaboratory validation\WF data\Repeats for invalid experiments - EBO\2022-EBO-ARABINOSE R4\plaque 1/@01 TS/E1_03- exclu.tif</t>
  </si>
  <si>
    <t xml:space="preserve">\\192.168.24.208\images\R&amp;D\2-Test oestrogénique\OECD and AOPs\REACTIV oecd interlaboratory validation\WF data\Repeats for invalid experiments - EBO\2022-EBO-ARABINOSE R4\plaque 1/@01 TS/F1_01.tif </t>
  </si>
  <si>
    <t xml:space="preserve"> 3154.2945 </t>
  </si>
  <si>
    <t xml:space="preserve"> 68.0414 </t>
  </si>
  <si>
    <t xml:space="preserve">\\192.168.24.208\images\R&amp;D\2-Test oestrogénique\OECD and AOPs\REACTIV oecd interlaboratory validation\WF data\Repeats for invalid experiments - EBO\2022-EBO-ARABINOSE R4\plaque 1/@01 TS/F1_02.tif </t>
  </si>
  <si>
    <t xml:space="preserve"> 804.8889 </t>
  </si>
  <si>
    <t xml:space="preserve"> 64.7838 </t>
  </si>
  <si>
    <t xml:space="preserve">\\192.168.24.208\images\R&amp;D\2-Test oestrogénique\OECD and AOPs\REACTIV oecd interlaboratory validation\WF data\Repeats for invalid experiments - EBO\2022-EBO-ARABINOSE R4\plaque 1/@01 TS/F1_03.tif </t>
  </si>
  <si>
    <t xml:space="preserve"> 413.3213 </t>
  </si>
  <si>
    <t xml:space="preserve"> 64.4737 </t>
  </si>
  <si>
    <t xml:space="preserve">\\192.168.24.208\images\R&amp;D\2-Test oestrogénique\OECD and AOPs\REACTIV oecd interlaboratory validation\WF data\Repeats for invalid experiments - EBO\2022-EBO-ARABINOSE R4\plaque 1/@01 TS/G1_01.tif </t>
  </si>
  <si>
    <t xml:space="preserve"> 64.2632 </t>
  </si>
  <si>
    <t xml:space="preserve">\\192.168.24.208\images\R&amp;D\2-Test oestrogénique\OECD and AOPs\REACTIV oecd interlaboratory validation\WF data\Repeats for invalid experiments - EBO\2022-EBO-ARABINOSE R4\plaque 1/@01 TS/G1_02.tif </t>
  </si>
  <si>
    <t xml:space="preserve"> 63.15 </t>
  </si>
  <si>
    <t xml:space="preserve">\\192.168.24.208\images\R&amp;D\2-Test oestrogénique\OECD and AOPs\REACTIV oecd interlaboratory validation\WF data\Repeats for invalid experiments - EBO\2022-EBO-ARABINOSE R4\plaque 1/@01 TS/G1_03.tif </t>
  </si>
  <si>
    <t xml:space="preserve">\\192.168.24.208\images\R&amp;D\2-Test oestrogénique\OECD and AOPs\REACTIV oecd interlaboratory validation\WF data\Repeats for invalid experiments - EBO\2022-EBO-ARABINOSE R4\plaque 1/@01 TS/H1_01.tif </t>
  </si>
  <si>
    <t xml:space="preserve"> 239.2913 </t>
  </si>
  <si>
    <t xml:space="preserve"> 62.7273 </t>
  </si>
  <si>
    <t xml:space="preserve">\\192.168.24.208\images\R&amp;D\2-Test oestrogénique\OECD and AOPs\REACTIV oecd interlaboratory validation\WF data\Repeats for invalid experiments - EBO\2022-EBO-ARABINOSE R4\plaque 1/@01 TS/H1_02.tif </t>
  </si>
  <si>
    <t xml:space="preserve"> 1892.5767 </t>
  </si>
  <si>
    <t xml:space="preserve"> 64.7356 </t>
  </si>
  <si>
    <t xml:space="preserve">\\192.168.24.208\images\R&amp;D\2-Test oestrogénique\OECD and AOPs\REACTIV oecd interlaboratory validation\WF data\Repeats for invalid experiments - EBO\2022-EBO-ARABINOSE R4\plaque 1/@01 TS/H1_03.tif </t>
  </si>
  <si>
    <t xml:space="preserve"> 63.2105 </t>
  </si>
  <si>
    <t xml:space="preserve">group </t>
  </si>
  <si>
    <t xml:space="preserve"> mean of mean fluo </t>
  </si>
  <si>
    <t xml:space="preserve"> SD mean fluo </t>
  </si>
  <si>
    <t xml:space="preserve"> mean of total fluo </t>
  </si>
  <si>
    <t xml:space="preserve"> SD total fluo </t>
  </si>
  <si>
    <t xml:space="preserve"> n fluorescent </t>
  </si>
  <si>
    <t xml:space="preserve"> n total</t>
  </si>
  <si>
    <t xml:space="preserve">\\192.168.24.208\images\R&amp;D\2-Test oestrogénique\OECD and AOPs\REACTIV oecd interlaboratory validation\WF data\Repeats for invalid experiments - EBO\2022-EBO-ARABINOSE R4\plaque 1/@01 TS/ </t>
  </si>
  <si>
    <t xml:space="preserve"> 63.9521 </t>
  </si>
  <si>
    <t xml:space="preserve"> 1.4721 </t>
  </si>
  <si>
    <t xml:space="preserve"> 41197.1667 </t>
  </si>
  <si>
    <t xml:space="preserve"> 45990.0627 </t>
  </si>
  <si>
    <t xml:space="preserve">file name </t>
  </si>
  <si>
    <t xml:space="preserve">\\192.168.24.208\images\R&amp;D\2-Test oestrogénique\OECD and AOPs\REACTIV oecd interlaboratory validation\WF data\Repeats for invalid experiments - EBO\2022-EBO-ARABINOSE R4\plaque 1/@02 EE2 34/A2_01.tif </t>
  </si>
  <si>
    <t xml:space="preserve"> 63.2308 </t>
  </si>
  <si>
    <t xml:space="preserve">\\192.168.24.208\images\R&amp;D\2-Test oestrogénique\OECD and AOPs\REACTIV oecd interlaboratory validation\WF data\Repeats for invalid experiments - EBO\2022-EBO-ARABINOSE R4\plaque 1/@02 EE2 34/A2_02.tif </t>
  </si>
  <si>
    <t xml:space="preserve"> 62.1818 </t>
  </si>
  <si>
    <t xml:space="preserve">\\192.168.24.208\images\R&amp;D\2-Test oestrogénique\OECD and AOPs\REACTIV oecd interlaboratory validation\WF data\Repeats for invalid experiments - EBO\2022-EBO-ARABINOSE R4\plaque 1/@02 EE2 34/A2_03.tif </t>
  </si>
  <si>
    <t xml:space="preserve"> 348.0601 </t>
  </si>
  <si>
    <t xml:space="preserve"> 64.8125 </t>
  </si>
  <si>
    <t xml:space="preserve">\\192.168.24.208\images\R&amp;D\2-Test oestrogénique\OECD and AOPs\REACTIV oecd interlaboratory validation\WF data\Repeats for invalid experiments - EBO\2022-EBO-ARABINOSE R4\plaque 1/@02 EE2 34/B2_01.tif </t>
  </si>
  <si>
    <t xml:space="preserve"> 9354.1147 </t>
  </si>
  <si>
    <t xml:space="preserve"> 68.614 </t>
  </si>
  <si>
    <t>\\192.168.24.208\images\R&amp;D\2-Test oestrogénique\OECD and AOPs\REACTIV oecd interlaboratory validation\WF data\Repeats for invalid experiments - EBO\2022-EBO-ARABINOSE R4\plaque 1/@02 EE2 34/B2_02- exclu.tif</t>
  </si>
  <si>
    <t>\\192.168.24.208\images\R&amp;D\2-Test oestrogénique\OECD and AOPs\REACTIV oecd interlaboratory validation\WF data\Repeats for invalid experiments - EBO\2022-EBO-ARABINOSE R4\plaque 1/@02 EE2 34/B2_03- exclu.tif</t>
  </si>
  <si>
    <t xml:space="preserve">\\192.168.24.208\images\R&amp;D\2-Test oestrogénique\OECD and AOPs\REACTIV oecd interlaboratory validation\WF data\Repeats for invalid experiments - EBO\2022-EBO-ARABINOSE R4\plaque 1/@02 EE2 34/C2_01.tif </t>
  </si>
  <si>
    <t xml:space="preserve"> 500.3364 </t>
  </si>
  <si>
    <t xml:space="preserve"> 63.2609 </t>
  </si>
  <si>
    <t xml:space="preserve">\\192.168.24.208\images\R&amp;D\2-Test oestrogénique\OECD and AOPs\REACTIV oecd interlaboratory validation\WF data\Repeats for invalid experiments - EBO\2022-EBO-ARABINOSE R4\plaque 1/@02 EE2 34/C2_02.tif </t>
  </si>
  <si>
    <t xml:space="preserve"> 62.375 </t>
  </si>
  <si>
    <t xml:space="preserve">\\192.168.24.208\images\R&amp;D\2-Test oestrogénique\OECD and AOPs\REACTIV oecd interlaboratory validation\WF data\Repeats for invalid experiments - EBO\2022-EBO-ARABINOSE R4\plaque 1/@02 EE2 34/C2_03.tif </t>
  </si>
  <si>
    <t xml:space="preserve"> 87.015 </t>
  </si>
  <si>
    <t xml:space="preserve"> 64.5 </t>
  </si>
  <si>
    <t>\\192.168.24.208\images\R&amp;D\2-Test oestrogénique\OECD and AOPs\REACTIV oecd interlaboratory validation\WF data\Repeats for invalid experiments - EBO\2022-EBO-ARABINOSE R4\plaque 1/@02 EE2 34/D2_01- exclu.tif</t>
  </si>
  <si>
    <t>\\192.168.24.208\images\R&amp;D\2-Test oestrogénique\OECD and AOPs\REACTIV oecd interlaboratory validation\WF data\Repeats for invalid experiments - EBO\2022-EBO-ARABINOSE R4\plaque 1/@02 EE2 34/D2_02- exclu.tif</t>
  </si>
  <si>
    <t>\\192.168.24.208\images\R&amp;D\2-Test oestrogénique\OECD and AOPs\REACTIV oecd interlaboratory validation\WF data\Repeats for invalid experiments - EBO\2022-EBO-ARABINOSE R4\plaque 1/@02 EE2 34/D2_03- exclu.tif</t>
  </si>
  <si>
    <t xml:space="preserve">\\192.168.24.208\images\R&amp;D\2-Test oestrogénique\OECD and AOPs\REACTIV oecd interlaboratory validation\WF data\Repeats for invalid experiments - EBO\2022-EBO-ARABINOSE R4\plaque 1/@02 EE2 34/E2_01.tif </t>
  </si>
  <si>
    <t xml:space="preserve"> 1044.1802 </t>
  </si>
  <si>
    <t xml:space="preserve"> 65.7917 </t>
  </si>
  <si>
    <t xml:space="preserve">\\192.168.24.208\images\R&amp;D\2-Test oestrogénique\OECD and AOPs\REACTIV oecd interlaboratory validation\WF data\Repeats for invalid experiments - EBO\2022-EBO-ARABINOSE R4\plaque 1/@02 EE2 34/E2_02.tif </t>
  </si>
  <si>
    <t xml:space="preserve"> 565.5976 </t>
  </si>
  <si>
    <t xml:space="preserve"> 65.1154 </t>
  </si>
  <si>
    <t xml:space="preserve">\\192.168.24.208\images\R&amp;D\2-Test oestrogénique\OECD and AOPs\REACTIV oecd interlaboratory validation\WF data\Repeats for invalid experiments - EBO\2022-EBO-ARABINOSE R4\plaque 1/@02 EE2 34/E2_03.tif </t>
  </si>
  <si>
    <t xml:space="preserve"> 62.75 </t>
  </si>
  <si>
    <t>\\192.168.24.208\images\R&amp;D\2-Test oestrogénique\OECD and AOPs\REACTIV oecd interlaboratory validation\WF data\Repeats for invalid experiments - EBO\2022-EBO-ARABINOSE R4\plaque 1/@02 EE2 34/F2_01- exclu.tif</t>
  </si>
  <si>
    <t xml:space="preserve">\\192.168.24.208\images\R&amp;D\2-Test oestrogénique\OECD and AOPs\REACTIV oecd interlaboratory validation\WF data\Repeats for invalid experiments - EBO\2022-EBO-ARABINOSE R4\plaque 1/@02 EE2 34/F2_02.tif </t>
  </si>
  <si>
    <t xml:space="preserve"> 217.5376 </t>
  </si>
  <si>
    <t xml:space="preserve"> 62.5 </t>
  </si>
  <si>
    <t>\\192.168.24.208\images\R&amp;D\2-Test oestrogénique\OECD and AOPs\REACTIV oecd interlaboratory validation\WF data\Repeats for invalid experiments - EBO\2022-EBO-ARABINOSE R4\plaque 1/@02 EE2 34/F2_03- exclu.tif</t>
  </si>
  <si>
    <t xml:space="preserve">\\192.168.24.208\images\R&amp;D\2-Test oestrogénique\OECD and AOPs\REACTIV oecd interlaboratory validation\WF data\Repeats for invalid experiments - EBO\2022-EBO-ARABINOSE R4\plaque 1/@02 EE2 34/G2_01.tif </t>
  </si>
  <si>
    <t xml:space="preserve"> 304.5526 </t>
  </si>
  <si>
    <t xml:space="preserve"> 64.1429 </t>
  </si>
  <si>
    <t xml:space="preserve">\\192.168.24.208\images\R&amp;D\2-Test oestrogénique\OECD and AOPs\REACTIV oecd interlaboratory validation\WF data\Repeats for invalid experiments - EBO\2022-EBO-ARABINOSE R4\plaque 1/@02 EE2 34/G2_02.tif </t>
  </si>
  <si>
    <t xml:space="preserve"> 652.6127 </t>
  </si>
  <si>
    <t xml:space="preserve"> 66.0667 </t>
  </si>
  <si>
    <t xml:space="preserve">\\192.168.24.208\images\R&amp;D\2-Test oestrogénique\OECD and AOPs\REACTIV oecd interlaboratory validation\WF data\Repeats for invalid experiments - EBO\2022-EBO-ARABINOSE R4\plaque 1/@02 EE2 34/G2_03.tif </t>
  </si>
  <si>
    <t xml:space="preserve"> 63.6667 </t>
  </si>
  <si>
    <t xml:space="preserve">\\192.168.24.208\images\R&amp;D\2-Test oestrogénique\OECD and AOPs\REACTIV oecd interlaboratory validation\WF data\Repeats for invalid experiments - EBO\2022-EBO-ARABINOSE R4\plaque 1/@02 EE2 34/H2_01.tif </t>
  </si>
  <si>
    <t xml:space="preserve"> 63.375 </t>
  </si>
  <si>
    <t xml:space="preserve">\\192.168.24.208\images\R&amp;D\2-Test oestrogénique\OECD and AOPs\REACTIV oecd interlaboratory validation\WF data\Repeats for invalid experiments - EBO\2022-EBO-ARABINOSE R4\plaque 1/@02 EE2 34/H2_02.tif </t>
  </si>
  <si>
    <t xml:space="preserve">\\192.168.24.208\images\R&amp;D\2-Test oestrogénique\OECD and AOPs\REACTIV oecd interlaboratory validation\WF data\Repeats for invalid experiments - EBO\2022-EBO-ARABINOSE R4\plaque 1/@02 EE2 34/H2_03.tif </t>
  </si>
  <si>
    <t xml:space="preserve"> 61.125 </t>
  </si>
  <si>
    <t xml:space="preserve">\\192.168.24.208\images\R&amp;D\2-Test oestrogénique\OECD and AOPs\REACTIV oecd interlaboratory validation\WF data\Repeats for invalid experiments - EBO\2022-EBO-ARABINOSE R4\plaque 1/@02 EE2 34/ </t>
  </si>
  <si>
    <t xml:space="preserve"> 65.7718 </t>
  </si>
  <si>
    <t xml:space="preserve"> 6.2163 </t>
  </si>
  <si>
    <t xml:space="preserve"> 146475.333 </t>
  </si>
  <si>
    <t xml:space="preserve"> 293945.268 </t>
  </si>
  <si>
    <t xml:space="preserve">\\192.168.24.208\images\R&amp;D\2-Test oestrogénique\OECD and AOPs\REACTIV oecd interlaboratory validation\WF data\Repeats for invalid experiments - EBO\2022-EBO-ARABINOSE R4\plaque 1/@03 EE2 51/A3_01.tif </t>
  </si>
  <si>
    <t xml:space="preserve"> 63.2632 </t>
  </si>
  <si>
    <t xml:space="preserve">\\192.168.24.208\images\R&amp;D\2-Test oestrogénique\OECD and AOPs\REACTIV oecd interlaboratory validation\WF data\Repeats for invalid experiments - EBO\2022-EBO-ARABINOSE R4\plaque 1/@03 EE2 51/A3_02.tif </t>
  </si>
  <si>
    <t xml:space="preserve"> 62.3636 </t>
  </si>
  <si>
    <t>\\192.168.24.208\images\R&amp;D\2-Test oestrogénique\OECD and AOPs\REACTIV oecd interlaboratory validation\WF data\Repeats for invalid experiments - EBO\2022-EBO-ARABINOSE R4\plaque 1/@03 EE2 51/A3_03- exclu.tif</t>
  </si>
  <si>
    <t xml:space="preserve">\\192.168.24.208\images\R&amp;D\2-Test oestrogénique\OECD and AOPs\REACTIV oecd interlaboratory validation\WF data\Repeats for invalid experiments - EBO\2022-EBO-ARABINOSE R4\plaque 1/@03 EE2 51/B3_01.tif </t>
  </si>
  <si>
    <t xml:space="preserve"> 739.6277 </t>
  </si>
  <si>
    <t xml:space="preserve"> 65.2647 </t>
  </si>
  <si>
    <t>\\192.168.24.208\images\R&amp;D\2-Test oestrogénique\OECD and AOPs\REACTIV oecd interlaboratory validation\WF data\Repeats for invalid experiments - EBO\2022-EBO-ARABINOSE R4\plaque 1/@03 EE2 51/B3_02- exclu.tif</t>
  </si>
  <si>
    <t xml:space="preserve">\\192.168.24.208\images\R&amp;D\2-Test oestrogénique\OECD and AOPs\REACTIV oecd interlaboratory validation\WF data\Repeats for invalid experiments - EBO\2022-EBO-ARABINOSE R4\plaque 1/@03 EE2 51/B3_03.tif </t>
  </si>
  <si>
    <t xml:space="preserve"> 761.3814 </t>
  </si>
  <si>
    <t xml:space="preserve"> 64.3714 </t>
  </si>
  <si>
    <t xml:space="preserve">\\192.168.24.208\images\R&amp;D\2-Test oestrogénique\OECD and AOPs\REACTIV oecd interlaboratory validation\WF data\Repeats for invalid experiments - EBO\2022-EBO-ARABINOSE R4\plaque 1/@03 EE2 51/C3_01.tif </t>
  </si>
  <si>
    <t xml:space="preserve"> 2066.6067 </t>
  </si>
  <si>
    <t xml:space="preserve"> 64.6737 </t>
  </si>
  <si>
    <t xml:space="preserve">\\192.168.24.208\images\R&amp;D\2-Test oestrogénique\OECD and AOPs\REACTIV oecd interlaboratory validation\WF data\Repeats for invalid experiments - EBO\2022-EBO-ARABINOSE R4\plaque 1/@03 EE2 51/C3_02.tif </t>
  </si>
  <si>
    <t xml:space="preserve"> 1588.0241 </t>
  </si>
  <si>
    <t xml:space="preserve"> 65.137 </t>
  </si>
  <si>
    <t xml:space="preserve">\\192.168.24.208\images\R&amp;D\2-Test oestrogénique\OECD and AOPs\REACTIV oecd interlaboratory validation\WF data\Repeats for invalid experiments - EBO\2022-EBO-ARABINOSE R4\plaque 1/@03 EE2 51/C3_03.tif </t>
  </si>
  <si>
    <t xml:space="preserve"> 1566.2704 </t>
  </si>
  <si>
    <t xml:space="preserve"> 63.7917 </t>
  </si>
  <si>
    <t xml:space="preserve">\\192.168.24.208\images\R&amp;D\2-Test oestrogénique\OECD and AOPs\REACTIV oecd interlaboratory validation\WF data\Repeats for invalid experiments - EBO\2022-EBO-ARABINOSE R4\plaque 1/@03 EE2 51/D3_01.tif </t>
  </si>
  <si>
    <t xml:space="preserve"> 6156.3127 </t>
  </si>
  <si>
    <t xml:space="preserve"> 66.8975 </t>
  </si>
  <si>
    <t xml:space="preserve">\\192.168.24.208\images\R&amp;D\2-Test oestrogénique\OECD and AOPs\REACTIV oecd interlaboratory validation\WF data\Repeats for invalid experiments - EBO\2022-EBO-ARABINOSE R4\plaque 1/@03 EE2 51/D3_02.tif </t>
  </si>
  <si>
    <t xml:space="preserve"> 2610.4506 </t>
  </si>
  <si>
    <t xml:space="preserve"> 63.3583 </t>
  </si>
  <si>
    <t xml:space="preserve">\\192.168.24.208\images\R&amp;D\2-Test oestrogénique\OECD and AOPs\REACTIV oecd interlaboratory validation\WF data\Repeats for invalid experiments - EBO\2022-EBO-ARABINOSE R4\plaque 1/@03 EE2 51/D3_03.tif </t>
  </si>
  <si>
    <t xml:space="preserve"> 3611.1233 </t>
  </si>
  <si>
    <t xml:space="preserve"> 64.6807 </t>
  </si>
  <si>
    <t xml:space="preserve">\\192.168.24.208\images\R&amp;D\2-Test oestrogénique\OECD and AOPs\REACTIV oecd interlaboratory validation\WF data\Repeats for invalid experiments - EBO\2022-EBO-ARABINOSE R4\plaque 1/@03 EE2 51/E3_01.tif </t>
  </si>
  <si>
    <t xml:space="preserve"> 2784.4806 </t>
  </si>
  <si>
    <t xml:space="preserve"> 65.0312 </t>
  </si>
  <si>
    <t>\\192.168.24.208\images\R&amp;D\2-Test oestrogénique\OECD and AOPs\REACTIV oecd interlaboratory validation\WF data\Repeats for invalid experiments - EBO\2022-EBO-ARABINOSE R4\plaque 1/@03 EE2 51/E3_02- exclu.tif</t>
  </si>
  <si>
    <t>\\192.168.24.208\images\R&amp;D\2-Test oestrogénique\OECD and AOPs\REACTIV oecd interlaboratory validation\WF data\Repeats for invalid experiments - EBO\2022-EBO-ARABINOSE R4\plaque 1/@03 EE2 51/E3_03- exclu.tif</t>
  </si>
  <si>
    <t xml:space="preserve">\\192.168.24.208\images\R&amp;D\2-Test oestrogénique\OECD and AOPs\REACTIV oecd interlaboratory validation\WF data\Repeats for invalid experiments - EBO\2022-EBO-ARABINOSE R4\plaque 1/@03 EE2 51/F3_01.tif </t>
  </si>
  <si>
    <t xml:space="preserve"> 1152.949 </t>
  </si>
  <si>
    <t xml:space="preserve"> 63.6038 </t>
  </si>
  <si>
    <t xml:space="preserve">\\192.168.24.208\images\R&amp;D\2-Test oestrogénique\OECD and AOPs\REACTIV oecd interlaboratory validation\WF data\Repeats for invalid experiments - EBO\2022-EBO-ARABINOSE R4\plaque 1/@03 EE2 51/F3_02.tif </t>
  </si>
  <si>
    <t xml:space="preserve"> 456.8289 </t>
  </si>
  <si>
    <t xml:space="preserve"> 62.2857 </t>
  </si>
  <si>
    <t xml:space="preserve">\\192.168.24.208\images\R&amp;D\2-Test oestrogénique\OECD and AOPs\REACTIV oecd interlaboratory validation\WF data\Repeats for invalid experiments - EBO\2022-EBO-ARABINOSE R4\plaque 1/@03 EE2 51/F3_03.tif </t>
  </si>
  <si>
    <t xml:space="preserve"> 1109.4415 </t>
  </si>
  <si>
    <t xml:space="preserve"> 65.1765 </t>
  </si>
  <si>
    <t xml:space="preserve">\\192.168.24.208\images\R&amp;D\2-Test oestrogénique\OECD and AOPs\REACTIV oecd interlaboratory validation\WF data\Repeats for invalid experiments - EBO\2022-EBO-ARABINOSE R4\plaque 1/@03 EE2 51/G3_01.tif </t>
  </si>
  <si>
    <t xml:space="preserve"> 64.3333 </t>
  </si>
  <si>
    <t>\\192.168.24.208\images\R&amp;D\2-Test oestrogénique\OECD and AOPs\REACTIV oecd interlaboratory validation\WF data\Repeats for invalid experiments - EBO\2022-EBO-ARABINOSE R4\plaque 1/@03 EE2 51/G3_02- exclu.tif</t>
  </si>
  <si>
    <t xml:space="preserve">\\192.168.24.208\images\R&amp;D\2-Test oestrogénique\OECD and AOPs\REACTIV oecd interlaboratory validation\WF data\Repeats for invalid experiments - EBO\2022-EBO-ARABINOSE R4\plaque 1/@03 EE2 51/G3_03.tif </t>
  </si>
  <si>
    <t xml:space="preserve"> 62.3 </t>
  </si>
  <si>
    <t>\\192.168.24.208\images\R&amp;D\2-Test oestrogénique\OECD and AOPs\REACTIV oecd interlaboratory validation\WF data\Repeats for invalid experiments - EBO\2022-EBO-ARABINOSE R4\plaque 1/@03 EE2 51/H3_01- exclu.tif</t>
  </si>
  <si>
    <t>\\192.168.24.208\images\R&amp;D\2-Test oestrogénique\OECD and AOPs\REACTIV oecd interlaboratory validation\WF data\Repeats for invalid experiments - EBO\2022-EBO-ARABINOSE R4\plaque 1/@03 EE2 51/H3_02- exclu.tif</t>
  </si>
  <si>
    <t>\\192.168.24.208\images\R&amp;D\2-Test oestrogénique\OECD and AOPs\REACTIV oecd interlaboratory validation\WF data\Repeats for invalid experiments - EBO\2022-EBO-ARABINOSE R4\plaque 1/@03 EE2 51/H3_03- exclu.tif</t>
  </si>
  <si>
    <t xml:space="preserve">\\192.168.24.208\images\R&amp;D\2-Test oestrogénique\OECD and AOPs\REACTIV oecd interlaboratory validation\WF data\Repeats for invalid experiments - EBO\2022-EBO-ARABINOSE R4\plaque 1/@03 EE2 51/ </t>
  </si>
  <si>
    <t xml:space="preserve"> 65.3027 </t>
  </si>
  <si>
    <t xml:space="preserve"> 3.2724 </t>
  </si>
  <si>
    <t xml:space="preserve"> 164191.042 </t>
  </si>
  <si>
    <t xml:space="preserve"> 198494.908 </t>
  </si>
  <si>
    <t>\\192.168.24.208\images\R&amp;D\2-Test oestrogénique\OECD and AOPs\REACTIV oecd interlaboratory validation\WF data\Repeats for invalid experiments - EBO\2022-EBO-ARABINOSE R4\plaque 1/@04 EE2 76/A4_01- exclu.tif</t>
  </si>
  <si>
    <t>\\192.168.24.208\images\R&amp;D\2-Test oestrogénique\OECD and AOPs\REACTIV oecd interlaboratory validation\WF data\Repeats for invalid experiments - EBO\2022-EBO-ARABINOSE R4\plaque 1/@04 EE2 76/A4_02- exclu.tif</t>
  </si>
  <si>
    <t>\\192.168.24.208\images\R&amp;D\2-Test oestrogénique\OECD and AOPs\REACTIV oecd interlaboratory validation\WF data\Repeats for invalid experiments - EBO\2022-EBO-ARABINOSE R4\plaque 1/@04 EE2 76/A4_03- exclu.tif</t>
  </si>
  <si>
    <t>\\192.168.24.208\images\R&amp;D\2-Test oestrogénique\OECD and AOPs\REACTIV oecd interlaboratory validation\WF data\Repeats for invalid experiments - EBO\2022-EBO-ARABINOSE R4\plaque 1/@04 EE2 76/B4_01- exclu.tif</t>
  </si>
  <si>
    <t xml:space="preserve">\\192.168.24.208\images\R&amp;D\2-Test oestrogénique\OECD and AOPs\REACTIV oecd interlaboratory validation\WF data\Repeats for invalid experiments - EBO\2022-EBO-ARABINOSE R4\plaque 1/@04 EE2 76/B4_02.tif </t>
  </si>
  <si>
    <t xml:space="preserve"> 1675.0391 </t>
  </si>
  <si>
    <t xml:space="preserve"> 64.3506 </t>
  </si>
  <si>
    <t xml:space="preserve">\\192.168.24.208\images\R&amp;D\2-Test oestrogénique\OECD and AOPs\REACTIV oecd interlaboratory validation\WF data\Repeats for invalid experiments - EBO\2022-EBO-ARABINOSE R4\plaque 1/@04 EE2 76/B4_03.tif </t>
  </si>
  <si>
    <t xml:space="preserve"> 1305.2253 </t>
  </si>
  <si>
    <t xml:space="preserve"> 63.0167 </t>
  </si>
  <si>
    <t xml:space="preserve">\\192.168.24.208\images\R&amp;D\2-Test oestrogénique\OECD and AOPs\REACTIV oecd interlaboratory validation\WF data\Repeats for invalid experiments - EBO\2022-EBO-ARABINOSE R4\plaque 1/@04 EE2 76/C4_01.tif </t>
  </si>
  <si>
    <t xml:space="preserve"> 1849.0692 </t>
  </si>
  <si>
    <t xml:space="preserve"> 63.9059 </t>
  </si>
  <si>
    <t xml:space="preserve">\\192.168.24.208\images\R&amp;D\2-Test oestrogénique\OECD and AOPs\REACTIV oecd interlaboratory validation\WF data\Repeats for invalid experiments - EBO\2022-EBO-ARABINOSE R4\plaque 1/@04 EE2 76/C4_02.tif </t>
  </si>
  <si>
    <t xml:space="preserve"> 62.9333 </t>
  </si>
  <si>
    <t xml:space="preserve">\\192.168.24.208\images\R&amp;D\2-Test oestrogénique\OECD and AOPs\REACTIV oecd interlaboratory validation\WF data\Repeats for invalid experiments - EBO\2022-EBO-ARABINOSE R4\plaque 1/@04 EE2 76/C4_03.tif </t>
  </si>
  <si>
    <t xml:space="preserve"> 62.9158 </t>
  </si>
  <si>
    <t xml:space="preserve">\\192.168.24.208\images\R&amp;D\2-Test oestrogénique\OECD and AOPs\REACTIV oecd interlaboratory validation\WF data\Repeats for invalid experiments - EBO\2022-EBO-ARABINOSE R4\plaque 1/@04 EE2 76/D4_01.tif </t>
  </si>
  <si>
    <t xml:space="preserve"> 2023.0992 </t>
  </si>
  <si>
    <t xml:space="preserve"> 64.4731 </t>
  </si>
  <si>
    <t xml:space="preserve">\\192.168.24.208\images\R&amp;D\2-Test oestrogénique\OECD and AOPs\REACTIV oecd interlaboratory validation\WF data\Repeats for invalid experiments - EBO\2022-EBO-ARABINOSE R4\plaque 1/@04 EE2 76/D4_02.tif </t>
  </si>
  <si>
    <t xml:space="preserve"> 63.5818 </t>
  </si>
  <si>
    <t xml:space="preserve">\\192.168.24.208\images\R&amp;D\2-Test oestrogénique\OECD and AOPs\REACTIV oecd interlaboratory validation\WF data\Repeats for invalid experiments - EBO\2022-EBO-ARABINOSE R4\plaque 1/@04 EE2 76/D4_03.tif </t>
  </si>
  <si>
    <t xml:space="preserve"> 2849.7419 </t>
  </si>
  <si>
    <t xml:space="preserve"> 64.0458 </t>
  </si>
  <si>
    <t xml:space="preserve">\\192.168.24.208\images\R&amp;D\2-Test oestrogénique\OECD and AOPs\REACTIV oecd interlaboratory validation\WF data\Repeats for invalid experiments - EBO\2022-EBO-ARABINOSE R4\plaque 1/@04 EE2 76/E4_01.tif </t>
  </si>
  <si>
    <t xml:space="preserve"> 62.2308 </t>
  </si>
  <si>
    <t xml:space="preserve">\\192.168.24.208\images\R&amp;D\2-Test oestrogénique\OECD and AOPs\REACTIV oecd interlaboratory validation\WF data\Repeats for invalid experiments - EBO\2022-EBO-ARABINOSE R4\plaque 1/@04 EE2 76/E4_02.tif </t>
  </si>
  <si>
    <t xml:space="preserve"> 63.1111 </t>
  </si>
  <si>
    <t xml:space="preserve">\\192.168.24.208\images\R&amp;D\2-Test oestrogénique\OECD and AOPs\REACTIV oecd interlaboratory validation\WF data\Repeats for invalid experiments - EBO\2022-EBO-ARABINOSE R4\plaque 1/@04 EE2 76/E4_03.tif </t>
  </si>
  <si>
    <t xml:space="preserve"> 152.2763 </t>
  </si>
  <si>
    <t xml:space="preserve">\\192.168.24.208\images\R&amp;D\2-Test oestrogénique\OECD and AOPs\REACTIV oecd interlaboratory validation\WF data\Repeats for invalid experiments - EBO\2022-EBO-ARABINOSE R4\plaque 1/@04 EE2 76/F4_01.tif </t>
  </si>
  <si>
    <t xml:space="preserve"> 2719.2194 </t>
  </si>
  <si>
    <t xml:space="preserve"> 63.224 </t>
  </si>
  <si>
    <t xml:space="preserve">\\192.168.24.208\images\R&amp;D\2-Test oestrogénique\OECD and AOPs\REACTIV oecd interlaboratory validation\WF data\Repeats for invalid experiments - EBO\2022-EBO-ARABINOSE R4\plaque 1/@04 EE2 76/F4_02.tif </t>
  </si>
  <si>
    <t xml:space="preserve"> 1457.5016 </t>
  </si>
  <si>
    <t xml:space="preserve"> 63.3284 </t>
  </si>
  <si>
    <t xml:space="preserve">\\192.168.24.208\images\R&amp;D\2-Test oestrogénique\OECD and AOPs\REACTIV oecd interlaboratory validation\WF data\Repeats for invalid experiments - EBO\2022-EBO-ARABINOSE R4\plaque 1/@04 EE2 76/F4_03.tif </t>
  </si>
  <si>
    <t xml:space="preserve"> 64.1985 </t>
  </si>
  <si>
    <t xml:space="preserve">\\192.168.24.208\images\R&amp;D\2-Test oestrogénique\OECD and AOPs\REACTIV oecd interlaboratory validation\WF data\Repeats for invalid experiments - EBO\2022-EBO-ARABINOSE R4\plaque 1/@04 EE2 76/G4_01.tif </t>
  </si>
  <si>
    <t xml:space="preserve"> 5568.9613 </t>
  </si>
  <si>
    <t xml:space="preserve"> 67.8281 </t>
  </si>
  <si>
    <t xml:space="preserve">\\192.168.24.208\images\R&amp;D\2-Test oestrogénique\OECD and AOPs\REACTIV oecd interlaboratory validation\WF data\Repeats for invalid experiments - EBO\2022-EBO-ARABINOSE R4\plaque 1/@04 EE2 76/G4_02.tif </t>
  </si>
  <si>
    <t xml:space="preserve"> 1022.4265 </t>
  </si>
  <si>
    <t xml:space="preserve"> 64.2553 </t>
  </si>
  <si>
    <t xml:space="preserve">\\192.168.24.208\images\R&amp;D\2-Test oestrogénique\OECD and AOPs\REACTIV oecd interlaboratory validation\WF data\Repeats for invalid experiments - EBO\2022-EBO-ARABINOSE R4\plaque 1/@04 EE2 76/G4_03.tif </t>
  </si>
  <si>
    <t xml:space="preserve"> 63.0526 </t>
  </si>
  <si>
    <t xml:space="preserve">\\192.168.24.208\images\R&amp;D\2-Test oestrogénique\OECD and AOPs\REACTIV oecd interlaboratory validation\WF data\Repeats for invalid experiments - EBO\2022-EBO-ARABINOSE R4\plaque 1/@04 EE2 76/H4_01.tif </t>
  </si>
  <si>
    <t xml:space="preserve"> 2175.3755 </t>
  </si>
  <si>
    <t xml:space="preserve"> 68.04 </t>
  </si>
  <si>
    <t xml:space="preserve">\\192.168.24.208\images\R&amp;D\2-Test oestrogénique\OECD and AOPs\REACTIV oecd interlaboratory validation\WF data\Repeats for invalid experiments - EBO\2022-EBO-ARABINOSE R4\plaque 1/@04 EE2 76/H4_02.tif </t>
  </si>
  <si>
    <t xml:space="preserve"> 2110.1142 </t>
  </si>
  <si>
    <t xml:space="preserve">\\192.168.24.208\images\R&amp;D\2-Test oestrogénique\OECD and AOPs\REACTIV oecd interlaboratory validation\WF data\Repeats for invalid experiments - EBO\2022-EBO-ARABINOSE R4\plaque 1/@04 EE2 76/H4_03.tif </t>
  </si>
  <si>
    <t xml:space="preserve"> 67.5672 </t>
  </si>
  <si>
    <t xml:space="preserve">\\192.168.24.208\images\R&amp;D\2-Test oestrogénique\OECD and AOPs\REACTIV oecd interlaboratory validation\WF data\Repeats for invalid experiments - EBO\2022-EBO-ARABINOSE R4\plaque 1/@04 EE2 76/ </t>
  </si>
  <si>
    <t xml:space="preserve"> 64.4957 </t>
  </si>
  <si>
    <t xml:space="preserve"> 1.7489 </t>
  </si>
  <si>
    <t xml:space="preserve"> 112120.667 </t>
  </si>
  <si>
    <t xml:space="preserve"> 104795.189 </t>
  </si>
  <si>
    <t xml:space="preserve">\\192.168.24.208\images\R&amp;D\2-Test oestrogénique\OECD and AOPs\REACTIV oecd interlaboratory validation\WF data\Repeats for invalid experiments - EBO\2022-EBO-ARABINOSE R4\plaque 1/@05 EE2 114/A5_01.tif </t>
  </si>
  <si>
    <t xml:space="preserve"> 13291.5443 </t>
  </si>
  <si>
    <t xml:space="preserve"> 66.3813 </t>
  </si>
  <si>
    <t xml:space="preserve">\\192.168.24.208\images\R&amp;D\2-Test oestrogénique\OECD and AOPs\REACTIV oecd interlaboratory validation\WF data\Repeats for invalid experiments - EBO\2022-EBO-ARABINOSE R4\plaque 1/@05 EE2 114/A5_02.tif </t>
  </si>
  <si>
    <t xml:space="preserve"> 12834.7155 </t>
  </si>
  <si>
    <t xml:space="preserve"> 65.6288 </t>
  </si>
  <si>
    <t xml:space="preserve">\\192.168.24.208\images\R&amp;D\2-Test oestrogénique\OECD and AOPs\REACTIV oecd interlaboratory validation\WF data\Repeats for invalid experiments - EBO\2022-EBO-ARABINOSE R4\plaque 1/@05 EE2 114/A5_03.tif </t>
  </si>
  <si>
    <t xml:space="preserve"> 15184.121 </t>
  </si>
  <si>
    <t xml:space="preserve"> 66.0186 </t>
  </si>
  <si>
    <t xml:space="preserve">\\192.168.24.208\images\R&amp;D\2-Test oestrogénique\OECD and AOPs\REACTIV oecd interlaboratory validation\WF data\Repeats for invalid experiments - EBO\2022-EBO-ARABINOSE R4\plaque 1/@05 EE2 114/B5_01.tif </t>
  </si>
  <si>
    <t xml:space="preserve"> 4350.751 </t>
  </si>
  <si>
    <t xml:space="preserve"> 63.93 </t>
  </si>
  <si>
    <t xml:space="preserve">\\192.168.24.208\images\R&amp;D\2-Test oestrogénique\OECD and AOPs\REACTIV oecd interlaboratory validation\WF data\Repeats for invalid experiments - EBO\2022-EBO-ARABINOSE R4\plaque 1/@05 EE2 114/B5_02.tif </t>
  </si>
  <si>
    <t xml:space="preserve"> 5634.2225 </t>
  </si>
  <si>
    <t xml:space="preserve"> 65.4015 </t>
  </si>
  <si>
    <t xml:space="preserve">\\192.168.24.208\images\R&amp;D\2-Test oestrogénique\OECD and AOPs\REACTIV oecd interlaboratory validation\WF data\Repeats for invalid experiments - EBO\2022-EBO-ARABINOSE R4\plaque 1/@05 EE2 114/B5_03.tif </t>
  </si>
  <si>
    <t xml:space="preserve"> 3437.0933 </t>
  </si>
  <si>
    <t xml:space="preserve"> 63.7911 </t>
  </si>
  <si>
    <t xml:space="preserve">\\192.168.24.208\images\R&amp;D\2-Test oestrogénique\OECD and AOPs\REACTIV oecd interlaboratory validation\WF data\Repeats for invalid experiments - EBO\2022-EBO-ARABINOSE R4\plaque 1/@05 EE2 114/C5_01.tif </t>
  </si>
  <si>
    <t xml:space="preserve"> 12812.9617 </t>
  </si>
  <si>
    <t xml:space="preserve"> 73.1817 </t>
  </si>
  <si>
    <t xml:space="preserve">\\192.168.24.208\images\R&amp;D\2-Test oestrogénique\OECD and AOPs\REACTIV oecd interlaboratory validation\WF data\Repeats for invalid experiments - EBO\2022-EBO-ARABINOSE R4\plaque 1/@05 EE2 114/C5_02.tif </t>
  </si>
  <si>
    <t xml:space="preserve"> 72.3191 </t>
  </si>
  <si>
    <t xml:space="preserve">\\192.168.24.208\images\R&amp;D\2-Test oestrogénique\OECD and AOPs\REACTIV oecd interlaboratory validation\WF data\Repeats for invalid experiments - EBO\2022-EBO-ARABINOSE R4\plaque 1/@05 EE2 114/C5_03.tif </t>
  </si>
  <si>
    <t xml:space="preserve"> 13552.5894 </t>
  </si>
  <si>
    <t xml:space="preserve"> 72.0305 </t>
  </si>
  <si>
    <t xml:space="preserve">\\192.168.24.208\images\R&amp;D\2-Test oestrogénique\OECD and AOPs\REACTIV oecd interlaboratory validation\WF data\Repeats for invalid experiments - EBO\2022-EBO-ARABINOSE R4\plaque 1/@05 EE2 114/D5_01.tif </t>
  </si>
  <si>
    <t xml:space="preserve"> 50642.7416 </t>
  </si>
  <si>
    <t xml:space="preserve"> 71.3965 </t>
  </si>
  <si>
    <t xml:space="preserve">\\192.168.24.208\images\R&amp;D\2-Test oestrogénique\OECD and AOPs\REACTIV oecd interlaboratory validation\WF data\Repeats for invalid experiments - EBO\2022-EBO-ARABINOSE R4\plaque 1/@05 EE2 114/D5_02.tif </t>
  </si>
  <si>
    <t xml:space="preserve"> 48663.1499 </t>
  </si>
  <si>
    <t xml:space="preserve"> 69.0286 </t>
  </si>
  <si>
    <t xml:space="preserve">\\192.168.24.208\images\R&amp;D\2-Test oestrogénique\OECD and AOPs\REACTIV oecd interlaboratory validation\WF data\Repeats for invalid experiments - EBO\2022-EBO-ARABINOSE R4\plaque 1/@05 EE2 114/D5_03.tif </t>
  </si>
  <si>
    <t xml:space="preserve"> 59975.1025 </t>
  </si>
  <si>
    <t xml:space="preserve"> 70.7018 </t>
  </si>
  <si>
    <t xml:space="preserve">\\192.168.24.208\images\R&amp;D\2-Test oestrogénique\OECD and AOPs\REACTIV oecd interlaboratory validation\WF data\Repeats for invalid experiments - EBO\2022-EBO-ARABINOSE R4\plaque 1/@05 EE2 114/E5_01.tif </t>
  </si>
  <si>
    <t xml:space="preserve"> 5917.0214 </t>
  </si>
  <si>
    <t xml:space="preserve"> 64.6765 </t>
  </si>
  <si>
    <t xml:space="preserve">\\192.168.24.208\images\R&amp;D\2-Test oestrogénique\OECD and AOPs\REACTIV oecd interlaboratory validation\WF data\Repeats for invalid experiments - EBO\2022-EBO-ARABINOSE R4\plaque 1/@05 EE2 114/E5_02.tif </t>
  </si>
  <si>
    <t xml:space="preserve"> 4394.2585 </t>
  </si>
  <si>
    <t xml:space="preserve"> 64.1832 </t>
  </si>
  <si>
    <t xml:space="preserve">\\192.168.24.208\images\R&amp;D\2-Test oestrogénique\OECD and AOPs\REACTIV oecd interlaboratory validation\WF data\Repeats for invalid experiments - EBO\2022-EBO-ARABINOSE R4\plaque 1/@05 EE2 114/E5_03.tif </t>
  </si>
  <si>
    <t xml:space="preserve"> 7309.2617 </t>
  </si>
  <si>
    <t xml:space="preserve"> 64.2917 </t>
  </si>
  <si>
    <t xml:space="preserve">\\192.168.24.208\images\R&amp;D\2-Test oestrogénique\OECD and AOPs\REACTIV oecd interlaboratory validation\WF data\Repeats for invalid experiments - EBO\2022-EBO-ARABINOSE R4\plaque 1/@05 EE2 114/F5_01.tif </t>
  </si>
  <si>
    <t xml:space="preserve"> 15336.3973 </t>
  </si>
  <si>
    <t xml:space="preserve"> 65.5546 </t>
  </si>
  <si>
    <t xml:space="preserve">\\192.168.24.208\images\R&amp;D\2-Test oestrogénique\OECD and AOPs\REACTIV oecd interlaboratory validation\WF data\Repeats for invalid experiments - EBO\2022-EBO-ARABINOSE R4\plaque 1/@05 EE2 114/F5_02.tif </t>
  </si>
  <si>
    <t xml:space="preserve"> 12008.0728 </t>
  </si>
  <si>
    <t xml:space="preserve"> 66.6793 </t>
  </si>
  <si>
    <t xml:space="preserve">\\192.168.24.208\images\R&amp;D\2-Test oestrogénique\OECD and AOPs\REACTIV oecd interlaboratory validation\WF data\Repeats for invalid experiments - EBO\2022-EBO-ARABINOSE R4\plaque 1/@05 EE2 114/F5_03.tif </t>
  </si>
  <si>
    <t xml:space="preserve"> 11072.6613 </t>
  </si>
  <si>
    <t xml:space="preserve"> 65.6326 </t>
  </si>
  <si>
    <t xml:space="preserve">\\192.168.24.208\images\R&amp;D\2-Test oestrogénique\OECD and AOPs\REACTIV oecd interlaboratory validation\WF data\Repeats for invalid experiments - EBO\2022-EBO-ARABINOSE R4\plaque 1/@05 EE2 114/G5_01.tif </t>
  </si>
  <si>
    <t xml:space="preserve"> 63.0611 </t>
  </si>
  <si>
    <t xml:space="preserve">\\192.168.24.208\images\R&amp;D\2-Test oestrogénique\OECD and AOPs\REACTIV oecd interlaboratory validation\WF data\Repeats for invalid experiments - EBO\2022-EBO-ARABINOSE R4\plaque 1/@05 EE2 114/G5_02.tif </t>
  </si>
  <si>
    <t xml:space="preserve"> 3632.8771 </t>
  </si>
  <si>
    <t xml:space="preserve"> 64.7006 </t>
  </si>
  <si>
    <t xml:space="preserve">\\192.168.24.208\images\R&amp;D\2-Test oestrogénique\OECD and AOPs\REACTIV oecd interlaboratory validation\WF data\Repeats for invalid experiments - EBO\2022-EBO-ARABINOSE R4\plaque 1/@05 EE2 114/G5_03.tif </t>
  </si>
  <si>
    <t xml:space="preserve"> 4459.5198 </t>
  </si>
  <si>
    <t xml:space="preserve"> 64.5073 </t>
  </si>
  <si>
    <t xml:space="preserve">\\192.168.24.208\images\R&amp;D\2-Test oestrogénique\OECD and AOPs\REACTIV oecd interlaboratory validation\WF data\Repeats for invalid experiments - EBO\2022-EBO-ARABINOSE R4\plaque 1/@05 EE2 114/H5_01.tif </t>
  </si>
  <si>
    <t xml:space="preserve"> 25430.1396 </t>
  </si>
  <si>
    <t xml:space="preserve"> 68.4919 </t>
  </si>
  <si>
    <t xml:space="preserve">\\192.168.24.208\images\R&amp;D\2-Test oestrogénique\OECD and AOPs\REACTIV oecd interlaboratory validation\WF data\Repeats for invalid experiments - EBO\2022-EBO-ARABINOSE R4\plaque 1/@05 EE2 114/H5_02.tif </t>
  </si>
  <si>
    <t xml:space="preserve"> 27714.2839 </t>
  </si>
  <si>
    <t xml:space="preserve"> 70.7998 </t>
  </si>
  <si>
    <t xml:space="preserve">\\192.168.24.208\images\R&amp;D\2-Test oestrogénique\OECD and AOPs\REACTIV oecd interlaboratory validation\WF data\Repeats for invalid experiments - EBO\2022-EBO-ARABINOSE R4\plaque 1/@05 EE2 114/H5_03.tif </t>
  </si>
  <si>
    <t xml:space="preserve"> 25038.572 </t>
  </si>
  <si>
    <t xml:space="preserve"> 69.2268 </t>
  </si>
  <si>
    <t xml:space="preserve">\\192.168.24.208\images\R&amp;D\2-Test oestrogénique\OECD and AOPs\REACTIV oecd interlaboratory validation\WF data\Repeats for invalid experiments - EBO\2022-EBO-ARABINOSE R4\plaque 1/@05 EE2 114/ </t>
  </si>
  <si>
    <t xml:space="preserve"> 67.1506 </t>
  </si>
  <si>
    <t xml:space="preserve"> 3.1436 </t>
  </si>
  <si>
    <t xml:space="preserve"> 1145434.08 </t>
  </si>
  <si>
    <t xml:space="preserve"> 1123756.44 </t>
  </si>
  <si>
    <t xml:space="preserve">\\192.168.24.208\images\R&amp;D\2-Test oestrogénique\OECD and AOPs\REACTIV oecd interlaboratory validation\WF data\Repeats for invalid experiments - EBO\2022-EBO-ARABINOSE R4\plaque 1/@06 EE2 171/A6_01.tif </t>
  </si>
  <si>
    <t xml:space="preserve"> 29215.293 </t>
  </si>
  <si>
    <t xml:space="preserve"> 66.4713 </t>
  </si>
  <si>
    <t xml:space="preserve">\\192.168.24.208\images\R&amp;D\2-Test oestrogénique\OECD and AOPs\REACTIV oecd interlaboratory validation\WF data\Repeats for invalid experiments - EBO\2022-EBO-ARABINOSE R4\plaque 1/@06 EE2 171/A6_02.tif </t>
  </si>
  <si>
    <t xml:space="preserve"> 24124.9143 </t>
  </si>
  <si>
    <t xml:space="preserve"> 65.8133 </t>
  </si>
  <si>
    <t xml:space="preserve">\\192.168.24.208\images\R&amp;D\2-Test oestrogénique\OECD and AOPs\REACTIV oecd interlaboratory validation\WF data\Repeats for invalid experiments - EBO\2022-EBO-ARABINOSE R4\plaque 1/@06 EE2 171/A6_03.tif </t>
  </si>
  <si>
    <t xml:space="preserve"> 22341.1064 </t>
  </si>
  <si>
    <t xml:space="preserve"> 65.6125 </t>
  </si>
  <si>
    <t xml:space="preserve">\\192.168.24.208\images\R&amp;D\2-Test oestrogénique\OECD and AOPs\REACTIV oecd interlaboratory validation\WF data\Repeats for invalid experiments - EBO\2022-EBO-ARABINOSE R4\plaque 1/@06 EE2 171/B6_01.tif </t>
  </si>
  <si>
    <t xml:space="preserve"> 39352.5428 </t>
  </si>
  <si>
    <t xml:space="preserve"> 69.3671 </t>
  </si>
  <si>
    <t xml:space="preserve">\\192.168.24.208\images\R&amp;D\2-Test oestrogénique\OECD and AOPs\REACTIV oecd interlaboratory validation\WF data\Repeats for invalid experiments - EBO\2022-EBO-ARABINOSE R4\plaque 1/@06 EE2 171/B6_02.tif </t>
  </si>
  <si>
    <t xml:space="preserve"> 25647.6771 </t>
  </si>
  <si>
    <t xml:space="preserve"> 66.2986 </t>
  </si>
  <si>
    <t xml:space="preserve">\\192.168.24.208\images\R&amp;D\2-Test oestrogénique\OECD and AOPs\REACTIV oecd interlaboratory validation\WF data\Repeats for invalid experiments - EBO\2022-EBO-ARABINOSE R4\plaque 1/@06 EE2 171/B6_03.tif </t>
  </si>
  <si>
    <t xml:space="preserve"> 30759.8096 </t>
  </si>
  <si>
    <t xml:space="preserve"> 66.9385 </t>
  </si>
  <si>
    <t xml:space="preserve">\\192.168.24.208\images\R&amp;D\2-Test oestrogénique\OECD and AOPs\REACTIV oecd interlaboratory validation\WF data\Repeats for invalid experiments - EBO\2022-EBO-ARABINOSE R4\plaque 1/@06 EE2 171/C6_01.tif </t>
  </si>
  <si>
    <t xml:space="preserve"> 44529.9365 </t>
  </si>
  <si>
    <t xml:space="preserve"> 69.9853 </t>
  </si>
  <si>
    <t xml:space="preserve">\\192.168.24.208\images\R&amp;D\2-Test oestrogénique\OECD and AOPs\REACTIV oecd interlaboratory validation\WF data\Repeats for invalid experiments - EBO\2022-EBO-ARABINOSE R4\plaque 1/@06 EE2 171/C6_02.tif </t>
  </si>
  <si>
    <t xml:space="preserve"> 37786.2724 </t>
  </si>
  <si>
    <t xml:space="preserve"> 69.1808 </t>
  </si>
  <si>
    <t xml:space="preserve">\\192.168.24.208\images\R&amp;D\2-Test oestrogénique\OECD and AOPs\REACTIV oecd interlaboratory validation\WF data\Repeats for invalid experiments - EBO\2022-EBO-ARABINOSE R4\plaque 1/@06 EE2 171/C6_03.tif </t>
  </si>
  <si>
    <t xml:space="preserve"> 33892.3503 </t>
  </si>
  <si>
    <t xml:space="preserve"> 67.681 </t>
  </si>
  <si>
    <t>\\192.168.24.208\images\R&amp;D\2-Test oestrogénique\OECD and AOPs\REACTIV oecd interlaboratory validation\WF data\Repeats for invalid experiments - EBO\2022-EBO-ARABINOSE R4\plaque 1/@06 EE2 171/D6_01- exclu.tif</t>
  </si>
  <si>
    <t xml:space="preserve">\\192.168.24.208\images\R&amp;D\2-Test oestrogénique\OECD and AOPs\REACTIV oecd interlaboratory validation\WF data\Repeats for invalid experiments - EBO\2022-EBO-ARABINOSE R4\plaque 1/@06 EE2 171/D6_02.tif </t>
  </si>
  <si>
    <t xml:space="preserve"> 39091.4977 </t>
  </si>
  <si>
    <t xml:space="preserve"> 70.005 </t>
  </si>
  <si>
    <t xml:space="preserve">\\192.168.24.208\images\R&amp;D\2-Test oestrogénique\OECD and AOPs\REACTIV oecd interlaboratory validation\WF data\Repeats for invalid experiments - EBO\2022-EBO-ARABINOSE R4\plaque 1/@06 EE2 171/D6_03.tif </t>
  </si>
  <si>
    <t xml:space="preserve"> 31390.6685 </t>
  </si>
  <si>
    <t xml:space="preserve"> 67.6265 </t>
  </si>
  <si>
    <t xml:space="preserve">\\192.168.24.208\images\R&amp;D\2-Test oestrogénique\OECD and AOPs\REACTIV oecd interlaboratory validation\WF data\Repeats for invalid experiments - EBO\2022-EBO-ARABINOSE R4\plaque 1/@06 EE2 171/E6_01.tif </t>
  </si>
  <si>
    <t xml:space="preserve"> 19600.1333 </t>
  </si>
  <si>
    <t xml:space="preserve"> 68.1221 </t>
  </si>
  <si>
    <t xml:space="preserve">\\192.168.24.208\images\R&amp;D\2-Test oestrogénique\OECD and AOPs\REACTIV oecd interlaboratory validation\WF data\Repeats for invalid experiments - EBO\2022-EBO-ARABINOSE R4\plaque 1/@06 EE2 171/E6_02.tif </t>
  </si>
  <si>
    <t xml:space="preserve"> 23733.3467 </t>
  </si>
  <si>
    <t xml:space="preserve"> 69.978 </t>
  </si>
  <si>
    <t xml:space="preserve">\\192.168.24.208\images\R&amp;D\2-Test oestrogénique\OECD and AOPs\REACTIV oecd interlaboratory validation\WF data\Repeats for invalid experiments - EBO\2022-EBO-ARABINOSE R4\plaque 1/@06 EE2 171/E6_03.tif </t>
  </si>
  <si>
    <t xml:space="preserve"> 20796.5898 </t>
  </si>
  <si>
    <t xml:space="preserve"> 68.9132 </t>
  </si>
  <si>
    <t xml:space="preserve">\\192.168.24.208\images\R&amp;D\2-Test oestrogénique\OECD and AOPs\REACTIV oecd interlaboratory validation\WF data\Repeats for invalid experiments - EBO\2022-EBO-ARABINOSE R4\plaque 1/@06 EE2 171/F6_01.tif </t>
  </si>
  <si>
    <t xml:space="preserve"> 53405.4685 </t>
  </si>
  <si>
    <t xml:space="preserve"> 72.8815 </t>
  </si>
  <si>
    <t xml:space="preserve">\\192.168.24.208\images\R&amp;D\2-Test oestrogénique\OECD and AOPs\REACTIV oecd interlaboratory validation\WF data\Repeats for invalid experiments - EBO\2022-EBO-ARABINOSE R4\plaque 1/@06 EE2 171/F6_02.tif </t>
  </si>
  <si>
    <t xml:space="preserve"> 59670.55 </t>
  </si>
  <si>
    <t xml:space="preserve"> 71.8673 </t>
  </si>
  <si>
    <t xml:space="preserve">\\192.168.24.208\images\R&amp;D\2-Test oestrogénique\OECD and AOPs\REACTIV oecd interlaboratory validation\WF data\Repeats for invalid experiments - EBO\2022-EBO-ARABINOSE R4\plaque 1/@06 EE2 171/F6_03.tif </t>
  </si>
  <si>
    <t xml:space="preserve"> 57756.2195 </t>
  </si>
  <si>
    <t xml:space="preserve"> 72.8256 </t>
  </si>
  <si>
    <t xml:space="preserve">\\192.168.24.208\images\R&amp;D\2-Test oestrogénique\OECD and AOPs\REACTIV oecd interlaboratory validation\WF data\Repeats for invalid experiments - EBO\2022-EBO-ARABINOSE R4\plaque 1/@06 EE2 171/G6_01.tif </t>
  </si>
  <si>
    <t xml:space="preserve"> 33609.5515 </t>
  </si>
  <si>
    <t xml:space="preserve"> 71.932 </t>
  </si>
  <si>
    <t xml:space="preserve">\\192.168.24.208\images\R&amp;D\2-Test oestrogénique\OECD and AOPs\REACTIV oecd interlaboratory validation\WF data\Repeats for invalid experiments - EBO\2022-EBO-ARABINOSE R4\plaque 1/@06 EE2 171/G6_02.tif </t>
  </si>
  <si>
    <t xml:space="preserve"> 33914.1041 </t>
  </si>
  <si>
    <t xml:space="preserve"> 69.2033 </t>
  </si>
  <si>
    <t xml:space="preserve">\\192.168.24.208\images\R&amp;D\2-Test oestrogénique\OECD and AOPs\REACTIV oecd interlaboratory validation\WF data\Repeats for invalid experiments - EBO\2022-EBO-ARABINOSE R4\plaque 1/@06 EE2 171/G6_03.tif </t>
  </si>
  <si>
    <t xml:space="preserve"> 35175.8218 </t>
  </si>
  <si>
    <t xml:space="preserve"> 69.9932 </t>
  </si>
  <si>
    <t xml:space="preserve">\\192.168.24.208\images\R&amp;D\2-Test oestrogénique\OECD and AOPs\REACTIV oecd interlaboratory validation\WF data\Repeats for invalid experiments - EBO\2022-EBO-ARABINOSE R4\plaque 1/@06 EE2 171/H6_01.tif </t>
  </si>
  <si>
    <t xml:space="preserve"> 68.7039 </t>
  </si>
  <si>
    <t xml:space="preserve">\\192.168.24.208\images\R&amp;D\2-Test oestrogénique\OECD and AOPs\REACTIV oecd interlaboratory validation\WF data\Repeats for invalid experiments - EBO\2022-EBO-ARABINOSE R4\plaque 1/@06 EE2 171/H6_02.tif </t>
  </si>
  <si>
    <t xml:space="preserve"> 24146.6681 </t>
  </si>
  <si>
    <t xml:space="preserve"> 68.8459 </t>
  </si>
  <si>
    <t xml:space="preserve">\\192.168.24.208\images\R&amp;D\2-Test oestrogénique\OECD and AOPs\REACTIV oecd interlaboratory validation\WF data\Repeats for invalid experiments - EBO\2022-EBO-ARABINOSE R4\plaque 1/@06 EE2 171/H6_03.tif </t>
  </si>
  <si>
    <t xml:space="preserve"> 24385.9594 </t>
  </si>
  <si>
    <t xml:space="preserve"> 68.0482 </t>
  </si>
  <si>
    <t xml:space="preserve">\\192.168.24.208\images\R&amp;D\2-Test oestrogénique\OECD and AOPs\REACTIV oecd interlaboratory validation\WF data\Repeats for invalid experiments - EBO\2022-EBO-ARABINOSE R4\plaque 1/@06 EE2 171/ </t>
  </si>
  <si>
    <t xml:space="preserve"> 68.9526 </t>
  </si>
  <si>
    <t xml:space="preserve"> 2.0407 </t>
  </si>
  <si>
    <t xml:space="preserve"> 845612.719 </t>
  </si>
  <si>
    <t>\\192.168.24.208\images\R&amp;D\2-Test oestrogénique\OECD and AOPs\REACTIV oecd interlaboratory validation\WF data\Repeats for invalid experiments - EBO\2022-EBO-ARABINOSE R4\plaque 1/@07 EE2 488/A7_01- exclu.tif</t>
  </si>
  <si>
    <t>\\192.168.24.208\images\R&amp;D\2-Test oestrogénique\OECD and AOPs\REACTIV oecd interlaboratory validation\WF data\Repeats for invalid experiments - EBO\2022-EBO-ARABINOSE R4\plaque 1/@07 EE2 488/A7_02- exclu.tif</t>
  </si>
  <si>
    <t>\\192.168.24.208\images\R&amp;D\2-Test oestrogénique\OECD and AOPs\REACTIV oecd interlaboratory validation\WF data\Repeats for invalid experiments - EBO\2022-EBO-ARABINOSE R4\plaque 1/@07 EE2 488/A7_03- exclu.tif</t>
  </si>
  <si>
    <t xml:space="preserve">\\192.168.24.208\images\R&amp;D\2-Test oestrogénique\OECD and AOPs\REACTIV oecd interlaboratory validation\WF data\Repeats for invalid experiments - EBO\2022-EBO-ARABINOSE R4\plaque 1/@07 EE2 488/B7_01.tif </t>
  </si>
  <si>
    <t xml:space="preserve"> 77943.7042 </t>
  </si>
  <si>
    <t xml:space="preserve"> 100.8286 </t>
  </si>
  <si>
    <t xml:space="preserve">\\192.168.24.208\images\R&amp;D\2-Test oestrogénique\OECD and AOPs\REACTIV oecd interlaboratory validation\WF data\Repeats for invalid experiments - EBO\2022-EBO-ARABINOSE R4\plaque 1/@07 EE2 488/B7_02.tif </t>
  </si>
  <si>
    <t xml:space="preserve"> 78008.9654 </t>
  </si>
  <si>
    <t xml:space="preserve"> 99.633 </t>
  </si>
  <si>
    <t xml:space="preserve">\\192.168.24.208\images\R&amp;D\2-Test oestrogénique\OECD and AOPs\REACTIV oecd interlaboratory validation\WF data\Repeats for invalid experiments - EBO\2022-EBO-ARABINOSE R4\plaque 1/@07 EE2 488/B7_03.tif </t>
  </si>
  <si>
    <t xml:space="preserve"> 85862.071 </t>
  </si>
  <si>
    <t xml:space="preserve"> 93.6473 </t>
  </si>
  <si>
    <t xml:space="preserve">\\192.168.24.208\images\R&amp;D\2-Test oestrogénique\OECD and AOPs\REACTIV oecd interlaboratory validation\WF data\Repeats for invalid experiments - EBO\2022-EBO-ARABINOSE R4\plaque 1/@07 EE2 488/C7_01.tif </t>
  </si>
  <si>
    <t xml:space="preserve"> 76986.539 </t>
  </si>
  <si>
    <t xml:space="preserve"> 83.6197 </t>
  </si>
  <si>
    <t xml:space="preserve">\\192.168.24.208\images\R&amp;D\2-Test oestrogénique\OECD and AOPs\REACTIV oecd interlaboratory validation\WF data\Repeats for invalid experiments - EBO\2022-EBO-ARABINOSE R4\plaque 1/@07 EE2 488/C7_02.tif </t>
  </si>
  <si>
    <t xml:space="preserve"> 78226.503 </t>
  </si>
  <si>
    <t xml:space="preserve"> 78.8568 </t>
  </si>
  <si>
    <t xml:space="preserve">\\192.168.24.208\images\R&amp;D\2-Test oestrogénique\OECD and AOPs\REACTIV oecd interlaboratory validation\WF data\Repeats for invalid experiments - EBO\2022-EBO-ARABINOSE R4\plaque 1/@07 EE2 488/C7_03.tif </t>
  </si>
  <si>
    <t xml:space="preserve"> 81380.7975 </t>
  </si>
  <si>
    <t xml:space="preserve"> 79.1451 </t>
  </si>
  <si>
    <t xml:space="preserve">\\192.168.24.208\images\R&amp;D\2-Test oestrogénique\OECD and AOPs\REACTIV oecd interlaboratory validation\WF data\Repeats for invalid experiments - EBO\2022-EBO-ARABINOSE R4\plaque 1/@07 EE2 488/D7_01.tif </t>
  </si>
  <si>
    <t xml:space="preserve"> 66871.0429 </t>
  </si>
  <si>
    <t xml:space="preserve"> 90.636 </t>
  </si>
  <si>
    <t xml:space="preserve">\\192.168.24.208\images\R&amp;D\2-Test oestrogénique\OECD and AOPs\REACTIV oecd interlaboratory validation\WF data\Repeats for invalid experiments - EBO\2022-EBO-ARABINOSE R4\plaque 1/@07 EE2 488/D7_02.tif </t>
  </si>
  <si>
    <t xml:space="preserve"> 61976.448 </t>
  </si>
  <si>
    <t xml:space="preserve"> 94.2966 </t>
  </si>
  <si>
    <t xml:space="preserve">\\192.168.24.208\images\R&amp;D\2-Test oestrogénique\OECD and AOPs\REACTIV oecd interlaboratory validation\WF data\Repeats for invalid experiments - EBO\2022-EBO-ARABINOSE R4\plaque 1/@07 EE2 488/D7_03.tif </t>
  </si>
  <si>
    <t xml:space="preserve"> 59627.0425 </t>
  </si>
  <si>
    <t xml:space="preserve"> 92.7461 </t>
  </si>
  <si>
    <t xml:space="preserve">\\192.168.24.208\images\R&amp;D\2-Test oestrogénique\OECD and AOPs\REACTIV oecd interlaboratory validation\WF data\Repeats for invalid experiments - EBO\2022-EBO-ARABINOSE R4\plaque 1/@07 EE2 488/E7_01.tif </t>
  </si>
  <si>
    <t xml:space="preserve"> 51578.1531 </t>
  </si>
  <si>
    <t xml:space="preserve"> 87.1906 </t>
  </si>
  <si>
    <t xml:space="preserve">\\192.168.24.208\images\R&amp;D\2-Test oestrogénique\OECD and AOPs\REACTIV oecd interlaboratory validation\WF data\Repeats for invalid experiments - EBO\2022-EBO-ARABINOSE R4\plaque 1/@07 EE2 488/E7_02.tif </t>
  </si>
  <si>
    <t xml:space="preserve"> 85.6012 </t>
  </si>
  <si>
    <t xml:space="preserve">\\192.168.24.208\images\R&amp;D\2-Test oestrogénique\OECD and AOPs\REACTIV oecd interlaboratory validation\WF data\Repeats for invalid experiments - EBO\2022-EBO-ARABINOSE R4\plaque 1/@07 EE2 488/E7_03.tif </t>
  </si>
  <si>
    <t xml:space="preserve"> 61302.0816 </t>
  </si>
  <si>
    <t xml:space="preserve"> 85.5259 </t>
  </si>
  <si>
    <t xml:space="preserve">\\192.168.24.208\images\R&amp;D\2-Test oestrogénique\OECD and AOPs\REACTIV oecd interlaboratory validation\WF data\Repeats for invalid experiments - EBO\2022-EBO-ARABINOSE R4\plaque 1/@07 EE2 488/F7_01.tif </t>
  </si>
  <si>
    <t xml:space="preserve"> 64760.9286 </t>
  </si>
  <si>
    <t xml:space="preserve"> 100.9278 </t>
  </si>
  <si>
    <t xml:space="preserve">\\192.168.24.208\images\R&amp;D\2-Test oestrogénique\OECD and AOPs\REACTIV oecd interlaboratory validation\WF data\Repeats for invalid experiments - EBO\2022-EBO-ARABINOSE R4\plaque 1/@07 EE2 488/F7_02.tif </t>
  </si>
  <si>
    <t xml:space="preserve"> 65261.265 </t>
  </si>
  <si>
    <t xml:space="preserve"> 96.1117 </t>
  </si>
  <si>
    <t xml:space="preserve">\\192.168.24.208\images\R&amp;D\2-Test oestrogénique\OECD and AOPs\REACTIV oecd interlaboratory validation\WF data\Repeats for invalid experiments - EBO\2022-EBO-ARABINOSE R4\plaque 1/@07 EE2 488/F7_03.tif </t>
  </si>
  <si>
    <t xml:space="preserve"> 65413.5413 </t>
  </si>
  <si>
    <t xml:space="preserve"> 98.3824 </t>
  </si>
  <si>
    <t xml:space="preserve">\\192.168.24.208\images\R&amp;D\2-Test oestrogénique\OECD and AOPs\REACTIV oecd interlaboratory validation\WF data\Repeats for invalid experiments - EBO\2022-EBO-ARABINOSE R4\plaque 1/@07 EE2 488/G7_01.tif </t>
  </si>
  <si>
    <t xml:space="preserve"> 35023.5456 </t>
  </si>
  <si>
    <t xml:space="preserve"> 86.0752 </t>
  </si>
  <si>
    <t xml:space="preserve">\\192.168.24.208\images\R&amp;D\2-Test oestrogénique\OECD and AOPs\REACTIV oecd interlaboratory validation\WF data\Repeats for invalid experiments - EBO\2022-EBO-ARABINOSE R4\plaque 1/@07 EE2 488/G7_02.tif </t>
  </si>
  <si>
    <t xml:space="preserve"> 39287.2815 </t>
  </si>
  <si>
    <t xml:space="preserve"> 86.6606 </t>
  </si>
  <si>
    <t xml:space="preserve">\\192.168.24.208\images\R&amp;D\2-Test oestrogénique\OECD and AOPs\REACTIV oecd interlaboratory validation\WF data\Repeats for invalid experiments - EBO\2022-EBO-ARABINOSE R4\plaque 1/@07 EE2 488/G7_03.tif </t>
  </si>
  <si>
    <t xml:space="preserve"> 36937.876 </t>
  </si>
  <si>
    <t xml:space="preserve"> 85.7638 </t>
  </si>
  <si>
    <t xml:space="preserve">\\192.168.24.208\images\R&amp;D\2-Test oestrogénique\OECD and AOPs\REACTIV oecd interlaboratory validation\WF data\Repeats for invalid experiments - EBO\2022-EBO-ARABINOSE R4\plaque 1/@07 EE2 488/H7_01.tif </t>
  </si>
  <si>
    <t xml:space="preserve"> 58996.1836 </t>
  </si>
  <si>
    <t xml:space="preserve"> 96.2666 </t>
  </si>
  <si>
    <t xml:space="preserve">\\192.168.24.208\images\R&amp;D\2-Test oestrogénique\OECD and AOPs\REACTIV oecd interlaboratory validation\WF data\Repeats for invalid experiments - EBO\2022-EBO-ARABINOSE R4\plaque 1/@07 EE2 488/H7_02.tif </t>
  </si>
  <si>
    <t xml:space="preserve"> 61563.1267 </t>
  </si>
  <si>
    <t xml:space="preserve"> 96.2728 </t>
  </si>
  <si>
    <t xml:space="preserve">\\192.168.24.208\images\R&amp;D\2-Test oestrogénique\OECD and AOPs\REACTIV oecd interlaboratory validation\WF data\Repeats for invalid experiments - EBO\2022-EBO-ARABINOSE R4\plaque 1/@07 EE2 488/H7_03.tif </t>
  </si>
  <si>
    <t xml:space="preserve"> 50512.2191 </t>
  </si>
  <si>
    <t xml:space="preserve"> 99.115 </t>
  </si>
  <si>
    <t xml:space="preserve">\\192.168.24.208\images\R&amp;D\2-Test oestrogénique\OECD and AOPs\REACTIV oecd interlaboratory validation\WF data\Repeats for invalid experiments - EBO\2022-EBO-ARABINOSE R4\plaque 1/@07 EE2 488/ </t>
  </si>
  <si>
    <t xml:space="preserve"> 85.2696 </t>
  </si>
  <si>
    <t xml:space="preserve"> 20.7133 </t>
  </si>
  <si>
    <t xml:space="preserve"> 4996547.42 </t>
  </si>
  <si>
    <t xml:space="preserve"> 2334630.53 </t>
  </si>
  <si>
    <t xml:space="preserve">\\192.168.24.208\images\R&amp;D\2-Test oestrogénique\OECD and AOPs\REACTIV oecd interlaboratory validation\WF data\Repeats for invalid experiments - EBO\2022-EBO-ARABINOSE R4\plaque 1/@08 ARABINOSE 0.01/A8_01.tif </t>
  </si>
  <si>
    <t xml:space="preserve"> 62.1111 </t>
  </si>
  <si>
    <t xml:space="preserve">\\192.168.24.208\images\R&amp;D\2-Test oestrogénique\OECD and AOPs\REACTIV oecd interlaboratory validation\WF data\Repeats for invalid experiments - EBO\2022-EBO-ARABINOSE R4\plaque 1/@08 ARABINOSE 0.01/A8_02.tif </t>
  </si>
  <si>
    <t xml:space="preserve"> 65.6667 </t>
  </si>
  <si>
    <t xml:space="preserve">\\192.168.24.208\images\R&amp;D\2-Test oestrogénique\OECD and AOPs\REACTIV oecd interlaboratory validation\WF data\Repeats for invalid experiments - EBO\2022-EBO-ARABINOSE R4\plaque 1/@08 ARABINOSE 0.01/A8_03.tif </t>
  </si>
  <si>
    <t xml:space="preserve">\\192.168.24.208\images\R&amp;D\2-Test oestrogénique\OECD and AOPs\REACTIV oecd interlaboratory validation\WF data\Repeats for invalid experiments - EBO\2022-EBO-ARABINOSE R4\plaque 1/@08 ARABINOSE 0.01/B8_01.tif </t>
  </si>
  <si>
    <t xml:space="preserve">\\192.168.24.208\images\R&amp;D\2-Test oestrogénique\OECD and AOPs\REACTIV oecd interlaboratory validation\WF data\Repeats for invalid experiments - EBO\2022-EBO-ARABINOSE R4\plaque 1/@08 ARABINOSE 0.01/B8_02.tif </t>
  </si>
  <si>
    <t xml:space="preserve"> 62.5556 </t>
  </si>
  <si>
    <t xml:space="preserve">\\192.168.24.208\images\R&amp;D\2-Test oestrogénique\OECD and AOPs\REACTIV oecd interlaboratory validation\WF data\Repeats for invalid experiments - EBO\2022-EBO-ARABINOSE R4\plaque 1/@08 ARABINOSE 0.01/B8_03.tif </t>
  </si>
  <si>
    <t xml:space="preserve"> 64.05 </t>
  </si>
  <si>
    <t xml:space="preserve">\\192.168.24.208\images\R&amp;D\2-Test oestrogénique\OECD and AOPs\REACTIV oecd interlaboratory validation\WF data\Repeats for invalid experiments - EBO\2022-EBO-ARABINOSE R4\plaque 1/@08 ARABINOSE 0.01/C8_01.tif </t>
  </si>
  <si>
    <t xml:space="preserve"> 63.125 </t>
  </si>
  <si>
    <t xml:space="preserve">\\192.168.24.208\images\R&amp;D\2-Test oestrogénique\OECD and AOPs\REACTIV oecd interlaboratory validation\WF data\Repeats for invalid experiments - EBO\2022-EBO-ARABINOSE R4\plaque 1/@08 ARABINOSE 0.01/C8_02.tif </t>
  </si>
  <si>
    <t xml:space="preserve"> 65.2 </t>
  </si>
  <si>
    <t xml:space="preserve">\\192.168.24.208\images\R&amp;D\2-Test oestrogénique\OECD and AOPs\REACTIV oecd interlaboratory validation\WF data\Repeats for invalid experiments - EBO\2022-EBO-ARABINOSE R4\plaque 1/@08 ARABINOSE 0.01/C8_03.tif </t>
  </si>
  <si>
    <t xml:space="preserve">\\192.168.24.208\images\R&amp;D\2-Test oestrogénique\OECD and AOPs\REACTIV oecd interlaboratory validation\WF data\Repeats for invalid experiments - EBO\2022-EBO-ARABINOSE R4\plaque 1/@08 ARABINOSE 0.01/D8_01.tif </t>
  </si>
  <si>
    <t xml:space="preserve"> 63.3077 </t>
  </si>
  <si>
    <t xml:space="preserve">\\192.168.24.208\images\R&amp;D\2-Test oestrogénique\OECD and AOPs\REACTIV oecd interlaboratory validation\WF data\Repeats for invalid experiments - EBO\2022-EBO-ARABINOSE R4\plaque 1/@08 ARABINOSE 0.01/D8_02.tif </t>
  </si>
  <si>
    <t xml:space="preserve"> 1827.3154 </t>
  </si>
  <si>
    <t xml:space="preserve"> 65.4762 </t>
  </si>
  <si>
    <t>\\192.168.24.208\images\R&amp;D\2-Test oestrogénique\OECD and AOPs\REACTIV oecd interlaboratory validation\WF data\Repeats for invalid experiments - EBO\2022-EBO-ARABINOSE R4\plaque 1/@08 ARABINOSE 0.01/D8_03- exclu.tif</t>
  </si>
  <si>
    <t xml:space="preserve">\\192.168.24.208\images\R&amp;D\2-Test oestrogénique\OECD and AOPs\REACTIV oecd interlaboratory validation\WF data\Repeats for invalid experiments - EBO\2022-EBO-ARABINOSE R4\plaque 1/@08 ARABINOSE 0.01/E8_01.tif </t>
  </si>
  <si>
    <t xml:space="preserve"> 848.3964 </t>
  </si>
  <si>
    <t xml:space="preserve"> 63.641 </t>
  </si>
  <si>
    <t xml:space="preserve">\\192.168.24.208\images\R&amp;D\2-Test oestrogénique\OECD and AOPs\REACTIV oecd interlaboratory validation\WF data\Repeats for invalid experiments - EBO\2022-EBO-ARABINOSE R4\plaque 1/@08 ARABINOSE 0.01/E8_02.tif </t>
  </si>
  <si>
    <t xml:space="preserve"> 65.4306 </t>
  </si>
  <si>
    <t xml:space="preserve">\\192.168.24.208\images\R&amp;D\2-Test oestrogénique\OECD and AOPs\REACTIV oecd interlaboratory validation\WF data\Repeats for invalid experiments - EBO\2022-EBO-ARABINOSE R4\plaque 1/@08 ARABINOSE 0.01/E8_03.tif </t>
  </si>
  <si>
    <t xml:space="preserve"> 478.5826 </t>
  </si>
  <si>
    <t xml:space="preserve"> 67.6818 </t>
  </si>
  <si>
    <t xml:space="preserve">\\192.168.24.208\images\R&amp;D\2-Test oestrogénique\OECD and AOPs\REACTIV oecd interlaboratory validation\WF data\Repeats for invalid experiments - EBO\2022-EBO-ARABINOSE R4\plaque 1/@08 ARABINOSE 0.01/F8_01.tif </t>
  </si>
  <si>
    <t xml:space="preserve"> 1762.0542 </t>
  </si>
  <si>
    <t xml:space="preserve"> 65.4815 </t>
  </si>
  <si>
    <t xml:space="preserve">\\192.168.24.208\images\R&amp;D\2-Test oestrogénique\OECD and AOPs\REACTIV oecd interlaboratory validation\WF data\Repeats for invalid experiments - EBO\2022-EBO-ARABINOSE R4\plaque 1/@08 ARABINOSE 0.01/F8_02.tif </t>
  </si>
  <si>
    <t xml:space="preserve"> 1239.964 </t>
  </si>
  <si>
    <t xml:space="preserve">\\192.168.24.208\images\R&amp;D\2-Test oestrogénique\OECD and AOPs\REACTIV oecd interlaboratory validation\WF data\Repeats for invalid experiments - EBO\2022-EBO-ARABINOSE R4\plaque 1/@08 ARABINOSE 0.01/F8_03.tif </t>
  </si>
  <si>
    <t xml:space="preserve"> 62.9286 </t>
  </si>
  <si>
    <t xml:space="preserve">\\192.168.24.208\images\R&amp;D\2-Test oestrogénique\OECD and AOPs\REACTIV oecd interlaboratory validation\WF data\Repeats for invalid experiments - EBO\2022-EBO-ARABINOSE R4\plaque 1/@08 ARABINOSE 0.01/G8_01.tif </t>
  </si>
  <si>
    <t xml:space="preserve"> 5851.7601 </t>
  </si>
  <si>
    <t xml:space="preserve"> 74.9963 </t>
  </si>
  <si>
    <t xml:space="preserve">\\192.168.24.208\images\R&amp;D\2-Test oestrogénique\OECD and AOPs\REACTIV oecd interlaboratory validation\WF data\Repeats for invalid experiments - EBO\2022-EBO-ARABINOSE R4\plaque 1/@08 ARABINOSE 0.01/G8_02.tif </t>
  </si>
  <si>
    <t xml:space="preserve"> 63.7368 </t>
  </si>
  <si>
    <t xml:space="preserve">\\192.168.24.208\images\R&amp;D\2-Test oestrogénique\OECD and AOPs\REACTIV oecd interlaboratory validation\WF data\Repeats for invalid experiments - EBO\2022-EBO-ARABINOSE R4\plaque 1/@08 ARABINOSE 0.01/G8_03.tif </t>
  </si>
  <si>
    <t xml:space="preserve"> 5373.1775 </t>
  </si>
  <si>
    <t xml:space="preserve"> 68.8259 </t>
  </si>
  <si>
    <t xml:space="preserve">\\192.168.24.208\images\R&amp;D\2-Test oestrogénique\OECD and AOPs\REACTIV oecd interlaboratory validation\WF data\Repeats for invalid experiments - EBO\2022-EBO-ARABINOSE R4\plaque 1/@08 ARABINOSE 0.01/H8_01.tif </t>
  </si>
  <si>
    <t xml:space="preserve"> 891.904 </t>
  </si>
  <si>
    <t xml:space="preserve"> 66.0976 </t>
  </si>
  <si>
    <t xml:space="preserve">\\192.168.24.208\images\R&amp;D\2-Test oestrogénique\OECD and AOPs\REACTIV oecd interlaboratory validation\WF data\Repeats for invalid experiments - EBO\2022-EBO-ARABINOSE R4\plaque 1/@08 ARABINOSE 0.01/H8_02.tif </t>
  </si>
  <si>
    <t xml:space="preserve"> 64.9348 </t>
  </si>
  <si>
    <t xml:space="preserve">\\192.168.24.208\images\R&amp;D\2-Test oestrogénique\OECD and AOPs\REACTIV oecd interlaboratory validation\WF data\Repeats for invalid experiments - EBO\2022-EBO-ARABINOSE R4\plaque 1/@08 ARABINOSE 0.01/H8_03.tif </t>
  </si>
  <si>
    <t xml:space="preserve"> 391.5676 </t>
  </si>
  <si>
    <t xml:space="preserve">\\192.168.24.208\images\R&amp;D\2-Test oestrogénique\OECD and AOPs\REACTIV oecd interlaboratory validation\WF data\Repeats for invalid experiments - EBO\2022-EBO-ARABINOSE R4\plaque 1/@08 ARABINOSE 0.01/ </t>
  </si>
  <si>
    <t xml:space="preserve"> 64.9412 </t>
  </si>
  <si>
    <t xml:space="preserve"> 2.6708 </t>
  </si>
  <si>
    <t xml:space="preserve"> 72143.625 </t>
  </si>
  <si>
    <t xml:space="preserve"> 108104.717 </t>
  </si>
  <si>
    <t>\\192.168.24.208\images\R&amp;D\2-Test oestrogénique\OECD and AOPs\REACTIV oecd interlaboratory validation\WF data\Repeats for invalid experiments - EBO\2022-EBO-ARABINOSE R4\plaque 1/@09 ARABINOSE 0.1/A9_01- exclu.tif</t>
  </si>
  <si>
    <t xml:space="preserve">\\192.168.24.208\images\R&amp;D\2-Test oestrogénique\OECD and AOPs\REACTIV oecd interlaboratory validation\WF data\Repeats for invalid experiments - EBO\2022-EBO-ARABINOSE R4\plaque 1/@09 ARABINOSE 0.1/A9_02.tif </t>
  </si>
  <si>
    <t xml:space="preserve"> 63.7 </t>
  </si>
  <si>
    <t xml:space="preserve">\\192.168.24.208\images\R&amp;D\2-Test oestrogénique\OECD and AOPs\REACTIV oecd interlaboratory validation\WF data\Repeats for invalid experiments - EBO\2022-EBO-ARABINOSE R4\plaque 1/@09 ARABINOSE 0.1/A9_03.tif </t>
  </si>
  <si>
    <t xml:space="preserve"> 369.8138 </t>
  </si>
  <si>
    <t xml:space="preserve"> 63.5294 </t>
  </si>
  <si>
    <t xml:space="preserve">\\192.168.24.208\images\R&amp;D\2-Test oestrogénique\OECD and AOPs\REACTIV oecd interlaboratory validation\WF data\Repeats for invalid experiments - EBO\2022-EBO-ARABINOSE R4\plaque 1/@09 ARABINOSE 0.1/B9_01.tif </t>
  </si>
  <si>
    <t xml:space="preserve"> 67.4333 </t>
  </si>
  <si>
    <t>\\192.168.24.208\images\R&amp;D\2-Test oestrogénique\OECD and AOPs\REACTIV oecd interlaboratory validation\WF data\Repeats for invalid experiments - EBO\2022-EBO-ARABINOSE R4\plaque 1/@09 ARABINOSE 0.1/B9_02- exclu.tif</t>
  </si>
  <si>
    <t xml:space="preserve">\\192.168.24.208\images\R&amp;D\2-Test oestrogénique\OECD and AOPs\REACTIV oecd interlaboratory validation\WF data\Repeats for invalid experiments - EBO\2022-EBO-ARABINOSE R4\plaque 1/@09 ARABINOSE 0.1/B9_03.tif </t>
  </si>
  <si>
    <t xml:space="preserve"> 64.0714 </t>
  </si>
  <si>
    <t>\\192.168.24.208\images\R&amp;D\2-Test oestrogénique\OECD and AOPs\REACTIV oecd interlaboratory validation\WF data\Repeats for invalid experiments - EBO\2022-EBO-ARABINOSE R4\plaque 1/@09 ARABINOSE 0.1/C9_01- exclu.tif</t>
  </si>
  <si>
    <t xml:space="preserve">\\192.168.24.208\images\R&amp;D\2-Test oestrogénique\OECD and AOPs\REACTIV oecd interlaboratory validation\WF data\Repeats for invalid experiments - EBO\2022-EBO-ARABINOSE R4\plaque 1/@09 ARABINOSE 0.1/C9_02.tif </t>
  </si>
  <si>
    <t xml:space="preserve"> 1718.5466 </t>
  </si>
  <si>
    <t xml:space="preserve"> 67.2025 </t>
  </si>
  <si>
    <t xml:space="preserve">\\192.168.24.208\images\R&amp;D\2-Test oestrogénique\OECD and AOPs\REACTIV oecd interlaboratory validation\WF data\Repeats for invalid experiments - EBO\2022-EBO-ARABINOSE R4\plaque 1/@09 ARABINOSE 0.1/C9_03.tif </t>
  </si>
  <si>
    <t xml:space="preserve"> 4742.3186 </t>
  </si>
  <si>
    <t xml:space="preserve"> 69.6468 </t>
  </si>
  <si>
    <t xml:space="preserve">\\192.168.24.208\images\R&amp;D\2-Test oestrogénique\OECD and AOPs\REACTIV oecd interlaboratory validation\WF data\Repeats for invalid experiments - EBO\2022-EBO-ARABINOSE R4\plaque 1/@09 ARABINOSE 0.1/D9_01.tif </t>
  </si>
  <si>
    <t xml:space="preserve"> 66.5135 </t>
  </si>
  <si>
    <t xml:space="preserve">\\192.168.24.208\images\R&amp;D\2-Test oestrogénique\OECD and AOPs\REACTIV oecd interlaboratory validation\WF data\Repeats for invalid experiments - EBO\2022-EBO-ARABINOSE R4\plaque 1/@09 ARABINOSE 0.1/D9_02.tif </t>
  </si>
  <si>
    <t xml:space="preserve"> 870.1502 </t>
  </si>
  <si>
    <t xml:space="preserve"> 64.25 </t>
  </si>
  <si>
    <t xml:space="preserve">\\192.168.24.208\images\R&amp;D\2-Test oestrogénique\OECD and AOPs\REACTIV oecd interlaboratory validation\WF data\Repeats for invalid experiments - EBO\2022-EBO-ARABINOSE R4\plaque 1/@09 ARABINOSE 0.1/D9_03.tif </t>
  </si>
  <si>
    <t xml:space="preserve"> 609.1051 </t>
  </si>
  <si>
    <t xml:space="preserve"> 63.7857 </t>
  </si>
  <si>
    <t xml:space="preserve">\\192.168.24.208\images\R&amp;D\2-Test oestrogénique\OECD and AOPs\REACTIV oecd interlaboratory validation\WF data\Repeats for invalid experiments - EBO\2022-EBO-ARABINOSE R4\plaque 1/@09 ARABINOSE 0.1/E9_01.tif </t>
  </si>
  <si>
    <t xml:space="preserve"> 65.0476 </t>
  </si>
  <si>
    <t xml:space="preserve">\\192.168.24.208\images\R&amp;D\2-Test oestrogénique\OECD and AOPs\REACTIV oecd interlaboratory validation\WF data\Repeats for invalid experiments - EBO\2022-EBO-ARABINOSE R4\plaque 1/@09 ARABINOSE 0.1/E9_02.tif </t>
  </si>
  <si>
    <t xml:space="preserve"> 543.8439 </t>
  </si>
  <si>
    <t xml:space="preserve"> 64.92 </t>
  </si>
  <si>
    <t xml:space="preserve">\\192.168.24.208\images\R&amp;D\2-Test oestrogénique\OECD and AOPs\REACTIV oecd interlaboratory validation\WF data\Repeats for invalid experiments - EBO\2022-EBO-ARABINOSE R4\plaque 1/@09 ARABINOSE 0.1/E9_03.tif </t>
  </si>
  <si>
    <t xml:space="preserve"> 63.5224 </t>
  </si>
  <si>
    <t xml:space="preserve">\\192.168.24.208\images\R&amp;D\2-Test oestrogénique\OECD and AOPs\REACTIV oecd interlaboratory validation\WF data\Repeats for invalid experiments - EBO\2022-EBO-ARABINOSE R4\plaque 1/@09 ARABINOSE 0.1/F9_01.tif </t>
  </si>
  <si>
    <t xml:space="preserve">\\192.168.24.208\images\R&amp;D\2-Test oestrogénique\OECD and AOPs\REACTIV oecd interlaboratory validation\WF data\Repeats for invalid experiments - EBO\2022-EBO-ARABINOSE R4\plaque 1/@09 ARABINOSE 0.1/F9_02.tif </t>
  </si>
  <si>
    <t xml:space="preserve"> 65.2353 </t>
  </si>
  <si>
    <t xml:space="preserve">\\192.168.24.208\images\R&amp;D\2-Test oestrogénique\OECD and AOPs\REACTIV oecd interlaboratory validation\WF data\Repeats for invalid experiments - EBO\2022-EBO-ARABINOSE R4\plaque 1/@09 ARABINOSE 0.1/F9_03.tif </t>
  </si>
  <si>
    <t xml:space="preserve"> 65.2581 </t>
  </si>
  <si>
    <t xml:space="preserve">\\192.168.24.208\images\R&amp;D\2-Test oestrogénique\OECD and AOPs\REACTIV oecd interlaboratory validation\WF data\Repeats for invalid experiments - EBO\2022-EBO-ARABINOSE R4\plaque 1/@09 ARABINOSE 0.1/G9_01.tif </t>
  </si>
  <si>
    <t xml:space="preserve"> 7374.5229 </t>
  </si>
  <si>
    <t xml:space="preserve"> 68.6549 </t>
  </si>
  <si>
    <t xml:space="preserve">\\192.168.24.208\images\R&amp;D\2-Test oestrogénique\OECD and AOPs\REACTIV oecd interlaboratory validation\WF data\Repeats for invalid experiments - EBO\2022-EBO-ARABINOSE R4\plaque 1/@09 ARABINOSE 0.1/G9_02.tif </t>
  </si>
  <si>
    <t xml:space="preserve"> 6004.0364 </t>
  </si>
  <si>
    <t xml:space="preserve"> 66.3442 </t>
  </si>
  <si>
    <t>\\192.168.24.208\images\R&amp;D\2-Test oestrogénique\OECD and AOPs\REACTIV oecd interlaboratory validation\WF data\Repeats for invalid experiments - EBO\2022-EBO-ARABINOSE R4\plaque 1/@09 ARABINOSE 0.1/G9_03- exclu.tif</t>
  </si>
  <si>
    <t xml:space="preserve">\\192.168.24.208\images\R&amp;D\2-Test oestrogénique\OECD and AOPs\REACTIV oecd interlaboratory validation\WF data\Repeats for invalid experiments - EBO\2022-EBO-ARABINOSE R4\plaque 1/@09 ARABINOSE 0.1/H9_01.tif </t>
  </si>
  <si>
    <t xml:space="preserve"> 717.8739 </t>
  </si>
  <si>
    <t xml:space="preserve"> 63.7879 </t>
  </si>
  <si>
    <t>\\192.168.24.208\images\R&amp;D\2-Test oestrogénique\OECD and AOPs\REACTIV oecd interlaboratory validation\WF data\Repeats for invalid experiments - EBO\2022-EBO-ARABINOSE R4\plaque 1/@09 ARABINOSE 0.1/H9_02- exclu.tif</t>
  </si>
  <si>
    <t>\\192.168.24.208\images\R&amp;D\2-Test oestrogénique\OECD and AOPs\REACTIV oecd interlaboratory validation\WF data\Repeats for invalid experiments - EBO\2022-EBO-ARABINOSE R4\plaque 1/@09 ARABINOSE 0.1/H9_03- exclu.tif</t>
  </si>
  <si>
    <t xml:space="preserve">\\192.168.24.208\images\R&amp;D\2-Test oestrogénique\OECD and AOPs\REACTIV oecd interlaboratory validation\WF data\Repeats for invalid experiments - EBO\2022-EBO-ARABINOSE R4\plaque 1/@09 ARABINOSE 0.1/ </t>
  </si>
  <si>
    <t xml:space="preserve"> 66.1115 </t>
  </si>
  <si>
    <t xml:space="preserve"> 4.1809 </t>
  </si>
  <si>
    <t xml:space="preserve"> 140529.333 </t>
  </si>
  <si>
    <t xml:space="preserve"> 288712.143 </t>
  </si>
  <si>
    <t>\\192.168.24.208\images\R&amp;D\2-Test oestrogénique\OECD and AOPs\REACTIV oecd interlaboratory validation\WF data\Repeats for invalid experiments - EBO\2022-EBO-ARABINOSE R4\plaque 1/@10 ARABINOSE 1/A10_01- exclu.tif</t>
  </si>
  <si>
    <t xml:space="preserve">\\192.168.24.208\images\R&amp;D\2-Test oestrogénique\OECD and AOPs\REACTIV oecd interlaboratory validation\WF data\Repeats for invalid experiments - EBO\2022-EBO-ARABINOSE R4\plaque 1/@10 ARABINOSE 1/A10_02.tif </t>
  </si>
  <si>
    <t xml:space="preserve"> 630.8589 </t>
  </si>
  <si>
    <t xml:space="preserve"> 62.931 </t>
  </si>
  <si>
    <t xml:space="preserve">\\192.168.24.208\images\R&amp;D\2-Test oestrogénique\OECD and AOPs\REACTIV oecd interlaboratory validation\WF data\Repeats for invalid experiments - EBO\2022-EBO-ARABINOSE R4\plaque 1/@10 ARABINOSE 1/A10_03.tif </t>
  </si>
  <si>
    <t xml:space="preserve"> 2305.898 </t>
  </si>
  <si>
    <t xml:space="preserve"> 67.1415 </t>
  </si>
  <si>
    <t xml:space="preserve">\\192.168.24.208\images\R&amp;D\2-Test oestrogénique\OECD and AOPs\REACTIV oecd interlaboratory validation\WF data\Repeats for invalid experiments - EBO\2022-EBO-ARABINOSE R4\plaque 1/@10 ARABINOSE 1/B10_01.tif </t>
  </si>
  <si>
    <t xml:space="preserve"> 63.0909 </t>
  </si>
  <si>
    <t xml:space="preserve">\\192.168.24.208\images\R&amp;D\2-Test oestrogénique\OECD and AOPs\REACTIV oecd interlaboratory validation\WF data\Repeats for invalid experiments - EBO\2022-EBO-ARABINOSE R4\plaque 1/@10 ARABINOSE 1/B10_02.tif </t>
  </si>
  <si>
    <t xml:space="preserve"> 64.6667 </t>
  </si>
  <si>
    <t xml:space="preserve">\\192.168.24.208\images\R&amp;D\2-Test oestrogénique\OECD and AOPs\REACTIV oecd interlaboratory validation\WF data\Repeats for invalid experiments - EBO\2022-EBO-ARABINOSE R4\plaque 1/@10 ARABINOSE 1/B10_03.tif </t>
  </si>
  <si>
    <t xml:space="preserve"> 65.9412 </t>
  </si>
  <si>
    <t xml:space="preserve">\\192.168.24.208\images\R&amp;D\2-Test oestrogénique\OECD and AOPs\REACTIV oecd interlaboratory validation\WF data\Repeats for invalid experiments - EBO\2022-EBO-ARABINOSE R4\plaque 1/@10 ARABINOSE 1/C10_01.tif </t>
  </si>
  <si>
    <t xml:space="preserve"> 2871.4957 </t>
  </si>
  <si>
    <t xml:space="preserve"> 65.8258 </t>
  </si>
  <si>
    <t xml:space="preserve">\\192.168.24.208\images\R&amp;D\2-Test oestrogénique\OECD and AOPs\REACTIV oecd interlaboratory validation\WF data\Repeats for invalid experiments - EBO\2022-EBO-ARABINOSE R4\plaque 1/@10 ARABINOSE 1/C10_02.tif </t>
  </si>
  <si>
    <t xml:space="preserve"> 1522.7629 </t>
  </si>
  <si>
    <t xml:space="preserve"> 68.4143 </t>
  </si>
  <si>
    <t xml:space="preserve">\\192.168.24.208\images\R&amp;D\2-Test oestrogénique\OECD and AOPs\REACTIV oecd interlaboratory validation\WF data\Repeats for invalid experiments - EBO\2022-EBO-ARABINOSE R4\plaque 1/@10 ARABINOSE 1/C10_03.tif </t>
  </si>
  <si>
    <t xml:space="preserve"> 68.0244 </t>
  </si>
  <si>
    <t xml:space="preserve">\\192.168.24.208\images\R&amp;D\2-Test oestrogénique\OECD and AOPs\REACTIV oecd interlaboratory validation\WF data\Repeats for invalid experiments - EBO\2022-EBO-ARABINOSE R4\plaque 1/@10 ARABINOSE 1/D10_01.tif </t>
  </si>
  <si>
    <t xml:space="preserve"> 63.1026 </t>
  </si>
  <si>
    <t xml:space="preserve">\\192.168.24.208\images\R&amp;D\2-Test oestrogénique\OECD and AOPs\REACTIV oecd interlaboratory validation\WF data\Repeats for invalid experiments - EBO\2022-EBO-ARABINOSE R4\plaque 1/@10 ARABINOSE 1/D10_02.tif </t>
  </si>
  <si>
    <t xml:space="preserve"> 63.25 </t>
  </si>
  <si>
    <t xml:space="preserve">\\192.168.24.208\images\R&amp;D\2-Test oestrogénique\OECD and AOPs\REACTIV oecd interlaboratory validation\WF data\Repeats for invalid experiments - EBO\2022-EBO-ARABINOSE R4\plaque 1/@10 ARABINOSE 1/D10_03.tif </t>
  </si>
  <si>
    <t xml:space="preserve"> 61.1111 </t>
  </si>
  <si>
    <t>\\192.168.24.208\images\R&amp;D\2-Test oestrogénique\OECD and AOPs\REACTIV oecd interlaboratory validation\WF data\Repeats for invalid experiments - EBO\2022-EBO-ARABINOSE R4\plaque 1/@10 ARABINOSE 1/E10_01- exclu.tif</t>
  </si>
  <si>
    <t xml:space="preserve">\\192.168.24.208\images\R&amp;D\2-Test oestrogénique\OECD and AOPs\REACTIV oecd interlaboratory validation\WF data\Repeats for invalid experiments - EBO\2022-EBO-ARABINOSE R4\plaque 1/@10 ARABINOSE 1/E10_02.tif </t>
  </si>
  <si>
    <t xml:space="preserve"> 64.1895 </t>
  </si>
  <si>
    <t xml:space="preserve">\\192.168.24.208\images\R&amp;D\2-Test oestrogénique\OECD and AOPs\REACTIV oecd interlaboratory validation\WF data\Repeats for invalid experiments - EBO\2022-EBO-ARABINOSE R4\plaque 1/@10 ARABINOSE 1/E10_03.tif </t>
  </si>
  <si>
    <t xml:space="preserve"> 1283.4715 </t>
  </si>
  <si>
    <t xml:space="preserve"> 63.7119 </t>
  </si>
  <si>
    <t xml:space="preserve">\\192.168.24.208\images\R&amp;D\2-Test oestrogénique\OECD and AOPs\REACTIV oecd interlaboratory validation\WF data\Repeats for invalid experiments - EBO\2022-EBO-ARABINOSE R4\plaque 1/@10 ARABINOSE 1/F10_01.tif </t>
  </si>
  <si>
    <t xml:space="preserve"> 62.9231 </t>
  </si>
  <si>
    <t xml:space="preserve">\\192.168.24.208\images\R&amp;D\2-Test oestrogénique\OECD and AOPs\REACTIV oecd interlaboratory validation\WF data\Repeats for invalid experiments - EBO\2022-EBO-ARABINOSE R4\plaque 1/@10 ARABINOSE 1/F10_02.tif </t>
  </si>
  <si>
    <t xml:space="preserve"> 3458.847 </t>
  </si>
  <si>
    <t xml:space="preserve"> 66.8428 </t>
  </si>
  <si>
    <t xml:space="preserve">\\192.168.24.208\images\R&amp;D\2-Test oestrogénique\OECD and AOPs\REACTIV oecd interlaboratory validation\WF data\Repeats for invalid experiments - EBO\2022-EBO-ARABINOSE R4\plaque 1/@10 ARABINOSE 1/F10_03.tif </t>
  </si>
  <si>
    <t xml:space="preserve"> 65.8108 </t>
  </si>
  <si>
    <t xml:space="preserve">\\192.168.24.208\images\R&amp;D\2-Test oestrogénique\OECD and AOPs\REACTIV oecd interlaboratory validation\WF data\Repeats for invalid experiments - EBO\2022-EBO-ARABINOSE R4\plaque 1/@10 ARABINOSE 1/G10_01.tif </t>
  </si>
  <si>
    <t xml:space="preserve"> 2479.9281 </t>
  </si>
  <si>
    <t xml:space="preserve"> 65.3509 </t>
  </si>
  <si>
    <t xml:space="preserve">\\192.168.24.208\images\R&amp;D\2-Test oestrogénique\OECD and AOPs\REACTIV oecd interlaboratory validation\WF data\Repeats for invalid experiments - EBO\2022-EBO-ARABINOSE R4\plaque 1/@10 ARABINOSE 1/G10_02.tif </t>
  </si>
  <si>
    <t xml:space="preserve"> 66.4146 </t>
  </si>
  <si>
    <t xml:space="preserve">\\192.168.24.208\images\R&amp;D\2-Test oestrogénique\OECD and AOPs\REACTIV oecd interlaboratory validation\WF data\Repeats for invalid experiments - EBO\2022-EBO-ARABINOSE R4\plaque 1/@10 ARABINOSE 1/G10_03.tif </t>
  </si>
  <si>
    <t xml:space="preserve"> 1065.934 </t>
  </si>
  <si>
    <t xml:space="preserve"> 63.898 </t>
  </si>
  <si>
    <t xml:space="preserve">\\192.168.24.208\images\R&amp;D\2-Test oestrogénique\OECD and AOPs\REACTIV oecd interlaboratory validation\WF data\Repeats for invalid experiments - EBO\2022-EBO-ARABINOSE R4\plaque 1/@10 ARABINOSE 1/H10_01.tif </t>
  </si>
  <si>
    <t xml:space="preserve"> 64.1579 </t>
  </si>
  <si>
    <t xml:space="preserve">\\192.168.24.208\images\R&amp;D\2-Test oestrogénique\OECD and AOPs\REACTIV oecd interlaboratory validation\WF data\Repeats for invalid experiments - EBO\2022-EBO-ARABINOSE R4\plaque 1/@10 ARABINOSE 1/H10_02.tif </t>
  </si>
  <si>
    <t xml:space="preserve"> 64.1818 </t>
  </si>
  <si>
    <t xml:space="preserve">\\192.168.24.208\images\R&amp;D\2-Test oestrogénique\OECD and AOPs\REACTIV oecd interlaboratory validation\WF data\Repeats for invalid experiments - EBO\2022-EBO-ARABINOSE R4\plaque 1/@10 ARABINOSE 1/H10_03.tif </t>
  </si>
  <si>
    <t xml:space="preserve"> 65.1429 </t>
  </si>
  <si>
    <t xml:space="preserve">\\192.168.24.208\images\R&amp;D\2-Test oestrogénique\OECD and AOPs\REACTIV oecd interlaboratory validation\WF data\Repeats for invalid experiments - EBO\2022-EBO-ARABINOSE R4\plaque 1/@10 ARABINOSE 1/ </t>
  </si>
  <si>
    <t xml:space="preserve"> 64.7738 </t>
  </si>
  <si>
    <t xml:space="preserve"> 1.8276 </t>
  </si>
  <si>
    <t xml:space="preserve"> 75592.4167 </t>
  </si>
  <si>
    <t xml:space="preserve"> 73755.4872 </t>
  </si>
  <si>
    <t xml:space="preserve">\\192.168.24.208\images\R&amp;D\2-Test oestrogénique\OECD and AOPs\REACTIV oecd interlaboratory validation\WF data\Repeats for invalid experiments - EBO\2022-EBO-ARABINOSE R4\plaque 1/@11 ARABINOSE 10/A11_01.tif </t>
  </si>
  <si>
    <t xml:space="preserve"> 65.3125 </t>
  </si>
  <si>
    <t xml:space="preserve">\\192.168.24.208\images\R&amp;D\2-Test oestrogénique\OECD and AOPs\REACTIV oecd interlaboratory validation\WF data\Repeats for invalid experiments - EBO\2022-EBO-ARABINOSE R4\plaque 1/@11 ARABINOSE 10/A11_02.tif </t>
  </si>
  <si>
    <t xml:space="preserve"> 63.8889 </t>
  </si>
  <si>
    <t xml:space="preserve">\\192.168.24.208\images\R&amp;D\2-Test oestrogénique\OECD and AOPs\REACTIV oecd interlaboratory validation\WF data\Repeats for invalid experiments - EBO\2022-EBO-ARABINOSE R4\plaque 1/@11 ARABINOSE 10/A11_03.tif </t>
  </si>
  <si>
    <t xml:space="preserve"> 65.1667 </t>
  </si>
  <si>
    <t>\\192.168.24.208\images\R&amp;D\2-Test oestrogénique\OECD and AOPs\REACTIV oecd interlaboratory validation\WF data\Repeats for invalid experiments - EBO\2022-EBO-ARABINOSE R4\plaque 1/@11 ARABINOSE 10/B11_01- exclu.tif</t>
  </si>
  <si>
    <t>\\192.168.24.208\images\R&amp;D\2-Test oestrogénique\OECD and AOPs\REACTIV oecd interlaboratory validation\WF data\Repeats for invalid experiments - EBO\2022-EBO-ARABINOSE R4\plaque 1/@11 ARABINOSE 10/B11_02- exclu.tif</t>
  </si>
  <si>
    <t>\\192.168.24.208\images\R&amp;D\2-Test oestrogénique\OECD and AOPs\REACTIV oecd interlaboratory validation\WF data\Repeats for invalid experiments - EBO\2022-EBO-ARABINOSE R4\plaque 1/@11 ARABINOSE 10/B11_03- exclu.tif</t>
  </si>
  <si>
    <t xml:space="preserve">\\192.168.24.208\images\R&amp;D\2-Test oestrogénique\OECD and AOPs\REACTIV oecd interlaboratory validation\WF data\Repeats for invalid experiments - EBO\2022-EBO-ARABINOSE R4\plaque 1/@11 ARABINOSE 10/C11_01.tif </t>
  </si>
  <si>
    <t xml:space="preserve"> 3328.3245 </t>
  </si>
  <si>
    <t xml:space="preserve"> 65.3137 </t>
  </si>
  <si>
    <t xml:space="preserve">\\192.168.24.208\images\R&amp;D\2-Test oestrogénique\OECD and AOPs\REACTIV oecd interlaboratory validation\WF data\Repeats for invalid experiments - EBO\2022-EBO-ARABINOSE R4\plaque 1/@11 ARABINOSE 10/C11_02.tif </t>
  </si>
  <si>
    <t xml:space="preserve"> 2697.4656 </t>
  </si>
  <si>
    <t xml:space="preserve"> 66.5242 </t>
  </si>
  <si>
    <t xml:space="preserve">\\192.168.24.208\images\R&amp;D\2-Test oestrogénique\OECD and AOPs\REACTIV oecd interlaboratory validation\WF data\Repeats for invalid experiments - EBO\2022-EBO-ARABINOSE R4\plaque 1/@11 ARABINOSE 10/C11_03.tif </t>
  </si>
  <si>
    <t xml:space="preserve"> 2349.4055 </t>
  </si>
  <si>
    <t xml:space="preserve"> 64.463 </t>
  </si>
  <si>
    <t xml:space="preserve">\\192.168.24.208\images\R&amp;D\2-Test oestrogénique\OECD and AOPs\REACTIV oecd interlaboratory validation\WF data\Repeats for invalid experiments - EBO\2022-EBO-ARABINOSE R4\plaque 1/@11 ARABINOSE 10/D11_01.tif </t>
  </si>
  <si>
    <t xml:space="preserve"> 6460.8652 </t>
  </si>
  <si>
    <t xml:space="preserve"> 67.1953 </t>
  </si>
  <si>
    <t>\\192.168.24.208\images\R&amp;D\2-Test oestrogénique\OECD and AOPs\REACTIV oecd interlaboratory validation\WF data\Repeats for invalid experiments - EBO\2022-EBO-ARABINOSE R4\plaque 1/@11 ARABINOSE 10/D11_02- exclu.tif</t>
  </si>
  <si>
    <t>\\192.168.24.208\images\R&amp;D\2-Test oestrogénique\OECD and AOPs\REACTIV oecd interlaboratory validation\WF data\Repeats for invalid experiments - EBO\2022-EBO-ARABINOSE R4\plaque 1/@11 ARABINOSE 10/D11_03- exclu.tif</t>
  </si>
  <si>
    <t xml:space="preserve">\\192.168.24.208\images\R&amp;D\2-Test oestrogénique\OECD and AOPs\REACTIV oecd interlaboratory validation\WF data\Repeats for invalid experiments - EBO\2022-EBO-ARABINOSE R4\plaque 1/@11 ARABINOSE 10/E11_01.tif </t>
  </si>
  <si>
    <t xml:space="preserve"> 65.5083 </t>
  </si>
  <si>
    <t xml:space="preserve">\\192.168.24.208\images\R&amp;D\2-Test oestrogénique\OECD and AOPs\REACTIV oecd interlaboratory validation\WF data\Repeats for invalid experiments - EBO\2022-EBO-ARABINOSE R4\plaque 1/@11 ARABINOSE 10/E11_02.tif </t>
  </si>
  <si>
    <t xml:space="preserve"> 913.6577 </t>
  </si>
  <si>
    <t xml:space="preserve"> 66.0952 </t>
  </si>
  <si>
    <t xml:space="preserve">\\192.168.24.208\images\R&amp;D\2-Test oestrogénique\OECD and AOPs\REACTIV oecd interlaboratory validation\WF data\Repeats for invalid experiments - EBO\2022-EBO-ARABINOSE R4\plaque 1/@11 ARABINOSE 10/E11_03.tif </t>
  </si>
  <si>
    <t xml:space="preserve">\\192.168.24.208\images\R&amp;D\2-Test oestrogénique\OECD and AOPs\REACTIV oecd interlaboratory validation\WF data\Repeats for invalid experiments - EBO\2022-EBO-ARABINOSE R4\plaque 1/@11 ARABINOSE 10/F11_01.tif </t>
  </si>
  <si>
    <t xml:space="preserve"> 64.1333 </t>
  </si>
  <si>
    <t xml:space="preserve">\\192.168.24.208\images\R&amp;D\2-Test oestrogénique\OECD and AOPs\REACTIV oecd interlaboratory validation\WF data\Repeats for invalid experiments - EBO\2022-EBO-ARABINOSE R4\plaque 1/@11 ARABINOSE 10/F11_02.tif </t>
  </si>
  <si>
    <t xml:space="preserve"> 63.1905 </t>
  </si>
  <si>
    <t xml:space="preserve">\\192.168.24.208\images\R&amp;D\2-Test oestrogénique\OECD and AOPs\REACTIV oecd interlaboratory validation\WF data\Repeats for invalid experiments - EBO\2022-EBO-ARABINOSE R4\plaque 1/@11 ARABINOSE 10/F11_03.tif </t>
  </si>
  <si>
    <t xml:space="preserve"> 64.7273 </t>
  </si>
  <si>
    <t>\\192.168.24.208\images\R&amp;D\2-Test oestrogénique\OECD and AOPs\REACTIV oecd interlaboratory validation\WF data\Repeats for invalid experiments - EBO\2022-EBO-ARABINOSE R4\plaque 1/@11 ARABINOSE 10/G11_01- exclu.tif</t>
  </si>
  <si>
    <t xml:space="preserve">\\192.168.24.208\images\R&amp;D\2-Test oestrogénique\OECD and AOPs\REACTIV oecd interlaboratory validation\WF data\Repeats for invalid experiments - EBO\2022-EBO-ARABINOSE R4\plaque 1/@11 ARABINOSE 10/G11_02.tif </t>
  </si>
  <si>
    <t xml:space="preserve"> 63.9492 </t>
  </si>
  <si>
    <t xml:space="preserve">\\192.168.24.208\images\R&amp;D\2-Test oestrogénique\OECD and AOPs\REACTIV oecd interlaboratory validation\WF data\Repeats for invalid experiments - EBO\2022-EBO-ARABINOSE R4\plaque 1/@11 ARABINOSE 10/G11_03.tif </t>
  </si>
  <si>
    <t xml:space="preserve">\\192.168.24.208\images\R&amp;D\2-Test oestrogénique\OECD and AOPs\REACTIV oecd interlaboratory validation\WF data\Repeats for invalid experiments - EBO\2022-EBO-ARABINOSE R4\plaque 1/@11 ARABINOSE 10/H11_01.tif </t>
  </si>
  <si>
    <t xml:space="preserve"> 4829.3336 </t>
  </si>
  <si>
    <t xml:space="preserve"> 68.9279 </t>
  </si>
  <si>
    <t xml:space="preserve">\\192.168.24.208\images\R&amp;D\2-Test oestrogénique\OECD and AOPs\REACTIV oecd interlaboratory validation\WF data\Repeats for invalid experiments - EBO\2022-EBO-ARABINOSE R4\plaque 1/@11 ARABINOSE 10/H11_02.tif </t>
  </si>
  <si>
    <t xml:space="preserve"> 1653.2854 </t>
  </si>
  <si>
    <t xml:space="preserve"> 65.7632 </t>
  </si>
  <si>
    <t xml:space="preserve">\\192.168.24.208\images\R&amp;D\2-Test oestrogénique\OECD and AOPs\REACTIV oecd interlaboratory validation\WF data\Repeats for invalid experiments - EBO\2022-EBO-ARABINOSE R4\plaque 1/@11 ARABINOSE 10/H11_03.tif </t>
  </si>
  <si>
    <t xml:space="preserve"> 1740.3004 </t>
  </si>
  <si>
    <t xml:space="preserve"> 64.55 </t>
  </si>
  <si>
    <t xml:space="preserve">\\192.168.24.208\images\R&amp;D\2-Test oestrogénique\OECD and AOPs\REACTIV oecd interlaboratory validation\WF data\Repeats for invalid experiments - EBO\2022-EBO-ARABINOSE R4\plaque 1/@11 ARABINOSE 10/ </t>
  </si>
  <si>
    <t xml:space="preserve"> 65.6712 </t>
  </si>
  <si>
    <t xml:space="preserve"> 4.2239 </t>
  </si>
  <si>
    <t xml:space="preserve"> 129445.708 </t>
  </si>
  <si>
    <t xml:space="preserve"> 204601.38 </t>
  </si>
  <si>
    <t xml:space="preserve">\\192.168.24.208\images\R&amp;D\2-Test oestrogénique\OECD and AOPs\REACTIV oecd interlaboratory validation\WF data\Repeats for invalid experiments - EBO\2022-EBO-ARABINOSE R4\plaque 1/@12 ARABINOSE 100/A12_01.tif </t>
  </si>
  <si>
    <t xml:space="preserve"> 3219.5557 </t>
  </si>
  <si>
    <t xml:space="preserve"> 64.6622 </t>
  </si>
  <si>
    <t xml:space="preserve">\\192.168.24.208\images\R&amp;D\2-Test oestrogénique\OECD and AOPs\REACTIV oecd interlaboratory validation\WF data\Repeats for invalid experiments - EBO\2022-EBO-ARABINOSE R4\plaque 1/@12 ARABINOSE 100/A12_02.tif </t>
  </si>
  <si>
    <t xml:space="preserve">\\192.168.24.208\images\R&amp;D\2-Test oestrogénique\OECD and AOPs\REACTIV oecd interlaboratory validation\WF data\Repeats for invalid experiments - EBO\2022-EBO-ARABINOSE R4\plaque 1/@12 ARABINOSE 100/A12_03.tif </t>
  </si>
  <si>
    <t xml:space="preserve"> 65.2597 </t>
  </si>
  <si>
    <t xml:space="preserve">\\192.168.24.208\images\R&amp;D\2-Test oestrogénique\OECD and AOPs\REACTIV oecd interlaboratory validation\WF data\Repeats for invalid experiments - EBO\2022-EBO-ARABINOSE R4\plaque 1/@12 ARABINOSE 100/B12_01.tif </t>
  </si>
  <si>
    <t xml:space="preserve"> 63.5333 </t>
  </si>
  <si>
    <t xml:space="preserve">\\192.168.24.208\images\R&amp;D\2-Test oestrogénique\OECD and AOPs\REACTIV oecd interlaboratory validation\WF data\Repeats for invalid experiments - EBO\2022-EBO-ARABINOSE R4\plaque 1/@12 ARABINOSE 100/B12_02.tif </t>
  </si>
  <si>
    <t xml:space="preserve"> 62.9459 </t>
  </si>
  <si>
    <t xml:space="preserve">\\192.168.24.208\images\R&amp;D\2-Test oestrogénique\OECD and AOPs\REACTIV oecd interlaboratory validation\WF data\Repeats for invalid experiments - EBO\2022-EBO-ARABINOSE R4\plaque 1/@12 ARABINOSE 100/B12_03.tif </t>
  </si>
  <si>
    <t xml:space="preserve"> 1979.5917 </t>
  </si>
  <si>
    <t xml:space="preserve"> 64.4835 </t>
  </si>
  <si>
    <t xml:space="preserve">\\192.168.24.208\images\R&amp;D\2-Test oestrogénique\OECD and AOPs\REACTIV oecd interlaboratory validation\WF data\Repeats for invalid experiments - EBO\2022-EBO-ARABINOSE R4\plaque 1/@12 ARABINOSE 100/C12_01.tif </t>
  </si>
  <si>
    <t xml:space="preserve"> 65.6949 </t>
  </si>
  <si>
    <t xml:space="preserve">\\192.168.24.208\images\R&amp;D\2-Test oestrogénique\OECD and AOPs\REACTIV oecd interlaboratory validation\WF data\Repeats for invalid experiments - EBO\2022-EBO-ARABINOSE R4\plaque 1/@12 ARABINOSE 100/C12_02.tif </t>
  </si>
  <si>
    <t xml:space="preserve"> 2436.4206 </t>
  </si>
  <si>
    <t xml:space="preserve"> 67.2411 </t>
  </si>
  <si>
    <t xml:space="preserve">\\192.168.24.208\images\R&amp;D\2-Test oestrogénique\OECD and AOPs\REACTIV oecd interlaboratory validation\WF data\Repeats for invalid experiments - EBO\2022-EBO-ARABINOSE R4\plaque 1/@12 ARABINOSE 100/C12_03.tif </t>
  </si>
  <si>
    <t xml:space="preserve"> 2893.2494 </t>
  </si>
  <si>
    <t xml:space="preserve"> 66.4511 </t>
  </si>
  <si>
    <t xml:space="preserve">\\192.168.24.208\images\R&amp;D\2-Test oestrogénique\OECD and AOPs\REACTIV oecd interlaboratory validation\WF data\Repeats for invalid experiments - EBO\2022-EBO-ARABINOSE R4\plaque 1/@12 ARABINOSE 100/D12_01.tif </t>
  </si>
  <si>
    <t xml:space="preserve"> 6765.4178 </t>
  </si>
  <si>
    <t xml:space="preserve"> 68.0643 </t>
  </si>
  <si>
    <t xml:space="preserve">\\192.168.24.208\images\R&amp;D\2-Test oestrogénique\OECD and AOPs\REACTIV oecd interlaboratory validation\WF data\Repeats for invalid experiments - EBO\2022-EBO-ARABINOSE R4\plaque 1/@12 ARABINOSE 100/D12_02.tif </t>
  </si>
  <si>
    <t xml:space="preserve"> 5090.3787 </t>
  </si>
  <si>
    <t xml:space="preserve"> 68.9615 </t>
  </si>
  <si>
    <t xml:space="preserve">\\192.168.24.208\images\R&amp;D\2-Test oestrogénique\OECD and AOPs\REACTIV oecd interlaboratory validation\WF data\Repeats for invalid experiments - EBO\2022-EBO-ARABINOSE R4\plaque 1/@12 ARABINOSE 100/D12_03.tif </t>
  </si>
  <si>
    <t xml:space="preserve"> 63.3158 </t>
  </si>
  <si>
    <t>\\192.168.24.208\images\R&amp;D\2-Test oestrogénique\OECD and AOPs\REACTIV oecd interlaboratory validation\WF data\Repeats for invalid experiments - EBO\2022-EBO-ARABINOSE R4\plaque 1/@12 ARABINOSE 100/E12_01- exclu.tif</t>
  </si>
  <si>
    <t xml:space="preserve">\\192.168.24.208\images\R&amp;D\2-Test oestrogénique\OECD and AOPs\REACTIV oecd interlaboratory validation\WF data\Repeats for invalid experiments - EBO\2022-EBO-ARABINOSE R4\plaque 1/@12 ARABINOSE 100/E12_02.tif </t>
  </si>
  <si>
    <t xml:space="preserve"> 64.7368 </t>
  </si>
  <si>
    <t xml:space="preserve">\\192.168.24.208\images\R&amp;D\2-Test oestrogénique\OECD and AOPs\REACTIV oecd interlaboratory validation\WF data\Repeats for invalid experiments - EBO\2022-EBO-ARABINOSE R4\plaque 1/@12 ARABINOSE 100/E12_03.tif </t>
  </si>
  <si>
    <t xml:space="preserve">\\192.168.24.208\images\R&amp;D\2-Test oestrogénique\OECD and AOPs\REACTIV oecd interlaboratory validation\WF data\Repeats for invalid experiments - EBO\2022-EBO-ARABINOSE R4\plaque 1/@12 ARABINOSE 100/F12_01.tif </t>
  </si>
  <si>
    <t xml:space="preserve"> 2044.853 </t>
  </si>
  <si>
    <t xml:space="preserve"> 64.4894 </t>
  </si>
  <si>
    <t xml:space="preserve">\\192.168.24.208\images\R&amp;D\2-Test oestrogénique\OECD and AOPs\REACTIV oecd interlaboratory validation\WF data\Repeats for invalid experiments - EBO\2022-EBO-ARABINOSE R4\plaque 1/@12 ARABINOSE 100/F12_02.tif </t>
  </si>
  <si>
    <t xml:space="preserve"> 62.5366 </t>
  </si>
  <si>
    <t xml:space="preserve">\\192.168.24.208\images\R&amp;D\2-Test oestrogénique\OECD and AOPs\REACTIV oecd interlaboratory validation\WF data\Repeats for invalid experiments - EBO\2022-EBO-ARABINOSE R4\plaque 1/@12 ARABINOSE 100/F12_03.tif </t>
  </si>
  <si>
    <t xml:space="preserve"> 6199.8202 </t>
  </si>
  <si>
    <t xml:space="preserve"> 72.786 </t>
  </si>
  <si>
    <t>\\192.168.24.208\images\R&amp;D\2-Test oestrogénique\OECD and AOPs\REACTIV oecd interlaboratory validation\WF data\Repeats for invalid experiments - EBO\2022-EBO-ARABINOSE R4\plaque 1/@12 ARABINOSE 100/G12_01- exclu.tif</t>
  </si>
  <si>
    <t>\\192.168.24.208\images\R&amp;D\2-Test oestrogénique\OECD and AOPs\REACTIV oecd interlaboratory validation\WF data\Repeats for invalid experiments - EBO\2022-EBO-ARABINOSE R4\plaque 1/@12 ARABINOSE 100/G12_02- exclu.tif</t>
  </si>
  <si>
    <t>\\192.168.24.208\images\R&amp;D\2-Test oestrogénique\OECD and AOPs\REACTIV oecd interlaboratory validation\WF data\Repeats for invalid experiments - EBO\2022-EBO-ARABINOSE R4\plaque 1/@12 ARABINOSE 100/G12_03- exclu.tif</t>
  </si>
  <si>
    <t>\\192.168.24.208\images\R&amp;D\2-Test oestrogénique\OECD and AOPs\REACTIV oecd interlaboratory validation\WF data\Repeats for invalid experiments - EBO\2022-EBO-ARABINOSE R4\plaque 1/@12 ARABINOSE 100/H12_01- exclu.tif</t>
  </si>
  <si>
    <t xml:space="preserve">\\192.168.24.208\images\R&amp;D\2-Test oestrogénique\OECD and AOPs\REACTIV oecd interlaboratory validation\WF data\Repeats for invalid experiments - EBO\2022-EBO-ARABINOSE R4\plaque 1/@12 ARABINOSE 100/H12_02.tif </t>
  </si>
  <si>
    <t xml:space="preserve"> 1936.0842 </t>
  </si>
  <si>
    <t xml:space="preserve"> 65.9663 </t>
  </si>
  <si>
    <t xml:space="preserve">\\192.168.24.208\images\R&amp;D\2-Test oestrogénique\OECD and AOPs\REACTIV oecd interlaboratory validation\WF data\Repeats for invalid experiments - EBO\2022-EBO-ARABINOSE R4\plaque 1/@12 ARABINOSE 100/H12_03.tif </t>
  </si>
  <si>
    <t xml:space="preserve"> 3067.2795 </t>
  </si>
  <si>
    <t xml:space="preserve"> 67.2837 </t>
  </si>
  <si>
    <t xml:space="preserve">\\192.168.24.208\images\R&amp;D\2-Test oestrogénique\OECD and AOPs\REACTIV oecd interlaboratory validation\WF data\Repeats for invalid experiments - EBO\2022-EBO-ARABINOSE R4\plaque 1/@12 ARABINOSE 100/ </t>
  </si>
  <si>
    <t xml:space="preserve"> 65.1582 </t>
  </si>
  <si>
    <t xml:space="preserve"> 2.4246 </t>
  </si>
  <si>
    <t xml:space="preserve"> 121592.583 </t>
  </si>
  <si>
    <t xml:space="preserve"> 134465.069 </t>
  </si>
  <si>
    <t xml:space="preserve">\\192.168.24.208\images\R&amp;D\2-Test oestrogénique\OECD and AOPs\REACTIV oecd interlaboratory validation\WF data\Repeats for invalid experiments - EBO\2022-EBO-ARABINOSE R4\plaque 2/@13 TESTO 0.2/A1_01.tif </t>
  </si>
  <si>
    <t xml:space="preserve"> 3698.1384 </t>
  </si>
  <si>
    <t xml:space="preserve"> 64.9353 </t>
  </si>
  <si>
    <t>\\192.168.24.208\images\R&amp;D\2-Test oestrogénique\OECD and AOPs\REACTIV oecd interlaboratory validation\WF data\Repeats for invalid experiments - EBO\2022-EBO-ARABINOSE R4\plaque 2/@13 TESTO 0.2/A1_02- exclu.tif</t>
  </si>
  <si>
    <t xml:space="preserve">\\192.168.24.208\images\R&amp;D\2-Test oestrogénique\OECD and AOPs\REACTIV oecd interlaboratory validation\WF data\Repeats for invalid experiments - EBO\2022-EBO-ARABINOSE R4\plaque 2/@13 TESTO 0.2/A1_03.tif </t>
  </si>
  <si>
    <t xml:space="preserve"> 63.977 </t>
  </si>
  <si>
    <t xml:space="preserve">\\192.168.24.208\images\R&amp;D\2-Test oestrogénique\OECD and AOPs\REACTIV oecd interlaboratory validation\WF data\Repeats for invalid experiments - EBO\2022-EBO-ARABINOSE R4\plaque 2/@13 TESTO 0.2/B1_01.tif </t>
  </si>
  <si>
    <t xml:space="preserve"> 41419.1495 </t>
  </si>
  <si>
    <t xml:space="preserve"> 72.0951 </t>
  </si>
  <si>
    <t xml:space="preserve">\\192.168.24.208\images\R&amp;D\2-Test oestrogénique\OECD and AOPs\REACTIV oecd interlaboratory validation\WF data\Repeats for invalid experiments - EBO\2022-EBO-ARABINOSE R4\plaque 2/@13 TESTO 0.2/B1_02.tif </t>
  </si>
  <si>
    <t xml:space="preserve"> 38308.3626 </t>
  </si>
  <si>
    <t xml:space="preserve"> 71.3169 </t>
  </si>
  <si>
    <t xml:space="preserve">\\192.168.24.208\images\R&amp;D\2-Test oestrogénique\OECD and AOPs\REACTIV oecd interlaboratory validation\WF data\Repeats for invalid experiments - EBO\2022-EBO-ARABINOSE R4\plaque 2/@13 TESTO 0.2/B1_03.tif </t>
  </si>
  <si>
    <t xml:space="preserve"> 39852.8792 </t>
  </si>
  <si>
    <t xml:space="preserve"> 71.6578 </t>
  </si>
  <si>
    <t xml:space="preserve">\\192.168.24.208\images\R&amp;D\2-Test oestrogénique\OECD and AOPs\REACTIV oecd interlaboratory validation\WF data\Repeats for invalid experiments - EBO\2022-EBO-ARABINOSE R4\plaque 2/@13 TESTO 0.2/C1_01.tif </t>
  </si>
  <si>
    <t xml:space="preserve"> 54862.9701 </t>
  </si>
  <si>
    <t xml:space="preserve"> 70.7454 </t>
  </si>
  <si>
    <t xml:space="preserve">\\192.168.24.208\images\R&amp;D\2-Test oestrogénique\OECD and AOPs\REACTIV oecd interlaboratory validation\WF data\Repeats for invalid experiments - EBO\2022-EBO-ARABINOSE R4\plaque 2/@13 TESTO 0.2/C1_02.tif </t>
  </si>
  <si>
    <t xml:space="preserve"> 55058.7539 </t>
  </si>
  <si>
    <t xml:space="preserve"> 70.6357 </t>
  </si>
  <si>
    <t xml:space="preserve">\\192.168.24.208\images\R&amp;D\2-Test oestrogénique\OECD and AOPs\REACTIV oecd interlaboratory validation\WF data\Repeats for invalid experiments - EBO\2022-EBO-ARABINOSE R4\plaque 2/@13 TESTO 0.2/C1_03.tif </t>
  </si>
  <si>
    <t xml:space="preserve"> 53122.6697 </t>
  </si>
  <si>
    <t xml:space="preserve"> 71.588 </t>
  </si>
  <si>
    <t xml:space="preserve">\\192.168.24.208\images\R&amp;D\2-Test oestrogénique\OECD and AOPs\REACTIV oecd interlaboratory validation\WF data\Repeats for invalid experiments - EBO\2022-EBO-ARABINOSE R4\plaque 2/@13 TESTO 0.2/D1_01.tif </t>
  </si>
  <si>
    <t xml:space="preserve"> 30542.272 </t>
  </si>
  <si>
    <t xml:space="preserve"> 68.2151 </t>
  </si>
  <si>
    <t xml:space="preserve">\\192.168.24.208\images\R&amp;D\2-Test oestrogénique\OECD and AOPs\REACTIV oecd interlaboratory validation\WF data\Repeats for invalid experiments - EBO\2022-EBO-ARABINOSE R4\plaque 2/@13 TESTO 0.2/D1_02.tif </t>
  </si>
  <si>
    <t xml:space="preserve"> 25560.6621 </t>
  </si>
  <si>
    <t xml:space="preserve"> 66.7515 </t>
  </si>
  <si>
    <t xml:space="preserve">\\192.168.24.208\images\R&amp;D\2-Test oestrogénique\OECD and AOPs\REACTIV oecd interlaboratory validation\WF data\Repeats for invalid experiments - EBO\2022-EBO-ARABINOSE R4\plaque 2/@13 TESTO 0.2/D1_03.tif </t>
  </si>
  <si>
    <t xml:space="preserve"> 30781.5633 </t>
  </si>
  <si>
    <t xml:space="preserve"> 67.7449 </t>
  </si>
  <si>
    <t xml:space="preserve">\\192.168.24.208\images\R&amp;D\2-Test oestrogénique\OECD and AOPs\REACTIV oecd interlaboratory validation\WF data\Repeats for invalid experiments - EBO\2022-EBO-ARABINOSE R4\plaque 2/@13 TESTO 0.2/E1_01.tif </t>
  </si>
  <si>
    <t xml:space="preserve"> 31738.7286 </t>
  </si>
  <si>
    <t xml:space="preserve"> 68.8903 </t>
  </si>
  <si>
    <t xml:space="preserve">\\192.168.24.208\images\R&amp;D\2-Test oestrogénique\OECD and AOPs\REACTIV oecd interlaboratory validation\WF data\Repeats for invalid experiments - EBO\2022-EBO-ARABINOSE R4\plaque 2/@13 TESTO 0.2/E1_02.tif </t>
  </si>
  <si>
    <t xml:space="preserve"> 30302.9807 </t>
  </si>
  <si>
    <t xml:space="preserve"> 69.1723 </t>
  </si>
  <si>
    <t xml:space="preserve">\\192.168.24.208\images\R&amp;D\2-Test oestrogénique\OECD and AOPs\REACTIV oecd interlaboratory validation\WF data\Repeats for invalid experiments - EBO\2022-EBO-ARABINOSE R4\plaque 2/@13 TESTO 0.2/E1_03.tif </t>
  </si>
  <si>
    <t xml:space="preserve"> 25669.4309 </t>
  </si>
  <si>
    <t xml:space="preserve"> 68.6492 </t>
  </si>
  <si>
    <t xml:space="preserve">\\192.168.24.208\images\R&amp;D\2-Test oestrogénique\OECD and AOPs\REACTIV oecd interlaboratory validation\WF data\Repeats for invalid experiments - EBO\2022-EBO-ARABINOSE R4\plaque 2/@13 TESTO 0.2/F1_01.tif </t>
  </si>
  <si>
    <t xml:space="preserve"> 11181.4301 </t>
  </si>
  <si>
    <t xml:space="preserve"> 67.2977 </t>
  </si>
  <si>
    <t xml:space="preserve">\\192.168.24.208\images\R&amp;D\2-Test oestrogénique\OECD and AOPs\REACTIV oecd interlaboratory validation\WF data\Repeats for invalid experiments - EBO\2022-EBO-ARABINOSE R4\plaque 2/@13 TESTO 0.2/F1_02.tif </t>
  </si>
  <si>
    <t xml:space="preserve"> 6569.634 </t>
  </si>
  <si>
    <t xml:space="preserve"> 64.9636 </t>
  </si>
  <si>
    <t xml:space="preserve">\\192.168.24.208\images\R&amp;D\2-Test oestrogénique\OECD and AOPs\REACTIV oecd interlaboratory validation\WF data\Repeats for invalid experiments - EBO\2022-EBO-ARABINOSE R4\plaque 2/@13 TESTO 0.2/F1_03.tif </t>
  </si>
  <si>
    <t xml:space="preserve"> 7178.7392 </t>
  </si>
  <si>
    <t xml:space="preserve"> 64.9727 </t>
  </si>
  <si>
    <t xml:space="preserve">\\192.168.24.208\images\R&amp;D\2-Test oestrogénique\OECD and AOPs\REACTIV oecd interlaboratory validation\WF data\Repeats for invalid experiments - EBO\2022-EBO-ARABINOSE R4\plaque 2/@13 TESTO 0.2/G1_01.tif </t>
  </si>
  <si>
    <t xml:space="preserve"> 4372.5048 </t>
  </si>
  <si>
    <t xml:space="preserve"> 65.005 </t>
  </si>
  <si>
    <t xml:space="preserve">\\192.168.24.208\images\R&amp;D\2-Test oestrogénique\OECD and AOPs\REACTIV oecd interlaboratory validation\WF data\Repeats for invalid experiments - EBO\2022-EBO-ARABINOSE R4\plaque 2/@13 TESTO 0.2/G1_02.tif </t>
  </si>
  <si>
    <t xml:space="preserve"> 3654.6308 </t>
  </si>
  <si>
    <t xml:space="preserve">\\192.168.24.208\images\R&amp;D\2-Test oestrogénique\OECD and AOPs\REACTIV oecd interlaboratory validation\WF data\Repeats for invalid experiments - EBO\2022-EBO-ARABINOSE R4\plaque 2/@13 TESTO 0.2/G1_03.tif </t>
  </si>
  <si>
    <t xml:space="preserve"> 9593.406 </t>
  </si>
  <si>
    <t xml:space="preserve"> 64.7347 </t>
  </si>
  <si>
    <t xml:space="preserve">\\192.168.24.208\images\R&amp;D\2-Test oestrogénique\OECD and AOPs\REACTIV oecd interlaboratory validation\WF data\Repeats for invalid experiments - EBO\2022-EBO-ARABINOSE R4\plaque 2/@13 TESTO 0.2/H1_01.tif </t>
  </si>
  <si>
    <t xml:space="preserve"> 40113.9242 </t>
  </si>
  <si>
    <t xml:space="preserve"> 70.8227 </t>
  </si>
  <si>
    <t xml:space="preserve">\\192.168.24.208\images\R&amp;D\2-Test oestrogénique\OECD and AOPs\REACTIV oecd interlaboratory validation\WF data\Repeats for invalid experiments - EBO\2022-EBO-ARABINOSE R4\plaque 2/@13 TESTO 0.2/H1_02.tif </t>
  </si>
  <si>
    <t xml:space="preserve"> 36002.4645 </t>
  </si>
  <si>
    <t xml:space="preserve"> 69.8973 </t>
  </si>
  <si>
    <t xml:space="preserve">\\192.168.24.208\images\R&amp;D\2-Test oestrogénique\OECD and AOPs\REACTIV oecd interlaboratory validation\WF data\Repeats for invalid experiments - EBO\2022-EBO-ARABINOSE R4\plaque 2/@13 TESTO 0.2/H1_03.tif </t>
  </si>
  <si>
    <t xml:space="preserve"> 35828.4345 </t>
  </si>
  <si>
    <t xml:space="preserve"> 69.2866 </t>
  </si>
  <si>
    <t xml:space="preserve">\\192.168.24.208\images\R&amp;D\2-Test oestrogénique\OECD and AOPs\REACTIV oecd interlaboratory validation\WF data\Repeats for invalid experiments - EBO\2022-EBO-ARABINOSE R4\plaque 2/@13 TESTO 0.2/ </t>
  </si>
  <si>
    <t xml:space="preserve"> 67.9332 </t>
  </si>
  <si>
    <t xml:space="preserve"> 2.876 </t>
  </si>
  <si>
    <t xml:space="preserve"> 1794301.38 </t>
  </si>
  <si>
    <t xml:space="preserve"> 1284110.35 </t>
  </si>
  <si>
    <t xml:space="preserve">\\192.168.24.208\images\R&amp;D\2-Test oestrogénique\OECD and AOPs\REACTIV oecd interlaboratory validation\WF data\Repeats for invalid experiments - EBO\2022-EBO-ARABINOSE R4\plaque 2/@14 TESTO 0.2/A2_01.tif </t>
  </si>
  <si>
    <t xml:space="preserve"> 43181.2037 </t>
  </si>
  <si>
    <t xml:space="preserve"> 75.3698 </t>
  </si>
  <si>
    <t xml:space="preserve">\\192.168.24.208\images\R&amp;D\2-Test oestrogénique\OECD and AOPs\REACTIV oecd interlaboratory validation\WF data\Repeats for invalid experiments - EBO\2022-EBO-ARABINOSE R4\plaque 2/@14 TESTO 0.2/A2_02.tif </t>
  </si>
  <si>
    <t xml:space="preserve"> 38112.5788 </t>
  </si>
  <si>
    <t xml:space="preserve"> 77.7842 </t>
  </si>
  <si>
    <t xml:space="preserve">\\192.168.24.208\images\R&amp;D\2-Test oestrogénique\OECD and AOPs\REACTIV oecd interlaboratory validation\WF data\Repeats for invalid experiments - EBO\2022-EBO-ARABINOSE R4\plaque 2/@14 TESTO 0.2/A2_03.tif </t>
  </si>
  <si>
    <t xml:space="preserve"> 39765.8641 </t>
  </si>
  <si>
    <t xml:space="preserve"> 74.9672 </t>
  </si>
  <si>
    <t xml:space="preserve">\\192.168.24.208\images\R&amp;D\2-Test oestrogénique\OECD and AOPs\REACTIV oecd interlaboratory validation\WF data\Repeats for invalid experiments - EBO\2022-EBO-ARABINOSE R4\plaque 2/@14 TESTO 0.2/B2_01.tif </t>
  </si>
  <si>
    <t xml:space="preserve"> 25908.7222 </t>
  </si>
  <si>
    <t xml:space="preserve"> 65.9328 </t>
  </si>
  <si>
    <t>\\192.168.24.208\images\R&amp;D\2-Test oestrogénique\OECD and AOPs\REACTIV oecd interlaboratory validation\WF data\Repeats for invalid experiments - EBO\2022-EBO-ARABINOSE R4\plaque 2/@14 TESTO 0.2/B2_02- exclu.tif</t>
  </si>
  <si>
    <t>\\192.168.24.208\images\R&amp;D\2-Test oestrogénique\OECD and AOPs\REACTIV oecd interlaboratory validation\WF data\Repeats for invalid experiments - EBO\2022-EBO-ARABINOSE R4\plaque 2/@14 TESTO 0.2/B2_03- exclu.tif</t>
  </si>
  <si>
    <t>\\192.168.24.208\images\R&amp;D\2-Test oestrogénique\OECD and AOPs\REACTIV oecd interlaboratory validation\WF data\Repeats for invalid experiments - EBO\2022-EBO-ARABINOSE R4\plaque 2/@14 TESTO 0.2/C2_01- exclu.tif</t>
  </si>
  <si>
    <t>\\192.168.24.208\images\R&amp;D\2-Test oestrogénique\OECD and AOPs\REACTIV oecd interlaboratory validation\WF data\Repeats for invalid experiments - EBO\2022-EBO-ARABINOSE R4\plaque 2/@14 TESTO 0.2/C2_02- exclu.tif</t>
  </si>
  <si>
    <t>\\192.168.24.208\images\R&amp;D\2-Test oestrogénique\OECD and AOPs\REACTIV oecd interlaboratory validation\WF data\Repeats for invalid experiments - EBO\2022-EBO-ARABINOSE R4\plaque 2/@14 TESTO 0.2/C2_03- exclu.tif</t>
  </si>
  <si>
    <t xml:space="preserve">\\192.168.24.208\images\R&amp;D\2-Test oestrogénique\OECD and AOPs\REACTIV oecd interlaboratory validation\WF data\Repeats for invalid experiments - EBO\2022-EBO-ARABINOSE R4\plaque 2/@14 TESTO 0.2/D2_01.tif </t>
  </si>
  <si>
    <t xml:space="preserve"> 34066.3803 </t>
  </si>
  <si>
    <t xml:space="preserve"> 66.9393 </t>
  </si>
  <si>
    <t xml:space="preserve">\\192.168.24.208\images\R&amp;D\2-Test oestrogénique\OECD and AOPs\REACTIV oecd interlaboratory validation\WF data\Repeats for invalid experiments - EBO\2022-EBO-ARABINOSE R4\plaque 2/@14 TESTO 0.2/D2_02.tif </t>
  </si>
  <si>
    <t xml:space="preserve"> 39222.0203 </t>
  </si>
  <si>
    <t xml:space="preserve"> 67.9323 </t>
  </si>
  <si>
    <t xml:space="preserve">\\192.168.24.208\images\R&amp;D\2-Test oestrogénique\OECD and AOPs\REACTIV oecd interlaboratory validation\WF data\Repeats for invalid experiments - EBO\2022-EBO-ARABINOSE R4\plaque 2/@14 TESTO 0.2/D2_03.tif </t>
  </si>
  <si>
    <t xml:space="preserve"> 42789.6361 </t>
  </si>
  <si>
    <t xml:space="preserve"> 68.8475 </t>
  </si>
  <si>
    <t xml:space="preserve">\\192.168.24.208\images\R&amp;D\2-Test oestrogénique\OECD and AOPs\REACTIV oecd interlaboratory validation\WF data\Repeats for invalid experiments - EBO\2022-EBO-ARABINOSE R4\plaque 2/@14 TESTO 0.2/E2_01.tif </t>
  </si>
  <si>
    <t xml:space="preserve"> 10724.6012 </t>
  </si>
  <si>
    <t xml:space="preserve"> 65.2759 </t>
  </si>
  <si>
    <t xml:space="preserve">\\192.168.24.208\images\R&amp;D\2-Test oestrogénique\OECD and AOPs\REACTIV oecd interlaboratory validation\WF data\Repeats for invalid experiments - EBO\2022-EBO-ARABINOSE R4\plaque 2/@14 TESTO 0.2/E2_02.tif </t>
  </si>
  <si>
    <t xml:space="preserve"> 11224.9376 </t>
  </si>
  <si>
    <t xml:space="preserve"> 65.2112 </t>
  </si>
  <si>
    <t xml:space="preserve">\\192.168.24.208\images\R&amp;D\2-Test oestrogénique\OECD and AOPs\REACTIV oecd interlaboratory validation\WF data\Repeats for invalid experiments - EBO\2022-EBO-ARABINOSE R4\plaque 2/@14 TESTO 0.2/E2_03.tif </t>
  </si>
  <si>
    <t xml:space="preserve"> 11290.1988 </t>
  </si>
  <si>
    <t xml:space="preserve"> 65.2216 </t>
  </si>
  <si>
    <t xml:space="preserve">\\192.168.24.208\images\R&amp;D\2-Test oestrogénique\OECD and AOPs\REACTIV oecd interlaboratory validation\WF data\Repeats for invalid experiments - EBO\2022-EBO-ARABINOSE R4\plaque 2/@14 TESTO 0.2/F2_01.tif </t>
  </si>
  <si>
    <t xml:space="preserve"> 23972.638 </t>
  </si>
  <si>
    <t xml:space="preserve"> 66.333 </t>
  </si>
  <si>
    <t xml:space="preserve">\\192.168.24.208\images\R&amp;D\2-Test oestrogénique\OECD and AOPs\REACTIV oecd interlaboratory validation\WF data\Repeats for invalid experiments - EBO\2022-EBO-ARABINOSE R4\plaque 2/@14 TESTO 0.2/F2_02.tif </t>
  </si>
  <si>
    <t xml:space="preserve"> 27453.2388 </t>
  </si>
  <si>
    <t xml:space="preserve"> 67.6513 </t>
  </si>
  <si>
    <t xml:space="preserve">\\192.168.24.208\images\R&amp;D\2-Test oestrogénique\OECD and AOPs\REACTIV oecd interlaboratory validation\WF data\Repeats for invalid experiments - EBO\2022-EBO-ARABINOSE R4\plaque 2/@14 TESTO 0.2/F2_03.tif </t>
  </si>
  <si>
    <t xml:space="preserve"> 21079.3886 </t>
  </si>
  <si>
    <t xml:space="preserve"> 67.2755 </t>
  </si>
  <si>
    <t xml:space="preserve">\\192.168.24.208\images\R&amp;D\2-Test oestrogénique\OECD and AOPs\REACTIV oecd interlaboratory validation\WF data\Repeats for invalid experiments - EBO\2022-EBO-ARABINOSE R4\plaque 2/@14 TESTO 0.2/G2_01.tif </t>
  </si>
  <si>
    <t xml:space="preserve"> 28084.0977 </t>
  </si>
  <si>
    <t xml:space="preserve"> 68.0101 </t>
  </si>
  <si>
    <t xml:space="preserve">\\192.168.24.208\images\R&amp;D\2-Test oestrogénique\OECD and AOPs\REACTIV oecd interlaboratory validation\WF data\Repeats for invalid experiments - EBO\2022-EBO-ARABINOSE R4\plaque 2/@14 TESTO 0.2/G2_02.tif </t>
  </si>
  <si>
    <t xml:space="preserve"> 32130.2961 </t>
  </si>
  <si>
    <t xml:space="preserve"> 68.673 </t>
  </si>
  <si>
    <t xml:space="preserve">\\192.168.24.208\images\R&amp;D\2-Test oestrogénique\OECD and AOPs\REACTIV oecd interlaboratory validation\WF data\Repeats for invalid experiments - EBO\2022-EBO-ARABINOSE R4\plaque 2/@14 TESTO 0.2/G2_03.tif </t>
  </si>
  <si>
    <t xml:space="preserve"> 30237.7195 </t>
  </si>
  <si>
    <t xml:space="preserve"> 67.7417 </t>
  </si>
  <si>
    <t xml:space="preserve">\\192.168.24.208\images\R&amp;D\2-Test oestrogénique\OECD and AOPs\REACTIV oecd interlaboratory validation\WF data\Repeats for invalid experiments - EBO\2022-EBO-ARABINOSE R4\plaque 2/@14 TESTO 0.2/H2_01.tif </t>
  </si>
  <si>
    <t xml:space="preserve"> 24342.4518 </t>
  </si>
  <si>
    <t xml:space="preserve"> 67.1376 </t>
  </si>
  <si>
    <t xml:space="preserve">\\192.168.24.208\images\R&amp;D\2-Test oestrogénique\OECD and AOPs\REACTIV oecd interlaboratory validation\WF data\Repeats for invalid experiments - EBO\2022-EBO-ARABINOSE R4\plaque 2/@14 TESTO 0.2/H2_02.tif </t>
  </si>
  <si>
    <t xml:space="preserve"> 22167.0763 </t>
  </si>
  <si>
    <t xml:space="preserve"> 67.9558 </t>
  </si>
  <si>
    <t xml:space="preserve">\\192.168.24.208\images\R&amp;D\2-Test oestrogénique\OECD and AOPs\REACTIV oecd interlaboratory validation\WF data\Repeats for invalid experiments - EBO\2022-EBO-ARABINOSE R4\plaque 2/@14 TESTO 0.2/H2_03.tif </t>
  </si>
  <si>
    <t xml:space="preserve"> 67.9051 </t>
  </si>
  <si>
    <t xml:space="preserve">\\192.168.24.208\images\R&amp;D\2-Test oestrogénique\OECD and AOPs\REACTIV oecd interlaboratory validation\WF data\Repeats for invalid experiments - EBO\2022-EBO-ARABINOSE R4\plaque 2/@14 TESTO 0.2/ </t>
  </si>
  <si>
    <t xml:space="preserve"> 68.2964 </t>
  </si>
  <si>
    <t xml:space="preserve"> 4.2751 </t>
  </si>
  <si>
    <t xml:space="preserve"> 1616659.25 </t>
  </si>
  <si>
    <t xml:space="preserve"> 944398.227 </t>
  </si>
  <si>
    <t xml:space="preserve">\\192.168.24.208\images\R&amp;D\2-Test oestrogénique\OECD and AOPs\REACTIV oecd interlaboratory validation\WF data\Repeats for invalid experiments - EBO\2022-EBO-ARABINOSE R4\plaque 2/@15 TESTO +EE2/A3_01.tif </t>
  </si>
  <si>
    <t xml:space="preserve"> 54210.3575 </t>
  </si>
  <si>
    <t xml:space="preserve"> 77.3399 </t>
  </si>
  <si>
    <t xml:space="preserve">\\192.168.24.208\images\R&amp;D\2-Test oestrogénique\OECD and AOPs\REACTIV oecd interlaboratory validation\WF data\Repeats for invalid experiments - EBO\2022-EBO-ARABINOSE R4\plaque 2/@15 TESTO +EE2/A3_02.tif </t>
  </si>
  <si>
    <t xml:space="preserve"> 49185.2401 </t>
  </si>
  <si>
    <t xml:space="preserve"> 80.889 </t>
  </si>
  <si>
    <t xml:space="preserve">\\192.168.24.208\images\R&amp;D\2-Test oestrogénique\OECD and AOPs\REACTIV oecd interlaboratory validation\WF data\Repeats for invalid experiments - EBO\2022-EBO-ARABINOSE R4\plaque 2/@15 TESTO +EE2/A3_03.tif </t>
  </si>
  <si>
    <t xml:space="preserve"> 57930.2496 </t>
  </si>
  <si>
    <t xml:space="preserve"> 77.5637 </t>
  </si>
  <si>
    <t xml:space="preserve">\\192.168.24.208\images\R&amp;D\2-Test oestrogénique\OECD and AOPs\REACTIV oecd interlaboratory validation\WF data\Repeats for invalid experiments - EBO\2022-EBO-ARABINOSE R4\plaque 2/@15 TESTO +EE2/B3_01.tif </t>
  </si>
  <si>
    <t xml:space="preserve"> 60518.9464 </t>
  </si>
  <si>
    <t xml:space="preserve"> 87.9454 </t>
  </si>
  <si>
    <t xml:space="preserve">\\192.168.24.208\images\R&amp;D\2-Test oestrogénique\OECD and AOPs\REACTIV oecd interlaboratory validation\WF data\Repeats for invalid experiments - EBO\2022-EBO-ARABINOSE R4\plaque 2/@15 TESTO +EE2/B3_02.tif </t>
  </si>
  <si>
    <t xml:space="preserve"> 63825.5172 </t>
  </si>
  <si>
    <t xml:space="preserve"> 87.9598 </t>
  </si>
  <si>
    <t>\\192.168.24.208\images\R&amp;D\2-Test oestrogénique\OECD and AOPs\REACTIV oecd interlaboratory validation\WF data\Repeats for invalid experiments - EBO\2022-EBO-ARABINOSE R4\plaque 2/@15 TESTO +EE2/B3_03- exclu.tif</t>
  </si>
  <si>
    <t>\\192.168.24.208\images\R&amp;D\2-Test oestrogénique\OECD and AOPs\REACTIV oecd interlaboratory validation\WF data\Repeats for invalid experiments - EBO\2022-EBO-ARABINOSE R4\plaque 2/@15 TESTO +EE2/C3_01- exclu.tif</t>
  </si>
  <si>
    <t>\\192.168.24.208\images\R&amp;D\2-Test oestrogénique\OECD and AOPs\REACTIV oecd interlaboratory validation\WF data\Repeats for invalid experiments - EBO\2022-EBO-ARABINOSE R4\plaque 2/@15 TESTO +EE2/C3_02- exclu.tif</t>
  </si>
  <si>
    <t>\\192.168.24.208\images\R&amp;D\2-Test oestrogénique\OECD and AOPs\REACTIV oecd interlaboratory validation\WF data\Repeats for invalid experiments - EBO\2022-EBO-ARABINOSE R4\plaque 2/@15 TESTO +EE2/C3_03- exclu.tif</t>
  </si>
  <si>
    <t>\\192.168.24.208\images\R&amp;D\2-Test oestrogénique\OECD and AOPs\REACTIV oecd interlaboratory validation\WF data\Repeats for invalid experiments - EBO\2022-EBO-ARABINOSE R4\plaque 2/@15 TESTO +EE2/D3_01- exclu.tif</t>
  </si>
  <si>
    <t xml:space="preserve">\\192.168.24.208\images\R&amp;D\2-Test oestrogénique\OECD and AOPs\REACTIV oecd interlaboratory validation\WF data\Repeats for invalid experiments - EBO\2022-EBO-ARABINOSE R4\plaque 2/@15 TESTO +EE2/D3_02.tif </t>
  </si>
  <si>
    <t xml:space="preserve"> 70982.5026 </t>
  </si>
  <si>
    <t xml:space="preserve"> 80.194 </t>
  </si>
  <si>
    <t xml:space="preserve">\\192.168.24.208\images\R&amp;D\2-Test oestrogénique\OECD and AOPs\REACTIV oecd interlaboratory validation\WF data\Repeats for invalid experiments - EBO\2022-EBO-ARABINOSE R4\plaque 2/@15 TESTO +EE2/D3_03.tif </t>
  </si>
  <si>
    <t xml:space="preserve"> 72113.6978 </t>
  </si>
  <si>
    <t xml:space="preserve"> 81.5309 </t>
  </si>
  <si>
    <t xml:space="preserve">\\192.168.24.208\images\R&amp;D\2-Test oestrogénique\OECD and AOPs\REACTIV oecd interlaboratory validation\WF data\Repeats for invalid experiments - EBO\2022-EBO-ARABINOSE R4\plaque 2/@15 TESTO +EE2/E3_01.tif </t>
  </si>
  <si>
    <t xml:space="preserve"> 68415.5595 </t>
  </si>
  <si>
    <t xml:space="preserve"> 80.3437 </t>
  </si>
  <si>
    <t>\\192.168.24.208\images\R&amp;D\2-Test oestrogénique\OECD and AOPs\REACTIV oecd interlaboratory validation\WF data\Repeats for invalid experiments - EBO\2022-EBO-ARABINOSE R4\plaque 2/@15 TESTO +EE2/E3_02- exclu.tif</t>
  </si>
  <si>
    <t xml:space="preserve">\\192.168.24.208\images\R&amp;D\2-Test oestrogénique\OECD and AOPs\REACTIV oecd interlaboratory validation\WF data\Repeats for invalid experiments - EBO\2022-EBO-ARABINOSE R4\plaque 2/@15 TESTO +EE2/E3_03.tif </t>
  </si>
  <si>
    <t xml:space="preserve"> 65435.2951 </t>
  </si>
  <si>
    <t xml:space="preserve"> 79.8747 </t>
  </si>
  <si>
    <t xml:space="preserve">\\192.168.24.208\images\R&amp;D\2-Test oestrogénique\OECD and AOPs\REACTIV oecd interlaboratory validation\WF data\Repeats for invalid experiments - EBO\2022-EBO-ARABINOSE R4\plaque 2/@15 TESTO +EE2/F3_01.tif </t>
  </si>
  <si>
    <t xml:space="preserve"> 60714.7302 </t>
  </si>
  <si>
    <t xml:space="preserve"> 76.292 </t>
  </si>
  <si>
    <t xml:space="preserve">\\192.168.24.208\images\R&amp;D\2-Test oestrogénique\OECD and AOPs\REACTIV oecd interlaboratory validation\WF data\Repeats for invalid experiments - EBO\2022-EBO-ARABINOSE R4\plaque 2/@15 TESTO +EE2/F3_02.tif </t>
  </si>
  <si>
    <t xml:space="preserve"> 62237.4931 </t>
  </si>
  <si>
    <t xml:space="preserve"> 75.978 </t>
  </si>
  <si>
    <t xml:space="preserve">\\192.168.24.208\images\R&amp;D\2-Test oestrogénique\OECD and AOPs\REACTIV oecd interlaboratory validation\WF data\Repeats for invalid experiments - EBO\2022-EBO-ARABINOSE R4\plaque 2/@15 TESTO +EE2/F3_03.tif </t>
  </si>
  <si>
    <t xml:space="preserve"> 63281.6733 </t>
  </si>
  <si>
    <t xml:space="preserve"> 75.516 </t>
  </si>
  <si>
    <t xml:space="preserve">\\192.168.24.208\images\R&amp;D\2-Test oestrogénique\OECD and AOPs\REACTIV oecd interlaboratory validation\WF data\Repeats for invalid experiments - EBO\2022-EBO-ARABINOSE R4\plaque 2/@15 TESTO +EE2/G3_01.tif </t>
  </si>
  <si>
    <t xml:space="preserve"> 81815.8726 </t>
  </si>
  <si>
    <t xml:space="preserve"> 85.5211 </t>
  </si>
  <si>
    <t xml:space="preserve">\\192.168.24.208\images\R&amp;D\2-Test oestrogénique\OECD and AOPs\REACTIV oecd interlaboratory validation\WF data\Repeats for invalid experiments - EBO\2022-EBO-ARABINOSE R4\plaque 2/@15 TESTO +EE2/G3_02.tif </t>
  </si>
  <si>
    <t xml:space="preserve"> 79901.5421 </t>
  </si>
  <si>
    <t xml:space="preserve"> 89.0041 </t>
  </si>
  <si>
    <t xml:space="preserve">\\192.168.24.208\images\R&amp;D\2-Test oestrogénique\OECD and AOPs\REACTIV oecd interlaboratory validation\WF data\Repeats for invalid experiments - EBO\2022-EBO-ARABINOSE R4\plaque 2/@15 TESTO +EE2/G3_03.tif </t>
  </si>
  <si>
    <t xml:space="preserve"> 66370.7065 </t>
  </si>
  <si>
    <t xml:space="preserve"> 92.038 </t>
  </si>
  <si>
    <t xml:space="preserve">\\192.168.24.208\images\R&amp;D\2-Test oestrogénique\OECD and AOPs\REACTIV oecd interlaboratory validation\WF data\Repeats for invalid experiments - EBO\2022-EBO-ARABINOSE R4\plaque 2/@15 TESTO +EE2/H3_01.tif </t>
  </si>
  <si>
    <t xml:space="preserve"> 50708.0029 </t>
  </si>
  <si>
    <t xml:space="preserve"> 76.589 </t>
  </si>
  <si>
    <t xml:space="preserve">\\192.168.24.208\images\R&amp;D\2-Test oestrogénique\OECD and AOPs\REACTIV oecd interlaboratory validation\WF data\Repeats for invalid experiments - EBO\2022-EBO-ARABINOSE R4\plaque 2/@15 TESTO +EE2/H3_02.tif </t>
  </si>
  <si>
    <t xml:space="preserve"> 62563.7994 </t>
  </si>
  <si>
    <t xml:space="preserve"> 81.3108 </t>
  </si>
  <si>
    <t xml:space="preserve">\\192.168.24.208\images\R&amp;D\2-Test oestrogénique\OECD and AOPs\REACTIV oecd interlaboratory validation\WF data\Repeats for invalid experiments - EBO\2022-EBO-ARABINOSE R4\plaque 2/@15 TESTO +EE2/H3_03.tif </t>
  </si>
  <si>
    <t xml:space="preserve"> 63651.4871 </t>
  </si>
  <si>
    <t xml:space="preserve"> 83.0328 </t>
  </si>
  <si>
    <t xml:space="preserve">\\192.168.24.208\images\R&amp;D\2-Test oestrogénique\OECD and AOPs\REACTIV oecd interlaboratory validation\WF data\Repeats for invalid experiments - EBO\2022-EBO-ARABINOSE R4\plaque 2/@15 TESTO +EE2/ </t>
  </si>
  <si>
    <t xml:space="preserve"> 81.5391 </t>
  </si>
  <si>
    <t xml:space="preserve"> 5.3589 </t>
  </si>
  <si>
    <t xml:space="preserve"> 4943139.33 </t>
  </si>
  <si>
    <t xml:space="preserve"> 1016765.2 </t>
  </si>
  <si>
    <t xml:space="preserve">\\192.168.24.208\images\R&amp;D\2-Test oestrogénique\OECD and AOPs\REACTIV oecd interlaboratory validation\WF data\Repeats for invalid experiments - EBO\2022-EBO-ARABINOSE R4\plaque 2/@16 TESTO + FAD/A4_01.tif </t>
  </si>
  <si>
    <t xml:space="preserve"> 1631.5316 </t>
  </si>
  <si>
    <t xml:space="preserve"> 64.7067 </t>
  </si>
  <si>
    <t xml:space="preserve">\\192.168.24.208\images\R&amp;D\2-Test oestrogénique\OECD and AOPs\REACTIV oecd interlaboratory validation\WF data\Repeats for invalid experiments - EBO\2022-EBO-ARABINOSE R4\plaque 2/@16 TESTO + FAD/A4_02.tif </t>
  </si>
  <si>
    <t xml:space="preserve"> 63.1875 </t>
  </si>
  <si>
    <t>\\192.168.24.208\images\R&amp;D\2-Test oestrogénique\OECD and AOPs\REACTIV oecd interlaboratory validation\WF data\Repeats for invalid experiments - EBO\2022-EBO-ARABINOSE R4\plaque 2/@16 TESTO + FAD/A4_03- exclu.tif</t>
  </si>
  <si>
    <t xml:space="preserve">\\192.168.24.208\images\R&amp;D\2-Test oestrogénique\OECD and AOPs\REACTIV oecd interlaboratory validation\WF data\Repeats for invalid experiments - EBO\2022-EBO-ARABINOSE R4\plaque 2/@16 TESTO + FAD/B4_01.tif </t>
  </si>
  <si>
    <t xml:space="preserve"> 64.2365 </t>
  </si>
  <si>
    <t xml:space="preserve">\\192.168.24.208\images\R&amp;D\2-Test oestrogénique\OECD and AOPs\REACTIV oecd interlaboratory validation\WF data\Repeats for invalid experiments - EBO\2022-EBO-ARABINOSE R4\plaque 2/@16 TESTO + FAD/B4_02.tif </t>
  </si>
  <si>
    <t xml:space="preserve"> 1392.2403 </t>
  </si>
  <si>
    <t xml:space="preserve"> 63.625 </t>
  </si>
  <si>
    <t xml:space="preserve">\\192.168.24.208\images\R&amp;D\2-Test oestrogénique\OECD and AOPs\REACTIV oecd interlaboratory validation\WF data\Repeats for invalid experiments - EBO\2022-EBO-ARABINOSE R4\plaque 2/@16 TESTO + FAD/B4_03.tif </t>
  </si>
  <si>
    <t xml:space="preserve"> 64.2188 </t>
  </si>
  <si>
    <t xml:space="preserve">\\192.168.24.208\images\R&amp;D\2-Test oestrogénique\OECD and AOPs\REACTIV oecd interlaboratory validation\WF data\Repeats for invalid experiments - EBO\2022-EBO-ARABINOSE R4\plaque 2/@16 TESTO + FAD/C4_01.tif </t>
  </si>
  <si>
    <t xml:space="preserve"> 1609.7779 </t>
  </si>
  <si>
    <t xml:space="preserve"> 72.1622 </t>
  </si>
  <si>
    <t>\\192.168.24.208\images\R&amp;D\2-Test oestrogénique\OECD and AOPs\REACTIV oecd interlaboratory validation\WF data\Repeats for invalid experiments - EBO\2022-EBO-ARABINOSE R4\plaque 2/@16 TESTO + FAD/C4_02- exclu.tif</t>
  </si>
  <si>
    <t xml:space="preserve">\\192.168.24.208\images\R&amp;D\2-Test oestrogénique\OECD and AOPs\REACTIV oecd interlaboratory validation\WF data\Repeats for invalid experiments - EBO\2022-EBO-ARABINOSE R4\plaque 2/@16 TESTO + FAD/C4_03.tif </t>
  </si>
  <si>
    <t xml:space="preserve"> 66.3125 </t>
  </si>
  <si>
    <t xml:space="preserve">\\192.168.24.208\images\R&amp;D\2-Test oestrogénique\OECD and AOPs\REACTIV oecd interlaboratory validation\WF data\Repeats for invalid experiments - EBO\2022-EBO-ARABINOSE R4\plaque 2/@16 TESTO + FAD/D4_01.tif </t>
  </si>
  <si>
    <t xml:space="preserve">\\192.168.24.208\images\R&amp;D\2-Test oestrogénique\OECD and AOPs\REACTIV oecd interlaboratory validation\WF data\Repeats for invalid experiments - EBO\2022-EBO-ARABINOSE R4\plaque 2/@16 TESTO + FAD/D4_02.tif </t>
  </si>
  <si>
    <t xml:space="preserve"> 62.7857 </t>
  </si>
  <si>
    <t xml:space="preserve">\\192.168.24.208\images\R&amp;D\2-Test oestrogénique\OECD and AOPs\REACTIV oecd interlaboratory validation\WF data\Repeats for invalid experiments - EBO\2022-EBO-ARABINOSE R4\plaque 2/@16 TESTO + FAD/D4_03.tif </t>
  </si>
  <si>
    <t xml:space="preserve"> 63.3636 </t>
  </si>
  <si>
    <t xml:space="preserve">\\192.168.24.208\images\R&amp;D\2-Test oestrogénique\OECD and AOPs\REACTIV oecd interlaboratory validation\WF data\Repeats for invalid experiments - EBO\2022-EBO-ARABINOSE R4\plaque 2/@16 TESTO + FAD/E4_01.tif </t>
  </si>
  <si>
    <t xml:space="preserve"> 61.4286 </t>
  </si>
  <si>
    <t>\\192.168.24.208\images\R&amp;D\2-Test oestrogénique\OECD and AOPs\REACTIV oecd interlaboratory validation\WF data\Repeats for invalid experiments - EBO\2022-EBO-ARABINOSE R4\plaque 2/@16 TESTO + FAD/E4_02- exclu.tif</t>
  </si>
  <si>
    <t xml:space="preserve">\\192.168.24.208\images\R&amp;D\2-Test oestrogénique\OECD and AOPs\REACTIV oecd interlaboratory validation\WF data\Repeats for invalid experiments - EBO\2022-EBO-ARABINOSE R4\plaque 2/@16 TESTO + FAD/E4_03.tif </t>
  </si>
  <si>
    <t xml:space="preserve"> 63.4 </t>
  </si>
  <si>
    <t xml:space="preserve">\\192.168.24.208\images\R&amp;D\2-Test oestrogénique\OECD and AOPs\REACTIV oecd interlaboratory validation\WF data\Repeats for invalid experiments - EBO\2022-EBO-ARABINOSE R4\plaque 2/@16 TESTO + FAD/F4_01.tif </t>
  </si>
  <si>
    <t xml:space="preserve"> 63.0571 </t>
  </si>
  <si>
    <t xml:space="preserve">\\192.168.24.208\images\R&amp;D\2-Test oestrogénique\OECD and AOPs\REACTIV oecd interlaboratory validation\WF data\Repeats for invalid experiments - EBO\2022-EBO-ARABINOSE R4\plaque 2/@16 TESTO + FAD/F4_02.tif </t>
  </si>
  <si>
    <t xml:space="preserve"> 63.9286 </t>
  </si>
  <si>
    <t xml:space="preserve">\\192.168.24.208\images\R&amp;D\2-Test oestrogénique\OECD and AOPs\REACTIV oecd interlaboratory validation\WF data\Repeats for invalid experiments - EBO\2022-EBO-ARABINOSE R4\plaque 2/@16 TESTO + FAD/F4_03.tif </t>
  </si>
  <si>
    <t xml:space="preserve"> 63.1923 </t>
  </si>
  <si>
    <t xml:space="preserve">\\192.168.24.208\images\R&amp;D\2-Test oestrogénique\OECD and AOPs\REACTIV oecd interlaboratory validation\WF data\Repeats for invalid experiments - EBO\2022-EBO-ARABINOSE R4\plaque 2/@16 TESTO + FAD/G4_01.tif </t>
  </si>
  <si>
    <t xml:space="preserve"> 64.3143 </t>
  </si>
  <si>
    <t>\\192.168.24.208\images\R&amp;D\2-Test oestrogénique\OECD and AOPs\REACTIV oecd interlaboratory validation\WF data\Repeats for invalid experiments - EBO\2022-EBO-ARABINOSE R4\plaque 2/@16 TESTO + FAD/G4_02- exclu.tif</t>
  </si>
  <si>
    <t xml:space="preserve">\\192.168.24.208\images\R&amp;D\2-Test oestrogénique\OECD and AOPs\REACTIV oecd interlaboratory validation\WF data\Repeats for invalid experiments - EBO\2022-EBO-ARABINOSE R4\plaque 2/@16 TESTO + FAD/G4_03.tif </t>
  </si>
  <si>
    <t xml:space="preserve"> 63.9565 </t>
  </si>
  <si>
    <t xml:space="preserve">\\192.168.24.208\images\R&amp;D\2-Test oestrogénique\OECD and AOPs\REACTIV oecd interlaboratory validation\WF data\Repeats for invalid experiments - EBO\2022-EBO-ARABINOSE R4\plaque 2/@16 TESTO + FAD/H4_01.tif </t>
  </si>
  <si>
    <t xml:space="preserve"> 5133.8862 </t>
  </si>
  <si>
    <t xml:space="preserve"> 63.9407 </t>
  </si>
  <si>
    <t xml:space="preserve">\\192.168.24.208\images\R&amp;D\2-Test oestrogénique\OECD and AOPs\REACTIV oecd interlaboratory validation\WF data\Repeats for invalid experiments - EBO\2022-EBO-ARABINOSE R4\plaque 2/@16 TESTO + FAD/H4_02.tif </t>
  </si>
  <si>
    <t xml:space="preserve"> 4285.4897 </t>
  </si>
  <si>
    <t xml:space="preserve"> 64.7716 </t>
  </si>
  <si>
    <t>\\192.168.24.208\images\R&amp;D\2-Test oestrogénique\OECD and AOPs\REACTIV oecd interlaboratory validation\WF data\Repeats for invalid experiments - EBO\2022-EBO-ARABINOSE R4\plaque 2/@16 TESTO + FAD/H4_03- exclu.tif</t>
  </si>
  <si>
    <t xml:space="preserve">\\192.168.24.208\images\R&amp;D\2-Test oestrogénique\OECD and AOPs\REACTIV oecd interlaboratory validation\WF data\Repeats for invalid experiments - EBO\2022-EBO-ARABINOSE R4\plaque 2/@16 TESTO + FAD/ </t>
  </si>
  <si>
    <t xml:space="preserve"> 64.0233 </t>
  </si>
  <si>
    <t xml:space="preserve"> 1.9636 </t>
  </si>
  <si>
    <t xml:space="preserve"> 81104.375 </t>
  </si>
  <si>
    <t xml:space="preserve"> 88751.2689 </t>
  </si>
  <si>
    <t xml:space="preserve">\\192.168.24.208\images\R&amp;D\2-Test oestrogénique\OECD and AOPs\REACTIV oecd interlaboratory validation\WF data\Repeats for invalid experiments - EBO\2022-EBO-ARABINOSE R4\plaque 2/@17 ARABINOSE 0.01 + TESTO/A5_01.tif </t>
  </si>
  <si>
    <t xml:space="preserve"> 13443.8206 </t>
  </si>
  <si>
    <t xml:space="preserve"> 66.1683 </t>
  </si>
  <si>
    <t xml:space="preserve">\\192.168.24.208\images\R&amp;D\2-Test oestrogénique\OECD and AOPs\REACTIV oecd interlaboratory validation\WF data\Repeats for invalid experiments - EBO\2022-EBO-ARABINOSE R4\plaque 2/@17 ARABINOSE 0.01 + TESTO/A5_02.tif </t>
  </si>
  <si>
    <t xml:space="preserve"> 16054.2712 </t>
  </si>
  <si>
    <t xml:space="preserve"> 66.6531 </t>
  </si>
  <si>
    <t xml:space="preserve">\\192.168.24.208\images\R&amp;D\2-Test oestrogénique\OECD and AOPs\REACTIV oecd interlaboratory validation\WF data\Repeats for invalid experiments - EBO\2022-EBO-ARABINOSE R4\plaque 2/@17 ARABINOSE 0.01 + TESTO/A5_03.tif </t>
  </si>
  <si>
    <t xml:space="preserve"> 13639.6044 </t>
  </si>
  <si>
    <t xml:space="preserve"> 66.5136 </t>
  </si>
  <si>
    <t xml:space="preserve">\\192.168.24.208\images\R&amp;D\2-Test oestrogénique\OECD and AOPs\REACTIV oecd interlaboratory validation\WF data\Repeats for invalid experiments - EBO\2022-EBO-ARABINOSE R4\plaque 2/@17 ARABINOSE 0.01 + TESTO/B5_01.tif </t>
  </si>
  <si>
    <t xml:space="preserve"> 46640.0507 </t>
  </si>
  <si>
    <t xml:space="preserve"> 70.7896 </t>
  </si>
  <si>
    <t xml:space="preserve">\\192.168.24.208\images\R&amp;D\2-Test oestrogénique\OECD and AOPs\REACTIV oecd interlaboratory validation\WF data\Repeats for invalid experiments - EBO\2022-EBO-ARABINOSE R4\plaque 2/@17 ARABINOSE 0.01 + TESTO/B5_02.tif </t>
  </si>
  <si>
    <t xml:space="preserve"> 41745.4559 </t>
  </si>
  <si>
    <t xml:space="preserve"> 68.6858 </t>
  </si>
  <si>
    <t xml:space="preserve">\\192.168.24.208\images\R&amp;D\2-Test oestrogénique\OECD and AOPs\REACTIV oecd interlaboratory validation\WF data\Repeats for invalid experiments - EBO\2022-EBO-ARABINOSE R4\plaque 2/@17 ARABINOSE 0.01 + TESTO/B5_03.tif </t>
  </si>
  <si>
    <t xml:space="preserve"> 39483.0653 </t>
  </si>
  <si>
    <t xml:space="preserve"> 69.6171 </t>
  </si>
  <si>
    <t xml:space="preserve">\\192.168.24.208\images\R&amp;D\2-Test oestrogénique\OECD and AOPs\REACTIV oecd interlaboratory validation\WF data\Repeats for invalid experiments - EBO\2022-EBO-ARABINOSE R4\plaque 2/@17 ARABINOSE 0.01 + TESTO/C5_01.tif </t>
  </si>
  <si>
    <t xml:space="preserve"> 53013.9009 </t>
  </si>
  <si>
    <t xml:space="preserve"> 72.3726 </t>
  </si>
  <si>
    <t xml:space="preserve">\\192.168.24.208\images\R&amp;D\2-Test oestrogénique\OECD and AOPs\REACTIV oecd interlaboratory validation\WF data\Repeats for invalid experiments - EBO\2022-EBO-ARABINOSE R4\plaque 2/@17 ARABINOSE 0.01 + TESTO/C5_02.tif </t>
  </si>
  <si>
    <t xml:space="preserve"> 59714.0575 </t>
  </si>
  <si>
    <t xml:space="preserve"> 73.3599 </t>
  </si>
  <si>
    <t xml:space="preserve">\\192.168.24.208\images\R&amp;D\2-Test oestrogénique\OECD and AOPs\REACTIV oecd interlaboratory validation\WF data\Repeats for invalid experiments - EBO\2022-EBO-ARABINOSE R4\plaque 2/@17 ARABINOSE 0.01 + TESTO/C5_03.tif </t>
  </si>
  <si>
    <t xml:space="preserve"> 49881.3602 </t>
  </si>
  <si>
    <t xml:space="preserve"> 71.6049 </t>
  </si>
  <si>
    <t xml:space="preserve">\\192.168.24.208\images\R&amp;D\2-Test oestrogénique\OECD and AOPs\REACTIV oecd interlaboratory validation\WF data\Repeats for invalid experiments - EBO\2022-EBO-ARABINOSE R4\plaque 2/@17 ARABINOSE 0.01 + TESTO/D5_01.tif </t>
  </si>
  <si>
    <t xml:space="preserve"> 43289.9725 </t>
  </si>
  <si>
    <t xml:space="preserve"> 69.4965 </t>
  </si>
  <si>
    <t xml:space="preserve">\\192.168.24.208\images\R&amp;D\2-Test oestrogénique\OECD and AOPs\REACTIV oecd interlaboratory validation\WF data\Repeats for invalid experiments - EBO\2022-EBO-ARABINOSE R4\plaque 2/@17 ARABINOSE 0.01 + TESTO/D5_02.tif </t>
  </si>
  <si>
    <t xml:space="preserve"> 41962.9934 </t>
  </si>
  <si>
    <t xml:space="preserve"> 69.3738 </t>
  </si>
  <si>
    <t xml:space="preserve">\\192.168.24.208\images\R&amp;D\2-Test oestrogénique\OECD and AOPs\REACTIV oecd interlaboratory validation\WF data\Repeats for invalid experiments - EBO\2022-EBO-ARABINOSE R4\plaque 2/@17 ARABINOSE 0.01 + TESTO/D5_03.tif </t>
  </si>
  <si>
    <t xml:space="preserve"> 70.3271 </t>
  </si>
  <si>
    <t>\\192.168.24.208\images\R&amp;D\2-Test oestrogénique\OECD and AOPs\REACTIV oecd interlaboratory validation\WF data\Repeats for invalid experiments - EBO\2022-EBO-ARABINOSE R4\plaque 2/@17 ARABINOSE 0.01 + TESTO/E5_01- exclu.tif</t>
  </si>
  <si>
    <t xml:space="preserve">\\192.168.24.208\images\R&amp;D\2-Test oestrogénique\OECD and AOPs\REACTIV oecd interlaboratory validation\WF data\Repeats for invalid experiments - EBO\2022-EBO-ARABINOSE R4\plaque 2/@17 ARABINOSE 0.01 + TESTO/E5_02.tif </t>
  </si>
  <si>
    <t xml:space="preserve"> 63.7576 </t>
  </si>
  <si>
    <t xml:space="preserve">\\192.168.24.208\images\R&amp;D\2-Test oestrogénique\OECD and AOPs\REACTIV oecd interlaboratory validation\WF data\Repeats for invalid experiments - EBO\2022-EBO-ARABINOSE R4\plaque 2/@17 ARABINOSE 0.01 + TESTO/E5_03.tif </t>
  </si>
  <si>
    <t xml:space="preserve"> 63.4146 </t>
  </si>
  <si>
    <t xml:space="preserve">\\192.168.24.208\images\R&amp;D\2-Test oestrogénique\OECD and AOPs\REACTIV oecd interlaboratory validation\WF data\Repeats for invalid experiments - EBO\2022-EBO-ARABINOSE R4\plaque 2/@17 ARABINOSE 0.01 + TESTO/F5_01.tif </t>
  </si>
  <si>
    <t xml:space="preserve"> 15271.136 </t>
  </si>
  <si>
    <t xml:space="preserve"> 65.3932 </t>
  </si>
  <si>
    <t xml:space="preserve">\\192.168.24.208\images\R&amp;D\2-Test oestrogénique\OECD and AOPs\REACTIV oecd interlaboratory validation\WF data\Repeats for invalid experiments - EBO\2022-EBO-ARABINOSE R4\plaque 2/@17 ARABINOSE 0.01 + TESTO/F5_02.tif </t>
  </si>
  <si>
    <t xml:space="preserve"> 63.9503 </t>
  </si>
  <si>
    <t>\\192.168.24.208\images\R&amp;D\2-Test oestrogénique\OECD and AOPs\REACTIV oecd interlaboratory validation\WF data\Repeats for invalid experiments - EBO\2022-EBO-ARABINOSE R4\plaque 2/@17 ARABINOSE 0.01 + TESTO/F5_03- exclu.tif</t>
  </si>
  <si>
    <t xml:space="preserve">\\192.168.24.208\images\R&amp;D\2-Test oestrogénique\OECD and AOPs\REACTIV oecd interlaboratory validation\WF data\Repeats for invalid experiments - EBO\2022-EBO-ARABINOSE R4\plaque 2/@17 ARABINOSE 0.01 + TESTO/G5_01.tif </t>
  </si>
  <si>
    <t xml:space="preserve"> 63.2222 </t>
  </si>
  <si>
    <t xml:space="preserve">\\192.168.24.208\images\R&amp;D\2-Test oestrogénique\OECD and AOPs\REACTIV oecd interlaboratory validation\WF data\Repeats for invalid experiments - EBO\2022-EBO-ARABINOSE R4\plaque 2/@17 ARABINOSE 0.01 + TESTO/G5_02.tif </t>
  </si>
  <si>
    <t>\\192.168.24.208\images\R&amp;D\2-Test oestrogénique\OECD and AOPs\REACTIV oecd interlaboratory validation\WF data\Repeats for invalid experiments - EBO\2022-EBO-ARABINOSE R4\plaque 2/@17 ARABINOSE 0.01 + TESTO/G5_03- exclu.tif</t>
  </si>
  <si>
    <t xml:space="preserve">\\192.168.24.208\images\R&amp;D\2-Test oestrogénique\OECD and AOPs\REACTIV oecd interlaboratory validation\WF data\Repeats for invalid experiments - EBO\2022-EBO-ARABINOSE R4\plaque 2/@17 ARABINOSE 0.01 + TESTO/H5_01.tif </t>
  </si>
  <si>
    <t xml:space="preserve"> 6352.0965 </t>
  </si>
  <si>
    <t xml:space="preserve"> 64.589 </t>
  </si>
  <si>
    <t xml:space="preserve">\\192.168.24.208\images\R&amp;D\2-Test oestrogénique\OECD and AOPs\REACTIV oecd interlaboratory validation\WF data\Repeats for invalid experiments - EBO\2022-EBO-ARABINOSE R4\plaque 2/@17 ARABINOSE 0.01 + TESTO/H5_02.tif </t>
  </si>
  <si>
    <t xml:space="preserve"> 6678.4028 </t>
  </si>
  <si>
    <t xml:space="preserve"> 64.114 </t>
  </si>
  <si>
    <t xml:space="preserve">\\192.168.24.208\images\R&amp;D\2-Test oestrogénique\OECD and AOPs\REACTIV oecd interlaboratory validation\WF data\Repeats for invalid experiments - EBO\2022-EBO-ARABINOSE R4\plaque 2/@17 ARABINOSE 0.01 + TESTO/H5_03.tif </t>
  </si>
  <si>
    <t xml:space="preserve"> 10615.8324 </t>
  </si>
  <si>
    <t xml:space="preserve"> 65.1127 </t>
  </si>
  <si>
    <t xml:space="preserve">\\192.168.24.208\images\R&amp;D\2-Test oestrogénique\OECD and AOPs\REACTIV oecd interlaboratory validation\WF data\Repeats for invalid experiments - EBO\2022-EBO-ARABINOSE R4\plaque 2/@17 ARABINOSE 0.01 + TESTO/ </t>
  </si>
  <si>
    <t xml:space="preserve"> 66.8822 </t>
  </si>
  <si>
    <t xml:space="preserve"> 3.2254 </t>
  </si>
  <si>
    <t xml:space="preserve"> 1494561.96 </t>
  </si>
  <si>
    <t xml:space="preserve"> 1494061.82 </t>
  </si>
  <si>
    <t xml:space="preserve">\\192.168.24.208\images\R&amp;D\2-Test oestrogénique\OECD and AOPs\REACTIV oecd interlaboratory validation\WF data\Repeats for invalid experiments - EBO\2022-EBO-ARABINOSE R4\plaque 2/@18 ARABINOSE 0.1 + TESTO/A6_01.tif </t>
  </si>
  <si>
    <t xml:space="preserve"> 22493.3827 </t>
  </si>
  <si>
    <t xml:space="preserve"> 65.7698 </t>
  </si>
  <si>
    <t xml:space="preserve">\\192.168.24.208\images\R&amp;D\2-Test oestrogénique\OECD and AOPs\REACTIV oecd interlaboratory validation\WF data\Repeats for invalid experiments - EBO\2022-EBO-ARABINOSE R4\plaque 2/@18 ARABINOSE 0.1 + TESTO/A6_02.tif </t>
  </si>
  <si>
    <t xml:space="preserve"> 22928.4578 </t>
  </si>
  <si>
    <t xml:space="preserve"> 66.9298 </t>
  </si>
  <si>
    <t xml:space="preserve">\\192.168.24.208\images\R&amp;D\2-Test oestrogénique\OECD and AOPs\REACTIV oecd interlaboratory validation\WF data\Repeats for invalid experiments - EBO\2022-EBO-ARABINOSE R4\plaque 2/@18 ARABINOSE 0.1 + TESTO/A6_03.tif </t>
  </si>
  <si>
    <t xml:space="preserve"> 24821.0345 </t>
  </si>
  <si>
    <t xml:space="preserve"> 66.1306 </t>
  </si>
  <si>
    <t xml:space="preserve">\\192.168.24.208\images\R&amp;D\2-Test oestrogénique\OECD and AOPs\REACTIV oecd interlaboratory validation\WF data\Repeats for invalid experiments - EBO\2022-EBO-ARABINOSE R4\plaque 2/@18 ARABINOSE 0.1 + TESTO/B6_01.tif </t>
  </si>
  <si>
    <t xml:space="preserve"> 35393.3594 </t>
  </si>
  <si>
    <t xml:space="preserve"> 83.1211 </t>
  </si>
  <si>
    <t xml:space="preserve">\\192.168.24.208\images\R&amp;D\2-Test oestrogénique\OECD and AOPs\REACTIV oecd interlaboratory validation\WF data\Repeats for invalid experiments - EBO\2022-EBO-ARABINOSE R4\plaque 2/@18 ARABINOSE 0.1 + TESTO/B6_02.tif </t>
  </si>
  <si>
    <t xml:space="preserve"> 33479.029 </t>
  </si>
  <si>
    <t xml:space="preserve"> 79.9831 </t>
  </si>
  <si>
    <t xml:space="preserve">\\192.168.24.208\images\R&amp;D\2-Test oestrogénique\OECD and AOPs\REACTIV oecd interlaboratory validation\WF data\Repeats for invalid experiments - EBO\2022-EBO-ARABINOSE R4\plaque 2/@18 ARABINOSE 0.1 + TESTO/B6_03.tif </t>
  </si>
  <si>
    <t xml:space="preserve"> 31999.7736 </t>
  </si>
  <si>
    <t xml:space="preserve"> 78.966 </t>
  </si>
  <si>
    <t xml:space="preserve">\\192.168.24.208\images\R&amp;D\2-Test oestrogénique\OECD and AOPs\REACTIV oecd interlaboratory validation\WF data\Repeats for invalid experiments - EBO\2022-EBO-ARABINOSE R4\plaque 2/@18 ARABINOSE 0.1 + TESTO/C6_01.tif </t>
  </si>
  <si>
    <t xml:space="preserve"> 49555.0539 </t>
  </si>
  <si>
    <t xml:space="preserve"> 72.9675 </t>
  </si>
  <si>
    <t xml:space="preserve">\\192.168.24.208\images\R&amp;D\2-Test oestrogénique\OECD and AOPs\REACTIV oecd interlaboratory validation\WF data\Repeats for invalid experiments - EBO\2022-EBO-ARABINOSE R4\plaque 2/@18 ARABINOSE 0.1 + TESTO/C6_02.tif </t>
  </si>
  <si>
    <t xml:space="preserve"> 50533.9729 </t>
  </si>
  <si>
    <t xml:space="preserve"> 71.1515 </t>
  </si>
  <si>
    <t xml:space="preserve">\\192.168.24.208\images\R&amp;D\2-Test oestrogénique\OECD and AOPs\REACTIV oecd interlaboratory validation\WF data\Repeats for invalid experiments - EBO\2022-EBO-ARABINOSE R4\plaque 2/@18 ARABINOSE 0.1 + TESTO/C6_03.tif </t>
  </si>
  <si>
    <t xml:space="preserve"> 45552.363 </t>
  </si>
  <si>
    <t xml:space="preserve"> 70.6012 </t>
  </si>
  <si>
    <t xml:space="preserve">\\192.168.24.208\images\R&amp;D\2-Test oestrogénique\OECD and AOPs\REACTIV oecd interlaboratory validation\WF data\Repeats for invalid experiments - EBO\2022-EBO-ARABINOSE R4\plaque 2/@18 ARABINOSE 0.1 + TESTO/D6_01.tif </t>
  </si>
  <si>
    <t xml:space="preserve">\\192.168.24.208\images\R&amp;D\2-Test oestrogénique\OECD and AOPs\REACTIV oecd interlaboratory validation\WF data\Repeats for invalid experiments - EBO\2022-EBO-ARABINOSE R4\plaque 2/@18 ARABINOSE 0.1 + TESTO/D6_02.tif </t>
  </si>
  <si>
    <t xml:space="preserve"> 1174.7028 </t>
  </si>
  <si>
    <t xml:space="preserve">\\192.168.24.208\images\R&amp;D\2-Test oestrogénique\OECD and AOPs\REACTIV oecd interlaboratory validation\WF data\Repeats for invalid experiments - EBO\2022-EBO-ARABINOSE R4\plaque 2/@18 ARABINOSE 0.1 + TESTO/D6_03.tif </t>
  </si>
  <si>
    <t xml:space="preserve"> 63.3396 </t>
  </si>
  <si>
    <t>\\192.168.24.208\images\R&amp;D\2-Test oestrogénique\OECD and AOPs\REACTIV oecd interlaboratory validation\WF data\Repeats for invalid experiments - EBO\2022-EBO-ARABINOSE R4\plaque 2/@18 ARABINOSE 0.1 + TESTO/E6_01- exclu.tif</t>
  </si>
  <si>
    <t xml:space="preserve">\\192.168.24.208\images\R&amp;D\2-Test oestrogénique\OECD and AOPs\REACTIV oecd interlaboratory validation\WF data\Repeats for invalid experiments - EBO\2022-EBO-ARABINOSE R4\plaque 2/@18 ARABINOSE 0.1 + TESTO/E6_02.tif </t>
  </si>
  <si>
    <t xml:space="preserve"> 21710.2475 </t>
  </si>
  <si>
    <t xml:space="preserve"> 68.1834 </t>
  </si>
  <si>
    <t xml:space="preserve">\\192.168.24.208\images\R&amp;D\2-Test oestrogénique\OECD and AOPs\REACTIV oecd interlaboratory validation\WF data\Repeats for invalid experiments - EBO\2022-EBO-ARABINOSE R4\plaque 2/@18 ARABINOSE 0.1 + TESTO/E6_03.tif </t>
  </si>
  <si>
    <t xml:space="preserve"> 27953.5752 </t>
  </si>
  <si>
    <t xml:space="preserve"> 66.4125 </t>
  </si>
  <si>
    <t>\\192.168.24.208\images\R&amp;D\2-Test oestrogénique\OECD and AOPs\REACTIV oecd interlaboratory validation\WF data\Repeats for invalid experiments - EBO\2022-EBO-ARABINOSE R4\plaque 2/@18 ARABINOSE 0.1 + TESTO/F6_01- exclu.tif</t>
  </si>
  <si>
    <t>\\192.168.24.208\images\R&amp;D\2-Test oestrogénique\OECD and AOPs\REACTIV oecd interlaboratory validation\WF data\Repeats for invalid experiments - EBO\2022-EBO-ARABINOSE R4\plaque 2/@18 ARABINOSE 0.1 + TESTO/F6_02- exclu.tif</t>
  </si>
  <si>
    <t>\\192.168.24.208\images\R&amp;D\2-Test oestrogénique\OECD and AOPs\REACTIV oecd interlaboratory validation\WF data\Repeats for invalid experiments - EBO\2022-EBO-ARABINOSE R4\plaque 2/@18 ARABINOSE 0.1 + TESTO/F6_03- exclu.tif</t>
  </si>
  <si>
    <t xml:space="preserve">\\192.168.24.208\images\R&amp;D\2-Test oestrogénique\OECD and AOPs\REACTIV oecd interlaboratory validation\WF data\Repeats for invalid experiments - EBO\2022-EBO-ARABINOSE R4\plaque 2/@18 ARABINOSE 0.1 + TESTO/G6_01.tif </t>
  </si>
  <si>
    <t xml:space="preserve"> 9810.9435 </t>
  </si>
  <si>
    <t xml:space="preserve"> 65.8625 </t>
  </si>
  <si>
    <t xml:space="preserve">\\192.168.24.208\images\R&amp;D\2-Test oestrogénique\OECD and AOPs\REACTIV oecd interlaboratory validation\WF data\Repeats for invalid experiments - EBO\2022-EBO-ARABINOSE R4\plaque 2/@18 ARABINOSE 0.1 + TESTO/G6_02.tif </t>
  </si>
  <si>
    <t xml:space="preserve"> 8549.2257 </t>
  </si>
  <si>
    <t xml:space="preserve"> 65.6845 </t>
  </si>
  <si>
    <t xml:space="preserve">\\192.168.24.208\images\R&amp;D\2-Test oestrogénique\OECD and AOPs\REACTIV oecd interlaboratory validation\WF data\Repeats for invalid experiments - EBO\2022-EBO-ARABINOSE R4\plaque 2/@18 ARABINOSE 0.1 + TESTO/G6_03.tif </t>
  </si>
  <si>
    <t xml:space="preserve"> 14031.172 </t>
  </si>
  <si>
    <t xml:space="preserve"> 67.5395 </t>
  </si>
  <si>
    <t xml:space="preserve">\\192.168.24.208\images\R&amp;D\2-Test oestrogénique\OECD and AOPs\REACTIV oecd interlaboratory validation\WF data\Repeats for invalid experiments - EBO\2022-EBO-ARABINOSE R4\plaque 2/@18 ARABINOSE 0.1 + TESTO/H6_01.tif </t>
  </si>
  <si>
    <t xml:space="preserve"> 38873.9602 </t>
  </si>
  <si>
    <t xml:space="preserve"> 68.272 </t>
  </si>
  <si>
    <t xml:space="preserve">\\192.168.24.208\images\R&amp;D\2-Test oestrogénique\OECD and AOPs\REACTIV oecd interlaboratory validation\WF data\Repeats for invalid experiments - EBO\2022-EBO-ARABINOSE R4\plaque 2/@18 ARABINOSE 0.1 + TESTO/H6_02.tif </t>
  </si>
  <si>
    <t xml:space="preserve"> 29650.3681 </t>
  </si>
  <si>
    <t xml:space="preserve"> 67.091 </t>
  </si>
  <si>
    <t xml:space="preserve">\\192.168.24.208\images\R&amp;D\2-Test oestrogénique\OECD and AOPs\REACTIV oecd interlaboratory validation\WF data\Repeats for invalid experiments - EBO\2022-EBO-ARABINOSE R4\plaque 2/@18 ARABINOSE 0.1 + TESTO/H6_03.tif </t>
  </si>
  <si>
    <t xml:space="preserve"> 37111.906 </t>
  </si>
  <si>
    <t xml:space="preserve"> 69.1841 </t>
  </si>
  <si>
    <t xml:space="preserve">\\192.168.24.208\images\R&amp;D\2-Test oestrogénique\OECD and AOPs\REACTIV oecd interlaboratory validation\WF data\Repeats for invalid experiments - EBO\2022-EBO-ARABINOSE R4\plaque 2/@18 ARABINOSE 0.1 + TESTO/ </t>
  </si>
  <si>
    <t xml:space="preserve"> 68.473 </t>
  </si>
  <si>
    <t xml:space="preserve"> 5.405 </t>
  </si>
  <si>
    <t xml:space="preserve"> 1595214.62 </t>
  </si>
  <si>
    <t xml:space="preserve"> 1218137.82 </t>
  </si>
  <si>
    <t xml:space="preserve">\\192.168.24.208\images\R&amp;D\2-Test oestrogénique\OECD and AOPs\REACTIV oecd interlaboratory validation\WF data\Repeats for invalid experiments - EBO\2022-EBO-ARABINOSE R4\plaque 2/@19 ARABINOSE 1 + TESTO/A7_01.tif </t>
  </si>
  <si>
    <t xml:space="preserve"> 36502.8009 </t>
  </si>
  <si>
    <t xml:space="preserve"> 69.792 </t>
  </si>
  <si>
    <t xml:space="preserve">\\192.168.24.208\images\R&amp;D\2-Test oestrogénique\OECD and AOPs\REACTIV oecd interlaboratory validation\WF data\Repeats for invalid experiments - EBO\2022-EBO-ARABINOSE R4\plaque 2/@19 ARABINOSE 1 + TESTO/A7_02.tif </t>
  </si>
  <si>
    <t xml:space="preserve"> 29432.8305 </t>
  </si>
  <si>
    <t xml:space="preserve"> 68.1744 </t>
  </si>
  <si>
    <t xml:space="preserve">\\192.168.24.208\images\R&amp;D\2-Test oestrogénique\OECD and AOPs\REACTIV oecd interlaboratory validation\WF data\Repeats for invalid experiments - EBO\2022-EBO-ARABINOSE R4\plaque 2/@19 ARABINOSE 1 + TESTO/A7_03.tif </t>
  </si>
  <si>
    <t xml:space="preserve"> 37372.9511 </t>
  </si>
  <si>
    <t xml:space="preserve"> 70.2008 </t>
  </si>
  <si>
    <t xml:space="preserve">\\192.168.24.208\images\R&amp;D\2-Test oestrogénique\OECD and AOPs\REACTIV oecd interlaboratory validation\WF data\Repeats for invalid experiments - EBO\2022-EBO-ARABINOSE R4\plaque 2/@19 ARABINOSE 1 + TESTO/B7_01.tif </t>
  </si>
  <si>
    <t xml:space="preserve"> 35328.0981 </t>
  </si>
  <si>
    <t xml:space="preserve"> 72.7475 </t>
  </si>
  <si>
    <t xml:space="preserve">\\192.168.24.208\images\R&amp;D\2-Test oestrogénique\OECD and AOPs\REACTIV oecd interlaboratory validation\WF data\Repeats for invalid experiments - EBO\2022-EBO-ARABINOSE R4\plaque 2/@19 ARABINOSE 1 + TESTO/B7_02.tif </t>
  </si>
  <si>
    <t xml:space="preserve"> 29302.308 </t>
  </si>
  <si>
    <t xml:space="preserve"> 70.4848 </t>
  </si>
  <si>
    <t xml:space="preserve">\\192.168.24.208\images\R&amp;D\2-Test oestrogénique\OECD and AOPs\REACTIV oecd interlaboratory validation\WF data\Repeats for invalid experiments - EBO\2022-EBO-ARABINOSE R4\plaque 2/@19 ARABINOSE 1 + TESTO/B7_03.tif </t>
  </si>
  <si>
    <t xml:space="preserve"> 28649.6953 </t>
  </si>
  <si>
    <t xml:space="preserve"> 71.5756 </t>
  </si>
  <si>
    <t xml:space="preserve">\\192.168.24.208\images\R&amp;D\2-Test oestrogénique\OECD and AOPs\REACTIV oecd interlaboratory validation\WF data\Repeats for invalid experiments - EBO\2022-EBO-ARABINOSE R4\plaque 2/@19 ARABINOSE 1 + TESTO/C7_01.tif </t>
  </si>
  <si>
    <t xml:space="preserve"> 64.9513 </t>
  </si>
  <si>
    <t xml:space="preserve">\\192.168.24.208\images\R&amp;D\2-Test oestrogénique\OECD and AOPs\REACTIV oecd interlaboratory validation\WF data\Repeats for invalid experiments - EBO\2022-EBO-ARABINOSE R4\plaque 2/@19 ARABINOSE 1 + TESTO/C7_02.tif </t>
  </si>
  <si>
    <t xml:space="preserve"> 8527.472 </t>
  </si>
  <si>
    <t xml:space="preserve"> 64.7679 </t>
  </si>
  <si>
    <t xml:space="preserve">\\192.168.24.208\images\R&amp;D\2-Test oestrogénique\OECD and AOPs\REACTIV oecd interlaboratory validation\WF data\Repeats for invalid experiments - EBO\2022-EBO-ARABINOSE R4\plaque 2/@19 ARABINOSE 1 + TESTO/C7_03.tif </t>
  </si>
  <si>
    <t xml:space="preserve"> 14553.2621 </t>
  </si>
  <si>
    <t xml:space="preserve"> 64.7115 </t>
  </si>
  <si>
    <t>\\192.168.24.208\images\R&amp;D\2-Test oestrogénique\OECD and AOPs\REACTIV oecd interlaboratory validation\WF data\Repeats for invalid experiments - EBO\2022-EBO-ARABINOSE R4\plaque 2/@19 ARABINOSE 1 + TESTO/D7_01- exclu.tif</t>
  </si>
  <si>
    <t xml:space="preserve">\\192.168.24.208\images\R&amp;D\2-Test oestrogénique\OECD and AOPs\REACTIV oecd interlaboratory validation\WF data\Repeats for invalid experiments - EBO\2022-EBO-ARABINOSE R4\plaque 2/@19 ARABINOSE 1 + TESTO/D7_02.tif </t>
  </si>
  <si>
    <t xml:space="preserve"> 4176.721 </t>
  </si>
  <si>
    <t xml:space="preserve"> 63.3438 </t>
  </si>
  <si>
    <t xml:space="preserve">\\192.168.24.208\images\R&amp;D\2-Test oestrogénique\OECD and AOPs\REACTIV oecd interlaboratory validation\WF data\Repeats for invalid experiments - EBO\2022-EBO-ARABINOSE R4\plaque 2/@19 ARABINOSE 1 + TESTO/D7_03.tif </t>
  </si>
  <si>
    <t xml:space="preserve"> 63.1798 </t>
  </si>
  <si>
    <t xml:space="preserve">\\192.168.24.208\images\R&amp;D\2-Test oestrogénique\OECD and AOPs\REACTIV oecd interlaboratory validation\WF data\Repeats for invalid experiments - EBO\2022-EBO-ARABINOSE R4\plaque 2/@19 ARABINOSE 1 + TESTO/E7_01.tif </t>
  </si>
  <si>
    <t xml:space="preserve"> 2088.3605 </t>
  </si>
  <si>
    <t xml:space="preserve"> 63.8125 </t>
  </si>
  <si>
    <t xml:space="preserve">\\192.168.24.208\images\R&amp;D\2-Test oestrogénique\OECD and AOPs\REACTIV oecd interlaboratory validation\WF data\Repeats for invalid experiments - EBO\2022-EBO-ARABINOSE R4\plaque 2/@19 ARABINOSE 1 + TESTO/E7_02.tif </t>
  </si>
  <si>
    <t xml:space="preserve"> 64.4057 </t>
  </si>
  <si>
    <t xml:space="preserve">\\192.168.24.208\images\R&amp;D\2-Test oestrogénique\OECD and AOPs\REACTIV oecd interlaboratory validation\WF data\Repeats for invalid experiments - EBO\2022-EBO-ARABINOSE R4\plaque 2/@19 ARABINOSE 1 + TESTO/E7_03.tif </t>
  </si>
  <si>
    <t xml:space="preserve"> 64.7708 </t>
  </si>
  <si>
    <t>\\192.168.24.208\images\R&amp;D\2-Test oestrogénique\OECD and AOPs\REACTIV oecd interlaboratory validation\WF data\Repeats for invalid experiments - EBO\2022-EBO-ARABINOSE R4\plaque 2/@19 ARABINOSE 1 + TESTO/F7_01- exclu.tif</t>
  </si>
  <si>
    <t xml:space="preserve">\\192.168.24.208\images\R&amp;D\2-Test oestrogénique\OECD and AOPs\REACTIV oecd interlaboratory validation\WF data\Repeats for invalid experiments - EBO\2022-EBO-ARABINOSE R4\plaque 2/@19 ARABINOSE 1 + TESTO/F7_02.tif </t>
  </si>
  <si>
    <t xml:space="preserve"> 19404.3495 </t>
  </si>
  <si>
    <t xml:space="preserve"> 66.3812 </t>
  </si>
  <si>
    <t xml:space="preserve">\\192.168.24.208\images\R&amp;D\2-Test oestrogénique\OECD and AOPs\REACTIV oecd interlaboratory validation\WF data\Repeats for invalid experiments - EBO\2022-EBO-ARABINOSE R4\plaque 2/@19 ARABINOSE 1 + TESTO/F7_03.tif </t>
  </si>
  <si>
    <t xml:space="preserve"> 18860.5056 </t>
  </si>
  <si>
    <t xml:space="preserve"> 66.782 </t>
  </si>
  <si>
    <t xml:space="preserve">\\192.168.24.208\images\R&amp;D\2-Test oestrogénique\OECD and AOPs\REACTIV oecd interlaboratory validation\WF data\Repeats for invalid experiments - EBO\2022-EBO-ARABINOSE R4\plaque 2/@19 ARABINOSE 1 + TESTO/G7_01.tif </t>
  </si>
  <si>
    <t xml:space="preserve"> 23407.0404 </t>
  </si>
  <si>
    <t xml:space="preserve"> 67.7695 </t>
  </si>
  <si>
    <t>\\192.168.24.208\images\R&amp;D\2-Test oestrogénique\OECD and AOPs\REACTIV oecd interlaboratory validation\WF data\Repeats for invalid experiments - EBO\2022-EBO-ARABINOSE R4\plaque 2/@19 ARABINOSE 1 + TESTO/G7_02- exclu.tif</t>
  </si>
  <si>
    <t xml:space="preserve">\\192.168.24.208\images\R&amp;D\2-Test oestrogénique\OECD and AOPs\REACTIV oecd interlaboratory validation\WF data\Repeats for invalid experiments - EBO\2022-EBO-ARABINOSE R4\plaque 2/@19 ARABINOSE 1 + TESTO/G7_03.tif </t>
  </si>
  <si>
    <t xml:space="preserve"> 18773.4906 </t>
  </si>
  <si>
    <t xml:space="preserve"> 66.2132 </t>
  </si>
  <si>
    <t xml:space="preserve">\\192.168.24.208\images\R&amp;D\2-Test oestrogénique\OECD and AOPs\REACTIV oecd interlaboratory validation\WF data\Repeats for invalid experiments - EBO\2022-EBO-ARABINOSE R4\plaque 2/@19 ARABINOSE 1 + TESTO/H7_01.tif </t>
  </si>
  <si>
    <t xml:space="preserve"> 15510.4273 </t>
  </si>
  <si>
    <t xml:space="preserve"> 65.885 </t>
  </si>
  <si>
    <t xml:space="preserve">\\192.168.24.208\images\R&amp;D\2-Test oestrogénique\OECD and AOPs\REACTIV oecd interlaboratory validation\WF data\Repeats for invalid experiments - EBO\2022-EBO-ARABINOSE R4\plaque 2/@19 ARABINOSE 1 + TESTO/H7_02.tif </t>
  </si>
  <si>
    <t xml:space="preserve"> 10507.0637 </t>
  </si>
  <si>
    <t xml:space="preserve"> 65.8282 </t>
  </si>
  <si>
    <t>\\192.168.24.208\images\R&amp;D\2-Test oestrogénique\OECD and AOPs\REACTIV oecd interlaboratory validation\WF data\Repeats for invalid experiments - EBO\2022-EBO-ARABINOSE R4\plaque 2/@19 ARABINOSE 1 + TESTO/H7_03- exclu.tif</t>
  </si>
  <si>
    <t xml:space="preserve">\\192.168.24.208\images\R&amp;D\2-Test oestrogénique\OECD and AOPs\REACTIV oecd interlaboratory validation\WF data\Repeats for invalid experiments - EBO\2022-EBO-ARABINOSE R4\plaque 2/@19 ARABINOSE 1 + TESTO/ </t>
  </si>
  <si>
    <t xml:space="preserve"> 66.5068 </t>
  </si>
  <si>
    <t xml:space="preserve"> 2.7094 </t>
  </si>
  <si>
    <t xml:space="preserve"> 1125924.5 </t>
  </si>
  <si>
    <t xml:space="preserve"> 824242.881 </t>
  </si>
  <si>
    <t xml:space="preserve">\\192.168.24.208\images\R&amp;D\2-Test oestrogénique\OECD and AOPs\REACTIV oecd interlaboratory validation\WF data\Repeats for invalid experiments - EBO\2022-EBO-ARABINOSE R4\plaque 2/@20 ARABINOSE 10 + TESTO/A8_01.tif </t>
  </si>
  <si>
    <t xml:space="preserve"> 34501.4554 </t>
  </si>
  <si>
    <t xml:space="preserve"> 69.6431 </t>
  </si>
  <si>
    <t xml:space="preserve">\\192.168.24.208\images\R&amp;D\2-Test oestrogénique\OECD and AOPs\REACTIV oecd interlaboratory validation\WF data\Repeats for invalid experiments - EBO\2022-EBO-ARABINOSE R4\plaque 2/@20 ARABINOSE 10 + TESTO/A8_02.tif </t>
  </si>
  <si>
    <t xml:space="preserve"> 34697.2392 </t>
  </si>
  <si>
    <t xml:space="preserve"> 69.6533 </t>
  </si>
  <si>
    <t xml:space="preserve">\\192.168.24.208\images\R&amp;D\2-Test oestrogénique\OECD and AOPs\REACTIV oecd interlaboratory validation\WF data\Repeats for invalid experiments - EBO\2022-EBO-ARABINOSE R4\plaque 2/@20 ARABINOSE 10 + TESTO/A8_03.tif </t>
  </si>
  <si>
    <t xml:space="preserve"> 35502.1282 </t>
  </si>
  <si>
    <t xml:space="preserve"> 69.6624 </t>
  </si>
  <si>
    <t xml:space="preserve">\\192.168.24.208\images\R&amp;D\2-Test oestrogénique\OECD and AOPs\REACTIV oecd interlaboratory validation\WF data\Repeats for invalid experiments - EBO\2022-EBO-ARABINOSE R4\plaque 2/@20 ARABINOSE 10 + TESTO/B8_01.tif </t>
  </si>
  <si>
    <t xml:space="preserve"> 16228.3012 </t>
  </si>
  <si>
    <t xml:space="preserve"> 65.9678 </t>
  </si>
  <si>
    <t xml:space="preserve">\\192.168.24.208\images\R&amp;D\2-Test oestrogénique\OECD and AOPs\REACTIV oecd interlaboratory validation\WF data\Repeats for invalid experiments - EBO\2022-EBO-ARABINOSE R4\plaque 2/@20 ARABINOSE 10 + TESTO/B8_02.tif </t>
  </si>
  <si>
    <t xml:space="preserve"> 18012.1091 </t>
  </si>
  <si>
    <t xml:space="preserve"> 67.9976 </t>
  </si>
  <si>
    <t>\\192.168.24.208\images\R&amp;D\2-Test oestrogénique\OECD and AOPs\REACTIV oecd interlaboratory validation\WF data\Repeats for invalid experiments - EBO\2022-EBO-ARABINOSE R4\plaque 2/@20 ARABINOSE 10 + TESTO/B8_03- exclu.tif</t>
  </si>
  <si>
    <t xml:space="preserve">\\192.168.24.208\images\R&amp;D\2-Test oestrogénique\OECD and AOPs\REACTIV oecd interlaboratory validation\WF data\Repeats for invalid experiments - EBO\2022-EBO-ARABINOSE R4\plaque 2/@20 ARABINOSE 10 + TESTO/C8_01.tif </t>
  </si>
  <si>
    <t xml:space="preserve"> 36089.4796 </t>
  </si>
  <si>
    <t xml:space="preserve"> 69.1579 </t>
  </si>
  <si>
    <t xml:space="preserve">\\192.168.24.208\images\R&amp;D\2-Test oestrogénique\OECD and AOPs\REACTIV oecd interlaboratory validation\WF data\Repeats for invalid experiments - EBO\2022-EBO-ARABINOSE R4\plaque 2/@20 ARABINOSE 10 + TESTO/C8_02.tif </t>
  </si>
  <si>
    <t xml:space="preserve"> 68.4094 </t>
  </si>
  <si>
    <t xml:space="preserve">\\192.168.24.208\images\R&amp;D\2-Test oestrogénique\OECD and AOPs\REACTIV oecd interlaboratory validation\WF data\Repeats for invalid experiments - EBO\2022-EBO-ARABINOSE R4\plaque 2/@20 ARABINOSE 10 + TESTO/C8_03.tif </t>
  </si>
  <si>
    <t xml:space="preserve"> 33870.5965 </t>
  </si>
  <si>
    <t xml:space="preserve"> 70.5979 </t>
  </si>
  <si>
    <t>\\192.168.24.208\images\R&amp;D\2-Test oestrogénique\OECD and AOPs\REACTIV oecd interlaboratory validation\WF data\Repeats for invalid experiments - EBO\2022-EBO-ARABINOSE R4\plaque 2/@20 ARABINOSE 10 + TESTO/D8_01- exclu.tif</t>
  </si>
  <si>
    <t xml:space="preserve">\\192.168.24.208\images\R&amp;D\2-Test oestrogénique\OECD and AOPs\REACTIV oecd interlaboratory validation\WF data\Repeats for invalid experiments - EBO\2022-EBO-ARABINOSE R4\plaque 2/@20 ARABINOSE 10 + TESTO/D8_02.tif </t>
  </si>
  <si>
    <t xml:space="preserve"> 1218.2103 </t>
  </si>
  <si>
    <t>\\192.168.24.208\images\R&amp;D\2-Test oestrogénique\OECD and AOPs\REACTIV oecd interlaboratory validation\WF data\Repeats for invalid experiments - EBO\2022-EBO-ARABINOSE R4\plaque 2/@20 ARABINOSE 10 + TESTO/D8_03- exclu.tif</t>
  </si>
  <si>
    <t xml:space="preserve">\\192.168.24.208\images\R&amp;D\2-Test oestrogénique\OECD and AOPs\REACTIV oecd interlaboratory validation\WF data\Repeats for invalid experiments - EBO\2022-EBO-ARABINOSE R4\plaque 2/@20 ARABINOSE 10 + TESTO/E8_01.tif </t>
  </si>
  <si>
    <t xml:space="preserve"> 2284.1443 </t>
  </si>
  <si>
    <t xml:space="preserve"> 65.2476 </t>
  </si>
  <si>
    <t xml:space="preserve">\\192.168.24.208\images\R&amp;D\2-Test oestrogénique\OECD and AOPs\REACTIV oecd interlaboratory validation\WF data\Repeats for invalid experiments - EBO\2022-EBO-ARABINOSE R4\plaque 2/@20 ARABINOSE 10 + TESTO/E8_02.tif </t>
  </si>
  <si>
    <t xml:space="preserve"> 1783.8079 </t>
  </si>
  <si>
    <t xml:space="preserve"> 63.3293 </t>
  </si>
  <si>
    <t>\\192.168.24.208\images\R&amp;D\2-Test oestrogénique\OECD and AOPs\REACTIV oecd interlaboratory validation\WF data\Repeats for invalid experiments - EBO\2022-EBO-ARABINOSE R4\plaque 2/@20 ARABINOSE 10 + TESTO/E8_03- exclu.tif</t>
  </si>
  <si>
    <t xml:space="preserve">\\192.168.24.208\images\R&amp;D\2-Test oestrogénique\OECD and AOPs\REACTIV oecd interlaboratory validation\WF data\Repeats for invalid experiments - EBO\2022-EBO-ARABINOSE R4\plaque 2/@20 ARABINOSE 10 + TESTO/F8_01.tif </t>
  </si>
  <si>
    <t xml:space="preserve"> 26322.0436 </t>
  </si>
  <si>
    <t xml:space="preserve"> 69.3248 </t>
  </si>
  <si>
    <t xml:space="preserve">\\192.168.24.208\images\R&amp;D\2-Test oestrogénique\OECD and AOPs\REACTIV oecd interlaboratory validation\WF data\Repeats for invalid experiments - EBO\2022-EBO-ARABINOSE R4\plaque 2/@20 ARABINOSE 10 + TESTO/F8_02.tif </t>
  </si>
  <si>
    <t xml:space="preserve"> 27170.44 </t>
  </si>
  <si>
    <t xml:space="preserve"> 68.4572 </t>
  </si>
  <si>
    <t xml:space="preserve">\\192.168.24.208\images\R&amp;D\2-Test oestrogénique\OECD and AOPs\REACTIV oecd interlaboratory validation\WF data\Repeats for invalid experiments - EBO\2022-EBO-ARABINOSE R4\plaque 2/@20 ARABINOSE 10 + TESTO/F8_03.tif </t>
  </si>
  <si>
    <t xml:space="preserve"> 22014.8001 </t>
  </si>
  <si>
    <t xml:space="preserve"> 67.7599 </t>
  </si>
  <si>
    <t xml:space="preserve">\\192.168.24.208\images\R&amp;D\2-Test oestrogénique\OECD and AOPs\REACTIV oecd interlaboratory validation\WF data\Repeats for invalid experiments - EBO\2022-EBO-ARABINOSE R4\plaque 2/@20 ARABINOSE 10 + TESTO/G8_01.tif </t>
  </si>
  <si>
    <t xml:space="preserve"> 16772.1451 </t>
  </si>
  <si>
    <t xml:space="preserve"> 65.5006 </t>
  </si>
  <si>
    <t xml:space="preserve">\\192.168.24.208\images\R&amp;D\2-Test oestrogénique\OECD and AOPs\REACTIV oecd interlaboratory validation\WF data\Repeats for invalid experiments - EBO\2022-EBO-ARABINOSE R4\plaque 2/@20 ARABINOSE 10 + TESTO/G8_02.tif </t>
  </si>
  <si>
    <t xml:space="preserve"> 23994.3918 </t>
  </si>
  <si>
    <t xml:space="preserve"> 67.2647 </t>
  </si>
  <si>
    <t xml:space="preserve">\\192.168.24.208\images\R&amp;D\2-Test oestrogénique\OECD and AOPs\REACTIV oecd interlaboratory validation\WF data\Repeats for invalid experiments - EBO\2022-EBO-ARABINOSE R4\plaque 2/@20 ARABINOSE 10 + TESTO/G8_03.tif </t>
  </si>
  <si>
    <t xml:space="preserve"> 26235.0285 </t>
  </si>
  <si>
    <t xml:space="preserve"> 66.641 </t>
  </si>
  <si>
    <t>\\192.168.24.208\images\R&amp;D\2-Test oestrogénique\OECD and AOPs\REACTIV oecd interlaboratory validation\WF data\Repeats for invalid experiments - EBO\2022-EBO-ARABINOSE R4\plaque 2/@20 ARABINOSE 10 + TESTO/H8_01- exclu.tif</t>
  </si>
  <si>
    <t xml:space="preserve">\\192.168.24.208\images\R&amp;D\2-Test oestrogénique\OECD and AOPs\REACTIV oecd interlaboratory validation\WF data\Repeats for invalid experiments - EBO\2022-EBO-ARABINOSE R4\plaque 2/@20 ARABINOSE 10 + TESTO/H8_02.tif </t>
  </si>
  <si>
    <t xml:space="preserve"> 3785.1534 </t>
  </si>
  <si>
    <t xml:space="preserve"> 64.477 </t>
  </si>
  <si>
    <t>\\192.168.24.208\images\R&amp;D\2-Test oestrogénique\OECD and AOPs\REACTIV oecd interlaboratory validation\WF data\Repeats for invalid experiments - EBO\2022-EBO-ARABINOSE R4\plaque 2/@20 ARABINOSE 10 + TESTO/H8_03- exclu.tif</t>
  </si>
  <si>
    <t xml:space="preserve">\\192.168.24.208\images\R&amp;D\2-Test oestrogénique\OECD and AOPs\REACTIV oecd interlaboratory validation\WF data\Repeats for invalid experiments - EBO\2022-EBO-ARABINOSE R4\plaque 2/@20 ARABINOSE 10 + TESTO/ </t>
  </si>
  <si>
    <t xml:space="preserve"> 66.5346 </t>
  </si>
  <si>
    <t xml:space="preserve"> 2.579 </t>
  </si>
  <si>
    <t xml:space="preserve"> 1178748.96 </t>
  </si>
  <si>
    <t xml:space="preserve"> 963938.278 </t>
  </si>
  <si>
    <t xml:space="preserve">\\192.168.24.208\images\R&amp;D\2-Test oestrogénique\OECD and AOPs\REACTIV oecd interlaboratory validation\WF data\Repeats for invalid experiments - EBO\2022-EBO-ARABINOSE R4\plaque 2/@21 ARABINOSE 100 + TESTO/A9_01.tif </t>
  </si>
  <si>
    <t xml:space="preserve"> 68.4274 </t>
  </si>
  <si>
    <t xml:space="preserve">\\192.168.24.208\images\R&amp;D\2-Test oestrogénique\OECD and AOPs\REACTIV oecd interlaboratory validation\WF data\Repeats for invalid experiments - EBO\2022-EBO-ARABINOSE R4\plaque 2/@21 ARABINOSE 100 + TESTO/A9_02.tif </t>
  </si>
  <si>
    <t xml:space="preserve"> 22950.2115 </t>
  </si>
  <si>
    <t xml:space="preserve"> 69.5773 </t>
  </si>
  <si>
    <t xml:space="preserve">\\192.168.24.208\images\R&amp;D\2-Test oestrogénique\OECD and AOPs\REACTIV oecd interlaboratory validation\WF data\Repeats for invalid experiments - EBO\2022-EBO-ARABINOSE R4\plaque 2/@21 ARABINOSE 100 + TESTO/A9_03.tif </t>
  </si>
  <si>
    <t xml:space="preserve"> 20274.4997 </t>
  </si>
  <si>
    <t xml:space="preserve"> 67.4034 </t>
  </si>
  <si>
    <t xml:space="preserve">\\192.168.24.208\images\R&amp;D\2-Test oestrogénique\OECD and AOPs\REACTIV oecd interlaboratory validation\WF data\Repeats for invalid experiments - EBO\2022-EBO-ARABINOSE R4\plaque 2/@21 ARABINOSE 100 + TESTO/B9_01.tif </t>
  </si>
  <si>
    <t xml:space="preserve"> 20818.3435 </t>
  </si>
  <si>
    <t xml:space="preserve"> 66.8819 </t>
  </si>
  <si>
    <t xml:space="preserve">\\192.168.24.208\images\R&amp;D\2-Test oestrogénique\OECD and AOPs\REACTIV oecd interlaboratory validation\WF data\Repeats for invalid experiments - EBO\2022-EBO-ARABINOSE R4\plaque 2/@21 ARABINOSE 100 + TESTO/B9_02.tif </t>
  </si>
  <si>
    <t xml:space="preserve"> 19991.7008 </t>
  </si>
  <si>
    <t xml:space="preserve"> 66.185 </t>
  </si>
  <si>
    <t xml:space="preserve">\\192.168.24.208\images\R&amp;D\2-Test oestrogénique\OECD and AOPs\REACTIV oecd interlaboratory validation\WF data\Repeats for invalid experiments - EBO\2022-EBO-ARABINOSE R4\plaque 2/@21 ARABINOSE 100 + TESTO/B9_03.tif </t>
  </si>
  <si>
    <t xml:space="preserve"> 20187.4846 </t>
  </si>
  <si>
    <t xml:space="preserve"> 67.5323 </t>
  </si>
  <si>
    <t xml:space="preserve">\\192.168.24.208\images\R&amp;D\2-Test oestrogénique\OECD and AOPs\REACTIV oecd interlaboratory validation\WF data\Repeats for invalid experiments - EBO\2022-EBO-ARABINOSE R4\plaque 2/@21 ARABINOSE 100 + TESTO/C9_01.tif </t>
  </si>
  <si>
    <t xml:space="preserve"> 31912.7586 </t>
  </si>
  <si>
    <t xml:space="preserve"> 68.5699 </t>
  </si>
  <si>
    <t xml:space="preserve">\\192.168.24.208\images\R&amp;D\2-Test oestrogénique\OECD and AOPs\REACTIV oecd interlaboratory validation\WF data\Repeats for invalid experiments - EBO\2022-EBO-ARABINOSE R4\plaque 2/@21 ARABINOSE 100 + TESTO/C9_02.tif </t>
  </si>
  <si>
    <t xml:space="preserve"> 32891.6776 </t>
  </si>
  <si>
    <t xml:space="preserve"> 69.2401 </t>
  </si>
  <si>
    <t xml:space="preserve">\\192.168.24.208\images\R&amp;D\2-Test oestrogénique\OECD and AOPs\REACTIV oecd interlaboratory validation\WF data\Repeats for invalid experiments - EBO\2022-EBO-ARABINOSE R4\plaque 2/@21 ARABINOSE 100 + TESTO/C9_03.tif </t>
  </si>
  <si>
    <t xml:space="preserve"> 30738.0558 </t>
  </si>
  <si>
    <t xml:space="preserve"> 68.4912 </t>
  </si>
  <si>
    <t xml:space="preserve">\\192.168.24.208\images\R&amp;D\2-Test oestrogénique\OECD and AOPs\REACTIV oecd interlaboratory validation\WF data\Repeats for invalid experiments - EBO\2022-EBO-ARABINOSE R4\plaque 2/@21 ARABINOSE 100 + TESTO/D9_01.tif </t>
  </si>
  <si>
    <t xml:space="preserve"> 31695.221 </t>
  </si>
  <si>
    <t xml:space="preserve"> 68.5525 </t>
  </si>
  <si>
    <t xml:space="preserve">\\192.168.24.208\images\R&amp;D\2-Test oestrogénique\OECD and AOPs\REACTIV oecd interlaboratory validation\WF data\Repeats for invalid experiments - EBO\2022-EBO-ARABINOSE R4\plaque 2/@21 ARABINOSE 100 + TESTO/D9_02.tif </t>
  </si>
  <si>
    <t xml:space="preserve"> 28236.374 </t>
  </si>
  <si>
    <t xml:space="preserve"> 68.6602 </t>
  </si>
  <si>
    <t xml:space="preserve">\\192.168.24.208\images\R&amp;D\2-Test oestrogénique\OECD and AOPs\REACTIV oecd interlaboratory validation\WF data\Repeats for invalid experiments - EBO\2022-EBO-ARABINOSE R4\plaque 2/@21 ARABINOSE 100 + TESTO/D9_03.tif </t>
  </si>
  <si>
    <t xml:space="preserve"> 28519.1728 </t>
  </si>
  <si>
    <t xml:space="preserve"> 69.9397 </t>
  </si>
  <si>
    <t xml:space="preserve">\\192.168.24.208\images\R&amp;D\2-Test oestrogénique\OECD and AOPs\REACTIV oecd interlaboratory validation\WF data\Repeats for invalid experiments - EBO\2022-EBO-ARABINOSE R4\plaque 2/@21 ARABINOSE 100 + TESTO/E9_01.tif </t>
  </si>
  <si>
    <t xml:space="preserve"> 45856.9155 </t>
  </si>
  <si>
    <t xml:space="preserve"> 70.0612 </t>
  </si>
  <si>
    <t>\\192.168.24.208\images\R&amp;D\2-Test oestrogénique\OECD and AOPs\REACTIV oecd interlaboratory validation\WF data\Repeats for invalid experiments - EBO\2022-EBO-ARABINOSE R4\plaque 2/@21 ARABINOSE 100 + TESTO/E9_02- exclu.tif</t>
  </si>
  <si>
    <t>\\192.168.24.208\images\R&amp;D\2-Test oestrogénique\OECD and AOPs\REACTIV oecd interlaboratory validation\WF data\Repeats for invalid experiments - EBO\2022-EBO-ARABINOSE R4\plaque 2/@21 ARABINOSE 100 + TESTO/E9_03- exclu.tif</t>
  </si>
  <si>
    <t>\\192.168.24.208\images\R&amp;D\2-Test oestrogénique\OECD and AOPs\REACTIV oecd interlaboratory validation\WF data\Repeats for invalid experiments - EBO\2022-EBO-ARABINOSE R4\plaque 2/@21 ARABINOSE 100 + TESTO/F9_01- exclu.tif</t>
  </si>
  <si>
    <t xml:space="preserve">\\192.168.24.208\images\R&amp;D\2-Test oestrogénique\OECD and AOPs\REACTIV oecd interlaboratory validation\WF data\Repeats for invalid experiments - EBO\2022-EBO-ARABINOSE R4\plaque 2/@21 ARABINOSE 100 + TESTO/F9_02.tif </t>
  </si>
  <si>
    <t xml:space="preserve"> 13248.0368 </t>
  </si>
  <si>
    <t xml:space="preserve"> 67.5878 </t>
  </si>
  <si>
    <t xml:space="preserve">\\192.168.24.208\images\R&amp;D\2-Test oestrogénique\OECD and AOPs\REACTIV oecd interlaboratory validation\WF data\Repeats for invalid experiments - EBO\2022-EBO-ARABINOSE R4\plaque 2/@21 ARABINOSE 100 + TESTO/F9_03.tif </t>
  </si>
  <si>
    <t xml:space="preserve"> 14379.2321 </t>
  </si>
  <si>
    <t xml:space="preserve"> 66.5628 </t>
  </si>
  <si>
    <t xml:space="preserve">\\192.168.24.208\images\R&amp;D\2-Test oestrogénique\OECD and AOPs\REACTIV oecd interlaboratory validation\WF data\Repeats for invalid experiments - EBO\2022-EBO-ARABINOSE R4\plaque 2/@21 ARABINOSE 100 + TESTO/G9_01.tif </t>
  </si>
  <si>
    <t xml:space="preserve"> 64.0972 </t>
  </si>
  <si>
    <t xml:space="preserve">\\192.168.24.208\images\R&amp;D\2-Test oestrogénique\OECD and AOPs\REACTIV oecd interlaboratory validation\WF data\Repeats for invalid experiments - EBO\2022-EBO-ARABINOSE R4\plaque 2/@21 ARABINOSE 100 + TESTO/G9_02.tif </t>
  </si>
  <si>
    <t xml:space="preserve"> 2197.1293 </t>
  </si>
  <si>
    <t xml:space="preserve"> 64.3663 </t>
  </si>
  <si>
    <t xml:space="preserve">\\192.168.24.208\images\R&amp;D\2-Test oestrogénique\OECD and AOPs\REACTIV oecd interlaboratory validation\WF data\Repeats for invalid experiments - EBO\2022-EBO-ARABINOSE R4\plaque 2/@21 ARABINOSE 100 + TESTO/G9_03.tif </t>
  </si>
  <si>
    <t xml:space="preserve"> 1501.0091 </t>
  </si>
  <si>
    <t xml:space="preserve"> 63.5217 </t>
  </si>
  <si>
    <t xml:space="preserve">\\192.168.24.208\images\R&amp;D\2-Test oestrogénique\OECD and AOPs\REACTIV oecd interlaboratory validation\WF data\Repeats for invalid experiments - EBO\2022-EBO-ARABINOSE R4\plaque 2/@21 ARABINOSE 100 + TESTO/H9_01.tif </t>
  </si>
  <si>
    <t xml:space="preserve">\\192.168.24.208\images\R&amp;D\2-Test oestrogénique\OECD and AOPs\REACTIV oecd interlaboratory validation\WF data\Repeats for invalid experiments - EBO\2022-EBO-ARABINOSE R4\plaque 2/@21 ARABINOSE 100 + TESTO/H9_02.tif </t>
  </si>
  <si>
    <t xml:space="preserve">\\192.168.24.208\images\R&amp;D\2-Test oestrogénique\OECD and AOPs\REACTIV oecd interlaboratory validation\WF data\Repeats for invalid experiments - EBO\2022-EBO-ARABINOSE R4\plaque 2/@21 ARABINOSE 100 + TESTO/H9_03.tif </t>
  </si>
  <si>
    <t xml:space="preserve"> 63.5714 </t>
  </si>
  <si>
    <t xml:space="preserve">\\192.168.24.208\images\R&amp;D\2-Test oestrogénique\OECD and AOPs\REACTIV oecd interlaboratory validation\WF data\Repeats for invalid experiments - EBO\2022-EBO-ARABINOSE R4\plaque 2/@21 ARABINOSE 100 + TESTO/ </t>
  </si>
  <si>
    <t xml:space="preserve"> 67.1292 </t>
  </si>
  <si>
    <t xml:space="preserve"> 2.2206 </t>
  </si>
  <si>
    <t xml:space="preserve"> 1359278.92 </t>
  </si>
  <si>
    <t xml:space="preserve"> 930802.071 </t>
  </si>
  <si>
    <t xml:space="preserve"> n total analysed</t>
  </si>
  <si>
    <t>Colonne1</t>
  </si>
  <si>
    <t>01 TS</t>
  </si>
  <si>
    <t>02 EE2 34</t>
  </si>
  <si>
    <t>03 EE2 51</t>
  </si>
  <si>
    <t>04 EE2 76</t>
  </si>
  <si>
    <t>05 EE2 114</t>
  </si>
  <si>
    <t>06 EE2 171</t>
  </si>
  <si>
    <t>07 EE2 488</t>
  </si>
  <si>
    <t>08 ARABINOSE 0.01</t>
  </si>
  <si>
    <t>09 ARABINOSE 0.1</t>
  </si>
  <si>
    <t>10 ARABINOSE 1</t>
  </si>
  <si>
    <t>11 ARABINOSE 10</t>
  </si>
  <si>
    <t>12 ARABINOSE 100</t>
  </si>
  <si>
    <t>13 TESTO 0.2</t>
  </si>
  <si>
    <t>14 TESTO 0.2</t>
  </si>
  <si>
    <t>15 TESTO +EE2</t>
  </si>
  <si>
    <t>16 TESTO + FAD</t>
  </si>
  <si>
    <t>17 ARABINOSE 0.01 + TESTO</t>
  </si>
  <si>
    <t>18 ARABINOSE 0.1 + TESTO</t>
  </si>
  <si>
    <t>19 ARABINOSE 1 + TESTO</t>
  </si>
  <si>
    <t>20 ARABINOSE 10 + TESTO</t>
  </si>
  <si>
    <t>21 ARABINOSE 100 + TESTO</t>
  </si>
  <si>
    <t>B</t>
  </si>
  <si>
    <t>C</t>
  </si>
  <si>
    <t>D</t>
  </si>
  <si>
    <t>E</t>
  </si>
  <si>
    <t>F</t>
  </si>
  <si>
    <t>G</t>
  </si>
  <si>
    <t>H</t>
  </si>
  <si>
    <t xml:space="preserve">F:\images\20210420\plaque 1/@01 Evian + 0.2% DMSO/A1_01.tif </t>
  </si>
  <si>
    <t xml:space="preserve"> 10663.5381 </t>
  </si>
  <si>
    <t xml:space="preserve"> 77.3489 </t>
  </si>
  <si>
    <t xml:space="preserve">F:\images\20210420\plaque 1/@01 Evian + 0.2% DMSO/A1_02.tif </t>
  </si>
  <si>
    <t xml:space="preserve"> 2054.84 </t>
  </si>
  <si>
    <t xml:space="preserve"> 65.3368 </t>
  </si>
  <si>
    <t xml:space="preserve">F:\images\20210420\plaque 1/@01 Evian + 0.2% DMSO/A1_03.tif </t>
  </si>
  <si>
    <t xml:space="preserve"> 3568.9326 </t>
  </si>
  <si>
    <t xml:space="preserve"> 65.4545 </t>
  </si>
  <si>
    <t xml:space="preserve">F:\images\20210420\plaque 1/@01 Evian + 0.2% DMSO/B1_01.tif </t>
  </si>
  <si>
    <t xml:space="preserve"> 8716.8475 </t>
  </si>
  <si>
    <t xml:space="preserve"> 71.3375 </t>
  </si>
  <si>
    <t xml:space="preserve">F:\images\20210420\plaque 1/@01 Evian + 0.2% DMSO/B1_02.tif </t>
  </si>
  <si>
    <t xml:space="preserve"> 497.4876 </t>
  </si>
  <si>
    <t xml:space="preserve"> 62.6522 </t>
  </si>
  <si>
    <t xml:space="preserve">F:\images\20210420\plaque 1/@01 Evian + 0.2% DMSO/B1_03.tif </t>
  </si>
  <si>
    <t xml:space="preserve"> 281.1886 </t>
  </si>
  <si>
    <t xml:space="preserve">F:\images\20210420\plaque 1/@01 Evian + 0.2% DMSO/C1_01.tif </t>
  </si>
  <si>
    <t xml:space="preserve"> 3244.4842 </t>
  </si>
  <si>
    <t xml:space="preserve"> 65.5867 </t>
  </si>
  <si>
    <t xml:space="preserve">F:\images\20210420\plaque 1/@01 Evian + 0.2% DMSO/C1_02.tif </t>
  </si>
  <si>
    <t xml:space="preserve"> 324.4484 </t>
  </si>
  <si>
    <t xml:space="preserve">F:\images\20210420\plaque 1/@01 Evian + 0.2% DMSO/C1_03.tif </t>
  </si>
  <si>
    <t xml:space="preserve"> 1211.2741 </t>
  </si>
  <si>
    <t xml:space="preserve"> 63.3929 </t>
  </si>
  <si>
    <t xml:space="preserve">F:\images\20210420\plaque 1/@01 Evian + 0.2% DMSO/D1_01.tif </t>
  </si>
  <si>
    <t xml:space="preserve">F:\images\20210420\plaque 1/@01 Evian + 0.2% DMSO/D1_02.tif </t>
  </si>
  <si>
    <t xml:space="preserve"> 1427.573 </t>
  </si>
  <si>
    <t xml:space="preserve"> 65.2424 </t>
  </si>
  <si>
    <t xml:space="preserve">F:\images\20210420\plaque 1/@01 Evian + 0.2% DMSO/D1_03.tif </t>
  </si>
  <si>
    <t xml:space="preserve"> 259.5587 </t>
  </si>
  <si>
    <t xml:space="preserve"> 64.1667 </t>
  </si>
  <si>
    <t xml:space="preserve">F:\images\20210420\plaque 1/@01 Evian + 0.2% DMSO/E1_01.tif </t>
  </si>
  <si>
    <t xml:space="preserve"> 2465.808 </t>
  </si>
  <si>
    <t xml:space="preserve"> 65.1579 </t>
  </si>
  <si>
    <t xml:space="preserve">F:\images\20210420\plaque 1/@01 Evian + 0.2% DMSO/E1_02.tif </t>
  </si>
  <si>
    <t xml:space="preserve"> 1449.2029 </t>
  </si>
  <si>
    <t xml:space="preserve"> 63.1194 </t>
  </si>
  <si>
    <t xml:space="preserve">F:\images\20210420\plaque 1/@01 Evian + 0.2% DMSO/E1_03.tif </t>
  </si>
  <si>
    <t xml:space="preserve"> 4152.9398 </t>
  </si>
  <si>
    <t xml:space="preserve"> 65.6094 </t>
  </si>
  <si>
    <t xml:space="preserve">F:\images\20210420\plaque 1/@01 Evian + 0.2% DMSO/F1_01.tif </t>
  </si>
  <si>
    <t xml:space="preserve"> 346.0783 </t>
  </si>
  <si>
    <t xml:space="preserve">F:\images\20210420\plaque 1/@01 Evian + 0.2% DMSO/F1_02.tif </t>
  </si>
  <si>
    <t xml:space="preserve"> 389.3381 </t>
  </si>
  <si>
    <t xml:space="preserve"> 62.9444 </t>
  </si>
  <si>
    <t xml:space="preserve">F:\images\20210420\plaque 1/@01 Evian + 0.2% DMSO/F1_03.tif </t>
  </si>
  <si>
    <t xml:space="preserve"> 151.4093 </t>
  </si>
  <si>
    <t xml:space="preserve">F:\images\20210420\plaque 1/@01 Evian + 0.2% DMSO/G1_01.tif </t>
  </si>
  <si>
    <t xml:space="preserve"> 2336.0286 </t>
  </si>
  <si>
    <t xml:space="preserve"> 63.8241 </t>
  </si>
  <si>
    <t xml:space="preserve">F:\images\20210420\plaque 1/@01 Evian + 0.2% DMSO/G1_02.tif </t>
  </si>
  <si>
    <t xml:space="preserve"> 865.1958 </t>
  </si>
  <si>
    <t xml:space="preserve"> 63.5 </t>
  </si>
  <si>
    <t xml:space="preserve">F:\images\20210420\plaque 1/@01 Evian + 0.2% DMSO/G1_03.tif </t>
  </si>
  <si>
    <t xml:space="preserve"> 63.087 </t>
  </si>
  <si>
    <t xml:space="preserve">F:\images\20210420\plaque 1/@01 Evian + 0.2% DMSO/H1_01.tif </t>
  </si>
  <si>
    <t xml:space="preserve"> 108.1495 </t>
  </si>
  <si>
    <t xml:space="preserve"> 64.2 </t>
  </si>
  <si>
    <t xml:space="preserve">F:\images\20210420\plaque 1/@01 Evian + 0.2% DMSO/H1_02.tif </t>
  </si>
  <si>
    <t xml:space="preserve"> 1535.7225 </t>
  </si>
  <si>
    <t xml:space="preserve"> 63.3662 </t>
  </si>
  <si>
    <t xml:space="preserve">F:\images\20210420\plaque 1/@01 Evian + 0.2% DMSO/H1_03.tif </t>
  </si>
  <si>
    <t xml:space="preserve"> 62.7143 </t>
  </si>
  <si>
    <t xml:space="preserve">F:\images\20210420\plaque 1/@01 Evian + 0.2% DMSO/ </t>
  </si>
  <si>
    <t xml:space="preserve"> 64.7685 </t>
  </si>
  <si>
    <t xml:space="preserve"> 3.2326 </t>
  </si>
  <si>
    <t xml:space="preserve"> 134618.208 </t>
  </si>
  <si>
    <t xml:space="preserve"> 199155.815 </t>
  </si>
  <si>
    <t xml:space="preserve">F:\images\20210420\plaque 1/@02 EE2 33.8/A2_01.tif </t>
  </si>
  <si>
    <t xml:space="preserve"> 8392.3991 </t>
  </si>
  <si>
    <t xml:space="preserve"> 72.2706 </t>
  </si>
  <si>
    <t xml:space="preserve">F:\images\20210420\plaque 1/@02 EE2 33.8/A2_02.tif </t>
  </si>
  <si>
    <t xml:space="preserve"> 5104.6551 </t>
  </si>
  <si>
    <t xml:space="preserve"> 66.4237 </t>
  </si>
  <si>
    <t xml:space="preserve">F:\images\20210420\plaque 1/@02 EE2 33.8/A2_03.tif </t>
  </si>
  <si>
    <t xml:space="preserve"> 6640.3777 </t>
  </si>
  <si>
    <t xml:space="preserve"> 68.8502 </t>
  </si>
  <si>
    <t xml:space="preserve">F:\images\20210420\plaque 1/@02 EE2 33.8/B2_01.tif </t>
  </si>
  <si>
    <t xml:space="preserve"> 68.1303 </t>
  </si>
  <si>
    <t xml:space="preserve">F:\images\20210420\plaque 1/@02 EE2 33.8/B2_02.tif </t>
  </si>
  <si>
    <t xml:space="preserve"> 70.3471 </t>
  </si>
  <si>
    <t xml:space="preserve">F:\images\20210420\plaque 1/@02 EE2 33.8/B2_03.tif </t>
  </si>
  <si>
    <t xml:space="preserve"> 2292.7688 </t>
  </si>
  <si>
    <t xml:space="preserve"> 64.5283 </t>
  </si>
  <si>
    <t xml:space="preserve">F:\images\20210420\plaque 1/@02 EE2 33.8/C2_01.tif </t>
  </si>
  <si>
    <t xml:space="preserve"> 3093.0749 </t>
  </si>
  <si>
    <t xml:space="preserve"> 63.7622 </t>
  </si>
  <si>
    <t xml:space="preserve">F:\images\20210420\plaque 1/@02 EE2 33.8/C2_02.tif </t>
  </si>
  <si>
    <t xml:space="preserve"> 2379.2884 </t>
  </si>
  <si>
    <t xml:space="preserve"> 64.4364 </t>
  </si>
  <si>
    <t xml:space="preserve">F:\images\20210420\plaque 1/@02 EE2 33.8/C2_03.tif </t>
  </si>
  <si>
    <t xml:space="preserve"> 62.3125 </t>
  </si>
  <si>
    <t xml:space="preserve">F:\images\20210420\plaque 1/@02 EE2 33.8/D2_01.tif </t>
  </si>
  <si>
    <t xml:space="preserve"> 9257.5949 </t>
  </si>
  <si>
    <t xml:space="preserve"> 73.8832 </t>
  </si>
  <si>
    <t xml:space="preserve">F:\images\20210420\plaque 1/@02 EE2 33.8/D2_02.tif </t>
  </si>
  <si>
    <t xml:space="preserve"> 908.4556 </t>
  </si>
  <si>
    <t xml:space="preserve"> 62.1667 </t>
  </si>
  <si>
    <t xml:space="preserve">F:\images\20210420\plaque 1/@02 EE2 33.8/D2_03.tif </t>
  </si>
  <si>
    <t xml:space="preserve"> 2703.7368 </t>
  </si>
  <si>
    <t xml:space="preserve"> 63.968 </t>
  </si>
  <si>
    <t xml:space="preserve">F:\images\20210420\plaque 1/@02 EE2 33.8/E2_01.tif </t>
  </si>
  <si>
    <t xml:space="preserve"> 64.4 </t>
  </si>
  <si>
    <t>F:\images\20210420\plaque 1/@02 EE2 33.8/E2_02- exclu.tif</t>
  </si>
  <si>
    <t xml:space="preserve">F:\images\20210420\plaque 1/@02 EE2 33.8/E2_03.tif </t>
  </si>
  <si>
    <t xml:space="preserve"> 237.9288 </t>
  </si>
  <si>
    <t xml:space="preserve"> 62.2727 </t>
  </si>
  <si>
    <t xml:space="preserve">F:\images\20210420\plaque 1/@02 EE2 33.8/F2_01.tif </t>
  </si>
  <si>
    <t xml:space="preserve"> 12134.3709 </t>
  </si>
  <si>
    <t xml:space="preserve"> 76.2674 </t>
  </si>
  <si>
    <t xml:space="preserve">F:\images\20210420\plaque 1/@02 EE2 33.8/F2_02.tif </t>
  </si>
  <si>
    <t xml:space="preserve"> 11031.2463 </t>
  </si>
  <si>
    <t xml:space="preserve"> 80.349 </t>
  </si>
  <si>
    <t xml:space="preserve">F:\images\20210420\plaque 1/@02 EE2 33.8/F2_03.tif </t>
  </si>
  <si>
    <t xml:space="preserve"> 7072.9755 </t>
  </si>
  <si>
    <t xml:space="preserve"> 69.6147 </t>
  </si>
  <si>
    <t xml:space="preserve">F:\images\20210420\plaque 1/@02 EE2 33.8/G2_01.tif </t>
  </si>
  <si>
    <t xml:space="preserve"> 6186.1499 </t>
  </si>
  <si>
    <t xml:space="preserve"> 64.7028 </t>
  </si>
  <si>
    <t xml:space="preserve">F:\images\20210420\plaque 1/@02 EE2 33.8/G2_02.tif </t>
  </si>
  <si>
    <t xml:space="preserve"> 5429.1036 </t>
  </si>
  <si>
    <t xml:space="preserve"> 64.753 </t>
  </si>
  <si>
    <t xml:space="preserve">F:\images\20210420\plaque 1/@02 EE2 33.8/G2_03.tif </t>
  </si>
  <si>
    <t xml:space="preserve"> 5537.253 </t>
  </si>
  <si>
    <t xml:space="preserve">F:\images\20210420\plaque 1/@02 EE2 33.8/H2_01.tif </t>
  </si>
  <si>
    <t xml:space="preserve"> 86.5196 </t>
  </si>
  <si>
    <t xml:space="preserve"> 69.75 </t>
  </si>
  <si>
    <t xml:space="preserve">F:\images\20210420\plaque 1/@02 EE2 33.8/H2_02.tif </t>
  </si>
  <si>
    <t xml:space="preserve">F:\images\20210420\plaque 1/@02 EE2 33.8/H2_03.tif </t>
  </si>
  <si>
    <t xml:space="preserve">F:\images\20210420\plaque 1/@02 EE2 33.8/ </t>
  </si>
  <si>
    <t xml:space="preserve"> 67.061 </t>
  </si>
  <si>
    <t xml:space="preserve"> 4.7669 </t>
  </si>
  <si>
    <t xml:space="preserve"> 297365.125 </t>
  </si>
  <si>
    <t xml:space="preserve"> 279009.454 </t>
  </si>
  <si>
    <t xml:space="preserve">F:\images\20210420\plaque 1/@03 EE2 50.6/A3_01.tif </t>
  </si>
  <si>
    <t xml:space="preserve"> 6424.0787 </t>
  </si>
  <si>
    <t xml:space="preserve"> 69.7306 </t>
  </si>
  <si>
    <t xml:space="preserve">F:\images\20210420\plaque 1/@03 EE2 50.6/A3_02.tif </t>
  </si>
  <si>
    <t xml:space="preserve"> 5493.9932 </t>
  </si>
  <si>
    <t xml:space="preserve"> 69.4646 </t>
  </si>
  <si>
    <t xml:space="preserve">F:\images\20210420\plaque 1/@03 EE2 50.6/A3_03.tif </t>
  </si>
  <si>
    <t xml:space="preserve"> 5083.0252 </t>
  </si>
  <si>
    <t xml:space="preserve"> 67.8681 </t>
  </si>
  <si>
    <t xml:space="preserve">F:\images\20210420\plaque 1/@03 EE2 50.6/B3_01.tif </t>
  </si>
  <si>
    <t xml:space="preserve"> 9452.264 </t>
  </si>
  <si>
    <t xml:space="preserve"> 70.389 </t>
  </si>
  <si>
    <t xml:space="preserve">F:\images\20210420\plaque 1/@03 EE2 50.6/B3_02.tif </t>
  </si>
  <si>
    <t xml:space="preserve"> 1362.6834 </t>
  </si>
  <si>
    <t xml:space="preserve"> 66.6984 </t>
  </si>
  <si>
    <t xml:space="preserve">F:\images\20210420\plaque 1/@03 EE2 50.6/B3_03.tif </t>
  </si>
  <si>
    <t xml:space="preserve"> 7527.2033 </t>
  </si>
  <si>
    <t xml:space="preserve"> 67.319 </t>
  </si>
  <si>
    <t xml:space="preserve">F:\images\20210420\plaque 1/@03 EE2 50.6/C3_01.tif </t>
  </si>
  <si>
    <t xml:space="preserve"> 65.3611 </t>
  </si>
  <si>
    <t xml:space="preserve">F:\images\20210420\plaque 1/@03 EE2 50.6/C3_02.tif </t>
  </si>
  <si>
    <t xml:space="preserve"> 475.8577 </t>
  </si>
  <si>
    <t xml:space="preserve">F:\images\20210420\plaque 1/@03 EE2 50.6/C3_03.tif </t>
  </si>
  <si>
    <t xml:space="preserve"> 540.7474 </t>
  </si>
  <si>
    <t xml:space="preserve"> 63.96 </t>
  </si>
  <si>
    <t xml:space="preserve">F:\images\20210420\plaque 1/@03 EE2 50.6/D3_01.tif </t>
  </si>
  <si>
    <t xml:space="preserve"> 75.0316 </t>
  </si>
  <si>
    <t xml:space="preserve">F:\images\20210420\plaque 1/@03 EE2 50.6/D3_02.tif </t>
  </si>
  <si>
    <t xml:space="preserve"> 4088.0501 </t>
  </si>
  <si>
    <t xml:space="preserve"> 64.9947 </t>
  </si>
  <si>
    <t xml:space="preserve">F:\images\20210420\plaque 1/@03 EE2 50.6/D3_03.tif </t>
  </si>
  <si>
    <t xml:space="preserve"> 1989.9503 </t>
  </si>
  <si>
    <t xml:space="preserve"> 66.163 </t>
  </si>
  <si>
    <t xml:space="preserve">F:\images\20210420\plaque 1/@03 EE2 50.6/E3_01.tif </t>
  </si>
  <si>
    <t xml:space="preserve"> 5212.8046 </t>
  </si>
  <si>
    <t xml:space="preserve"> 68.4938 </t>
  </si>
  <si>
    <t xml:space="preserve">F:\images\20210420\plaque 1/@03 EE2 50.6/E3_02.tif </t>
  </si>
  <si>
    <t xml:space="preserve"> 1730.3916 </t>
  </si>
  <si>
    <t xml:space="preserve"> 63.5625 </t>
  </si>
  <si>
    <t xml:space="preserve">F:\images\20210420\plaque 1/@03 EE2 50.6/E3_03.tif </t>
  </si>
  <si>
    <t xml:space="preserve"> 63.3261 </t>
  </si>
  <si>
    <t xml:space="preserve">F:\images\20210420\plaque 1/@03 EE2 50.6/F3_01.tif </t>
  </si>
  <si>
    <t xml:space="preserve"> 1708.7617 </t>
  </si>
  <si>
    <t xml:space="preserve"> 65.3418 </t>
  </si>
  <si>
    <t xml:space="preserve">F:\images\20210420\plaque 1/@03 EE2 50.6/F3_02.tif </t>
  </si>
  <si>
    <t xml:space="preserve"> 973.3453 </t>
  </si>
  <si>
    <t xml:space="preserve"> 69.2444 </t>
  </si>
  <si>
    <t xml:space="preserve">F:\images\20210420\plaque 1/@03 EE2 50.6/F3_03.tif </t>
  </si>
  <si>
    <t xml:space="preserve"> 951.7154 </t>
  </si>
  <si>
    <t xml:space="preserve"> 62.8864 </t>
  </si>
  <si>
    <t xml:space="preserve">F:\images\20210420\plaque 1/@03 EE2 50.6/G3_01.tif </t>
  </si>
  <si>
    <t xml:space="preserve"> 3785.2316 </t>
  </si>
  <si>
    <t xml:space="preserve"> 65.5543 </t>
  </si>
  <si>
    <t xml:space="preserve">F:\images\20210420\plaque 1/@03 EE2 50.6/G3_02.tif </t>
  </si>
  <si>
    <t xml:space="preserve"> 6272.6694 </t>
  </si>
  <si>
    <t xml:space="preserve"> 67.9586 </t>
  </si>
  <si>
    <t xml:space="preserve">F:\images\20210420\plaque 1/@03 EE2 50.6/G3_03.tif </t>
  </si>
  <si>
    <t xml:space="preserve"> 410.968 </t>
  </si>
  <si>
    <t xml:space="preserve"> 63.5789 </t>
  </si>
  <si>
    <t xml:space="preserve">F:\images\20210420\plaque 1/@03 EE2 50.6/H3_01.tif </t>
  </si>
  <si>
    <t xml:space="preserve"> 713.7865 </t>
  </si>
  <si>
    <t xml:space="preserve">F:\images\20210420\plaque 1/@03 EE2 50.6/H3_02.tif </t>
  </si>
  <si>
    <t xml:space="preserve"> 3157.9646 </t>
  </si>
  <si>
    <t xml:space="preserve"> 65.5274 </t>
  </si>
  <si>
    <t xml:space="preserve">F:\images\20210420\plaque 1/@03 EE2 50.6/H3_03.tif </t>
  </si>
  <si>
    <t xml:space="preserve">F:\images\20210420\plaque 1/@03 EE2 50.6/ </t>
  </si>
  <si>
    <t xml:space="preserve"> 66.3578 </t>
  </si>
  <si>
    <t xml:space="preserve"> 3.0025 </t>
  </si>
  <si>
    <t xml:space="preserve"> 231199.292 </t>
  </si>
  <si>
    <t xml:space="preserve"> 187560.211 </t>
  </si>
  <si>
    <t xml:space="preserve">F:\images\20210420\plaque 1/@04 EE2 76/A4_01.tif </t>
  </si>
  <si>
    <t xml:space="preserve"> 2422.5482 </t>
  </si>
  <si>
    <t xml:space="preserve"> 64.1696 </t>
  </si>
  <si>
    <t xml:space="preserve">F:\images\20210420\plaque 1/@04 EE2 76/A4_02.tif </t>
  </si>
  <si>
    <t xml:space="preserve"> 4131.3099 </t>
  </si>
  <si>
    <t xml:space="preserve"> 65.4974 </t>
  </si>
  <si>
    <t xml:space="preserve">F:\images\20210420\plaque 1/@04 EE2 76/A4_03.tif </t>
  </si>
  <si>
    <t xml:space="preserve"> 9041.296 </t>
  </si>
  <si>
    <t xml:space="preserve"> 72.6675 </t>
  </si>
  <si>
    <t xml:space="preserve">F:\images\20210420\plaque 1/@04 EE2 76/B4_01.tif </t>
  </si>
  <si>
    <t xml:space="preserve"> 1341.0535 </t>
  </si>
  <si>
    <t xml:space="preserve"> 62.9032 </t>
  </si>
  <si>
    <t xml:space="preserve">F:\images\20210420\plaque 1/@04 EE2 76/B4_02.tif </t>
  </si>
  <si>
    <t xml:space="preserve"> 5191.1747 </t>
  </si>
  <si>
    <t xml:space="preserve"> 67.4833 </t>
  </si>
  <si>
    <t xml:space="preserve">F:\images\20210420\plaque 1/@04 EE2 76/B4_03.tif </t>
  </si>
  <si>
    <t xml:space="preserve"> 65.49 </t>
  </si>
  <si>
    <t xml:space="preserve">F:\images\20210420\plaque 1/@04 EE2 76/C4_01.tif </t>
  </si>
  <si>
    <t xml:space="preserve"> 62.7606 </t>
  </si>
  <si>
    <t xml:space="preserve">F:\images\20210420\plaque 1/@04 EE2 76/C4_02.tif </t>
  </si>
  <si>
    <t xml:space="preserve"> 1016.605 </t>
  </si>
  <si>
    <t xml:space="preserve"> 63.2553 </t>
  </si>
  <si>
    <t xml:space="preserve">F:\images\20210420\plaque 1/@04 EE2 76/C4_03.tif </t>
  </si>
  <si>
    <t xml:space="preserve"> 63.303 </t>
  </si>
  <si>
    <t xml:space="preserve">F:\images\20210420\plaque 1/@04 EE2 76/D4_01.tif </t>
  </si>
  <si>
    <t xml:space="preserve"> 6986.456 </t>
  </si>
  <si>
    <t xml:space="preserve"> 67.5325 </t>
  </si>
  <si>
    <t xml:space="preserve">F:\images\20210420\plaque 1/@04 EE2 76/D4_02.tif </t>
  </si>
  <si>
    <t xml:space="preserve"> 5883.3313 </t>
  </si>
  <si>
    <t xml:space="preserve"> 67.1838 </t>
  </si>
  <si>
    <t xml:space="preserve">F:\images\20210420\plaque 1/@04 EE2 76/D4_03.tif </t>
  </si>
  <si>
    <t xml:space="preserve"> 2941.6657 </t>
  </si>
  <si>
    <t xml:space="preserve"> 64.9853 </t>
  </si>
  <si>
    <t>F:\images\20210420\plaque 1/@04 EE2 76/E4_01- exclu.tif</t>
  </si>
  <si>
    <t xml:space="preserve">F:\images\20210420\plaque 1/@04 EE2 76/E4_02.tif </t>
  </si>
  <si>
    <t xml:space="preserve"> 5796.8118 </t>
  </si>
  <si>
    <t xml:space="preserve"> 65.9627 </t>
  </si>
  <si>
    <t xml:space="preserve">F:\images\20210420\plaque 1/@04 EE2 76/E4_03.tif </t>
  </si>
  <si>
    <t xml:space="preserve"> 4455.7583 </t>
  </si>
  <si>
    <t xml:space="preserve"> 64.432 </t>
  </si>
  <si>
    <t xml:space="preserve">F:\images\20210420\plaque 1/@04 EE2 76/F4_01.tif </t>
  </si>
  <si>
    <t xml:space="preserve"> 9949.7515 </t>
  </si>
  <si>
    <t xml:space="preserve"> 73.087 </t>
  </si>
  <si>
    <t xml:space="preserve">F:\images\20210420\plaque 1/@04 EE2 76/F4_02.tif </t>
  </si>
  <si>
    <t xml:space="preserve"> 3374.2636 </t>
  </si>
  <si>
    <t xml:space="preserve"> 64.0449 </t>
  </si>
  <si>
    <t xml:space="preserve">F:\images\20210420\plaque 1/@04 EE2 76/F4_03.tif </t>
  </si>
  <si>
    <t xml:space="preserve"> 4304.349 </t>
  </si>
  <si>
    <t xml:space="preserve"> 65.5327 </t>
  </si>
  <si>
    <t xml:space="preserve">F:\images\20210420\plaque 1/@04 EE2 76/G4_01.tif </t>
  </si>
  <si>
    <t xml:space="preserve"> 2033.2101 </t>
  </si>
  <si>
    <t xml:space="preserve"> 62.9149 </t>
  </si>
  <si>
    <t xml:space="preserve">F:\images\20210420\plaque 1/@04 EE2 76/G4_02.tif </t>
  </si>
  <si>
    <t xml:space="preserve"> 2725.3667 </t>
  </si>
  <si>
    <t xml:space="preserve">F:\images\20210420\plaque 1/@04 EE2 76/G4_03.tif </t>
  </si>
  <si>
    <t xml:space="preserve"> 2530.6977 </t>
  </si>
  <si>
    <t xml:space="preserve"> 63.2137 </t>
  </si>
  <si>
    <t xml:space="preserve">F:\images\20210420\plaque 1/@04 EE2 76/H4_01.tif </t>
  </si>
  <si>
    <t xml:space="preserve"> 13302.3852 </t>
  </si>
  <si>
    <t xml:space="preserve"> 65.8959 </t>
  </si>
  <si>
    <t xml:space="preserve">F:\images\20210420\plaque 1/@04 EE2 76/H4_02.tif </t>
  </si>
  <si>
    <t xml:space="preserve"> 63.4472 </t>
  </si>
  <si>
    <t xml:space="preserve">F:\images\20210420\plaque 1/@04 EE2 76/H4_03.tif </t>
  </si>
  <si>
    <t xml:space="preserve"> 10295.8298 </t>
  </si>
  <si>
    <t xml:space="preserve"> 64.5273 </t>
  </si>
  <si>
    <t xml:space="preserve">F:\images\20210420\plaque 1/@04 EE2 76/ </t>
  </si>
  <si>
    <t xml:space="preserve"> 65.2524 </t>
  </si>
  <si>
    <t xml:space="preserve"> 2.7898 </t>
  </si>
  <si>
    <t xml:space="preserve"> 309920.375 </t>
  </si>
  <si>
    <t xml:space="preserve"> 224981.204 </t>
  </si>
  <si>
    <t xml:space="preserve">F:\images\20210420\plaque 1/@05 EE2 114/A5_01.tif </t>
  </si>
  <si>
    <t xml:space="preserve"> 22300.4214 </t>
  </si>
  <si>
    <t xml:space="preserve"> 66.7284 </t>
  </si>
  <si>
    <t xml:space="preserve">F:\images\20210420\plaque 1/@05 EE2 114/A5_02.tif </t>
  </si>
  <si>
    <t xml:space="preserve"> 11420.5844 </t>
  </si>
  <si>
    <t xml:space="preserve"> 64.6591 </t>
  </si>
  <si>
    <t xml:space="preserve">F:\images\20210420\plaque 1/@05 EE2 114/A5_03.tif </t>
  </si>
  <si>
    <t xml:space="preserve"> 28486.5712 </t>
  </si>
  <si>
    <t xml:space="preserve"> 67.8041 </t>
  </si>
  <si>
    <t xml:space="preserve">F:\images\20210420\plaque 1/@05 EE2 114/B5_01.tif </t>
  </si>
  <si>
    <t xml:space="preserve"> 22841.1687 </t>
  </si>
  <si>
    <t xml:space="preserve"> 66.5492 </t>
  </si>
  <si>
    <t xml:space="preserve">F:\images\20210420\plaque 1/@05 EE2 114/B5_02.tif </t>
  </si>
  <si>
    <t xml:space="preserve"> 20223.9515 </t>
  </si>
  <si>
    <t xml:space="preserve"> 65.6021 </t>
  </si>
  <si>
    <t xml:space="preserve">F:\images\20210420\plaque 1/@05 EE2 114/B5_03.tif </t>
  </si>
  <si>
    <t xml:space="preserve"> 19834.6134 </t>
  </si>
  <si>
    <t xml:space="preserve"> 66.3588 </t>
  </si>
  <si>
    <t xml:space="preserve">F:\images\20210420\plaque 1/@05 EE2 114/C5_01.tif </t>
  </si>
  <si>
    <t xml:space="preserve"> 21348.706 </t>
  </si>
  <si>
    <t xml:space="preserve"> 66.1327 </t>
  </si>
  <si>
    <t xml:space="preserve">F:\images\20210420\plaque 1/@05 EE2 114/C5_02.tif </t>
  </si>
  <si>
    <t xml:space="preserve"> 15941.2323 </t>
  </si>
  <si>
    <t xml:space="preserve"> 65.6635 </t>
  </si>
  <si>
    <t xml:space="preserve">F:\images\20210420\plaque 1/@05 EE2 114/C5_03.tif </t>
  </si>
  <si>
    <t xml:space="preserve"> 14059.4315 </t>
  </si>
  <si>
    <t xml:space="preserve"> 65.4508 </t>
  </si>
  <si>
    <t xml:space="preserve">F:\images\20210420\plaque 1/@05 EE2 114/D5_01.tif </t>
  </si>
  <si>
    <t xml:space="preserve"> 16892.9477 </t>
  </si>
  <si>
    <t xml:space="preserve"> 69.5775 </t>
  </si>
  <si>
    <t xml:space="preserve">F:\images\20210420\plaque 1/@05 EE2 114/D5_02.tif </t>
  </si>
  <si>
    <t xml:space="preserve"> 17174.1363 </t>
  </si>
  <si>
    <t xml:space="preserve"> 69.6826 </t>
  </si>
  <si>
    <t xml:space="preserve">F:\images\20210420\plaque 1/@05 EE2 114/D5_03.tif </t>
  </si>
  <si>
    <t xml:space="preserve"> 20375.3607 </t>
  </si>
  <si>
    <t xml:space="preserve"> 68.0616 </t>
  </si>
  <si>
    <t xml:space="preserve">F:\images\20210420\plaque 1/@05 EE2 114/E5_01.tif </t>
  </si>
  <si>
    <t xml:space="preserve"> 16611.7591 </t>
  </si>
  <si>
    <t xml:space="preserve"> 66.2227 </t>
  </si>
  <si>
    <t xml:space="preserve">F:\images\20210420\plaque 1/@05 EE2 114/E5_02.tif </t>
  </si>
  <si>
    <t xml:space="preserve"> 15119.2963 </t>
  </si>
  <si>
    <t xml:space="preserve"> 65.9943 </t>
  </si>
  <si>
    <t xml:space="preserve">F:\images\20210420\plaque 1/@05 EE2 114/E5_03.tif </t>
  </si>
  <si>
    <t xml:space="preserve"> 14578.549 </t>
  </si>
  <si>
    <t xml:space="preserve"> 67.003 </t>
  </si>
  <si>
    <t xml:space="preserve">F:\images\20210420\plaque 1/@05 EE2 114/F5_01.tif </t>
  </si>
  <si>
    <t xml:space="preserve"> 173.0392 </t>
  </si>
  <si>
    <t xml:space="preserve"> 62.25 </t>
  </si>
  <si>
    <t xml:space="preserve">F:\images\20210420\plaque 1/@05 EE2 114/F5_02.tif </t>
  </si>
  <si>
    <t xml:space="preserve"> 584.0072 </t>
  </si>
  <si>
    <t xml:space="preserve"> 66.6667 </t>
  </si>
  <si>
    <t xml:space="preserve">F:\images\20210420\plaque 1/@05 EE2 114/F5_03.tif </t>
  </si>
  <si>
    <t xml:space="preserve"> 1578.9823 </t>
  </si>
  <si>
    <t xml:space="preserve"> 64.8356 </t>
  </si>
  <si>
    <t xml:space="preserve">F:\images\20210420\plaque 1/@05 EE2 114/G5_01.tif </t>
  </si>
  <si>
    <t xml:space="preserve"> 19942.7628 </t>
  </si>
  <si>
    <t xml:space="preserve"> 65.6594 </t>
  </si>
  <si>
    <t xml:space="preserve">F:\images\20210420\plaque 1/@05 EE2 114/G5_02.tif </t>
  </si>
  <si>
    <t xml:space="preserve"> 27578.1157 </t>
  </si>
  <si>
    <t xml:space="preserve"> 67.6525 </t>
  </si>
  <si>
    <t xml:space="preserve">F:\images\20210420\plaque 1/@05 EE2 114/G5_03.tif </t>
  </si>
  <si>
    <t xml:space="preserve"> 65.3738 </t>
  </si>
  <si>
    <t xml:space="preserve">F:\images\20210420\plaque 1/@05 EE2 114/H5_01.tif </t>
  </si>
  <si>
    <t xml:space="preserve"> 17931.1826 </t>
  </si>
  <si>
    <t xml:space="preserve"> 66.7527 </t>
  </si>
  <si>
    <t xml:space="preserve">F:\images\20210420\plaque 1/@05 EE2 114/H5_02.tif </t>
  </si>
  <si>
    <t xml:space="preserve"> 23122.3574 </t>
  </si>
  <si>
    <t xml:space="preserve"> 67.0346 </t>
  </si>
  <si>
    <t xml:space="preserve">F:\images\20210420\plaque 1/@05 EE2 114/H5_03.tif </t>
  </si>
  <si>
    <t xml:space="preserve"> 22430.2007 </t>
  </si>
  <si>
    <t xml:space="preserve"> 67.6557 </t>
  </si>
  <si>
    <t xml:space="preserve">F:\images\20210420\plaque 1/@05 EE2 114/ </t>
  </si>
  <si>
    <t xml:space="preserve"> 66.4738 </t>
  </si>
  <si>
    <t xml:space="preserve"> 1.5654 </t>
  </si>
  <si>
    <t xml:space="preserve"> 1126842.71 </t>
  </si>
  <si>
    <t xml:space="preserve"> 503985.896 </t>
  </si>
  <si>
    <t xml:space="preserve">F:\images\20210420\plaque 1/@06 EE2 170.9/A6_01.tif </t>
  </si>
  <si>
    <t xml:space="preserve"> 68674.9154 </t>
  </si>
  <si>
    <t xml:space="preserve"> 85.2617 </t>
  </si>
  <si>
    <t xml:space="preserve">F:\images\20210420\plaque 1/@06 EE2 170.9/A6_02.tif </t>
  </si>
  <si>
    <t xml:space="preserve"> 61126.0822 </t>
  </si>
  <si>
    <t xml:space="preserve"> 84.5103 </t>
  </si>
  <si>
    <t xml:space="preserve">F:\images\20210420\plaque 1/@06 EE2 170.9/A6_03.tif </t>
  </si>
  <si>
    <t xml:space="preserve"> 61169.342 </t>
  </si>
  <si>
    <t xml:space="preserve"> 84.3854 </t>
  </si>
  <si>
    <t xml:space="preserve">F:\images\20210420\plaque 1/@06 EE2 170.9/B6_01.tif </t>
  </si>
  <si>
    <t xml:space="preserve"> 11398.9545 </t>
  </si>
  <si>
    <t xml:space="preserve"> 71.6053 </t>
  </si>
  <si>
    <t xml:space="preserve">F:\images\20210420\plaque 1/@06 EE2 170.9/B6_02.tif </t>
  </si>
  <si>
    <t xml:space="preserve"> 61.5455 </t>
  </si>
  <si>
    <t xml:space="preserve">F:\images\20210420\plaque 1/@06 EE2 170.9/B6_03.tif </t>
  </si>
  <si>
    <t xml:space="preserve"> 64.5789 </t>
  </si>
  <si>
    <t xml:space="preserve">F:\images\20210420\plaque 1/@06 EE2 170.9/C6_01.tif </t>
  </si>
  <si>
    <t xml:space="preserve"> 38176.764 </t>
  </si>
  <si>
    <t xml:space="preserve"> 68.1139 </t>
  </si>
  <si>
    <t xml:space="preserve">F:\images\20210420\plaque 1/@06 EE2 170.9/C6_02.tif </t>
  </si>
  <si>
    <t xml:space="preserve"> 36230.0735 </t>
  </si>
  <si>
    <t xml:space="preserve"> 70.5254 </t>
  </si>
  <si>
    <t xml:space="preserve">F:\images\20210420\plaque 1/@06 EE2 170.9/C6_03.tif </t>
  </si>
  <si>
    <t xml:space="preserve"> 36273.3333 </t>
  </si>
  <si>
    <t xml:space="preserve"> 70.0078 </t>
  </si>
  <si>
    <t xml:space="preserve">F:\images\20210420\plaque 1/@06 EE2 170.9/D6_01.tif </t>
  </si>
  <si>
    <t xml:space="preserve"> 47845.3269 </t>
  </si>
  <si>
    <t xml:space="preserve"> 70.4702 </t>
  </si>
  <si>
    <t xml:space="preserve">F:\images\20210420\plaque 1/@06 EE2 170.9/D6_02.tif </t>
  </si>
  <si>
    <t xml:space="preserve"> 46071.6756 </t>
  </si>
  <si>
    <t xml:space="preserve"> 72.593 </t>
  </si>
  <si>
    <t xml:space="preserve">F:\images\20210420\plaque 1/@06 EE2 170.9/D6_03.tif </t>
  </si>
  <si>
    <t xml:space="preserve"> 41291.4688 </t>
  </si>
  <si>
    <t xml:space="preserve"> 75.3908 </t>
  </si>
  <si>
    <t xml:space="preserve">F:\images\20210420\plaque 1/@06 EE2 170.9/E6_01.tif </t>
  </si>
  <si>
    <t xml:space="preserve"> 41118.4297 </t>
  </si>
  <si>
    <t xml:space="preserve"> 71.2783 </t>
  </si>
  <si>
    <t xml:space="preserve">F:\images\20210420\plaque 1/@06 EE2 170.9/E6_02.tif </t>
  </si>
  <si>
    <t xml:space="preserve"> 21283.8163 </t>
  </si>
  <si>
    <t xml:space="preserve"> 66.6707 </t>
  </si>
  <si>
    <t xml:space="preserve">F:\images\20210420\plaque 1/@06 EE2 170.9/E6_03.tif </t>
  </si>
  <si>
    <t xml:space="preserve"> 39755.7463 </t>
  </si>
  <si>
    <t xml:space="preserve"> 69.5196 </t>
  </si>
  <si>
    <t xml:space="preserve">F:\images\20210420\plaque 1/@06 EE2 170.9/F6_01.tif </t>
  </si>
  <si>
    <t xml:space="preserve"> 49662.2381 </t>
  </si>
  <si>
    <t xml:space="preserve"> 71.5841 </t>
  </si>
  <si>
    <t xml:space="preserve">F:\images\20210420\plaque 1/@06 EE2 170.9/F6_02.tif </t>
  </si>
  <si>
    <t xml:space="preserve"> 51111.441 </t>
  </si>
  <si>
    <t xml:space="preserve"> 73.4456 </t>
  </si>
  <si>
    <t xml:space="preserve">F:\images\20210420\plaque 1/@06 EE2 170.9/F6_03.tif </t>
  </si>
  <si>
    <t xml:space="preserve"> 43238.1594 </t>
  </si>
  <si>
    <t xml:space="preserve"> 71.2411 </t>
  </si>
  <si>
    <t xml:space="preserve">F:\images\20210420\plaque 1/@06 EE2 170.9/G6_01.tif </t>
  </si>
  <si>
    <t xml:space="preserve"> 30736.0803 </t>
  </si>
  <si>
    <t xml:space="preserve"> 69.2949 </t>
  </si>
  <si>
    <t xml:space="preserve">F:\images\20210420\plaque 1/@06 EE2 170.9/G6_02.tif </t>
  </si>
  <si>
    <t xml:space="preserve"> 28313.5321 </t>
  </si>
  <si>
    <t xml:space="preserve"> 69.1711 </t>
  </si>
  <si>
    <t xml:space="preserve">F:\images\20210420\plaque 1/@06 EE2 170.9/G6_03.tif </t>
  </si>
  <si>
    <t xml:space="preserve"> 30606.3009 </t>
  </si>
  <si>
    <t xml:space="preserve"> 69.6947 </t>
  </si>
  <si>
    <t xml:space="preserve">F:\images\20210420\plaque 1/@06 EE2 170.9/H6_01.tif </t>
  </si>
  <si>
    <t xml:space="preserve"> 29654.5855 </t>
  </si>
  <si>
    <t xml:space="preserve"> 72.5872 </t>
  </si>
  <si>
    <t xml:space="preserve">F:\images\20210420\plaque 1/@06 EE2 170.9/H6_02.tif </t>
  </si>
  <si>
    <t xml:space="preserve"> 27880.9342 </t>
  </si>
  <si>
    <t xml:space="preserve"> 73.7083 </t>
  </si>
  <si>
    <t xml:space="preserve">F:\images\20210420\plaque 1/@06 EE2 170.9/H6_03.tif </t>
  </si>
  <si>
    <t xml:space="preserve"> 29805.9948 </t>
  </si>
  <si>
    <t xml:space="preserve"> 73.4296 </t>
  </si>
  <si>
    <t xml:space="preserve">F:\images\20210420\plaque 1/@06 EE2 170.9/ </t>
  </si>
  <si>
    <t xml:space="preserve"> 72.1089 </t>
  </si>
  <si>
    <t xml:space="preserve"> 5.7078 </t>
  </si>
  <si>
    <t xml:space="preserve"> 2695208.33 </t>
  </si>
  <si>
    <t xml:space="preserve"> 1428822.37 </t>
  </si>
  <si>
    <t xml:space="preserve">F:\images\20210420\plaque 1/@07 EE2 488/A7_01.tif </t>
  </si>
  <si>
    <t xml:space="preserve"> 81371.6636 </t>
  </si>
  <si>
    <t xml:space="preserve"> 87.8926 </t>
  </si>
  <si>
    <t xml:space="preserve">F:\images\20210420\plaque 1/@07 EE2 488/A7_02.tif </t>
  </si>
  <si>
    <t xml:space="preserve"> 80592.9874 </t>
  </si>
  <si>
    <t xml:space="preserve"> 88.073 </t>
  </si>
  <si>
    <t xml:space="preserve">F:\images\20210420\plaque 1/@07 EE2 488/A7_03.tif </t>
  </si>
  <si>
    <t xml:space="preserve"> 79771.0514 </t>
  </si>
  <si>
    <t xml:space="preserve"> 87.3042 </t>
  </si>
  <si>
    <t xml:space="preserve">F:\images\20210420\plaque 1/@07 EE2 488/B7_01.tif </t>
  </si>
  <si>
    <t xml:space="preserve"> 56929.8827 </t>
  </si>
  <si>
    <t xml:space="preserve"> 86.8875 </t>
  </si>
  <si>
    <t xml:space="preserve">F:\images\20210420\plaque 1/@07 EE2 488/B7_02.tif </t>
  </si>
  <si>
    <t xml:space="preserve"> 60909.7833 </t>
  </si>
  <si>
    <t xml:space="preserve"> 85.8686 </t>
  </si>
  <si>
    <t xml:space="preserve">F:\images\20210420\plaque 1/@07 EE2 488/B7_03.tif </t>
  </si>
  <si>
    <t xml:space="preserve"> 62207.577 </t>
  </si>
  <si>
    <t xml:space="preserve"> 97.2138 </t>
  </si>
  <si>
    <t xml:space="preserve">F:\images\20210420\plaque 1/@07 EE2 488/C7_01.tif </t>
  </si>
  <si>
    <t xml:space="preserve"> 78927.4855 </t>
  </si>
  <si>
    <t xml:space="preserve"> 89.3875 </t>
  </si>
  <si>
    <t xml:space="preserve">F:\images\20210420\plaque 1/@07 EE2 488/C7_02.tif </t>
  </si>
  <si>
    <t xml:space="preserve"> 79749.4215 </t>
  </si>
  <si>
    <t xml:space="preserve"> 90.4632 </t>
  </si>
  <si>
    <t xml:space="preserve">F:\images\20210420\plaque 1/@07 EE2 488/C7_03.tif </t>
  </si>
  <si>
    <t xml:space="preserve"> 26712.9199 </t>
  </si>
  <si>
    <t xml:space="preserve"> 70.6057 </t>
  </si>
  <si>
    <t xml:space="preserve">F:\images\20210420\plaque 1/@07 EE2 488/D7_01.tif </t>
  </si>
  <si>
    <t xml:space="preserve"> 58119.5269 </t>
  </si>
  <si>
    <t xml:space="preserve"> 91.7845 </t>
  </si>
  <si>
    <t xml:space="preserve">F:\images\20210420\plaque 1/@07 EE2 488/D7_02.tif </t>
  </si>
  <si>
    <t xml:space="preserve"> 59958.0679 </t>
  </si>
  <si>
    <t xml:space="preserve"> 92.3319 </t>
  </si>
  <si>
    <t xml:space="preserve">F:\images\20210420\plaque 1/@07 EE2 488/D7_03.tif </t>
  </si>
  <si>
    <t xml:space="preserve"> 61104.4523 </t>
  </si>
  <si>
    <t xml:space="preserve"> 88.4828 </t>
  </si>
  <si>
    <t xml:space="preserve">F:\images\20210420\plaque 1/@07 EE2 488/E7_01.tif </t>
  </si>
  <si>
    <t xml:space="preserve"> 70859.5348 </t>
  </si>
  <si>
    <t xml:space="preserve"> 91.1068 </t>
  </si>
  <si>
    <t xml:space="preserve">F:\images\20210420\plaque 1/@07 EE2 488/E7_02.tif </t>
  </si>
  <si>
    <t xml:space="preserve"> 64132.6376 </t>
  </si>
  <si>
    <t xml:space="preserve"> 90.2277 </t>
  </si>
  <si>
    <t xml:space="preserve">F:\images\20210420\plaque 1/@07 EE2 488/E7_03.tif </t>
  </si>
  <si>
    <t xml:space="preserve"> 82842.4964 </t>
  </si>
  <si>
    <t xml:space="preserve"> 80.7279 </t>
  </si>
  <si>
    <t xml:space="preserve">F:\images\20210420\plaque 1/@07 EE2 488/F7_01.tif </t>
  </si>
  <si>
    <t xml:space="preserve"> 70643.2359 </t>
  </si>
  <si>
    <t xml:space="preserve"> 95.259 </t>
  </si>
  <si>
    <t xml:space="preserve">F:\images\20210420\plaque 1/@07 EE2 488/F7_02.tif </t>
  </si>
  <si>
    <t xml:space="preserve"> 70448.5668 </t>
  </si>
  <si>
    <t xml:space="preserve"> 94.6174 </t>
  </si>
  <si>
    <t xml:space="preserve">F:\images\20210420\plaque 1/@07 EE2 488/F7_03.tif </t>
  </si>
  <si>
    <t xml:space="preserve"> 71270.5028 </t>
  </si>
  <si>
    <t xml:space="preserve"> 95.4434 </t>
  </si>
  <si>
    <t xml:space="preserve">F:\images\20210420\plaque 1/@07 EE2 488/G7_01.tif </t>
  </si>
  <si>
    <t xml:space="preserve"> 36749.191 </t>
  </si>
  <si>
    <t xml:space="preserve"> 82.7063 </t>
  </si>
  <si>
    <t xml:space="preserve">F:\images\20210420\plaque 1/@07 EE2 488/G7_02.tif </t>
  </si>
  <si>
    <t xml:space="preserve"> 32855.8099 </t>
  </si>
  <si>
    <t xml:space="preserve"> 80.7544 </t>
  </si>
  <si>
    <t>F:\images\20210420\plaque 1/@07 EE2 488/G7_03- exclu.tif</t>
  </si>
  <si>
    <t xml:space="preserve">F:\images\20210420\plaque 1/@07 EE2 488/H7_01.tif </t>
  </si>
  <si>
    <t xml:space="preserve"> 15335.5953 </t>
  </si>
  <si>
    <t xml:space="preserve"> 65.7983 </t>
  </si>
  <si>
    <t xml:space="preserve">F:\images\20210420\plaque 1/@07 EE2 488/H7_02.tif </t>
  </si>
  <si>
    <t xml:space="preserve"> 16525.2395 </t>
  </si>
  <si>
    <t xml:space="preserve"> 65.1374 </t>
  </si>
  <si>
    <t xml:space="preserve">F:\images\20210420\plaque 1/@07 EE2 488/H7_03.tif </t>
  </si>
  <si>
    <t xml:space="preserve"> 25155.5675 </t>
  </si>
  <si>
    <t xml:space="preserve"> 66.9347 </t>
  </si>
  <si>
    <t xml:space="preserve">F:\images\20210420\plaque 1/@07 EE2 488/ </t>
  </si>
  <si>
    <t xml:space="preserve"> 84.565 </t>
  </si>
  <si>
    <t xml:space="preserve"> 10.344 </t>
  </si>
  <si>
    <t xml:space="preserve"> 4939235.12 </t>
  </si>
  <si>
    <t xml:space="preserve"> 2320151.75 </t>
  </si>
  <si>
    <t xml:space="preserve">F:\images\20210420\plaque 1/@08 Arabinose 0.01mg_L/A8_01.tif </t>
  </si>
  <si>
    <t xml:space="preserve"> 5623.7726 </t>
  </si>
  <si>
    <t xml:space="preserve"> 65.6231 </t>
  </si>
  <si>
    <t xml:space="preserve">F:\images\20210420\plaque 1/@08 Arabinose 0.01mg_L/A8_02.tif </t>
  </si>
  <si>
    <t xml:space="preserve">F:\images\20210420\plaque 1/@08 Arabinose 0.01mg_L/A8_03.tif </t>
  </si>
  <si>
    <t xml:space="preserve"> 2552.3276 </t>
  </si>
  <si>
    <t xml:space="preserve"> 64.1017 </t>
  </si>
  <si>
    <t xml:space="preserve">F:\images\20210420\plaque 1/@08 Arabinose 0.01mg_L/B8_01.tif </t>
  </si>
  <si>
    <t xml:space="preserve"> 5926.5911 </t>
  </si>
  <si>
    <t xml:space="preserve"> 72.5474 </t>
  </si>
  <si>
    <t xml:space="preserve">F:\images\20210420\plaque 1/@08 Arabinose 0.01mg_L/B8_02.tif </t>
  </si>
  <si>
    <t xml:space="preserve">F:\images\20210420\plaque 1/@08 Arabinose 0.01mg_L/B8_03.tif </t>
  </si>
  <si>
    <t xml:space="preserve"> 2011.5802 </t>
  </si>
  <si>
    <t xml:space="preserve"> 65.7097 </t>
  </si>
  <si>
    <t xml:space="preserve">F:\images\20210420\plaque 1/@08 Arabinose 0.01mg_L/C8_01.tif </t>
  </si>
  <si>
    <t xml:space="preserve"> 68.6842 </t>
  </si>
  <si>
    <t xml:space="preserve">F:\images\20210420\plaque 1/@08 Arabinose 0.01mg_L/C8_02.tif </t>
  </si>
  <si>
    <t xml:space="preserve">F:\images\20210420\plaque 1/@08 Arabinose 0.01mg_L/C8_03.tif </t>
  </si>
  <si>
    <t xml:space="preserve"> 1189.6442 </t>
  </si>
  <si>
    <t xml:space="preserve"> 65.6727 </t>
  </si>
  <si>
    <t xml:space="preserve">F:\images\20210420\plaque 1/@08 Arabinose 0.01mg_L/D8_01.tif </t>
  </si>
  <si>
    <t xml:space="preserve"> 1622.2421 </t>
  </si>
  <si>
    <t xml:space="preserve"> 64.2667 </t>
  </si>
  <si>
    <t xml:space="preserve">F:\images\20210420\plaque 1/@08 Arabinose 0.01mg_L/D8_02.tif </t>
  </si>
  <si>
    <t xml:space="preserve"> 63.7826 </t>
  </si>
  <si>
    <t xml:space="preserve">F:\images\20210420\plaque 1/@08 Arabinose 0.01mg_L/D8_03.tif </t>
  </si>
  <si>
    <t xml:space="preserve"> 692.1566 </t>
  </si>
  <si>
    <t xml:space="preserve">F:\images\20210420\plaque 1/@08 Arabinose 0.01mg_L/E8_01.tif </t>
  </si>
  <si>
    <t xml:space="preserve"> 1903.4307 </t>
  </si>
  <si>
    <t xml:space="preserve"> 65.2159 </t>
  </si>
  <si>
    <t xml:space="preserve">F:\images\20210420\plaque 1/@08 Arabinose 0.01mg_L/E8_02.tif </t>
  </si>
  <si>
    <t xml:space="preserve"> 3395.8935 </t>
  </si>
  <si>
    <t xml:space="preserve"> 63.6752 </t>
  </si>
  <si>
    <t xml:space="preserve">F:\images\20210420\plaque 1/@08 Arabinose 0.01mg_L/E8_03.tif </t>
  </si>
  <si>
    <t xml:space="preserve"> 930.0855 </t>
  </si>
  <si>
    <t xml:space="preserve"> 64.9535 </t>
  </si>
  <si>
    <t xml:space="preserve">F:\images\20210420\plaque 1/@08 Arabinose 0.01mg_L/F8_01.tif </t>
  </si>
  <si>
    <t xml:space="preserve"> 63.3036 </t>
  </si>
  <si>
    <t xml:space="preserve">F:\images\20210420\plaque 1/@08 Arabinose 0.01mg_L/F8_02.tif </t>
  </si>
  <si>
    <t xml:space="preserve"> 5342.584 </t>
  </si>
  <si>
    <t xml:space="preserve"> 71.081 </t>
  </si>
  <si>
    <t xml:space="preserve">F:\images\20210420\plaque 1/@08 Arabinose 0.01mg_L/F8_03.tif </t>
  </si>
  <si>
    <t xml:space="preserve"> 627.2669 </t>
  </si>
  <si>
    <t xml:space="preserve"> 62.1379 </t>
  </si>
  <si>
    <t xml:space="preserve">F:\images\20210420\plaque 1/@08 Arabinose 0.01mg_L/G8_01.tif </t>
  </si>
  <si>
    <t xml:space="preserve"> 3979.9006 </t>
  </si>
  <si>
    <t xml:space="preserve"> 64.7772 </t>
  </si>
  <si>
    <t xml:space="preserve">F:\images\20210420\plaque 1/@08 Arabinose 0.01mg_L/G8_02.tif </t>
  </si>
  <si>
    <t xml:space="preserve"> 1319.4236 </t>
  </si>
  <si>
    <t xml:space="preserve"> 63.6066 </t>
  </si>
  <si>
    <t xml:space="preserve">F:\images\20210420\plaque 1/@08 Arabinose 0.01mg_L/G8_03.tif </t>
  </si>
  <si>
    <t xml:space="preserve"> 7159.4951 </t>
  </si>
  <si>
    <t xml:space="preserve"> 74.7432 </t>
  </si>
  <si>
    <t xml:space="preserve">F:\images\20210420\plaque 1/@08 Arabinose 0.01mg_L/H8_01.tif </t>
  </si>
  <si>
    <t xml:space="preserve"> 129.7794 </t>
  </si>
  <si>
    <t xml:space="preserve">F:\images\20210420\plaque 1/@08 Arabinose 0.01mg_L/H8_02.tif </t>
  </si>
  <si>
    <t xml:space="preserve"> 61.9333 </t>
  </si>
  <si>
    <t xml:space="preserve">F:\images\20210420\plaque 1/@08 Arabinose 0.01mg_L/H8_03.tif </t>
  </si>
  <si>
    <t xml:space="preserve">F:\images\20210420\plaque 1/@08 Arabinose 0.01mg_L/ </t>
  </si>
  <si>
    <t xml:space="preserve"> 65.2509 </t>
  </si>
  <si>
    <t xml:space="preserve"> 3.3327 </t>
  </si>
  <si>
    <t xml:space="preserve"> 141736.167 </t>
  </si>
  <si>
    <t xml:space="preserve"> 149119.775 </t>
  </si>
  <si>
    <t xml:space="preserve">F:\images\20210420\plaque 1/@09 Arabinose 0.1mg_L/A9_01.tif </t>
  </si>
  <si>
    <t xml:space="preserve"> 71.1314 </t>
  </si>
  <si>
    <t xml:space="preserve">F:\images\20210420\plaque 1/@09 Arabinose 0.1mg_L/A9_02.tif </t>
  </si>
  <si>
    <t xml:space="preserve"> 7029.7158 </t>
  </si>
  <si>
    <t xml:space="preserve"> 73.92 </t>
  </si>
  <si>
    <t xml:space="preserve">F:\images\20210420\plaque 1/@09 Arabinose 0.1mg_L/A9_03.tif </t>
  </si>
  <si>
    <t xml:space="preserve"> 11225.9153 </t>
  </si>
  <si>
    <t xml:space="preserve"> 85.9518 </t>
  </si>
  <si>
    <t xml:space="preserve">F:\images\20210420\plaque 1/@09 Arabinose 0.1mg_L/B9_01.tif </t>
  </si>
  <si>
    <t xml:space="preserve"> 72.3397 </t>
  </si>
  <si>
    <t xml:space="preserve">F:\images\20210420\plaque 1/@09 Arabinose 0.1mg_L/B9_02.tif </t>
  </si>
  <si>
    <t xml:space="preserve"> 778.6762 </t>
  </si>
  <si>
    <t xml:space="preserve"> 63.4722 </t>
  </si>
  <si>
    <t xml:space="preserve">F:\images\20210420\plaque 1/@09 Arabinose 0.1mg_L/B9_03.tif </t>
  </si>
  <si>
    <t xml:space="preserve"> 4996.5057 </t>
  </si>
  <si>
    <t xml:space="preserve"> 67.632 </t>
  </si>
  <si>
    <t xml:space="preserve">F:\images\20210420\plaque 1/@09 Arabinose 0.1mg_L/C9_01.tif </t>
  </si>
  <si>
    <t xml:space="preserve"> 64.0079 </t>
  </si>
  <si>
    <t xml:space="preserve">F:\images\20210420\plaque 1/@09 Arabinose 0.1mg_L/C9_02.tif </t>
  </si>
  <si>
    <t xml:space="preserve"> 2400.9183 </t>
  </si>
  <si>
    <t xml:space="preserve"> 63.6937 </t>
  </si>
  <si>
    <t xml:space="preserve">F:\images\20210420\plaque 1/@09 Arabinose 0.1mg_L/C9_03.tif </t>
  </si>
  <si>
    <t xml:space="preserve"> 62.5789 </t>
  </si>
  <si>
    <t xml:space="preserve">F:\images\20210420\plaque 1/@09 Arabinose 0.1mg_L/D9_01.tif </t>
  </si>
  <si>
    <t xml:space="preserve"> 9517.1536 </t>
  </si>
  <si>
    <t xml:space="preserve"> 78.8341 </t>
  </si>
  <si>
    <t xml:space="preserve">F:\images\20210420\plaque 1/@09 Arabinose 0.1mg_L/D9_02.tif </t>
  </si>
  <si>
    <t xml:space="preserve"> 8976.4063 </t>
  </si>
  <si>
    <t xml:space="preserve"> 77.4 </t>
  </si>
  <si>
    <t xml:space="preserve">F:\images\20210420\plaque 1/@09 Arabinose 0.1mg_L/D9_03.tif </t>
  </si>
  <si>
    <t xml:space="preserve"> 76.6068 </t>
  </si>
  <si>
    <t xml:space="preserve">F:\images\20210420\plaque 1/@09 Arabinose 0.1mg_L/E9_01.tif </t>
  </si>
  <si>
    <t xml:space="preserve"> 5667.0324 </t>
  </si>
  <si>
    <t xml:space="preserve"> 67.4924 </t>
  </si>
  <si>
    <t xml:space="preserve">F:\images\20210420\plaque 1/@09 Arabinose 0.1mg_L/E9_02.tif </t>
  </si>
  <si>
    <t xml:space="preserve"> 4607.1676 </t>
  </si>
  <si>
    <t xml:space="preserve"> 70.9765 </t>
  </si>
  <si>
    <t xml:space="preserve">F:\images\20210420\plaque 1/@09 Arabinose 0.1mg_L/E9_03.tif </t>
  </si>
  <si>
    <t xml:space="preserve"> 2162.9895 </t>
  </si>
  <si>
    <t xml:space="preserve"> 64.46 </t>
  </si>
  <si>
    <t xml:space="preserve">F:\images\20210420\plaque 1/@09 Arabinose 0.1mg_L/F9_01.tif </t>
  </si>
  <si>
    <t xml:space="preserve"> 3266.1141 </t>
  </si>
  <si>
    <t xml:space="preserve"> 64.894 </t>
  </si>
  <si>
    <t xml:space="preserve">F:\images\20210420\plaque 1/@09 Arabinose 0.1mg_L/F9_02.tif </t>
  </si>
  <si>
    <t xml:space="preserve"> 3936.6408 </t>
  </si>
  <si>
    <t xml:space="preserve"> 64.1868 </t>
  </si>
  <si>
    <t xml:space="preserve">F:\images\20210420\plaque 1/@09 Arabinose 0.1mg_L/F9_03.tif </t>
  </si>
  <si>
    <t xml:space="preserve"> 2638.8471 </t>
  </si>
  <si>
    <t xml:space="preserve"> 67.8934 </t>
  </si>
  <si>
    <t xml:space="preserve">F:\images\20210420\plaque 1/@09 Arabinose 0.1mg_L/G9_01.tif </t>
  </si>
  <si>
    <t xml:space="preserve"> 4974.8758 </t>
  </si>
  <si>
    <t xml:space="preserve"> 66.7609 </t>
  </si>
  <si>
    <t xml:space="preserve">F:\images\20210420\plaque 1/@09 Arabinose 0.1mg_L/G9_02.tif </t>
  </si>
  <si>
    <t xml:space="preserve">F:\images\20210420\plaque 1/@09 Arabinose 0.1mg_L/G9_03.tif </t>
  </si>
  <si>
    <t xml:space="preserve"> 5731.9221 </t>
  </si>
  <si>
    <t xml:space="preserve"> 68.7245 </t>
  </si>
  <si>
    <t xml:space="preserve">F:\images\20210420\plaque 1/@09 Arabinose 0.1mg_L/H9_01.tif </t>
  </si>
  <si>
    <t xml:space="preserve"> 66.1259 </t>
  </si>
  <si>
    <t xml:space="preserve">F:\images\20210420\plaque 1/@09 Arabinose 0.1mg_L/H9_02.tif </t>
  </si>
  <si>
    <t xml:space="preserve"> 2876.776 </t>
  </si>
  <si>
    <t xml:space="preserve"> 65.406 </t>
  </si>
  <si>
    <t xml:space="preserve">F:\images\20210420\plaque 1/@09 Arabinose 0.1mg_L/H9_03.tif </t>
  </si>
  <si>
    <t xml:space="preserve"> 2509.0678 </t>
  </si>
  <si>
    <t xml:space="preserve"> 64.5603 </t>
  </si>
  <si>
    <t xml:space="preserve">F:\images\20210420\plaque 1/@09 Arabinose 0.1mg_L/ </t>
  </si>
  <si>
    <t xml:space="preserve"> 68.8754 </t>
  </si>
  <si>
    <t xml:space="preserve"> 5.9643 </t>
  </si>
  <si>
    <t xml:space="preserve"> 349436.292 </t>
  </si>
  <si>
    <t xml:space="preserve"> 248990.302 </t>
  </si>
  <si>
    <t xml:space="preserve">F:\images\20210420\plaque 1/@10 Arabinose 1mg_L/A10_01.tif </t>
  </si>
  <si>
    <t xml:space="preserve"> 62.8 </t>
  </si>
  <si>
    <t xml:space="preserve">F:\images\20210420\plaque 1/@10 Arabinose 1mg_L/A10_02.tif </t>
  </si>
  <si>
    <t xml:space="preserve"> 66.1695 </t>
  </si>
  <si>
    <t xml:space="preserve">F:\images\20210420\plaque 1/@10 Arabinose 1mg_L/A10_03.tif </t>
  </si>
  <si>
    <t xml:space="preserve"> 5169.5448 </t>
  </si>
  <si>
    <t xml:space="preserve"> 65.6695 </t>
  </si>
  <si>
    <t xml:space="preserve">F:\images\20210420\plaque 1/@10 Arabinose 1mg_L/B10_01.tif </t>
  </si>
  <si>
    <t xml:space="preserve"> 3828.4913 </t>
  </si>
  <si>
    <t xml:space="preserve"> 65.8249 </t>
  </si>
  <si>
    <t xml:space="preserve">F:\images\20210420\plaque 1/@10 Arabinose 1mg_L/B10_02.tif </t>
  </si>
  <si>
    <t xml:space="preserve"> 1687.1318 </t>
  </si>
  <si>
    <t xml:space="preserve"> 63.8205 </t>
  </si>
  <si>
    <t xml:space="preserve">F:\images\20210420\plaque 1/@10 Arabinose 1mg_L/B10_03.tif </t>
  </si>
  <si>
    <t xml:space="preserve"> 62.6364 </t>
  </si>
  <si>
    <t xml:space="preserve">F:\images\20210420\plaque 1/@10 Arabinose 1mg_L/C10_01.tif </t>
  </si>
  <si>
    <t xml:space="preserve"> 15833.0829 </t>
  </si>
  <si>
    <t xml:space="preserve"> 88.9891 </t>
  </si>
  <si>
    <t xml:space="preserve">F:\images\20210420\plaque 1/@10 Arabinose 1mg_L/C10_02.tif </t>
  </si>
  <si>
    <t xml:space="preserve"> 17109.2467 </t>
  </si>
  <si>
    <t xml:space="preserve"> 72.3894 </t>
  </si>
  <si>
    <t xml:space="preserve">F:\images\20210420\plaque 1/@10 Arabinose 1mg_L/C10_03.tif </t>
  </si>
  <si>
    <t xml:space="preserve"> 13150.9759 </t>
  </si>
  <si>
    <t xml:space="preserve"> 77.5592 </t>
  </si>
  <si>
    <t xml:space="preserve">F:\images\20210420\plaque 1/@10 Arabinose 1mg_L/D10_01.tif </t>
  </si>
  <si>
    <t xml:space="preserve"> 5320.9541 </t>
  </si>
  <si>
    <t xml:space="preserve"> 67.9146 </t>
  </si>
  <si>
    <t xml:space="preserve">F:\images\20210420\plaque 1/@10 Arabinose 1mg_L/D10_02.tif </t>
  </si>
  <si>
    <t xml:space="preserve"> 1752.0215 </t>
  </si>
  <si>
    <t xml:space="preserve"> 63.7407 </t>
  </si>
  <si>
    <t xml:space="preserve">F:\images\20210420\plaque 1/@10 Arabinose 1mg_L/D10_03.tif </t>
  </si>
  <si>
    <t xml:space="preserve">F:\images\20210420\plaque 1/@10 Arabinose 1mg_L/E10_01.tif </t>
  </si>
  <si>
    <t xml:space="preserve"> 11853.1823 </t>
  </si>
  <si>
    <t xml:space="preserve"> 81.5693 </t>
  </si>
  <si>
    <t xml:space="preserve">F:\images\20210420\plaque 1/@10 Arabinose 1mg_L/E10_02.tif </t>
  </si>
  <si>
    <t xml:space="preserve"> 12220.8905 </t>
  </si>
  <si>
    <t xml:space="preserve"> 86.1009 </t>
  </si>
  <si>
    <t xml:space="preserve">F:\images\20210420\plaque 1/@10 Arabinose 1mg_L/E10_03.tif </t>
  </si>
  <si>
    <t xml:space="preserve"> 11788.2926 </t>
  </si>
  <si>
    <t xml:space="preserve"> 83.1853 </t>
  </si>
  <si>
    <t xml:space="preserve">F:\images\20210420\plaque 1/@10 Arabinose 1mg_L/F10_01.tif </t>
  </si>
  <si>
    <t xml:space="preserve"> 8132.8404 </t>
  </si>
  <si>
    <t xml:space="preserve"> 67.8484 </t>
  </si>
  <si>
    <t xml:space="preserve">F:\images\20210420\plaque 1/@10 Arabinose 1mg_L/F10_02.tif </t>
  </si>
  <si>
    <t xml:space="preserve"> 65.7368 </t>
  </si>
  <si>
    <t xml:space="preserve">F:\images\20210420\plaque 1/@10 Arabinose 1mg_L/F10_03.tif </t>
  </si>
  <si>
    <t xml:space="preserve"> 3633.8223 </t>
  </si>
  <si>
    <t xml:space="preserve"> 64.8869 </t>
  </si>
  <si>
    <t xml:space="preserve">F:\images\20210420\plaque 1/@10 Arabinose 1mg_L/G10_01.tif </t>
  </si>
  <si>
    <t xml:space="preserve"> 66.4545 </t>
  </si>
  <si>
    <t xml:space="preserve">F:\images\20210420\plaque 1/@10 Arabinose 1mg_L/G10_02.tif </t>
  </si>
  <si>
    <t xml:space="preserve"> 367.7082 </t>
  </si>
  <si>
    <t xml:space="preserve">F:\images\20210420\plaque 1/@10 Arabinose 1mg_L/G10_03.tif </t>
  </si>
  <si>
    <t xml:space="preserve"> 605.637 </t>
  </si>
  <si>
    <t xml:space="preserve"> 63.9643 </t>
  </si>
  <si>
    <t xml:space="preserve">F:\images\20210420\plaque 1/@10 Arabinose 1mg_L/H10_01.tif </t>
  </si>
  <si>
    <t xml:space="preserve"> 4066.4202 </t>
  </si>
  <si>
    <t xml:space="preserve"> 67.6968 </t>
  </si>
  <si>
    <t xml:space="preserve">F:\images\20210420\plaque 1/@10 Arabinose 1mg_L/H10_02.tif </t>
  </si>
  <si>
    <t xml:space="preserve">F:\images\20210420\plaque 1/@10 Arabinose 1mg_L/H10_03.tif </t>
  </si>
  <si>
    <t xml:space="preserve"> 64.5833 </t>
  </si>
  <si>
    <t xml:space="preserve">F:\images\20210420\plaque 1/@10 Arabinose 1mg_L/ </t>
  </si>
  <si>
    <t xml:space="preserve"> 69.2615 </t>
  </si>
  <si>
    <t xml:space="preserve"> 7.9413 </t>
  </si>
  <si>
    <t xml:space="preserve"> 399209.375 </t>
  </si>
  <si>
    <t xml:space="preserve"> 449484.536 </t>
  </si>
  <si>
    <t xml:space="preserve">F:\images\20210420\plaque 1/@11 Arabinose 10mg_L/A11_01.tif </t>
  </si>
  <si>
    <t xml:space="preserve"> 3006.5554 </t>
  </si>
  <si>
    <t xml:space="preserve"> 65.7482 </t>
  </si>
  <si>
    <t xml:space="preserve">F:\images\20210420\plaque 1/@11 Arabinose 10mg_L/A11_02.tif </t>
  </si>
  <si>
    <t xml:space="preserve"> 71.4458 </t>
  </si>
  <si>
    <t xml:space="preserve">F:\images\20210420\plaque 1/@11 Arabinose 10mg_L/A11_03.tif </t>
  </si>
  <si>
    <t xml:space="preserve"> 2076.4699 </t>
  </si>
  <si>
    <t xml:space="preserve"> 65.0729 </t>
  </si>
  <si>
    <t xml:space="preserve">F:\images\20210420\plaque 1/@11 Arabinose 10mg_L/B11_01.tif </t>
  </si>
  <si>
    <t xml:space="preserve"> 194.6691 </t>
  </si>
  <si>
    <t xml:space="preserve"> 63.5556 </t>
  </si>
  <si>
    <t xml:space="preserve">F:\images\20210420\plaque 1/@11 Arabinose 10mg_L/B11_02.tif </t>
  </si>
  <si>
    <t xml:space="preserve">F:\images\20210420\plaque 1/@11 Arabinose 10mg_L/B11_03.tif </t>
  </si>
  <si>
    <t xml:space="preserve"> 65.8571 </t>
  </si>
  <si>
    <t xml:space="preserve">F:\images\20210420\plaque 1/@11 Arabinose 10mg_L/C11_01.tif </t>
  </si>
  <si>
    <t xml:space="preserve"> 6142.8901 </t>
  </si>
  <si>
    <t xml:space="preserve"> 68.7923 </t>
  </si>
  <si>
    <t xml:space="preserve">F:\images\20210420\plaque 1/@11 Arabinose 10mg_L/C11_02.tif </t>
  </si>
  <si>
    <t xml:space="preserve"> 68.8611 </t>
  </si>
  <si>
    <t xml:space="preserve">F:\images\20210420\plaque 1/@11 Arabinose 10mg_L/C11_03.tif </t>
  </si>
  <si>
    <t xml:space="preserve"> 1038.2349 </t>
  </si>
  <si>
    <t xml:space="preserve"> 62.5208 </t>
  </si>
  <si>
    <t xml:space="preserve">F:\images\20210420\plaque 1/@11 Arabinose 10mg_L/D11_01.tif </t>
  </si>
  <si>
    <t xml:space="preserve"> 66.4191 </t>
  </si>
  <si>
    <t xml:space="preserve">F:\images\20210420\plaque 1/@11 Arabinose 10mg_L/D11_02.tif </t>
  </si>
  <si>
    <t xml:space="preserve"> 757.0463 </t>
  </si>
  <si>
    <t xml:space="preserve"> 63.0857 </t>
  </si>
  <si>
    <t xml:space="preserve">F:\images\20210420\plaque 1/@11 Arabinose 10mg_L/D11_03.tif </t>
  </si>
  <si>
    <t xml:space="preserve"> 63.6744 </t>
  </si>
  <si>
    <t xml:space="preserve">F:\images\20210420\plaque 1/@11 Arabinose 10mg_L/E11_01.tif </t>
  </si>
  <si>
    <t xml:space="preserve"> 8349.1393 </t>
  </si>
  <si>
    <t xml:space="preserve"> 67.2254 </t>
  </si>
  <si>
    <t xml:space="preserve">F:\images\20210420\plaque 1/@11 Arabinose 10mg_L/E11_02.tif </t>
  </si>
  <si>
    <t xml:space="preserve"> 64.6384 </t>
  </si>
  <si>
    <t xml:space="preserve">F:\images\20210420\plaque 1/@11 Arabinose 10mg_L/E11_03.tif </t>
  </si>
  <si>
    <t xml:space="preserve"> 3287.744 </t>
  </si>
  <si>
    <t xml:space="preserve"> 65.3026 </t>
  </si>
  <si>
    <t xml:space="preserve">F:\images\20210420\plaque 1/@11 Arabinose 10mg_L/F11_01.tif </t>
  </si>
  <si>
    <t xml:space="preserve"> 64.8421 </t>
  </si>
  <si>
    <t xml:space="preserve">F:\images\20210420\plaque 1/@11 Arabinose 10mg_L/F11_02.tif </t>
  </si>
  <si>
    <t xml:space="preserve"> 63.4118 </t>
  </si>
  <si>
    <t xml:space="preserve">F:\images\20210420\plaque 1/@11 Arabinose 10mg_L/F11_03.tif </t>
  </si>
  <si>
    <t xml:space="preserve"> 66.0714 </t>
  </si>
  <si>
    <t xml:space="preserve">F:\images\20210420\plaque 1/@11 Arabinose 10mg_L/G11_01.tif </t>
  </si>
  <si>
    <t xml:space="preserve"> 12956.3069 </t>
  </si>
  <si>
    <t xml:space="preserve"> 92.6194 </t>
  </si>
  <si>
    <t xml:space="preserve">F:\images\20210420\plaque 1/@11 Arabinose 10mg_L/G11_02.tif </t>
  </si>
  <si>
    <t xml:space="preserve"> 11052.8762 </t>
  </si>
  <si>
    <t xml:space="preserve"> 79.8356 </t>
  </si>
  <si>
    <t xml:space="preserve">F:\images\20210420\plaque 1/@11 Arabinose 10mg_L/G11_03.tif </t>
  </si>
  <si>
    <t xml:space="preserve"> 13280.7553 </t>
  </si>
  <si>
    <t xml:space="preserve"> 90.0879 </t>
  </si>
  <si>
    <t>F:\images\20210420\plaque 1/@11 Arabinose 10mg_L/H11_01- exclu.tif</t>
  </si>
  <si>
    <t xml:space="preserve">F:\images\20210420\plaque 1/@11 Arabinose 10mg_L/H11_02.tif </t>
  </si>
  <si>
    <t xml:space="preserve"> 6878.3065 </t>
  </si>
  <si>
    <t xml:space="preserve"> 66.6352 </t>
  </si>
  <si>
    <t xml:space="preserve">F:\images\20210420\plaque 1/@11 Arabinose 10mg_L/H11_03.tif </t>
  </si>
  <si>
    <t xml:space="preserve"> 7181.125 </t>
  </si>
  <si>
    <t xml:space="preserve"> 70.25 </t>
  </si>
  <si>
    <t xml:space="preserve">F:\images\20210420\plaque 1/@11 Arabinose 10mg_L/ </t>
  </si>
  <si>
    <t xml:space="preserve"> 68.4062 </t>
  </si>
  <si>
    <t xml:space="preserve"> 7.9942 </t>
  </si>
  <si>
    <t xml:space="preserve"> 303387.167 </t>
  </si>
  <si>
    <t xml:space="preserve"> 350552.971 </t>
  </si>
  <si>
    <t xml:space="preserve">F:\images\20210420\plaque 1/@12 Arabinose 100mg_L/A12_01.tif </t>
  </si>
  <si>
    <t xml:space="preserve"> 12523.709 </t>
  </si>
  <si>
    <t xml:space="preserve"> 83.5078 </t>
  </si>
  <si>
    <t xml:space="preserve">F:\images\20210420\plaque 1/@12 Arabinose 100mg_L/A12_02.tif </t>
  </si>
  <si>
    <t xml:space="preserve"> 4953.2459 </t>
  </si>
  <si>
    <t xml:space="preserve"> 69.0044 </t>
  </si>
  <si>
    <t xml:space="preserve">F:\images\20210420\plaque 1/@12 Arabinose 100mg_L/A12_03.tif </t>
  </si>
  <si>
    <t xml:space="preserve"> 70.2111 </t>
  </si>
  <si>
    <t xml:space="preserve">F:\images\20210420\plaque 1/@12 Arabinose 100mg_L/B12_01.tif </t>
  </si>
  <si>
    <t xml:space="preserve"> 7592.093 </t>
  </si>
  <si>
    <t xml:space="preserve"> 75.5157 </t>
  </si>
  <si>
    <t xml:space="preserve">F:\images\20210420\plaque 1/@12 Arabinose 100mg_L/B12_02.tif </t>
  </si>
  <si>
    <t xml:space="preserve"> 8219.36 </t>
  </si>
  <si>
    <t xml:space="preserve"> 72.3711 </t>
  </si>
  <si>
    <t xml:space="preserve">F:\images\20210420\plaque 1/@12 Arabinose 100mg_L/B12_03.tif </t>
  </si>
  <si>
    <t xml:space="preserve"> 65.7851 </t>
  </si>
  <si>
    <t xml:space="preserve">F:\images\20210420\plaque 1/@12 Arabinose 100mg_L/C12_01.tif </t>
  </si>
  <si>
    <t xml:space="preserve"> 3482.413 </t>
  </si>
  <si>
    <t xml:space="preserve"> 65.4472 </t>
  </si>
  <si>
    <t xml:space="preserve">F:\images\20210420\plaque 1/@12 Arabinose 100mg_L/C12_02.tif </t>
  </si>
  <si>
    <t xml:space="preserve"> 886.8257 </t>
  </si>
  <si>
    <t xml:space="preserve"> 63.2927 </t>
  </si>
  <si>
    <t xml:space="preserve">F:\images\20210420\plaque 1/@12 Arabinose 100mg_L/C12_03.tif </t>
  </si>
  <si>
    <t xml:space="preserve"> 62.9318 </t>
  </si>
  <si>
    <t xml:space="preserve">F:\images\20210420\plaque 1/@12 Arabinose 100mg_L/D12_01.tif </t>
  </si>
  <si>
    <t xml:space="preserve"> 3958.2707 </t>
  </si>
  <si>
    <t xml:space="preserve"> 67.5628 </t>
  </si>
  <si>
    <t xml:space="preserve">F:\images\20210420\plaque 1/@12 Arabinose 100mg_L/D12_02.tif </t>
  </si>
  <si>
    <t xml:space="preserve"> 4585.5377 </t>
  </si>
  <si>
    <t xml:space="preserve"> 69.8066 </t>
  </si>
  <si>
    <t xml:space="preserve">F:\images\20210420\plaque 1/@12 Arabinose 100mg_L/D12_03.tif </t>
  </si>
  <si>
    <t xml:space="preserve"> 67.788 </t>
  </si>
  <si>
    <t xml:space="preserve">F:\images\20210420\plaque 1/@12 Arabinose 100mg_L/E12_01.tif </t>
  </si>
  <si>
    <t xml:space="preserve"> 66.1638 </t>
  </si>
  <si>
    <t xml:space="preserve">F:\images\20210420\plaque 1/@12 Arabinose 100mg_L/E12_02.tif </t>
  </si>
  <si>
    <t xml:space="preserve"> 61.9412 </t>
  </si>
  <si>
    <t xml:space="preserve">F:\images\20210420\plaque 1/@12 Arabinose 100mg_L/E12_03.tif </t>
  </si>
  <si>
    <t xml:space="preserve"> 63.0667 </t>
  </si>
  <si>
    <t xml:space="preserve">F:\images\20210420\plaque 1/@12 Arabinose 100mg_L/F12_01.tif </t>
  </si>
  <si>
    <t xml:space="preserve"> 7743.5023 </t>
  </si>
  <si>
    <t xml:space="preserve"> 67.5726 </t>
  </si>
  <si>
    <t xml:space="preserve">F:\images\20210420\plaque 1/@12 Arabinose 100mg_L/F12_02.tif </t>
  </si>
  <si>
    <t xml:space="preserve"> 3439.1532 </t>
  </si>
  <si>
    <t xml:space="preserve"> 64.6038 </t>
  </si>
  <si>
    <t xml:space="preserve">F:\images\20210420\plaque 1/@12 Arabinose 100mg_L/F12_03.tif </t>
  </si>
  <si>
    <t xml:space="preserve"> 2768.6265 </t>
  </si>
  <si>
    <t xml:space="preserve"> 65.4297 </t>
  </si>
  <si>
    <t xml:space="preserve">F:\images\20210420\plaque 1/@12 Arabinose 100mg_L/G12_01.tif </t>
  </si>
  <si>
    <t xml:space="preserve">F:\images\20210420\plaque 1/@12 Arabinose 100mg_L/G12_02.tif </t>
  </si>
  <si>
    <t xml:space="preserve"> 64.4062 </t>
  </si>
  <si>
    <t xml:space="preserve">F:\images\20210420\plaque 1/@12 Arabinose 100mg_L/G12_03.tif </t>
  </si>
  <si>
    <t xml:space="preserve">F:\images\20210420\plaque 1/@12 Arabinose 100mg_L/H12_01.tif </t>
  </si>
  <si>
    <t xml:space="preserve"> 302.8185 </t>
  </si>
  <si>
    <t xml:space="preserve"> 62.4286 </t>
  </si>
  <si>
    <t xml:space="preserve">F:\images\20210420\plaque 1/@12 Arabinose 100mg_L/H12_02.tif </t>
  </si>
  <si>
    <t xml:space="preserve"> 1946.6905 </t>
  </si>
  <si>
    <t xml:space="preserve"> 65.9889 </t>
  </si>
  <si>
    <t xml:space="preserve">F:\images\20210420\plaque 1/@12 Arabinose 100mg_L/H12_03.tif </t>
  </si>
  <si>
    <t xml:space="preserve">F:\images\20210420\plaque 1/@12 Arabinose 100mg_L/ </t>
  </si>
  <si>
    <t xml:space="preserve"> 66.8213 </t>
  </si>
  <si>
    <t xml:space="preserve"> 4.9287 </t>
  </si>
  <si>
    <t xml:space="preserve"> 243031.75 </t>
  </si>
  <si>
    <t xml:space="preserve"> 248292.926 </t>
  </si>
  <si>
    <t xml:space="preserve">F:\images\20210420\plaque 2/@01 Testo 30/A1_01.tif </t>
  </si>
  <si>
    <t xml:space="preserve"> 45357.889 </t>
  </si>
  <si>
    <t xml:space="preserve"> 73.0591 </t>
  </si>
  <si>
    <t xml:space="preserve">F:\images\20210420\plaque 2/@01 Testo 30/A1_02.tif </t>
  </si>
  <si>
    <t xml:space="preserve"> 43995.2057 </t>
  </si>
  <si>
    <t xml:space="preserve"> 73.262 </t>
  </si>
  <si>
    <t xml:space="preserve">F:\images\20210420\plaque 2/@01 Testo 30/A1_03.tif </t>
  </si>
  <si>
    <t xml:space="preserve"> 40902.1307 </t>
  </si>
  <si>
    <t xml:space="preserve"> 71.9001 </t>
  </si>
  <si>
    <t xml:space="preserve">F:\images\20210420\plaque 2/@01 Testo 30/B1_01.tif </t>
  </si>
  <si>
    <t xml:space="preserve"> 19272.2361 </t>
  </si>
  <si>
    <t xml:space="preserve"> 66.3838 </t>
  </si>
  <si>
    <t xml:space="preserve">F:\images\20210420\plaque 2/@01 Testo 30/B1_02.tif </t>
  </si>
  <si>
    <t xml:space="preserve"> 16352.2003 </t>
  </si>
  <si>
    <t xml:space="preserve"> 67.0714 </t>
  </si>
  <si>
    <t>F:\images\20210420\plaque 2/@01 Testo 30/B1_03- exclu.tif</t>
  </si>
  <si>
    <t>F:\images\20210420\plaque 2/@01 Testo 30/C1_01- exclu.tif</t>
  </si>
  <si>
    <t>F:\images\20210420\plaque 2/@01 Testo 30/C1_02- exclu.tif</t>
  </si>
  <si>
    <t>F:\images\20210420\plaque 2/@01 Testo 30/C1_03- exclu.tif</t>
  </si>
  <si>
    <t xml:space="preserve">F:\images\20210420\plaque 2/@01 Testo 30/D1_01.tif </t>
  </si>
  <si>
    <t xml:space="preserve"> 23836.1439 </t>
  </si>
  <si>
    <t xml:space="preserve"> 69.6525 </t>
  </si>
  <si>
    <t xml:space="preserve">F:\images\20210420\plaque 2/@01 Testo 30/D1_02.tif </t>
  </si>
  <si>
    <t xml:space="preserve"> 22473.4605 </t>
  </si>
  <si>
    <t xml:space="preserve"> 68.5438 </t>
  </si>
  <si>
    <t xml:space="preserve">F:\images\20210420\plaque 2/@01 Testo 30/D1_03.tif </t>
  </si>
  <si>
    <t xml:space="preserve"> 20137.4319 </t>
  </si>
  <si>
    <t xml:space="preserve"> 67.5693 </t>
  </si>
  <si>
    <t xml:space="preserve">F:\images\20210420\plaque 2/@01 Testo 30/E1_01.tif </t>
  </si>
  <si>
    <t xml:space="preserve"> 20937.738 </t>
  </si>
  <si>
    <t xml:space="preserve"> 68.2469 </t>
  </si>
  <si>
    <t xml:space="preserve">F:\images\20210420\plaque 2/@01 Testo 30/E1_02.tif </t>
  </si>
  <si>
    <t xml:space="preserve"> 18969.4176 </t>
  </si>
  <si>
    <t xml:space="preserve"> 67.9316 </t>
  </si>
  <si>
    <t xml:space="preserve">F:\images\20210420\plaque 2/@01 Testo 30/E1_03.tif </t>
  </si>
  <si>
    <t xml:space="preserve"> 12934.677 </t>
  </si>
  <si>
    <t xml:space="preserve"> 66.7843 </t>
  </si>
  <si>
    <t xml:space="preserve">F:\images\20210420\plaque 2/@01 Testo 30/F1_01.tif </t>
  </si>
  <si>
    <t xml:space="preserve"> 27210.4074 </t>
  </si>
  <si>
    <t xml:space="preserve"> 68.314 </t>
  </si>
  <si>
    <t xml:space="preserve">F:\images\20210420\plaque 2/@01 Testo 30/F1_02.tif </t>
  </si>
  <si>
    <t xml:space="preserve"> 19553.4247 </t>
  </si>
  <si>
    <t xml:space="preserve"> 67.5586 </t>
  </si>
  <si>
    <t xml:space="preserve">F:\images\20210420\plaque 2/@01 Testo 30/F1_03.tif </t>
  </si>
  <si>
    <t xml:space="preserve"> 25350.2365 </t>
  </si>
  <si>
    <t xml:space="preserve"> 67.8311 </t>
  </si>
  <si>
    <t xml:space="preserve">F:\images\20210420\plaque 2/@01 Testo 30/G1_01.tif </t>
  </si>
  <si>
    <t xml:space="preserve"> 23706.3645 </t>
  </si>
  <si>
    <t xml:space="preserve"> 68.6396 </t>
  </si>
  <si>
    <t xml:space="preserve">F:\images\20210420\plaque 2/@01 Testo 30/G1_02.tif </t>
  </si>
  <si>
    <t xml:space="preserve"> 23901.0336 </t>
  </si>
  <si>
    <t xml:space="preserve"> 70.2281 </t>
  </si>
  <si>
    <t xml:space="preserve">F:\images\20210420\plaque 2/@01 Testo 30/G1_03.tif </t>
  </si>
  <si>
    <t xml:space="preserve"> 14751.5881 </t>
  </si>
  <si>
    <t xml:space="preserve"> 66.6305 </t>
  </si>
  <si>
    <t xml:space="preserve">F:\images\20210420\plaque 2/@01 Testo 30/H1_01.tif </t>
  </si>
  <si>
    <t xml:space="preserve"> 47434.3589 </t>
  </si>
  <si>
    <t xml:space="preserve"> 71.5964 </t>
  </si>
  <si>
    <t xml:space="preserve">F:\images\20210420\plaque 2/@01 Testo 30/H1_02.tif </t>
  </si>
  <si>
    <t xml:space="preserve"> 45206.4798 </t>
  </si>
  <si>
    <t xml:space="preserve"> 71.623 </t>
  </si>
  <si>
    <t xml:space="preserve">F:\images\20210420\plaque 2/@01 Testo 30/H1_03.tif </t>
  </si>
  <si>
    <t xml:space="preserve"> 44817.1417 </t>
  </si>
  <si>
    <t xml:space="preserve"> 73.9223 </t>
  </si>
  <si>
    <t xml:space="preserve">F:\images\20210420\plaque 2/@01 Testo 30/ </t>
  </si>
  <si>
    <t xml:space="preserve"> 68.564 </t>
  </si>
  <si>
    <t xml:space="preserve"> 2.8642 </t>
  </si>
  <si>
    <t xml:space="preserve"> 1633900.58 </t>
  </si>
  <si>
    <t xml:space="preserve"> 1099446.85 </t>
  </si>
  <si>
    <t xml:space="preserve">F:\images\20210420\plaque 2/@02 Testo 30/A2_01.tif </t>
  </si>
  <si>
    <t xml:space="preserve"> 10598.6484 </t>
  </si>
  <si>
    <t xml:space="preserve"> 64.8286 </t>
  </si>
  <si>
    <t xml:space="preserve">F:\images\20210420\plaque 2/@02 Testo 30/A2_02.tif </t>
  </si>
  <si>
    <t xml:space="preserve"> 9300.8547 </t>
  </si>
  <si>
    <t xml:space="preserve"> 64.607 </t>
  </si>
  <si>
    <t xml:space="preserve">F:\images\20210420\plaque 2/@02 Testo 30/A2_03.tif </t>
  </si>
  <si>
    <t xml:space="preserve"> 63.5969 </t>
  </si>
  <si>
    <t xml:space="preserve">F:\images\20210420\plaque 2/@02 Testo 30/B2_01.tif </t>
  </si>
  <si>
    <t xml:space="preserve"> 7483.9435 </t>
  </si>
  <si>
    <t xml:space="preserve"> 66.0954 </t>
  </si>
  <si>
    <t xml:space="preserve">F:\images\20210420\plaque 2/@02 Testo 30/B2_02.tif </t>
  </si>
  <si>
    <t xml:space="preserve"> 27080.6281 </t>
  </si>
  <si>
    <t xml:space="preserve"> 69.6422 </t>
  </si>
  <si>
    <t xml:space="preserve">F:\images\20210420\plaque 2/@02 Testo 30/B2_03.tif </t>
  </si>
  <si>
    <t xml:space="preserve"> 65.9603 </t>
  </si>
  <si>
    <t xml:space="preserve">F:\images\20210420\plaque 2/@02 Testo 30/C2_01.tif </t>
  </si>
  <si>
    <t xml:space="preserve"> 56670.3239 </t>
  </si>
  <si>
    <t xml:space="preserve"> 72.9344 </t>
  </si>
  <si>
    <t xml:space="preserve">F:\images\20210420\plaque 2/@02 Testo 30/C2_02.tif </t>
  </si>
  <si>
    <t xml:space="preserve"> 53598.8789 </t>
  </si>
  <si>
    <t xml:space="preserve"> 73.433 </t>
  </si>
  <si>
    <t xml:space="preserve">F:\images\20210420\plaque 2/@02 Testo 30/C2_03.tif </t>
  </si>
  <si>
    <t xml:space="preserve"> 46223.0848 </t>
  </si>
  <si>
    <t xml:space="preserve"> 71.6893 </t>
  </si>
  <si>
    <t>F:\images\20210420\plaque 2/@02 Testo 30/D2_01- exclu.tif</t>
  </si>
  <si>
    <t>F:\images\20210420\plaque 2/@02 Testo 30/D2_02- exclu.tif</t>
  </si>
  <si>
    <t>F:\images\20210420\plaque 2/@02 Testo 30/D2_03- exclu.tif</t>
  </si>
  <si>
    <t xml:space="preserve">F:\images\20210420\plaque 2/@02 Testo 30/E2_01.tif </t>
  </si>
  <si>
    <t xml:space="preserve"> 30671.1906 </t>
  </si>
  <si>
    <t xml:space="preserve"> 70.6629 </t>
  </si>
  <si>
    <t xml:space="preserve">F:\images\20210420\plaque 2/@02 Testo 30/E2_02.tif </t>
  </si>
  <si>
    <t xml:space="preserve"> 69.4877 </t>
  </si>
  <si>
    <t xml:space="preserve">F:\images\20210420\plaque 2/@02 Testo 30/E2_03.tif </t>
  </si>
  <si>
    <t xml:space="preserve"> 28097.2331 </t>
  </si>
  <si>
    <t xml:space="preserve"> 69.2964 </t>
  </si>
  <si>
    <t xml:space="preserve">F:\images\20210420\plaque 2/@02 Testo 30/F2_01.tif </t>
  </si>
  <si>
    <t xml:space="preserve"> 28746.13 </t>
  </si>
  <si>
    <t xml:space="preserve"> 68.6042 </t>
  </si>
  <si>
    <t xml:space="preserve">F:\images\20210420\plaque 2/@02 Testo 30/F2_02.tif </t>
  </si>
  <si>
    <t xml:space="preserve"> 66.8757 </t>
  </si>
  <si>
    <t xml:space="preserve">F:\images\20210420\plaque 2/@02 Testo 30/F2_03.tif </t>
  </si>
  <si>
    <t xml:space="preserve"> 14838.1077 </t>
  </si>
  <si>
    <t xml:space="preserve"> 65.8324 </t>
  </si>
  <si>
    <t xml:space="preserve">F:\images\20210420\plaque 2/@02 Testo 30/G2_01.tif </t>
  </si>
  <si>
    <t xml:space="preserve"> 56691.9538 </t>
  </si>
  <si>
    <t xml:space="preserve"> 74.5834 </t>
  </si>
  <si>
    <t xml:space="preserve">F:\images\20210420\plaque 2/@02 Testo 30/G2_02.tif </t>
  </si>
  <si>
    <t xml:space="preserve"> 50895.1421 </t>
  </si>
  <si>
    <t xml:space="preserve"> 71.9108 </t>
  </si>
  <si>
    <t xml:space="preserve">F:\images\20210420\plaque 2/@02 Testo 30/G2_03.tif </t>
  </si>
  <si>
    <t xml:space="preserve"> 50851.8823 </t>
  </si>
  <si>
    <t xml:space="preserve"> 74.3552 </t>
  </si>
  <si>
    <t xml:space="preserve">F:\images\20210420\plaque 2/@02 Testo 30/H2_01.tif </t>
  </si>
  <si>
    <t xml:space="preserve"> 38868.9206 </t>
  </si>
  <si>
    <t xml:space="preserve"> 71.6628 </t>
  </si>
  <si>
    <t xml:space="preserve">F:\images\20210420\plaque 2/@02 Testo 30/H2_02.tif </t>
  </si>
  <si>
    <t xml:space="preserve"> 37830.6857 </t>
  </si>
  <si>
    <t xml:space="preserve"> 69.9079 </t>
  </si>
  <si>
    <t xml:space="preserve">F:\images\20210420\plaque 2/@02 Testo 30/H2_03.tif </t>
  </si>
  <si>
    <t xml:space="preserve"> 36165.1838 </t>
  </si>
  <si>
    <t xml:space="preserve"> 70.369 </t>
  </si>
  <si>
    <t xml:space="preserve">F:\images\20210420\plaque 2/@02 Testo 30/ </t>
  </si>
  <si>
    <t xml:space="preserve"> 68.7416 </t>
  </si>
  <si>
    <t xml:space="preserve"> 3.5747 </t>
  </si>
  <si>
    <t xml:space="preserve"> 1918565.38 </t>
  </si>
  <si>
    <t xml:space="preserve"> 1418718.16 </t>
  </si>
  <si>
    <t xml:space="preserve">F:\images\20210420\plaque 2/@03 Testo+ EE2 64/A3_01.tif </t>
  </si>
  <si>
    <t xml:space="preserve"> 62250.8367 </t>
  </si>
  <si>
    <t xml:space="preserve"> 77.5191 </t>
  </si>
  <si>
    <t xml:space="preserve">F:\images\20210420\plaque 2/@03 Testo+ EE2 64/A3_02.tif </t>
  </si>
  <si>
    <t xml:space="preserve"> 58292.566 </t>
  </si>
  <si>
    <t xml:space="preserve"> 77.0827 </t>
  </si>
  <si>
    <t xml:space="preserve">F:\images\20210420\plaque 2/@03 Testo+ EE2 64/A3_03.tif </t>
  </si>
  <si>
    <t xml:space="preserve"> 56497.2848 </t>
  </si>
  <si>
    <t xml:space="preserve"> 81.7768 </t>
  </si>
  <si>
    <t xml:space="preserve">F:\images\20210420\plaque 2/@03 Testo+ EE2 64/B3_01.tif </t>
  </si>
  <si>
    <t xml:space="preserve"> 10209.3103 </t>
  </si>
  <si>
    <t xml:space="preserve"> 70.5148 </t>
  </si>
  <si>
    <t xml:space="preserve">F:\images\20210420\plaque 2/@03 Testo+ EE2 64/B3_02.tif </t>
  </si>
  <si>
    <t xml:space="preserve"> 7137.8652 </t>
  </si>
  <si>
    <t xml:space="preserve"> 71.3697 </t>
  </si>
  <si>
    <t xml:space="preserve">F:\images\20210420\plaque 2/@03 Testo+ EE2 64/B3_03.tif </t>
  </si>
  <si>
    <t xml:space="preserve"> 71.2483 </t>
  </si>
  <si>
    <t xml:space="preserve">F:\images\20210420\plaque 2/@03 Testo+ EE2 64/C3_01.tif </t>
  </si>
  <si>
    <t xml:space="preserve"> 38457.9527 </t>
  </si>
  <si>
    <t xml:space="preserve"> 70.1187 </t>
  </si>
  <si>
    <t xml:space="preserve">F:\images\20210420\plaque 2/@03 Testo+ EE2 64/C3_02.tif </t>
  </si>
  <si>
    <t xml:space="preserve"> 26691.29 </t>
  </si>
  <si>
    <t xml:space="preserve"> 67.3752 </t>
  </si>
  <si>
    <t xml:space="preserve">F:\images\20210420\plaque 2/@03 Testo+ EE2 64/C3_03.tif </t>
  </si>
  <si>
    <t xml:space="preserve"> 35040.4293 </t>
  </si>
  <si>
    <t xml:space="preserve"> 68.0562 </t>
  </si>
  <si>
    <t xml:space="preserve">F:\images\20210420\plaque 2/@03 Testo+ EE2 64/D3_01.tif </t>
  </si>
  <si>
    <t xml:space="preserve"> 83.6743 </t>
  </si>
  <si>
    <t xml:space="preserve">F:\images\20210420\plaque 2/@03 Testo+ EE2 64/D3_02.tif </t>
  </si>
  <si>
    <t xml:space="preserve"> 58011.3774 </t>
  </si>
  <si>
    <t xml:space="preserve"> 81.5093 </t>
  </si>
  <si>
    <t xml:space="preserve">F:\images\20210420\plaque 2/@03 Testo+ EE2 64/D3_03.tif </t>
  </si>
  <si>
    <t xml:space="preserve"> 62056.1677 </t>
  </si>
  <si>
    <t xml:space="preserve"> 78.9355 </t>
  </si>
  <si>
    <t xml:space="preserve">F:\images\20210420\plaque 2/@03 Testo+ EE2 64/E3_01.tif </t>
  </si>
  <si>
    <t xml:space="preserve"> 50138.0957 </t>
  </si>
  <si>
    <t xml:space="preserve"> 79.7097 </t>
  </si>
  <si>
    <t xml:space="preserve">F:\images\20210420\plaque 2/@03 Testo+ EE2 64/E3_02.tif </t>
  </si>
  <si>
    <t xml:space="preserve"> 42762.3017 </t>
  </si>
  <si>
    <t xml:space="preserve"> 77.2443 </t>
  </si>
  <si>
    <t xml:space="preserve">F:\images\20210420\plaque 2/@03 Testo+ EE2 64/E3_03.tif </t>
  </si>
  <si>
    <t xml:space="preserve"> 45098.3303 </t>
  </si>
  <si>
    <t xml:space="preserve"> 78.5918 </t>
  </si>
  <si>
    <t xml:space="preserve">F:\images\20210420\plaque 2/@03 Testo+ EE2 64/F3_01.tif </t>
  </si>
  <si>
    <t xml:space="preserve"> 46525.9033 </t>
  </si>
  <si>
    <t xml:space="preserve"> 78.4826 </t>
  </si>
  <si>
    <t xml:space="preserve">F:\images\20210420\plaque 2/@03 Testo+ EE2 64/F3_02.tif </t>
  </si>
  <si>
    <t xml:space="preserve"> 43281.4192 </t>
  </si>
  <si>
    <t xml:space="preserve"> 77.9005 </t>
  </si>
  <si>
    <t xml:space="preserve">F:\images\20210420\plaque 2/@03 Testo+ EE2 64/F3_03.tif </t>
  </si>
  <si>
    <t xml:space="preserve"> 39106.8495 </t>
  </si>
  <si>
    <t xml:space="preserve"> 77.1034 </t>
  </si>
  <si>
    <t xml:space="preserve">F:\images\20210420\plaque 2/@03 Testo+ EE2 64/G3_01.tif </t>
  </si>
  <si>
    <t xml:space="preserve"> 61666.8296 </t>
  </si>
  <si>
    <t xml:space="preserve"> 79.8246 </t>
  </si>
  <si>
    <t xml:space="preserve">F:\images\20210420\plaque 2/@03 Testo+ EE2 64/G3_02.tif </t>
  </si>
  <si>
    <t xml:space="preserve"> 48753.7825 </t>
  </si>
  <si>
    <t xml:space="preserve"> 79.2107 </t>
  </si>
  <si>
    <t xml:space="preserve">F:\images\20210420\plaque 2/@03 Testo+ EE2 64/G3_03.tif </t>
  </si>
  <si>
    <t xml:space="preserve"> 54485.7046 </t>
  </si>
  <si>
    <t xml:space="preserve"> 77.0548 </t>
  </si>
  <si>
    <t xml:space="preserve">F:\images\20210420\plaque 2/@03 Testo+ EE2 64/H3_01.tif </t>
  </si>
  <si>
    <t xml:space="preserve"> 1925.0606 </t>
  </si>
  <si>
    <t xml:space="preserve"> 65.1236 </t>
  </si>
  <si>
    <t xml:space="preserve">F:\images\20210420\plaque 2/@03 Testo+ EE2 64/H3_02.tif </t>
  </si>
  <si>
    <t xml:space="preserve"> 62.04 </t>
  </si>
  <si>
    <t xml:space="preserve">F:\images\20210420\plaque 2/@03 Testo+ EE2 64/H3_03.tif </t>
  </si>
  <si>
    <t xml:space="preserve"> 5385.8438 </t>
  </si>
  <si>
    <t xml:space="preserve"> 65.5141 </t>
  </si>
  <si>
    <t xml:space="preserve">F:\images\20210420\plaque 2/@03 Testo+ EE2 64/ </t>
  </si>
  <si>
    <t xml:space="preserve"> 74.8742 </t>
  </si>
  <si>
    <t xml:space="preserve"> 6.017 </t>
  </si>
  <si>
    <t xml:space="preserve"> 2984048.5 </t>
  </si>
  <si>
    <t xml:space="preserve"> 1756789.25 </t>
  </si>
  <si>
    <t xml:space="preserve">F:\images\20210420\plaque 2/@04 Testo+ FAD/A4_01.tif </t>
  </si>
  <si>
    <t xml:space="preserve"> 71.6873 </t>
  </si>
  <si>
    <t xml:space="preserve">F:\images\20210420\plaque 2/@04 Testo+ FAD/A4_02.tif </t>
  </si>
  <si>
    <t xml:space="preserve"> 8435.6589 </t>
  </si>
  <si>
    <t xml:space="preserve"> 74.6795 </t>
  </si>
  <si>
    <t xml:space="preserve">F:\images\20210420\plaque 2/@04 Testo+ FAD/A4_03.tif </t>
  </si>
  <si>
    <t xml:space="preserve"> 8111.2105 </t>
  </si>
  <si>
    <t xml:space="preserve"> 69.5067 </t>
  </si>
  <si>
    <t xml:space="preserve">F:\images\20210420\plaque 2/@04 Testo+ FAD/B4_01.tif </t>
  </si>
  <si>
    <t xml:space="preserve"> 72.6646 </t>
  </si>
  <si>
    <t xml:space="preserve">F:\images\20210420\plaque 2/@04 Testo+ FAD/B4_02.tif </t>
  </si>
  <si>
    <t xml:space="preserve"> 8089.5806 </t>
  </si>
  <si>
    <t xml:space="preserve"> 72.508 </t>
  </si>
  <si>
    <t xml:space="preserve">F:\images\20210420\plaque 2/@04 Testo+ FAD/B4_03.tif </t>
  </si>
  <si>
    <t xml:space="preserve"> 6597.1179 </t>
  </si>
  <si>
    <t xml:space="preserve"> 69.7246 </t>
  </si>
  <si>
    <t xml:space="preserve">F:\images\20210420\plaque 2/@04 Testo+ FAD/C4_01.tif </t>
  </si>
  <si>
    <t xml:space="preserve"> 69.0325 </t>
  </si>
  <si>
    <t xml:space="preserve">F:\images\20210420\plaque 2/@04 Testo+ FAD/C4_02.tif </t>
  </si>
  <si>
    <t xml:space="preserve"> 1600.6122 </t>
  </si>
  <si>
    <t xml:space="preserve"> 63.9595 </t>
  </si>
  <si>
    <t xml:space="preserve">F:\images\20210420\plaque 2/@04 Testo+ FAD/C4_03.tif </t>
  </si>
  <si>
    <t xml:space="preserve"> 65.9286 </t>
  </si>
  <si>
    <t xml:space="preserve">F:\images\20210420\plaque 2/@04 Testo+ FAD/D4_01.tif </t>
  </si>
  <si>
    <t xml:space="preserve"> 648.8968 </t>
  </si>
  <si>
    <t xml:space="preserve">F:\images\20210420\plaque 2/@04 Testo+ FAD/D4_02.tif </t>
  </si>
  <si>
    <t xml:space="preserve"> 63.4444 </t>
  </si>
  <si>
    <t xml:space="preserve">F:\images\20210420\plaque 2/@04 Testo+ FAD/D4_03.tif </t>
  </si>
  <si>
    <t xml:space="preserve"> 1405.9432 </t>
  </si>
  <si>
    <t xml:space="preserve"> 63.9385 </t>
  </si>
  <si>
    <t xml:space="preserve">F:\images\20210420\plaque 2/@04 Testo+ FAD/E4_01.tif </t>
  </si>
  <si>
    <t xml:space="preserve"> 69.9566 </t>
  </si>
  <si>
    <t>F:\images\20210420\plaque 2/@04 Testo+ FAD/E4_02- exclu.tif</t>
  </si>
  <si>
    <t xml:space="preserve">F:\images\20210420\plaque 2/@04 Testo+ FAD/E4_03.tif </t>
  </si>
  <si>
    <t xml:space="preserve"> 6575.488 </t>
  </si>
  <si>
    <t xml:space="preserve"> 69.6809 </t>
  </si>
  <si>
    <t xml:space="preserve">F:\images\20210420\plaque 2/@04 Testo+ FAD/F4_01.tif </t>
  </si>
  <si>
    <t xml:space="preserve"> 6813.4168 </t>
  </si>
  <si>
    <t xml:space="preserve"> 71.2571 </t>
  </si>
  <si>
    <t xml:space="preserve">F:\images\20210420\plaque 2/@04 Testo+ FAD/F4_02.tif </t>
  </si>
  <si>
    <t xml:space="preserve"> 78.3799 </t>
  </si>
  <si>
    <t xml:space="preserve">F:\images\20210420\plaque 2/@04 Testo+ FAD/F4_03.tif </t>
  </si>
  <si>
    <t xml:space="preserve"> 67.7213 </t>
  </si>
  <si>
    <t xml:space="preserve">F:\images\20210420\plaque 2/@04 Testo+ FAD/G4_01.tif </t>
  </si>
  <si>
    <t xml:space="preserve"> 78.2771 </t>
  </si>
  <si>
    <t xml:space="preserve">F:\images\20210420\plaque 2/@04 Testo+ FAD/G4_02.tif </t>
  </si>
  <si>
    <t xml:space="preserve"> 216.2989 </t>
  </si>
  <si>
    <t xml:space="preserve"> 62.9 </t>
  </si>
  <si>
    <t xml:space="preserve">F:\images\20210420\plaque 2/@04 Testo+ FAD/G4_03.tif </t>
  </si>
  <si>
    <t xml:space="preserve"> 3850.1212 </t>
  </si>
  <si>
    <t xml:space="preserve"> 69.4775 </t>
  </si>
  <si>
    <t xml:space="preserve">F:\images\20210420\plaque 2/@04 Testo+ FAD/H4_01.tif </t>
  </si>
  <si>
    <t xml:space="preserve"> 2444.1781 </t>
  </si>
  <si>
    <t xml:space="preserve"> 65.1681 </t>
  </si>
  <si>
    <t xml:space="preserve">F:\images\20210420\plaque 2/@04 Testo+ FAD/H4_02.tif </t>
  </si>
  <si>
    <t xml:space="preserve"> 65.0741 </t>
  </si>
  <si>
    <t xml:space="preserve">F:\images\20210420\plaque 2/@04 Testo+ FAD/H4_03.tif </t>
  </si>
  <si>
    <t xml:space="preserve"> 1059.8648 </t>
  </si>
  <si>
    <t xml:space="preserve"> 63.7959 </t>
  </si>
  <si>
    <t xml:space="preserve">F:\images\20210420\plaque 2/@04 Testo+ FAD/ </t>
  </si>
  <si>
    <t xml:space="preserve"> 69.0087 </t>
  </si>
  <si>
    <t xml:space="preserve"> 4.6613 </t>
  </si>
  <si>
    <t xml:space="preserve"> 341613.583 </t>
  </si>
  <si>
    <t xml:space="preserve"> 250053.692 </t>
  </si>
  <si>
    <t xml:space="preserve">F:\images\20210420\plaque 2/@05 Arabinose 0.01mg_L Dopé/A5_01.tif </t>
  </si>
  <si>
    <t xml:space="preserve"> 48840.3021 </t>
  </si>
  <si>
    <t xml:space="preserve"> 70.566 </t>
  </si>
  <si>
    <t xml:space="preserve">F:\images\20210420\plaque 2/@05 Arabinose 0.01mg_L Dopé/A5_02.tif </t>
  </si>
  <si>
    <t xml:space="preserve"> 39712.4865 </t>
  </si>
  <si>
    <t xml:space="preserve"> 69.049 </t>
  </si>
  <si>
    <t xml:space="preserve">F:\images\20210420\plaque 2/@05 Arabinose 0.01mg_L Dopé/A5_03.tif </t>
  </si>
  <si>
    <t xml:space="preserve"> 42264.8141 </t>
  </si>
  <si>
    <t xml:space="preserve"> 70.262 </t>
  </si>
  <si>
    <t xml:space="preserve">F:\images\20210420\plaque 2/@05 Arabinose 0.01mg_L Dopé/B5_01.tif </t>
  </si>
  <si>
    <t xml:space="preserve"> 37614.3868 </t>
  </si>
  <si>
    <t xml:space="preserve"> 71.1121 </t>
  </si>
  <si>
    <t xml:space="preserve">F:\images\20210420\plaque 2/@05 Arabinose 0.01mg_L Dopé/B5_02.tif </t>
  </si>
  <si>
    <t xml:space="preserve"> 42524.3728 </t>
  </si>
  <si>
    <t xml:space="preserve"> 72.2818 </t>
  </si>
  <si>
    <t xml:space="preserve">F:\images\20210420\plaque 2/@05 Arabinose 0.01mg_L Dopé/B5_03.tif </t>
  </si>
  <si>
    <t xml:space="preserve"> 41940.3657 </t>
  </si>
  <si>
    <t xml:space="preserve"> 71.6565 </t>
  </si>
  <si>
    <t xml:space="preserve">F:\images\20210420\plaque 2/@05 Arabinose 0.01mg_L Dopé/C5_01.tif </t>
  </si>
  <si>
    <t xml:space="preserve"> 18709.8589 </t>
  </si>
  <si>
    <t xml:space="preserve"> 71.5376 </t>
  </si>
  <si>
    <t xml:space="preserve">F:\images\20210420\plaque 2/@05 Arabinose 0.01mg_L Dopé/C5_02.tif </t>
  </si>
  <si>
    <t xml:space="preserve"> 20396.9906 </t>
  </si>
  <si>
    <t xml:space="preserve"> 71.6978 </t>
  </si>
  <si>
    <t xml:space="preserve">F:\images\20210420\plaque 2/@05 Arabinose 0.01mg_L Dopé/C5_03.tif </t>
  </si>
  <si>
    <t xml:space="preserve"> 19423.6454 </t>
  </si>
  <si>
    <t xml:space="preserve"> 70.8185 </t>
  </si>
  <si>
    <t xml:space="preserve">F:\images\20210420\plaque 2/@05 Arabinose 0.01mg_L Dopé/D5_01.tif </t>
  </si>
  <si>
    <t xml:space="preserve"> 27924.194 </t>
  </si>
  <si>
    <t xml:space="preserve"> 68.2548 </t>
  </si>
  <si>
    <t xml:space="preserve">F:\images\20210420\plaque 2/@05 Arabinose 0.01mg_L Dopé/D5_02.tif </t>
  </si>
  <si>
    <t xml:space="preserve"> 29914.1443 </t>
  </si>
  <si>
    <t xml:space="preserve"> 67.2589 </t>
  </si>
  <si>
    <t xml:space="preserve">F:\images\20210420\plaque 2/@05 Arabinose 0.01mg_L Dopé/D5_03.tif </t>
  </si>
  <si>
    <t xml:space="preserve"> 28767.7599 </t>
  </si>
  <si>
    <t xml:space="preserve"> 67.0556 </t>
  </si>
  <si>
    <t xml:space="preserve">F:\images\20210420\plaque 2/@05 Arabinose 0.01mg_L Dopé/E5_01.tif </t>
  </si>
  <si>
    <t xml:space="preserve"> 30454.8916 </t>
  </si>
  <si>
    <t xml:space="preserve"> 69.657 </t>
  </si>
  <si>
    <t xml:space="preserve">F:\images\20210420\plaque 2/@05 Arabinose 0.01mg_L Dopé/E5_02.tif </t>
  </si>
  <si>
    <t xml:space="preserve"> 20094.1721 </t>
  </si>
  <si>
    <t xml:space="preserve"> 66.6233 </t>
  </si>
  <si>
    <t xml:space="preserve">F:\images\20210420\plaque 2/@05 Arabinose 0.01mg_L Dopé/E5_03.tif </t>
  </si>
  <si>
    <t xml:space="preserve"> 28118.863 </t>
  </si>
  <si>
    <t xml:space="preserve"> 69.2808 </t>
  </si>
  <si>
    <t xml:space="preserve">F:\images\20210420\plaque 2/@05 Arabinose 0.01mg_L Dopé/F5_01.tif </t>
  </si>
  <si>
    <t xml:space="preserve"> 61991.278 </t>
  </si>
  <si>
    <t xml:space="preserve"> 73.351 </t>
  </si>
  <si>
    <t xml:space="preserve">F:\images\20210420\plaque 2/@05 Arabinose 0.01mg_L Dopé/F5_02.tif </t>
  </si>
  <si>
    <t xml:space="preserve"> 57968.1176 </t>
  </si>
  <si>
    <t xml:space="preserve"> 71.3097 </t>
  </si>
  <si>
    <t xml:space="preserve">F:\images\20210420\plaque 2/@05 Arabinose 0.01mg_L Dopé/F5_03.tif </t>
  </si>
  <si>
    <t xml:space="preserve"> 53880.0675 </t>
  </si>
  <si>
    <t xml:space="preserve"> 72.9189 </t>
  </si>
  <si>
    <t xml:space="preserve">F:\images\20210420\plaque 2/@05 Arabinose 0.01mg_L Dopé/G5_01.tif </t>
  </si>
  <si>
    <t xml:space="preserve"> 32639.511 </t>
  </si>
  <si>
    <t xml:space="preserve"> 76.719 </t>
  </si>
  <si>
    <t xml:space="preserve">F:\images\20210420\plaque 2/@05 Arabinose 0.01mg_L Dopé/G5_02.tif </t>
  </si>
  <si>
    <t xml:space="preserve"> 32747.6605 </t>
  </si>
  <si>
    <t xml:space="preserve"> 75.8771 </t>
  </si>
  <si>
    <t xml:space="preserve">F:\images\20210420\plaque 2/@05 Arabinose 0.01mg_L Dopé/G5_03.tif </t>
  </si>
  <si>
    <t xml:space="preserve"> 25436.7561 </t>
  </si>
  <si>
    <t xml:space="preserve"> 72.7389 </t>
  </si>
  <si>
    <t xml:space="preserve">F:\images\20210420\plaque 2/@05 Arabinose 0.01mg_L Dopé/H5_01.tif </t>
  </si>
  <si>
    <t xml:space="preserve"> 37744.1661 </t>
  </si>
  <si>
    <t xml:space="preserve"> 69.443 </t>
  </si>
  <si>
    <t xml:space="preserve">F:\images\20210420\plaque 2/@05 Arabinose 0.01mg_L Dopé/H5_02.tif </t>
  </si>
  <si>
    <t xml:space="preserve"> 35235.0984 </t>
  </si>
  <si>
    <t xml:space="preserve"> 67.903 </t>
  </si>
  <si>
    <t xml:space="preserve">F:\images\20210420\plaque 2/@05 Arabinose 0.01mg_L Dopé/H5_03.tif </t>
  </si>
  <si>
    <t xml:space="preserve"> 38955.4402 </t>
  </si>
  <si>
    <t xml:space="preserve"> 68.4142 </t>
  </si>
  <si>
    <t xml:space="preserve">F:\images\20210420\plaque 2/@05 Arabinose 0.01mg_L Dopé/ </t>
  </si>
  <si>
    <t xml:space="preserve"> 70.6578 </t>
  </si>
  <si>
    <t xml:space="preserve"> 2.5805 </t>
  </si>
  <si>
    <t xml:space="preserve"> 2519635.71 </t>
  </si>
  <si>
    <t xml:space="preserve"> 873812.865 </t>
  </si>
  <si>
    <t xml:space="preserve">F:\images\20210420\plaque 2/@06 Dutastéride 0.1mg_L Dopé/A6_01.tif </t>
  </si>
  <si>
    <t xml:space="preserve"> 22322.0513 </t>
  </si>
  <si>
    <t xml:space="preserve"> 68.0349 </t>
  </si>
  <si>
    <t xml:space="preserve">F:\images\20210420\plaque 2/@06 Dutastéride 0.1mg_L Dopé/A6_02.tif </t>
  </si>
  <si>
    <t xml:space="preserve"> 27253.6672 </t>
  </si>
  <si>
    <t xml:space="preserve"> 72.95 </t>
  </si>
  <si>
    <t xml:space="preserve">F:\images\20210420\plaque 2/@06 Dutastéride 0.1mg_L Dopé/A6_03.tif </t>
  </si>
  <si>
    <t xml:space="preserve"> 27534.8559 </t>
  </si>
  <si>
    <t xml:space="preserve"> 72.3551 </t>
  </si>
  <si>
    <t xml:space="preserve">F:\images\20210420\plaque 2/@06 Dutastéride 0.1mg_L Dopé/B6_01.tif </t>
  </si>
  <si>
    <t xml:space="preserve"> 31082.1586 </t>
  </si>
  <si>
    <t xml:space="preserve"> 68.8337 </t>
  </si>
  <si>
    <t xml:space="preserve">F:\images\20210420\plaque 2/@06 Dutastéride 0.1mg_L Dopé/B6_02.tif </t>
  </si>
  <si>
    <t xml:space="preserve"> 22668.1296 </t>
  </si>
  <si>
    <t xml:space="preserve"> 66.2366 </t>
  </si>
  <si>
    <t xml:space="preserve">F:\images\20210420\plaque 2/@06 Dutastéride 0.1mg_L Dopé/B6_03.tif </t>
  </si>
  <si>
    <t xml:space="preserve"> 27751.1548 </t>
  </si>
  <si>
    <t xml:space="preserve"> 66.3414 </t>
  </si>
  <si>
    <t xml:space="preserve">F:\images\20210420\plaque 2/@06 Dutastéride 0.1mg_L Dopé/C6_01.tif </t>
  </si>
  <si>
    <t xml:space="preserve"> 6662.0075 </t>
  </si>
  <si>
    <t xml:space="preserve"> 64.8669 </t>
  </si>
  <si>
    <t xml:space="preserve">F:\images\20210420\plaque 2/@06 Dutastéride 0.1mg_L Dopé/C6_02.tif </t>
  </si>
  <si>
    <t xml:space="preserve"> 65.0217 </t>
  </si>
  <si>
    <t xml:space="preserve">F:\images\20210420\plaque 2/@06 Dutastéride 0.1mg_L Dopé/C6_03.tif </t>
  </si>
  <si>
    <t xml:space="preserve"> 7808.392 </t>
  </si>
  <si>
    <t xml:space="preserve"> 66.0249 </t>
  </si>
  <si>
    <t xml:space="preserve">F:\images\20210420\plaque 2/@06 Dutastéride 0.1mg_L Dopé/D6_01.tif </t>
  </si>
  <si>
    <t xml:space="preserve"> 18688.229 </t>
  </si>
  <si>
    <t xml:space="preserve"> 65.7986 </t>
  </si>
  <si>
    <t xml:space="preserve">F:\images\20210420\plaque 2/@06 Dutastéride 0.1mg_L Dopé/D6_02.tif </t>
  </si>
  <si>
    <t xml:space="preserve"> 14189.2109 </t>
  </si>
  <si>
    <t xml:space="preserve"> 65.4848 </t>
  </si>
  <si>
    <t>F:\images\20210420\plaque 2/@06 Dutastéride 0.1mg_L Dopé/D6_03- exclu.tif</t>
  </si>
  <si>
    <t xml:space="preserve">F:\images\20210420\plaque 2/@06 Dutastéride 0.1mg_L Dopé/E6_01.tif </t>
  </si>
  <si>
    <t xml:space="preserve"> 8673.5877 </t>
  </si>
  <si>
    <t xml:space="preserve"> 65.8304 </t>
  </si>
  <si>
    <t xml:space="preserve">F:\images\20210420\plaque 2/@06 Dutastéride 0.1mg_L Dopé/E6_02.tif </t>
  </si>
  <si>
    <t xml:space="preserve"> 21370.3359 </t>
  </si>
  <si>
    <t xml:space="preserve"> 69.9747 </t>
  </si>
  <si>
    <t xml:space="preserve">F:\images\20210420\plaque 2/@06 Dutastéride 0.1mg_L Dopé/E6_03.tif </t>
  </si>
  <si>
    <t xml:space="preserve"> 23490.0656 </t>
  </si>
  <si>
    <t xml:space="preserve"> 69.035 </t>
  </si>
  <si>
    <t xml:space="preserve">F:\images\20210420\plaque 2/@06 Dutastéride 0.1mg_L Dopé/F6_01.tif </t>
  </si>
  <si>
    <t xml:space="preserve"> 19531.7948 </t>
  </si>
  <si>
    <t xml:space="preserve"> 69.6678 </t>
  </si>
  <si>
    <t xml:space="preserve">F:\images\20210420\plaque 2/@06 Dutastéride 0.1mg_L Dopé/F6_02.tif </t>
  </si>
  <si>
    <t xml:space="preserve"> 11745.0328 </t>
  </si>
  <si>
    <t xml:space="preserve"> 65.4125 </t>
  </si>
  <si>
    <t xml:space="preserve">F:\images\20210420\plaque 2/@06 Dutastéride 0.1mg_L Dopé/F6_03.tif </t>
  </si>
  <si>
    <t xml:space="preserve"> 19099.197 </t>
  </si>
  <si>
    <t xml:space="preserve"> 66.6082 </t>
  </si>
  <si>
    <t xml:space="preserve">F:\images\20210420\plaque 2/@06 Dutastéride 0.1mg_L Dopé/G6_01.tif </t>
  </si>
  <si>
    <t xml:space="preserve"> 72.3798 </t>
  </si>
  <si>
    <t xml:space="preserve">F:\images\20210420\plaque 2/@06 Dutastéride 0.1mg_L Dopé/G6_02.tif </t>
  </si>
  <si>
    <t xml:space="preserve"> 73.0191 </t>
  </si>
  <si>
    <t xml:space="preserve">F:\images\20210420\plaque 2/@06 Dutastéride 0.1mg_L Dopé/G6_03.tif </t>
  </si>
  <si>
    <t xml:space="preserve"> 39431.2979 </t>
  </si>
  <si>
    <t xml:space="preserve"> 72.3406 </t>
  </si>
  <si>
    <t xml:space="preserve">F:\images\20210420\plaque 2/@06 Dutastéride 0.1mg_L Dopé/H6_01.tif </t>
  </si>
  <si>
    <t xml:space="preserve"> 9409.0042 </t>
  </si>
  <si>
    <t xml:space="preserve"> 65.0092 </t>
  </si>
  <si>
    <t xml:space="preserve">F:\images\20210420\plaque 2/@06 Dutastéride 0.1mg_L Dopé/H6_02.tif </t>
  </si>
  <si>
    <t xml:space="preserve"> 3049.8151 </t>
  </si>
  <si>
    <t xml:space="preserve"> 63.1915 </t>
  </si>
  <si>
    <t xml:space="preserve">F:\images\20210420\plaque 2/@06 Dutastéride 0.1mg_L Dopé/H6_03.tif </t>
  </si>
  <si>
    <t xml:space="preserve"> 64.5515 </t>
  </si>
  <si>
    <t xml:space="preserve">F:\images\20210420\plaque 2/@06 Dutastéride 0.1mg_L Dopé/ </t>
  </si>
  <si>
    <t xml:space="preserve"> 67.6429 </t>
  </si>
  <si>
    <t xml:space="preserve"> 3.1034 </t>
  </si>
  <si>
    <t xml:space="preserve"> 1285078.96 </t>
  </si>
  <si>
    <t xml:space="preserve"> 799997.484 </t>
  </si>
  <si>
    <t xml:space="preserve">F:\images\20210420\plaque 2/@07  Arabinose 1mg_L Dopé/A7_01.tif </t>
  </si>
  <si>
    <t xml:space="preserve"> 35883.9952 </t>
  </si>
  <si>
    <t xml:space="preserve"> 75.9337 </t>
  </si>
  <si>
    <t xml:space="preserve">F:\images\20210420\plaque 2/@07  Arabinose 1mg_L Dopé/A7_02.tif </t>
  </si>
  <si>
    <t xml:space="preserve"> 36078.6642 </t>
  </si>
  <si>
    <t xml:space="preserve"> 73.5935 </t>
  </si>
  <si>
    <t xml:space="preserve">F:\images\20210420\plaque 2/@07  Arabinose 1mg_L Dopé/A7_03.tif </t>
  </si>
  <si>
    <t xml:space="preserve"> 35170.2087 </t>
  </si>
  <si>
    <t xml:space="preserve"> 75.5443 </t>
  </si>
  <si>
    <t xml:space="preserve">F:\images\20210420\plaque 2/@07  Arabinose 1mg_L Dopé/B7_01.tif </t>
  </si>
  <si>
    <t xml:space="preserve"> 39452.9278 </t>
  </si>
  <si>
    <t xml:space="preserve"> 70.313 </t>
  </si>
  <si>
    <t xml:space="preserve">F:\images\20210420\plaque 2/@07  Arabinose 1mg_L Dopé/B7_02.tif </t>
  </si>
  <si>
    <t xml:space="preserve"> 33483.0769 </t>
  </si>
  <si>
    <t xml:space="preserve"> 69.5433 </t>
  </si>
  <si>
    <t xml:space="preserve">F:\images\20210420\plaque 2/@07  Arabinose 1mg_L Dopé/B7_03.tif </t>
  </si>
  <si>
    <t xml:space="preserve"> 71.5605 </t>
  </si>
  <si>
    <t xml:space="preserve">F:\images\20210420\plaque 2/@07  Arabinose 1mg_L Dopé/C7_01.tif </t>
  </si>
  <si>
    <t xml:space="preserve"> 54875.0427 </t>
  </si>
  <si>
    <t xml:space="preserve"> 75.1853 </t>
  </si>
  <si>
    <t xml:space="preserve">F:\images\20210420\plaque 2/@07  Arabinose 1mg_L Dopé/C7_02.tif </t>
  </si>
  <si>
    <t xml:space="preserve"> 50765.3627 </t>
  </si>
  <si>
    <t xml:space="preserve"> 75.2182 </t>
  </si>
  <si>
    <t xml:space="preserve">F:\images\20210420\plaque 2/@07  Arabinose 1mg_L Dopé/C7_03.tif </t>
  </si>
  <si>
    <t xml:space="preserve"> 45141.5901 </t>
  </si>
  <si>
    <t xml:space="preserve"> 72.9401 </t>
  </si>
  <si>
    <t xml:space="preserve">F:\images\20210420\plaque 2/@07  Arabinose 1mg_L Dopé/D7_01.tif </t>
  </si>
  <si>
    <t xml:space="preserve"> 57903.2279 </t>
  </si>
  <si>
    <t xml:space="preserve"> 76.9193 </t>
  </si>
  <si>
    <t xml:space="preserve">F:\images\20210420\plaque 2/@07  Arabinose 1mg_L Dopé/D7_02.tif </t>
  </si>
  <si>
    <t xml:space="preserve"> 51262.8503 </t>
  </si>
  <si>
    <t xml:space="preserve"> 74.5211 </t>
  </si>
  <si>
    <t xml:space="preserve">F:\images\20210420\plaque 2/@07  Arabinose 1mg_L Dopé/D7_03.tif </t>
  </si>
  <si>
    <t xml:space="preserve"> 50051.5762 </t>
  </si>
  <si>
    <t xml:space="preserve"> 75.5164 </t>
  </si>
  <si>
    <t xml:space="preserve">F:\images\20210420\plaque 2/@07  Arabinose 1mg_L Dopé/E7_01.tif </t>
  </si>
  <si>
    <t xml:space="preserve"> 16049.3818 </t>
  </si>
  <si>
    <t xml:space="preserve"> 69.1577 </t>
  </si>
  <si>
    <t xml:space="preserve">F:\images\20210420\plaque 2/@07  Arabinose 1mg_L Dopé/E7_02.tif </t>
  </si>
  <si>
    <t xml:space="preserve"> 15616.7839 </t>
  </si>
  <si>
    <t xml:space="preserve"> 69.5817 </t>
  </si>
  <si>
    <t xml:space="preserve">F:\images\20210420\plaque 2/@07  Arabinose 1mg_L Dopé/E7_03.tif </t>
  </si>
  <si>
    <t xml:space="preserve"> 16871.3178 </t>
  </si>
  <si>
    <t xml:space="preserve"> 69.1462 </t>
  </si>
  <si>
    <t xml:space="preserve">F:\images\20210420\plaque 2/@07  Arabinose 1mg_L Dopé/F7_01.tif </t>
  </si>
  <si>
    <t xml:space="preserve"> 67.1594 </t>
  </si>
  <si>
    <t xml:space="preserve">F:\images\20210420\plaque 2/@07  Arabinose 1mg_L Dopé/F7_02.tif </t>
  </si>
  <si>
    <t xml:space="preserve"> 35537.9169 </t>
  </si>
  <si>
    <t xml:space="preserve"> 67.5837 </t>
  </si>
  <si>
    <t xml:space="preserve">F:\images\20210420\plaque 2/@07  Arabinose 1mg_L Dopé/F7_03.tif </t>
  </si>
  <si>
    <t xml:space="preserve"> 38349.8032 </t>
  </si>
  <si>
    <t xml:space="preserve"> 69.0784 </t>
  </si>
  <si>
    <t xml:space="preserve">F:\images\20210420\plaque 2/@07  Arabinose 1mg_L Dopé/G7_01.tif </t>
  </si>
  <si>
    <t xml:space="preserve"> 73.0982 </t>
  </si>
  <si>
    <t xml:space="preserve">F:\images\20210420\plaque 2/@07  Arabinose 1mg_L Dopé/G7_02.tif </t>
  </si>
  <si>
    <t xml:space="preserve"> 55091.3416 </t>
  </si>
  <si>
    <t xml:space="preserve"> 70.5544 </t>
  </si>
  <si>
    <t xml:space="preserve">F:\images\20210420\plaque 2/@07  Arabinose 1mg_L Dopé/G7_03.tif </t>
  </si>
  <si>
    <t xml:space="preserve"> 69.5724 </t>
  </si>
  <si>
    <t xml:space="preserve">F:\images\20210420\plaque 2/@07  Arabinose 1mg_L Dopé/H7_01.tif </t>
  </si>
  <si>
    <t xml:space="preserve"> 9884.8618 </t>
  </si>
  <si>
    <t xml:space="preserve"> 64.9365 </t>
  </si>
  <si>
    <t xml:space="preserve">F:\images\20210420\plaque 2/@07  Arabinose 1mg_L Dopé/H7_02.tif </t>
  </si>
  <si>
    <t xml:space="preserve"> 7786.7621 </t>
  </si>
  <si>
    <t xml:space="preserve"> 65.3528 </t>
  </si>
  <si>
    <t xml:space="preserve">F:\images\20210420\plaque 2/@07  Arabinose 1mg_L Dopé/H7_03.tif </t>
  </si>
  <si>
    <t xml:space="preserve"> 64.7437 </t>
  </si>
  <si>
    <t xml:space="preserve">F:\images\20210420\plaque 2/@07  Arabinose 1mg_L Dopé/ </t>
  </si>
  <si>
    <t xml:space="preserve"> 71.1147 </t>
  </si>
  <si>
    <t xml:space="preserve"> 3.6985 </t>
  </si>
  <si>
    <t xml:space="preserve"> 2625834.04 </t>
  </si>
  <si>
    <t xml:space="preserve"> 1222471.1 </t>
  </si>
  <si>
    <t xml:space="preserve">F:\images\20210420\plaque 2/@08 Arabinose 10mg_L Dopé/A8_01.tif </t>
  </si>
  <si>
    <t xml:space="preserve"> 55718.6086 </t>
  </si>
  <si>
    <t xml:space="preserve"> 73.8513 </t>
  </si>
  <si>
    <t xml:space="preserve">F:\images\20210420\plaque 2/@08 Arabinose 10mg_L Dopé/A8_02.tif </t>
  </si>
  <si>
    <t xml:space="preserve"> 55199.4911 </t>
  </si>
  <si>
    <t xml:space="preserve"> 71.1211 </t>
  </si>
  <si>
    <t xml:space="preserve">F:\images\20210420\plaque 2/@08 Arabinose 10mg_L Dopé/A8_03.tif </t>
  </si>
  <si>
    <t xml:space="preserve"> 51955.0069 </t>
  </si>
  <si>
    <t xml:space="preserve"> 73.6045 </t>
  </si>
  <si>
    <t xml:space="preserve">F:\images\20210420\plaque 2/@08 Arabinose 10mg_L Dopé/B8_01.tif </t>
  </si>
  <si>
    <t xml:space="preserve"> 24312.0016 </t>
  </si>
  <si>
    <t xml:space="preserve"> 66.1975 </t>
  </si>
  <si>
    <t xml:space="preserve">F:\images\20210420\plaque 2/@08 Arabinose 10mg_L Dopé/B8_02.tif </t>
  </si>
  <si>
    <t xml:space="preserve"> 13042.8265 </t>
  </si>
  <si>
    <t xml:space="preserve"> 64.9735 </t>
  </si>
  <si>
    <t xml:space="preserve">F:\images\20210420\plaque 2/@08 Arabinose 10mg_L Dopé/B8_03.tif </t>
  </si>
  <si>
    <t xml:space="preserve"> 26042.3931 </t>
  </si>
  <si>
    <t xml:space="preserve"> 66.8015 </t>
  </si>
  <si>
    <t xml:space="preserve">F:\images\20210420\plaque 2/@08 Arabinose 10mg_L Dopé/C8_01.tif </t>
  </si>
  <si>
    <t xml:space="preserve"> 4239.4593 </t>
  </si>
  <si>
    <t xml:space="preserve"> 64.6786 </t>
  </si>
  <si>
    <t xml:space="preserve">F:\images\20210420\plaque 2/@08 Arabinose 10mg_L Dopé/C8_02.tif </t>
  </si>
  <si>
    <t xml:space="preserve"> 64.2353 </t>
  </si>
  <si>
    <t xml:space="preserve">F:\images\20210420\plaque 2/@08 Arabinose 10mg_L Dopé/C8_03.tif </t>
  </si>
  <si>
    <t xml:space="preserve"> 3222.8543 </t>
  </si>
  <si>
    <t xml:space="preserve"> 63.7047 </t>
  </si>
  <si>
    <t xml:space="preserve">F:\images\20210420\plaque 2/@08 Arabinose 10mg_L Dopé/D8_01.tif </t>
  </si>
  <si>
    <t xml:space="preserve"> 43908.6861 </t>
  </si>
  <si>
    <t xml:space="preserve"> 69.9813 </t>
  </si>
  <si>
    <t xml:space="preserve">F:\images\20210420\plaque 2/@08 Arabinose 10mg_L Dopé/D8_02.tif </t>
  </si>
  <si>
    <t xml:space="preserve"> 37052.0095 </t>
  </si>
  <si>
    <t xml:space="preserve"> 69.244 </t>
  </si>
  <si>
    <t xml:space="preserve">F:\images\20210420\plaque 2/@08 Arabinose 10mg_L Dopé/D8_03.tif </t>
  </si>
  <si>
    <t xml:space="preserve"> 41204.9493 </t>
  </si>
  <si>
    <t xml:space="preserve"> 68.9612 </t>
  </si>
  <si>
    <t xml:space="preserve">F:\images\20210420\plaque 2/@08 Arabinose 10mg_L Dopé/E8_01.tif </t>
  </si>
  <si>
    <t xml:space="preserve"> 40361.3834 </t>
  </si>
  <si>
    <t xml:space="preserve"> 71.0638 </t>
  </si>
  <si>
    <t xml:space="preserve">F:\images\20210420\plaque 2/@08 Arabinose 10mg_L Dopé/E8_02.tif </t>
  </si>
  <si>
    <t xml:space="preserve"> 70.9239 </t>
  </si>
  <si>
    <t xml:space="preserve">F:\images\20210420\plaque 2/@08 Arabinose 10mg_L Dopé/E8_03.tif </t>
  </si>
  <si>
    <t xml:space="preserve"> 36684.3013 </t>
  </si>
  <si>
    <t xml:space="preserve"> 71.1887 </t>
  </si>
  <si>
    <t xml:space="preserve">F:\images\20210420\plaque 2/@08 Arabinose 10mg_L Dopé/F8_01.tif </t>
  </si>
  <si>
    <t xml:space="preserve"> 44341.284 </t>
  </si>
  <si>
    <t xml:space="preserve"> 70.7302 </t>
  </si>
  <si>
    <t xml:space="preserve">F:\images\20210420\plaque 2/@08 Arabinose 10mg_L Dopé/F8_02.tif </t>
  </si>
  <si>
    <t xml:space="preserve"> 40837.2411 </t>
  </si>
  <si>
    <t xml:space="preserve"> 69.3522 </t>
  </si>
  <si>
    <t xml:space="preserve">F:\images\20210420\plaque 2/@08 Arabinose 10mg_L Dopé/F8_03.tif </t>
  </si>
  <si>
    <t xml:space="preserve"> 39625.967 </t>
  </si>
  <si>
    <t xml:space="preserve"> 70.8783 </t>
  </si>
  <si>
    <t xml:space="preserve">F:\images\20210420\plaque 2/@08 Arabinose 10mg_L Dopé/G8_01.tif </t>
  </si>
  <si>
    <t xml:space="preserve"> 44124.985 </t>
  </si>
  <si>
    <t xml:space="preserve"> 69.7912 </t>
  </si>
  <si>
    <t xml:space="preserve">F:\images\20210420\plaque 2/@08 Arabinose 10mg_L Dopé/G8_02.tif </t>
  </si>
  <si>
    <t xml:space="preserve"> 35797.4756 </t>
  </si>
  <si>
    <t xml:space="preserve"> 68.4453 </t>
  </si>
  <si>
    <t xml:space="preserve">F:\images\20210420\plaque 2/@08 Arabinose 10mg_L Dopé/G8_03.tif </t>
  </si>
  <si>
    <t xml:space="preserve"> 37268.3084 </t>
  </si>
  <si>
    <t xml:space="preserve"> 68.4869 </t>
  </si>
  <si>
    <t xml:space="preserve">F:\images\20210420\plaque 2/@08 Arabinose 10mg_L Dopé/H8_01.tif </t>
  </si>
  <si>
    <t xml:space="preserve"> 34088.7139 </t>
  </si>
  <si>
    <t xml:space="preserve"> 71.6942 </t>
  </si>
  <si>
    <t xml:space="preserve">F:\images\20210420\plaque 2/@08 Arabinose 10mg_L Dopé/H8_02.tif </t>
  </si>
  <si>
    <t xml:space="preserve"> 26972.4786 </t>
  </si>
  <si>
    <t xml:space="preserve"> 70.9791 </t>
  </si>
  <si>
    <t xml:space="preserve">F:\images\20210420\plaque 2/@08 Arabinose 10mg_L Dopé/H8_03.tif </t>
  </si>
  <si>
    <t xml:space="preserve"> 30476.5215 </t>
  </si>
  <si>
    <t xml:space="preserve"> 71.1867 </t>
  </si>
  <si>
    <t xml:space="preserve">F:\images\20210420\plaque 2/@08 Arabinose 10mg_L Dopé/ </t>
  </si>
  <si>
    <t xml:space="preserve"> 69.2531 </t>
  </si>
  <si>
    <t xml:space="preserve"> 2.8253 </t>
  </si>
  <si>
    <t xml:space="preserve"> 2374960.75 </t>
  </si>
  <si>
    <t xml:space="preserve"> 1100673.72 </t>
  </si>
  <si>
    <t xml:space="preserve">F:\images\20210420\plaque 2/@09 Arabinose 100 mg_L Dopé/A9_01.tif </t>
  </si>
  <si>
    <t xml:space="preserve"> 44406.1737 </t>
  </si>
  <si>
    <t xml:space="preserve"> 71.3794 </t>
  </si>
  <si>
    <t xml:space="preserve">F:\images\20210420\plaque 2/@09 Arabinose 100 mg_L Dopé/A9_02.tif </t>
  </si>
  <si>
    <t xml:space="preserve"> 37354.828 </t>
  </si>
  <si>
    <t xml:space="preserve"> 67.8691 </t>
  </si>
  <si>
    <t xml:space="preserve">F:\images\20210420\plaque 2/@09 Arabinose 100 mg_L Dopé/A9_03.tif </t>
  </si>
  <si>
    <t xml:space="preserve"> 42394.5935 </t>
  </si>
  <si>
    <t xml:space="preserve"> 69.8143 </t>
  </si>
  <si>
    <t xml:space="preserve">F:\images\20210420\plaque 2/@09 Arabinose 100 mg_L Dopé/B9_01.tif </t>
  </si>
  <si>
    <t xml:space="preserve"> 35429.7674 </t>
  </si>
  <si>
    <t xml:space="preserve"> 70.0775 </t>
  </si>
  <si>
    <t xml:space="preserve">F:\images\20210420\plaque 2/@09 Arabinose 100 mg_L Dopé/B9_02.tif </t>
  </si>
  <si>
    <t xml:space="preserve"> 35581.1767 </t>
  </si>
  <si>
    <t xml:space="preserve"> 71.5246 </t>
  </si>
  <si>
    <t xml:space="preserve">F:\images\20210420\plaque 2/@09 Arabinose 100 mg_L Dopé/B9_03.tif </t>
  </si>
  <si>
    <t xml:space="preserve"> 31428.2369 </t>
  </si>
  <si>
    <t xml:space="preserve"> 72.137 </t>
  </si>
  <si>
    <t xml:space="preserve">F:\images\20210420\plaque 2/@09 Arabinose 100 mg_L Dopé/C9_01.tif </t>
  </si>
  <si>
    <t xml:space="preserve"> 49056.601 </t>
  </si>
  <si>
    <t xml:space="preserve"> 70.3179 </t>
  </si>
  <si>
    <t xml:space="preserve">F:\images\20210420\plaque 2/@09 Arabinose 100 mg_L Dopé/C9_02.tif </t>
  </si>
  <si>
    <t xml:space="preserve"> 47996.7362 </t>
  </si>
  <si>
    <t xml:space="preserve"> 69.639 </t>
  </si>
  <si>
    <t xml:space="preserve">F:\images\20210420\plaque 2/@09 Arabinose 100 mg_L Dopé/C9_03.tif </t>
  </si>
  <si>
    <t xml:space="preserve"> 40318.1236 </t>
  </si>
  <si>
    <t xml:space="preserve"> 68.9995 </t>
  </si>
  <si>
    <t xml:space="preserve">F:\images\20210420\plaque 2/@09 Arabinose 100 mg_L Dopé/D9_01.tif </t>
  </si>
  <si>
    <t xml:space="preserve"> 24658.0799 </t>
  </si>
  <si>
    <t xml:space="preserve"> 69.0658 </t>
  </si>
  <si>
    <t xml:space="preserve">F:\images\20210420\plaque 2/@09 Arabinose 100 mg_L Dopé/D9_02.tif </t>
  </si>
  <si>
    <t xml:space="preserve"> 18926.1578 </t>
  </si>
  <si>
    <t xml:space="preserve"> 68.0377 </t>
  </si>
  <si>
    <t xml:space="preserve">F:\images\20210420\plaque 2/@09 Arabinose 100 mg_L Dopé/D9_03.tif </t>
  </si>
  <si>
    <t xml:space="preserve"> 21932.7132 </t>
  </si>
  <si>
    <t xml:space="preserve"> 68.3895 </t>
  </si>
  <si>
    <t xml:space="preserve">F:\images\20210420\plaque 2/@09 Arabinose 100 mg_L Dopé/E9_01.tif </t>
  </si>
  <si>
    <t xml:space="preserve"> 72.4154 </t>
  </si>
  <si>
    <t xml:space="preserve">F:\images\20210420\plaque 2/@09 Arabinose 100 mg_L Dopé/E9_02.tif </t>
  </si>
  <si>
    <t xml:space="preserve"> 9365.7444 </t>
  </si>
  <si>
    <t xml:space="preserve"> 76.7552 </t>
  </si>
  <si>
    <t>F:\images\20210420\plaque 2/@09 Arabinose 100 mg_L Dopé/E9_03- exclu.tif</t>
  </si>
  <si>
    <t xml:space="preserve">F:\images\20210420\plaque 2/@09 Arabinose 100 mg_L Dopé/F9_01.tif </t>
  </si>
  <si>
    <t xml:space="preserve"> 32942.3295 </t>
  </si>
  <si>
    <t xml:space="preserve"> 68.5364 </t>
  </si>
  <si>
    <t xml:space="preserve">F:\images\20210420\plaque 2/@09 Arabinose 100 mg_L Dopé/F9_02.tif </t>
  </si>
  <si>
    <t xml:space="preserve"> 30087.1834 </t>
  </si>
  <si>
    <t xml:space="preserve"> 68.3595 </t>
  </si>
  <si>
    <t xml:space="preserve">F:\images\20210420\plaque 2/@09 Arabinose 100 mg_L Dopé/F9_03.tif </t>
  </si>
  <si>
    <t xml:space="preserve"> 67.329 </t>
  </si>
  <si>
    <t xml:space="preserve">F:\images\20210420\plaque 2/@09 Arabinose 100 mg_L Dopé/G9_01.tif </t>
  </si>
  <si>
    <t xml:space="preserve"> 44687.3623 </t>
  </si>
  <si>
    <t xml:space="preserve"> 70.7807 </t>
  </si>
  <si>
    <t xml:space="preserve">F:\images\20210420\plaque 2/@09 Arabinose 100 mg_L Dopé/G9_02.tif </t>
  </si>
  <si>
    <t xml:space="preserve"> 33310.0377 </t>
  </si>
  <si>
    <t xml:space="preserve"> 69.6571 </t>
  </si>
  <si>
    <t xml:space="preserve">F:\images\20210420\plaque 2/@09 Arabinose 100 mg_L Dopé/G9_03.tif </t>
  </si>
  <si>
    <t xml:space="preserve"> 38501.2124 </t>
  </si>
  <si>
    <t xml:space="preserve"> 70.5191 </t>
  </si>
  <si>
    <t xml:space="preserve">F:\images\20210420\plaque 2/@09 Arabinose 100 mg_L Dopé/H9_01.tif </t>
  </si>
  <si>
    <t xml:space="preserve"> 68.507 </t>
  </si>
  <si>
    <t xml:space="preserve">F:\images\20210420\plaque 2/@09 Arabinose 100 mg_L Dopé/H9_02.tif </t>
  </si>
  <si>
    <t xml:space="preserve"> 30800.97 </t>
  </si>
  <si>
    <t xml:space="preserve"> 68.8062 </t>
  </si>
  <si>
    <t xml:space="preserve">F:\images\20210420\plaque 2/@09 Arabinose 100 mg_L Dopé/H9_03.tif </t>
  </si>
  <si>
    <t xml:space="preserve"> 31709.4255 </t>
  </si>
  <si>
    <t xml:space="preserve"> 69.839 </t>
  </si>
  <si>
    <t xml:space="preserve">F:\images\20210420\plaque 2/@09 Arabinose 100 mg_L Dopé/ </t>
  </si>
  <si>
    <t xml:space="preserve"> 70.1071 </t>
  </si>
  <si>
    <t xml:space="preserve"> 2.1297 </t>
  </si>
  <si>
    <t xml:space="preserve"> 2205442.62 </t>
  </si>
  <si>
    <t xml:space="preserve"> 825830.083 </t>
  </si>
  <si>
    <t>01 Evian + 0.2% DMSO</t>
  </si>
  <si>
    <t>02 EE2 33.8</t>
  </si>
  <si>
    <t>03 EE2 50.6</t>
  </si>
  <si>
    <t>06 EE2 170.9</t>
  </si>
  <si>
    <t>08 Arabinose 0.01mg_L</t>
  </si>
  <si>
    <t>09 Arabinose 0.1mg_L</t>
  </si>
  <si>
    <t>10 Arabinose 1mg_L</t>
  </si>
  <si>
    <t>11 Arabinose 10mg_L</t>
  </si>
  <si>
    <t>12 Arabinose 100mg_L</t>
  </si>
  <si>
    <t>01 Testo 30</t>
  </si>
  <si>
    <t>02 Testo 30</t>
  </si>
  <si>
    <t>03 Testo+ EE2 64</t>
  </si>
  <si>
    <t>04 Testo+ FAD</t>
  </si>
  <si>
    <t>05 Arabinose 0.01mg_L Dopé</t>
  </si>
  <si>
    <t>06 Dutastéride 0.1mg_L Dopé</t>
  </si>
  <si>
    <t>07  Arabinose 1mg_L Dopé</t>
  </si>
  <si>
    <t>08 Arabinose 10mg_L Dopé</t>
  </si>
  <si>
    <t>09 Arabinose 100 mg_L Dopé</t>
  </si>
  <si>
    <t xml:space="preserve">Q:\R&amp;D\2-Test oestrogénique\OECD and AOPs\REACTIV oecd interlaboratory validation\Results WF\Repeats for invalid experiments - EBO\2022-EBO-ARABINOSE R5\plaque 1/@01 TS/A1_01.tif </t>
  </si>
  <si>
    <t xml:space="preserve"> 66.2545 </t>
  </si>
  <si>
    <t xml:space="preserve">Q:\R&amp;D\2-Test oestrogénique\OECD and AOPs\REACTIV oecd interlaboratory validation\Results WF\Repeats for invalid experiments - EBO\2022-EBO-ARABINOSE R5\plaque 1/@01 TS/A1_02.tif </t>
  </si>
  <si>
    <t xml:space="preserve"> 67.6765 </t>
  </si>
  <si>
    <t>Q:\R&amp;D\2-Test oestrogénique\OECD and AOPs\REACTIV oecd interlaboratory validation\Results WF\Repeats for invalid experiments - EBO\2022-EBO-ARABINOSE R5\plaque 1/@01 TS/A1_03- exclu.tif</t>
  </si>
  <si>
    <t xml:space="preserve">Q:\R&amp;D\2-Test oestrogénique\OECD and AOPs\REACTIV oecd interlaboratory validation\Results WF\Repeats for invalid experiments - EBO\2022-EBO-ARABINOSE R5\plaque 1/@01 TS/B1_01.tif </t>
  </si>
  <si>
    <t xml:space="preserve"> 66.25 </t>
  </si>
  <si>
    <t xml:space="preserve">Q:\R&amp;D\2-Test oestrogénique\OECD and AOPs\REACTIV oecd interlaboratory validation\Results WF\Repeats for invalid experiments - EBO\2022-EBO-ARABINOSE R5\plaque 1/@01 TS/B1_02.tif </t>
  </si>
  <si>
    <t xml:space="preserve"> 62.9655 </t>
  </si>
  <si>
    <t xml:space="preserve">Q:\R&amp;D\2-Test oestrogénique\OECD and AOPs\REACTIV oecd interlaboratory validation\Results WF\Repeats for invalid experiments - EBO\2022-EBO-ARABINOSE R5\plaque 1/@01 TS/B1_03.tif </t>
  </si>
  <si>
    <t xml:space="preserve"> 2740.9731 </t>
  </si>
  <si>
    <t xml:space="preserve"> 65.1111 </t>
  </si>
  <si>
    <t xml:space="preserve">Q:\R&amp;D\2-Test oestrogénique\OECD and AOPs\REACTIV oecd interlaboratory validation\Results WF\Repeats for invalid experiments - EBO\2022-EBO-ARABINOSE R5\plaque 1/@01 TS/C1_01.tif </t>
  </si>
  <si>
    <t xml:space="preserve"> 4785.8261 </t>
  </si>
  <si>
    <t xml:space="preserve"> 71.9727 </t>
  </si>
  <si>
    <t xml:space="preserve">Q:\R&amp;D\2-Test oestrogénique\OECD and AOPs\REACTIV oecd interlaboratory validation\Results WF\Repeats for invalid experiments - EBO\2022-EBO-ARABINOSE R5\plaque 1/@01 TS/C1_02.tif </t>
  </si>
  <si>
    <t xml:space="preserve"> 68.36 </t>
  </si>
  <si>
    <t>Q:\R&amp;D\2-Test oestrogénique\OECD and AOPs\REACTIV oecd interlaboratory validation\Results WF\Repeats for invalid experiments - EBO\2022-EBO-ARABINOSE R5\plaque 1/@01 TS/C1_03- exclu.tif</t>
  </si>
  <si>
    <t xml:space="preserve">Q:\R&amp;D\2-Test oestrogénique\OECD and AOPs\REACTIV oecd interlaboratory validation\Results WF\Repeats for invalid experiments - EBO\2022-EBO-ARABINOSE R5\plaque 1/@01 TS/D1_01.tif </t>
  </si>
  <si>
    <t xml:space="preserve"> 69.1064 </t>
  </si>
  <si>
    <t xml:space="preserve">Q:\R&amp;D\2-Test oestrogénique\OECD and AOPs\REACTIV oecd interlaboratory validation\Results WF\Repeats for invalid experiments - EBO\2022-EBO-ARABINOSE R5\plaque 1/@01 TS/D1_02.tif </t>
  </si>
  <si>
    <t xml:space="preserve"> 62.3684 </t>
  </si>
  <si>
    <t xml:space="preserve">Q:\R&amp;D\2-Test oestrogénique\OECD and AOPs\REACTIV oecd interlaboratory validation\Results WF\Repeats for invalid experiments - EBO\2022-EBO-ARABINOSE R5\plaque 1/@01 TS/D1_03.tif </t>
  </si>
  <si>
    <t xml:space="preserve"> 65.6383 </t>
  </si>
  <si>
    <t xml:space="preserve">Q:\R&amp;D\2-Test oestrogénique\OECD and AOPs\REACTIV oecd interlaboratory validation\Results WF\Repeats for invalid experiments - EBO\2022-EBO-ARABINOSE R5\plaque 1/@01 TS/E1_01.tif </t>
  </si>
  <si>
    <t xml:space="preserve"> 62.9649 </t>
  </si>
  <si>
    <t xml:space="preserve">Q:\R&amp;D\2-Test oestrogénique\OECD and AOPs\REACTIV oecd interlaboratory validation\Results WF\Repeats for invalid experiments - EBO\2022-EBO-ARABINOSE R5\plaque 1/@01 TS/E1_02.tif </t>
  </si>
  <si>
    <t xml:space="preserve"> 2980.2644 </t>
  </si>
  <si>
    <t xml:space="preserve"> 67.708 </t>
  </si>
  <si>
    <t xml:space="preserve">Q:\R&amp;D\2-Test oestrogénique\OECD and AOPs\REACTIV oecd interlaboratory validation\Results WF\Repeats for invalid experiments - EBO\2022-EBO-ARABINOSE R5\plaque 1/@01 TS/E1_03.tif </t>
  </si>
  <si>
    <t>Q:\R&amp;D\2-Test oestrogénique\OECD and AOPs\REACTIV oecd interlaboratory validation\Results WF\Repeats for invalid experiments - EBO\2022-EBO-ARABINOSE R5\plaque 1/@01 TS/F1_01- exclu.tif</t>
  </si>
  <si>
    <t>Q:\R&amp;D\2-Test oestrogénique\OECD and AOPs\REACTIV oecd interlaboratory validation\Results WF\Repeats for invalid experiments - EBO\2022-EBO-ARABINOSE R5\plaque 1/@01 TS/F1_02- exclu.tif</t>
  </si>
  <si>
    <t>Q:\R&amp;D\2-Test oestrogénique\OECD and AOPs\REACTIV oecd interlaboratory validation\Results WF\Repeats for invalid experiments - EBO\2022-EBO-ARABINOSE R5\plaque 1/@01 TS/F1_03- exclu.tif</t>
  </si>
  <si>
    <t xml:space="preserve">Q:\R&amp;D\2-Test oestrogénique\OECD and AOPs\REACTIV oecd interlaboratory validation\Results WF\Repeats for invalid experiments - EBO\2022-EBO-ARABINOSE R5\plaque 1/@01 TS/G1_01.tif </t>
  </si>
  <si>
    <t xml:space="preserve"> 2240.6368 </t>
  </si>
  <si>
    <t xml:space="preserve"> 65.2136 </t>
  </si>
  <si>
    <t xml:space="preserve">Q:\R&amp;D\2-Test oestrogénique\OECD and AOPs\REACTIV oecd interlaboratory validation\Results WF\Repeats for invalid experiments - EBO\2022-EBO-ARABINOSE R5\plaque 1/@01 TS/G1_02.tif </t>
  </si>
  <si>
    <t xml:space="preserve"> 65.3889 </t>
  </si>
  <si>
    <t>Q:\R&amp;D\2-Test oestrogénique\OECD and AOPs\REACTIV oecd interlaboratory validation\Results WF\Repeats for invalid experiments - EBO\2022-EBO-ARABINOSE R5\plaque 1/@01 TS/G1_03- exclu.tif</t>
  </si>
  <si>
    <t>Q:\R&amp;D\2-Test oestrogénique\OECD and AOPs\REACTIV oecd interlaboratory validation\Results WF\Repeats for invalid experiments - EBO\2022-EBO-ARABINOSE R5\plaque 1/@01 TS/H1_01- exclu.tif</t>
  </si>
  <si>
    <t xml:space="preserve">Q:\R&amp;D\2-Test oestrogénique\OECD and AOPs\REACTIV oecd interlaboratory validation\Results WF\Repeats for invalid experiments - EBO\2022-EBO-ARABINOSE R5\plaque 1/@01 TS/H1_02.tif </t>
  </si>
  <si>
    <t xml:space="preserve"> 63.1667 </t>
  </si>
  <si>
    <t xml:space="preserve">Q:\R&amp;D\2-Test oestrogénique\OECD and AOPs\REACTIV oecd interlaboratory validation\Results WF\Repeats for invalid experiments - EBO\2022-EBO-ARABINOSE R5\plaque 1/@01 TS/H1_03.tif </t>
  </si>
  <si>
    <t xml:space="preserve"> 64.5556 </t>
  </si>
  <si>
    <t xml:space="preserve">Q:\R&amp;D\2-Test oestrogénique\OECD and AOPs\REACTIV oecd interlaboratory validation\Results WF\Repeats for invalid experiments - EBO\2022-EBO-ARABINOSE R5\plaque 1/@01 TS/ </t>
  </si>
  <si>
    <t xml:space="preserve"> 65.1175 </t>
  </si>
  <si>
    <t xml:space="preserve"> 2.4886 </t>
  </si>
  <si>
    <t xml:space="preserve"> 101425.042 </t>
  </si>
  <si>
    <t xml:space="preserve"> 105755.932 </t>
  </si>
  <si>
    <t xml:space="preserve">Q:\R&amp;D\2-Test oestrogénique\OECD and AOPs\REACTIV oecd interlaboratory validation\Results WF\Repeats for invalid experiments - EBO\2022-EBO-ARABINOSE R5\plaque 1/@02 EE2 34/A2_01.tif </t>
  </si>
  <si>
    <t xml:space="preserve"> 4720.5648 </t>
  </si>
  <si>
    <t xml:space="preserve"> 67.0645 </t>
  </si>
  <si>
    <t xml:space="preserve">Q:\R&amp;D\2-Test oestrogénique\OECD and AOPs\REACTIV oecd interlaboratory validation\Results WF\Repeats for invalid experiments - EBO\2022-EBO-ARABINOSE R5\plaque 1/@02 EE2 34/A2_02.tif </t>
  </si>
  <si>
    <t xml:space="preserve"> 62.875 </t>
  </si>
  <si>
    <t>Q:\R&amp;D\2-Test oestrogénique\OECD and AOPs\REACTIV oecd interlaboratory validation\Results WF\Repeats for invalid experiments - EBO\2022-EBO-ARABINOSE R5\plaque 1/@02 EE2 34/A2_03- exclu.tif</t>
  </si>
  <si>
    <t xml:space="preserve">Q:\R&amp;D\2-Test oestrogénique\OECD and AOPs\REACTIV oecd interlaboratory validation\Results WF\Repeats for invalid experiments - EBO\2022-EBO-ARABINOSE R5\plaque 1/@02 EE2 34/B2_01.tif </t>
  </si>
  <si>
    <t xml:space="preserve"> 63.3415 </t>
  </si>
  <si>
    <t>Q:\R&amp;D\2-Test oestrogénique\OECD and AOPs\REACTIV oecd interlaboratory validation\Results WF\Repeats for invalid experiments - EBO\2022-EBO-ARABINOSE R5\plaque 1/@02 EE2 34/B2_02- exclu.tif</t>
  </si>
  <si>
    <t xml:space="preserve">Q:\R&amp;D\2-Test oestrogénique\OECD and AOPs\REACTIV oecd interlaboratory validation\Results WF\Repeats for invalid experiments - EBO\2022-EBO-ARABINOSE R5\plaque 1/@02 EE2 34/B2_03.tif </t>
  </si>
  <si>
    <t xml:space="preserve"> 63.6571 </t>
  </si>
  <si>
    <t xml:space="preserve">Q:\R&amp;D\2-Test oestrogénique\OECD and AOPs\REACTIV oecd interlaboratory validation\Results WF\Repeats for invalid experiments - EBO\2022-EBO-ARABINOSE R5\plaque 1/@02 EE2 34/C2_01.tif </t>
  </si>
  <si>
    <t xml:space="preserve"> 8396.9494 </t>
  </si>
  <si>
    <t xml:space="preserve"> 72.2668 </t>
  </si>
  <si>
    <t>Q:\R&amp;D\2-Test oestrogénique\OECD and AOPs\REACTIV oecd interlaboratory validation\Results WF\Repeats for invalid experiments - EBO\2022-EBO-ARABINOSE R5\plaque 1/@02 EE2 34/C2_02- exclu.tif</t>
  </si>
  <si>
    <t xml:space="preserve">Q:\R&amp;D\2-Test oestrogénique\OECD and AOPs\REACTIV oecd interlaboratory validation\Results WF\Repeats for invalid experiments - EBO\2022-EBO-ARABINOSE R5\plaque 1/@02 EE2 34/C2_03.tif </t>
  </si>
  <si>
    <t xml:space="preserve"> 6330.3427 </t>
  </si>
  <si>
    <t xml:space="preserve"> 70.0619 </t>
  </si>
  <si>
    <t xml:space="preserve">Q:\R&amp;D\2-Test oestrogénique\OECD and AOPs\REACTIV oecd interlaboratory validation\Results WF\Repeats for invalid experiments - EBO\2022-EBO-ARABINOSE R5\plaque 1/@02 EE2 34/D2_01.tif </t>
  </si>
  <si>
    <t xml:space="preserve"> 67.6407 </t>
  </si>
  <si>
    <t xml:space="preserve">Q:\R&amp;D\2-Test oestrogénique\OECD and AOPs\REACTIV oecd interlaboratory validation\Results WF\Repeats for invalid experiments - EBO\2022-EBO-ARABINOSE R5\plaque 1/@02 EE2 34/D2_02.tif </t>
  </si>
  <si>
    <t xml:space="preserve"> 63.9091 </t>
  </si>
  <si>
    <t xml:space="preserve">Q:\R&amp;D\2-Test oestrogénique\OECD and AOPs\REACTIV oecd interlaboratory validation\Results WF\Repeats for invalid experiments - EBO\2022-EBO-ARABINOSE R5\plaque 1/@02 EE2 34/D2_03.tif </t>
  </si>
  <si>
    <t xml:space="preserve"> 63.9412 </t>
  </si>
  <si>
    <t xml:space="preserve">Q:\R&amp;D\2-Test oestrogénique\OECD and AOPs\REACTIV oecd interlaboratory validation\Results WF\Repeats for invalid experiments - EBO\2022-EBO-ARABINOSE R5\plaque 1/@02 EE2 34/E2_01.tif </t>
  </si>
  <si>
    <t xml:space="preserve"> 69.2143 </t>
  </si>
  <si>
    <t>Q:\R&amp;D\2-Test oestrogénique\OECD and AOPs\REACTIV oecd interlaboratory validation\Results WF\Repeats for invalid experiments - EBO\2022-EBO-ARABINOSE R5\plaque 1/@02 EE2 34/E2_02- exclu.tif</t>
  </si>
  <si>
    <t>Q:\R&amp;D\2-Test oestrogénique\OECD and AOPs\REACTIV oecd interlaboratory validation\Results WF\Repeats for invalid experiments - EBO\2022-EBO-ARABINOSE R5\plaque 1/@02 EE2 34/E2_03- exclu.tif</t>
  </si>
  <si>
    <t>Q:\R&amp;D\2-Test oestrogénique\OECD and AOPs\REACTIV oecd interlaboratory validation\Results WF\Repeats for invalid experiments - EBO\2022-EBO-ARABINOSE R5\plaque 1/@02 EE2 34/F2_01- exclu.tif</t>
  </si>
  <si>
    <t xml:space="preserve">Q:\R&amp;D\2-Test oestrogénique\OECD and AOPs\REACTIV oecd interlaboratory validation\Results WF\Repeats for invalid experiments - EBO\2022-EBO-ARABINOSE R5\plaque 1/@02 EE2 34/F2_02.tif </t>
  </si>
  <si>
    <t xml:space="preserve"> 587.3514 </t>
  </si>
  <si>
    <t xml:space="preserve"> 63.2593 </t>
  </si>
  <si>
    <t xml:space="preserve">Q:\R&amp;D\2-Test oestrogénique\OECD and AOPs\REACTIV oecd interlaboratory validation\Results WF\Repeats for invalid experiments - EBO\2022-EBO-ARABINOSE R5\plaque 1/@02 EE2 34/F2_03.tif </t>
  </si>
  <si>
    <t xml:space="preserve"> 63.1765 </t>
  </si>
  <si>
    <t xml:space="preserve">Q:\R&amp;D\2-Test oestrogénique\OECD and AOPs\REACTIV oecd interlaboratory validation\Results WF\Repeats for invalid experiments - EBO\2022-EBO-ARABINOSE R5\plaque 1/@02 EE2 34/G2_01.tif </t>
  </si>
  <si>
    <t xml:space="preserve"> 63.1429 </t>
  </si>
  <si>
    <t xml:space="preserve">Q:\R&amp;D\2-Test oestrogénique\OECD and AOPs\REACTIV oecd interlaboratory validation\Results WF\Repeats for invalid experiments - EBO\2022-EBO-ARABINOSE R5\plaque 1/@02 EE2 34/G2_02.tif </t>
  </si>
  <si>
    <t xml:space="preserve"> 65.0119 </t>
  </si>
  <si>
    <t xml:space="preserve">Q:\R&amp;D\2-Test oestrogénique\OECD and AOPs\REACTIV oecd interlaboratory validation\Results WF\Repeats for invalid experiments - EBO\2022-EBO-ARABINOSE R5\plaque 1/@02 EE2 34/G2_03.tif </t>
  </si>
  <si>
    <t xml:space="preserve"> 65.0309 </t>
  </si>
  <si>
    <t xml:space="preserve">Q:\R&amp;D\2-Test oestrogénique\OECD and AOPs\REACTIV oecd interlaboratory validation\Results WF\Repeats for invalid experiments - EBO\2022-EBO-ARABINOSE R5\plaque 1/@02 EE2 34/H2_01.tif </t>
  </si>
  <si>
    <t xml:space="preserve"> 65.7143 </t>
  </si>
  <si>
    <t xml:space="preserve">Q:\R&amp;D\2-Test oestrogénique\OECD and AOPs\REACTIV oecd interlaboratory validation\Results WF\Repeats for invalid experiments - EBO\2022-EBO-ARABINOSE R5\plaque 1/@02 EE2 34/H2_02.tif </t>
  </si>
  <si>
    <t xml:space="preserve">Q:\R&amp;D\2-Test oestrogénique\OECD and AOPs\REACTIV oecd interlaboratory validation\Results WF\Repeats for invalid experiments - EBO\2022-EBO-ARABINOSE R5\plaque 1/@02 EE2 34/H2_03.tif </t>
  </si>
  <si>
    <t xml:space="preserve"> 64.9091 </t>
  </si>
  <si>
    <t xml:space="preserve">Q:\R&amp;D\2-Test oestrogénique\OECD and AOPs\REACTIV oecd interlaboratory validation\Results WF\Repeats for invalid experiments - EBO\2022-EBO-ARABINOSE R5\plaque 1/@02 EE2 34/ </t>
  </si>
  <si>
    <t xml:space="preserve"> 65.1686 </t>
  </si>
  <si>
    <t xml:space="preserve"> 2.4992 </t>
  </si>
  <si>
    <t xml:space="preserve"> 94688.5833 </t>
  </si>
  <si>
    <t xml:space="preserve"> 155570.934 </t>
  </si>
  <si>
    <t>Q:\R&amp;D\2-Test oestrogénique\OECD and AOPs\REACTIV oecd interlaboratory validation\Results WF\Repeats for invalid experiments - EBO\2022-EBO-ARABINOSE R5\plaque 1/@03 EE2 51/A3_01- exclu.tif</t>
  </si>
  <si>
    <t>Q:\R&amp;D\2-Test oestrogénique\OECD and AOPs\REACTIV oecd interlaboratory validation\Results WF\Repeats for invalid experiments - EBO\2022-EBO-ARABINOSE R5\plaque 1/@03 EE2 51/A3_02- exclu.tif</t>
  </si>
  <si>
    <t>Q:\R&amp;D\2-Test oestrogénique\OECD and AOPs\REACTIV oecd interlaboratory validation\Results WF\Repeats for invalid experiments - EBO\2022-EBO-ARABINOSE R5\plaque 1/@03 EE2 51/A3_03- exclu.tif</t>
  </si>
  <si>
    <t>Q:\R&amp;D\2-Test oestrogénique\OECD and AOPs\REACTIV oecd interlaboratory validation\Results WF\Repeats for invalid experiments - EBO\2022-EBO-ARABINOSE R5\plaque 1/@03 EE2 51/B3_01- exclu.tif</t>
  </si>
  <si>
    <t>Q:\R&amp;D\2-Test oestrogénique\OECD and AOPs\REACTIV oecd interlaboratory validation\Results WF\Repeats for invalid experiments - EBO\2022-EBO-ARABINOSE R5\plaque 1/@03 EE2 51/B3_02- exclu.tif</t>
  </si>
  <si>
    <t xml:space="preserve">Q:\R&amp;D\2-Test oestrogénique\OECD and AOPs\REACTIV oecd interlaboratory validation\Results WF\Repeats for invalid experiments - EBO\2022-EBO-ARABINOSE R5\plaque 1/@03 EE2 51/B3_03.tif </t>
  </si>
  <si>
    <t xml:space="preserve"> 64.168 </t>
  </si>
  <si>
    <t xml:space="preserve">Q:\R&amp;D\2-Test oestrogénique\OECD and AOPs\REACTIV oecd interlaboratory validation\Results WF\Repeats for invalid experiments - EBO\2022-EBO-ARABINOSE R5\plaque 1/@03 EE2 51/C3_01.tif </t>
  </si>
  <si>
    <t xml:space="preserve"> 65.8 </t>
  </si>
  <si>
    <t xml:space="preserve">Q:\R&amp;D\2-Test oestrogénique\OECD and AOPs\REACTIV oecd interlaboratory validation\Results WF\Repeats for invalid experiments - EBO\2022-EBO-ARABINOSE R5\plaque 1/@03 EE2 51/C3_02.tif </t>
  </si>
  <si>
    <t xml:space="preserve"> 63.8824 </t>
  </si>
  <si>
    <t>Q:\R&amp;D\2-Test oestrogénique\OECD and AOPs\REACTIV oecd interlaboratory validation\Results WF\Repeats for invalid experiments - EBO\2022-EBO-ARABINOSE R5\plaque 1/@03 EE2 51/C3_03- exclu.tif</t>
  </si>
  <si>
    <t xml:space="preserve">Q:\R&amp;D\2-Test oestrogénique\OECD and AOPs\REACTIV oecd interlaboratory validation\Results WF\Repeats for invalid experiments - EBO\2022-EBO-ARABINOSE R5\plaque 1/@03 EE2 51/D3_01.tif </t>
  </si>
  <si>
    <t xml:space="preserve">Q:\R&amp;D\2-Test oestrogénique\OECD and AOPs\REACTIV oecd interlaboratory validation\Results WF\Repeats for invalid experiments - EBO\2022-EBO-ARABINOSE R5\plaque 1/@03 EE2 51/D3_02.tif </t>
  </si>
  <si>
    <t xml:space="preserve"> 64.9167 </t>
  </si>
  <si>
    <t xml:space="preserve">Q:\R&amp;D\2-Test oestrogénique\OECD and AOPs\REACTIV oecd interlaboratory validation\Results WF\Repeats for invalid experiments - EBO\2022-EBO-ARABINOSE R5\plaque 1/@03 EE2 51/D3_03.tif </t>
  </si>
  <si>
    <t>Q:\R&amp;D\2-Test oestrogénique\OECD and AOPs\REACTIV oecd interlaboratory validation\Results WF\Repeats for invalid experiments - EBO\2022-EBO-ARABINOSE R5\plaque 1/@03 EE2 51/E3_01- exclu.tif</t>
  </si>
  <si>
    <t xml:space="preserve">Q:\R&amp;D\2-Test oestrogénique\OECD and AOPs\REACTIV oecd interlaboratory validation\Results WF\Repeats for invalid experiments - EBO\2022-EBO-ARABINOSE R5\plaque 1/@03 EE2 51/E3_02.tif </t>
  </si>
  <si>
    <t xml:space="preserve"> 2262.3905 </t>
  </si>
  <si>
    <t>Q:\R&amp;D\2-Test oestrogénique\OECD and AOPs\REACTIV oecd interlaboratory validation\Results WF\Repeats for invalid experiments - EBO\2022-EBO-ARABINOSE R5\plaque 1/@03 EE2 51/E3_03- exclu.tif</t>
  </si>
  <si>
    <t>Q:\R&amp;D\2-Test oestrogénique\OECD and AOPs\REACTIV oecd interlaboratory validation\Results WF\Repeats for invalid experiments - EBO\2022-EBO-ARABINOSE R5\plaque 1/@03 EE2 51/F3_01- exclu.tif</t>
  </si>
  <si>
    <t xml:space="preserve">Q:\R&amp;D\2-Test oestrogénique\OECD and AOPs\REACTIV oecd interlaboratory validation\Results WF\Repeats for invalid experiments - EBO\2022-EBO-ARABINOSE R5\plaque 1/@03 EE2 51/F3_02.tif </t>
  </si>
  <si>
    <t xml:space="preserve"> 62.6 </t>
  </si>
  <si>
    <t xml:space="preserve">Q:\R&amp;D\2-Test oestrogénique\OECD and AOPs\REACTIV oecd interlaboratory validation\Results WF\Repeats for invalid experiments - EBO\2022-EBO-ARABINOSE R5\plaque 1/@03 EE2 51/F3_03.tif </t>
  </si>
  <si>
    <t xml:space="preserve"> 62.7 </t>
  </si>
  <si>
    <t xml:space="preserve">Q:\R&amp;D\2-Test oestrogénique\OECD and AOPs\REACTIV oecd interlaboratory validation\Results WF\Repeats for invalid experiments - EBO\2022-EBO-ARABINOSE R5\plaque 1/@03 EE2 51/G3_01.tif </t>
  </si>
  <si>
    <t xml:space="preserve"> 64.9467 </t>
  </si>
  <si>
    <t xml:space="preserve">Q:\R&amp;D\2-Test oestrogénique\OECD and AOPs\REACTIV oecd interlaboratory validation\Results WF\Repeats for invalid experiments - EBO\2022-EBO-ARABINOSE R5\plaque 1/@03 EE2 51/G3_02.tif </t>
  </si>
  <si>
    <t xml:space="preserve"> 1087.6878 </t>
  </si>
  <si>
    <t xml:space="preserve"> 63.02 </t>
  </si>
  <si>
    <t xml:space="preserve">Q:\R&amp;D\2-Test oestrogénique\OECD and AOPs\REACTIV oecd interlaboratory validation\Results WF\Repeats for invalid experiments - EBO\2022-EBO-ARABINOSE R5\plaque 1/@03 EE2 51/G3_03.tif </t>
  </si>
  <si>
    <t>Q:\R&amp;D\2-Test oestrogénique\OECD and AOPs\REACTIV oecd interlaboratory validation\Results WF\Repeats for invalid experiments - EBO\2022-EBO-ARABINOSE R5\plaque 1/@03 EE2 51/H3_01- exclu.tif</t>
  </si>
  <si>
    <t xml:space="preserve">Q:\R&amp;D\2-Test oestrogénique\OECD and AOPs\REACTIV oecd interlaboratory validation\Results WF\Repeats for invalid experiments - EBO\2022-EBO-ARABINOSE R5\plaque 1/@03 EE2 51/H3_02.tif </t>
  </si>
  <si>
    <t xml:space="preserve"> 63.9878 </t>
  </si>
  <si>
    <t xml:space="preserve">Q:\R&amp;D\2-Test oestrogénique\OECD and AOPs\REACTIV oecd interlaboratory validation\Results WF\Repeats for invalid experiments - EBO\2022-EBO-ARABINOSE R5\plaque 1/@03 EE2 51/H3_03.tif </t>
  </si>
  <si>
    <t xml:space="preserve"> 2523.4356 </t>
  </si>
  <si>
    <t xml:space="preserve"> 63.8362 </t>
  </si>
  <si>
    <t xml:space="preserve">Q:\R&amp;D\2-Test oestrogénique\OECD and AOPs\REACTIV oecd interlaboratory validation\Results WF\Repeats for invalid experiments - EBO\2022-EBO-ARABINOSE R5\plaque 1/@03 EE2 51/ </t>
  </si>
  <si>
    <t xml:space="preserve"> 65.337 </t>
  </si>
  <si>
    <t xml:space="preserve"> 3.3799 </t>
  </si>
  <si>
    <t xml:space="preserve"> 683349.784 </t>
  </si>
  <si>
    <t xml:space="preserve">Q:\R&amp;D\2-Test oestrogénique\OECD and AOPs\REACTIV oecd interlaboratory validation\Results WF\Repeats for invalid experiments - EBO\2022-EBO-ARABINOSE R5\plaque 1/@04 EE2 76/A4_01.tif </t>
  </si>
  <si>
    <t xml:space="preserve"> 3741.6459 </t>
  </si>
  <si>
    <t xml:space="preserve"> 65.7209 </t>
  </si>
  <si>
    <t xml:space="preserve">Q:\R&amp;D\2-Test oestrogénique\OECD and AOPs\REACTIV oecd interlaboratory validation\Results WF\Repeats for invalid experiments - EBO\2022-EBO-ARABINOSE R5\plaque 1/@04 EE2 76/A4_02.tif </t>
  </si>
  <si>
    <t xml:space="preserve"> 4067.9522 </t>
  </si>
  <si>
    <t xml:space="preserve"> 63.3904 </t>
  </si>
  <si>
    <t>Q:\R&amp;D\2-Test oestrogénique\OECD and AOPs\REACTIV oecd interlaboratory validation\Results WF\Repeats for invalid experiments - EBO\2022-EBO-ARABINOSE R5\plaque 1/@04 EE2 76/A4_03- exclu.tif</t>
  </si>
  <si>
    <t>Q:\R&amp;D\2-Test oestrogénique\OECD and AOPs\REACTIV oecd interlaboratory validation\Results WF\Repeats for invalid experiments - EBO\2022-EBO-ARABINOSE R5\plaque 1/@04 EE2 76/B4_01- exclu.tif</t>
  </si>
  <si>
    <t>Q:\R&amp;D\2-Test oestrogénique\OECD and AOPs\REACTIV oecd interlaboratory validation\Results WF\Repeats for invalid experiments - EBO\2022-EBO-ARABINOSE R5\plaque 1/@04 EE2 76/B4_02- exclu.tif</t>
  </si>
  <si>
    <t>Q:\R&amp;D\2-Test oestrogénique\OECD and AOPs\REACTIV oecd interlaboratory validation\Results WF\Repeats for invalid experiments - EBO\2022-EBO-ARABINOSE R5\plaque 1/@04 EE2 76/B4_03- exclu.tif</t>
  </si>
  <si>
    <t xml:space="preserve">Q:\R&amp;D\2-Test oestrogénique\OECD and AOPs\REACTIV oecd interlaboratory validation\Results WF\Repeats for invalid experiments - EBO\2022-EBO-ARABINOSE R5\plaque 1/@04 EE2 76/C4_01.tif </t>
  </si>
  <si>
    <t xml:space="preserve"> 64.6234 </t>
  </si>
  <si>
    <t xml:space="preserve">Q:\R&amp;D\2-Test oestrogénique\OECD and AOPs\REACTIV oecd interlaboratory validation\Results WF\Repeats for invalid experiments - EBO\2022-EBO-ARABINOSE R5\plaque 1/@04 EE2 76/C4_02.tif </t>
  </si>
  <si>
    <t>Q:\R&amp;D\2-Test oestrogénique\OECD and AOPs\REACTIV oecd interlaboratory validation\Results WF\Repeats for invalid experiments - EBO\2022-EBO-ARABINOSE R5\plaque 1/@04 EE2 76/C4_03- exclu.tif</t>
  </si>
  <si>
    <t>Q:\R&amp;D\2-Test oestrogénique\OECD and AOPs\REACTIV oecd interlaboratory validation\Results WF\Repeats for invalid experiments - EBO\2022-EBO-ARABINOSE R5\plaque 1/@04 EE2 76/D4_01- exclu.tif</t>
  </si>
  <si>
    <t xml:space="preserve">Q:\R&amp;D\2-Test oestrogénique\OECD and AOPs\REACTIV oecd interlaboratory validation\Results WF\Repeats for invalid experiments - EBO\2022-EBO-ARABINOSE R5\plaque 1/@04 EE2 76/D4_02.tif </t>
  </si>
  <si>
    <t xml:space="preserve"> 61.9048 </t>
  </si>
  <si>
    <t>Q:\R&amp;D\2-Test oestrogénique\OECD and AOPs\REACTIV oecd interlaboratory validation\Results WF\Repeats for invalid experiments - EBO\2022-EBO-ARABINOSE R5\plaque 1/@04 EE2 76/D4_03- exclu.tif</t>
  </si>
  <si>
    <t xml:space="preserve">Q:\R&amp;D\2-Test oestrogénique\OECD and AOPs\REACTIV oecd interlaboratory validation\Results WF\Repeats for invalid experiments - EBO\2022-EBO-ARABINOSE R5\plaque 1/@04 EE2 76/E4_01.tif </t>
  </si>
  <si>
    <t xml:space="preserve"> 65.193 </t>
  </si>
  <si>
    <t>Q:\R&amp;D\2-Test oestrogénique\OECD and AOPs\REACTIV oecd interlaboratory validation\Results WF\Repeats for invalid experiments - EBO\2022-EBO-ARABINOSE R5\plaque 1/@04 EE2 76/E4_02- exclu.tif</t>
  </si>
  <si>
    <t>Q:\R&amp;D\2-Test oestrogénique\OECD and AOPs\REACTIV oecd interlaboratory validation\Results WF\Repeats for invalid experiments - EBO\2022-EBO-ARABINOSE R5\plaque 1/@04 EE2 76/E4_03- exclu.tif</t>
  </si>
  <si>
    <t xml:space="preserve">Q:\R&amp;D\2-Test oestrogénique\OECD and AOPs\REACTIV oecd interlaboratory validation\Results WF\Repeats for invalid experiments - EBO\2022-EBO-ARABINOSE R5\plaque 1/@04 EE2 76/F4_01.tif </t>
  </si>
  <si>
    <t xml:space="preserve"> 13965.9107 </t>
  </si>
  <si>
    <t xml:space="preserve"> 65.271 </t>
  </si>
  <si>
    <t>Q:\R&amp;D\2-Test oestrogénique\OECD and AOPs\REACTIV oecd interlaboratory validation\Results WF\Repeats for invalid experiments - EBO\2022-EBO-ARABINOSE R5\plaque 1/@04 EE2 76/F4_02- exclu.tif</t>
  </si>
  <si>
    <t>Q:\R&amp;D\2-Test oestrogénique\OECD and AOPs\REACTIV oecd interlaboratory validation\Results WF\Repeats for invalid experiments - EBO\2022-EBO-ARABINOSE R5\plaque 1/@04 EE2 76/F4_03- exclu.tif</t>
  </si>
  <si>
    <t xml:space="preserve">Q:\R&amp;D\2-Test oestrogénique\OECD and AOPs\REACTIV oecd interlaboratory validation\Results WF\Repeats for invalid experiments - EBO\2022-EBO-ARABINOSE R5\plaque 1/@04 EE2 76/G4_01.tif </t>
  </si>
  <si>
    <t xml:space="preserve"> 6178.0664 </t>
  </si>
  <si>
    <t xml:space="preserve"> 70.9648 </t>
  </si>
  <si>
    <t xml:space="preserve">Q:\R&amp;D\2-Test oestrogénique\OECD and AOPs\REACTIV oecd interlaboratory validation\Results WF\Repeats for invalid experiments - EBO\2022-EBO-ARABINOSE R5\plaque 1/@04 EE2 76/G4_02.tif </t>
  </si>
  <si>
    <t xml:space="preserve"> 66.4821 </t>
  </si>
  <si>
    <t xml:space="preserve">Q:\R&amp;D\2-Test oestrogénique\OECD and AOPs\REACTIV oecd interlaboratory validation\Results WF\Repeats for invalid experiments - EBO\2022-EBO-ARABINOSE R5\plaque 1/@04 EE2 76/G4_03.tif </t>
  </si>
  <si>
    <t xml:space="preserve"> 65.4897 </t>
  </si>
  <si>
    <t xml:space="preserve">Q:\R&amp;D\2-Test oestrogénique\OECD and AOPs\REACTIV oecd interlaboratory validation\Results WF\Repeats for invalid experiments - EBO\2022-EBO-ARABINOSE R5\plaque 1/@04 EE2 76/H4_01.tif </t>
  </si>
  <si>
    <t xml:space="preserve"> 64.1522 </t>
  </si>
  <si>
    <t xml:space="preserve">Q:\R&amp;D\2-Test oestrogénique\OECD and AOPs\REACTIV oecd interlaboratory validation\Results WF\Repeats for invalid experiments - EBO\2022-EBO-ARABINOSE R5\plaque 1/@04 EE2 76/H4_02.tif </t>
  </si>
  <si>
    <t xml:space="preserve"> 63.9444 </t>
  </si>
  <si>
    <t xml:space="preserve">Q:\R&amp;D\2-Test oestrogénique\OECD and AOPs\REACTIV oecd interlaboratory validation\Results WF\Repeats for invalid experiments - EBO\2022-EBO-ARABINOSE R5\plaque 1/@04 EE2 76/H4_03.tif </t>
  </si>
  <si>
    <t xml:space="preserve"> 522.0901 </t>
  </si>
  <si>
    <t xml:space="preserve">Q:\R&amp;D\2-Test oestrogénique\OECD and AOPs\REACTIV oecd interlaboratory validation\Results WF\Repeats for invalid experiments - EBO\2022-EBO-ARABINOSE R5\plaque 1/@04 EE2 76/ </t>
  </si>
  <si>
    <t xml:space="preserve"> 66.4077 </t>
  </si>
  <si>
    <t xml:space="preserve"> 3.7843 </t>
  </si>
  <si>
    <t xml:space="preserve"> 354656.042 </t>
  </si>
  <si>
    <t xml:space="preserve"> 393378.219 </t>
  </si>
  <si>
    <t xml:space="preserve">Q:\R&amp;D\2-Test oestrogénique\OECD and AOPs\REACTIV oecd interlaboratory validation\Results WF\Repeats for invalid experiments - EBO\2022-EBO-ARABINOSE R5\plaque 1/@05 EE2 114/A10_01.tif </t>
  </si>
  <si>
    <t xml:space="preserve"> 67.622 </t>
  </si>
  <si>
    <t>Q:\R&amp;D\2-Test oestrogénique\OECD and AOPs\REACTIV oecd interlaboratory validation\Results WF\Repeats for invalid experiments - EBO\2022-EBO-ARABINOSE R5\plaque 1/@05 EE2 114/A10_02- exclu.tif</t>
  </si>
  <si>
    <t>Q:\R&amp;D\2-Test oestrogénique\OECD and AOPs\REACTIV oecd interlaboratory validation\Results WF\Repeats for invalid experiments - EBO\2022-EBO-ARABINOSE R5\plaque 1/@05 EE2 114/A10_03- exclu.tif</t>
  </si>
  <si>
    <t xml:space="preserve">Q:\R&amp;D\2-Test oestrogénique\OECD and AOPs\REACTIV oecd interlaboratory validation\Results WF\Repeats for invalid experiments - EBO\2022-EBO-ARABINOSE R5\plaque 1/@05 EE2 114/B10_01.tif </t>
  </si>
  <si>
    <t xml:space="preserve"> 4894.5949 </t>
  </si>
  <si>
    <t xml:space="preserve"> 63.6044 </t>
  </si>
  <si>
    <t>Q:\R&amp;D\2-Test oestrogénique\OECD and AOPs\REACTIV oecd interlaboratory validation\Results WF\Repeats for invalid experiments - EBO\2022-EBO-ARABINOSE R5\plaque 1/@05 EE2 114/B10_02- exclu.tif</t>
  </si>
  <si>
    <t xml:space="preserve">Q:\R&amp;D\2-Test oestrogénique\OECD and AOPs\REACTIV oecd interlaboratory validation\Results WF\Repeats for invalid experiments - EBO\2022-EBO-ARABINOSE R5\plaque 1/@05 EE2 114/B10_03.tif </t>
  </si>
  <si>
    <t xml:space="preserve"> 4568.2886 </t>
  </si>
  <si>
    <t xml:space="preserve"> 64.4857 </t>
  </si>
  <si>
    <t xml:space="preserve">Q:\R&amp;D\2-Test oestrogénique\OECD and AOPs\REACTIV oecd interlaboratory validation\Results WF\Repeats for invalid experiments - EBO\2022-EBO-ARABINOSE R5\plaque 1/@05 EE2 114/C10_01.tif </t>
  </si>
  <si>
    <t xml:space="preserve"> 65.7153 </t>
  </si>
  <si>
    <t xml:space="preserve">Q:\R&amp;D\2-Test oestrogénique\OECD and AOPs\REACTIV oecd interlaboratory validation\Results WF\Repeats for invalid experiments - EBO\2022-EBO-ARABINOSE R5\plaque 1/@05 EE2 114/C10_02.tif </t>
  </si>
  <si>
    <t xml:space="preserve"> 10833.37 </t>
  </si>
  <si>
    <t xml:space="preserve"> 64.5542 </t>
  </si>
  <si>
    <t xml:space="preserve">Q:\R&amp;D\2-Test oestrogénique\OECD and AOPs\REACTIV oecd interlaboratory validation\Results WF\Repeats for invalid experiments - EBO\2022-EBO-ARABINOSE R5\plaque 1/@05 EE2 114/C10_03.tif </t>
  </si>
  <si>
    <t xml:space="preserve"> 10768.1087 </t>
  </si>
  <si>
    <t xml:space="preserve"> 64.8323 </t>
  </si>
  <si>
    <t xml:space="preserve">Q:\R&amp;D\2-Test oestrogénique\OECD and AOPs\REACTIV oecd interlaboratory validation\Results WF\Repeats for invalid experiments - EBO\2022-EBO-ARABINOSE R5\plaque 1/@05 EE2 114/D10_01.tif </t>
  </si>
  <si>
    <t xml:space="preserve"> 67.0743 </t>
  </si>
  <si>
    <t xml:space="preserve">Q:\R&amp;D\2-Test oestrogénique\OECD and AOPs\REACTIV oecd interlaboratory validation\Results WF\Repeats for invalid experiments - EBO\2022-EBO-ARABINOSE R5\plaque 1/@05 EE2 114/D10_02.tif </t>
  </si>
  <si>
    <t xml:space="preserve"> 22993.719 </t>
  </si>
  <si>
    <t xml:space="preserve"> 67.8373 </t>
  </si>
  <si>
    <t xml:space="preserve">Q:\R&amp;D\2-Test oestrogénique\OECD and AOPs\REACTIV oecd interlaboratory validation\Results WF\Repeats for invalid experiments - EBO\2022-EBO-ARABINOSE R5\plaque 1/@05 EE2 114/D10_03.tif </t>
  </si>
  <si>
    <t xml:space="preserve"> 20405.0222 </t>
  </si>
  <si>
    <t xml:space="preserve"> 67.29 </t>
  </si>
  <si>
    <t xml:space="preserve">Q:\R&amp;D\2-Test oestrogénique\OECD and AOPs\REACTIV oecd interlaboratory validation\Results WF\Repeats for invalid experiments - EBO\2022-EBO-ARABINOSE R5\plaque 1/@05 EE2 114/E10_01.tif </t>
  </si>
  <si>
    <t xml:space="preserve"> 61.8 </t>
  </si>
  <si>
    <t>Q:\R&amp;D\2-Test oestrogénique\OECD and AOPs\REACTIV oecd interlaboratory validation\Results WF\Repeats for invalid experiments - EBO\2022-EBO-ARABINOSE R5\plaque 1/@05 EE2 114/E10_02- exclu.tif</t>
  </si>
  <si>
    <t>Q:\R&amp;D\2-Test oestrogénique\OECD and AOPs\REACTIV oecd interlaboratory validation\Results WF\Repeats for invalid experiments - EBO\2022-EBO-ARABINOSE R5\plaque 1/@05 EE2 114/E10_03- exclu.tif</t>
  </si>
  <si>
    <t xml:space="preserve">Q:\R&amp;D\2-Test oestrogénique\OECD and AOPs\REACTIV oecd interlaboratory validation\Results WF\Repeats for invalid experiments - EBO\2022-EBO-ARABINOSE R5\plaque 1/@05 EE2 114/F10_01.tif </t>
  </si>
  <si>
    <t xml:space="preserve"> 12095.0878 </t>
  </si>
  <si>
    <t xml:space="preserve"> 64.6169 </t>
  </si>
  <si>
    <t xml:space="preserve">Q:\R&amp;D\2-Test oestrogénique\OECD and AOPs\REACTIV oecd interlaboratory validation\Results WF\Repeats for invalid experiments - EBO\2022-EBO-ARABINOSE R5\plaque 1/@05 EE2 114/F10_02.tif </t>
  </si>
  <si>
    <t xml:space="preserve"> 9441.1297 </t>
  </si>
  <si>
    <t xml:space="preserve"> 63.765 </t>
  </si>
  <si>
    <t xml:space="preserve">Q:\R&amp;D\2-Test oestrogénique\OECD and AOPs\REACTIV oecd interlaboratory validation\Results WF\Repeats for invalid experiments - EBO\2022-EBO-ARABINOSE R5\plaque 1/@05 EE2 114/F10_03.tif </t>
  </si>
  <si>
    <t xml:space="preserve"> 9114.8233 </t>
  </si>
  <si>
    <t xml:space="preserve"> 64.8854 </t>
  </si>
  <si>
    <t xml:space="preserve">Q:\R&amp;D\2-Test oestrogénique\OECD and AOPs\REACTIV oecd interlaboratory validation\Results WF\Repeats for invalid experiments - EBO\2022-EBO-ARABINOSE R5\plaque 1/@05 EE2 114/G10_01.tif </t>
  </si>
  <si>
    <t xml:space="preserve"> 64.3911 </t>
  </si>
  <si>
    <t xml:space="preserve">Q:\R&amp;D\2-Test oestrogénique\OECD and AOPs\REACTIV oecd interlaboratory validation\Results WF\Repeats for invalid experiments - EBO\2022-EBO-ARABINOSE R5\plaque 1/@05 EE2 114/G10_02.tif </t>
  </si>
  <si>
    <t xml:space="preserve"> 65.0992 </t>
  </si>
  <si>
    <t>Q:\R&amp;D\2-Test oestrogénique\OECD and AOPs\REACTIV oecd interlaboratory validation\Results WF\Repeats for invalid experiments - EBO\2022-EBO-ARABINOSE R5\plaque 1/@05 EE2 114/G10_03- exclu.tif</t>
  </si>
  <si>
    <t>Q:\R&amp;D\2-Test oestrogénique\OECD and AOPs\REACTIV oecd interlaboratory validation\Results WF\Repeats for invalid experiments - EBO\2022-EBO-ARABINOSE R5\plaque 1/@05 EE2 114/H10_01- exclu.tif</t>
  </si>
  <si>
    <t xml:space="preserve">Q:\R&amp;D\2-Test oestrogénique\OECD and AOPs\REACTIV oecd interlaboratory validation\Results WF\Repeats for invalid experiments - EBO\2022-EBO-ARABINOSE R5\plaque 1/@05 EE2 114/H10_02.tif </t>
  </si>
  <si>
    <t xml:space="preserve"> 63.3731 </t>
  </si>
  <si>
    <t>Q:\R&amp;D\2-Test oestrogénique\OECD and AOPs\REACTIV oecd interlaboratory validation\Results WF\Repeats for invalid experiments - EBO\2022-EBO-ARABINOSE R5\plaque 1/@05 EE2 114/H10_03- exclu.tif</t>
  </si>
  <si>
    <t xml:space="preserve">Q:\R&amp;D\2-Test oestrogénique\OECD and AOPs\REACTIV oecd interlaboratory validation\Results WF\Repeats for invalid experiments - EBO\2022-EBO-ARABINOSE R5\plaque 1/@05 EE2 114/ </t>
  </si>
  <si>
    <t xml:space="preserve"> 64.9115 </t>
  </si>
  <si>
    <t xml:space="preserve"> 1.7834 </t>
  </si>
  <si>
    <t xml:space="preserve"> 573588.458 </t>
  </si>
  <si>
    <t xml:space="preserve"> 496208.457 </t>
  </si>
  <si>
    <t xml:space="preserve">Q:\R&amp;D\2-Test oestrogénique\OECD and AOPs\REACTIV oecd interlaboratory validation\Results WF\Repeats for invalid experiments - EBO\2022-EBO-ARABINOSE R5\plaque 1/@06 EE2 171/A11_01.tif </t>
  </si>
  <si>
    <t xml:space="preserve"> 46009.1918 </t>
  </si>
  <si>
    <t xml:space="preserve"> 76.4118 </t>
  </si>
  <si>
    <t xml:space="preserve">Q:\R&amp;D\2-Test oestrogénique\OECD and AOPs\REACTIV oecd interlaboratory validation\Results WF\Repeats for invalid experiments - EBO\2022-EBO-ARABINOSE R5\plaque 1/@06 EE2 171/A11_02.tif </t>
  </si>
  <si>
    <t xml:space="preserve"> 48489.1199 </t>
  </si>
  <si>
    <t xml:space="preserve"> 74.8537 </t>
  </si>
  <si>
    <t xml:space="preserve">Q:\R&amp;D\2-Test oestrogénique\OECD and AOPs\REACTIV oecd interlaboratory validation\Results WF\Repeats for invalid experiments - EBO\2022-EBO-ARABINOSE R5\plaque 1/@06 EE2 171/A11_03.tif </t>
  </si>
  <si>
    <t xml:space="preserve"> 36872.6147 </t>
  </si>
  <si>
    <t xml:space="preserve"> 77.0643 </t>
  </si>
  <si>
    <t xml:space="preserve">Q:\R&amp;D\2-Test oestrogénique\OECD and AOPs\REACTIV oecd interlaboratory validation\Results WF\Repeats for invalid experiments - EBO\2022-EBO-ARABINOSE R5\plaque 1/@06 EE2 171/B11_01.tif </t>
  </si>
  <si>
    <t xml:space="preserve"> 36959.6298 </t>
  </si>
  <si>
    <t xml:space="preserve"> 69.7181 </t>
  </si>
  <si>
    <t xml:space="preserve">Q:\R&amp;D\2-Test oestrogénique\OECD and AOPs\REACTIV oecd interlaboratory validation\Results WF\Repeats for invalid experiments - EBO\2022-EBO-ARABINOSE R5\plaque 1/@06 EE2 171/B11_02.tif </t>
  </si>
  <si>
    <t xml:space="preserve"> 46117.9606 </t>
  </si>
  <si>
    <t xml:space="preserve"> 69.7047 </t>
  </si>
  <si>
    <t>Q:\R&amp;D\2-Test oestrogénique\OECD and AOPs\REACTIV oecd interlaboratory validation\Results WF\Repeats for invalid experiments - EBO\2022-EBO-ARABINOSE R5\plaque 1/@06 EE2 171/B11_03- exclu.tif</t>
  </si>
  <si>
    <t xml:space="preserve">Q:\R&amp;D\2-Test oestrogénique\OECD and AOPs\REACTIV oecd interlaboratory validation\Results WF\Repeats for invalid experiments - EBO\2022-EBO-ARABINOSE R5\plaque 1/@06 EE2 171/C11_01.tif </t>
  </si>
  <si>
    <t xml:space="preserve"> 20709.5748 </t>
  </si>
  <si>
    <t xml:space="preserve"> 76.187 </t>
  </si>
  <si>
    <t xml:space="preserve">Q:\R&amp;D\2-Test oestrogénique\OECD and AOPs\REACTIV oecd interlaboratory validation\Results WF\Repeats for invalid experiments - EBO\2022-EBO-ARABINOSE R5\plaque 1/@06 EE2 171/C11_02.tif </t>
  </si>
  <si>
    <t xml:space="preserve"> 21057.6348 </t>
  </si>
  <si>
    <t xml:space="preserve"> 73.8988 </t>
  </si>
  <si>
    <t xml:space="preserve">Q:\R&amp;D\2-Test oestrogénique\OECD and AOPs\REACTIV oecd interlaboratory validation\Results WF\Repeats for invalid experiments - EBO\2022-EBO-ARABINOSE R5\plaque 1/@06 EE2 171/C11_03.tif </t>
  </si>
  <si>
    <t xml:space="preserve"> 21144.6499 </t>
  </si>
  <si>
    <t xml:space="preserve"> 73.9033 </t>
  </si>
  <si>
    <t>Q:\R&amp;D\2-Test oestrogénique\OECD and AOPs\REACTIV oecd interlaboratory validation\Results WF\Repeats for invalid experiments - EBO\2022-EBO-ARABINOSE R5\plaque 1/@06 EE2 171/D11_01- exclu.tif</t>
  </si>
  <si>
    <t>Q:\R&amp;D\2-Test oestrogénique\OECD and AOPs\REACTIV oecd interlaboratory validation\Results WF\Repeats for invalid experiments - EBO\2022-EBO-ARABINOSE R5\plaque 1/@06 EE2 171/D11_02- exclu.tif</t>
  </si>
  <si>
    <t xml:space="preserve">Q:\R&amp;D\2-Test oestrogénique\OECD and AOPs\REACTIV oecd interlaboratory validation\Results WF\Repeats for invalid experiments - EBO\2022-EBO-ARABINOSE R5\plaque 1/@06 EE2 171/D11_03.tif </t>
  </si>
  <si>
    <t xml:space="preserve"> 38438.8851 </t>
  </si>
  <si>
    <t xml:space="preserve"> 76.3945 </t>
  </si>
  <si>
    <t xml:space="preserve">Q:\R&amp;D\2-Test oestrogénique\OECD and AOPs\REACTIV oecd interlaboratory validation\Results WF\Repeats for invalid experiments - EBO\2022-EBO-ARABINOSE R5\plaque 1/@06 EE2 171/E11_01.tif </t>
  </si>
  <si>
    <t xml:space="preserve"> 48271.5824 </t>
  </si>
  <si>
    <t xml:space="preserve"> 72.0406 </t>
  </si>
  <si>
    <t xml:space="preserve">Q:\R&amp;D\2-Test oestrogénique\OECD and AOPs\REACTIV oecd interlaboratory validation\Results WF\Repeats for invalid experiments - EBO\2022-EBO-ARABINOSE R5\plaque 1/@06 EE2 171/E11_02.tif </t>
  </si>
  <si>
    <t xml:space="preserve"> 50686.2492 </t>
  </si>
  <si>
    <t xml:space="preserve"> 75.1266 </t>
  </si>
  <si>
    <t xml:space="preserve">Q:\R&amp;D\2-Test oestrogénique\OECD and AOPs\REACTIV oecd interlaboratory validation\Results WF\Repeats for invalid experiments - EBO\2022-EBO-ARABINOSE R5\plaque 1/@06 EE2 171/E11_03.tif </t>
  </si>
  <si>
    <t xml:space="preserve"> 50446.9579 </t>
  </si>
  <si>
    <t xml:space="preserve"> 74.5809 </t>
  </si>
  <si>
    <t xml:space="preserve">Q:\R&amp;D\2-Test oestrogénique\OECD and AOPs\REACTIV oecd interlaboratory validation\Results WF\Repeats for invalid experiments - EBO\2022-EBO-ARABINOSE R5\plaque 1/@06 EE2 171/F11_01.tif </t>
  </si>
  <si>
    <t xml:space="preserve"> 48119.3061 </t>
  </si>
  <si>
    <t xml:space="preserve"> 76.4186 </t>
  </si>
  <si>
    <t xml:space="preserve">Q:\R&amp;D\2-Test oestrogénique\OECD and AOPs\REACTIV oecd interlaboratory validation\Results WF\Repeats for invalid experiments - EBO\2022-EBO-ARABINOSE R5\plaque 1/@06 EE2 171/F11_02.tif </t>
  </si>
  <si>
    <t xml:space="preserve"> 49054.7175 </t>
  </si>
  <si>
    <t xml:space="preserve"> 75.4457 </t>
  </si>
  <si>
    <t xml:space="preserve">Q:\R&amp;D\2-Test oestrogénique\OECD and AOPs\REACTIV oecd interlaboratory validation\Results WF\Repeats for invalid experiments - EBO\2022-EBO-ARABINOSE R5\plaque 1/@06 EE2 171/F11_03.tif </t>
  </si>
  <si>
    <t xml:space="preserve"> 52665.8409 </t>
  </si>
  <si>
    <t xml:space="preserve"> 75.2867 </t>
  </si>
  <si>
    <t xml:space="preserve">Q:\R&amp;D\2-Test oestrogénique\OECD and AOPs\REACTIV oecd interlaboratory validation\Results WF\Repeats for invalid experiments - EBO\2022-EBO-ARABINOSE R5\plaque 1/@06 EE2 171/G11_01.tif </t>
  </si>
  <si>
    <t xml:space="preserve"> 21579.725 </t>
  </si>
  <si>
    <t xml:space="preserve"> 68.5897 </t>
  </si>
  <si>
    <t xml:space="preserve">Q:\R&amp;D\2-Test oestrogénique\OECD and AOPs\REACTIV oecd interlaboratory validation\Results WF\Repeats for invalid experiments - EBO\2022-EBO-ARABINOSE R5\plaque 1/@06 EE2 171/G11_02.tif </t>
  </si>
  <si>
    <t xml:space="preserve"> 20840.0973 </t>
  </si>
  <si>
    <t xml:space="preserve"> 68.572 </t>
  </si>
  <si>
    <t xml:space="preserve">Q:\R&amp;D\2-Test oestrogénique\OECD and AOPs\REACTIV oecd interlaboratory validation\Results WF\Repeats for invalid experiments - EBO\2022-EBO-ARABINOSE R5\plaque 1/@06 EE2 171/G11_03.tif </t>
  </si>
  <si>
    <t xml:space="preserve"> 20905.3586 </t>
  </si>
  <si>
    <t xml:space="preserve"> 70.1644 </t>
  </si>
  <si>
    <t xml:space="preserve">Q:\R&amp;D\2-Test oestrogénique\OECD and AOPs\REACTIV oecd interlaboratory validation\Results WF\Repeats for invalid experiments - EBO\2022-EBO-ARABINOSE R5\plaque 1/@06 EE2 171/H11_01.tif </t>
  </si>
  <si>
    <t xml:space="preserve"> 32608.8788 </t>
  </si>
  <si>
    <t xml:space="preserve"> 75.9193 </t>
  </si>
  <si>
    <t xml:space="preserve">Q:\R&amp;D\2-Test oestrogénique\OECD and AOPs\REACTIV oecd interlaboratory validation\Results WF\Repeats for invalid experiments - EBO\2022-EBO-ARABINOSE R5\plaque 1/@06 EE2 171/H11_02.tif </t>
  </si>
  <si>
    <t xml:space="preserve"> 32521.8637 </t>
  </si>
  <si>
    <t xml:space="preserve"> 77.5097 </t>
  </si>
  <si>
    <t xml:space="preserve">Q:\R&amp;D\2-Test oestrogénique\OECD and AOPs\REACTIV oecd interlaboratory validation\Results WF\Repeats for invalid experiments - EBO\2022-EBO-ARABINOSE R5\plaque 1/@06 EE2 171/H11_03.tif </t>
  </si>
  <si>
    <t xml:space="preserve"> 76.1187 </t>
  </si>
  <si>
    <t xml:space="preserve">Q:\R&amp;D\2-Test oestrogénique\OECD and AOPs\REACTIV oecd interlaboratory validation\Results WF\Repeats for invalid experiments - EBO\2022-EBO-ARABINOSE R5\plaque 1/@06 EE2 171/ </t>
  </si>
  <si>
    <t xml:space="preserve"> 74.141 </t>
  </si>
  <si>
    <t xml:space="preserve"> 3.402 </t>
  </si>
  <si>
    <t xml:space="preserve"> 2688856.54 </t>
  </si>
  <si>
    <t xml:space="preserve"> 893270.042 </t>
  </si>
  <si>
    <t xml:space="preserve">Q:\R&amp;D\2-Test oestrogénique\OECD and AOPs\REACTIV oecd interlaboratory validation\Results WF\Repeats for invalid experiments - EBO\2022-EBO-ARABINOSE R5\plaque 1/@07 EE2 488/A12_01.tif </t>
  </si>
  <si>
    <t xml:space="preserve"> 54928.2314 </t>
  </si>
  <si>
    <t xml:space="preserve"> 85.5885 </t>
  </si>
  <si>
    <t xml:space="preserve">Q:\R&amp;D\2-Test oestrogénique\OECD and AOPs\REACTIV oecd interlaboratory validation\Results WF\Repeats for invalid experiments - EBO\2022-EBO-ARABINOSE R5\plaque 1/@07 EE2 488/A12_02.tif </t>
  </si>
  <si>
    <t xml:space="preserve"> 57908.4958 </t>
  </si>
  <si>
    <t xml:space="preserve"> 85.1307 </t>
  </si>
  <si>
    <t>Q:\R&amp;D\2-Test oestrogénique\OECD and AOPs\REACTIV oecd interlaboratory validation\Results WF\Repeats for invalid experiments - EBO\2022-EBO-ARABINOSE R5\plaque 1/@07 EE2 488/A12_03- exclu.tif</t>
  </si>
  <si>
    <t xml:space="preserve">Q:\R&amp;D\2-Test oestrogénique\OECD and AOPs\REACTIV oecd interlaboratory validation\Results WF\Repeats for invalid experiments - EBO\2022-EBO-ARABINOSE R5\plaque 1/@07 EE2 488/B12_01.tif </t>
  </si>
  <si>
    <t xml:space="preserve"> 44508.1827 </t>
  </si>
  <si>
    <t xml:space="preserve"> 92.2674 </t>
  </si>
  <si>
    <t xml:space="preserve">Q:\R&amp;D\2-Test oestrogénique\OECD and AOPs\REACTIV oecd interlaboratory validation\Results WF\Repeats for invalid experiments - EBO\2022-EBO-ARABINOSE R5\plaque 1/@07 EE2 488/B12_02.tif </t>
  </si>
  <si>
    <t xml:space="preserve"> 58517.601 </t>
  </si>
  <si>
    <t xml:space="preserve"> 83.0822 </t>
  </si>
  <si>
    <t xml:space="preserve">Q:\R&amp;D\2-Test oestrogénique\OECD and AOPs\REACTIV oecd interlaboratory validation\Results WF\Repeats for invalid experiments - EBO\2022-EBO-ARABINOSE R5\plaque 1/@07 EE2 488/B12_03.tif </t>
  </si>
  <si>
    <t xml:space="preserve"> 35915.4495 </t>
  </si>
  <si>
    <t xml:space="preserve"> 98.5161 </t>
  </si>
  <si>
    <t xml:space="preserve">Q:\R&amp;D\2-Test oestrogénique\OECD and AOPs\REACTIV oecd interlaboratory validation\Results WF\Repeats for invalid experiments - EBO\2022-EBO-ARABINOSE R5\plaque 1/@07 EE2 488/C12_01.tif </t>
  </si>
  <si>
    <t xml:space="preserve"> 25169.0945 </t>
  </si>
  <si>
    <t xml:space="preserve"> 91.2213 </t>
  </si>
  <si>
    <t xml:space="preserve">Q:\R&amp;D\2-Test oestrogénique\OECD and AOPs\REACTIV oecd interlaboratory validation\Results WF\Repeats for invalid experiments - EBO\2022-EBO-ARABINOSE R5\plaque 1/@07 EE2 488/C12_02.tif </t>
  </si>
  <si>
    <t xml:space="preserve"> 26169.7673 </t>
  </si>
  <si>
    <t xml:space="preserve"> 89.0191 </t>
  </si>
  <si>
    <t xml:space="preserve">Q:\R&amp;D\2-Test oestrogénique\OECD and AOPs\REACTIV oecd interlaboratory validation\Results WF\Repeats for invalid experiments - EBO\2022-EBO-ARABINOSE R5\plaque 1/@07 EE2 488/C12_03.tif </t>
  </si>
  <si>
    <t xml:space="preserve"> 31564.6985 </t>
  </si>
  <si>
    <t xml:space="preserve"> 83.2247 </t>
  </si>
  <si>
    <t xml:space="preserve">Q:\R&amp;D\2-Test oestrogénique\OECD and AOPs\REACTIV oecd interlaboratory validation\Results WF\Repeats for invalid experiments - EBO\2022-EBO-ARABINOSE R5\plaque 1/@07 EE2 488/D12_01.tif </t>
  </si>
  <si>
    <t xml:space="preserve"> 89212.1493 </t>
  </si>
  <si>
    <t xml:space="preserve"> 87.3209 </t>
  </si>
  <si>
    <t xml:space="preserve">Q:\R&amp;D\2-Test oestrogénique\OECD and AOPs\REACTIV oecd interlaboratory validation\Results WF\Repeats for invalid experiments - EBO\2022-EBO-ARABINOSE R5\plaque 1/@07 EE2 488/D12_02.tif </t>
  </si>
  <si>
    <t xml:space="preserve"> 83969.4943 </t>
  </si>
  <si>
    <t xml:space="preserve"> 88.5531 </t>
  </si>
  <si>
    <t>Q:\R&amp;D\2-Test oestrogénique\OECD and AOPs\REACTIV oecd interlaboratory validation\Results WF\Repeats for invalid experiments - EBO\2022-EBO-ARABINOSE R5\plaque 1/@07 EE2 488/D12_03- exclu.tif</t>
  </si>
  <si>
    <t xml:space="preserve">Q:\R&amp;D\2-Test oestrogénique\OECD and AOPs\REACTIV oecd interlaboratory validation\Results WF\Repeats for invalid experiments - EBO\2022-EBO-ARABINOSE R5\plaque 1/@07 EE2 488/E12_01.tif </t>
  </si>
  <si>
    <t xml:space="preserve"> 62215.7393 </t>
  </si>
  <si>
    <t xml:space="preserve"> 91.6262 </t>
  </si>
  <si>
    <t xml:space="preserve">Q:\R&amp;D\2-Test oestrogénique\OECD and AOPs\REACTIV oecd interlaboratory validation\Results WF\Repeats for invalid experiments - EBO\2022-EBO-ARABINOSE R5\plaque 1/@07 EE2 488/E12_02.tif </t>
  </si>
  <si>
    <t xml:space="preserve"> 59931.595 </t>
  </si>
  <si>
    <t xml:space="preserve"> 87.3579 </t>
  </si>
  <si>
    <t>Q:\R&amp;D\2-Test oestrogénique\OECD and AOPs\REACTIV oecd interlaboratory validation\Results WF\Repeats for invalid experiments - EBO\2022-EBO-ARABINOSE R5\plaque 1/@07 EE2 488/E12_03- exclu.tif</t>
  </si>
  <si>
    <t>Q:\R&amp;D\2-Test oestrogénique\OECD and AOPs\REACTIV oecd interlaboratory validation\Results WF\Repeats for invalid experiments - EBO\2022-EBO-ARABINOSE R5\plaque 1/@07 EE2 488/F12_01- exclu.tif</t>
  </si>
  <si>
    <t xml:space="preserve">Q:\R&amp;D\2-Test oestrogénique\OECD and AOPs\REACTIV oecd interlaboratory validation\Results WF\Repeats for invalid experiments - EBO\2022-EBO-ARABINOSE R5\plaque 1/@07 EE2 488/F12_02.tif </t>
  </si>
  <si>
    <t xml:space="preserve"> 76.1664 </t>
  </si>
  <si>
    <t xml:space="preserve">Q:\R&amp;D\2-Test oestrogénique\OECD and AOPs\REACTIV oecd interlaboratory validation\Results WF\Repeats for invalid experiments - EBO\2022-EBO-ARABINOSE R5\plaque 1/@07 EE2 488/F12_03.tif </t>
  </si>
  <si>
    <t xml:space="preserve"> 31347.161 </t>
  </si>
  <si>
    <t xml:space="preserve"> 77.7189 </t>
  </si>
  <si>
    <t xml:space="preserve">Q:\R&amp;D\2-Test oestrogénique\OECD and AOPs\REACTIV oecd interlaboratory validation\Results WF\Repeats for invalid experiments - EBO\2022-EBO-ARABINOSE R5\plaque 1/@07 EE2 488/G12_01.tif </t>
  </si>
  <si>
    <t xml:space="preserve"> 31716.9748 </t>
  </si>
  <si>
    <t xml:space="preserve"> 81.7298 </t>
  </si>
  <si>
    <t>Q:\R&amp;D\2-Test oestrogénique\OECD and AOPs\REACTIV oecd interlaboratory validation\Results WF\Repeats for invalid experiments - EBO\2022-EBO-ARABINOSE R5\plaque 1/@07 EE2 488/G12_02- exclu.tif</t>
  </si>
  <si>
    <t>Q:\R&amp;D\2-Test oestrogénique\OECD and AOPs\REACTIV oecd interlaboratory validation\Results WF\Repeats for invalid experiments - EBO\2022-EBO-ARABINOSE R5\plaque 1/@07 EE2 488/G12_03- exclu.tif</t>
  </si>
  <si>
    <t xml:space="preserve">Q:\R&amp;D\2-Test oestrogénique\OECD and AOPs\REACTIV oecd interlaboratory validation\Results WF\Repeats for invalid experiments - EBO\2022-EBO-ARABINOSE R5\plaque 1/@07 EE2 488/H12_01.tif </t>
  </si>
  <si>
    <t xml:space="preserve"> 69807.7998 </t>
  </si>
  <si>
    <t xml:space="preserve"> 87.6108 </t>
  </si>
  <si>
    <t xml:space="preserve">Q:\R&amp;D\2-Test oestrogénique\OECD and AOPs\REACTIV oecd interlaboratory validation\Results WF\Repeats for invalid experiments - EBO\2022-EBO-ARABINOSE R5\plaque 1/@07 EE2 488/H12_02.tif </t>
  </si>
  <si>
    <t xml:space="preserve"> 63368.6883 </t>
  </si>
  <si>
    <t xml:space="preserve"> 87.8596 </t>
  </si>
  <si>
    <t xml:space="preserve">Q:\R&amp;D\2-Test oestrogénique\OECD and AOPs\REACTIV oecd interlaboratory validation\Results WF\Repeats for invalid experiments - EBO\2022-EBO-ARABINOSE R5\plaque 1/@07 EE2 488/H12_03.tif </t>
  </si>
  <si>
    <t xml:space="preserve"> 67262.6105 </t>
  </si>
  <si>
    <t xml:space="preserve"> 86.5566 </t>
  </si>
  <si>
    <t xml:space="preserve">Q:\R&amp;D\2-Test oestrogénique\OECD and AOPs\REACTIV oecd interlaboratory validation\Results WF\Repeats for invalid experiments - EBO\2022-EBO-ARABINOSE R5\plaque 1/@07 EE2 488/ </t>
  </si>
  <si>
    <t xml:space="preserve"> 86.4901 </t>
  </si>
  <si>
    <t xml:space="preserve"> 7.7059 </t>
  </si>
  <si>
    <t xml:space="preserve"> 4185512.17 </t>
  </si>
  <si>
    <t xml:space="preserve"> 1986870.73 </t>
  </si>
  <si>
    <t xml:space="preserve">Q:\R&amp;D\2-Test oestrogénique\OECD and AOPs\REACTIV oecd interlaboratory validation\Results WF\Repeats for invalid experiments - EBO\2022-EBO-ARABINOSE R5\plaque 1/@08 ARABINOSE 0.01/A5_01.tif </t>
  </si>
  <si>
    <t xml:space="preserve"> 19078.0431 </t>
  </si>
  <si>
    <t xml:space="preserve"> 76.0867 </t>
  </si>
  <si>
    <t xml:space="preserve">Q:\R&amp;D\2-Test oestrogénique\OECD and AOPs\REACTIV oecd interlaboratory validation\Results WF\Repeats for invalid experiments - EBO\2022-EBO-ARABINOSE R5\plaque 1/@08 ARABINOSE 0.01/A5_02.tif </t>
  </si>
  <si>
    <t xml:space="preserve"> 17120.2052 </t>
  </si>
  <si>
    <t xml:space="preserve"> 78.7446 </t>
  </si>
  <si>
    <t>Q:\R&amp;D\2-Test oestrogénique\OECD and AOPs\REACTIV oecd interlaboratory validation\Results WF\Repeats for invalid experiments - EBO\2022-EBO-ARABINOSE R5\plaque 1/@08 ARABINOSE 0.01/A5_03- exclu.tif</t>
  </si>
  <si>
    <t xml:space="preserve">Q:\R&amp;D\2-Test oestrogénique\OECD and AOPs\REACTIV oecd interlaboratory validation\Results WF\Repeats for invalid experiments - EBO\2022-EBO-ARABINOSE R5\plaque 1/@08 ARABINOSE 0.01/B5_01.tif </t>
  </si>
  <si>
    <t xml:space="preserve"> 5264.4087 </t>
  </si>
  <si>
    <t xml:space="preserve"> 77.6446 </t>
  </si>
  <si>
    <t>Q:\R&amp;D\2-Test oestrogénique\OECD and AOPs\REACTIV oecd interlaboratory validation\Results WF\Repeats for invalid experiments - EBO\2022-EBO-ARABINOSE R5\plaque 1/@08 ARABINOSE 0.01/B5_02- exclu.tif</t>
  </si>
  <si>
    <t xml:space="preserve">Q:\R&amp;D\2-Test oestrogénique\OECD and AOPs\REACTIV oecd interlaboratory validation\Results WF\Repeats for invalid experiments - EBO\2022-EBO-ARABINOSE R5\plaque 1/@08 ARABINOSE 0.01/B5_03.tif </t>
  </si>
  <si>
    <t xml:space="preserve"> 3110.787 </t>
  </si>
  <si>
    <t xml:space="preserve"> 68.3566 </t>
  </si>
  <si>
    <t xml:space="preserve">Q:\R&amp;D\2-Test oestrogénique\OECD and AOPs\REACTIV oecd interlaboratory validation\Results WF\Repeats for invalid experiments - EBO\2022-EBO-ARABINOSE R5\plaque 1/@08 ARABINOSE 0.01/C5_01.tif </t>
  </si>
  <si>
    <t xml:space="preserve"> 66.8646 </t>
  </si>
  <si>
    <t xml:space="preserve">Q:\R&amp;D\2-Test oestrogénique\OECD and AOPs\REACTIV oecd interlaboratory validation\Results WF\Repeats for invalid experiments - EBO\2022-EBO-ARABINOSE R5\plaque 1/@08 ARABINOSE 0.01/C5_02.tif </t>
  </si>
  <si>
    <t xml:space="preserve"> 64.8261 </t>
  </si>
  <si>
    <t xml:space="preserve">Q:\R&amp;D\2-Test oestrogénique\OECD and AOPs\REACTIV oecd interlaboratory validation\Results WF\Repeats for invalid experiments - EBO\2022-EBO-ARABINOSE R5\plaque 1/@08 ARABINOSE 0.01/C5_03.tif </t>
  </si>
  <si>
    <t xml:space="preserve"> 1957.838 </t>
  </si>
  <si>
    <t xml:space="preserve"> 64.8222 </t>
  </si>
  <si>
    <t xml:space="preserve">Q:\R&amp;D\2-Test oestrogénique\OECD and AOPs\REACTIV oecd interlaboratory validation\Results WF\Repeats for invalid experiments - EBO\2022-EBO-ARABINOSE R5\plaque 1/@08 ARABINOSE 0.01/D5_01.tif </t>
  </si>
  <si>
    <t xml:space="preserve"> 63.6 </t>
  </si>
  <si>
    <t xml:space="preserve">Q:\R&amp;D\2-Test oestrogénique\OECD and AOPs\REACTIV oecd interlaboratory validation\Results WF\Repeats for invalid experiments - EBO\2022-EBO-ARABINOSE R5\plaque 1/@08 ARABINOSE 0.01/D5_02.tif </t>
  </si>
  <si>
    <t xml:space="preserve"> 64.625 </t>
  </si>
  <si>
    <t xml:space="preserve">Q:\R&amp;D\2-Test oestrogénique\OECD and AOPs\REACTIV oecd interlaboratory validation\Results WF\Repeats for invalid experiments - EBO\2022-EBO-ARABINOSE R5\plaque 1/@08 ARABINOSE 0.01/D5_03.tif </t>
  </si>
  <si>
    <t xml:space="preserve">Q:\R&amp;D\2-Test oestrogénique\OECD and AOPs\REACTIV oecd interlaboratory validation\Results WF\Repeats for invalid experiments - EBO\2022-EBO-ARABINOSE R5\plaque 1/@08 ARABINOSE 0.01/E5_01.tif </t>
  </si>
  <si>
    <t xml:space="preserve"> 64.3571 </t>
  </si>
  <si>
    <t>Q:\R&amp;D\2-Test oestrogénique\OECD and AOPs\REACTIV oecd interlaboratory validation\Results WF\Repeats for invalid experiments - EBO\2022-EBO-ARABINOSE R5\plaque 1/@08 ARABINOSE 0.01/E5_02- exclu.tif</t>
  </si>
  <si>
    <t xml:space="preserve">Q:\R&amp;D\2-Test oestrogénique\OECD and AOPs\REACTIV oecd interlaboratory validation\Results WF\Repeats for invalid experiments - EBO\2022-EBO-ARABINOSE R5\plaque 1/@08 ARABINOSE 0.01/E5_03.tif </t>
  </si>
  <si>
    <t xml:space="preserve"> 64.5122 </t>
  </si>
  <si>
    <t xml:space="preserve">Q:\R&amp;D\2-Test oestrogénique\OECD and AOPs\REACTIV oecd interlaboratory validation\Results WF\Repeats for invalid experiments - EBO\2022-EBO-ARABINOSE R5\plaque 1/@08 ARABINOSE 0.01/F5_01.tif </t>
  </si>
  <si>
    <t xml:space="preserve"> 5481.9463 </t>
  </si>
  <si>
    <t xml:space="preserve"> 68.254 </t>
  </si>
  <si>
    <t xml:space="preserve">Q:\R&amp;D\2-Test oestrogénique\OECD and AOPs\REACTIV oecd interlaboratory validation\Results WF\Repeats for invalid experiments - EBO\2022-EBO-ARABINOSE R5\plaque 1/@08 ARABINOSE 0.01/F5_02.tif </t>
  </si>
  <si>
    <t xml:space="preserve"> 67.3704 </t>
  </si>
  <si>
    <t xml:space="preserve">Q:\R&amp;D\2-Test oestrogénique\OECD and AOPs\REACTIV oecd interlaboratory validation\Results WF\Repeats for invalid experiments - EBO\2022-EBO-ARABINOSE R5\plaque 1/@08 ARABINOSE 0.01/F5_03.tif </t>
  </si>
  <si>
    <t xml:space="preserve"> 66.1341 </t>
  </si>
  <si>
    <t xml:space="preserve">Q:\R&amp;D\2-Test oestrogénique\OECD and AOPs\REACTIV oecd interlaboratory validation\Results WF\Repeats for invalid experiments - EBO\2022-EBO-ARABINOSE R5\plaque 1/@08 ARABINOSE 0.01/G5_01.tif </t>
  </si>
  <si>
    <t xml:space="preserve"> 1544.5166 </t>
  </si>
  <si>
    <t xml:space="preserve"> 64.0423 </t>
  </si>
  <si>
    <t xml:space="preserve">Q:\R&amp;D\2-Test oestrogénique\OECD and AOPs\REACTIV oecd interlaboratory validation\Results WF\Repeats for invalid experiments - EBO\2022-EBO-ARABINOSE R5\plaque 1/@08 ARABINOSE 0.01/G5_02.tif </t>
  </si>
  <si>
    <t xml:space="preserve"> 63.7761 </t>
  </si>
  <si>
    <t xml:space="preserve">Q:\R&amp;D\2-Test oestrogénique\OECD and AOPs\REACTIV oecd interlaboratory validation\Results WF\Repeats for invalid experiments - EBO\2022-EBO-ARABINOSE R5\plaque 1/@08 ARABINOSE 0.01/G5_03.tif </t>
  </si>
  <si>
    <t xml:space="preserve"> 64.2308 </t>
  </si>
  <si>
    <t xml:space="preserve">Q:\R&amp;D\2-Test oestrogénique\OECD and AOPs\REACTIV oecd interlaboratory validation\Results WF\Repeats for invalid experiments - EBO\2022-EBO-ARABINOSE R5\plaque 1/@08 ARABINOSE 0.01/H5_01.tif </t>
  </si>
  <si>
    <t xml:space="preserve">Q:\R&amp;D\2-Test oestrogénique\OECD and AOPs\REACTIV oecd interlaboratory validation\Results WF\Repeats for invalid experiments - EBO\2022-EBO-ARABINOSE R5\plaque 1/@08 ARABINOSE 0.01/H5_02.tif </t>
  </si>
  <si>
    <t xml:space="preserve"> 63.5385 </t>
  </si>
  <si>
    <t xml:space="preserve">Q:\R&amp;D\2-Test oestrogénique\OECD and AOPs\REACTIV oecd interlaboratory validation\Results WF\Repeats for invalid experiments - EBO\2022-EBO-ARABINOSE R5\plaque 1/@08 ARABINOSE 0.01/H5_03.tif </t>
  </si>
  <si>
    <t xml:space="preserve">Q:\R&amp;D\2-Test oestrogénique\OECD and AOPs\REACTIV oecd interlaboratory validation\Results WF\Repeats for invalid experiments - EBO\2022-EBO-ARABINOSE R5\plaque 1/@08 ARABINOSE 0.01/ </t>
  </si>
  <si>
    <t xml:space="preserve"> 66.9621 </t>
  </si>
  <si>
    <t xml:space="preserve"> 5.0034 </t>
  </si>
  <si>
    <t xml:space="preserve"> 266066.667 </t>
  </si>
  <si>
    <t xml:space="preserve"> 437436.579 </t>
  </si>
  <si>
    <t xml:space="preserve">Q:\R&amp;D\2-Test oestrogénique\OECD and AOPs\REACTIV oecd interlaboratory validation\Results WF\Repeats for invalid experiments - EBO\2022-EBO-ARABINOSE R5\plaque 1/@09 ARABINOSE 0.1/A6_01.tif </t>
  </si>
  <si>
    <t xml:space="preserve"> 5938.7751 </t>
  </si>
  <si>
    <t xml:space="preserve"> 70.6703 </t>
  </si>
  <si>
    <t xml:space="preserve">Q:\R&amp;D\2-Test oestrogénique\OECD and AOPs\REACTIV oecd interlaboratory validation\Results WF\Repeats for invalid experiments - EBO\2022-EBO-ARABINOSE R5\plaque 1/@09 ARABINOSE 0.1/A6_02.tif </t>
  </si>
  <si>
    <t xml:space="preserve"> 5046.8712 </t>
  </si>
  <si>
    <t xml:space="preserve"> 68.0948 </t>
  </si>
  <si>
    <t xml:space="preserve">Q:\R&amp;D\2-Test oestrogénique\OECD and AOPs\REACTIV oecd interlaboratory validation\Results WF\Repeats for invalid experiments - EBO\2022-EBO-ARABINOSE R5\plaque 1/@09 ARABINOSE 0.1/A6_03.tif </t>
  </si>
  <si>
    <t xml:space="preserve"> 72.8873 </t>
  </si>
  <si>
    <t xml:space="preserve">Q:\R&amp;D\2-Test oestrogénique\OECD and AOPs\REACTIV oecd interlaboratory validation\Results WF\Repeats for invalid experiments - EBO\2022-EBO-ARABINOSE R5\plaque 1/@09 ARABINOSE 0.1/B6_01.tif </t>
  </si>
  <si>
    <t xml:space="preserve"> 64.6144 </t>
  </si>
  <si>
    <t xml:space="preserve">Q:\R&amp;D\2-Test oestrogénique\OECD and AOPs\REACTIV oecd interlaboratory validation\Results WF\Repeats for invalid experiments - EBO\2022-EBO-ARABINOSE R5\plaque 1/@09 ARABINOSE 0.1/B6_02.tif </t>
  </si>
  <si>
    <t xml:space="preserve"> 1348.7328 </t>
  </si>
  <si>
    <t xml:space="preserve"> 64.8226 </t>
  </si>
  <si>
    <t xml:space="preserve">Q:\R&amp;D\2-Test oestrogénique\OECD and AOPs\REACTIV oecd interlaboratory validation\Results WF\Repeats for invalid experiments - EBO\2022-EBO-ARABINOSE R5\plaque 1/@09 ARABINOSE 0.1/B6_03.tif </t>
  </si>
  <si>
    <t xml:space="preserve"> 3045.5257 </t>
  </si>
  <si>
    <t xml:space="preserve"> 68.4714 </t>
  </si>
  <si>
    <t>Q:\R&amp;D\2-Test oestrogénique\OECD and AOPs\REACTIV oecd interlaboratory validation\Results WF\Repeats for invalid experiments - EBO\2022-EBO-ARABINOSE R5\plaque 1/@09 ARABINOSE 0.1/C6_01- exclu.tif</t>
  </si>
  <si>
    <t xml:space="preserve">Q:\R&amp;D\2-Test oestrogénique\OECD and AOPs\REACTIV oecd interlaboratory validation\Results WF\Repeats for invalid experiments - EBO\2022-EBO-ARABINOSE R5\plaque 1/@09 ARABINOSE 0.1/C6_02.tif </t>
  </si>
  <si>
    <t xml:space="preserve">Q:\R&amp;D\2-Test oestrogénique\OECD and AOPs\REACTIV oecd interlaboratory validation\Results WF\Repeats for invalid experiments - EBO\2022-EBO-ARABINOSE R5\plaque 1/@09 ARABINOSE 0.1/C6_03.tif </t>
  </si>
  <si>
    <t>Q:\R&amp;D\2-Test oestrogénique\OECD and AOPs\REACTIV oecd interlaboratory validation\Results WF\Repeats for invalid experiments - EBO\2022-EBO-ARABINOSE R5\plaque 1/@09 ARABINOSE 0.1/D6_01- exclu.tif</t>
  </si>
  <si>
    <t xml:space="preserve">Q:\R&amp;D\2-Test oestrogénique\OECD and AOPs\REACTIV oecd interlaboratory validation\Results WF\Repeats for invalid experiments - EBO\2022-EBO-ARABINOSE R5\plaque 1/@09 ARABINOSE 0.1/D6_02.tif </t>
  </si>
  <si>
    <t xml:space="preserve"> 61.25 </t>
  </si>
  <si>
    <t xml:space="preserve">Q:\R&amp;D\2-Test oestrogénique\OECD and AOPs\REACTIV oecd interlaboratory validation\Results WF\Repeats for invalid experiments - EBO\2022-EBO-ARABINOSE R5\plaque 1/@09 ARABINOSE 0.1/D6_03.tif </t>
  </si>
  <si>
    <t xml:space="preserve"> 62.3889 </t>
  </si>
  <si>
    <t xml:space="preserve">Q:\R&amp;D\2-Test oestrogénique\OECD and AOPs\REACTIV oecd interlaboratory validation\Results WF\Repeats for invalid experiments - EBO\2022-EBO-ARABINOSE R5\plaque 1/@09 ARABINOSE 0.1/E6_01.tif </t>
  </si>
  <si>
    <t xml:space="preserve"> 67.3 </t>
  </si>
  <si>
    <t xml:space="preserve">Q:\R&amp;D\2-Test oestrogénique\OECD and AOPs\REACTIV oecd interlaboratory validation\Results WF\Repeats for invalid experiments - EBO\2022-EBO-ARABINOSE R5\plaque 1/@09 ARABINOSE 0.1/E6_02.tif </t>
  </si>
  <si>
    <t xml:space="preserve"> 64.0877 </t>
  </si>
  <si>
    <t xml:space="preserve">Q:\R&amp;D\2-Test oestrogénique\OECD and AOPs\REACTIV oecd interlaboratory validation\Results WF\Repeats for invalid experiments - EBO\2022-EBO-ARABINOSE R5\plaque 1/@09 ARABINOSE 0.1/E6_03.tif </t>
  </si>
  <si>
    <t xml:space="preserve">Q:\R&amp;D\2-Test oestrogénique\OECD and AOPs\REACTIV oecd interlaboratory validation\Results WF\Repeats for invalid experiments - EBO\2022-EBO-ARABINOSE R5\plaque 1/@09 ARABINOSE 0.1/F6_01.tif </t>
  </si>
  <si>
    <t xml:space="preserve"> 66.6119 </t>
  </si>
  <si>
    <t xml:space="preserve">Q:\R&amp;D\2-Test oestrogénique\OECD and AOPs\REACTIV oecd interlaboratory validation\Results WF\Repeats for invalid experiments - EBO\2022-EBO-ARABINOSE R5\plaque 1/@09 ARABINOSE 0.1/F6_02.tif </t>
  </si>
  <si>
    <t xml:space="preserve"> 63.72 </t>
  </si>
  <si>
    <t xml:space="preserve">Q:\R&amp;D\2-Test oestrogénique\OECD and AOPs\REACTIV oecd interlaboratory validation\Results WF\Repeats for invalid experiments - EBO\2022-EBO-ARABINOSE R5\plaque 1/@09 ARABINOSE 0.1/F6_03.tif </t>
  </si>
  <si>
    <t xml:space="preserve"> 64.3846 </t>
  </si>
  <si>
    <t xml:space="preserve">Q:\R&amp;D\2-Test oestrogénique\OECD and AOPs\REACTIV oecd interlaboratory validation\Results WF\Repeats for invalid experiments - EBO\2022-EBO-ARABINOSE R5\plaque 1/@09 ARABINOSE 0.1/G6_01.tif </t>
  </si>
  <si>
    <t xml:space="preserve">Q:\R&amp;D\2-Test oestrogénique\OECD and AOPs\REACTIV oecd interlaboratory validation\Results WF\Repeats for invalid experiments - EBO\2022-EBO-ARABINOSE R5\plaque 1/@09 ARABINOSE 0.1/G6_02.tif </t>
  </si>
  <si>
    <t xml:space="preserve">Q:\R&amp;D\2-Test oestrogénique\OECD and AOPs\REACTIV oecd interlaboratory validation\Results WF\Repeats for invalid experiments - EBO\2022-EBO-ARABINOSE R5\plaque 1/@09 ARABINOSE 0.1/G6_03.tif </t>
  </si>
  <si>
    <t xml:space="preserve"> 62.2941 </t>
  </si>
  <si>
    <t>Q:\R&amp;D\2-Test oestrogénique\OECD and AOPs\REACTIV oecd interlaboratory validation\Results WF\Repeats for invalid experiments - EBO\2022-EBO-ARABINOSE R5\plaque 1/@09 ARABINOSE 0.1/H6_01- exclu.tif</t>
  </si>
  <si>
    <t>Q:\R&amp;D\2-Test oestrogénique\OECD and AOPs\REACTIV oecd interlaboratory validation\Results WF\Repeats for invalid experiments - EBO\2022-EBO-ARABINOSE R5\plaque 1/@09 ARABINOSE 0.1/H6_02- exclu.tif</t>
  </si>
  <si>
    <t xml:space="preserve">Q:\R&amp;D\2-Test oestrogénique\OECD and AOPs\REACTIV oecd interlaboratory validation\Results WF\Repeats for invalid experiments - EBO\2022-EBO-ARABINOSE R5\plaque 1/@09 ARABINOSE 0.1/H6_03.tif </t>
  </si>
  <si>
    <t xml:space="preserve"> 65.978 </t>
  </si>
  <si>
    <t xml:space="preserve">Q:\R&amp;D\2-Test oestrogénique\OECD and AOPs\REACTIV oecd interlaboratory validation\Results WF\Repeats for invalid experiments - EBO\2022-EBO-ARABINOSE R5\plaque 1/@09 ARABINOSE 0.1/ </t>
  </si>
  <si>
    <t xml:space="preserve"> 65.5071 </t>
  </si>
  <si>
    <t xml:space="preserve"> 3.7854 </t>
  </si>
  <si>
    <t xml:space="preserve"> 137378.583 </t>
  </si>
  <si>
    <t xml:space="preserve"> 172743.241 </t>
  </si>
  <si>
    <t xml:space="preserve">Q:\R&amp;D\2-Test oestrogénique\OECD and AOPs\REACTIV oecd interlaboratory validation\Results WF\Repeats for invalid experiments - EBO\2022-EBO-ARABINOSE R5\plaque 1/@10 ARABINOSE 1/A7_01.tif </t>
  </si>
  <si>
    <t xml:space="preserve"> 63.381 </t>
  </si>
  <si>
    <t xml:space="preserve">Q:\R&amp;D\2-Test oestrogénique\OECD and AOPs\REACTIV oecd interlaboratory validation\Results WF\Repeats for invalid experiments - EBO\2022-EBO-ARABINOSE R5\plaque 1/@10 ARABINOSE 1/A7_02.tif </t>
  </si>
  <si>
    <t xml:space="preserve"> 66.7222 </t>
  </si>
  <si>
    <t xml:space="preserve">Q:\R&amp;D\2-Test oestrogénique\OECD and AOPs\REACTIV oecd interlaboratory validation\Results WF\Repeats for invalid experiments - EBO\2022-EBO-ARABINOSE R5\plaque 1/@10 ARABINOSE 1/A7_03.tif </t>
  </si>
  <si>
    <t xml:space="preserve"> 63.4848 </t>
  </si>
  <si>
    <t>Q:\R&amp;D\2-Test oestrogénique\OECD and AOPs\REACTIV oecd interlaboratory validation\Results WF\Repeats for invalid experiments - EBO\2022-EBO-ARABINOSE R5\plaque 1/@10 ARABINOSE 1/B7_01- exclu.tif</t>
  </si>
  <si>
    <t xml:space="preserve">Q:\R&amp;D\2-Test oestrogénique\OECD and AOPs\REACTIV oecd interlaboratory validation\Results WF\Repeats for invalid experiments - EBO\2022-EBO-ARABINOSE R5\plaque 1/@10 ARABINOSE 1/B7_02.tif </t>
  </si>
  <si>
    <t xml:space="preserve"> 2806.2344 </t>
  </si>
  <si>
    <t xml:space="preserve"> 66.8527 </t>
  </si>
  <si>
    <t xml:space="preserve">Q:\R&amp;D\2-Test oestrogénique\OECD and AOPs\REACTIV oecd interlaboratory validation\Results WF\Repeats for invalid experiments - EBO\2022-EBO-ARABINOSE R5\plaque 1/@10 ARABINOSE 1/B7_03.tif </t>
  </si>
  <si>
    <t xml:space="preserve"> 64.2857 </t>
  </si>
  <si>
    <t xml:space="preserve">Q:\R&amp;D\2-Test oestrogénique\OECD and AOPs\REACTIV oecd interlaboratory validation\Results WF\Repeats for invalid experiments - EBO\2022-EBO-ARABINOSE R5\plaque 1/@10 ARABINOSE 1/C7_01.tif </t>
  </si>
  <si>
    <t>Q:\R&amp;D\2-Test oestrogénique\OECD and AOPs\REACTIV oecd interlaboratory validation\Results WF\Repeats for invalid experiments - EBO\2022-EBO-ARABINOSE R5\plaque 1/@10 ARABINOSE 1/C7_02- exclu.tif</t>
  </si>
  <si>
    <t>Q:\R&amp;D\2-Test oestrogénique\OECD and AOPs\REACTIV oecd interlaboratory validation\Results WF\Repeats for invalid experiments - EBO\2022-EBO-ARABINOSE R5\plaque 1/@10 ARABINOSE 1/C7_03- exclu.tif</t>
  </si>
  <si>
    <t xml:space="preserve">Q:\R&amp;D\2-Test oestrogénique\OECD and AOPs\REACTIV oecd interlaboratory validation\Results WF\Repeats for invalid experiments - EBO\2022-EBO-ARABINOSE R5\plaque 1/@10 ARABINOSE 1/D7_01.tif </t>
  </si>
  <si>
    <t xml:space="preserve">Q:\R&amp;D\2-Test oestrogénique\OECD and AOPs\REACTIV oecd interlaboratory validation\Results WF\Repeats for invalid experiments - EBO\2022-EBO-ARABINOSE R5\plaque 1/@10 ARABINOSE 1/D7_02.tif </t>
  </si>
  <si>
    <t xml:space="preserve"> 65.1837 </t>
  </si>
  <si>
    <t xml:space="preserve">Q:\R&amp;D\2-Test oestrogénique\OECD and AOPs\REACTIV oecd interlaboratory validation\Results WF\Repeats for invalid experiments - EBO\2022-EBO-ARABINOSE R5\plaque 1/@10 ARABINOSE 1/D7_03.tif </t>
  </si>
  <si>
    <t xml:space="preserve"> 63.9333 </t>
  </si>
  <si>
    <t xml:space="preserve">Q:\R&amp;D\2-Test oestrogénique\OECD and AOPs\REACTIV oecd interlaboratory validation\Results WF\Repeats for invalid experiments - EBO\2022-EBO-ARABINOSE R5\plaque 1/@10 ARABINOSE 1/E7_01.tif </t>
  </si>
  <si>
    <t xml:space="preserve"> 10876.8775 </t>
  </si>
  <si>
    <t xml:space="preserve"> 80.816 </t>
  </si>
  <si>
    <t>Q:\R&amp;D\2-Test oestrogénique\OECD and AOPs\REACTIV oecd interlaboratory validation\Results WF\Repeats for invalid experiments - EBO\2022-EBO-ARABINOSE R5\plaque 1/@10 ARABINOSE 1/E7_02- exclu.tif</t>
  </si>
  <si>
    <t>Q:\R&amp;D\2-Test oestrogénique\OECD and AOPs\REACTIV oecd interlaboratory validation\Results WF\Repeats for invalid experiments - EBO\2022-EBO-ARABINOSE R5\plaque 1/@10 ARABINOSE 1/E7_03- exclu.tif</t>
  </si>
  <si>
    <t xml:space="preserve">Q:\R&amp;D\2-Test oestrogénique\OECD and AOPs\REACTIV oecd interlaboratory validation\Results WF\Repeats for invalid experiments - EBO\2022-EBO-ARABINOSE R5\plaque 1/@10 ARABINOSE 1/F7_01.tif </t>
  </si>
  <si>
    <t xml:space="preserve"> 1413.9941 </t>
  </si>
  <si>
    <t xml:space="preserve"> 63.7231 </t>
  </si>
  <si>
    <t>Q:\R&amp;D\2-Test oestrogénique\OECD and AOPs\REACTIV oecd interlaboratory validation\Results WF\Repeats for invalid experiments - EBO\2022-EBO-ARABINOSE R5\plaque 1/@10 ARABINOSE 1/F7_02- exclu.tif</t>
  </si>
  <si>
    <t xml:space="preserve">Q:\R&amp;D\2-Test oestrogénique\OECD and AOPs\REACTIV oecd interlaboratory validation\Results WF\Repeats for invalid experiments - EBO\2022-EBO-ARABINOSE R5\plaque 1/@10 ARABINOSE 1/F7_03.tif </t>
  </si>
  <si>
    <t xml:space="preserve"> 1870.8229 </t>
  </si>
  <si>
    <t xml:space="preserve"> 64.3372 </t>
  </si>
  <si>
    <t xml:space="preserve">Q:\R&amp;D\2-Test oestrogénique\OECD and AOPs\REACTIV oecd interlaboratory validation\Results WF\Repeats for invalid experiments - EBO\2022-EBO-ARABINOSE R5\plaque 1/@10 ARABINOSE 1/G7_01.tif </t>
  </si>
  <si>
    <t xml:space="preserve"> 61.9091 </t>
  </si>
  <si>
    <t xml:space="preserve">Q:\R&amp;D\2-Test oestrogénique\OECD and AOPs\REACTIV oecd interlaboratory validation\Results WF\Repeats for invalid experiments - EBO\2022-EBO-ARABINOSE R5\plaque 1/@10 ARABINOSE 1/G7_02.tif </t>
  </si>
  <si>
    <t xml:space="preserve"> 64.6316 </t>
  </si>
  <si>
    <t xml:space="preserve">Q:\R&amp;D\2-Test oestrogénique\OECD and AOPs\REACTIV oecd interlaboratory validation\Results WF\Repeats for invalid experiments - EBO\2022-EBO-ARABINOSE R5\plaque 1/@10 ARABINOSE 1/G7_03.tif </t>
  </si>
  <si>
    <t xml:space="preserve">Q:\R&amp;D\2-Test oestrogénique\OECD and AOPs\REACTIV oecd interlaboratory validation\Results WF\Repeats for invalid experiments - EBO\2022-EBO-ARABINOSE R5\plaque 1/@10 ARABINOSE 1/H7_01.tif </t>
  </si>
  <si>
    <t xml:space="preserve"> 3241.3095 </t>
  </si>
  <si>
    <t xml:space="preserve"> 66.4094 </t>
  </si>
  <si>
    <t>Q:\R&amp;D\2-Test oestrogénique\OECD and AOPs\REACTIV oecd interlaboratory validation\Results WF\Repeats for invalid experiments - EBO\2022-EBO-ARABINOSE R5\plaque 1/@10 ARABINOSE 1/H7_02- exclu.tif</t>
  </si>
  <si>
    <t>Q:\R&amp;D\2-Test oestrogénique\OECD and AOPs\REACTIV oecd interlaboratory validation\Results WF\Repeats for invalid experiments - EBO\2022-EBO-ARABINOSE R5\plaque 1/@10 ARABINOSE 1/H7_03- exclu.tif</t>
  </si>
  <si>
    <t xml:space="preserve">Q:\R&amp;D\2-Test oestrogénique\OECD and AOPs\REACTIV oecd interlaboratory validation\Results WF\Repeats for invalid experiments - EBO\2022-EBO-ARABINOSE R5\plaque 1/@10 ARABINOSE 1/ </t>
  </si>
  <si>
    <t xml:space="preserve"> 66.4142 </t>
  </si>
  <si>
    <t xml:space="preserve"> 5.6001 </t>
  </si>
  <si>
    <t xml:space="preserve"> 158783.375 </t>
  </si>
  <si>
    <t xml:space="preserve"> 287231.758 </t>
  </si>
  <si>
    <t xml:space="preserve">Q:\R&amp;D\2-Test oestrogénique\OECD and AOPs\REACTIV oecd interlaboratory validation\Results WF\Repeats for invalid experiments - EBO\2022-EBO-ARABINOSE R5\plaque 1/@11 ARABINOSE 10/A8_01.tif </t>
  </si>
  <si>
    <t xml:space="preserve"> 64.9052 </t>
  </si>
  <si>
    <t xml:space="preserve">Q:\R&amp;D\2-Test oestrogénique\OECD and AOPs\REACTIV oecd interlaboratory validation\Results WF\Repeats for invalid experiments - EBO\2022-EBO-ARABINOSE R5\plaque 1/@11 ARABINOSE 10/A8_02.tif </t>
  </si>
  <si>
    <t xml:space="preserve"> 65.375 </t>
  </si>
  <si>
    <t xml:space="preserve">Q:\R&amp;D\2-Test oestrogénique\OECD and AOPs\REACTIV oecd interlaboratory validation\Results WF\Repeats for invalid experiments - EBO\2022-EBO-ARABINOSE R5\plaque 1/@11 ARABINOSE 10/A8_03.tif </t>
  </si>
  <si>
    <t xml:space="preserve"> 66.3663 </t>
  </si>
  <si>
    <t xml:space="preserve">Q:\R&amp;D\2-Test oestrogénique\OECD and AOPs\REACTIV oecd interlaboratory validation\Results WF\Repeats for invalid experiments - EBO\2022-EBO-ARABINOSE R5\plaque 1/@11 ARABINOSE 10/B8_01.tif </t>
  </si>
  <si>
    <t xml:space="preserve"> 64.2105 </t>
  </si>
  <si>
    <t xml:space="preserve">Q:\R&amp;D\2-Test oestrogénique\OECD and AOPs\REACTIV oecd interlaboratory validation\Results WF\Repeats for invalid experiments - EBO\2022-EBO-ARABINOSE R5\plaque 1/@11 ARABINOSE 10/B8_02.tif </t>
  </si>
  <si>
    <t xml:space="preserve"> 61.1429 </t>
  </si>
  <si>
    <t xml:space="preserve">Q:\R&amp;D\2-Test oestrogénique\OECD and AOPs\REACTIV oecd interlaboratory validation\Results WF\Repeats for invalid experiments - EBO\2022-EBO-ARABINOSE R5\plaque 1/@11 ARABINOSE 10/B8_03.tif </t>
  </si>
  <si>
    <t xml:space="preserve">Q:\R&amp;D\2-Test oestrogénique\OECD and AOPs\REACTIV oecd interlaboratory validation\Results WF\Repeats for invalid experiments - EBO\2022-EBO-ARABINOSE R5\plaque 1/@11 ARABINOSE 10/C8_01.tif </t>
  </si>
  <si>
    <t xml:space="preserve"> 4220.2285 </t>
  </si>
  <si>
    <t xml:space="preserve"> 68.1082 </t>
  </si>
  <si>
    <t xml:space="preserve">Q:\R&amp;D\2-Test oestrogénique\OECD and AOPs\REACTIV oecd interlaboratory validation\Results WF\Repeats for invalid experiments - EBO\2022-EBO-ARABINOSE R5\plaque 1/@11 ARABINOSE 10/C8_02.tif </t>
  </si>
  <si>
    <t xml:space="preserve"> 67.32 </t>
  </si>
  <si>
    <t xml:space="preserve">Q:\R&amp;D\2-Test oestrogénique\OECD and AOPs\REACTIV oecd interlaboratory validation\Results WF\Repeats for invalid experiments - EBO\2022-EBO-ARABINOSE R5\plaque 1/@11 ARABINOSE 10/C8_03.tif </t>
  </si>
  <si>
    <t xml:space="preserve"> 3263.0633 </t>
  </si>
  <si>
    <t xml:space="preserve"> 66.4867 </t>
  </si>
  <si>
    <t xml:space="preserve">Q:\R&amp;D\2-Test oestrogénique\OECD and AOPs\REACTIV oecd interlaboratory validation\Results WF\Repeats for invalid experiments - EBO\2022-EBO-ARABINOSE R5\plaque 1/@11 ARABINOSE 10/D8_01.tif </t>
  </si>
  <si>
    <t xml:space="preserve"> 2327.6518 </t>
  </si>
  <si>
    <t xml:space="preserve"> 64.9439 </t>
  </si>
  <si>
    <t xml:space="preserve">Q:\R&amp;D\2-Test oestrogénique\OECD and AOPs\REACTIV oecd interlaboratory validation\Results WF\Repeats for invalid experiments - EBO\2022-EBO-ARABINOSE R5\plaque 1/@11 ARABINOSE 10/D8_02.tif </t>
  </si>
  <si>
    <t xml:space="preserve"> 63.1786 </t>
  </si>
  <si>
    <t xml:space="preserve">Q:\R&amp;D\2-Test oestrogénique\OECD and AOPs\REACTIV oecd interlaboratory validation\Results WF\Repeats for invalid experiments - EBO\2022-EBO-ARABINOSE R5\plaque 1/@11 ARABINOSE 10/D8_03.tif </t>
  </si>
  <si>
    <t xml:space="preserve"> 67.0727 </t>
  </si>
  <si>
    <t xml:space="preserve">Q:\R&amp;D\2-Test oestrogénique\OECD and AOPs\REACTIV oecd interlaboratory validation\Results WF\Repeats for invalid experiments - EBO\2022-EBO-ARABINOSE R5\plaque 1/@11 ARABINOSE 10/E8_01.tif </t>
  </si>
  <si>
    <t xml:space="preserve"> 62.55 </t>
  </si>
  <si>
    <t xml:space="preserve">Q:\R&amp;D\2-Test oestrogénique\OECD and AOPs\REACTIV oecd interlaboratory validation\Results WF\Repeats for invalid experiments - EBO\2022-EBO-ARABINOSE R5\plaque 1/@11 ARABINOSE 10/E8_02.tif </t>
  </si>
  <si>
    <t>Q:\R&amp;D\2-Test oestrogénique\OECD and AOPs\REACTIV oecd interlaboratory validation\Results WF\Repeats for invalid experiments - EBO\2022-EBO-ARABINOSE R5\plaque 1/@11 ARABINOSE 10/E8_03- exclu.tif</t>
  </si>
  <si>
    <t xml:space="preserve">Q:\R&amp;D\2-Test oestrogénique\OECD and AOPs\REACTIV oecd interlaboratory validation\Results WF\Repeats for invalid experiments - EBO\2022-EBO-ARABINOSE R5\plaque 1/@11 ARABINOSE 10/F8_01.tif </t>
  </si>
  <si>
    <t xml:space="preserve">Q:\R&amp;D\2-Test oestrogénique\OECD and AOPs\REACTIV oecd interlaboratory validation\Results WF\Repeats for invalid experiments - EBO\2022-EBO-ARABINOSE R5\plaque 1/@11 ARABINOSE 10/F8_02.tif </t>
  </si>
  <si>
    <t xml:space="preserve"> 67.9451 </t>
  </si>
  <si>
    <t xml:space="preserve">Q:\R&amp;D\2-Test oestrogénique\OECD and AOPs\REACTIV oecd interlaboratory validation\Results WF\Repeats for invalid experiments - EBO\2022-EBO-ARABINOSE R5\plaque 1/@11 ARABINOSE 10/F8_03.tif </t>
  </si>
  <si>
    <t xml:space="preserve">Q:\R&amp;D\2-Test oestrogénique\OECD and AOPs\REACTIV oecd interlaboratory validation\Results WF\Repeats for invalid experiments - EBO\2022-EBO-ARABINOSE R5\plaque 1/@11 ARABINOSE 10/G8_01.tif </t>
  </si>
  <si>
    <t xml:space="preserve"> 2414.6668 </t>
  </si>
  <si>
    <t xml:space="preserve"> 67.027 </t>
  </si>
  <si>
    <t>Q:\R&amp;D\2-Test oestrogénique\OECD and AOPs\REACTIV oecd interlaboratory validation\Results WF\Repeats for invalid experiments - EBO\2022-EBO-ARABINOSE R5\plaque 1/@11 ARABINOSE 10/G8_02- exclu.tif</t>
  </si>
  <si>
    <t xml:space="preserve">Q:\R&amp;D\2-Test oestrogénique\OECD and AOPs\REACTIV oecd interlaboratory validation\Results WF\Repeats for invalid experiments - EBO\2022-EBO-ARABINOSE R5\plaque 1/@11 ARABINOSE 10/G8_03.tif </t>
  </si>
  <si>
    <t xml:space="preserve">Q:\R&amp;D\2-Test oestrogénique\OECD and AOPs\REACTIV oecd interlaboratory validation\Results WF\Repeats for invalid experiments - EBO\2022-EBO-ARABINOSE R5\plaque 1/@11 ARABINOSE 10/H8_01.tif </t>
  </si>
  <si>
    <t xml:space="preserve"> 3132.5407 </t>
  </si>
  <si>
    <t xml:space="preserve"> 65.6042 </t>
  </si>
  <si>
    <t xml:space="preserve">Q:\R&amp;D\2-Test oestrogénique\OECD and AOPs\REACTIV oecd interlaboratory validation\Results WF\Repeats for invalid experiments - EBO\2022-EBO-ARABINOSE R5\plaque 1/@11 ARABINOSE 10/H8_02.tif </t>
  </si>
  <si>
    <t xml:space="preserve"> 62.8235 </t>
  </si>
  <si>
    <t xml:space="preserve">Q:\R&amp;D\2-Test oestrogénique\OECD and AOPs\REACTIV oecd interlaboratory validation\Results WF\Repeats for invalid experiments - EBO\2022-EBO-ARABINOSE R5\plaque 1/@11 ARABINOSE 10/H8_03.tif </t>
  </si>
  <si>
    <t xml:space="preserve">Q:\R&amp;D\2-Test oestrogénique\OECD and AOPs\REACTIV oecd interlaboratory validation\Results WF\Repeats for invalid experiments - EBO\2022-EBO-ARABINOSE R5\plaque 1/@11 ARABINOSE 10/ </t>
  </si>
  <si>
    <t xml:space="preserve"> 64.7806 </t>
  </si>
  <si>
    <t xml:space="preserve"> 1.9434 </t>
  </si>
  <si>
    <t xml:space="preserve"> 91045.875 </t>
  </si>
  <si>
    <t xml:space="preserve"> 86717.2065 </t>
  </si>
  <si>
    <t xml:space="preserve">Q:\R&amp;D\2-Test oestrogénique\OECD and AOPs\REACTIV oecd interlaboratory validation\Results WF\Repeats for invalid experiments - EBO\2022-EBO-ARABINOSE R5\plaque 1/@12 ARABINOSE 100/A9_01.tif </t>
  </si>
  <si>
    <t xml:space="preserve">Q:\R&amp;D\2-Test oestrogénique\OECD and AOPs\REACTIV oecd interlaboratory validation\Results WF\Repeats for invalid experiments - EBO\2022-EBO-ARABINOSE R5\plaque 1/@12 ARABINOSE 100/A9_02.tif </t>
  </si>
  <si>
    <t xml:space="preserve"> 2632.2044 </t>
  </si>
  <si>
    <t xml:space="preserve"> 64.9835 </t>
  </si>
  <si>
    <t xml:space="preserve">Q:\R&amp;D\2-Test oestrogénique\OECD and AOPs\REACTIV oecd interlaboratory validation\Results WF\Repeats for invalid experiments - EBO\2022-EBO-ARABINOSE R5\plaque 1/@12 ARABINOSE 100/A9_03.tif </t>
  </si>
  <si>
    <t xml:space="preserve"> 64.5741 </t>
  </si>
  <si>
    <t xml:space="preserve">Q:\R&amp;D\2-Test oestrogénique\OECD and AOPs\REACTIV oecd interlaboratory validation\Results WF\Repeats for invalid experiments - EBO\2022-EBO-ARABINOSE R5\plaque 1/@12 ARABINOSE 100/B9_01.tif </t>
  </si>
  <si>
    <t xml:space="preserve"> 65.42 </t>
  </si>
  <si>
    <t xml:space="preserve">Q:\R&amp;D\2-Test oestrogénique\OECD and AOPs\REACTIV oecd interlaboratory validation\Results WF\Repeats for invalid experiments - EBO\2022-EBO-ARABINOSE R5\plaque 1/@12 ARABINOSE 100/B9_02.tif </t>
  </si>
  <si>
    <t xml:space="preserve"> 66.0732 </t>
  </si>
  <si>
    <t xml:space="preserve">Q:\R&amp;D\2-Test oestrogénique\OECD and AOPs\REACTIV oecd interlaboratory validation\Results WF\Repeats for invalid experiments - EBO\2022-EBO-ARABINOSE R5\plaque 1/@12 ARABINOSE 100/B9_03.tif </t>
  </si>
  <si>
    <t xml:space="preserve"> 68.2299 </t>
  </si>
  <si>
    <t xml:space="preserve">Q:\R&amp;D\2-Test oestrogénique\OECD and AOPs\REACTIV oecd interlaboratory validation\Results WF\Repeats for invalid experiments - EBO\2022-EBO-ARABINOSE R5\plaque 1/@12 ARABINOSE 100/C9_01.tif </t>
  </si>
  <si>
    <t xml:space="preserve"> 64.9324 </t>
  </si>
  <si>
    <t>Q:\R&amp;D\2-Test oestrogénique\OECD and AOPs\REACTIV oecd interlaboratory validation\Results WF\Repeats for invalid experiments - EBO\2022-EBO-ARABINOSE R5\plaque 1/@12 ARABINOSE 100/C9_02- exclu.tif</t>
  </si>
  <si>
    <t>Q:\R&amp;D\2-Test oestrogénique\OECD and AOPs\REACTIV oecd interlaboratory validation\Results WF\Repeats for invalid experiments - EBO\2022-EBO-ARABINOSE R5\plaque 1/@12 ARABINOSE 100/C9_03- exclu.tif</t>
  </si>
  <si>
    <t xml:space="preserve">Q:\R&amp;D\2-Test oestrogénique\OECD and AOPs\REACTIV oecd interlaboratory validation\Results WF\Repeats for invalid experiments - EBO\2022-EBO-ARABINOSE R5\plaque 1/@12 ARABINOSE 100/D9_01.tif </t>
  </si>
  <si>
    <t xml:space="preserve"> 65.4 </t>
  </si>
  <si>
    <t xml:space="preserve">Q:\R&amp;D\2-Test oestrogénique\OECD and AOPs\REACTIV oecd interlaboratory validation\Results WF\Repeats for invalid experiments - EBO\2022-EBO-ARABINOSE R5\plaque 1/@12 ARABINOSE 100/D9_02.tif </t>
  </si>
  <si>
    <t xml:space="preserve">Q:\R&amp;D\2-Test oestrogénique\OECD and AOPs\REACTIV oecd interlaboratory validation\Results WF\Repeats for invalid experiments - EBO\2022-EBO-ARABINOSE R5\plaque 1/@12 ARABINOSE 100/D9_03.tif </t>
  </si>
  <si>
    <t xml:space="preserve">Q:\R&amp;D\2-Test oestrogénique\OECD and AOPs\REACTIV oecd interlaboratory validation\Results WF\Repeats for invalid experiments - EBO\2022-EBO-ARABINOSE R5\plaque 1/@12 ARABINOSE 100/E9_01.tif </t>
  </si>
  <si>
    <t xml:space="preserve"> 64.5333 </t>
  </si>
  <si>
    <t xml:space="preserve">Q:\R&amp;D\2-Test oestrogénique\OECD and AOPs\REACTIV oecd interlaboratory validation\Results WF\Repeats for invalid experiments - EBO\2022-EBO-ARABINOSE R5\plaque 1/@12 ARABINOSE 100/E9_02.tif </t>
  </si>
  <si>
    <t xml:space="preserve">Q:\R&amp;D\2-Test oestrogénique\OECD and AOPs\REACTIV oecd interlaboratory validation\Results WF\Repeats for invalid experiments - EBO\2022-EBO-ARABINOSE R5\plaque 1/@12 ARABINOSE 100/E9_03.tif </t>
  </si>
  <si>
    <t xml:space="preserve">Q:\R&amp;D\2-Test oestrogénique\OECD and AOPs\REACTIV oecd interlaboratory validation\Results WF\Repeats for invalid experiments - EBO\2022-EBO-ARABINOSE R5\plaque 1/@12 ARABINOSE 100/F9_01.tif </t>
  </si>
  <si>
    <t xml:space="preserve"> 3567.6158 </t>
  </si>
  <si>
    <t xml:space="preserve"> 65.0122 </t>
  </si>
  <si>
    <t xml:space="preserve">Q:\R&amp;D\2-Test oestrogénique\OECD and AOPs\REACTIV oecd interlaboratory validation\Results WF\Repeats for invalid experiments - EBO\2022-EBO-ARABINOSE R5\plaque 1/@12 ARABINOSE 100/F9_02.tif </t>
  </si>
  <si>
    <t xml:space="preserve"> 3850.4146 </t>
  </si>
  <si>
    <t xml:space="preserve"> 68.3559 </t>
  </si>
  <si>
    <t xml:space="preserve">Q:\R&amp;D\2-Test oestrogénique\OECD and AOPs\REACTIV oecd interlaboratory validation\Results WF\Repeats for invalid experiments - EBO\2022-EBO-ARABINOSE R5\plaque 1/@12 ARABINOSE 100/F9_03.tif </t>
  </si>
  <si>
    <t xml:space="preserve"> 66.2737 </t>
  </si>
  <si>
    <t xml:space="preserve">Q:\R&amp;D\2-Test oestrogénique\OECD and AOPs\REACTIV oecd interlaboratory validation\Results WF\Repeats for invalid experiments - EBO\2022-EBO-ARABINOSE R5\plaque 1/@12 ARABINOSE 100/G9_01.tif </t>
  </si>
  <si>
    <t xml:space="preserve"> 66.1364 </t>
  </si>
  <si>
    <t xml:space="preserve">Q:\R&amp;D\2-Test oestrogénique\OECD and AOPs\REACTIV oecd interlaboratory validation\Results WF\Repeats for invalid experiments - EBO\2022-EBO-ARABINOSE R5\plaque 1/@12 ARABINOSE 100/G9_02.tif </t>
  </si>
  <si>
    <t xml:space="preserve">Q:\R&amp;D\2-Test oestrogénique\OECD and AOPs\REACTIV oecd interlaboratory validation\Results WF\Repeats for invalid experiments - EBO\2022-EBO-ARABINOSE R5\plaque 1/@12 ARABINOSE 100/G9_03.tif </t>
  </si>
  <si>
    <t xml:space="preserve">Q:\R&amp;D\2-Test oestrogénique\OECD and AOPs\REACTIV oecd interlaboratory validation\Results WF\Repeats for invalid experiments - EBO\2022-EBO-ARABINOSE R5\plaque 1/@12 ARABINOSE 100/H9_01.tif </t>
  </si>
  <si>
    <t xml:space="preserve"> 5112.1324 </t>
  </si>
  <si>
    <t xml:space="preserve"> 73.9064 </t>
  </si>
  <si>
    <t>Q:\R&amp;D\2-Test oestrogénique\OECD and AOPs\REACTIV oecd interlaboratory validation\Results WF\Repeats for invalid experiments - EBO\2022-EBO-ARABINOSE R5\plaque 1/@12 ARABINOSE 100/H9_02- exclu.tif</t>
  </si>
  <si>
    <t>Q:\R&amp;D\2-Test oestrogénique\OECD and AOPs\REACTIV oecd interlaboratory validation\Results WF\Repeats for invalid experiments - EBO\2022-EBO-ARABINOSE R5\plaque 1/@12 ARABINOSE 100/H9_03- exclu.tif</t>
  </si>
  <si>
    <t xml:space="preserve">Q:\R&amp;D\2-Test oestrogénique\OECD and AOPs\REACTIV oecd interlaboratory validation\Results WF\Repeats for invalid experiments - EBO\2022-EBO-ARABINOSE R5\plaque 1/@12 ARABINOSE 100/ </t>
  </si>
  <si>
    <t xml:space="preserve"> 65.3042 </t>
  </si>
  <si>
    <t xml:space="preserve"> 2.3495 </t>
  </si>
  <si>
    <t xml:space="preserve"> 98427.5833 </t>
  </si>
  <si>
    <t xml:space="preserve"> 103180.317 </t>
  </si>
  <si>
    <t>Q:\R&amp;D\2-Test oestrogénique\OECD and AOPs\REACTIV oecd interlaboratory validation\Results WF\Repeats for invalid experiments - EBO\2022-EBO-ARABINOSE R5\plaque 2/@13 TESTO 0.2/A1_01- exclu.tif</t>
  </si>
  <si>
    <t xml:space="preserve">Q:\R&amp;D\2-Test oestrogénique\OECD and AOPs\REACTIV oecd interlaboratory validation\Results WF\Repeats for invalid experiments - EBO\2022-EBO-ARABINOSE R5\plaque 2/@13 TESTO 0.2/A1_02.tif </t>
  </si>
  <si>
    <t xml:space="preserve"> 8723.2558 </t>
  </si>
  <si>
    <t xml:space="preserve"> 64.3791 </t>
  </si>
  <si>
    <t xml:space="preserve">Q:\R&amp;D\2-Test oestrogénique\OECD and AOPs\REACTIV oecd interlaboratory validation\Results WF\Repeats for invalid experiments - EBO\2022-EBO-ARABINOSE R5\plaque 2/@13 TESTO 0.2/A1_03.tif </t>
  </si>
  <si>
    <t xml:space="preserve"> 12138.5953 </t>
  </si>
  <si>
    <t xml:space="preserve"> 65.491 </t>
  </si>
  <si>
    <t xml:space="preserve">Q:\R&amp;D\2-Test oestrogénique\OECD and AOPs\REACTIV oecd interlaboratory validation\Results WF\Repeats for invalid experiments - EBO\2022-EBO-ARABINOSE R5\plaque 2/@13 TESTO 0.2/B1_01.tif </t>
  </si>
  <si>
    <t xml:space="preserve"> 26931.1487 </t>
  </si>
  <si>
    <t xml:space="preserve"> 68.6511 </t>
  </si>
  <si>
    <t>Q:\R&amp;D\2-Test oestrogénique\OECD and AOPs\REACTIV oecd interlaboratory validation\Results WF\Repeats for invalid experiments - EBO\2022-EBO-ARABINOSE R5\plaque 2/@13 TESTO 0.2/B1_02- exclu.tif</t>
  </si>
  <si>
    <t xml:space="preserve">Q:\R&amp;D\2-Test oestrogénique\OECD and AOPs\REACTIV oecd interlaboratory validation\Results WF\Repeats for invalid experiments - EBO\2022-EBO-ARABINOSE R5\plaque 2/@13 TESTO 0.2/B1_03.tif </t>
  </si>
  <si>
    <t xml:space="preserve"> 21209.9111 </t>
  </si>
  <si>
    <t xml:space="preserve"> 66.6123 </t>
  </si>
  <si>
    <t xml:space="preserve">Q:\R&amp;D\2-Test oestrogénique\OECD and AOPs\REACTIV oecd interlaboratory validation\Results WF\Repeats for invalid experiments - EBO\2022-EBO-ARABINOSE R5\plaque 2/@13 TESTO 0.2/C1_01.tif </t>
  </si>
  <si>
    <t xml:space="preserve"> 12899.9767 </t>
  </si>
  <si>
    <t xml:space="preserve"> 64.9342 </t>
  </si>
  <si>
    <t xml:space="preserve">Q:\R&amp;D\2-Test oestrogénique\OECD and AOPs\REACTIV oecd interlaboratory validation\Results WF\Repeats for invalid experiments - EBO\2022-EBO-ARABINOSE R5\plaque 2/@13 TESTO 0.2/C1_02.tif </t>
  </si>
  <si>
    <t xml:space="preserve"> 13878.8957 </t>
  </si>
  <si>
    <t xml:space="preserve"> 64.873 </t>
  </si>
  <si>
    <t>Q:\R&amp;D\2-Test oestrogénique\OECD and AOPs\REACTIV oecd interlaboratory validation\Results WF\Repeats for invalid experiments - EBO\2022-EBO-ARABINOSE R5\plaque 2/@13 TESTO 0.2/C1_03- exclu.tif</t>
  </si>
  <si>
    <t xml:space="preserve">Q:\R&amp;D\2-Test oestrogénique\OECD and AOPs\REACTIV oecd interlaboratory validation\Results WF\Repeats for invalid experiments - EBO\2022-EBO-ARABINOSE R5\plaque 2/@13 TESTO 0.2/D1_01.tif </t>
  </si>
  <si>
    <t xml:space="preserve"> 13857.1419 </t>
  </si>
  <si>
    <t xml:space="preserve"> 68.3093 </t>
  </si>
  <si>
    <t xml:space="preserve">Q:\R&amp;D\2-Test oestrogénique\OECD and AOPs\REACTIV oecd interlaboratory validation\Results WF\Repeats for invalid experiments - EBO\2022-EBO-ARABINOSE R5\plaque 2/@13 TESTO 0.2/D1_02.tif </t>
  </si>
  <si>
    <t xml:space="preserve"> 68.666 </t>
  </si>
  <si>
    <t xml:space="preserve">Q:\R&amp;D\2-Test oestrogénique\OECD and AOPs\REACTIV oecd interlaboratory validation\Results WF\Repeats for invalid experiments - EBO\2022-EBO-ARABINOSE R5\plaque 2/@13 TESTO 0.2/D1_03.tif </t>
  </si>
  <si>
    <t xml:space="preserve"> 66.8676 </t>
  </si>
  <si>
    <t xml:space="preserve">Q:\R&amp;D\2-Test oestrogénique\OECD and AOPs\REACTIV oecd interlaboratory validation\Results WF\Repeats for invalid experiments - EBO\2022-EBO-ARABINOSE R5\plaque 2/@13 TESTO 0.2/E1_01.tif </t>
  </si>
  <si>
    <t xml:space="preserve"> 31608.206 </t>
  </si>
  <si>
    <t xml:space="preserve"> 69.0833 </t>
  </si>
  <si>
    <t xml:space="preserve">Q:\R&amp;D\2-Test oestrogénique\OECD and AOPs\REACTIV oecd interlaboratory validation\Results WF\Repeats for invalid experiments - EBO\2022-EBO-ARABINOSE R5\plaque 2/@13 TESTO 0.2/E1_02.tif </t>
  </si>
  <si>
    <t xml:space="preserve"> 36589.8159 </t>
  </si>
  <si>
    <t xml:space="preserve"> 69.6433 </t>
  </si>
  <si>
    <t xml:space="preserve">Q:\R&amp;D\2-Test oestrogénique\OECD and AOPs\REACTIV oecd interlaboratory validation\Results WF\Repeats for invalid experiments - EBO\2022-EBO-ARABINOSE R5\plaque 2/@13 TESTO 0.2/E1_03.tif </t>
  </si>
  <si>
    <t xml:space="preserve"> 32021.5274 </t>
  </si>
  <si>
    <t xml:space="preserve"> 68.8458 </t>
  </si>
  <si>
    <t xml:space="preserve">Q:\R&amp;D\2-Test oestrogénique\OECD and AOPs\REACTIV oecd interlaboratory validation\Results WF\Repeats for invalid experiments - EBO\2022-EBO-ARABINOSE R5\plaque 2/@13 TESTO 0.2/F1_01.tif </t>
  </si>
  <si>
    <t xml:space="preserve"> 18904.0131 </t>
  </si>
  <si>
    <t xml:space="preserve"> 66.5132 </t>
  </si>
  <si>
    <t xml:space="preserve">Q:\R&amp;D\2-Test oestrogénique\OECD and AOPs\REACTIV oecd interlaboratory validation\Results WF\Repeats for invalid experiments - EBO\2022-EBO-ARABINOSE R5\plaque 2/@13 TESTO 0.2/F1_02.tif </t>
  </si>
  <si>
    <t xml:space="preserve"> 18033.8629 </t>
  </si>
  <si>
    <t xml:space="preserve"> 67.7165 </t>
  </si>
  <si>
    <t xml:space="preserve">Q:\R&amp;D\2-Test oestrogénique\OECD and AOPs\REACTIV oecd interlaboratory validation\Results WF\Repeats for invalid experiments - EBO\2022-EBO-ARABINOSE R5\plaque 2/@13 TESTO 0.2/F1_03.tif </t>
  </si>
  <si>
    <t xml:space="preserve"> 11899.304 </t>
  </si>
  <si>
    <t xml:space="preserve"> 66.2303 </t>
  </si>
  <si>
    <t xml:space="preserve">Q:\R&amp;D\2-Test oestrogénique\OECD and AOPs\REACTIV oecd interlaboratory validation\Results WF\Repeats for invalid experiments - EBO\2022-EBO-ARABINOSE R5\plaque 2/@13 TESTO 0.2/G1_01.tif </t>
  </si>
  <si>
    <t xml:space="preserve"> 5895.2676 </t>
  </si>
  <si>
    <t xml:space="preserve"> 65.4834 </t>
  </si>
  <si>
    <t xml:space="preserve">Q:\R&amp;D\2-Test oestrogénique\OECD and AOPs\REACTIV oecd interlaboratory validation\Results WF\Repeats for invalid experiments - EBO\2022-EBO-ARABINOSE R5\plaque 2/@13 TESTO 0.2/G1_02.tif </t>
  </si>
  <si>
    <t xml:space="preserve"> 7526.7992 </t>
  </si>
  <si>
    <t xml:space="preserve"> 65.2948 </t>
  </si>
  <si>
    <t xml:space="preserve">Q:\R&amp;D\2-Test oestrogénique\OECD and AOPs\REACTIV oecd interlaboratory validation\Results WF\Repeats for invalid experiments - EBO\2022-EBO-ARABINOSE R5\plaque 2/@13 TESTO 0.2/G1_03.tif </t>
  </si>
  <si>
    <t xml:space="preserve"> 10681.0937 </t>
  </si>
  <si>
    <t xml:space="preserve"> 66.224 </t>
  </si>
  <si>
    <t xml:space="preserve">Q:\R&amp;D\2-Test oestrogénique\OECD and AOPs\REACTIV oecd interlaboratory validation\Results WF\Repeats for invalid experiments - EBO\2022-EBO-ARABINOSE R5\plaque 2/@13 TESTO 0.2/H1_01.tif </t>
  </si>
  <si>
    <t xml:space="preserve"> 7874.8593 </t>
  </si>
  <si>
    <t xml:space="preserve"> 64.221 </t>
  </si>
  <si>
    <t xml:space="preserve">Q:\R&amp;D\2-Test oestrogénique\OECD and AOPs\REACTIV oecd interlaboratory validation\Results WF\Repeats for invalid experiments - EBO\2022-EBO-ARABINOSE R5\plaque 2/@13 TESTO 0.2/H1_02.tif </t>
  </si>
  <si>
    <t xml:space="preserve"> 10441.8024 </t>
  </si>
  <si>
    <t xml:space="preserve"> 65.2521 </t>
  </si>
  <si>
    <t xml:space="preserve">Q:\R&amp;D\2-Test oestrogénique\OECD and AOPs\REACTIV oecd interlaboratory validation\Results WF\Repeats for invalid experiments - EBO\2022-EBO-ARABINOSE R5\plaque 2/@13 TESTO 0.2/H1_03.tif </t>
  </si>
  <si>
    <t xml:space="preserve"> 6504.3727 </t>
  </si>
  <si>
    <t xml:space="preserve"> 64.0067 </t>
  </si>
  <si>
    <t xml:space="preserve">Q:\R&amp;D\2-Test oestrogénique\OECD and AOPs\REACTIV oecd interlaboratory validation\Results WF\Repeats for invalid experiments - EBO\2022-EBO-ARABINOSE R5\plaque 2/@13 TESTO 0.2/ </t>
  </si>
  <si>
    <t xml:space="preserve"> 66.28 </t>
  </si>
  <si>
    <t xml:space="preserve"> 1.8288 </t>
  </si>
  <si>
    <t xml:space="preserve"> 998592.5 </t>
  </si>
  <si>
    <t xml:space="preserve"> 627528.176 </t>
  </si>
  <si>
    <t xml:space="preserve">Q:\R&amp;D\2-Test oestrogénique\OECD and AOPs\REACTIV oecd interlaboratory validation\Results WF\Repeats for invalid experiments - EBO\2022-EBO-ARABINOSE R5\plaque 2/@14 TESTO 0.2/A2_01.tif </t>
  </si>
  <si>
    <t xml:space="preserve"> 4546.5348 </t>
  </si>
  <si>
    <t xml:space="preserve"> 65.0909 </t>
  </si>
  <si>
    <t>Q:\R&amp;D\2-Test oestrogénique\OECD and AOPs\REACTIV oecd interlaboratory validation\Results WF\Repeats for invalid experiments - EBO\2022-EBO-ARABINOSE R5\plaque 2/@14 TESTO 0.2/A2_02- exclu.tif</t>
  </si>
  <si>
    <t xml:space="preserve">Q:\R&amp;D\2-Test oestrogénique\OECD and AOPs\REACTIV oecd interlaboratory validation\Results WF\Repeats for invalid experiments - EBO\2022-EBO-ARABINOSE R5\plaque 2/@14 TESTO 0.2/A2_03.tif </t>
  </si>
  <si>
    <t xml:space="preserve"> 63.7286 </t>
  </si>
  <si>
    <t xml:space="preserve">Q:\R&amp;D\2-Test oestrogénique\OECD and AOPs\REACTIV oecd interlaboratory validation\Results WF\Repeats for invalid experiments - EBO\2022-EBO-ARABINOSE R5\plaque 2/@14 TESTO 0.2/B2_01.tif </t>
  </si>
  <si>
    <t xml:space="preserve"> 26474.3198 </t>
  </si>
  <si>
    <t xml:space="preserve"> 68.9877 </t>
  </si>
  <si>
    <t xml:space="preserve">Q:\R&amp;D\2-Test oestrogénique\OECD and AOPs\REACTIV oecd interlaboratory validation\Results WF\Repeats for invalid experiments - EBO\2022-EBO-ARABINOSE R5\plaque 2/@14 TESTO 0.2/B2_02.tif </t>
  </si>
  <si>
    <t xml:space="preserve"> 26278.536 </t>
  </si>
  <si>
    <t xml:space="preserve"> 68.2202 </t>
  </si>
  <si>
    <t xml:space="preserve">Q:\R&amp;D\2-Test oestrogénique\OECD and AOPs\REACTIV oecd interlaboratory validation\Results WF\Repeats for invalid experiments - EBO\2022-EBO-ARABINOSE R5\plaque 2/@14 TESTO 0.2/B2_03.tif </t>
  </si>
  <si>
    <t xml:space="preserve"> 23167.7491 </t>
  </si>
  <si>
    <t xml:space="preserve"> 70.0507 </t>
  </si>
  <si>
    <t>Q:\R&amp;D\2-Test oestrogénique\OECD and AOPs\REACTIV oecd interlaboratory validation\Results WF\Repeats for invalid experiments - EBO\2022-EBO-ARABINOSE R5\plaque 2/@14 TESTO 0.2/C2_01- exclu.tif</t>
  </si>
  <si>
    <t>Q:\R&amp;D\2-Test oestrogénique\OECD and AOPs\REACTIV oecd interlaboratory validation\Results WF\Repeats for invalid experiments - EBO\2022-EBO-ARABINOSE R5\plaque 2/@14 TESTO 0.2/C2_02- exclu.tif</t>
  </si>
  <si>
    <t>Q:\R&amp;D\2-Test oestrogénique\OECD and AOPs\REACTIV oecd interlaboratory validation\Results WF\Repeats for invalid experiments - EBO\2022-EBO-ARABINOSE R5\plaque 2/@14 TESTO 0.2/C2_03- exclu.tif</t>
  </si>
  <si>
    <t xml:space="preserve">Q:\R&amp;D\2-Test oestrogénique\OECD and AOPs\REACTIV oecd interlaboratory validation\Results WF\Repeats for invalid experiments - EBO\2022-EBO-ARABINOSE R5\plaque 2/@14 TESTO 0.2/D2_01.tif </t>
  </si>
  <si>
    <t xml:space="preserve"> 20513.791 </t>
  </si>
  <si>
    <t xml:space="preserve"> 70.9396 </t>
  </si>
  <si>
    <t>Q:\R&amp;D\2-Test oestrogénique\OECD and AOPs\REACTIV oecd interlaboratory validation\Results WF\Repeats for invalid experiments - EBO\2022-EBO-ARABINOSE R5\plaque 2/@14 TESTO 0.2/D2_02- exclu.tif</t>
  </si>
  <si>
    <t>Q:\R&amp;D\2-Test oestrogénique\OECD and AOPs\REACTIV oecd interlaboratory validation\Results WF\Repeats for invalid experiments - EBO\2022-EBO-ARABINOSE R5\plaque 2/@14 TESTO 0.2/D2_03- exclu.tif</t>
  </si>
  <si>
    <t xml:space="preserve">Q:\R&amp;D\2-Test oestrogénique\OECD and AOPs\REACTIV oecd interlaboratory validation\Results WF\Repeats for invalid experiments - EBO\2022-EBO-ARABINOSE R5\plaque 2/@14 TESTO 0.2/E2_01.tif </t>
  </si>
  <si>
    <t xml:space="preserve"> 28127.6052 </t>
  </si>
  <si>
    <t xml:space="preserve"> 66.3434 </t>
  </si>
  <si>
    <t xml:space="preserve">Q:\R&amp;D\2-Test oestrogénique\OECD and AOPs\REACTIV oecd interlaboratory validation\Results WF\Repeats for invalid experiments - EBO\2022-EBO-ARABINOSE R5\plaque 2/@14 TESTO 0.2/E2_02.tif </t>
  </si>
  <si>
    <t xml:space="preserve"> 27148.6862 </t>
  </si>
  <si>
    <t xml:space="preserve"> 66.9303 </t>
  </si>
  <si>
    <t xml:space="preserve">Q:\R&amp;D\2-Test oestrogénique\OECD and AOPs\REACTIV oecd interlaboratory validation\Results WF\Repeats for invalid experiments - EBO\2022-EBO-ARABINOSE R5\plaque 2/@14 TESTO 0.2/E2_03.tif </t>
  </si>
  <si>
    <t xml:space="preserve"> 21819.0163 </t>
  </si>
  <si>
    <t xml:space="preserve"> 65.8295 </t>
  </si>
  <si>
    <t xml:space="preserve">Q:\R&amp;D\2-Test oestrogénique\OECD and AOPs\REACTIV oecd interlaboratory validation\Results WF\Repeats for invalid experiments - EBO\2022-EBO-ARABINOSE R5\plaque 2/@14 TESTO 0.2/F2_01.tif </t>
  </si>
  <si>
    <t xml:space="preserve"> 63.3542 </t>
  </si>
  <si>
    <t xml:space="preserve">Q:\R&amp;D\2-Test oestrogénique\OECD and AOPs\REACTIV oecd interlaboratory validation\Results WF\Repeats for invalid experiments - EBO\2022-EBO-ARABINOSE R5\plaque 2/@14 TESTO 0.2/F2_02.tif </t>
  </si>
  <si>
    <t xml:space="preserve"> 5808.2526 </t>
  </si>
  <si>
    <t xml:space="preserve"> 63.7378 </t>
  </si>
  <si>
    <t xml:space="preserve">Q:\R&amp;D\2-Test oestrogénique\OECD and AOPs\REACTIV oecd interlaboratory validation\Results WF\Repeats for invalid experiments - EBO\2022-EBO-ARABINOSE R5\plaque 2/@14 TESTO 0.2/F2_03.tif </t>
  </si>
  <si>
    <t xml:space="preserve"> 63.2552 </t>
  </si>
  <si>
    <t xml:space="preserve">Q:\R&amp;D\2-Test oestrogénique\OECD and AOPs\REACTIV oecd interlaboratory validation\Results WF\Repeats for invalid experiments - EBO\2022-EBO-ARABINOSE R5\plaque 2/@14 TESTO 0.2/G2_01.tif </t>
  </si>
  <si>
    <t xml:space="preserve"> 8940.7933 </t>
  </si>
  <si>
    <t xml:space="preserve"> 65.7202 </t>
  </si>
  <si>
    <t xml:space="preserve">Q:\R&amp;D\2-Test oestrogénique\OECD and AOPs\REACTIV oecd interlaboratory validation\Results WF\Repeats for invalid experiments - EBO\2022-EBO-ARABINOSE R5\plaque 2/@14 TESTO 0.2/G2_02.tif </t>
  </si>
  <si>
    <t xml:space="preserve"> 65.192 </t>
  </si>
  <si>
    <t xml:space="preserve">Q:\R&amp;D\2-Test oestrogénique\OECD and AOPs\REACTIV oecd interlaboratory validation\Results WF\Repeats for invalid experiments - EBO\2022-EBO-ARABINOSE R5\plaque 2/@14 TESTO 0.2/G2_03.tif </t>
  </si>
  <si>
    <t xml:space="preserve"> 10202.5111 </t>
  </si>
  <si>
    <t xml:space="preserve"> 66.7313 </t>
  </si>
  <si>
    <t xml:space="preserve">Q:\R&amp;D\2-Test oestrogénique\OECD and AOPs\REACTIV oecd interlaboratory validation\Results WF\Repeats for invalid experiments - EBO\2022-EBO-ARABINOSE R5\plaque 2/@14 TESTO 0.2/H2_01.tif </t>
  </si>
  <si>
    <t xml:space="preserve"> 25778.1997 </t>
  </si>
  <si>
    <t xml:space="preserve"> 70.1291 </t>
  </si>
  <si>
    <t xml:space="preserve">Q:\R&amp;D\2-Test oestrogénique\OECD and AOPs\REACTIV oecd interlaboratory validation\Results WF\Repeats for invalid experiments - EBO\2022-EBO-ARABINOSE R5\plaque 2/@14 TESTO 0.2/H2_02.tif </t>
  </si>
  <si>
    <t xml:space="preserve"> 22819.689 </t>
  </si>
  <si>
    <t xml:space="preserve"> 70.286 </t>
  </si>
  <si>
    <t xml:space="preserve">Q:\R&amp;D\2-Test oestrogénique\OECD and AOPs\REACTIV oecd interlaboratory validation\Results WF\Repeats for invalid experiments - EBO\2022-EBO-ARABINOSE R5\plaque 2/@14 TESTO 0.2/H2_03.tif </t>
  </si>
  <si>
    <t xml:space="preserve"> 25734.6922 </t>
  </si>
  <si>
    <t xml:space="preserve"> 70.2451 </t>
  </si>
  <si>
    <t xml:space="preserve">Q:\R&amp;D\2-Test oestrogénique\OECD and AOPs\REACTIV oecd interlaboratory validation\Results WF\Repeats for invalid experiments - EBO\2022-EBO-ARABINOSE R5\plaque 2/@14 TESTO 0.2/ </t>
  </si>
  <si>
    <t xml:space="preserve"> 66.9496 </t>
  </si>
  <si>
    <t xml:space="preserve"> 3.0636 </t>
  </si>
  <si>
    <t xml:space="preserve"> 976022.083 </t>
  </si>
  <si>
    <t xml:space="preserve"> 721994.551 </t>
  </si>
  <si>
    <t>Q:\R&amp;D\2-Test oestrogénique\OECD and AOPs\REACTIV oecd interlaboratory validation\Results WF\Repeats for invalid experiments - EBO\2022-EBO-ARABINOSE R5\plaque 2/@15 TESTO + EE2/A3_01- exclu.tif</t>
  </si>
  <si>
    <t xml:space="preserve">Q:\R&amp;D\2-Test oestrogénique\OECD and AOPs\REACTIV oecd interlaboratory validation\Results WF\Repeats for invalid experiments - EBO\2022-EBO-ARABINOSE R5\plaque 2/@15 TESTO + EE2/A3_02.tif </t>
  </si>
  <si>
    <t xml:space="preserve"> 7983.6281 </t>
  </si>
  <si>
    <t xml:space="preserve"> 67.0436 </t>
  </si>
  <si>
    <t xml:space="preserve">Q:\R&amp;D\2-Test oestrogénique\OECD and AOPs\REACTIV oecd interlaboratory validation\Results WF\Repeats for invalid experiments - EBO\2022-EBO-ARABINOSE R5\plaque 2/@15 TESTO + EE2/A3_03.tif </t>
  </si>
  <si>
    <t xml:space="preserve"> 8766.7633 </t>
  </si>
  <si>
    <t xml:space="preserve"> 65.3672 </t>
  </si>
  <si>
    <t xml:space="preserve">Q:\R&amp;D\2-Test oestrogénique\OECD and AOPs\REACTIV oecd interlaboratory validation\Results WF\Repeats for invalid experiments - EBO\2022-EBO-ARABINOSE R5\plaque 2/@15 TESTO + EE2/B3_01.tif </t>
  </si>
  <si>
    <t xml:space="preserve"> 73.7918 </t>
  </si>
  <si>
    <t xml:space="preserve">Q:\R&amp;D\2-Test oestrogénique\OECD and AOPs\REACTIV oecd interlaboratory validation\Results WF\Repeats for invalid experiments - EBO\2022-EBO-ARABINOSE R5\plaque 2/@15 TESTO + EE2/B3_02.tif </t>
  </si>
  <si>
    <t xml:space="preserve"> 30498.7645 </t>
  </si>
  <si>
    <t xml:space="preserve"> 71.9151 </t>
  </si>
  <si>
    <t xml:space="preserve">Q:\R&amp;D\2-Test oestrogénique\OECD and AOPs\REACTIV oecd interlaboratory validation\Results WF\Repeats for invalid experiments - EBO\2022-EBO-ARABINOSE R5\plaque 2/@15 TESTO + EE2/B3_03.tif </t>
  </si>
  <si>
    <t xml:space="preserve"> 32086.7886 </t>
  </si>
  <si>
    <t xml:space="preserve"> 74.1139 </t>
  </si>
  <si>
    <t xml:space="preserve">Q:\R&amp;D\2-Test oestrogénique\OECD and AOPs\REACTIV oecd interlaboratory validation\Results WF\Repeats for invalid experiments - EBO\2022-EBO-ARABINOSE R5\plaque 2/@15 TESTO + EE2/C3_01.tif </t>
  </si>
  <si>
    <t xml:space="preserve"> 37655.7499 </t>
  </si>
  <si>
    <t xml:space="preserve"> 78.2166 </t>
  </si>
  <si>
    <t xml:space="preserve">Q:\R&amp;D\2-Test oestrogénique\OECD and AOPs\REACTIV oecd interlaboratory validation\Results WF\Repeats for invalid experiments - EBO\2022-EBO-ARABINOSE R5\plaque 2/@15 TESTO + EE2/C3_02.tif </t>
  </si>
  <si>
    <t xml:space="preserve"> 33957.6116 </t>
  </si>
  <si>
    <t xml:space="preserve"> 80.8712 </t>
  </si>
  <si>
    <t xml:space="preserve">Q:\R&amp;D\2-Test oestrogénique\OECD and AOPs\REACTIV oecd interlaboratory validation\Results WF\Repeats for invalid experiments - EBO\2022-EBO-ARABINOSE R5\plaque 2/@15 TESTO + EE2/C3_03.tif </t>
  </si>
  <si>
    <t xml:space="preserve"> 81.1605 </t>
  </si>
  <si>
    <t>Q:\R&amp;D\2-Test oestrogénique\OECD and AOPs\REACTIV oecd interlaboratory validation\Results WF\Repeats for invalid experiments - EBO\2022-EBO-ARABINOSE R5\plaque 2/@15 TESTO + EE2/D3_01- exclu.tif</t>
  </si>
  <si>
    <t>Q:\R&amp;D\2-Test oestrogénique\OECD and AOPs\REACTIV oecd interlaboratory validation\Results WF\Repeats for invalid experiments - EBO\2022-EBO-ARABINOSE R5\plaque 2/@15 TESTO + EE2/D3_02- exclu.tif</t>
  </si>
  <si>
    <t xml:space="preserve">Q:\R&amp;D\2-Test oestrogénique\OECD and AOPs\REACTIV oecd interlaboratory validation\Results WF\Repeats for invalid experiments - EBO\2022-EBO-ARABINOSE R5\plaque 2/@15 TESTO + EE2/D3_03.tif </t>
  </si>
  <si>
    <t xml:space="preserve"> 31891.0048 </t>
  </si>
  <si>
    <t xml:space="preserve"> 77.2838 </t>
  </si>
  <si>
    <t xml:space="preserve">Q:\R&amp;D\2-Test oestrogénique\OECD and AOPs\REACTIV oecd interlaboratory validation\Results WF\Repeats for invalid experiments - EBO\2022-EBO-ARABINOSE R5\plaque 2/@15 TESTO + EE2/E3_01.tif </t>
  </si>
  <si>
    <t xml:space="preserve"> 43659.7863 </t>
  </si>
  <si>
    <t xml:space="preserve"> 73.2327 </t>
  </si>
  <si>
    <t xml:space="preserve">Q:\R&amp;D\2-Test oestrogénique\OECD and AOPs\REACTIV oecd interlaboratory validation\Results WF\Repeats for invalid experiments - EBO\2022-EBO-ARABINOSE R5\plaque 2/@15 TESTO + EE2/E3_02.tif </t>
  </si>
  <si>
    <t xml:space="preserve"> 70.9795 </t>
  </si>
  <si>
    <t xml:space="preserve">Q:\R&amp;D\2-Test oestrogénique\OECD and AOPs\REACTIV oecd interlaboratory validation\Results WF\Repeats for invalid experiments - EBO\2022-EBO-ARABINOSE R5\plaque 2/@15 TESTO + EE2/E3_03.tif </t>
  </si>
  <si>
    <t xml:space="preserve"> 39700.6029 </t>
  </si>
  <si>
    <t xml:space="preserve"> 73.1967 </t>
  </si>
  <si>
    <t xml:space="preserve">Q:\R&amp;D\2-Test oestrogénique\OECD and AOPs\REACTIV oecd interlaboratory validation\Results WF\Repeats for invalid experiments - EBO\2022-EBO-ARABINOSE R5\plaque 2/@15 TESTO + EE2/F3_01.tif </t>
  </si>
  <si>
    <t xml:space="preserve"> 42833.1436 </t>
  </si>
  <si>
    <t xml:space="preserve"> 73.3332 </t>
  </si>
  <si>
    <t xml:space="preserve">Q:\R&amp;D\2-Test oestrogénique\OECD and AOPs\REACTIV oecd interlaboratory validation\Results WF\Repeats for invalid experiments - EBO\2022-EBO-ARABINOSE R5\plaque 2/@15 TESTO + EE2/F3_02.tif </t>
  </si>
  <si>
    <t xml:space="preserve"> 41332.1345 </t>
  </si>
  <si>
    <t xml:space="preserve"> 70.3374 </t>
  </si>
  <si>
    <t xml:space="preserve">Q:\R&amp;D\2-Test oestrogénique\OECD and AOPs\REACTIV oecd interlaboratory validation\Results WF\Repeats for invalid experiments - EBO\2022-EBO-ARABINOSE R5\plaque 2/@15 TESTO + EE2/F3_03.tif </t>
  </si>
  <si>
    <t xml:space="preserve"> 43507.51 </t>
  </si>
  <si>
    <t xml:space="preserve"> 73.4805 </t>
  </si>
  <si>
    <t xml:space="preserve">Q:\R&amp;D\2-Test oestrogénique\OECD and AOPs\REACTIV oecd interlaboratory validation\Results WF\Repeats for invalid experiments - EBO\2022-EBO-ARABINOSE R5\plaque 2/@15 TESTO + EE2/G3_01.tif </t>
  </si>
  <si>
    <t xml:space="preserve"> 52948.6397 </t>
  </si>
  <si>
    <t xml:space="preserve"> 69.7128 </t>
  </si>
  <si>
    <t xml:space="preserve">Q:\R&amp;D\2-Test oestrogénique\OECD and AOPs\REACTIV oecd interlaboratory validation\Results WF\Repeats for invalid experiments - EBO\2022-EBO-ARABINOSE R5\plaque 2/@15 TESTO + EE2/G3_02.tif </t>
  </si>
  <si>
    <t xml:space="preserve"> 61671.8954 </t>
  </si>
  <si>
    <t xml:space="preserve">Q:\R&amp;D\2-Test oestrogénique\OECD and AOPs\REACTIV oecd interlaboratory validation\Results WF\Repeats for invalid experiments - EBO\2022-EBO-ARABINOSE R5\plaque 2/@15 TESTO + EE2/G3_03.tif </t>
  </si>
  <si>
    <t xml:space="preserve"> 56494.5017 </t>
  </si>
  <si>
    <t xml:space="preserve">Q:\R&amp;D\2-Test oestrogénique\OECD and AOPs\REACTIV oecd interlaboratory validation\Results WF\Repeats for invalid experiments - EBO\2022-EBO-ARABINOSE R5\plaque 2/@15 TESTO + EE2/H3_01.tif </t>
  </si>
  <si>
    <t xml:space="preserve"> 32413.095 </t>
  </si>
  <si>
    <t xml:space="preserve"> 70.3886 </t>
  </si>
  <si>
    <t xml:space="preserve">Q:\R&amp;D\2-Test oestrogénique\OECD and AOPs\REACTIV oecd interlaboratory validation\Results WF\Repeats for invalid experiments - EBO\2022-EBO-ARABINOSE R5\plaque 2/@15 TESTO + EE2/H3_02.tif </t>
  </si>
  <si>
    <t xml:space="preserve"> 36045.972 </t>
  </si>
  <si>
    <t xml:space="preserve"> 71.0398 </t>
  </si>
  <si>
    <t xml:space="preserve">Q:\R&amp;D\2-Test oestrogénique\OECD and AOPs\REACTIV oecd interlaboratory validation\Results WF\Repeats for invalid experiments - EBO\2022-EBO-ARABINOSE R5\plaque 2/@15 TESTO + EE2/H3_03.tif </t>
  </si>
  <si>
    <t xml:space="preserve"> 31782.2361 </t>
  </si>
  <si>
    <t xml:space="preserve"> 70.8159 </t>
  </si>
  <si>
    <t xml:space="preserve">Q:\R&amp;D\2-Test oestrogénique\OECD and AOPs\REACTIV oecd interlaboratory validation\Results WF\Repeats for invalid experiments - EBO\2022-EBO-ARABINOSE R5\plaque 2/@15 TESTO + EE2/ </t>
  </si>
  <si>
    <t xml:space="preserve"> 72.7101 </t>
  </si>
  <si>
    <t xml:space="preserve"> 4.0764 </t>
  </si>
  <si>
    <t xml:space="preserve"> 2543797.08 </t>
  </si>
  <si>
    <t xml:space="preserve"> 965128.169 </t>
  </si>
  <si>
    <t xml:space="preserve">Q:\R&amp;D\2-Test oestrogénique\OECD and AOPs\REACTIV oecd interlaboratory validation\Results WF\Repeats for invalid experiments - EBO\2022-EBO-ARABINOSE R5\plaque 2/@16 TESTO + FAD/A4_01.tif </t>
  </si>
  <si>
    <t xml:space="preserve"> 64.2581 </t>
  </si>
  <si>
    <t xml:space="preserve">Q:\R&amp;D\2-Test oestrogénique\OECD and AOPs\REACTIV oecd interlaboratory validation\Results WF\Repeats for invalid experiments - EBO\2022-EBO-ARABINOSE R5\plaque 2/@16 TESTO + FAD/A4_02.tif </t>
  </si>
  <si>
    <t xml:space="preserve"> 67.713 </t>
  </si>
  <si>
    <t xml:space="preserve">Q:\R&amp;D\2-Test oestrogénique\OECD and AOPs\REACTIV oecd interlaboratory validation\Results WF\Repeats for invalid experiments - EBO\2022-EBO-ARABINOSE R5\plaque 2/@16 TESTO + FAD/A4_03.tif </t>
  </si>
  <si>
    <t xml:space="preserve"> 68.74 </t>
  </si>
  <si>
    <t xml:space="preserve">Q:\R&amp;D\2-Test oestrogénique\OECD and AOPs\REACTIV oecd interlaboratory validation\Results WF\Repeats for invalid experiments - EBO\2022-EBO-ARABINOSE R5\plaque 2/@16 TESTO + FAD/B4_01.tif </t>
  </si>
  <si>
    <t xml:space="preserve"> 3872.1684 </t>
  </si>
  <si>
    <t xml:space="preserve"> 65.8427 </t>
  </si>
  <si>
    <t>Q:\R&amp;D\2-Test oestrogénique\OECD and AOPs\REACTIV oecd interlaboratory validation\Results WF\Repeats for invalid experiments - EBO\2022-EBO-ARABINOSE R5\plaque 2/@16 TESTO + FAD/B4_02- exclu.tif</t>
  </si>
  <si>
    <t xml:space="preserve">Q:\R&amp;D\2-Test oestrogénique\OECD and AOPs\REACTIV oecd interlaboratory validation\Results WF\Repeats for invalid experiments - EBO\2022-EBO-ARABINOSE R5\plaque 2/@16 TESTO + FAD/B4_03.tif </t>
  </si>
  <si>
    <t xml:space="preserve"> 66.6804 </t>
  </si>
  <si>
    <t>Q:\R&amp;D\2-Test oestrogénique\OECD and AOPs\REACTIV oecd interlaboratory validation\Results WF\Repeats for invalid experiments - EBO\2022-EBO-ARABINOSE R5\plaque 2/@16 TESTO + FAD/C4_01- exclu.tif</t>
  </si>
  <si>
    <t xml:space="preserve">Q:\R&amp;D\2-Test oestrogénique\OECD and AOPs\REACTIV oecd interlaboratory validation\Results WF\Repeats for invalid experiments - EBO\2022-EBO-ARABINOSE R5\plaque 2/@16 TESTO + FAD/C4_02.tif </t>
  </si>
  <si>
    <t xml:space="preserve"> 64.0769 </t>
  </si>
  <si>
    <t xml:space="preserve">Q:\R&amp;D\2-Test oestrogénique\OECD and AOPs\REACTIV oecd interlaboratory validation\Results WF\Repeats for invalid experiments - EBO\2022-EBO-ARABINOSE R5\plaque 2/@16 TESTO + FAD/C4_03.tif </t>
  </si>
  <si>
    <t xml:space="preserve"> 66.6739 </t>
  </si>
  <si>
    <t xml:space="preserve">Q:\R&amp;D\2-Test oestrogénique\OECD and AOPs\REACTIV oecd interlaboratory validation\Results WF\Repeats for invalid experiments - EBO\2022-EBO-ARABINOSE R5\plaque 2/@16 TESTO + FAD/D4_01.tif </t>
  </si>
  <si>
    <t xml:space="preserve"> 68.5556 </t>
  </si>
  <si>
    <t xml:space="preserve">Q:\R&amp;D\2-Test oestrogénique\OECD and AOPs\REACTIV oecd interlaboratory validation\Results WF\Repeats for invalid experiments - EBO\2022-EBO-ARABINOSE R5\plaque 2/@16 TESTO + FAD/D4_02.tif </t>
  </si>
  <si>
    <t xml:space="preserve">Q:\R&amp;D\2-Test oestrogénique\OECD and AOPs\REACTIV oecd interlaboratory validation\Results WF\Repeats for invalid experiments - EBO\2022-EBO-ARABINOSE R5\plaque 2/@16 TESTO + FAD/D4_03.tif </t>
  </si>
  <si>
    <t xml:space="preserve"> 66.5 </t>
  </si>
  <si>
    <t>Q:\R&amp;D\2-Test oestrogénique\OECD and AOPs\REACTIV oecd interlaboratory validation\Results WF\Repeats for invalid experiments - EBO\2022-EBO-ARABINOSE R5\plaque 2/@16 TESTO + FAD/E4_01- exclu.tif</t>
  </si>
  <si>
    <t xml:space="preserve">Q:\R&amp;D\2-Test oestrogénique\OECD and AOPs\REACTIV oecd interlaboratory validation\Results WF\Repeats for invalid experiments - EBO\2022-EBO-ARABINOSE R5\plaque 2/@16 TESTO + FAD/E4_02.tif </t>
  </si>
  <si>
    <t xml:space="preserve"> 62.0455 </t>
  </si>
  <si>
    <t xml:space="preserve">Q:\R&amp;D\2-Test oestrogénique\OECD and AOPs\REACTIV oecd interlaboratory validation\Results WF\Repeats for invalid experiments - EBO\2022-EBO-ARABINOSE R5\plaque 2/@16 TESTO + FAD/E4_03.tif </t>
  </si>
  <si>
    <t xml:space="preserve"> 63.7059 </t>
  </si>
  <si>
    <t xml:space="preserve">Q:\R&amp;D\2-Test oestrogénique\OECD and AOPs\REACTIV oecd interlaboratory validation\Results WF\Repeats for invalid experiments - EBO\2022-EBO-ARABINOSE R5\plaque 2/@16 TESTO + FAD/F4_01.tif </t>
  </si>
  <si>
    <t xml:space="preserve"> 64.0435 </t>
  </si>
  <si>
    <t xml:space="preserve">Q:\R&amp;D\2-Test oestrogénique\OECD and AOPs\REACTIV oecd interlaboratory validation\Results WF\Repeats for invalid experiments - EBO\2022-EBO-ARABINOSE R5\plaque 2/@16 TESTO + FAD/F4_02.tif </t>
  </si>
  <si>
    <t>Q:\R&amp;D\2-Test oestrogénique\OECD and AOPs\REACTIV oecd interlaboratory validation\Results WF\Repeats for invalid experiments - EBO\2022-EBO-ARABINOSE R5\plaque 2/@16 TESTO + FAD/F4_03- exclu.tif</t>
  </si>
  <si>
    <t xml:space="preserve">Q:\R&amp;D\2-Test oestrogénique\OECD and AOPs\REACTIV oecd interlaboratory validation\Results WF\Repeats for invalid experiments - EBO\2022-EBO-ARABINOSE R5\plaque 2/@16 TESTO + FAD/G4_01.tif </t>
  </si>
  <si>
    <t xml:space="preserve"> 1435.7478 </t>
  </si>
  <si>
    <t xml:space="preserve"> 64.0758 </t>
  </si>
  <si>
    <t>Q:\R&amp;D\2-Test oestrogénique\OECD and AOPs\REACTIV oecd interlaboratory validation\Results WF\Repeats for invalid experiments - EBO\2022-EBO-ARABINOSE R5\plaque 2/@16 TESTO + FAD/G4_02- exclu.tif</t>
  </si>
  <si>
    <t xml:space="preserve">Q:\R&amp;D\2-Test oestrogénique\OECD and AOPs\REACTIV oecd interlaboratory validation\Results WF\Repeats for invalid experiments - EBO\2022-EBO-ARABINOSE R5\plaque 2/@16 TESTO + FAD/G4_03.tif </t>
  </si>
  <si>
    <t xml:space="preserve"> 1326.9791 </t>
  </si>
  <si>
    <t xml:space="preserve"> 66.1803 </t>
  </si>
  <si>
    <t xml:space="preserve">Q:\R&amp;D\2-Test oestrogénique\OECD and AOPs\REACTIV oecd interlaboratory validation\Results WF\Repeats for invalid experiments - EBO\2022-EBO-ARABINOSE R5\plaque 2/@16 TESTO + FAD/H4_01.tif </t>
  </si>
  <si>
    <t xml:space="preserve"> 61.7619 </t>
  </si>
  <si>
    <t xml:space="preserve">Q:\R&amp;D\2-Test oestrogénique\OECD and AOPs\REACTIV oecd interlaboratory validation\Results WF\Repeats for invalid experiments - EBO\2022-EBO-ARABINOSE R5\plaque 2/@16 TESTO + FAD/H4_02.tif </t>
  </si>
  <si>
    <t xml:space="preserve"> 66.625 </t>
  </si>
  <si>
    <t xml:space="preserve">Q:\R&amp;D\2-Test oestrogénique\OECD and AOPs\REACTIV oecd interlaboratory validation\Results WF\Repeats for invalid experiments - EBO\2022-EBO-ARABINOSE R5\plaque 2/@16 TESTO + FAD/H4_03.tif </t>
  </si>
  <si>
    <t xml:space="preserve"> 63.7333 </t>
  </si>
  <si>
    <t xml:space="preserve">Q:\R&amp;D\2-Test oestrogénique\OECD and AOPs\REACTIV oecd interlaboratory validation\Results WF\Repeats for invalid experiments - EBO\2022-EBO-ARABINOSE R5\plaque 2/@16 TESTO + FAD/ </t>
  </si>
  <si>
    <t xml:space="preserve"> 65.4022 </t>
  </si>
  <si>
    <t xml:space="preserve"> 2.9772 </t>
  </si>
  <si>
    <t xml:space="preserve"> 95263.4167 </t>
  </si>
  <si>
    <t xml:space="preserve"> 149323.91 </t>
  </si>
  <si>
    <t xml:space="preserve">Q:\R&amp;D\2-Test oestrogénique\OECD and AOPs\REACTIV oecd interlaboratory validation\Results WF\Repeats for invalid experiments - EBO\2022-EBO-ARABINOSE R5\plaque 2/@17 ARABINOSE 0.01 + TESTO/A5_01.tif </t>
  </si>
  <si>
    <t xml:space="preserve"> 64.433 </t>
  </si>
  <si>
    <t xml:space="preserve">Q:\R&amp;D\2-Test oestrogénique\OECD and AOPs\REACTIV oecd interlaboratory validation\Results WF\Repeats for invalid experiments - EBO\2022-EBO-ARABINOSE R5\plaque 2/@17 ARABINOSE 0.01 + TESTO/A5_02.tif </t>
  </si>
  <si>
    <t xml:space="preserve"> 64.2378 </t>
  </si>
  <si>
    <t xml:space="preserve">Q:\R&amp;D\2-Test oestrogénique\OECD and AOPs\REACTIV oecd interlaboratory validation\Results WF\Repeats for invalid experiments - EBO\2022-EBO-ARABINOSE R5\plaque 2/@17 ARABINOSE 0.01 + TESTO/A5_03.tif </t>
  </si>
  <si>
    <t xml:space="preserve"> 4046.1984 </t>
  </si>
  <si>
    <t xml:space="preserve"> 63.5538 </t>
  </si>
  <si>
    <t xml:space="preserve">Q:\R&amp;D\2-Test oestrogénique\OECD and AOPs\REACTIV oecd interlaboratory validation\Results WF\Repeats for invalid experiments - EBO\2022-EBO-ARABINOSE R5\plaque 2/@17 ARABINOSE 0.01 + TESTO/B5_01.tif </t>
  </si>
  <si>
    <t xml:space="preserve"> 65.381 </t>
  </si>
  <si>
    <t xml:space="preserve">Q:\R&amp;D\2-Test oestrogénique\OECD and AOPs\REACTIV oecd interlaboratory validation\Results WF\Repeats for invalid experiments - EBO\2022-EBO-ARABINOSE R5\plaque 2/@17 ARABINOSE 0.01 + TESTO/B5_02.tif </t>
  </si>
  <si>
    <t>Q:\R&amp;D\2-Test oestrogénique\OECD and AOPs\REACTIV oecd interlaboratory validation\Results WF\Repeats for invalid experiments - EBO\2022-EBO-ARABINOSE R5\plaque 2/@17 ARABINOSE 0.01 + TESTO/B5_03- exclu.tif</t>
  </si>
  <si>
    <t xml:space="preserve">Q:\R&amp;D\2-Test oestrogénique\OECD and AOPs\REACTIV oecd interlaboratory validation\Results WF\Repeats for invalid experiments - EBO\2022-EBO-ARABINOSE R5\plaque 2/@17 ARABINOSE 0.01 + TESTO/C5_01.tif </t>
  </si>
  <si>
    <t xml:space="preserve"> 28171.1127 </t>
  </si>
  <si>
    <t xml:space="preserve"> 67.9467 </t>
  </si>
  <si>
    <t xml:space="preserve">Q:\R&amp;D\2-Test oestrogénique\OECD and AOPs\REACTIV oecd interlaboratory validation\Results WF\Repeats for invalid experiments - EBO\2022-EBO-ARABINOSE R5\plaque 2/@17 ARABINOSE 0.01 + TESTO/C5_02.tif </t>
  </si>
  <si>
    <t xml:space="preserve"> 34370.9329 </t>
  </si>
  <si>
    <t xml:space="preserve"> 70.7348 </t>
  </si>
  <si>
    <t xml:space="preserve">Q:\R&amp;D\2-Test oestrogénique\OECD and AOPs\REACTIV oecd interlaboratory validation\Results WF\Repeats for invalid experiments - EBO\2022-EBO-ARABINOSE R5\plaque 2/@17 ARABINOSE 0.01 + TESTO/C5_03.tif </t>
  </si>
  <si>
    <t xml:space="preserve"> 28606.1878 </t>
  </si>
  <si>
    <t xml:space="preserve"> 69.8084 </t>
  </si>
  <si>
    <t xml:space="preserve">Q:\R&amp;D\2-Test oestrogénique\OECD and AOPs\REACTIV oecd interlaboratory validation\Results WF\Repeats for invalid experiments - EBO\2022-EBO-ARABINOSE R5\plaque 2/@17 ARABINOSE 0.01 + TESTO/D5_01.tif </t>
  </si>
  <si>
    <t xml:space="preserve"> 35262.8369 </t>
  </si>
  <si>
    <t xml:space="preserve"> 70.0043 </t>
  </si>
  <si>
    <t xml:space="preserve">Q:\R&amp;D\2-Test oestrogénique\OECD and AOPs\REACTIV oecd interlaboratory validation\Results WF\Repeats for invalid experiments - EBO\2022-EBO-ARABINOSE R5\plaque 2/@17 ARABINOSE 0.01 + TESTO/D5_02.tif </t>
  </si>
  <si>
    <t xml:space="preserve"> 35567.3894 </t>
  </si>
  <si>
    <t xml:space="preserve"> 68.5131 </t>
  </si>
  <si>
    <t xml:space="preserve">Q:\R&amp;D\2-Test oestrogénique\OECD and AOPs\REACTIV oecd interlaboratory validation\Results WF\Repeats for invalid experiments - EBO\2022-EBO-ARABINOSE R5\plaque 2/@17 ARABINOSE 0.01 + TESTO/D5_03.tif </t>
  </si>
  <si>
    <t xml:space="preserve"> 41571.4258 </t>
  </si>
  <si>
    <t xml:space="preserve"> 70.3637 </t>
  </si>
  <si>
    <t xml:space="preserve">Q:\R&amp;D\2-Test oestrogénique\OECD and AOPs\REACTIV oecd interlaboratory validation\Results WF\Repeats for invalid experiments - EBO\2022-EBO-ARABINOSE R5\plaque 2/@17 ARABINOSE 0.01 + TESTO/E5_01.tif </t>
  </si>
  <si>
    <t xml:space="preserve"> 2545.1893 </t>
  </si>
  <si>
    <t xml:space="preserve"> 64.6923 </t>
  </si>
  <si>
    <t xml:space="preserve">Q:\R&amp;D\2-Test oestrogénique\OECD and AOPs\REACTIV oecd interlaboratory validation\Results WF\Repeats for invalid experiments - EBO\2022-EBO-ARABINOSE R5\plaque 2/@17 ARABINOSE 0.01 + TESTO/E5_02.tif </t>
  </si>
  <si>
    <t xml:space="preserve"> 63.2897 </t>
  </si>
  <si>
    <t xml:space="preserve">Q:\R&amp;D\2-Test oestrogénique\OECD and AOPs\REACTIV oecd interlaboratory validation\Results WF\Repeats for invalid experiments - EBO\2022-EBO-ARABINOSE R5\plaque 2/@17 ARABINOSE 0.01 + TESTO/E5_03.tif </t>
  </si>
  <si>
    <t xml:space="preserve"> 64.0189 </t>
  </si>
  <si>
    <t>Q:\R&amp;D\2-Test oestrogénique\OECD and AOPs\REACTIV oecd interlaboratory validation\Results WF\Repeats for invalid experiments - EBO\2022-EBO-ARABINOSE R5\plaque 2/@17 ARABINOSE 0.01 + TESTO/F5_01- exclu.tif</t>
  </si>
  <si>
    <t xml:space="preserve">Q:\R&amp;D\2-Test oestrogénique\OECD and AOPs\REACTIV oecd interlaboratory validation\Results WF\Repeats for invalid experiments - EBO\2022-EBO-ARABINOSE R5\plaque 2/@17 ARABINOSE 0.01 + TESTO/F5_02.tif </t>
  </si>
  <si>
    <t xml:space="preserve"> 10528.8174 </t>
  </si>
  <si>
    <t xml:space="preserve"> 65.9153 </t>
  </si>
  <si>
    <t xml:space="preserve">Q:\R&amp;D\2-Test oestrogénique\OECD and AOPs\REACTIV oecd interlaboratory validation\Results WF\Repeats for invalid experiments - EBO\2022-EBO-ARABINOSE R5\plaque 2/@17 ARABINOSE 0.01 + TESTO/F5_03.tif </t>
  </si>
  <si>
    <t xml:space="preserve"> 67.0186 </t>
  </si>
  <si>
    <t xml:space="preserve">Q:\R&amp;D\2-Test oestrogénique\OECD and AOPs\REACTIV oecd interlaboratory validation\Results WF\Repeats for invalid experiments - EBO\2022-EBO-ARABINOSE R5\plaque 2/@17 ARABINOSE 0.01 + TESTO/G5_01.tif </t>
  </si>
  <si>
    <t xml:space="preserve"> 13617.8506 </t>
  </si>
  <si>
    <t xml:space="preserve"> 66.3786 </t>
  </si>
  <si>
    <t xml:space="preserve">Q:\R&amp;D\2-Test oestrogénique\OECD and AOPs\REACTIV oecd interlaboratory validation\Results WF\Repeats for invalid experiments - EBO\2022-EBO-ARABINOSE R5\plaque 2/@17 ARABINOSE 0.01 + TESTO/G5_02.tif </t>
  </si>
  <si>
    <t xml:space="preserve"> 11050.9075 </t>
  </si>
  <si>
    <t xml:space="preserve"> 66.2795 </t>
  </si>
  <si>
    <t xml:space="preserve">Q:\R&amp;D\2-Test oestrogénique\OECD and AOPs\REACTIV oecd interlaboratory validation\Results WF\Repeats for invalid experiments - EBO\2022-EBO-ARABINOSE R5\plaque 2/@17 ARABINOSE 0.01 + TESTO/G5_03.tif </t>
  </si>
  <si>
    <t xml:space="preserve"> 8309.9344 </t>
  </si>
  <si>
    <t xml:space="preserve"> 65.0052 </t>
  </si>
  <si>
    <t xml:space="preserve">Q:\R&amp;D\2-Test oestrogénique\OECD and AOPs\REACTIV oecd interlaboratory validation\Results WF\Repeats for invalid experiments - EBO\2022-EBO-ARABINOSE R5\plaque 2/@17 ARABINOSE 0.01 + TESTO/H5_01.tif </t>
  </si>
  <si>
    <t xml:space="preserve"> 7679.0755 </t>
  </si>
  <si>
    <t xml:space="preserve"> 64.6176 </t>
  </si>
  <si>
    <t>Q:\R&amp;D\2-Test oestrogénique\OECD and AOPs\REACTIV oecd interlaboratory validation\Results WF\Repeats for invalid experiments - EBO\2022-EBO-ARABINOSE R5\plaque 2/@17 ARABINOSE 0.01 + TESTO/H5_02- exclu.tif</t>
  </si>
  <si>
    <t>Q:\R&amp;D\2-Test oestrogénique\OECD and AOPs\REACTIV oecd interlaboratory validation\Results WF\Repeats for invalid experiments - EBO\2022-EBO-ARABINOSE R5\plaque 2/@17 ARABINOSE 0.01 + TESTO/H5_03- exclu.tif</t>
  </si>
  <si>
    <t xml:space="preserve">Q:\R&amp;D\2-Test oestrogénique\OECD and AOPs\REACTIV oecd interlaboratory validation\Results WF\Repeats for invalid experiments - EBO\2022-EBO-ARABINOSE R5\plaque 2/@17 ARABINOSE 0.01 + TESTO/ </t>
  </si>
  <si>
    <t xml:space="preserve"> 65.8958 </t>
  </si>
  <si>
    <t xml:space="preserve"> 2.4252 </t>
  </si>
  <si>
    <t xml:space="preserve"> 876094.417 </t>
  </si>
  <si>
    <t xml:space="preserve"> 928329.645 </t>
  </si>
  <si>
    <t xml:space="preserve">Q:\R&amp;D\2-Test oestrogénique\OECD and AOPs\REACTIV oecd interlaboratory validation\Results WF\Repeats for invalid experiments - EBO\2022-EBO-ARABINOSE R5\plaque 2/@18 ARABINOSE 0.1 + TESTO/A6_01.tif </t>
  </si>
  <si>
    <t xml:space="preserve"> 3002.0182 </t>
  </si>
  <si>
    <t xml:space="preserve"> 64.1739 </t>
  </si>
  <si>
    <t xml:space="preserve">Q:\R&amp;D\2-Test oestrogénique\OECD and AOPs\REACTIV oecd interlaboratory validation\Results WF\Repeats for invalid experiments - EBO\2022-EBO-ARABINOSE R5\plaque 2/@18 ARABINOSE 0.1 + TESTO/A6_02.tif </t>
  </si>
  <si>
    <t xml:space="preserve"> 2588.6968 </t>
  </si>
  <si>
    <t xml:space="preserve"> 63.8739 </t>
  </si>
  <si>
    <t xml:space="preserve">Q:\R&amp;D\2-Test oestrogénique\OECD and AOPs\REACTIV oecd interlaboratory validation\Results WF\Repeats for invalid experiments - EBO\2022-EBO-ARABINOSE R5\plaque 2/@18 ARABINOSE 0.1 + TESTO/A6_03.tif </t>
  </si>
  <si>
    <t xml:space="preserve"> 63.592 </t>
  </si>
  <si>
    <t>Q:\R&amp;D\2-Test oestrogénique\OECD and AOPs\REACTIV oecd interlaboratory validation\Results WF\Repeats for invalid experiments - EBO\2022-EBO-ARABINOSE R5\plaque 2/@18 ARABINOSE 0.1 + TESTO/B6_01- exclu.tif</t>
  </si>
  <si>
    <t xml:space="preserve">Q:\R&amp;D\2-Test oestrogénique\OECD and AOPs\REACTIV oecd interlaboratory validation\Results WF\Repeats for invalid experiments - EBO\2022-EBO-ARABINOSE R5\plaque 2/@18 ARABINOSE 0.1 + TESTO/B6_02.tif </t>
  </si>
  <si>
    <t xml:space="preserve"> 62.9259 </t>
  </si>
  <si>
    <t xml:space="preserve">Q:\R&amp;D\2-Test oestrogénique\OECD and AOPs\REACTIV oecd interlaboratory validation\Results WF\Repeats for invalid experiments - EBO\2022-EBO-ARABINOSE R5\plaque 2/@18 ARABINOSE 0.1 + TESTO/B6_03.tif </t>
  </si>
  <si>
    <t xml:space="preserve"> 63.3171 </t>
  </si>
  <si>
    <t xml:space="preserve">Q:\R&amp;D\2-Test oestrogénique\OECD and AOPs\REACTIV oecd interlaboratory validation\Results WF\Repeats for invalid experiments - EBO\2022-EBO-ARABINOSE R5\plaque 2/@18 ARABINOSE 0.1 + TESTO/C6_01.tif </t>
  </si>
  <si>
    <t xml:space="preserve"> 5873.5139 </t>
  </si>
  <si>
    <t xml:space="preserve"> 64.7519 </t>
  </si>
  <si>
    <t>Q:\R&amp;D\2-Test oestrogénique\OECD and AOPs\REACTIV oecd interlaboratory validation\Results WF\Repeats for invalid experiments - EBO\2022-EBO-ARABINOSE R5\plaque 2/@18 ARABINOSE 0.1 + TESTO/C6_02- exclu.tif</t>
  </si>
  <si>
    <t>Q:\R&amp;D\2-Test oestrogénique\OECD and AOPs\REACTIV oecd interlaboratory validation\Results WF\Repeats for invalid experiments - EBO\2022-EBO-ARABINOSE R5\plaque 2/@18 ARABINOSE 0.1 + TESTO/C6_03- exclu.tif</t>
  </si>
  <si>
    <t xml:space="preserve">Q:\R&amp;D\2-Test oestrogénique\OECD and AOPs\REACTIV oecd interlaboratory validation\Results WF\Repeats for invalid experiments - EBO\2022-EBO-ARABINOSE R5\plaque 2/@18 ARABINOSE 0.1 + TESTO/D6_01.tif </t>
  </si>
  <si>
    <t xml:space="preserve"> 14052.9257 </t>
  </si>
  <si>
    <t xml:space="preserve"> 65.2508 </t>
  </si>
  <si>
    <t xml:space="preserve">Q:\R&amp;D\2-Test oestrogénique\OECD and AOPs\REACTIV oecd interlaboratory validation\Results WF\Repeats for invalid experiments - EBO\2022-EBO-ARABINOSE R5\plaque 2/@18 ARABINOSE 0.1 + TESTO/D6_02.tif </t>
  </si>
  <si>
    <t xml:space="preserve"> 9636.9135 </t>
  </si>
  <si>
    <t xml:space="preserve"> 63.9594 </t>
  </si>
  <si>
    <t xml:space="preserve">Q:\R&amp;D\2-Test oestrogénique\OECD and AOPs\REACTIV oecd interlaboratory validation\Results WF\Repeats for invalid experiments - EBO\2022-EBO-ARABINOSE R5\plaque 2/@18 ARABINOSE 0.1 + TESTO/D6_03.tif </t>
  </si>
  <si>
    <t xml:space="preserve"> 11768.7815 </t>
  </si>
  <si>
    <t xml:space="preserve"> 64.5675 </t>
  </si>
  <si>
    <t xml:space="preserve">Q:\R&amp;D\2-Test oestrogénique\OECD and AOPs\REACTIV oecd interlaboratory validation\Results WF\Repeats for invalid experiments - EBO\2022-EBO-ARABINOSE R5\plaque 2/@18 ARABINOSE 0.1 + TESTO/E6_01.tif </t>
  </si>
  <si>
    <t xml:space="preserve"> 1261.7178 </t>
  </si>
  <si>
    <t xml:space="preserve"> 64.2931 </t>
  </si>
  <si>
    <t xml:space="preserve">Q:\R&amp;D\2-Test oestrogénique\OECD and AOPs\REACTIV oecd interlaboratory validation\Results WF\Repeats for invalid experiments - EBO\2022-EBO-ARABINOSE R5\plaque 2/@18 ARABINOSE 0.1 + TESTO/E6_02.tif </t>
  </si>
  <si>
    <t xml:space="preserve">Q:\R&amp;D\2-Test oestrogénique\OECD and AOPs\REACTIV oecd interlaboratory validation\Results WF\Repeats for invalid experiments - EBO\2022-EBO-ARABINOSE R5\plaque 2/@18 ARABINOSE 0.1 + TESTO/E6_03.tif </t>
  </si>
  <si>
    <t xml:space="preserve">Q:\R&amp;D\2-Test oestrogénique\OECD and AOPs\REACTIV oecd interlaboratory validation\Results WF\Repeats for invalid experiments - EBO\2022-EBO-ARABINOSE R5\plaque 2/@18 ARABINOSE 0.1 + TESTO/F6_01.tif </t>
  </si>
  <si>
    <t xml:space="preserve"> 16598.1151 </t>
  </si>
  <si>
    <t xml:space="preserve">Q:\R&amp;D\2-Test oestrogénique\OECD and AOPs\REACTIV oecd interlaboratory validation\Results WF\Repeats for invalid experiments - EBO\2022-EBO-ARABINOSE R5\plaque 2/@18 ARABINOSE 0.1 + TESTO/F6_02.tif </t>
  </si>
  <si>
    <t xml:space="preserve"> 18969.2744 </t>
  </si>
  <si>
    <t xml:space="preserve"> 66.0596 </t>
  </si>
  <si>
    <t xml:space="preserve">Q:\R&amp;D\2-Test oestrogénique\OECD and AOPs\REACTIV oecd interlaboratory validation\Results WF\Repeats for invalid experiments - EBO\2022-EBO-ARABINOSE R5\plaque 2/@18 ARABINOSE 0.1 + TESTO/F6_03.tif </t>
  </si>
  <si>
    <t xml:space="preserve"> 15532.1811 </t>
  </si>
  <si>
    <t xml:space="preserve"> 66.2563 </t>
  </si>
  <si>
    <t xml:space="preserve">Q:\R&amp;D\2-Test oestrogénique\OECD and AOPs\REACTIV oecd interlaboratory validation\Results WF\Repeats for invalid experiments - EBO\2022-EBO-ARABINOSE R5\plaque 2/@18 ARABINOSE 0.1 + TESTO/G6_01.tif </t>
  </si>
  <si>
    <t xml:space="preserve"> 7505.0455 </t>
  </si>
  <si>
    <t xml:space="preserve"> 64.5043 </t>
  </si>
  <si>
    <t xml:space="preserve">Q:\R&amp;D\2-Test oestrogénique\OECD and AOPs\REACTIV oecd interlaboratory validation\Results WF\Repeats for invalid experiments - EBO\2022-EBO-ARABINOSE R5\plaque 2/@18 ARABINOSE 0.1 + TESTO/G6_02.tif </t>
  </si>
  <si>
    <t xml:space="preserve"> 7156.9854 </t>
  </si>
  <si>
    <t xml:space="preserve"> 64.4954 </t>
  </si>
  <si>
    <t xml:space="preserve">Q:\R&amp;D\2-Test oestrogénique\OECD and AOPs\REACTIV oecd interlaboratory validation\Results WF\Repeats for invalid experiments - EBO\2022-EBO-ARABINOSE R5\plaque 2/@18 ARABINOSE 0.1 + TESTO/G6_03.tif </t>
  </si>
  <si>
    <t xml:space="preserve"> 6308.589 </t>
  </si>
  <si>
    <t xml:space="preserve"> 63.6517 </t>
  </si>
  <si>
    <t xml:space="preserve">Q:\R&amp;D\2-Test oestrogénique\OECD and AOPs\REACTIV oecd interlaboratory validation\Results WF\Repeats for invalid experiments - EBO\2022-EBO-ARABINOSE R5\plaque 2/@18 ARABINOSE 0.1 + TESTO/H6_01.tif </t>
  </si>
  <si>
    <t xml:space="preserve"> 70.0955 </t>
  </si>
  <si>
    <t xml:space="preserve">Q:\R&amp;D\2-Test oestrogénique\OECD and AOPs\REACTIV oecd interlaboratory validation\Results WF\Repeats for invalid experiments - EBO\2022-EBO-ARABINOSE R5\plaque 2/@18 ARABINOSE 0.1 + TESTO/H6_02.tif </t>
  </si>
  <si>
    <t xml:space="preserve"> 43115.9424 </t>
  </si>
  <si>
    <t xml:space="preserve"> 70.9425 </t>
  </si>
  <si>
    <t xml:space="preserve">Q:\R&amp;D\2-Test oestrogénique\OECD and AOPs\REACTIV oecd interlaboratory validation\Results WF\Repeats for invalid experiments - EBO\2022-EBO-ARABINOSE R5\plaque 2/@18 ARABINOSE 0.1 + TESTO/H6_03.tif </t>
  </si>
  <si>
    <t xml:space="preserve"> 50577.4804 </t>
  </si>
  <si>
    <t xml:space="preserve"> 71.6138 </t>
  </si>
  <si>
    <t xml:space="preserve">Q:\R&amp;D\2-Test oestrogénique\OECD and AOPs\REACTIV oecd interlaboratory validation\Results WF\Repeats for invalid experiments - EBO\2022-EBO-ARABINOSE R5\plaque 2/@18 ARABINOSE 0.1 + TESTO/ </t>
  </si>
  <si>
    <t xml:space="preserve"> 65.2002 </t>
  </si>
  <si>
    <t xml:space="preserve"> 2.4148 </t>
  </si>
  <si>
    <t xml:space="preserve"> 776348.042 </t>
  </si>
  <si>
    <t xml:space="preserve"> 1021700.31 </t>
  </si>
  <si>
    <t>Q:\R&amp;D\2-Test oestrogénique\OECD and AOPs\REACTIV oecd interlaboratory validation\Results WF\Repeats for invalid experiments - EBO\2022-EBO-ARABINOSE R5\plaque 2/@19 ARABINOSE 1 + TESTO/A7_01- exclu.tif</t>
  </si>
  <si>
    <t xml:space="preserve">Q:\R&amp;D\2-Test oestrogénique\OECD and AOPs\REACTIV oecd interlaboratory validation\Results WF\Repeats for invalid experiments - EBO\2022-EBO-ARABINOSE R5\plaque 2/@19 ARABINOSE 1 + TESTO/A7_02.tif </t>
  </si>
  <si>
    <t xml:space="preserve"> 10050.2348 </t>
  </si>
  <si>
    <t xml:space="preserve"> 64.2662 </t>
  </si>
  <si>
    <t>Q:\R&amp;D\2-Test oestrogénique\OECD and AOPs\REACTIV oecd interlaboratory validation\Results WF\Repeats for invalid experiments - EBO\2022-EBO-ARABINOSE R5\plaque 2/@19 ARABINOSE 1 + TESTO/A7_03- exclu.tif</t>
  </si>
  <si>
    <t xml:space="preserve">Q:\R&amp;D\2-Test oestrogénique\OECD and AOPs\REACTIV oecd interlaboratory validation\Results WF\Repeats for invalid experiments - EBO\2022-EBO-ARABINOSE R5\plaque 2/@19 ARABINOSE 1 + TESTO/B7_01.tif </t>
  </si>
  <si>
    <t xml:space="preserve"> 67.8069 </t>
  </si>
  <si>
    <t>Q:\R&amp;D\2-Test oestrogénique\OECD and AOPs\REACTIV oecd interlaboratory validation\Results WF\Repeats for invalid experiments - EBO\2022-EBO-ARABINOSE R5\plaque 2/@19 ARABINOSE 1 + TESTO/B7_02- exclu.tif</t>
  </si>
  <si>
    <t>Q:\R&amp;D\2-Test oestrogénique\OECD and AOPs\REACTIV oecd interlaboratory validation\Results WF\Repeats for invalid experiments - EBO\2022-EBO-ARABINOSE R5\plaque 2/@19 ARABINOSE 1 + TESTO/B7_03- exclu.tif</t>
  </si>
  <si>
    <t xml:space="preserve">Q:\R&amp;D\2-Test oestrogénique\OECD and AOPs\REACTIV oecd interlaboratory validation\Results WF\Repeats for invalid experiments - EBO\2022-EBO-ARABINOSE R5\plaque 2/@19 ARABINOSE 1 + TESTO/C7_01.tif </t>
  </si>
  <si>
    <t xml:space="preserve"> 22384.6139 </t>
  </si>
  <si>
    <t xml:space="preserve"> 68.2002 </t>
  </si>
  <si>
    <t xml:space="preserve">Q:\R&amp;D\2-Test oestrogénique\OECD and AOPs\REACTIV oecd interlaboratory validation\Results WF\Repeats for invalid experiments - EBO\2022-EBO-ARABINOSE R5\plaque 2/@19 ARABINOSE 1 + TESTO/C7_02.tif </t>
  </si>
  <si>
    <t xml:space="preserve"> 68.6509 </t>
  </si>
  <si>
    <t xml:space="preserve">Q:\R&amp;D\2-Test oestrogénique\OECD and AOPs\REACTIV oecd interlaboratory validation\Results WF\Repeats for invalid experiments - EBO\2022-EBO-ARABINOSE R5\plaque 2/@19 ARABINOSE 1 + TESTO/C7_03.tif </t>
  </si>
  <si>
    <t xml:space="preserve"> 17990.3554 </t>
  </si>
  <si>
    <t xml:space="preserve"> 67.9794 </t>
  </si>
  <si>
    <t xml:space="preserve">Q:\R&amp;D\2-Test oestrogénique\OECD and AOPs\REACTIV oecd interlaboratory validation\Results WF\Repeats for invalid experiments - EBO\2022-EBO-ARABINOSE R5\plaque 2/@19 ARABINOSE 1 + TESTO/D7_01.tif </t>
  </si>
  <si>
    <t xml:space="preserve"> 21296.9261 </t>
  </si>
  <si>
    <t xml:space="preserve"> 69.3483 </t>
  </si>
  <si>
    <t xml:space="preserve">Q:\R&amp;D\2-Test oestrogénique\OECD and AOPs\REACTIV oecd interlaboratory validation\Results WF\Repeats for invalid experiments - EBO\2022-EBO-ARABINOSE R5\plaque 2/@19 ARABINOSE 1 + TESTO/D7_02.tif </t>
  </si>
  <si>
    <t xml:space="preserve"> 21949.5388 </t>
  </si>
  <si>
    <t xml:space="preserve"> 67.3925 </t>
  </si>
  <si>
    <t xml:space="preserve">Q:\R&amp;D\2-Test oestrogénique\OECD and AOPs\REACTIV oecd interlaboratory validation\Results WF\Repeats for invalid experiments - EBO\2022-EBO-ARABINOSE R5\plaque 2/@19 ARABINOSE 1 + TESTO/D7_03.tif </t>
  </si>
  <si>
    <t xml:space="preserve"> 18816.9981 </t>
  </si>
  <si>
    <t xml:space="preserve"> 67.3699 </t>
  </si>
  <si>
    <t xml:space="preserve">Q:\R&amp;D\2-Test oestrogénique\OECD and AOPs\REACTIV oecd interlaboratory validation\Results WF\Repeats for invalid experiments - EBO\2022-EBO-ARABINOSE R5\plaque 2/@19 ARABINOSE 1 + TESTO/E7_01.tif </t>
  </si>
  <si>
    <t xml:space="preserve"> 14705.5384 </t>
  </si>
  <si>
    <t xml:space="preserve"> 65.6657 </t>
  </si>
  <si>
    <t xml:space="preserve">Q:\R&amp;D\2-Test oestrogénique\OECD and AOPs\REACTIV oecd interlaboratory validation\Results WF\Repeats for invalid experiments - EBO\2022-EBO-ARABINOSE R5\plaque 2/@19 ARABINOSE 1 + TESTO/E7_02.tif </t>
  </si>
  <si>
    <t xml:space="preserve"> 20035.2084 </t>
  </si>
  <si>
    <t xml:space="preserve"> 67.2182 </t>
  </si>
  <si>
    <t xml:space="preserve">Q:\R&amp;D\2-Test oestrogénique\OECD and AOPs\REACTIV oecd interlaboratory validation\Results WF\Repeats for invalid experiments - EBO\2022-EBO-ARABINOSE R5\plaque 2/@19 ARABINOSE 1 + TESTO/E7_03.tif </t>
  </si>
  <si>
    <t xml:space="preserve"> 13509.0819 </t>
  </si>
  <si>
    <t xml:space="preserve"> 65.9807 </t>
  </si>
  <si>
    <t xml:space="preserve">Q:\R&amp;D\2-Test oestrogénique\OECD and AOPs\REACTIV oecd interlaboratory validation\Results WF\Repeats for invalid experiments - EBO\2022-EBO-ARABINOSE R5\plaque 2/@19 ARABINOSE 1 + TESTO/F7_01.tif </t>
  </si>
  <si>
    <t xml:space="preserve"> 21014.1273 </t>
  </si>
  <si>
    <t xml:space="preserve"> 66.7412 </t>
  </si>
  <si>
    <t xml:space="preserve">Q:\R&amp;D\2-Test oestrogénique\OECD and AOPs\REACTIV oecd interlaboratory validation\Results WF\Repeats for invalid experiments - EBO\2022-EBO-ARABINOSE R5\plaque 2/@19 ARABINOSE 1 + TESTO/F7_02.tif </t>
  </si>
  <si>
    <t xml:space="preserve"> 66.5514 </t>
  </si>
  <si>
    <t xml:space="preserve">Q:\R&amp;D\2-Test oestrogénique\OECD and AOPs\REACTIV oecd interlaboratory validation\Results WF\Repeats for invalid experiments - EBO\2022-EBO-ARABINOSE R5\plaque 2/@19 ARABINOSE 1 + TESTO/F7_03.tif </t>
  </si>
  <si>
    <t xml:space="preserve"> 19817.6708 </t>
  </si>
  <si>
    <t xml:space="preserve"> 66.8364 </t>
  </si>
  <si>
    <t xml:space="preserve">Q:\R&amp;D\2-Test oestrogénique\OECD and AOPs\REACTIV oecd interlaboratory validation\Results WF\Repeats for invalid experiments - EBO\2022-EBO-ARABINOSE R5\plaque 2/@19 ARABINOSE 1 + TESTO/G7_01.tif </t>
  </si>
  <si>
    <t xml:space="preserve"> 76.4159 </t>
  </si>
  <si>
    <t xml:space="preserve">Q:\R&amp;D\2-Test oestrogénique\OECD and AOPs\REACTIV oecd interlaboratory validation\Results WF\Repeats for invalid experiments - EBO\2022-EBO-ARABINOSE R5\plaque 2/@19 ARABINOSE 1 + TESTO/G7_02.tif </t>
  </si>
  <si>
    <t xml:space="preserve"> 40005.1555 </t>
  </si>
  <si>
    <t xml:space="preserve"> 75.0761 </t>
  </si>
  <si>
    <t xml:space="preserve">Q:\R&amp;D\2-Test oestrogénique\OECD and AOPs\REACTIV oecd interlaboratory validation\Results WF\Repeats for invalid experiments - EBO\2022-EBO-ARABINOSE R5\plaque 2/@19 ARABINOSE 1 + TESTO/G7_03.tif </t>
  </si>
  <si>
    <t xml:space="preserve"> 41071.0894 </t>
  </si>
  <si>
    <t xml:space="preserve"> 76.4311 </t>
  </si>
  <si>
    <t xml:space="preserve">Q:\R&amp;D\2-Test oestrogénique\OECD and AOPs\REACTIV oecd interlaboratory validation\Results WF\Repeats for invalid experiments - EBO\2022-EBO-ARABINOSE R5\plaque 2/@19 ARABINOSE 1 + TESTO/H7_01.tif </t>
  </si>
  <si>
    <t xml:space="preserve"> 45356.5792 </t>
  </si>
  <si>
    <t xml:space="preserve"> 72.3659 </t>
  </si>
  <si>
    <t xml:space="preserve">Q:\R&amp;D\2-Test oestrogénique\OECD and AOPs\REACTIV oecd interlaboratory validation\Results WF\Repeats for invalid experiments - EBO\2022-EBO-ARABINOSE R5\plaque 2/@19 ARABINOSE 1 + TESTO/H7_02.tif </t>
  </si>
  <si>
    <t xml:space="preserve"> 47466.6934 </t>
  </si>
  <si>
    <t xml:space="preserve"> 74.0092 </t>
  </si>
  <si>
    <t xml:space="preserve">Q:\R&amp;D\2-Test oestrogénique\OECD and AOPs\REACTIV oecd interlaboratory validation\Results WF\Repeats for invalid experiments - EBO\2022-EBO-ARABINOSE R5\plaque 2/@19 ARABINOSE 1 + TESTO/H7_03.tif </t>
  </si>
  <si>
    <t xml:space="preserve"> 43398.7412 </t>
  </si>
  <si>
    <t xml:space="preserve"> 72.0637 </t>
  </si>
  <si>
    <t xml:space="preserve">Q:\R&amp;D\2-Test oestrogénique\OECD and AOPs\REACTIV oecd interlaboratory validation\Results WF\Repeats for invalid experiments - EBO\2022-EBO-ARABINOSE R5\plaque 2/@19 ARABINOSE 1 + TESTO/ </t>
  </si>
  <si>
    <t xml:space="preserve"> 68.4331 </t>
  </si>
  <si>
    <t xml:space="preserve"> 3.9401 </t>
  </si>
  <si>
    <t xml:space="preserve"> 1525643.33 </t>
  </si>
  <si>
    <t xml:space="preserve"> 1100001.63 </t>
  </si>
  <si>
    <t xml:space="preserve">Q:\R&amp;D\2-Test oestrogénique\OECD and AOPs\REACTIV oecd interlaboratory validation\Results WF\Repeats for invalid experiments - EBO\2022-EBO-ARABINOSE R5\plaque 2/@20 ARABINOSE 10 + TESTO/A8_01.tif </t>
  </si>
  <si>
    <t xml:space="preserve"> 12747.7004 </t>
  </si>
  <si>
    <t xml:space="preserve"> 64.6758 </t>
  </si>
  <si>
    <t xml:space="preserve">Q:\R&amp;D\2-Test oestrogénique\OECD and AOPs\REACTIV oecd interlaboratory validation\Results WF\Repeats for invalid experiments - EBO\2022-EBO-ARABINOSE R5\plaque 2/@20 ARABINOSE 10 + TESTO/A8_02.tif </t>
  </si>
  <si>
    <t xml:space="preserve"> 15858.4874 </t>
  </si>
  <si>
    <t xml:space="preserve"> 65.1166 </t>
  </si>
  <si>
    <t xml:space="preserve">Q:\R&amp;D\2-Test oestrogénique\OECD and AOPs\REACTIV oecd interlaboratory validation\Results WF\Repeats for invalid experiments - EBO\2022-EBO-ARABINOSE R5\plaque 2/@20 ARABINOSE 10 + TESTO/A8_03.tif </t>
  </si>
  <si>
    <t xml:space="preserve"> 10071.9886 </t>
  </si>
  <si>
    <t xml:space="preserve"> 64.3672 </t>
  </si>
  <si>
    <t xml:space="preserve">Q:\R&amp;D\2-Test oestrogénique\OECD and AOPs\REACTIV oecd interlaboratory validation\Results WF\Repeats for invalid experiments - EBO\2022-EBO-ARABINOSE R5\plaque 2/@20 ARABINOSE 10 + TESTO/B8_01.tif </t>
  </si>
  <si>
    <t xml:space="preserve"> 24494.7281 </t>
  </si>
  <si>
    <t xml:space="preserve"> 67.1705 </t>
  </si>
  <si>
    <t xml:space="preserve">Q:\R&amp;D\2-Test oestrogénique\OECD and AOPs\REACTIV oecd interlaboratory validation\Results WF\Repeats for invalid experiments - EBO\2022-EBO-ARABINOSE R5\plaque 2/@20 ARABINOSE 10 + TESTO/B8_02.tif </t>
  </si>
  <si>
    <t xml:space="preserve"> 24472.9744 </t>
  </si>
  <si>
    <t xml:space="preserve"> 67.0578 </t>
  </si>
  <si>
    <t xml:space="preserve">Q:\R&amp;D\2-Test oestrogénique\OECD and AOPs\REACTIV oecd interlaboratory validation\Results WF\Repeats for invalid experiments - EBO\2022-EBO-ARABINOSE R5\plaque 2/@20 ARABINOSE 10 + TESTO/B8_03.tif </t>
  </si>
  <si>
    <t xml:space="preserve"> 66.0205 </t>
  </si>
  <si>
    <t xml:space="preserve">Q:\R&amp;D\2-Test oestrogénique\OECD and AOPs\REACTIV oecd interlaboratory validation\Results WF\Repeats for invalid experiments - EBO\2022-EBO-ARABINOSE R5\plaque 2/@20 ARABINOSE 10 + TESTO/C8_01.tif </t>
  </si>
  <si>
    <t xml:space="preserve"> 19208.5657 </t>
  </si>
  <si>
    <t xml:space="preserve"> 66.6455 </t>
  </si>
  <si>
    <t xml:space="preserve">Q:\R&amp;D\2-Test oestrogénique\OECD and AOPs\REACTIV oecd interlaboratory validation\Results WF\Repeats for invalid experiments - EBO\2022-EBO-ARABINOSE R5\plaque 2/@20 ARABINOSE 10 + TESTO/C8_02.tif </t>
  </si>
  <si>
    <t xml:space="preserve"> 24081.4068 </t>
  </si>
  <si>
    <t xml:space="preserve"> 66.6974 </t>
  </si>
  <si>
    <t xml:space="preserve">Q:\R&amp;D\2-Test oestrogénique\OECD and AOPs\REACTIV oecd interlaboratory validation\Results WF\Repeats for invalid experiments - EBO\2022-EBO-ARABINOSE R5\plaque 2/@20 ARABINOSE 10 + TESTO/C8_03.tif </t>
  </si>
  <si>
    <t xml:space="preserve"> 19708.902 </t>
  </si>
  <si>
    <t xml:space="preserve"> 65.3201 </t>
  </si>
  <si>
    <t xml:space="preserve">Q:\R&amp;D\2-Test oestrogénique\OECD and AOPs\REACTIV oecd interlaboratory validation\Results WF\Repeats for invalid experiments - EBO\2022-EBO-ARABINOSE R5\plaque 2/@20 ARABINOSE 10 + TESTO/D8_01.tif </t>
  </si>
  <si>
    <t xml:space="preserve"> 68.7429 </t>
  </si>
  <si>
    <t xml:space="preserve">Q:\R&amp;D\2-Test oestrogénique\OECD and AOPs\REACTIV oecd interlaboratory validation\Results WF\Repeats for invalid experiments - EBO\2022-EBO-ARABINOSE R5\plaque 2/@20 ARABINOSE 10 + TESTO/D8_02.tif </t>
  </si>
  <si>
    <t xml:space="preserve"> 26887.6412 </t>
  </si>
  <si>
    <t xml:space="preserve"> 68.2184 </t>
  </si>
  <si>
    <t xml:space="preserve">Q:\R&amp;D\2-Test oestrogénique\OECD and AOPs\REACTIV oecd interlaboratory validation\Results WF\Repeats for invalid experiments - EBO\2022-EBO-ARABINOSE R5\plaque 2/@20 ARABINOSE 10 + TESTO/D8_03.tif </t>
  </si>
  <si>
    <t xml:space="preserve"> 72.3975 </t>
  </si>
  <si>
    <t xml:space="preserve">Q:\R&amp;D\2-Test oestrogénique\OECD and AOPs\REACTIV oecd interlaboratory validation\Results WF\Repeats for invalid experiments - EBO\2022-EBO-ARABINOSE R5\plaque 2/@20 ARABINOSE 10 + TESTO/E8_01.tif </t>
  </si>
  <si>
    <t xml:space="preserve"> 31586.4523 </t>
  </si>
  <si>
    <t xml:space="preserve"> 72.8953 </t>
  </si>
  <si>
    <t xml:space="preserve">Q:\R&amp;D\2-Test oestrogénique\OECD and AOPs\REACTIV oecd interlaboratory validation\Results WF\Repeats for invalid experiments - EBO\2022-EBO-ARABINOSE R5\plaque 2/@20 ARABINOSE 10 + TESTO/E8_02.tif </t>
  </si>
  <si>
    <t xml:space="preserve"> 73.0589 </t>
  </si>
  <si>
    <t xml:space="preserve">Q:\R&amp;D\2-Test oestrogénique\OECD and AOPs\REACTIV oecd interlaboratory validation\Results WF\Repeats for invalid experiments - EBO\2022-EBO-ARABINOSE R5\plaque 2/@20 ARABINOSE 10 + TESTO/E8_03.tif </t>
  </si>
  <si>
    <t xml:space="preserve"> 32478.3562 </t>
  </si>
  <si>
    <t xml:space="preserve"> 72.6618 </t>
  </si>
  <si>
    <t xml:space="preserve">Q:\R&amp;D\2-Test oestrogénique\OECD and AOPs\REACTIV oecd interlaboratory validation\Results WF\Repeats for invalid experiments - EBO\2022-EBO-ARABINOSE R5\plaque 2/@20 ARABINOSE 10 + TESTO/F8_01.tif </t>
  </si>
  <si>
    <t xml:space="preserve"> 29519.8455 </t>
  </si>
  <si>
    <t xml:space="preserve"> 67.692 </t>
  </si>
  <si>
    <t>Q:\R&amp;D\2-Test oestrogénique\OECD and AOPs\REACTIV oecd interlaboratory validation\Results WF\Repeats for invalid experiments - EBO\2022-EBO-ARABINOSE R5\plaque 2/@20 ARABINOSE 10 + TESTO/F8_02- exclu.tif</t>
  </si>
  <si>
    <t>Q:\R&amp;D\2-Test oestrogénique\OECD and AOPs\REACTIV oecd interlaboratory validation\Results WF\Repeats for invalid experiments - EBO\2022-EBO-ARABINOSE R5\plaque 2/@20 ARABINOSE 10 + TESTO/F8_03- exclu.tif</t>
  </si>
  <si>
    <t xml:space="preserve">Q:\R&amp;D\2-Test oestrogénique\OECD and AOPs\REACTIV oecd interlaboratory validation\Results WF\Repeats for invalid experiments - EBO\2022-EBO-ARABINOSE R5\plaque 2/@20 ARABINOSE 10 + TESTO/G8_01.tif </t>
  </si>
  <si>
    <t xml:space="preserve"> 42224.0385 </t>
  </si>
  <si>
    <t xml:space="preserve"> 71.7032 </t>
  </si>
  <si>
    <t xml:space="preserve">Q:\R&amp;D\2-Test oestrogénique\OECD and AOPs\REACTIV oecd interlaboratory validation\Results WF\Repeats for invalid experiments - EBO\2022-EBO-ARABINOSE R5\plaque 2/@20 ARABINOSE 10 + TESTO/G8_02.tif </t>
  </si>
  <si>
    <t xml:space="preserve"> 37873.2875 </t>
  </si>
  <si>
    <t xml:space="preserve"> 69.8168 </t>
  </si>
  <si>
    <t xml:space="preserve">Q:\R&amp;D\2-Test oestrogénique\OECD and AOPs\REACTIV oecd interlaboratory validation\Results WF\Repeats for invalid experiments - EBO\2022-EBO-ARABINOSE R5\plaque 2/@20 ARABINOSE 10 + TESTO/G8_03.tif </t>
  </si>
  <si>
    <t xml:space="preserve"> 71.289 </t>
  </si>
  <si>
    <t xml:space="preserve">Q:\R&amp;D\2-Test oestrogénique\OECD and AOPs\REACTIV oecd interlaboratory validation\Results WF\Repeats for invalid experiments - EBO\2022-EBO-ARABINOSE R5\plaque 2/@20 ARABINOSE 10 + TESTO/H8_01.tif </t>
  </si>
  <si>
    <t xml:space="preserve"> 24037.8993 </t>
  </si>
  <si>
    <t xml:space="preserve"> 68.1448 </t>
  </si>
  <si>
    <t xml:space="preserve">Q:\R&amp;D\2-Test oestrogénique\OECD and AOPs\REACTIV oecd interlaboratory validation\Results WF\Repeats for invalid experiments - EBO\2022-EBO-ARABINOSE R5\plaque 2/@20 ARABINOSE 10 + TESTO/H8_02.tif </t>
  </si>
  <si>
    <t xml:space="preserve"> 68.9392 </t>
  </si>
  <si>
    <t xml:space="preserve">Q:\R&amp;D\2-Test oestrogénique\OECD and AOPs\REACTIV oecd interlaboratory validation\Results WF\Repeats for invalid experiments - EBO\2022-EBO-ARABINOSE R5\plaque 2/@20 ARABINOSE 10 + TESTO/H8_03.tif </t>
  </si>
  <si>
    <t xml:space="preserve"> 69.432 </t>
  </si>
  <si>
    <t xml:space="preserve">Q:\R&amp;D\2-Test oestrogénique\OECD and AOPs\REACTIV oecd interlaboratory validation\Results WF\Repeats for invalid experiments - EBO\2022-EBO-ARABINOSE R5\plaque 2/@20 ARABINOSE 10 + TESTO/ </t>
  </si>
  <si>
    <t xml:space="preserve"> 68.4365 </t>
  </si>
  <si>
    <t xml:space="preserve"> 2.7145 </t>
  </si>
  <si>
    <t xml:space="preserve"> 1843576.38 </t>
  </si>
  <si>
    <t xml:space="preserve"> 617284.977 </t>
  </si>
  <si>
    <t xml:space="preserve">Q:\R&amp;D\2-Test oestrogénique\OECD and AOPs\REACTIV oecd interlaboratory validation\Results WF\Repeats for invalid experiments - EBO\2022-EBO-ARABINOSE R5\plaque 2/@21 ARABINOSE 100 + TESTO/A9_01.tif </t>
  </si>
  <si>
    <t xml:space="preserve"> 1805.5617 </t>
  </si>
  <si>
    <t xml:space="preserve"> 63.3494 </t>
  </si>
  <si>
    <t xml:space="preserve">Q:\R&amp;D\2-Test oestrogénique\OECD and AOPs\REACTIV oecd interlaboratory validation\Results WF\Repeats for invalid experiments - EBO\2022-EBO-ARABINOSE R5\plaque 2/@21 ARABINOSE 100 + TESTO/A9_02.tif </t>
  </si>
  <si>
    <t xml:space="preserve"> 935.4115 </t>
  </si>
  <si>
    <t xml:space="preserve"> 64.4419 </t>
  </si>
  <si>
    <t>Q:\R&amp;D\2-Test oestrogénique\OECD and AOPs\REACTIV oecd interlaboratory validation\Results WF\Repeats for invalid experiments - EBO\2022-EBO-ARABINOSE R5\plaque 2/@21 ARABINOSE 100 + TESTO/A9_03- exclu.tif</t>
  </si>
  <si>
    <t xml:space="preserve">Q:\R&amp;D\2-Test oestrogénique\OECD and AOPs\REACTIV oecd interlaboratory validation\Results WF\Repeats for invalid experiments - EBO\2022-EBO-ARABINOSE R5\plaque 2/@21 ARABINOSE 100 + TESTO/B9_01.tif </t>
  </si>
  <si>
    <t xml:space="preserve"> 13530.8356 </t>
  </si>
  <si>
    <t xml:space="preserve"> 65.2058 </t>
  </si>
  <si>
    <t xml:space="preserve">Q:\R&amp;D\2-Test oestrogénique\OECD and AOPs\REACTIV oecd interlaboratory validation\Results WF\Repeats for invalid experiments - EBO\2022-EBO-ARABINOSE R5\plaque 2/@21 ARABINOSE 100 + TESTO/B9_02.tif </t>
  </si>
  <si>
    <t xml:space="preserve"> 15423.4123 </t>
  </si>
  <si>
    <t xml:space="preserve"> 67.8054 </t>
  </si>
  <si>
    <t xml:space="preserve">Q:\R&amp;D\2-Test oestrogénique\OECD and AOPs\REACTIV oecd interlaboratory validation\Results WF\Repeats for invalid experiments - EBO\2022-EBO-ARABINOSE R5\plaque 2/@21 ARABINOSE 100 + TESTO/B9_03.tif </t>
  </si>
  <si>
    <t xml:space="preserve"> 15575.6886 </t>
  </si>
  <si>
    <t xml:space="preserve"> 67.2277 </t>
  </si>
  <si>
    <t xml:space="preserve">Q:\R&amp;D\2-Test oestrogénique\OECD and AOPs\REACTIV oecd interlaboratory validation\Results WF\Repeats for invalid experiments - EBO\2022-EBO-ARABINOSE R5\plaque 2/@21 ARABINOSE 100 + TESTO/C9_01.tif </t>
  </si>
  <si>
    <t xml:space="preserve"> 10463.5562 </t>
  </si>
  <si>
    <t xml:space="preserve"> 65.7755 </t>
  </si>
  <si>
    <t xml:space="preserve">Q:\R&amp;D\2-Test oestrogénique\OECD and AOPs\REACTIV oecd interlaboratory validation\Results WF\Repeats for invalid experiments - EBO\2022-EBO-ARABINOSE R5\plaque 2/@21 ARABINOSE 100 + TESTO/C9_02.tif </t>
  </si>
  <si>
    <t xml:space="preserve"> 11638.2589 </t>
  </si>
  <si>
    <t xml:space="preserve">Q:\R&amp;D\2-Test oestrogénique\OECD and AOPs\REACTIV oecd interlaboratory validation\Results WF\Repeats for invalid experiments - EBO\2022-EBO-ARABINOSE R5\plaque 2/@21 ARABINOSE 100 + TESTO/C9_03.tif </t>
  </si>
  <si>
    <t xml:space="preserve"> 10746.355 </t>
  </si>
  <si>
    <t xml:space="preserve"> 67.1842 </t>
  </si>
  <si>
    <t xml:space="preserve">Q:\R&amp;D\2-Test oestrogénique\OECD and AOPs\REACTIV oecd interlaboratory validation\Results WF\Repeats for invalid experiments - EBO\2022-EBO-ARABINOSE R5\plaque 2/@21 ARABINOSE 100 + TESTO/D9_01.tif </t>
  </si>
  <si>
    <t xml:space="preserve"> 22515.1364 </t>
  </si>
  <si>
    <t xml:space="preserve"> 66.5043 </t>
  </si>
  <si>
    <t xml:space="preserve">Q:\R&amp;D\2-Test oestrogénique\OECD and AOPs\REACTIV oecd interlaboratory validation\Results WF\Repeats for invalid experiments - EBO\2022-EBO-ARABINOSE R5\plaque 2/@21 ARABINOSE 100 + TESTO/D9_02.tif </t>
  </si>
  <si>
    <t xml:space="preserve"> 29824.3981 </t>
  </si>
  <si>
    <t xml:space="preserve"> 67.7586 </t>
  </si>
  <si>
    <t xml:space="preserve">Q:\R&amp;D\2-Test oestrogénique\OECD and AOPs\REACTIV oecd interlaboratory validation\Results WF\Repeats for invalid experiments - EBO\2022-EBO-ARABINOSE R5\plaque 2/@21 ARABINOSE 100 + TESTO/D9_03.tif </t>
  </si>
  <si>
    <t xml:space="preserve"> 22623.9052 </t>
  </si>
  <si>
    <t xml:space="preserve"> 66.6183 </t>
  </si>
  <si>
    <t xml:space="preserve">Q:\R&amp;D\2-Test oestrogénique\OECD and AOPs\REACTIV oecd interlaboratory validation\Results WF\Repeats for invalid experiments - EBO\2022-EBO-ARABINOSE R5\plaque 2/@21 ARABINOSE 100 + TESTO/E9_01.tif </t>
  </si>
  <si>
    <t xml:space="preserve"> 34305.6716 </t>
  </si>
  <si>
    <t xml:space="preserve"> 78.3386 </t>
  </si>
  <si>
    <t xml:space="preserve">Q:\R&amp;D\2-Test oestrogénique\OECD and AOPs\REACTIV oecd interlaboratory validation\Results WF\Repeats for invalid experiments - EBO\2022-EBO-ARABINOSE R5\plaque 2/@21 ARABINOSE 100 + TESTO/E9_02.tif </t>
  </si>
  <si>
    <t xml:space="preserve"> 34240.4104 </t>
  </si>
  <si>
    <t xml:space="preserve"> 77.5451 </t>
  </si>
  <si>
    <t>Q:\R&amp;D\2-Test oestrogénique\OECD and AOPs\REACTIV oecd interlaboratory validation\Results WF\Repeats for invalid experiments - EBO\2022-EBO-ARABINOSE R5\plaque 2/@21 ARABINOSE 100 + TESTO/E9_03- exclu.tif</t>
  </si>
  <si>
    <t xml:space="preserve">Q:\R&amp;D\2-Test oestrogénique\OECD and AOPs\REACTIV oecd interlaboratory validation\Results WF\Repeats for invalid experiments - EBO\2022-EBO-ARABINOSE R5\plaque 2/@21 ARABINOSE 100 + TESTO/F9_01.tif </t>
  </si>
  <si>
    <t xml:space="preserve"> 14335.7245 </t>
  </si>
  <si>
    <t xml:space="preserve"> 65.2671 </t>
  </si>
  <si>
    <t xml:space="preserve">Q:\R&amp;D\2-Test oestrogénique\OECD and AOPs\REACTIV oecd interlaboratory validation\Results WF\Repeats for invalid experiments - EBO\2022-EBO-ARABINOSE R5\plaque 2/@21 ARABINOSE 100 + TESTO/F9_02.tif </t>
  </si>
  <si>
    <t xml:space="preserve"> 21318.6799 </t>
  </si>
  <si>
    <t xml:space="preserve"> 67.1939 </t>
  </si>
  <si>
    <t xml:space="preserve">Q:\R&amp;D\2-Test oestrogénique\OECD and AOPs\REACTIV oecd interlaboratory validation\Results WF\Repeats for invalid experiments - EBO\2022-EBO-ARABINOSE R5\plaque 2/@21 ARABINOSE 100 + TESTO/F9_03.tif </t>
  </si>
  <si>
    <t xml:space="preserve"> 16706.8838 </t>
  </si>
  <si>
    <t xml:space="preserve"> 66.1315 </t>
  </si>
  <si>
    <t xml:space="preserve">Q:\R&amp;D\2-Test oestrogénique\OECD and AOPs\REACTIV oecd interlaboratory validation\Results WF\Repeats for invalid experiments - EBO\2022-EBO-ARABINOSE R5\plaque 2/@21 ARABINOSE 100 + TESTO/G9_01.tif </t>
  </si>
  <si>
    <t xml:space="preserve"> 27279.2088 </t>
  </si>
  <si>
    <t xml:space="preserve"> 68.1802 </t>
  </si>
  <si>
    <t xml:space="preserve">Q:\R&amp;D\2-Test oestrogénique\OECD and AOPs\REACTIV oecd interlaboratory validation\Results WF\Repeats for invalid experiments - EBO\2022-EBO-ARABINOSE R5\plaque 2/@21 ARABINOSE 100 + TESTO/G9_02.tif </t>
  </si>
  <si>
    <t xml:space="preserve"> 30629.287 </t>
  </si>
  <si>
    <t xml:space="preserve"> 68.1158 </t>
  </si>
  <si>
    <t xml:space="preserve">Q:\R&amp;D\2-Test oestrogénique\OECD and AOPs\REACTIV oecd interlaboratory validation\Results WF\Repeats for invalid experiments - EBO\2022-EBO-ARABINOSE R5\plaque 2/@21 ARABINOSE 100 + TESTO/G9_03.tif </t>
  </si>
  <si>
    <t xml:space="preserve"> 29759.1368 </t>
  </si>
  <si>
    <t xml:space="preserve"> 67.4985 </t>
  </si>
  <si>
    <t xml:space="preserve">Q:\R&amp;D\2-Test oestrogénique\OECD and AOPs\REACTIV oecd interlaboratory validation\Results WF\Repeats for invalid experiments - EBO\2022-EBO-ARABINOSE R5\plaque 2/@21 ARABINOSE 100 + TESTO/H9_01.tif </t>
  </si>
  <si>
    <t xml:space="preserve"> 22602.1514 </t>
  </si>
  <si>
    <t xml:space="preserve"> 75.6631 </t>
  </si>
  <si>
    <t>Q:\R&amp;D\2-Test oestrogénique\OECD and AOPs\REACTIV oecd interlaboratory validation\Results WF\Repeats for invalid experiments - EBO\2022-EBO-ARABINOSE R5\plaque 2/@21 ARABINOSE 100 + TESTO/H9_02- exclu.tif</t>
  </si>
  <si>
    <t xml:space="preserve">Q:\R&amp;D\2-Test oestrogénique\OECD and AOPs\REACTIV oecd interlaboratory validation\Results WF\Repeats for invalid experiments - EBO\2022-EBO-ARABINOSE R5\plaque 2/@21 ARABINOSE 100 + TESTO/H9_03.tif </t>
  </si>
  <si>
    <t xml:space="preserve"> 76.3123 </t>
  </si>
  <si>
    <t xml:space="preserve">Q:\R&amp;D\2-Test oestrogénique\OECD and AOPs\REACTIV oecd interlaboratory validation\Results WF\Repeats for invalid experiments - EBO\2022-EBO-ARABINOSE R5\plaque 2/@21 ARABINOSE 100 + TESTO/ </t>
  </si>
  <si>
    <t xml:space="preserve"> 68.8923 </t>
  </si>
  <si>
    <t xml:space="preserve"> 4.2347 </t>
  </si>
  <si>
    <t xml:space="preserve"> 1283858.54 </t>
  </si>
  <si>
    <t xml:space="preserve"> 750481.167 </t>
  </si>
  <si>
    <t>15 TESTO + EE2</t>
  </si>
  <si>
    <t>ns</t>
  </si>
  <si>
    <t>&gt;0,99</t>
  </si>
  <si>
    <t>***</t>
  </si>
  <si>
    <t>&lt;0,001</t>
  </si>
  <si>
    <t>Kruskal-Wallis</t>
  </si>
  <si>
    <t>mg/L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</si>
</sst>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0" fillId="0" borderId="0" xfId="0" applyNumberFormat="1" applyFont="1"/>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NumberFormat="1" applyFont="1"/>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ercent" xfId="7" builtinId="5"/>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font>
        <color theme="6" tint="-0.499984740745262"/>
      </font>
      <fill>
        <patternFill>
          <bgColor theme="6" tint="0.79998168889431442"/>
        </patternFill>
      </fill>
    </dxf>
    <dxf>
      <font>
        <color rgb="FFFF0000"/>
      </font>
      <fill>
        <patternFill>
          <bgColor theme="5" tint="0.79998168889431442"/>
        </patternFill>
      </fil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pivotCacheDefinition" Target="pivotCache/pivotCacheDefinition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theme" Target="theme/theme1.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4.xml"/><Relationship Id="rId28" Type="http://schemas.openxmlformats.org/officeDocument/2006/relationships/customXml" Target="../customXml/item1.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3.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0.14875403382322486</c:v>
                  </c:pt>
                  <c:pt idx="2">
                    <c:v>0.16990470130108792</c:v>
                  </c:pt>
                  <c:pt idx="3">
                    <c:v>1.7743382503218837E-2</c:v>
                  </c:pt>
                  <c:pt idx="4">
                    <c:v>0.29327109551953756</c:v>
                  </c:pt>
                  <c:pt idx="5">
                    <c:v>0.2401428348166732</c:v>
                  </c:pt>
                  <c:pt idx="6">
                    <c:v>0.16025477322394122</c:v>
                  </c:pt>
                  <c:pt idx="7">
                    <c:v>0.18587818306227491</c:v>
                  </c:pt>
                  <c:pt idx="8">
                    <c:v>0.20601795250515575</c:v>
                  </c:pt>
                </c:numCache>
              </c:numRef>
            </c:plus>
            <c:minus>
              <c:numRef>
                <c:f>'R1'!$N$48:$V$48</c:f>
                <c:numCache>
                  <c:formatCode>General</c:formatCode>
                  <c:ptCount val="9"/>
                  <c:pt idx="0">
                    <c:v>0</c:v>
                  </c:pt>
                  <c:pt idx="1">
                    <c:v>0.14875403382322486</c:v>
                  </c:pt>
                  <c:pt idx="2">
                    <c:v>0.16990470130108792</c:v>
                  </c:pt>
                  <c:pt idx="3">
                    <c:v>1.7743382503218837E-2</c:v>
                  </c:pt>
                  <c:pt idx="4">
                    <c:v>0.29327109551953756</c:v>
                  </c:pt>
                  <c:pt idx="5">
                    <c:v>0.2401428348166732</c:v>
                  </c:pt>
                  <c:pt idx="6">
                    <c:v>0.16025477322394122</c:v>
                  </c:pt>
                  <c:pt idx="7">
                    <c:v>0.18587818306227491</c:v>
                  </c:pt>
                  <c:pt idx="8">
                    <c:v>0.20601795250515575</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'R1'!$B$53:$V$53</c:f>
              <c:numCache>
                <c:formatCode>0.0000</c:formatCode>
                <c:ptCount val="21"/>
                <c:pt idx="0">
                  <c:v>2.2402881530474789E-2</c:v>
                </c:pt>
                <c:pt idx="1">
                  <c:v>5.9208750059548884E-2</c:v>
                </c:pt>
                <c:pt idx="2">
                  <c:v>5.4704562130508852E-2</c:v>
                </c:pt>
                <c:pt idx="3">
                  <c:v>6.0425940519948353E-2</c:v>
                </c:pt>
                <c:pt idx="4">
                  <c:v>0.61938080249298433</c:v>
                </c:pt>
                <c:pt idx="5">
                  <c:v>1.2570668232193996</c:v>
                </c:pt>
                <c:pt idx="6">
                  <c:v>3.0876221836416349</c:v>
                </c:pt>
                <c:pt idx="7">
                  <c:v>3.9182157029588389E-2</c:v>
                </c:pt>
                <c:pt idx="8">
                  <c:v>6.271305376766069E-2</c:v>
                </c:pt>
                <c:pt idx="9">
                  <c:v>3.9407070628970045E-2</c:v>
                </c:pt>
                <c:pt idx="10">
                  <c:v>7.6528785411755576E-2</c:v>
                </c:pt>
                <c:pt idx="11">
                  <c:v>7.9090626223585453E-2</c:v>
                </c:pt>
                <c:pt idx="13">
                  <c:v>1</c:v>
                </c:pt>
                <c:pt idx="14">
                  <c:v>2.8614004337864363</c:v>
                </c:pt>
                <c:pt idx="15">
                  <c:v>5.038307958668295E-2</c:v>
                </c:pt>
                <c:pt idx="16">
                  <c:v>0.82038871672996339</c:v>
                </c:pt>
                <c:pt idx="17">
                  <c:v>0.97292028697639965</c:v>
                </c:pt>
                <c:pt idx="18">
                  <c:v>0.63034983817155799</c:v>
                </c:pt>
                <c:pt idx="19">
                  <c:v>0.65125141438528866</c:v>
                </c:pt>
                <c:pt idx="20">
                  <c:v>0.7696722941227091</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7904"/>
        <c:crosses val="autoZero"/>
        <c:auto val="1"/>
        <c:lblAlgn val="ctr"/>
        <c:lblOffset val="100"/>
        <c:noMultiLvlLbl val="0"/>
      </c:catAx>
      <c:valAx>
        <c:axId val="324817904"/>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2.1954616477068017E-2</c:v>
                  </c:pt>
                  <c:pt idx="1">
                    <c:v>4.35314930475506E-2</c:v>
                  </c:pt>
                  <c:pt idx="2">
                    <c:v>2.3316619899323991E-2</c:v>
                  </c:pt>
                  <c:pt idx="3">
                    <c:v>2.7476746717819776E-2</c:v>
                  </c:pt>
                  <c:pt idx="4">
                    <c:v>7.8624779759888977E-2</c:v>
                  </c:pt>
                  <c:pt idx="5">
                    <c:v>0.25043487135383657</c:v>
                  </c:pt>
                  <c:pt idx="6">
                    <c:v>0.34478445378086758</c:v>
                  </c:pt>
                  <c:pt idx="7">
                    <c:v>1.5183891951308967E-2</c:v>
                  </c:pt>
                  <c:pt idx="8">
                    <c:v>3.7326004812773352E-2</c:v>
                  </c:pt>
                  <c:pt idx="9">
                    <c:v>7.7631419933781226E-2</c:v>
                  </c:pt>
                  <c:pt idx="10">
                    <c:v>5.9242391709115244E-2</c:v>
                  </c:pt>
                  <c:pt idx="11">
                    <c:v>3.5339979850972883E-2</c:v>
                  </c:pt>
                  <c:pt idx="13">
                    <c:v>0.14302151252303541</c:v>
                  </c:pt>
                  <c:pt idx="14">
                    <c:v>0.31242749802776948</c:v>
                  </c:pt>
                  <c:pt idx="15">
                    <c:v>3.5164274287842218E-2</c:v>
                  </c:pt>
                  <c:pt idx="16">
                    <c:v>0.15171386047793325</c:v>
                  </c:pt>
                  <c:pt idx="17">
                    <c:v>0.13049502289668211</c:v>
                  </c:pt>
                  <c:pt idx="18">
                    <c:v>0.21231866810321173</c:v>
                  </c:pt>
                  <c:pt idx="19">
                    <c:v>0.19404161081329749</c:v>
                  </c:pt>
                  <c:pt idx="20">
                    <c:v>0.14290640339888022</c:v>
                  </c:pt>
                </c:numCache>
              </c:numRef>
            </c:plus>
            <c:minus>
              <c:numRef>
                <c:f>'R1'!$N$48:$V$48</c:f>
                <c:numCache>
                  <c:formatCode>General</c:formatCode>
                  <c:ptCount val="9"/>
                  <c:pt idx="0">
                    <c:v>0</c:v>
                  </c:pt>
                  <c:pt idx="1">
                    <c:v>0.14875403382322486</c:v>
                  </c:pt>
                  <c:pt idx="2">
                    <c:v>0.16990470130108792</c:v>
                  </c:pt>
                  <c:pt idx="3">
                    <c:v>1.7743382503218837E-2</c:v>
                  </c:pt>
                  <c:pt idx="4">
                    <c:v>0.29327109551953756</c:v>
                  </c:pt>
                  <c:pt idx="5">
                    <c:v>0.2401428348166732</c:v>
                  </c:pt>
                  <c:pt idx="6">
                    <c:v>0.16025477322394122</c:v>
                  </c:pt>
                  <c:pt idx="7">
                    <c:v>0.18587818306227491</c:v>
                  </c:pt>
                  <c:pt idx="8">
                    <c:v>0.20601795250515575</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'R2'!$B$53:$V$53</c:f>
              <c:numCache>
                <c:formatCode>0.0000</c:formatCode>
                <c:ptCount val="21"/>
                <c:pt idx="0">
                  <c:v>6.5483580202603572E-2</c:v>
                </c:pt>
                <c:pt idx="1">
                  <c:v>0.1447879331609771</c:v>
                </c:pt>
                <c:pt idx="2">
                  <c:v>0.11246440987500864</c:v>
                </c:pt>
                <c:pt idx="3">
                  <c:v>0.15578392279365955</c:v>
                </c:pt>
                <c:pt idx="4">
                  <c:v>0.54814052111101763</c:v>
                </c:pt>
                <c:pt idx="5">
                  <c:v>1.3110551183502641</c:v>
                </c:pt>
                <c:pt idx="6">
                  <c:v>2.4586865625454264</c:v>
                </c:pt>
                <c:pt idx="7">
                  <c:v>6.8946034510756843E-2</c:v>
                </c:pt>
                <c:pt idx="8">
                  <c:v>0.16997952739346153</c:v>
                </c:pt>
                <c:pt idx="9">
                  <c:v>0.19419110868504039</c:v>
                </c:pt>
                <c:pt idx="10">
                  <c:v>0.15643183960541346</c:v>
                </c:pt>
                <c:pt idx="11">
                  <c:v>0.11822018202394563</c:v>
                </c:pt>
                <c:pt idx="13">
                  <c:v>1</c:v>
                </c:pt>
                <c:pt idx="14">
                  <c:v>1.4515583121887652</c:v>
                </c:pt>
                <c:pt idx="15">
                  <c:v>0.15719403923829781</c:v>
                </c:pt>
                <c:pt idx="16">
                  <c:v>1.2256497024491648</c:v>
                </c:pt>
                <c:pt idx="17">
                  <c:v>0.64153666442607349</c:v>
                </c:pt>
                <c:pt idx="18">
                  <c:v>1.2773087399918164</c:v>
                </c:pt>
                <c:pt idx="19">
                  <c:v>1.1552741243262514</c:v>
                </c:pt>
                <c:pt idx="20">
                  <c:v>1.0731549298469476</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3.5406956217509541E-2</c:v>
                  </c:pt>
                  <c:pt idx="1">
                    <c:v>5.5499885816247041E-2</c:v>
                  </c:pt>
                  <c:pt idx="2">
                    <c:v>2.2772897869129338E-2</c:v>
                  </c:pt>
                  <c:pt idx="3">
                    <c:v>0.10883782146210427</c:v>
                  </c:pt>
                  <c:pt idx="4">
                    <c:v>0.16690675169408081</c:v>
                  </c:pt>
                  <c:pt idx="5">
                    <c:v>0.28946624189537284</c:v>
                  </c:pt>
                  <c:pt idx="6">
                    <c:v>0.60369190484286273</c:v>
                  </c:pt>
                  <c:pt idx="7">
                    <c:v>0.15118228196080669</c:v>
                  </c:pt>
                  <c:pt idx="8">
                    <c:v>4.2856964764045026E-2</c:v>
                  </c:pt>
                  <c:pt idx="9">
                    <c:v>9.4503296543864843E-2</c:v>
                  </c:pt>
                  <c:pt idx="10">
                    <c:v>2.0532137855396176E-2</c:v>
                  </c:pt>
                  <c:pt idx="11">
                    <c:v>4.0403122399381548E-2</c:v>
                  </c:pt>
                  <c:pt idx="13">
                    <c:v>0.15309468188491526</c:v>
                  </c:pt>
                  <c:pt idx="14">
                    <c:v>0.32244192946847833</c:v>
                  </c:pt>
                  <c:pt idx="15">
                    <c:v>2.8812639989299341E-2</c:v>
                  </c:pt>
                  <c:pt idx="16">
                    <c:v>0.31157582599553657</c:v>
                  </c:pt>
                  <c:pt idx="17">
                    <c:v>0.3456914457776038</c:v>
                  </c:pt>
                  <c:pt idx="18">
                    <c:v>0.35475397998829111</c:v>
                  </c:pt>
                  <c:pt idx="19">
                    <c:v>0.20520966594243928</c:v>
                  </c:pt>
                  <c:pt idx="20">
                    <c:v>0.2633557622489876</c:v>
                  </c:pt>
                </c:numCache>
              </c:numRef>
            </c:plus>
            <c:minus>
              <c:numRef>
                <c:f>'R1'!$N$48:$V$48</c:f>
                <c:numCache>
                  <c:formatCode>General</c:formatCode>
                  <c:ptCount val="9"/>
                  <c:pt idx="0">
                    <c:v>0</c:v>
                  </c:pt>
                  <c:pt idx="1">
                    <c:v>0.14875403382322486</c:v>
                  </c:pt>
                  <c:pt idx="2">
                    <c:v>0.16990470130108792</c:v>
                  </c:pt>
                  <c:pt idx="3">
                    <c:v>1.7743382503218837E-2</c:v>
                  </c:pt>
                  <c:pt idx="4">
                    <c:v>0.29327109551953756</c:v>
                  </c:pt>
                  <c:pt idx="5">
                    <c:v>0.2401428348166732</c:v>
                  </c:pt>
                  <c:pt idx="6">
                    <c:v>0.16025477322394122</c:v>
                  </c:pt>
                  <c:pt idx="7">
                    <c:v>0.18587818306227491</c:v>
                  </c:pt>
                  <c:pt idx="8">
                    <c:v>0.20601795250515575</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'R3'!$B$53:$V$53</c:f>
              <c:numCache>
                <c:formatCode>0.0000</c:formatCode>
                <c:ptCount val="21"/>
                <c:pt idx="0">
                  <c:v>0.11916129067037141</c:v>
                </c:pt>
                <c:pt idx="1">
                  <c:v>0.11485881223147294</c:v>
                </c:pt>
                <c:pt idx="2">
                  <c:v>7.9760800023499306E-2</c:v>
                </c:pt>
                <c:pt idx="3">
                  <c:v>0.22615100081598458</c:v>
                </c:pt>
                <c:pt idx="4">
                  <c:v>0.55757393615341799</c:v>
                </c:pt>
                <c:pt idx="5">
                  <c:v>2.5507939621984743</c:v>
                </c:pt>
                <c:pt idx="6">
                  <c:v>4.1109099096740218</c:v>
                </c:pt>
                <c:pt idx="7">
                  <c:v>0.26207839469426331</c:v>
                </c:pt>
                <c:pt idx="8">
                  <c:v>0.10260852940927319</c:v>
                </c:pt>
                <c:pt idx="9">
                  <c:v>0.16716089637502418</c:v>
                </c:pt>
                <c:pt idx="10">
                  <c:v>8.8004719222437244E-2</c:v>
                </c:pt>
                <c:pt idx="11">
                  <c:v>0.11692154677752117</c:v>
                </c:pt>
                <c:pt idx="13">
                  <c:v>1.0000000000000002</c:v>
                </c:pt>
                <c:pt idx="14">
                  <c:v>2.3818539043325515</c:v>
                </c:pt>
                <c:pt idx="15">
                  <c:v>7.6557620643209701E-2</c:v>
                </c:pt>
                <c:pt idx="16">
                  <c:v>0.82904969045504939</c:v>
                </c:pt>
                <c:pt idx="17">
                  <c:v>0.72541891955373794</c:v>
                </c:pt>
                <c:pt idx="18">
                  <c:v>1.4539026768187453</c:v>
                </c:pt>
                <c:pt idx="19">
                  <c:v>1.7128531812010452</c:v>
                </c:pt>
                <c:pt idx="20">
                  <c:v>1.2762075872590239</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1D025BF3-0D82-4348-80E6-FA1CBD1F5DE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6629992A-B774-4046-BFDF-41A37F138E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8A66A806-DC6D-44CD-93B6-A31A8F813D1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D851B2D0-F272-444B-8338-EFACA74DCC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47D8E90A-A926-4A5F-AC0C-3D71003DE28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22C4D4F1-CA85-48EB-9D9D-7E1CF5B0A2C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A6F2D8CE-EE0C-4D3C-92ED-0BD134118D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DEE2A40D-50F2-4F19-8E8E-128AE802D4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33825C5E-CDEF-4AAF-A47B-07346A157A9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62A24D1B-7761-41EF-9251-5F1E101F0BE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779FDF61-6A61-4158-A349-116A4551DE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5213F3D3-FC90-40CA-82BD-6E7BCF51BA1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7196E0C7-BCCA-49A0-9354-F5B00507E35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49722C25-DB06-4D45-8C5B-239F130192A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AA094AC9-CD3A-4A8C-9B93-1D9969EA71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D317D6C0-8BA1-4B79-A1CC-8B93D261375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662E4EF9-DA06-4D92-97C6-E926D19F019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2BD63EF0-EC83-4C3B-A7F9-9D24CB7317C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8420BB1C-8C57-46DE-91CC-7772869A4B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06DC10DC-0908-4C76-B525-6E7C0043B2B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1.5169416279241347E-2</c:v>
                  </c:pt>
                  <c:pt idx="1">
                    <c:v>2.823176494525035E-2</c:v>
                  </c:pt>
                  <c:pt idx="2">
                    <c:v>1.3193054872104404E-2</c:v>
                  </c:pt>
                  <c:pt idx="3">
                    <c:v>3.7242770705030008E-2</c:v>
                  </c:pt>
                  <c:pt idx="4">
                    <c:v>9.2361212838219339E-2</c:v>
                  </c:pt>
                  <c:pt idx="5">
                    <c:v>0.1818037728950766</c:v>
                  </c:pt>
                  <c:pt idx="6">
                    <c:v>0.28792513886531623</c:v>
                  </c:pt>
                  <c:pt idx="7">
                    <c:v>5.286211272149189E-2</c:v>
                  </c:pt>
                  <c:pt idx="8">
                    <c:v>2.2287227345393398E-2</c:v>
                  </c:pt>
                  <c:pt idx="9">
                    <c:v>4.1503401161372612E-2</c:v>
                  </c:pt>
                  <c:pt idx="10">
                    <c:v>2.3781322289810967E-2</c:v>
                  </c:pt>
                  <c:pt idx="11">
                    <c:v>1.8945197165186469E-2</c:v>
                  </c:pt>
                  <c:pt idx="13">
                    <c:v>8.3816358129649826E-2</c:v>
                  </c:pt>
                  <c:pt idx="14">
                    <c:v>0.20033832620271422</c:v>
                  </c:pt>
                  <c:pt idx="15">
                    <c:v>1.8205467456226462E-2</c:v>
                  </c:pt>
                  <c:pt idx="16">
                    <c:v>0.14987592453388895</c:v>
                  </c:pt>
                  <c:pt idx="17">
                    <c:v>0.14407911331545858</c:v>
                  </c:pt>
                  <c:pt idx="18">
                    <c:v>0.1593588546410693</c:v>
                  </c:pt>
                  <c:pt idx="19">
                    <c:v>0.14060810845849137</c:v>
                  </c:pt>
                  <c:pt idx="20">
                    <c:v>0.12368281619207236</c:v>
                  </c:pt>
                </c:numCache>
              </c:numRef>
            </c:plus>
            <c:minus>
              <c:numRef>
                <c:f>'pooled normalised values'!$B$76:$V$76</c:f>
                <c:numCache>
                  <c:formatCode>General</c:formatCode>
                  <c:ptCount val="21"/>
                  <c:pt idx="0">
                    <c:v>1.5169416279241347E-2</c:v>
                  </c:pt>
                  <c:pt idx="1">
                    <c:v>2.823176494525035E-2</c:v>
                  </c:pt>
                  <c:pt idx="2">
                    <c:v>1.3193054872104404E-2</c:v>
                  </c:pt>
                  <c:pt idx="3">
                    <c:v>3.7242770705030008E-2</c:v>
                  </c:pt>
                  <c:pt idx="4">
                    <c:v>9.2361212838219339E-2</c:v>
                  </c:pt>
                  <c:pt idx="5">
                    <c:v>0.1818037728950766</c:v>
                  </c:pt>
                  <c:pt idx="6">
                    <c:v>0.28792513886531623</c:v>
                  </c:pt>
                  <c:pt idx="7">
                    <c:v>5.286211272149189E-2</c:v>
                  </c:pt>
                  <c:pt idx="8">
                    <c:v>2.2287227345393398E-2</c:v>
                  </c:pt>
                  <c:pt idx="9">
                    <c:v>4.1503401161372612E-2</c:v>
                  </c:pt>
                  <c:pt idx="10">
                    <c:v>2.3781322289810967E-2</c:v>
                  </c:pt>
                  <c:pt idx="11">
                    <c:v>1.8945197165186469E-2</c:v>
                  </c:pt>
                  <c:pt idx="13">
                    <c:v>8.3816358129649826E-2</c:v>
                  </c:pt>
                  <c:pt idx="14">
                    <c:v>0.20033832620271422</c:v>
                  </c:pt>
                  <c:pt idx="15">
                    <c:v>1.8205467456226462E-2</c:v>
                  </c:pt>
                  <c:pt idx="16">
                    <c:v>0.14987592453388895</c:v>
                  </c:pt>
                  <c:pt idx="17">
                    <c:v>0.14407911331545858</c:v>
                  </c:pt>
                  <c:pt idx="18">
                    <c:v>0.1593588546410693</c:v>
                  </c:pt>
                  <c:pt idx="19">
                    <c:v>0.14060810845849137</c:v>
                  </c:pt>
                  <c:pt idx="20">
                    <c:v>0.12368281619207236</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Arabinose-0.01mg/L</c:v>
                </c:pt>
                <c:pt idx="8">
                  <c:v>Arabinose-0.1mg/L</c:v>
                </c:pt>
                <c:pt idx="9">
                  <c:v>Arabinose-1mg/L</c:v>
                </c:pt>
                <c:pt idx="10">
                  <c:v>Arabinose-10mg/L</c:v>
                </c:pt>
                <c:pt idx="11">
                  <c:v>Arabinose-100mg/L</c:v>
                </c:pt>
                <c:pt idx="13">
                  <c:v>Testo -30µg/L</c:v>
                </c:pt>
                <c:pt idx="14">
                  <c:v>Testo 30µg/L + EE2 -64ng/L</c:v>
                </c:pt>
                <c:pt idx="15">
                  <c:v>Testo 30µg/L + FAD-10µg/L</c:v>
                </c:pt>
                <c:pt idx="16">
                  <c:v>Arabinose-0.01mg/L + Testostérone</c:v>
                </c:pt>
                <c:pt idx="17">
                  <c:v>Arabinose-0.1mg/L + Testostérone</c:v>
                </c:pt>
                <c:pt idx="18">
                  <c:v>Arabinose-1mg/L + Testostérone</c:v>
                </c:pt>
                <c:pt idx="19">
                  <c:v>Arabinose-10mg/L + Testostérone</c:v>
                </c:pt>
                <c:pt idx="20">
                  <c:v>Arabinose-100mg/L + Testostérone</c:v>
                </c:pt>
              </c:strCache>
            </c:strRef>
          </c:cat>
          <c:val>
            <c:numRef>
              <c:f>'pooled normalised values'!$B$75:$V$75</c:f>
              <c:numCache>
                <c:formatCode>0.0000</c:formatCode>
                <c:ptCount val="21"/>
                <c:pt idx="0">
                  <c:v>6.6835683850314201E-2</c:v>
                </c:pt>
                <c:pt idx="1">
                  <c:v>0.10833196580680184</c:v>
                </c:pt>
                <c:pt idx="2">
                  <c:v>8.3680582458096647E-2</c:v>
                </c:pt>
                <c:pt idx="3">
                  <c:v>0.14783227144094574</c:v>
                </c:pt>
                <c:pt idx="4">
                  <c:v>0.57503175325247324</c:v>
                </c:pt>
                <c:pt idx="5">
                  <c:v>1.7063053012560461</c:v>
                </c:pt>
                <c:pt idx="6">
                  <c:v>3.2247881331846533</c:v>
                </c:pt>
                <c:pt idx="7">
                  <c:v>0.12340219541153614</c:v>
                </c:pt>
                <c:pt idx="8">
                  <c:v>0.11176703685679847</c:v>
                </c:pt>
                <c:pt idx="9">
                  <c:v>0.13358635856301154</c:v>
                </c:pt>
                <c:pt idx="10">
                  <c:v>0.10831278123935195</c:v>
                </c:pt>
                <c:pt idx="11">
                  <c:v>0.10585948756421013</c:v>
                </c:pt>
                <c:pt idx="13">
                  <c:v>1</c:v>
                </c:pt>
                <c:pt idx="14">
                  <c:v>2.2042217725511128</c:v>
                </c:pt>
                <c:pt idx="15">
                  <c:v>9.4711579822730138E-2</c:v>
                </c:pt>
                <c:pt idx="16">
                  <c:v>0.95836270321139272</c:v>
                </c:pt>
                <c:pt idx="17">
                  <c:v>0.77156898611622982</c:v>
                </c:pt>
                <c:pt idx="18">
                  <c:v>1.1205204183273734</c:v>
                </c:pt>
                <c:pt idx="19">
                  <c:v>1.173126239970862</c:v>
                </c:pt>
                <c:pt idx="20">
                  <c:v>1.0396782704095602</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c:v>
                  </c:pt>
                  <c:pt idx="5">
                    <c:v>***</c:v>
                  </c:pt>
                  <c:pt idx="6">
                    <c:v>***</c:v>
                  </c:pt>
                  <c:pt idx="7">
                    <c:v>ns</c:v>
                  </c:pt>
                  <c:pt idx="8">
                    <c:v>ns</c:v>
                  </c:pt>
                  <c:pt idx="9">
                    <c:v>ns</c:v>
                  </c:pt>
                  <c:pt idx="10">
                    <c:v>ns</c:v>
                  </c:pt>
                  <c:pt idx="11">
                    <c:v>ns</c:v>
                  </c:pt>
                  <c:pt idx="13">
                    <c:v>#NAME?</c:v>
                  </c:pt>
                  <c:pt idx="14">
                    <c:v>#NAME?</c:v>
                  </c:pt>
                  <c:pt idx="15">
                    <c:v>#NAME?</c:v>
                  </c:pt>
                  <c:pt idx="16">
                    <c:v>ns</c:v>
                  </c:pt>
                  <c:pt idx="17">
                    <c:v>ns</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[CELLRANGE]</a:t>
                    </a:fld>
                    <a:endParaRPr lang="en-US"/>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en-US"/>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Arabinose-0.01mg/L : 0%</c:v>
                  </c:pt>
                  <c:pt idx="1">
                    <c:v>Arabinose-0.1mg/L : 0%</c:v>
                  </c:pt>
                  <c:pt idx="2">
                    <c:v>Arabinose-1mg/L : 0%</c:v>
                  </c:pt>
                  <c:pt idx="3">
                    <c:v>Arabinose-10mg/L : 0%</c:v>
                  </c:pt>
                  <c:pt idx="4">
                    <c:v>Arabinose-100mg/L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en-US"/>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AB71F915-192D-4F4E-A35D-3E2077BACC2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2A62641F-5A57-429F-ABE1-3592637E89C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E3060C8E-26A6-48A8-AABF-25BFAF27DD9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FDD479D4-C881-44D2-960D-59527915B25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85D0C4EE-B85C-47EB-B3E8-F3F8F198D6F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2EA654E1-EB18-40E5-815A-69D6879E5D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9DDB0A21-05B0-4323-A0C8-4328FBDC9F8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AE9835BF-A952-42CF-9E9E-C90966627FA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FB83D2AD-8B48-48B8-AB7A-3A0A583A7E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24609002-FF7C-4686-812D-C5E4A28E1B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B3D6B200-73EF-467B-9C10-E40E741C174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95F31F4D-9E0C-4855-B551-FFDE2BE3C38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1C616BDE-3E5E-4220-89C5-3F968E5479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D4D7D464-8651-4CCD-92EC-A15A8C10F34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2.2287227345393398E-2</c:v>
                  </c:pt>
                  <c:pt idx="2">
                    <c:v>4.1503401161372612E-2</c:v>
                  </c:pt>
                  <c:pt idx="3">
                    <c:v>2.3781322289810967E-2</c:v>
                  </c:pt>
                  <c:pt idx="4">
                    <c:v>1.8945197165186469E-2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2.2287227345393398E-2</c:v>
                  </c:pt>
                  <c:pt idx="2">
                    <c:v>4.1503401161372612E-2</c:v>
                  </c:pt>
                  <c:pt idx="3">
                    <c:v>2.3781322289810967E-2</c:v>
                  </c:pt>
                  <c:pt idx="4">
                    <c:v>1.8945197165186469E-2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0.11176703685679847</c:v>
                </c:pt>
                <c:pt idx="2">
                  <c:v>0.13358635856301154</c:v>
                </c:pt>
                <c:pt idx="3">
                  <c:v>0.10831278123935195</c:v>
                </c:pt>
                <c:pt idx="4">
                  <c:v>0.10585948756421013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6.6835683850314201E-2</c:v>
                </c:pt>
                <c:pt idx="1">
                  <c:v>6.6835683850314201E-2</c:v>
                </c:pt>
                <c:pt idx="2">
                  <c:v>6.6835683850314201E-2</c:v>
                </c:pt>
                <c:pt idx="3">
                  <c:v>6.6835683850314201E-2</c:v>
                </c:pt>
                <c:pt idx="4">
                  <c:v>6.6835683850314201E-2</c:v>
                </c:pt>
                <c:pt idx="5">
                  <c:v>6.6835683850314201E-2</c:v>
                </c:pt>
                <c:pt idx="6">
                  <c:v>6.6835683850314201E-2</c:v>
                </c:pt>
                <c:pt idx="7">
                  <c:v>6.6835683850314201E-2</c:v>
                </c:pt>
                <c:pt idx="8">
                  <c:v>6.6835683850314201E-2</c:v>
                </c:pt>
                <c:pt idx="9">
                  <c:v>6.6835683850314201E-2</c:v>
                </c:pt>
                <c:pt idx="10">
                  <c:v>6.6835683850314201E-2</c:v>
                </c:pt>
                <c:pt idx="11">
                  <c:v>6.6835683850314201E-2</c:v>
                </c:pt>
                <c:pt idx="12">
                  <c:v>6.6835683850314201E-2</c:v>
                </c:pt>
                <c:pt idx="13">
                  <c:v>6.6835683850314201E-2</c:v>
                </c:pt>
                <c:pt idx="14">
                  <c:v>6.6835683850314201E-2</c:v>
                </c:pt>
                <c:pt idx="15">
                  <c:v>6.6835683850314201E-2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7976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9.4711579822730138E-2</c:v>
                </c:pt>
                <c:pt idx="1">
                  <c:v>9.4711579822730138E-2</c:v>
                </c:pt>
                <c:pt idx="2">
                  <c:v>9.4711579822730138E-2</c:v>
                </c:pt>
                <c:pt idx="3">
                  <c:v>9.4711579822730138E-2</c:v>
                </c:pt>
                <c:pt idx="4">
                  <c:v>9.4711579822730138E-2</c:v>
                </c:pt>
                <c:pt idx="5">
                  <c:v>9.4711579822730138E-2</c:v>
                </c:pt>
                <c:pt idx="6">
                  <c:v>9.4711579822730138E-2</c:v>
                </c:pt>
                <c:pt idx="7">
                  <c:v>9.4711579822730138E-2</c:v>
                </c:pt>
                <c:pt idx="8">
                  <c:v>9.4711579822730138E-2</c:v>
                </c:pt>
                <c:pt idx="9">
                  <c:v>9.4711579822730138E-2</c:v>
                </c:pt>
                <c:pt idx="10">
                  <c:v>9.4711579822730138E-2</c:v>
                </c:pt>
                <c:pt idx="11">
                  <c:v>9.4711579822730138E-2</c:v>
                </c:pt>
                <c:pt idx="12">
                  <c:v>9.4711579822730138E-2</c:v>
                </c:pt>
                <c:pt idx="13">
                  <c:v>9.4711579822730138E-2</c:v>
                </c:pt>
                <c:pt idx="14">
                  <c:v>9.4711579822730138E-2</c:v>
                </c:pt>
                <c:pt idx="15">
                  <c:v>9.4711579822730138E-2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2.1095101927283828</c:v>
                </c:pt>
                <c:pt idx="1">
                  <c:v>2.1095101927283828</c:v>
                </c:pt>
                <c:pt idx="2">
                  <c:v>2.1095101927283828</c:v>
                </c:pt>
                <c:pt idx="3">
                  <c:v>2.1095101927283828</c:v>
                </c:pt>
                <c:pt idx="4">
                  <c:v>2.1095101927283828</c:v>
                </c:pt>
                <c:pt idx="5">
                  <c:v>2.1095101927283828</c:v>
                </c:pt>
                <c:pt idx="6">
                  <c:v>2.1095101927283828</c:v>
                </c:pt>
                <c:pt idx="7">
                  <c:v>2.1095101927283828</c:v>
                </c:pt>
                <c:pt idx="8">
                  <c:v>2.1095101927283828</c:v>
                </c:pt>
                <c:pt idx="9">
                  <c:v>2.1095101927283828</c:v>
                </c:pt>
                <c:pt idx="10">
                  <c:v>2.1095101927283828</c:v>
                </c:pt>
                <c:pt idx="11">
                  <c:v>2.1095101927283828</c:v>
                </c:pt>
                <c:pt idx="12">
                  <c:v>2.1095101927283828</c:v>
                </c:pt>
                <c:pt idx="13">
                  <c:v>2.1095101927283828</c:v>
                </c:pt>
                <c:pt idx="14">
                  <c:v>2.1095101927283828</c:v>
                </c:pt>
                <c:pt idx="15">
                  <c:v>2.1095101927283828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0.3904898072716172</c:v>
                </c:pt>
                <c:pt idx="1">
                  <c:v>0.3904898072716172</c:v>
                </c:pt>
                <c:pt idx="2">
                  <c:v>0.3904898072716172</c:v>
                </c:pt>
                <c:pt idx="3">
                  <c:v>0.3904898072716172</c:v>
                </c:pt>
                <c:pt idx="4">
                  <c:v>0.3904898072716172</c:v>
                </c:pt>
                <c:pt idx="5">
                  <c:v>0.3904898072716172</c:v>
                </c:pt>
                <c:pt idx="6">
                  <c:v>0.3904898072716172</c:v>
                </c:pt>
                <c:pt idx="7">
                  <c:v>0.3904898072716172</c:v>
                </c:pt>
                <c:pt idx="8">
                  <c:v>0.3904898072716172</c:v>
                </c:pt>
                <c:pt idx="9">
                  <c:v>0.3904898072716172</c:v>
                </c:pt>
                <c:pt idx="10">
                  <c:v>0.3904898072716172</c:v>
                </c:pt>
                <c:pt idx="11">
                  <c:v>0.3904898072716172</c:v>
                </c:pt>
                <c:pt idx="12">
                  <c:v>0.3904898072716172</c:v>
                </c:pt>
                <c:pt idx="13">
                  <c:v>0.3904898072716172</c:v>
                </c:pt>
                <c:pt idx="14">
                  <c:v>0.3904898072716172</c:v>
                </c:pt>
                <c:pt idx="15">
                  <c:v>0.3904898072716172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D4421B4D-95F9-4E24-A53B-E40FC40913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8C843A22-93C8-4C7D-9DDF-C3FBD48E0B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858EC5EC-CD38-4273-8529-480115B1AB3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6F405242-FD2E-4AC2-9997-C299ACDCB6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4941F49E-254E-4424-ABE2-404B367025B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AE142DE-BED5-4BF3-B50F-31F56767F6B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091C79D9-4E0E-4DA8-9E16-C37BC9EA77F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AF3DEDCE-FFBD-4A62-9C3C-B0AB8A0C262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D3BBEF36-7D08-4E8F-9B5F-17123B995A2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89A9F1D6-6F98-4F6B-9281-29E5B22FBD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46FFC623-2B1A-42A6-9FE8-8F2E44CF2CA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7D822B50-A4C4-4319-B371-2EFF47ED308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5679F917-F35F-46B1-919A-59049F96217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2B21CA68-1E9D-4A9A-8B8A-CE77F876B2F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0.14987592453388895</c:v>
                  </c:pt>
                  <c:pt idx="2">
                    <c:v>0.14407911331545858</c:v>
                  </c:pt>
                  <c:pt idx="3">
                    <c:v>0.1593588546410693</c:v>
                  </c:pt>
                  <c:pt idx="4">
                    <c:v>0.14060810845849137</c:v>
                  </c:pt>
                  <c:pt idx="5">
                    <c:v>0.12368281619207236</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0.14987592453388895</c:v>
                  </c:pt>
                  <c:pt idx="2">
                    <c:v>0.14407911331545858</c:v>
                  </c:pt>
                  <c:pt idx="3">
                    <c:v>0.1593588546410693</c:v>
                  </c:pt>
                  <c:pt idx="4">
                    <c:v>0.14060810845849137</c:v>
                  </c:pt>
                  <c:pt idx="5">
                    <c:v>0.12368281619207236</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0.95836270321139272</c:v>
                </c:pt>
                <c:pt idx="2">
                  <c:v>0.77156898611622982</c:v>
                </c:pt>
                <c:pt idx="3">
                  <c:v>1.1205204183273734</c:v>
                </c:pt>
                <c:pt idx="4">
                  <c:v>1.173126239970862</c:v>
                </c:pt>
                <c:pt idx="5">
                  <c:v>1.0396782704095602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093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58D632F-16E1-4E7E-AA0D-5DCE65FB87B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C4741644-4163-435A-BD77-1893BC7DECC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D7C07438-5077-40D4-B345-FA4BB5FCC6C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B1047DB1-CD6F-4B83-8248-A5937A64131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A4AF9392-6D8E-4AF1-8936-5E87C1CE679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D23CE21D-AF24-48AF-AD19-A88E4A1BE2DE}"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BF72B4A5-7151-46D4-81D7-DC7646071BD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C86CBFE6-1C57-4FDD-B85F-1511F7778E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872F80E1-2D75-48A4-96CA-CB5AC8902DD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F4F235D5-3468-41B1-B58E-B1ED9A122E5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4955BBC-8F08-40C9-9F0E-42E59A367608}"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C56AB9DE-C542-47BC-B954-A39D1F2054A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5439A920-60C3-47D8-80FA-AEABC71595E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7803B242-7962-4BB9-9533-ED59E0CC8A3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2.2287227345393398E-2</c:v>
                  </c:pt>
                  <c:pt idx="2">
                    <c:v>4.1503401161372612E-2</c:v>
                  </c:pt>
                  <c:pt idx="3">
                    <c:v>2.3781322289810967E-2</c:v>
                  </c:pt>
                  <c:pt idx="4">
                    <c:v>1.8945197165186469E-2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2.2287227345393398E-2</c:v>
                  </c:pt>
                  <c:pt idx="2">
                    <c:v>4.1503401161372612E-2</c:v>
                  </c:pt>
                  <c:pt idx="3">
                    <c:v>2.3781322289810967E-2</c:v>
                  </c:pt>
                  <c:pt idx="4">
                    <c:v>1.8945197165186469E-2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Arabinose-0.1mg/L</c:v>
                </c:pt>
                <c:pt idx="2">
                  <c:v>Arabinose-1mg/L</c:v>
                </c:pt>
                <c:pt idx="3">
                  <c:v>Arabinose-10mg/L</c:v>
                </c:pt>
                <c:pt idx="4">
                  <c:v>Arabinose-100mg/L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0.11176703685679847</c:v>
                </c:pt>
                <c:pt idx="2">
                  <c:v>0.13358635856301154</c:v>
                </c:pt>
                <c:pt idx="3">
                  <c:v>0.10831278123935195</c:v>
                </c:pt>
                <c:pt idx="4">
                  <c:v>0.10585948756421013</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6.6835683850314201E-2</c:v>
                </c:pt>
                <c:pt idx="1">
                  <c:v>6.6835683850314201E-2</c:v>
                </c:pt>
                <c:pt idx="2">
                  <c:v>6.6835683850314201E-2</c:v>
                </c:pt>
                <c:pt idx="3">
                  <c:v>6.6835683850314201E-2</c:v>
                </c:pt>
                <c:pt idx="4">
                  <c:v>6.6835683850314201E-2</c:v>
                </c:pt>
                <c:pt idx="5">
                  <c:v>6.6835683850314201E-2</c:v>
                </c:pt>
                <c:pt idx="6">
                  <c:v>6.6835683850314201E-2</c:v>
                </c:pt>
                <c:pt idx="7">
                  <c:v>6.6835683850314201E-2</c:v>
                </c:pt>
                <c:pt idx="8">
                  <c:v>6.6835683850314201E-2</c:v>
                </c:pt>
                <c:pt idx="9">
                  <c:v>6.6835683850314201E-2</c:v>
                </c:pt>
                <c:pt idx="10">
                  <c:v>6.6835683850314201E-2</c:v>
                </c:pt>
                <c:pt idx="11">
                  <c:v>6.6835683850314201E-2</c:v>
                </c:pt>
                <c:pt idx="12">
                  <c:v>6.6835683850314201E-2</c:v>
                </c:pt>
                <c:pt idx="13">
                  <c:v>6.6835683850314201E-2</c:v>
                </c:pt>
                <c:pt idx="14">
                  <c:v>6.6835683850314201E-2</c:v>
                </c:pt>
                <c:pt idx="15">
                  <c:v>6.6835683850314201E-2</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211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9.4711579822730138E-2</c:v>
                </c:pt>
                <c:pt idx="1">
                  <c:v>9.4711579822730138E-2</c:v>
                </c:pt>
                <c:pt idx="2">
                  <c:v>9.4711579822730138E-2</c:v>
                </c:pt>
                <c:pt idx="3">
                  <c:v>9.4711579822730138E-2</c:v>
                </c:pt>
                <c:pt idx="4">
                  <c:v>9.4711579822730138E-2</c:v>
                </c:pt>
                <c:pt idx="5">
                  <c:v>9.4711579822730138E-2</c:v>
                </c:pt>
                <c:pt idx="6">
                  <c:v>9.4711579822730138E-2</c:v>
                </c:pt>
                <c:pt idx="7">
                  <c:v>9.4711579822730138E-2</c:v>
                </c:pt>
                <c:pt idx="8">
                  <c:v>9.4711579822730138E-2</c:v>
                </c:pt>
                <c:pt idx="9">
                  <c:v>9.4711579822730138E-2</c:v>
                </c:pt>
                <c:pt idx="10">
                  <c:v>9.4711579822730138E-2</c:v>
                </c:pt>
                <c:pt idx="11">
                  <c:v>9.4711579822730138E-2</c:v>
                </c:pt>
                <c:pt idx="12">
                  <c:v>9.4711579822730138E-2</c:v>
                </c:pt>
                <c:pt idx="13">
                  <c:v>9.4711579822730138E-2</c:v>
                </c:pt>
                <c:pt idx="14">
                  <c:v>9.4711579822730138E-2</c:v>
                </c:pt>
                <c:pt idx="15">
                  <c:v>9.4711579822730138E-2</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2.1095101927283828</c:v>
                </c:pt>
                <c:pt idx="1">
                  <c:v>2.1095101927283828</c:v>
                </c:pt>
                <c:pt idx="2">
                  <c:v>2.1095101927283828</c:v>
                </c:pt>
                <c:pt idx="3">
                  <c:v>2.1095101927283828</c:v>
                </c:pt>
                <c:pt idx="4">
                  <c:v>2.1095101927283828</c:v>
                </c:pt>
                <c:pt idx="5">
                  <c:v>2.1095101927283828</c:v>
                </c:pt>
                <c:pt idx="6">
                  <c:v>2.1095101927283828</c:v>
                </c:pt>
                <c:pt idx="7">
                  <c:v>2.1095101927283828</c:v>
                </c:pt>
                <c:pt idx="8">
                  <c:v>2.1095101927283828</c:v>
                </c:pt>
                <c:pt idx="9">
                  <c:v>2.1095101927283828</c:v>
                </c:pt>
                <c:pt idx="10">
                  <c:v>2.1095101927283828</c:v>
                </c:pt>
                <c:pt idx="11">
                  <c:v>2.1095101927283828</c:v>
                </c:pt>
                <c:pt idx="12">
                  <c:v>2.1095101927283828</c:v>
                </c:pt>
                <c:pt idx="13">
                  <c:v>2.1095101927283828</c:v>
                </c:pt>
                <c:pt idx="14">
                  <c:v>2.1095101927283828</c:v>
                </c:pt>
                <c:pt idx="15">
                  <c:v>2.1095101927283828</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0.3904898072716172</c:v>
                </c:pt>
                <c:pt idx="1">
                  <c:v>0.3904898072716172</c:v>
                </c:pt>
                <c:pt idx="2">
                  <c:v>0.3904898072716172</c:v>
                </c:pt>
                <c:pt idx="3">
                  <c:v>0.3904898072716172</c:v>
                </c:pt>
                <c:pt idx="4">
                  <c:v>0.3904898072716172</c:v>
                </c:pt>
                <c:pt idx="5">
                  <c:v>0.3904898072716172</c:v>
                </c:pt>
                <c:pt idx="6">
                  <c:v>0.3904898072716172</c:v>
                </c:pt>
                <c:pt idx="7">
                  <c:v>0.3904898072716172</c:v>
                </c:pt>
                <c:pt idx="8">
                  <c:v>0.3904898072716172</c:v>
                </c:pt>
                <c:pt idx="9">
                  <c:v>0.3904898072716172</c:v>
                </c:pt>
                <c:pt idx="10">
                  <c:v>0.3904898072716172</c:v>
                </c:pt>
                <c:pt idx="11">
                  <c:v>0.3904898072716172</c:v>
                </c:pt>
                <c:pt idx="12">
                  <c:v>0.3904898072716172</c:v>
                </c:pt>
                <c:pt idx="13">
                  <c:v>0.3904898072716172</c:v>
                </c:pt>
                <c:pt idx="14">
                  <c:v>0.3904898072716172</c:v>
                </c:pt>
                <c:pt idx="15">
                  <c:v>0.3904898072716172</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FF89BFA0-C8A4-435E-9814-9B4A02FAF3A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D849B761-B9FA-4FFD-A9FA-62345F311FC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CE552C71-0D42-4610-A4C0-8DE579D4F472}"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0B9E8F23-F998-4205-B484-88CDCDFCC74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5C89EA72-D072-4908-9215-B211FB04507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68C50223-9681-42AD-AFEF-12EAF0E491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847906FA-A80C-4E27-A422-13DD8C8B5BF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A42ABA93-727A-4F93-89E7-8211BA5E3F3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29FDCA5B-D839-4264-91A5-70E8F52E6EC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401B3820-99A0-48BA-9C4A-7E1E2DF3039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6BD68203-B6E2-4792-A6AC-BD218DD7225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0F888550-3BF8-4758-9479-10D56E750600}"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FFFF8727-3460-4165-96D5-D19698D7DE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C71F5A5D-40EE-4339-99E3-AA1151842D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0.14987592453388895</c:v>
                  </c:pt>
                  <c:pt idx="2">
                    <c:v>0.14407911331545858</c:v>
                  </c:pt>
                  <c:pt idx="3">
                    <c:v>0.1593588546410693</c:v>
                  </c:pt>
                  <c:pt idx="4">
                    <c:v>0.14060810845849137</c:v>
                  </c:pt>
                  <c:pt idx="5">
                    <c:v>0.12368281619207236</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0.14987592453388895</c:v>
                  </c:pt>
                  <c:pt idx="2">
                    <c:v>0.14407911331545858</c:v>
                  </c:pt>
                  <c:pt idx="3">
                    <c:v>0.1593588546410693</c:v>
                  </c:pt>
                  <c:pt idx="4">
                    <c:v>0.14060810845849137</c:v>
                  </c:pt>
                  <c:pt idx="5">
                    <c:v>0.12368281619207236</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0.95836270321139272</c:v>
                </c:pt>
                <c:pt idx="2">
                  <c:v>0.77156898611622982</c:v>
                </c:pt>
                <c:pt idx="3">
                  <c:v>1.1205204183273734</c:v>
                </c:pt>
                <c:pt idx="4">
                  <c:v>1.173126239970862</c:v>
                </c:pt>
                <c:pt idx="5">
                  <c:v>1.0396782704095602</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ns</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Arabinose-0.01mg/L + Testostérone</c:v>
                </c:pt>
                <c:pt idx="2">
                  <c:v>Arabinose-0.1mg/L + Testostérone</c:v>
                </c:pt>
                <c:pt idx="3">
                  <c:v>Arabinose-1mg/L + Testostérone</c:v>
                </c:pt>
                <c:pt idx="4">
                  <c:v>Arabinose-10mg/L + Testostérone</c:v>
                </c:pt>
                <c:pt idx="5">
                  <c:v>Arabinose-100mg/L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3288"/>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Arabinose-0.1mg/L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56053E18-78B3-4CE0-A85A-DBC0D4315DD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1CFB0D7A-9DCD-4F67-9508-F1447AC4C94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2.2287227345393398E-2</c:v>
                  </c:pt>
                </c:numCache>
              </c:numRef>
            </c:plus>
            <c:minus>
              <c:numRef>
                <c:f>'Graph format rapport CHG 1éch'!$E$4:$G$4</c:f>
                <c:numCache>
                  <c:formatCode>General</c:formatCode>
                  <c:ptCount val="3"/>
                  <c:pt idx="1">
                    <c:v>2.2287227345393398E-2</c:v>
                  </c:pt>
                </c:numCache>
              </c:numRef>
            </c:minus>
          </c:errBars>
          <c:cat>
            <c:strRef>
              <c:f>'Graph format rapport CHG 1éch'!$E$2:$G$2</c:f>
              <c:strCache>
                <c:ptCount val="2"/>
                <c:pt idx="1">
                  <c:v>Arabinose-0.1mg/L</c:v>
                </c:pt>
              </c:strCache>
            </c:strRef>
          </c:cat>
          <c:val>
            <c:numRef>
              <c:f>'Graph format rapport CHG 1éch'!$E$3:$G$3</c:f>
              <c:numCache>
                <c:formatCode>General</c:formatCode>
                <c:ptCount val="3"/>
                <c:pt idx="1">
                  <c:v>0.11176703685679847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6.6835683850314201E-2</c:v>
                </c:pt>
                <c:pt idx="1">
                  <c:v>6.6835683850314201E-2</c:v>
                </c:pt>
                <c:pt idx="2">
                  <c:v>6.6835683850314201E-2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4464"/>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1éch'!$H$8:$J$8</c:f>
              <c:numCache>
                <c:formatCode>General</c:formatCode>
                <c:ptCount val="3"/>
                <c:pt idx="0">
                  <c:v>9.4711579822730138E-2</c:v>
                </c:pt>
                <c:pt idx="1">
                  <c:v>9.4711579822730138E-2</c:v>
                </c:pt>
                <c:pt idx="2">
                  <c:v>9.4711579822730138E-2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Arabinose-0.01mg/L + Testostérone</c:v>
                </c:pt>
              </c:strCache>
            </c:strRef>
          </c:cat>
          <c:val>
            <c:numRef>
              <c:f>'Graph format rapport CHG 1éch'!$H$9:$J$9</c:f>
              <c:numCache>
                <c:formatCode>General</c:formatCode>
                <c:ptCount val="3"/>
                <c:pt idx="0">
                  <c:v>2.1095101927283828</c:v>
                </c:pt>
                <c:pt idx="1">
                  <c:v>2.1095101927283828</c:v>
                </c:pt>
                <c:pt idx="2">
                  <c:v>2.1095101927283828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1éch'!$H$10:$J$10</c:f>
              <c:numCache>
                <c:formatCode>General</c:formatCode>
                <c:ptCount val="3"/>
                <c:pt idx="0">
                  <c:v>0.3904898072716172</c:v>
                </c:pt>
                <c:pt idx="1">
                  <c:v>0.3904898072716172</c:v>
                </c:pt>
                <c:pt idx="2">
                  <c:v>0.3904898072716172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8EFE87E0-8AF9-411C-B77D-B6F7FBBAE10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82A9574-DF9F-469C-B995-C07CB74B452F}"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0.14987592453388895</c:v>
                  </c:pt>
                </c:numCache>
              </c:numRef>
            </c:plus>
            <c:minus>
              <c:numRef>
                <c:f>'Graph format rapport CHG 1éch'!$H$4:$J$4</c:f>
                <c:numCache>
                  <c:formatCode>General</c:formatCode>
                  <c:ptCount val="3"/>
                  <c:pt idx="1">
                    <c:v>0.14987592453388895</c:v>
                  </c:pt>
                </c:numCache>
              </c:numRef>
            </c:minus>
          </c:errBars>
          <c:cat>
            <c:strRef>
              <c:f>'Graph format rapport CHG 1éch'!$H$2:$J$2</c:f>
              <c:strCache>
                <c:ptCount val="2"/>
                <c:pt idx="1">
                  <c:v>Arabinose-0.01mg/L + Testostérone</c:v>
                </c:pt>
              </c:strCache>
            </c:strRef>
          </c:cat>
          <c:val>
            <c:numRef>
              <c:f>'Graph format rapport CHG 1éch'!$H$3:$J$3</c:f>
              <c:numCache>
                <c:formatCode>General</c:formatCode>
                <c:ptCount val="3"/>
                <c:pt idx="1">
                  <c:v>0.95836270321139272</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Arabinose-0.01mg/L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5640"/>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Arabinose-0.1mg/L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Arabinose-0.1mg/L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4DEFCE57-1DA7-49F4-9C0F-98A324D3154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1BFB9ACB-C141-4FAB-BF55-382C7C3FC6FD}"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2.2287227345393398E-2</c:v>
                  </c:pt>
                </c:numCache>
              </c:numRef>
            </c:plus>
            <c:minus>
              <c:numRef>
                <c:f>'Graph format rapport CHG 1éch'!$E$4:$G$4</c:f>
                <c:numCache>
                  <c:formatCode>General</c:formatCode>
                  <c:ptCount val="3"/>
                  <c:pt idx="1">
                    <c:v>2.2287227345393398E-2</c:v>
                  </c:pt>
                </c:numCache>
              </c:numRef>
            </c:minus>
          </c:errBars>
          <c:cat>
            <c:strRef>
              <c:f>'Graph format rapport CHG 1éch'!$E$2:$G$2</c:f>
              <c:strCache>
                <c:ptCount val="2"/>
                <c:pt idx="1">
                  <c:v>Arabinose-0.1mg/L</c:v>
                </c:pt>
              </c:strCache>
            </c:strRef>
          </c:cat>
          <c:val>
            <c:numRef>
              <c:f>'Graph format rapport CHG 1éch'!$E$3:$G$3</c:f>
              <c:numCache>
                <c:formatCode>General</c:formatCode>
                <c:ptCount val="3"/>
                <c:pt idx="1">
                  <c:v>0.11176703685679847</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6.6835683850314201E-2</c:v>
                </c:pt>
                <c:pt idx="1">
                  <c:v>6.6835683850314201E-2</c:v>
                </c:pt>
                <c:pt idx="2">
                  <c:v>6.6835683850314201E-2</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en-US"/>
          </a:p>
        </c:txPr>
        <c:crossAx val="434386816"/>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1éch'!$H$8:$J$8</c:f>
              <c:numCache>
                <c:formatCode>General</c:formatCode>
                <c:ptCount val="3"/>
                <c:pt idx="0">
                  <c:v>9.4711579822730138E-2</c:v>
                </c:pt>
                <c:pt idx="1">
                  <c:v>9.4711579822730138E-2</c:v>
                </c:pt>
                <c:pt idx="2">
                  <c:v>9.4711579822730138E-2</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Arabinose-0.01mg/L + Testostérone</c:v>
                </c:pt>
              </c:strCache>
            </c:strRef>
          </c:cat>
          <c:val>
            <c:numRef>
              <c:f>'Graph format rapport CHG 1éch'!$H$9:$J$9</c:f>
              <c:numCache>
                <c:formatCode>General</c:formatCode>
                <c:ptCount val="3"/>
                <c:pt idx="0">
                  <c:v>2.1095101927283828</c:v>
                </c:pt>
                <c:pt idx="1">
                  <c:v>2.1095101927283828</c:v>
                </c:pt>
                <c:pt idx="2">
                  <c:v>2.1095101927283828</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Arabinose-0.01mg/L + Testostérone</c:v>
                </c:pt>
              </c:strCache>
            </c:strRef>
          </c:cat>
          <c:val>
            <c:numRef>
              <c:f>'Graph format rapport CHG 1éch'!$H$10:$J$10</c:f>
              <c:numCache>
                <c:formatCode>General</c:formatCode>
                <c:ptCount val="3"/>
                <c:pt idx="0">
                  <c:v>0.3904898072716172</c:v>
                </c:pt>
                <c:pt idx="1">
                  <c:v>0.3904898072716172</c:v>
                </c:pt>
                <c:pt idx="2">
                  <c:v>0.3904898072716172</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2D403FBB-5632-47DE-B141-D1F61DFFCCF6}"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772C9FBC-F1EB-4D3F-95D0-29CED514EAB1}"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0.14987592453388895</c:v>
                  </c:pt>
                </c:numCache>
              </c:numRef>
            </c:plus>
            <c:minus>
              <c:numRef>
                <c:f>'Graph format rapport CHG 1éch'!$H$4:$J$4</c:f>
                <c:numCache>
                  <c:formatCode>General</c:formatCode>
                  <c:ptCount val="3"/>
                  <c:pt idx="1">
                    <c:v>0.14987592453388895</c:v>
                  </c:pt>
                </c:numCache>
              </c:numRef>
            </c:minus>
          </c:errBars>
          <c:cat>
            <c:strRef>
              <c:f>'Graph format rapport CHG 1éch'!$H$2:$J$2</c:f>
              <c:strCache>
                <c:ptCount val="2"/>
                <c:pt idx="1">
                  <c:v>Arabinose-0.01mg/L + Testostérone</c:v>
                </c:pt>
              </c:strCache>
            </c:strRef>
          </c:cat>
          <c:val>
            <c:numRef>
              <c:f>'Graph format rapport CHG 1éch'!$H$3:$J$3</c:f>
              <c:numCache>
                <c:formatCode>General</c:formatCode>
                <c:ptCount val="3"/>
                <c:pt idx="1">
                  <c:v>0.95836270321139272</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Arabinose-0.01mg/L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en-US"/>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en-US"/>
          </a:p>
        </c:txPr>
        <c:crossAx val="434387992"/>
        <c:crosses val="autoZero"/>
        <c:crossBetween val="midCat"/>
        <c:majorUnit val="0.2"/>
      </c:valAx>
    </c:plotArea>
    <c:plotVisOnly val="1"/>
    <c:dispBlanksAs val="zero"/>
    <c:showDLblsOverMax val="0"/>
  </c:chart>
  <c:spPr>
    <a:ln>
      <a:noFill/>
    </a:ln>
  </c:spPr>
  <c:txPr>
    <a:bodyPr/>
    <a:lstStyle/>
    <a:p>
      <a:pPr>
        <a:defRPr sz="1000"/>
      </a:pPr>
      <a:endParaRPr lang="en-US"/>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2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22"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76"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84" workbookViewId="0" zoomToFit="1"/>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0779" cy="6050717"/>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9408" cy="6074276"/>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9143" cy="6059714"/>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20014376" y="9913925"/>
          <a:ext cx="8260636" cy="1056562"/>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20177852" y="3792683"/>
          <a:ext cx="8260636" cy="1048398"/>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9195487" y="9913925"/>
          <a:ext cx="8260636" cy="1056562"/>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9358963" y="3792683"/>
          <a:ext cx="8260636" cy="1048398"/>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00.682000578701" createdVersion="5" refreshedVersion="7" minRefreshableVersion="3" recordCount="1556" xr:uid="{00000000-000A-0000-FFFF-FFFF0C000000}">
  <cacheSource type="worksheet">
    <worksheetSource name="Tableau4"/>
  </cacheSource>
  <cacheFields count="10">
    <cacheField name="Nom groupe" numFmtId="0">
      <sharedItems containsBlank="1" count="23">
        <s v="01 TS"/>
        <s v=""/>
        <s v="02 EE2 34"/>
        <s v="03 EE2 51"/>
        <s v="04 EE2 76"/>
        <s v="05 EE2 114"/>
        <s v="06 EE2 171"/>
        <s v="07 EE2 488"/>
        <s v="08 ARABINOSE 0.01"/>
        <s v="09 ARABINOSE 0.1"/>
        <s v="10 ARABINOSE 1"/>
        <s v="11 ARABINOSE 10"/>
        <s v="12 ARABINOSE 100"/>
        <s v="13 TESTO 0.2"/>
        <s v="14 TESTO 0.2"/>
        <s v="15 TESTO +EE2"/>
        <s v="16 TESTO + FAD"/>
        <s v="17 ARABINOSE 0.01 + TESTO"/>
        <s v="18 ARABINOSE 0.1 + TESTO"/>
        <s v="19 ARABINOSE 1 + TESTO"/>
        <s v="20 ARABINOSE 10 + TESTO"/>
        <s v="21 ARABINOSE 100 + TESTO"/>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66"/>
    </cacheField>
    <cacheField name=" " numFmtId="0">
      <sharedItems containsBlank="1" count="24">
        <s v=" "/>
        <m/>
        <s v=" SD mean fluo "/>
        <s v=" 1.4721 "/>
        <s v=" 6.2163 "/>
        <s v=" 3.2724 "/>
        <s v=" 1.7489 "/>
        <s v=" 3.1436 "/>
        <s v=" 2.0407 "/>
        <s v=" 20.7133 "/>
        <s v=" 2.6708 "/>
        <s v=" 4.1809 "/>
        <s v=" 1.8276 "/>
        <s v=" 4.2239 "/>
        <s v=" 2.4246 "/>
        <s v=" 2.876 "/>
        <s v=" 4.2751 "/>
        <s v=" 5.3589 "/>
        <s v=" 1.9636 "/>
        <s v=" 3.2254 "/>
        <s v=" 5.405 "/>
        <s v=" 2.7094 "/>
        <s v=" 2.579 "/>
        <s v=" 2.2206 "/>
      </sharedItems>
    </cacheField>
    <cacheField name=" total fluorescence" numFmtId="0">
      <sharedItems containsBlank="1" containsMixedTypes="1" containsNumber="1" containsInteger="1" minValue="5612" maxValue="8040753"/>
    </cacheField>
    <cacheField name="         " numFmtId="0">
      <sharedItems containsBlank="1"/>
    </cacheField>
    <cacheField name="nbre de larves" numFmtId="0">
      <sharedItems containsBlank="1" containsMixedTypes="1" containsNumber="1" containsInteger="1" minValue="23"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00.682000925925" createdVersion="5" refreshedVersion="7" minRefreshableVersion="3" recordCount="1530" xr:uid="{00000000-000A-0000-FFFF-FFFF10000000}">
  <cacheSource type="worksheet">
    <worksheetSource name="Tableau46"/>
  </cacheSource>
  <cacheFields count="10">
    <cacheField name="Nom groupe" numFmtId="0">
      <sharedItems count="22">
        <s v="01 Evian + 0.2% DMSO"/>
        <s v=""/>
        <s v="02 EE2 33.8"/>
        <s v="03 EE2 50.6"/>
        <s v="04 EE2 76"/>
        <s v="05 EE2 114"/>
        <s v="06 EE2 170.9"/>
        <s v="07 EE2 488"/>
        <s v="08 Arabinose 0.01mg_L"/>
        <s v="09 Arabinose 0.1mg_L"/>
        <s v="10 Arabinose 1mg_L"/>
        <s v="11 Arabinose 10mg_L"/>
        <s v="12 Arabinose 100mg_L"/>
        <s v="01 Testo 30"/>
        <s v="02 Testo 30"/>
        <s v="03 Testo+ EE2 64"/>
        <s v="04 Testo+ FAD"/>
        <s v="05 Arabinose 0.01mg_L Dopé"/>
        <s v="06 Dutastéride 0.1mg_L Dopé"/>
        <s v="07  Arabinose 1mg_L Dopé"/>
        <s v="08 Arabinose 10mg_L Dopé"/>
        <s v="09 Arabinose 100 mg_L Dopé"/>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acheField>
    <cacheField name=" mean intensity " numFmtId="0">
      <sharedItems containsBlank="1" containsMixedTypes="1" containsNumber="1" containsInteger="1" minValue="63" maxValue="66"/>
    </cacheField>
    <cacheField name=" " numFmtId="0">
      <sharedItems containsBlank="1" count="24">
        <s v=" "/>
        <m/>
        <s v=" SD mean fluo "/>
        <s v=" 3.2326 "/>
        <s v=" 4.7669 "/>
        <s v=" 3.0025 "/>
        <s v=" 2.7898 "/>
        <s v=" 1.5654 "/>
        <s v=" 5.7078 "/>
        <s v=" 10.344 "/>
        <s v=" 3.3327 "/>
        <s v=" 5.9643 "/>
        <s v=" 7.9413 "/>
        <s v=" 7.9942 "/>
        <s v=" 4.9287 "/>
        <s v=" 2.8642 "/>
        <s v=" 3.5747 "/>
        <s v=" 6.017 "/>
        <s v=" 4.6613 "/>
        <s v=" 2.5805 "/>
        <s v=" 3.1034 "/>
        <s v=" 3.6985 "/>
        <s v=" 2.8253 "/>
        <s v=" 2.1297 "/>
      </sharedItems>
    </cacheField>
    <cacheField name=" total fluorescence" numFmtId="0">
      <sharedItems containsBlank="1" containsMixedTypes="1" containsNumber="1" containsInteger="1" minValue="5472" maxValue="7214392"/>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00.682001157409" createdVersion="5" refreshedVersion="7" minRefreshableVersion="3" recordCount="1710" xr:uid="{00000000-000A-0000-FFFF-FFFF14000000}">
  <cacheSource type="worksheet">
    <worksheetSource name="Tableau467"/>
  </cacheSource>
  <cacheFields count="10">
    <cacheField name="Nom groupe" numFmtId="0">
      <sharedItems count="22">
        <s v="01 TS"/>
        <s v=""/>
        <s v="02 EE2 34"/>
        <s v="03 EE2 51"/>
        <s v="04 EE2 76"/>
        <s v="05 EE2 114"/>
        <s v="06 EE2 171"/>
        <s v="07 EE2 488"/>
        <s v="08 ARABINOSE 0.01"/>
        <s v="09 ARABINOSE 0.1"/>
        <s v="10 ARABINOSE 1"/>
        <s v="11 ARABINOSE 10"/>
        <s v="12 ARABINOSE 100"/>
        <s v="13 TESTO 0.2"/>
        <s v="14 TESTO 0.2"/>
        <s v="15 TESTO + EE2"/>
        <s v="16 TESTO + FAD"/>
        <s v="17 ARABINOSE 0.01 + TESTO"/>
        <s v="18 ARABINOSE 0.1 + TESTO"/>
        <s v="19 ARABINOSE 1 + TESTO"/>
        <s v="20 ARABINOSE 10 + TESTO"/>
        <s v="21 ARABINOSE 100 + TESTO"/>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2" maxValue="65"/>
    </cacheField>
    <cacheField name=" " numFmtId="0">
      <sharedItems containsBlank="1" count="24">
        <s v=" "/>
        <m/>
        <s v=" SD mean fluo "/>
        <s v=" 2.4886 "/>
        <s v=" 2.4992 "/>
        <s v=" 3.3799 "/>
        <s v=" 3.7843 "/>
        <s v=" 1.7834 "/>
        <s v=" 3.402 "/>
        <s v=" 7.7059 "/>
        <s v=" 5.0034 "/>
        <s v=" 3.7854 "/>
        <s v=" 5.6001 "/>
        <s v=" 1.9434 "/>
        <s v=" 2.3495 "/>
        <s v=" 1.8288 "/>
        <s v=" 3.0636 "/>
        <s v=" 4.0764 "/>
        <s v=" 2.9772 "/>
        <s v=" 2.4252 "/>
        <s v=" 2.4148 "/>
        <s v=" 3.9401 "/>
        <s v=" 2.7145 "/>
        <s v=" 4.2347 "/>
      </sharedItems>
    </cacheField>
    <cacheField name=" total fluorescence" numFmtId="0">
      <sharedItems containsBlank="1" containsMixedTypes="1" containsNumber="1" containsInteger="1" minValue="5330" maxValue="7790085"/>
    </cacheField>
    <cacheField name="         " numFmtId="0">
      <sharedItems containsBlank="1"/>
    </cacheField>
    <cacheField name="nbre de larves" numFmtId="0">
      <sharedItems containsBlank="1" containsMixedTypes="1" containsNumber="1" containsInteger="1" minValue="24" maxValue="24"/>
    </cacheField>
    <cacheField name="Colonne1"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700.682001504632" createdVersion="6" refreshedVersion="7" minRefreshableVersion="3" recordCount="52" xr:uid="{8DEF666A-6C7D-4C16-AD6D-82242760D5D9}">
  <cacheSource type="worksheet">
    <worksheetSource name="liste_groupe"/>
  </cacheSource>
  <cacheFields count="6">
    <cacheField name="Nom sur le graphique" numFmtId="0">
      <sharedItems count="24">
        <s v="Témoin solvant"/>
        <s v="EE2-22,5ng/L"/>
        <s v="EE2-33,8ng/L"/>
        <s v="EE2-50,6ng/L"/>
        <s v="EE2-76ng/L"/>
        <s v="EE2-114ng/L"/>
        <s v="EE2-170,9ng/L"/>
        <s v="EE2-488ng/L"/>
        <s v="Arabinose-0,01µg/L"/>
        <s v="Arabinose-0,1µg/L"/>
        <s v="Arabinose-1µg/L"/>
        <s v="Arabinose-10µg/L"/>
        <s v="Arabinose-100µg/L"/>
        <s v=" "/>
        <s v="Testo -30µg/L"/>
        <s v="Testo 30µg/L + EE2 -64ng/L"/>
        <s v="Testo 30µg/L + FAD-10µg/L"/>
        <s v="Arabinose-0,01µg/L + Testostérone"/>
        <s v="Arabinose-0,1µg/L + Testostérone"/>
        <s v="Arabinose-1µg/L + Testostérone"/>
        <s v="Arabinose-10µg/L + Testostérone"/>
        <s v="Arabinose-100µg/L + Testostérone"/>
        <s v="0-00 + Testostérone"/>
        <s v="Testo 30µg/L + FAD-10mg/L" u="1"/>
      </sharedItems>
    </cacheField>
    <cacheField name="Code WF" numFmtId="0">
      <sharedItems containsBlank="1" containsMixedTypes="1" containsNumber="1" containsInteger="1" minValue="0" maxValue="0" count="4">
        <s v="Témoin"/>
        <s v="Test"/>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192.168.24.208\images\R&amp;D\2-Test oestrogénique\OECD and AOPs\REACTIV oecd interlaboratory validation\WF data\Repeats for invalid experiments - EBO\2022-EBO-ARABINOSE R4\plaque 1/@01 TS/A1_01.tif "/>
    <s v=" 108.7688 "/>
    <s v=" 62.2 "/>
    <x v="0"/>
    <n v="6765"/>
    <m/>
    <m/>
    <m/>
  </r>
  <r>
    <x v="0"/>
    <x v="0"/>
    <s v="\\192.168.24.208\images\R&amp;D\2-Test oestrogénique\OECD and AOPs\REACTIV oecd interlaboratory validation\WF data\Repeats for invalid experiments - EBO\2022-EBO-ARABINOSE R4\plaque 1/@01 TS/A1_02.tif "/>
    <s v=" 282.7988 "/>
    <s v=" 63.1538 "/>
    <x v="0"/>
    <n v="17860"/>
    <m/>
    <m/>
    <m/>
  </r>
  <r>
    <x v="0"/>
    <x v="0"/>
    <s v="\\192.168.24.208\images\R&amp;D\2-Test oestrogénique\OECD and AOPs\REACTIV oecd interlaboratory validation\WF data\Repeats for invalid experiments - EBO\2022-EBO-ARABINOSE R4\plaque 1/@01 TS/A1_03.tif "/>
    <s v=" 261.0451 "/>
    <s v=" 62.6667 "/>
    <x v="0"/>
    <n v="16359"/>
    <m/>
    <m/>
    <m/>
  </r>
  <r>
    <x v="0"/>
    <x v="1"/>
    <s v="\\192.168.24.208\images\R&amp;D\2-Test oestrogénique\OECD and AOPs\REACTIV oecd interlaboratory validation\WF data\Repeats for invalid experiments - EBO\2022-EBO-ARABINOSE R4\plaque 1/@01 TS/B1_01.tif "/>
    <s v=" 957.1652 "/>
    <s v=" 65.25 "/>
    <x v="0"/>
    <n v="62455"/>
    <m/>
    <m/>
    <m/>
  </r>
  <r>
    <x v="0"/>
    <x v="1"/>
    <s v="\\192.168.24.208\images\R&amp;D\2-Test oestrogénique\OECD and AOPs\REACTIV oecd interlaboratory validation\WF data\Repeats for invalid experiments - EBO\2022-EBO-ARABINOSE R4\plaque 1/@01 TS/B1_02.tif "/>
    <s v=" 674.3664 "/>
    <s v=" 66.871 "/>
    <x v="0"/>
    <n v="45096"/>
    <m/>
    <m/>
    <m/>
  </r>
  <r>
    <x v="0"/>
    <x v="1"/>
    <s v="\\192.168.24.208\images\R&amp;D\2-Test oestrogénique\OECD and AOPs\REACTIV oecd interlaboratory validation\WF data\Repeats for invalid experiments - EBO\2022-EBO-ARABINOSE R4\plaque 1/@01 TS/B1_03.tif "/>
    <s v=" 130.5225 "/>
    <s v=" 62.3333 "/>
    <x v="0"/>
    <n v="8136"/>
    <m/>
    <m/>
    <m/>
  </r>
  <r>
    <x v="0"/>
    <x v="2"/>
    <s v="\\192.168.24.208\images\R&amp;D\2-Test oestrogénique\OECD and AOPs\REACTIV oecd interlaboratory validation\WF data\Repeats for invalid experiments - EBO\2022-EBO-ARABINOSE R4\plaque 1/@01 TS/C1_01.tif "/>
    <s v=" 174.03 "/>
    <s v=" 66.125 "/>
    <x v="0"/>
    <n v="11508"/>
    <m/>
    <m/>
    <m/>
  </r>
  <r>
    <x v="0"/>
    <x v="2"/>
    <s v="\\192.168.24.208\images\R&amp;D\2-Test oestrogénique\OECD and AOPs\REACTIV oecd interlaboratory validation\WF data\Repeats for invalid experiments - EBO\2022-EBO-ARABINOSE R4\plaque 1/@01 TS/C1_02.tif "/>
    <s v=" 435.0751 "/>
    <s v=" 62.4 "/>
    <x v="0"/>
    <n v="27149"/>
    <m/>
    <m/>
    <m/>
  </r>
  <r>
    <x v="0"/>
    <x v="2"/>
    <s v="\\192.168.24.208\images\R&amp;D\2-Test oestrogénique\OECD and AOPs\REACTIV oecd interlaboratory validation\WF data\Repeats for invalid experiments - EBO\2022-EBO-ARABINOSE R4\plaque 1/@01 TS/C1_03.tif "/>
    <s v=" 326.3063 "/>
    <n v="63"/>
    <x v="0"/>
    <n v="20557"/>
    <m/>
    <m/>
    <m/>
  </r>
  <r>
    <x v="0"/>
    <x v="3"/>
    <s v="\\192.168.24.208\images\R&amp;D\2-Test oestrogénique\OECD and AOPs\REACTIV oecd interlaboratory validation\WF data\Repeats for invalid experiments - EBO\2022-EBO-ARABINOSE R4\plaque 1/@01 TS/D1_01.tif "/>
    <s v=" 1196.4565 "/>
    <s v=" 63.5273 "/>
    <x v="0"/>
    <n v="76008"/>
    <m/>
    <m/>
    <m/>
  </r>
  <r>
    <x v="0"/>
    <x v="3"/>
    <s v="\\192.168.24.208\images\R&amp;D\2-Test oestrogénique\OECD and AOPs\REACTIV oecd interlaboratory validation\WF data\Repeats for invalid experiments - EBO\2022-EBO-ARABINOSE R4\plaque 1/@01 TS/D1_02.tif "/>
    <s v=" 1000.6727 "/>
    <s v=" 63.8696 "/>
    <x v="0"/>
    <n v="63913"/>
    <m/>
    <m/>
    <m/>
  </r>
  <r>
    <x v="0"/>
    <x v="3"/>
    <s v="\\192.168.24.208\images\R&amp;D\2-Test oestrogénique\OECD and AOPs\REACTIV oecd interlaboratory validation\WF data\Repeats for invalid experiments - EBO\2022-EBO-ARABINOSE R4\plaque 1/@01 TS/D1_03.tif "/>
    <s v=" 957.1652 "/>
    <s v=" 63.75 "/>
    <x v="0"/>
    <n v="61019"/>
    <m/>
    <m/>
    <m/>
  </r>
  <r>
    <x v="0"/>
    <x v="4"/>
    <s v="\\192.168.24.208\images\R&amp;D\2-Test oestrogénique\OECD and AOPs\REACTIV oecd interlaboratory validation\WF data\Repeats for invalid experiments - EBO\2022-EBO-ARABINOSE R4\plaque 1/@01 TS/E1_01.tif "/>
    <s v=" 282.7988 "/>
    <s v=" 64.4615 "/>
    <x v="0"/>
    <n v="18230"/>
    <m/>
    <m/>
    <m/>
  </r>
  <r>
    <x v="0"/>
    <x v="4"/>
    <s v="\\192.168.24.208\images\R&amp;D\2-Test oestrogénique\OECD and AOPs\REACTIV oecd interlaboratory validation\WF data\Repeats for invalid experiments - EBO\2022-EBO-ARABINOSE R4\plaque 1/@01 TS/E1_02.tif "/>
    <s v=" 195.7838 "/>
    <s v=" 63.3333 "/>
    <x v="0"/>
    <n v="12400"/>
    <m/>
    <m/>
    <m/>
  </r>
  <r>
    <x v="0"/>
    <x v="4"/>
    <s v="\\192.168.24.208\images\R&amp;D\2-Test oestrogénique\OECD and AOPs\REACTIV oecd interlaboratory validation\WF data\Repeats for invalid experiments - EBO\2022-EBO-ARABINOSE R4\plaque 1/@01 TS/E1_03- exclu.tif"/>
    <m/>
    <m/>
    <x v="1"/>
    <m/>
    <m/>
    <m/>
    <m/>
  </r>
  <r>
    <x v="0"/>
    <x v="5"/>
    <s v="\\192.168.24.208\images\R&amp;D\2-Test oestrogénique\OECD and AOPs\REACTIV oecd interlaboratory validation\WF data\Repeats for invalid experiments - EBO\2022-EBO-ARABINOSE R4\plaque 1/@01 TS/F1_01.tif "/>
    <s v=" 3154.2945 "/>
    <s v=" 68.0414 "/>
    <x v="0"/>
    <n v="214623"/>
    <m/>
    <m/>
    <m/>
  </r>
  <r>
    <x v="0"/>
    <x v="5"/>
    <s v="\\192.168.24.208\images\R&amp;D\2-Test oestrogénique\OECD and AOPs\REACTIV oecd interlaboratory validation\WF data\Repeats for invalid experiments - EBO\2022-EBO-ARABINOSE R4\plaque 1/@01 TS/F1_02.tif "/>
    <s v=" 804.8889 "/>
    <s v=" 64.7838 "/>
    <x v="0"/>
    <n v="52144"/>
    <m/>
    <m/>
    <m/>
  </r>
  <r>
    <x v="0"/>
    <x v="5"/>
    <s v="\\192.168.24.208\images\R&amp;D\2-Test oestrogénique\OECD and AOPs\REACTIV oecd interlaboratory validation\WF data\Repeats for invalid experiments - EBO\2022-EBO-ARABINOSE R4\plaque 1/@01 TS/F1_03.tif "/>
    <s v=" 413.3213 "/>
    <s v=" 64.4737 "/>
    <x v="0"/>
    <n v="26648"/>
    <m/>
    <m/>
    <m/>
  </r>
  <r>
    <x v="0"/>
    <x v="6"/>
    <s v="\\192.168.24.208\images\R&amp;D\2-Test oestrogénique\OECD and AOPs\REACTIV oecd interlaboratory validation\WF data\Repeats for invalid experiments - EBO\2022-EBO-ARABINOSE R4\plaque 1/@01 TS/G1_01.tif "/>
    <s v=" 413.3213 "/>
    <s v=" 64.2632 "/>
    <x v="0"/>
    <n v="26561"/>
    <m/>
    <m/>
    <m/>
  </r>
  <r>
    <x v="0"/>
    <x v="6"/>
    <s v="\\192.168.24.208\images\R&amp;D\2-Test oestrogénique\OECD and AOPs\REACTIV oecd interlaboratory validation\WF data\Repeats for invalid experiments - EBO\2022-EBO-ARABINOSE R4\plaque 1/@01 TS/G1_02.tif "/>
    <s v=" 435.0751 "/>
    <s v=" 63.15 "/>
    <x v="0"/>
    <n v="27475"/>
    <m/>
    <m/>
    <m/>
  </r>
  <r>
    <x v="0"/>
    <x v="6"/>
    <s v="\\192.168.24.208\images\R&amp;D\2-Test oestrogénique\OECD and AOPs\REACTIV oecd interlaboratory validation\WF data\Repeats for invalid experiments - EBO\2022-EBO-ARABINOSE R4\plaque 1/@01 TS/G1_03.tif "/>
    <s v=" 326.3063 "/>
    <s v=" 62.6667 "/>
    <x v="0"/>
    <n v="20449"/>
    <m/>
    <m/>
    <m/>
  </r>
  <r>
    <x v="0"/>
    <x v="7"/>
    <s v="\\192.168.24.208\images\R&amp;D\2-Test oestrogénique\OECD and AOPs\REACTIV oecd interlaboratory validation\WF data\Repeats for invalid experiments - EBO\2022-EBO-ARABINOSE R4\plaque 1/@01 TS/H1_01.tif "/>
    <s v=" 239.2913 "/>
    <s v=" 62.7273 "/>
    <x v="0"/>
    <n v="15010"/>
    <m/>
    <m/>
    <m/>
  </r>
  <r>
    <x v="0"/>
    <x v="7"/>
    <s v="\\192.168.24.208\images\R&amp;D\2-Test oestrogénique\OECD and AOPs\REACTIV oecd interlaboratory validation\WF data\Repeats for invalid experiments - EBO\2022-EBO-ARABINOSE R4\plaque 1/@01 TS/H1_02.tif "/>
    <s v=" 1892.5767 "/>
    <s v=" 64.7356 "/>
    <x v="0"/>
    <n v="122517"/>
    <m/>
    <m/>
    <m/>
  </r>
  <r>
    <x v="0"/>
    <x v="7"/>
    <s v="\\192.168.24.208\images\R&amp;D\2-Test oestrogénique\OECD and AOPs\REACTIV oecd interlaboratory validation\WF data\Repeats for invalid experiments - EBO\2022-EBO-ARABINOSE R4\plaque 1/@01 TS/H1_03.tif "/>
    <s v=" 413.3213 "/>
    <s v=" 63.2105 "/>
    <x v="0"/>
    <n v="26126"/>
    <m/>
    <m/>
    <m/>
  </r>
  <r>
    <x v="1"/>
    <x v="8"/>
    <s v=" "/>
    <m/>
    <m/>
    <x v="1"/>
    <m/>
    <m/>
    <m/>
    <m/>
  </r>
  <r>
    <x v="1"/>
    <x v="8"/>
    <s v="group "/>
    <s v=" "/>
    <s v=" mean of mean fluo "/>
    <x v="2"/>
    <s v=" mean of total fluo "/>
    <s v=" SD total fluo "/>
    <s v=" n fluorescent "/>
    <s v=" n total"/>
  </r>
  <r>
    <x v="0"/>
    <x v="9"/>
    <s v="\\192.168.24.208\images\R&amp;D\2-Test oestrogénique\OECD and AOPs\REACTIV oecd interlaboratory validation\WF data\Repeats for invalid experiments - EBO\2022-EBO-ARABINOSE R4\plaque 1/@01 TS/ "/>
    <s v=" "/>
    <s v=" 63.9521 "/>
    <x v="3"/>
    <s v=" 41197.1667 "/>
    <s v=" 45990.06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192.168.24.208\images\R&amp;D\2-Test oestrogénique\OECD and AOPs\REACTIV oecd interlaboratory validation\WF data\Repeats for invalid experiments - EBO\2022-EBO-ARABINOSE R4\plaque 1/@02 EE2 34/A2_01.tif "/>
    <s v=" 282.7988 "/>
    <s v=" 63.2308 "/>
    <x v="0"/>
    <n v="17882"/>
    <m/>
    <m/>
    <m/>
  </r>
  <r>
    <x v="2"/>
    <x v="0"/>
    <s v="\\192.168.24.208\images\R&amp;D\2-Test oestrogénique\OECD and AOPs\REACTIV oecd interlaboratory validation\WF data\Repeats for invalid experiments - EBO\2022-EBO-ARABINOSE R4\plaque 1/@02 EE2 34/A2_02.tif "/>
    <s v=" 239.2913 "/>
    <s v=" 62.1818 "/>
    <x v="0"/>
    <n v="14880"/>
    <m/>
    <m/>
    <m/>
  </r>
  <r>
    <x v="2"/>
    <x v="0"/>
    <s v="\\192.168.24.208\images\R&amp;D\2-Test oestrogénique\OECD and AOPs\REACTIV oecd interlaboratory validation\WF data\Repeats for invalid experiments - EBO\2022-EBO-ARABINOSE R4\plaque 1/@02 EE2 34/A2_03.tif "/>
    <s v=" 348.0601 "/>
    <s v=" 64.8125 "/>
    <x v="0"/>
    <n v="22559"/>
    <m/>
    <m/>
    <m/>
  </r>
  <r>
    <x v="2"/>
    <x v="1"/>
    <s v="\\192.168.24.208\images\R&amp;D\2-Test oestrogénique\OECD and AOPs\REACTIV oecd interlaboratory validation\WF data\Repeats for invalid experiments - EBO\2022-EBO-ARABINOSE R4\plaque 1/@02 EE2 34/B2_01.tif "/>
    <s v=" 9354.1147 "/>
    <s v=" 68.614 "/>
    <x v="0"/>
    <n v="641823"/>
    <m/>
    <m/>
    <m/>
  </r>
  <r>
    <x v="2"/>
    <x v="1"/>
    <s v="\\192.168.24.208\images\R&amp;D\2-Test oestrogénique\OECD and AOPs\REACTIV oecd interlaboratory validation\WF data\Repeats for invalid experiments - EBO\2022-EBO-ARABINOSE R4\plaque 1/@02 EE2 34/B2_02- exclu.tif"/>
    <m/>
    <m/>
    <x v="1"/>
    <m/>
    <m/>
    <m/>
    <m/>
  </r>
  <r>
    <x v="2"/>
    <x v="1"/>
    <s v="\\192.168.24.208\images\R&amp;D\2-Test oestrogénique\OECD and AOPs\REACTIV oecd interlaboratory validation\WF data\Repeats for invalid experiments - EBO\2022-EBO-ARABINOSE R4\plaque 1/@02 EE2 34/B2_03- exclu.tif"/>
    <m/>
    <m/>
    <x v="1"/>
    <m/>
    <m/>
    <m/>
    <m/>
  </r>
  <r>
    <x v="2"/>
    <x v="2"/>
    <s v="\\192.168.24.208\images\R&amp;D\2-Test oestrogénique\OECD and AOPs\REACTIV oecd interlaboratory validation\WF data\Repeats for invalid experiments - EBO\2022-EBO-ARABINOSE R4\plaque 1/@02 EE2 34/C2_01.tif "/>
    <s v=" 500.3364 "/>
    <s v=" 63.2609 "/>
    <x v="0"/>
    <n v="31652"/>
    <m/>
    <m/>
    <m/>
  </r>
  <r>
    <x v="2"/>
    <x v="2"/>
    <s v="\\192.168.24.208\images\R&amp;D\2-Test oestrogénique\OECD and AOPs\REACTIV oecd interlaboratory validation\WF data\Repeats for invalid experiments - EBO\2022-EBO-ARABINOSE R4\plaque 1/@02 EE2 34/C2_02.tif "/>
    <s v=" 174.03 "/>
    <s v=" 62.375 "/>
    <x v="0"/>
    <n v="10855"/>
    <m/>
    <m/>
    <m/>
  </r>
  <r>
    <x v="2"/>
    <x v="2"/>
    <s v="\\192.168.24.208\images\R&amp;D\2-Test oestrogénique\OECD and AOPs\REACTIV oecd interlaboratory validation\WF data\Repeats for invalid experiments - EBO\2022-EBO-ARABINOSE R4\plaque 1/@02 EE2 34/C2_03.tif "/>
    <s v=" 87.015 "/>
    <s v=" 64.5 "/>
    <x v="0"/>
    <n v="5612"/>
    <m/>
    <m/>
    <m/>
  </r>
  <r>
    <x v="2"/>
    <x v="3"/>
    <s v="\\192.168.24.208\images\R&amp;D\2-Test oestrogénique\OECD and AOPs\REACTIV oecd interlaboratory validation\WF data\Repeats for invalid experiments - EBO\2022-EBO-ARABINOSE R4\plaque 1/@02 EE2 34/D2_01- exclu.tif"/>
    <m/>
    <m/>
    <x v="1"/>
    <m/>
    <m/>
    <m/>
    <m/>
  </r>
  <r>
    <x v="2"/>
    <x v="3"/>
    <s v="\\192.168.24.208\images\R&amp;D\2-Test oestrogénique\OECD and AOPs\REACTIV oecd interlaboratory validation\WF data\Repeats for invalid experiments - EBO\2022-EBO-ARABINOSE R4\plaque 1/@02 EE2 34/D2_02- exclu.tif"/>
    <m/>
    <m/>
    <x v="1"/>
    <m/>
    <m/>
    <m/>
    <m/>
  </r>
  <r>
    <x v="2"/>
    <x v="3"/>
    <s v="\\192.168.24.208\images\R&amp;D\2-Test oestrogénique\OECD and AOPs\REACTIV oecd interlaboratory validation\WF data\Repeats for invalid experiments - EBO\2022-EBO-ARABINOSE R4\plaque 1/@02 EE2 34/D2_03- exclu.tif"/>
    <m/>
    <m/>
    <x v="1"/>
    <m/>
    <m/>
    <m/>
    <m/>
  </r>
  <r>
    <x v="2"/>
    <x v="4"/>
    <s v="\\192.168.24.208\images\R&amp;D\2-Test oestrogénique\OECD and AOPs\REACTIV oecd interlaboratory validation\WF data\Repeats for invalid experiments - EBO\2022-EBO-ARABINOSE R4\plaque 1/@02 EE2 34/E2_01.tif "/>
    <s v=" 1044.1802 "/>
    <s v=" 65.7917 "/>
    <x v="0"/>
    <n v="68698"/>
    <m/>
    <m/>
    <m/>
  </r>
  <r>
    <x v="2"/>
    <x v="4"/>
    <s v="\\192.168.24.208\images\R&amp;D\2-Test oestrogénique\OECD and AOPs\REACTIV oecd interlaboratory validation\WF data\Repeats for invalid experiments - EBO\2022-EBO-ARABINOSE R4\plaque 1/@02 EE2 34/E2_02.tif "/>
    <s v=" 565.5976 "/>
    <s v=" 65.1154 "/>
    <x v="0"/>
    <n v="36829"/>
    <m/>
    <m/>
    <m/>
  </r>
  <r>
    <x v="2"/>
    <x v="4"/>
    <s v="\\192.168.24.208\images\R&amp;D\2-Test oestrogénique\OECD and AOPs\REACTIV oecd interlaboratory validation\WF data\Repeats for invalid experiments - EBO\2022-EBO-ARABINOSE R4\plaque 1/@02 EE2 34/E2_03.tif "/>
    <s v=" 174.03 "/>
    <s v=" 62.75 "/>
    <x v="0"/>
    <n v="10920"/>
    <m/>
    <m/>
    <m/>
  </r>
  <r>
    <x v="2"/>
    <x v="5"/>
    <s v="\\192.168.24.208\images\R&amp;D\2-Test oestrogénique\OECD and AOPs\REACTIV oecd interlaboratory validation\WF data\Repeats for invalid experiments - EBO\2022-EBO-ARABINOSE R4\plaque 1/@02 EE2 34/F2_01- exclu.tif"/>
    <m/>
    <m/>
    <x v="1"/>
    <m/>
    <m/>
    <m/>
    <m/>
  </r>
  <r>
    <x v="2"/>
    <x v="5"/>
    <s v="\\192.168.24.208\images\R&amp;D\2-Test oestrogénique\OECD and AOPs\REACTIV oecd interlaboratory validation\WF data\Repeats for invalid experiments - EBO\2022-EBO-ARABINOSE R4\plaque 1/@02 EE2 34/F2_02.tif "/>
    <s v=" 217.5376 "/>
    <s v=" 62.5 "/>
    <x v="0"/>
    <n v="13596"/>
    <m/>
    <m/>
    <m/>
  </r>
  <r>
    <x v="2"/>
    <x v="5"/>
    <s v="\\192.168.24.208\images\R&amp;D\2-Test oestrogénique\OECD and AOPs\REACTIV oecd interlaboratory validation\WF data\Repeats for invalid experiments - EBO\2022-EBO-ARABINOSE R4\plaque 1/@02 EE2 34/F2_03- exclu.tif"/>
    <m/>
    <m/>
    <x v="1"/>
    <m/>
    <m/>
    <m/>
    <m/>
  </r>
  <r>
    <x v="2"/>
    <x v="6"/>
    <s v="\\192.168.24.208\images\R&amp;D\2-Test oestrogénique\OECD and AOPs\REACTIV oecd interlaboratory validation\WF data\Repeats for invalid experiments - EBO\2022-EBO-ARABINOSE R4\plaque 1/@02 EE2 34/G2_01.tif "/>
    <s v=" 304.5526 "/>
    <s v=" 64.1429 "/>
    <x v="0"/>
    <n v="19535"/>
    <m/>
    <m/>
    <m/>
  </r>
  <r>
    <x v="2"/>
    <x v="6"/>
    <s v="\\192.168.24.208\images\R&amp;D\2-Test oestrogénique\OECD and AOPs\REACTIV oecd interlaboratory validation\WF data\Repeats for invalid experiments - EBO\2022-EBO-ARABINOSE R4\plaque 1/@02 EE2 34/G2_02.tif "/>
    <s v=" 652.6127 "/>
    <s v=" 66.0667 "/>
    <x v="0"/>
    <n v="43116"/>
    <m/>
    <m/>
    <m/>
  </r>
  <r>
    <x v="2"/>
    <x v="6"/>
    <s v="\\192.168.24.208\images\R&amp;D\2-Test oestrogénique\OECD and AOPs\REACTIV oecd interlaboratory validation\WF data\Repeats for invalid experiments - EBO\2022-EBO-ARABINOSE R4\plaque 1/@02 EE2 34/G2_03.tif "/>
    <s v=" 261.0451 "/>
    <s v=" 63.6667 "/>
    <x v="0"/>
    <n v="16620"/>
    <m/>
    <m/>
    <m/>
  </r>
  <r>
    <x v="2"/>
    <x v="7"/>
    <s v="\\192.168.24.208\images\R&amp;D\2-Test oestrogénique\OECD and AOPs\REACTIV oecd interlaboratory validation\WF data\Repeats for invalid experiments - EBO\2022-EBO-ARABINOSE R4\plaque 1/@02 EE2 34/H2_01.tif "/>
    <s v=" 174.03 "/>
    <s v=" 63.375 "/>
    <x v="0"/>
    <n v="11029"/>
    <m/>
    <m/>
    <m/>
  </r>
  <r>
    <x v="2"/>
    <x v="7"/>
    <s v="\\192.168.24.208\images\R&amp;D\2-Test oestrogénique\OECD and AOPs\REACTIV oecd interlaboratory validation\WF data\Repeats for invalid experiments - EBO\2022-EBO-ARABINOSE R4\plaque 1/@02 EE2 34/H2_02.tif "/>
    <s v=" 195.7838 "/>
    <n v="63"/>
    <x v="0"/>
    <n v="12334"/>
    <m/>
    <m/>
    <m/>
  </r>
  <r>
    <x v="2"/>
    <x v="7"/>
    <s v="\\192.168.24.208\images\R&amp;D\2-Test oestrogénique\OECD and AOPs\REACTIV oecd interlaboratory validation\WF data\Repeats for invalid experiments - EBO\2022-EBO-ARABINOSE R4\plaque 1/@02 EE2 34/H2_03.tif "/>
    <s v=" 174.03 "/>
    <s v=" 61.125 "/>
    <x v="0"/>
    <n v="10638"/>
    <m/>
    <m/>
    <m/>
  </r>
  <r>
    <x v="1"/>
    <x v="8"/>
    <s v=" "/>
    <m/>
    <m/>
    <x v="1"/>
    <m/>
    <m/>
    <m/>
    <m/>
  </r>
  <r>
    <x v="1"/>
    <x v="8"/>
    <s v="group "/>
    <s v=" "/>
    <s v=" mean of mean fluo "/>
    <x v="2"/>
    <s v=" mean of total fluo "/>
    <s v=" SD total fluo "/>
    <s v=" n fluorescent "/>
    <s v=" n total"/>
  </r>
  <r>
    <x v="2"/>
    <x v="9"/>
    <s v="\\192.168.24.208\images\R&amp;D\2-Test oestrogénique\OECD and AOPs\REACTIV oecd interlaboratory validation\WF data\Repeats for invalid experiments - EBO\2022-EBO-ARABINOSE R4\plaque 1/@02 EE2 34/ "/>
    <s v=" "/>
    <s v=" 65.7718 "/>
    <x v="4"/>
    <s v=" 146475.333 "/>
    <s v=" 293945.26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192.168.24.208\images\R&amp;D\2-Test oestrogénique\OECD and AOPs\REACTIV oecd interlaboratory validation\WF data\Repeats for invalid experiments - EBO\2022-EBO-ARABINOSE R4\plaque 1/@03 EE2 51/A3_01.tif "/>
    <s v=" 413.3213 "/>
    <s v=" 63.2632 "/>
    <x v="0"/>
    <n v="26148"/>
    <m/>
    <m/>
    <m/>
  </r>
  <r>
    <x v="3"/>
    <x v="0"/>
    <s v="\\192.168.24.208\images\R&amp;D\2-Test oestrogénique\OECD and AOPs\REACTIV oecd interlaboratory validation\WF data\Repeats for invalid experiments - EBO\2022-EBO-ARABINOSE R4\plaque 1/@03 EE2 51/A3_02.tif "/>
    <s v=" 239.2913 "/>
    <s v=" 62.3636 "/>
    <x v="0"/>
    <n v="14923"/>
    <m/>
    <m/>
    <m/>
  </r>
  <r>
    <x v="3"/>
    <x v="0"/>
    <s v="\\192.168.24.208\images\R&amp;D\2-Test oestrogénique\OECD and AOPs\REACTIV oecd interlaboratory validation\WF data\Repeats for invalid experiments - EBO\2022-EBO-ARABINOSE R4\plaque 1/@03 EE2 51/A3_03- exclu.tif"/>
    <m/>
    <m/>
    <x v="1"/>
    <m/>
    <m/>
    <m/>
    <m/>
  </r>
  <r>
    <x v="3"/>
    <x v="1"/>
    <s v="\\192.168.24.208\images\R&amp;D\2-Test oestrogénique\OECD and AOPs\REACTIV oecd interlaboratory validation\WF data\Repeats for invalid experiments - EBO\2022-EBO-ARABINOSE R4\plaque 1/@03 EE2 51/B3_01.tif "/>
    <s v=" 739.6277 "/>
    <s v=" 65.2647 "/>
    <x v="0"/>
    <n v="48272"/>
    <m/>
    <m/>
    <m/>
  </r>
  <r>
    <x v="3"/>
    <x v="1"/>
    <s v="\\192.168.24.208\images\R&amp;D\2-Test oestrogénique\OECD and AOPs\REACTIV oecd interlaboratory validation\WF data\Repeats for invalid experiments - EBO\2022-EBO-ARABINOSE R4\plaque 1/@03 EE2 51/B3_02- exclu.tif"/>
    <m/>
    <m/>
    <x v="1"/>
    <m/>
    <m/>
    <m/>
    <m/>
  </r>
  <r>
    <x v="3"/>
    <x v="1"/>
    <s v="\\192.168.24.208\images\R&amp;D\2-Test oestrogénique\OECD and AOPs\REACTIV oecd interlaboratory validation\WF data\Repeats for invalid experiments - EBO\2022-EBO-ARABINOSE R4\plaque 1/@03 EE2 51/B3_03.tif "/>
    <s v=" 761.3814 "/>
    <s v=" 64.3714 "/>
    <x v="0"/>
    <n v="49011"/>
    <m/>
    <m/>
    <m/>
  </r>
  <r>
    <x v="3"/>
    <x v="2"/>
    <s v="\\192.168.24.208\images\R&amp;D\2-Test oestrogénique\OECD and AOPs\REACTIV oecd interlaboratory validation\WF data\Repeats for invalid experiments - EBO\2022-EBO-ARABINOSE R4\plaque 1/@03 EE2 51/C3_01.tif "/>
    <s v=" 2066.6067 "/>
    <s v=" 64.6737 "/>
    <x v="0"/>
    <n v="133655"/>
    <m/>
    <m/>
    <m/>
  </r>
  <r>
    <x v="3"/>
    <x v="2"/>
    <s v="\\192.168.24.208\images\R&amp;D\2-Test oestrogénique\OECD and AOPs\REACTIV oecd interlaboratory validation\WF data\Repeats for invalid experiments - EBO\2022-EBO-ARABINOSE R4\plaque 1/@03 EE2 51/C3_02.tif "/>
    <s v=" 1588.0241 "/>
    <s v=" 65.137 "/>
    <x v="0"/>
    <n v="103439"/>
    <m/>
    <m/>
    <m/>
  </r>
  <r>
    <x v="3"/>
    <x v="2"/>
    <s v="\\192.168.24.208\images\R&amp;D\2-Test oestrogénique\OECD and AOPs\REACTIV oecd interlaboratory validation\WF data\Repeats for invalid experiments - EBO\2022-EBO-ARABINOSE R4\plaque 1/@03 EE2 51/C3_03.tif "/>
    <s v=" 1566.2704 "/>
    <s v=" 63.7917 "/>
    <x v="0"/>
    <n v="99915"/>
    <m/>
    <m/>
    <m/>
  </r>
  <r>
    <x v="3"/>
    <x v="3"/>
    <s v="\\192.168.24.208\images\R&amp;D\2-Test oestrogénique\OECD and AOPs\REACTIV oecd interlaboratory validation\WF data\Repeats for invalid experiments - EBO\2022-EBO-ARABINOSE R4\plaque 1/@03 EE2 51/D3_01.tif "/>
    <s v=" 6156.3127 "/>
    <s v=" 66.8975 "/>
    <x v="0"/>
    <n v="411842"/>
    <m/>
    <m/>
    <m/>
  </r>
  <r>
    <x v="3"/>
    <x v="3"/>
    <s v="\\192.168.24.208\images\R&amp;D\2-Test oestrogénique\OECD and AOPs\REACTIV oecd interlaboratory validation\WF data\Repeats for invalid experiments - EBO\2022-EBO-ARABINOSE R4\plaque 1/@03 EE2 51/D3_02.tif "/>
    <s v=" 2610.4506 "/>
    <s v=" 63.3583 "/>
    <x v="0"/>
    <n v="165394"/>
    <m/>
    <m/>
    <m/>
  </r>
  <r>
    <x v="3"/>
    <x v="3"/>
    <s v="\\192.168.24.208\images\R&amp;D\2-Test oestrogénique\OECD and AOPs\REACTIV oecd interlaboratory validation\WF data\Repeats for invalid experiments - EBO\2022-EBO-ARABINOSE R4\plaque 1/@03 EE2 51/D3_03.tif "/>
    <s v=" 3611.1233 "/>
    <s v=" 64.6807 "/>
    <x v="0"/>
    <n v="233570"/>
    <m/>
    <m/>
    <m/>
  </r>
  <r>
    <x v="3"/>
    <x v="4"/>
    <s v="\\192.168.24.208\images\R&amp;D\2-Test oestrogénique\OECD and AOPs\REACTIV oecd interlaboratory validation\WF data\Repeats for invalid experiments - EBO\2022-EBO-ARABINOSE R4\plaque 1/@03 EE2 51/E3_01.tif "/>
    <s v=" 2784.4806 "/>
    <s v=" 65.0312 "/>
    <x v="0"/>
    <n v="181078"/>
    <m/>
    <m/>
    <m/>
  </r>
  <r>
    <x v="3"/>
    <x v="4"/>
    <s v="\\192.168.24.208\images\R&amp;D\2-Test oestrogénique\OECD and AOPs\REACTIV oecd interlaboratory validation\WF data\Repeats for invalid experiments - EBO\2022-EBO-ARABINOSE R4\plaque 1/@03 EE2 51/E3_02- exclu.tif"/>
    <m/>
    <m/>
    <x v="1"/>
    <m/>
    <m/>
    <m/>
    <m/>
  </r>
  <r>
    <x v="3"/>
    <x v="4"/>
    <s v="\\192.168.24.208\images\R&amp;D\2-Test oestrogénique\OECD and AOPs\REACTIV oecd interlaboratory validation\WF data\Repeats for invalid experiments - EBO\2022-EBO-ARABINOSE R4\plaque 1/@03 EE2 51/E3_03- exclu.tif"/>
    <m/>
    <m/>
    <x v="1"/>
    <m/>
    <m/>
    <m/>
    <m/>
  </r>
  <r>
    <x v="3"/>
    <x v="5"/>
    <s v="\\192.168.24.208\images\R&amp;D\2-Test oestrogénique\OECD and AOPs\REACTIV oecd interlaboratory validation\WF data\Repeats for invalid experiments - EBO\2022-EBO-ARABINOSE R4\plaque 1/@03 EE2 51/F3_01.tif "/>
    <s v=" 1152.949 "/>
    <s v=" 63.6038 "/>
    <x v="0"/>
    <n v="73332"/>
    <m/>
    <m/>
    <m/>
  </r>
  <r>
    <x v="3"/>
    <x v="5"/>
    <s v="\\192.168.24.208\images\R&amp;D\2-Test oestrogénique\OECD and AOPs\REACTIV oecd interlaboratory validation\WF data\Repeats for invalid experiments - EBO\2022-EBO-ARABINOSE R4\plaque 1/@03 EE2 51/F3_02.tif "/>
    <s v=" 456.8289 "/>
    <s v=" 62.2857 "/>
    <x v="0"/>
    <n v="28454"/>
    <m/>
    <m/>
    <m/>
  </r>
  <r>
    <x v="3"/>
    <x v="5"/>
    <s v="\\192.168.24.208\images\R&amp;D\2-Test oestrogénique\OECD and AOPs\REACTIV oecd interlaboratory validation\WF data\Repeats for invalid experiments - EBO\2022-EBO-ARABINOSE R4\plaque 1/@03 EE2 51/F3_03.tif "/>
    <s v=" 1109.4415 "/>
    <s v=" 65.1765 "/>
    <x v="0"/>
    <n v="72309"/>
    <m/>
    <m/>
    <m/>
  </r>
  <r>
    <x v="3"/>
    <x v="6"/>
    <s v="\\192.168.24.208\images\R&amp;D\2-Test oestrogénique\OECD and AOPs\REACTIV oecd interlaboratory validation\WF data\Repeats for invalid experiments - EBO\2022-EBO-ARABINOSE R4\plaque 1/@03 EE2 51/G3_01.tif "/>
    <s v=" 326.3063 "/>
    <s v=" 64.3333 "/>
    <x v="0"/>
    <n v="20992"/>
    <m/>
    <m/>
    <m/>
  </r>
  <r>
    <x v="3"/>
    <x v="6"/>
    <s v="\\192.168.24.208\images\R&amp;D\2-Test oestrogénique\OECD and AOPs\REACTIV oecd interlaboratory validation\WF data\Repeats for invalid experiments - EBO\2022-EBO-ARABINOSE R4\plaque 1/@03 EE2 51/G3_02- exclu.tif"/>
    <m/>
    <m/>
    <x v="1"/>
    <m/>
    <m/>
    <m/>
    <m/>
  </r>
  <r>
    <x v="3"/>
    <x v="6"/>
    <s v="\\192.168.24.208\images\R&amp;D\2-Test oestrogénique\OECD and AOPs\REACTIV oecd interlaboratory validation\WF data\Repeats for invalid experiments - EBO\2022-EBO-ARABINOSE R4\plaque 1/@03 EE2 51/G3_03.tif "/>
    <s v=" 217.5376 "/>
    <s v=" 62.3 "/>
    <x v="0"/>
    <n v="13553"/>
    <m/>
    <m/>
    <m/>
  </r>
  <r>
    <x v="3"/>
    <x v="7"/>
    <s v="\\192.168.24.208\images\R&amp;D\2-Test oestrogénique\OECD and AOPs\REACTIV oecd interlaboratory validation\WF data\Repeats for invalid experiments - EBO\2022-EBO-ARABINOSE R4\plaque 1/@03 EE2 51/H3_01- exclu.tif"/>
    <m/>
    <m/>
    <x v="1"/>
    <m/>
    <m/>
    <m/>
    <m/>
  </r>
  <r>
    <x v="3"/>
    <x v="7"/>
    <s v="\\192.168.24.208\images\R&amp;D\2-Test oestrogénique\OECD and AOPs\REACTIV oecd interlaboratory validation\WF data\Repeats for invalid experiments - EBO\2022-EBO-ARABINOSE R4\plaque 1/@03 EE2 51/H3_02- exclu.tif"/>
    <m/>
    <m/>
    <x v="1"/>
    <m/>
    <m/>
    <m/>
    <m/>
  </r>
  <r>
    <x v="3"/>
    <x v="7"/>
    <s v="\\192.168.24.208\images\R&amp;D\2-Test oestrogénique\OECD and AOPs\REACTIV oecd interlaboratory validation\WF data\Repeats for invalid experiments - EBO\2022-EBO-ARABINOSE R4\plaque 1/@03 EE2 51/H3_03- exclu.tif"/>
    <m/>
    <m/>
    <x v="1"/>
    <m/>
    <m/>
    <m/>
    <m/>
  </r>
  <r>
    <x v="1"/>
    <x v="8"/>
    <s v=" "/>
    <m/>
    <m/>
    <x v="1"/>
    <m/>
    <m/>
    <m/>
    <m/>
  </r>
  <r>
    <x v="1"/>
    <x v="8"/>
    <s v="group "/>
    <s v=" "/>
    <s v=" mean of mean fluo "/>
    <x v="2"/>
    <s v=" mean of total fluo "/>
    <s v=" SD total fluo "/>
    <s v=" n fluorescent "/>
    <s v=" n total"/>
  </r>
  <r>
    <x v="3"/>
    <x v="9"/>
    <s v="\\192.168.24.208\images\R&amp;D\2-Test oestrogénique\OECD and AOPs\REACTIV oecd interlaboratory validation\WF data\Repeats for invalid experiments - EBO\2022-EBO-ARABINOSE R4\plaque 1/@03 EE2 51/ "/>
    <s v=" "/>
    <s v=" 65.3027 "/>
    <x v="5"/>
    <s v=" 164191.042 "/>
    <s v=" 198494.90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192.168.24.208\images\R&amp;D\2-Test oestrogénique\OECD and AOPs\REACTIV oecd interlaboratory validation\WF data\Repeats for invalid experiments - EBO\2022-EBO-ARABINOSE R4\plaque 1/@04 EE2 76/A4_01- exclu.tif"/>
    <m/>
    <m/>
    <x v="1"/>
    <m/>
    <m/>
    <m/>
    <m/>
  </r>
  <r>
    <x v="4"/>
    <x v="0"/>
    <s v="\\192.168.24.208\images\R&amp;D\2-Test oestrogénique\OECD and AOPs\REACTIV oecd interlaboratory validation\WF data\Repeats for invalid experiments - EBO\2022-EBO-ARABINOSE R4\plaque 1/@04 EE2 76/A4_02- exclu.tif"/>
    <m/>
    <m/>
    <x v="1"/>
    <m/>
    <m/>
    <m/>
    <m/>
  </r>
  <r>
    <x v="4"/>
    <x v="0"/>
    <s v="\\192.168.24.208\images\R&amp;D\2-Test oestrogénique\OECD and AOPs\REACTIV oecd interlaboratory validation\WF data\Repeats for invalid experiments - EBO\2022-EBO-ARABINOSE R4\plaque 1/@04 EE2 76/A4_03- exclu.tif"/>
    <m/>
    <m/>
    <x v="1"/>
    <m/>
    <m/>
    <m/>
    <m/>
  </r>
  <r>
    <x v="4"/>
    <x v="1"/>
    <s v="\\192.168.24.208\images\R&amp;D\2-Test oestrogénique\OECD and AOPs\REACTIV oecd interlaboratory validation\WF data\Repeats for invalid experiments - EBO\2022-EBO-ARABINOSE R4\plaque 1/@04 EE2 76/B4_01- exclu.tif"/>
    <m/>
    <m/>
    <x v="1"/>
    <m/>
    <m/>
    <m/>
    <m/>
  </r>
  <r>
    <x v="4"/>
    <x v="1"/>
    <s v="\\192.168.24.208\images\R&amp;D\2-Test oestrogénique\OECD and AOPs\REACTIV oecd interlaboratory validation\WF data\Repeats for invalid experiments - EBO\2022-EBO-ARABINOSE R4\plaque 1/@04 EE2 76/B4_02.tif "/>
    <s v=" 1675.0391 "/>
    <s v=" 64.3506 "/>
    <x v="0"/>
    <n v="107790"/>
    <m/>
    <m/>
    <m/>
  </r>
  <r>
    <x v="4"/>
    <x v="1"/>
    <s v="\\192.168.24.208\images\R&amp;D\2-Test oestrogénique\OECD and AOPs\REACTIV oecd interlaboratory validation\WF data\Repeats for invalid experiments - EBO\2022-EBO-ARABINOSE R4\plaque 1/@04 EE2 76/B4_03.tif "/>
    <s v=" 1305.2253 "/>
    <s v=" 63.0167 "/>
    <x v="0"/>
    <n v="82251"/>
    <m/>
    <m/>
    <m/>
  </r>
  <r>
    <x v="4"/>
    <x v="2"/>
    <s v="\\192.168.24.208\images\R&amp;D\2-Test oestrogénique\OECD and AOPs\REACTIV oecd interlaboratory validation\WF data\Repeats for invalid experiments - EBO\2022-EBO-ARABINOSE R4\plaque 1/@04 EE2 76/C4_01.tif "/>
    <s v=" 1849.0692 "/>
    <s v=" 63.9059 "/>
    <x v="0"/>
    <n v="118166"/>
    <m/>
    <m/>
    <m/>
  </r>
  <r>
    <x v="4"/>
    <x v="2"/>
    <s v="\\192.168.24.208\images\R&amp;D\2-Test oestrogénique\OECD and AOPs\REACTIV oecd interlaboratory validation\WF data\Repeats for invalid experiments - EBO\2022-EBO-ARABINOSE R4\plaque 1/@04 EE2 76/C4_02.tif "/>
    <s v=" 1305.2253 "/>
    <s v=" 62.9333 "/>
    <x v="0"/>
    <n v="82142"/>
    <m/>
    <m/>
    <m/>
  </r>
  <r>
    <x v="4"/>
    <x v="2"/>
    <s v="\\192.168.24.208\images\R&amp;D\2-Test oestrogénique\OECD and AOPs\REACTIV oecd interlaboratory validation\WF data\Repeats for invalid experiments - EBO\2022-EBO-ARABINOSE R4\plaque 1/@04 EE2 76/C4_03.tif "/>
    <s v=" 2066.6067 "/>
    <s v=" 62.9158 "/>
    <x v="0"/>
    <n v="130022"/>
    <m/>
    <m/>
    <m/>
  </r>
  <r>
    <x v="4"/>
    <x v="3"/>
    <s v="\\192.168.24.208\images\R&amp;D\2-Test oestrogénique\OECD and AOPs\REACTIV oecd interlaboratory validation\WF data\Repeats for invalid experiments - EBO\2022-EBO-ARABINOSE R4\plaque 1/@04 EE2 76/D4_01.tif "/>
    <s v=" 2023.0992 "/>
    <s v=" 64.4731 "/>
    <x v="0"/>
    <n v="130436"/>
    <m/>
    <m/>
    <m/>
  </r>
  <r>
    <x v="4"/>
    <x v="3"/>
    <s v="\\192.168.24.208\images\R&amp;D\2-Test oestrogénique\OECD and AOPs\REACTIV oecd interlaboratory validation\WF data\Repeats for invalid experiments - EBO\2022-EBO-ARABINOSE R4\plaque 1/@04 EE2 76/D4_02.tif "/>
    <s v=" 1196.4565 "/>
    <s v=" 63.5818 "/>
    <x v="0"/>
    <n v="76073"/>
    <m/>
    <m/>
    <m/>
  </r>
  <r>
    <x v="4"/>
    <x v="3"/>
    <s v="\\192.168.24.208\images\R&amp;D\2-Test oestrogénique\OECD and AOPs\REACTIV oecd interlaboratory validation\WF data\Repeats for invalid experiments - EBO\2022-EBO-ARABINOSE R4\plaque 1/@04 EE2 76/D4_03.tif "/>
    <s v=" 2849.7419 "/>
    <s v=" 64.0458 "/>
    <x v="0"/>
    <n v="182514"/>
    <m/>
    <m/>
    <m/>
  </r>
  <r>
    <x v="4"/>
    <x v="4"/>
    <s v="\\192.168.24.208\images\R&amp;D\2-Test oestrogénique\OECD and AOPs\REACTIV oecd interlaboratory validation\WF data\Repeats for invalid experiments - EBO\2022-EBO-ARABINOSE R4\plaque 1/@04 EE2 76/E4_01.tif "/>
    <s v=" 282.7988 "/>
    <s v=" 62.2308 "/>
    <x v="0"/>
    <n v="17599"/>
    <m/>
    <m/>
    <m/>
  </r>
  <r>
    <x v="4"/>
    <x v="4"/>
    <s v="\\192.168.24.208\images\R&amp;D\2-Test oestrogénique\OECD and AOPs\REACTIV oecd interlaboratory validation\WF data\Repeats for invalid experiments - EBO\2022-EBO-ARABINOSE R4\plaque 1/@04 EE2 76/E4_02.tif "/>
    <s v=" 195.7838 "/>
    <s v=" 63.1111 "/>
    <x v="0"/>
    <n v="12356"/>
    <m/>
    <m/>
    <m/>
  </r>
  <r>
    <x v="4"/>
    <x v="4"/>
    <s v="\\192.168.24.208\images\R&amp;D\2-Test oestrogénique\OECD and AOPs\REACTIV oecd interlaboratory validation\WF data\Repeats for invalid experiments - EBO\2022-EBO-ARABINOSE R4\plaque 1/@04 EE2 76/E4_03.tif "/>
    <s v=" 152.2763 "/>
    <n v="65"/>
    <x v="0"/>
    <n v="9898"/>
    <m/>
    <m/>
    <m/>
  </r>
  <r>
    <x v="4"/>
    <x v="5"/>
    <s v="\\192.168.24.208\images\R&amp;D\2-Test oestrogénique\OECD and AOPs\REACTIV oecd interlaboratory validation\WF data\Repeats for invalid experiments - EBO\2022-EBO-ARABINOSE R4\plaque 1/@04 EE2 76/F4_01.tif "/>
    <s v=" 2719.2194 "/>
    <s v=" 63.224 "/>
    <x v="0"/>
    <n v="171920"/>
    <m/>
    <m/>
    <m/>
  </r>
  <r>
    <x v="4"/>
    <x v="5"/>
    <s v="\\192.168.24.208\images\R&amp;D\2-Test oestrogénique\OECD and AOPs\REACTIV oecd interlaboratory validation\WF data\Repeats for invalid experiments - EBO\2022-EBO-ARABINOSE R4\plaque 1/@04 EE2 76/F4_02.tif "/>
    <s v=" 1457.5016 "/>
    <s v=" 63.3284 "/>
    <x v="0"/>
    <n v="92301"/>
    <m/>
    <m/>
    <m/>
  </r>
  <r>
    <x v="4"/>
    <x v="5"/>
    <s v="\\192.168.24.208\images\R&amp;D\2-Test oestrogénique\OECD and AOPs\REACTIV oecd interlaboratory validation\WF data\Repeats for invalid experiments - EBO\2022-EBO-ARABINOSE R4\plaque 1/@04 EE2 76/F4_03.tif "/>
    <s v=" 2849.7419 "/>
    <s v=" 64.1985 "/>
    <x v="0"/>
    <n v="182949"/>
    <m/>
    <m/>
    <m/>
  </r>
  <r>
    <x v="4"/>
    <x v="6"/>
    <s v="\\192.168.24.208\images\R&amp;D\2-Test oestrogénique\OECD and AOPs\REACTIV oecd interlaboratory validation\WF data\Repeats for invalid experiments - EBO\2022-EBO-ARABINOSE R4\plaque 1/@04 EE2 76/G4_01.tif "/>
    <s v=" 5568.9613 "/>
    <s v=" 67.8281 "/>
    <x v="0"/>
    <n v="377732"/>
    <m/>
    <m/>
    <m/>
  </r>
  <r>
    <x v="4"/>
    <x v="6"/>
    <s v="\\192.168.24.208\images\R&amp;D\2-Test oestrogénique\OECD and AOPs\REACTIV oecd interlaboratory validation\WF data\Repeats for invalid experiments - EBO\2022-EBO-ARABINOSE R4\plaque 1/@04 EE2 76/G4_02.tif "/>
    <s v=" 1022.4265 "/>
    <s v=" 64.2553 "/>
    <x v="0"/>
    <n v="65696"/>
    <m/>
    <m/>
    <m/>
  </r>
  <r>
    <x v="4"/>
    <x v="6"/>
    <s v="\\192.168.24.208\images\R&amp;D\2-Test oestrogénique\OECD and AOPs\REACTIV oecd interlaboratory validation\WF data\Repeats for invalid experiments - EBO\2022-EBO-ARABINOSE R4\plaque 1/@04 EE2 76/G4_03.tif "/>
    <s v=" 413.3213 "/>
    <s v=" 63.0526 "/>
    <x v="0"/>
    <n v="26061"/>
    <m/>
    <m/>
    <m/>
  </r>
  <r>
    <x v="4"/>
    <x v="7"/>
    <s v="\\192.168.24.208\images\R&amp;D\2-Test oestrogénique\OECD and AOPs\REACTIV oecd interlaboratory validation\WF data\Repeats for invalid experiments - EBO\2022-EBO-ARABINOSE R4\plaque 1/@04 EE2 76/H4_01.tif "/>
    <s v=" 2175.3755 "/>
    <s v=" 68.04 "/>
    <x v="0"/>
    <n v="148013"/>
    <m/>
    <m/>
    <m/>
  </r>
  <r>
    <x v="4"/>
    <x v="7"/>
    <s v="\\192.168.24.208\images\R&amp;D\2-Test oestrogénique\OECD and AOPs\REACTIV oecd interlaboratory validation\WF data\Repeats for invalid experiments - EBO\2022-EBO-ARABINOSE R4\plaque 1/@04 EE2 76/H4_02.tif "/>
    <s v=" 2110.1142 "/>
    <n v="66"/>
    <x v="0"/>
    <n v="139268"/>
    <m/>
    <m/>
    <m/>
  </r>
  <r>
    <x v="4"/>
    <x v="7"/>
    <s v="\\192.168.24.208\images\R&amp;D\2-Test oestrogénique\OECD and AOPs\REACTIV oecd interlaboratory validation\WF data\Repeats for invalid experiments - EBO\2022-EBO-ARABINOSE R4\plaque 1/@04 EE2 76/H4_03.tif "/>
    <s v=" 1457.5016 "/>
    <s v=" 67.5672 "/>
    <x v="0"/>
    <n v="98479"/>
    <m/>
    <m/>
    <m/>
  </r>
  <r>
    <x v="1"/>
    <x v="8"/>
    <s v=" "/>
    <m/>
    <m/>
    <x v="1"/>
    <m/>
    <m/>
    <m/>
    <m/>
  </r>
  <r>
    <x v="1"/>
    <x v="8"/>
    <s v="group "/>
    <s v=" "/>
    <s v=" mean of mean fluo "/>
    <x v="2"/>
    <s v=" mean of total fluo "/>
    <s v=" SD total fluo "/>
    <s v=" n fluorescent "/>
    <s v=" n total"/>
  </r>
  <r>
    <x v="4"/>
    <x v="9"/>
    <s v="\\192.168.24.208\images\R&amp;D\2-Test oestrogénique\OECD and AOPs\REACTIV oecd interlaboratory validation\WF data\Repeats for invalid experiments - EBO\2022-EBO-ARABINOSE R4\plaque 1/@04 EE2 76/ "/>
    <s v=" "/>
    <s v=" 64.4957 "/>
    <x v="6"/>
    <s v=" 112120.667 "/>
    <s v=" 104795.1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192.168.24.208\images\R&amp;D\2-Test oestrogénique\OECD and AOPs\REACTIV oecd interlaboratory validation\WF data\Repeats for invalid experiments - EBO\2022-EBO-ARABINOSE R4\plaque 1/@05 EE2 114/A5_01.tif "/>
    <s v=" 13291.5443 "/>
    <s v=" 66.3813 "/>
    <x v="0"/>
    <n v="882311"/>
    <m/>
    <m/>
    <m/>
  </r>
  <r>
    <x v="5"/>
    <x v="0"/>
    <s v="\\192.168.24.208\images\R&amp;D\2-Test oestrogénique\OECD and AOPs\REACTIV oecd interlaboratory validation\WF data\Repeats for invalid experiments - EBO\2022-EBO-ARABINOSE R4\plaque 1/@05 EE2 114/A5_02.tif "/>
    <s v=" 12834.7155 "/>
    <s v=" 65.6288 "/>
    <x v="0"/>
    <n v="842327"/>
    <m/>
    <m/>
    <m/>
  </r>
  <r>
    <x v="5"/>
    <x v="0"/>
    <s v="\\192.168.24.208\images\R&amp;D\2-Test oestrogénique\OECD and AOPs\REACTIV oecd interlaboratory validation\WF data\Repeats for invalid experiments - EBO\2022-EBO-ARABINOSE R4\plaque 1/@05 EE2 114/A5_03.tif "/>
    <s v=" 15184.121 "/>
    <s v=" 66.0186 "/>
    <x v="0"/>
    <n v="1002435"/>
    <m/>
    <m/>
    <m/>
  </r>
  <r>
    <x v="5"/>
    <x v="1"/>
    <s v="\\192.168.24.208\images\R&amp;D\2-Test oestrogénique\OECD and AOPs\REACTIV oecd interlaboratory validation\WF data\Repeats for invalid experiments - EBO\2022-EBO-ARABINOSE R4\plaque 1/@05 EE2 114/B5_01.tif "/>
    <s v=" 4350.751 "/>
    <s v=" 63.93 "/>
    <x v="0"/>
    <n v="278144"/>
    <m/>
    <m/>
    <m/>
  </r>
  <r>
    <x v="5"/>
    <x v="1"/>
    <s v="\\192.168.24.208\images\R&amp;D\2-Test oestrogénique\OECD and AOPs\REACTIV oecd interlaboratory validation\WF data\Repeats for invalid experiments - EBO\2022-EBO-ARABINOSE R4\plaque 1/@05 EE2 114/B5_02.tif "/>
    <s v=" 5634.2225 "/>
    <s v=" 65.4015 "/>
    <x v="0"/>
    <n v="368487"/>
    <m/>
    <m/>
    <m/>
  </r>
  <r>
    <x v="5"/>
    <x v="1"/>
    <s v="\\192.168.24.208\images\R&amp;D\2-Test oestrogénique\OECD and AOPs\REACTIV oecd interlaboratory validation\WF data\Repeats for invalid experiments - EBO\2022-EBO-ARABINOSE R4\plaque 1/@05 EE2 114/B5_03.tif "/>
    <s v=" 3437.0933 "/>
    <s v=" 63.7911 "/>
    <x v="0"/>
    <n v="219256"/>
    <m/>
    <m/>
    <m/>
  </r>
  <r>
    <x v="5"/>
    <x v="2"/>
    <s v="\\192.168.24.208\images\R&amp;D\2-Test oestrogénique\OECD and AOPs\REACTIV oecd interlaboratory validation\WF data\Repeats for invalid experiments - EBO\2022-EBO-ARABINOSE R4\plaque 1/@05 EE2 114/C5_01.tif "/>
    <s v=" 12812.9617 "/>
    <s v=" 73.1817 "/>
    <x v="0"/>
    <n v="937674"/>
    <m/>
    <m/>
    <m/>
  </r>
  <r>
    <x v="5"/>
    <x v="2"/>
    <s v="\\192.168.24.208\images\R&amp;D\2-Test oestrogénique\OECD and AOPs\REACTIV oecd interlaboratory validation\WF data\Repeats for invalid experiments - EBO\2022-EBO-ARABINOSE R4\plaque 1/@05 EE2 114/C5_02.tif "/>
    <s v=" 13291.5443 "/>
    <s v=" 72.3191 "/>
    <x v="0"/>
    <n v="961233"/>
    <m/>
    <m/>
    <m/>
  </r>
  <r>
    <x v="5"/>
    <x v="2"/>
    <s v="\\192.168.24.208\images\R&amp;D\2-Test oestrogénique\OECD and AOPs\REACTIV oecd interlaboratory validation\WF data\Repeats for invalid experiments - EBO\2022-EBO-ARABINOSE R4\plaque 1/@05 EE2 114/C5_03.tif "/>
    <s v=" 13552.5894 "/>
    <s v=" 72.0305 "/>
    <x v="0"/>
    <n v="976200"/>
    <m/>
    <m/>
    <m/>
  </r>
  <r>
    <x v="5"/>
    <x v="3"/>
    <s v="\\192.168.24.208\images\R&amp;D\2-Test oestrogénique\OECD and AOPs\REACTIV oecd interlaboratory validation\WF data\Repeats for invalid experiments - EBO\2022-EBO-ARABINOSE R4\plaque 1/@05 EE2 114/D5_01.tif "/>
    <s v=" 50642.7416 "/>
    <s v=" 71.3965 "/>
    <x v="0"/>
    <n v="3615713"/>
    <m/>
    <m/>
    <m/>
  </r>
  <r>
    <x v="5"/>
    <x v="3"/>
    <s v="\\192.168.24.208\images\R&amp;D\2-Test oestrogénique\OECD and AOPs\REACTIV oecd interlaboratory validation\WF data\Repeats for invalid experiments - EBO\2022-EBO-ARABINOSE R4\plaque 1/@05 EE2 114/D5_02.tif "/>
    <s v=" 48663.1499 "/>
    <s v=" 69.0286 "/>
    <x v="0"/>
    <n v="3359150"/>
    <m/>
    <m/>
    <m/>
  </r>
  <r>
    <x v="5"/>
    <x v="3"/>
    <s v="\\192.168.24.208\images\R&amp;D\2-Test oestrogénique\OECD and AOPs\REACTIV oecd interlaboratory validation\WF data\Repeats for invalid experiments - EBO\2022-EBO-ARABINOSE R4\plaque 1/@05 EE2 114/D5_03.tif "/>
    <s v=" 59975.1025 "/>
    <s v=" 70.7018 "/>
    <x v="0"/>
    <n v="4240351"/>
    <m/>
    <m/>
    <m/>
  </r>
  <r>
    <x v="5"/>
    <x v="4"/>
    <s v="\\192.168.24.208\images\R&amp;D\2-Test oestrogénique\OECD and AOPs\REACTIV oecd interlaboratory validation\WF data\Repeats for invalid experiments - EBO\2022-EBO-ARABINOSE R4\plaque 1/@05 EE2 114/E5_01.tif "/>
    <s v=" 5917.0214 "/>
    <s v=" 64.6765 "/>
    <x v="0"/>
    <n v="382692"/>
    <m/>
    <m/>
    <m/>
  </r>
  <r>
    <x v="5"/>
    <x v="4"/>
    <s v="\\192.168.24.208\images\R&amp;D\2-Test oestrogénique\OECD and AOPs\REACTIV oecd interlaboratory validation\WF data\Repeats for invalid experiments - EBO\2022-EBO-ARABINOSE R4\plaque 1/@05 EE2 114/E5_02.tif "/>
    <s v=" 4394.2585 "/>
    <s v=" 64.1832 "/>
    <x v="0"/>
    <n v="282037"/>
    <m/>
    <m/>
    <m/>
  </r>
  <r>
    <x v="5"/>
    <x v="4"/>
    <s v="\\192.168.24.208\images\R&amp;D\2-Test oestrogénique\OECD and AOPs\REACTIV oecd interlaboratory validation\WF data\Repeats for invalid experiments - EBO\2022-EBO-ARABINOSE R4\plaque 1/@05 EE2 114/E5_03.tif "/>
    <s v=" 7309.2617 "/>
    <s v=" 64.2917 "/>
    <x v="0"/>
    <n v="469925"/>
    <m/>
    <m/>
    <m/>
  </r>
  <r>
    <x v="5"/>
    <x v="5"/>
    <s v="\\192.168.24.208\images\R&amp;D\2-Test oestrogénique\OECD and AOPs\REACTIV oecd interlaboratory validation\WF data\Repeats for invalid experiments - EBO\2022-EBO-ARABINOSE R4\plaque 1/@05 EE2 114/F5_01.tif "/>
    <s v=" 15336.3973 "/>
    <s v=" 65.5546 "/>
    <x v="0"/>
    <n v="1005372"/>
    <m/>
    <m/>
    <m/>
  </r>
  <r>
    <x v="5"/>
    <x v="5"/>
    <s v="\\192.168.24.208\images\R&amp;D\2-Test oestrogénique\OECD and AOPs\REACTIV oecd interlaboratory validation\WF data\Repeats for invalid experiments - EBO\2022-EBO-ARABINOSE R4\plaque 1/@05 EE2 114/F5_02.tif "/>
    <s v=" 12008.0728 "/>
    <s v=" 66.6793 "/>
    <x v="0"/>
    <n v="800690"/>
    <m/>
    <m/>
    <m/>
  </r>
  <r>
    <x v="5"/>
    <x v="5"/>
    <s v="\\192.168.24.208\images\R&amp;D\2-Test oestrogénique\OECD and AOPs\REACTIV oecd interlaboratory validation\WF data\Repeats for invalid experiments - EBO\2022-EBO-ARABINOSE R4\plaque 1/@05 EE2 114/F5_03.tif "/>
    <s v=" 11072.6613 "/>
    <s v=" 65.6326 "/>
    <x v="0"/>
    <n v="726728"/>
    <m/>
    <m/>
    <m/>
  </r>
  <r>
    <x v="5"/>
    <x v="6"/>
    <s v="\\192.168.24.208\images\R&amp;D\2-Test oestrogénique\OECD and AOPs\REACTIV oecd interlaboratory validation\WF data\Repeats for invalid experiments - EBO\2022-EBO-ARABINOSE R4\plaque 1/@05 EE2 114/G5_01.tif "/>
    <s v=" 2849.7419 "/>
    <s v=" 63.0611 "/>
    <x v="0"/>
    <n v="179708"/>
    <m/>
    <m/>
    <m/>
  </r>
  <r>
    <x v="5"/>
    <x v="6"/>
    <s v="\\192.168.24.208\images\R&amp;D\2-Test oestrogénique\OECD and AOPs\REACTIV oecd interlaboratory validation\WF data\Repeats for invalid experiments - EBO\2022-EBO-ARABINOSE R4\plaque 1/@05 EE2 114/G5_02.tif "/>
    <s v=" 3632.8771 "/>
    <s v=" 64.7006 "/>
    <x v="0"/>
    <n v="235049"/>
    <m/>
    <m/>
    <m/>
  </r>
  <r>
    <x v="5"/>
    <x v="6"/>
    <s v="\\192.168.24.208\images\R&amp;D\2-Test oestrogénique\OECD and AOPs\REACTIV oecd interlaboratory validation\WF data\Repeats for invalid experiments - EBO\2022-EBO-ARABINOSE R4\plaque 1/@05 EE2 114/G5_03.tif "/>
    <s v=" 4459.5198 "/>
    <s v=" 64.5073 "/>
    <x v="0"/>
    <n v="287672"/>
    <m/>
    <m/>
    <m/>
  </r>
  <r>
    <x v="5"/>
    <x v="7"/>
    <s v="\\192.168.24.208\images\R&amp;D\2-Test oestrogénique\OECD and AOPs\REACTIV oecd interlaboratory validation\WF data\Repeats for invalid experiments - EBO\2022-EBO-ARABINOSE R4\plaque 1/@05 EE2 114/H5_01.tif "/>
    <s v=" 25430.1396 "/>
    <s v=" 68.4919 "/>
    <x v="0"/>
    <n v="1741758"/>
    <m/>
    <m/>
    <m/>
  </r>
  <r>
    <x v="5"/>
    <x v="7"/>
    <s v="\\192.168.24.208\images\R&amp;D\2-Test oestrogénique\OECD and AOPs\REACTIV oecd interlaboratory validation\WF data\Repeats for invalid experiments - EBO\2022-EBO-ARABINOSE R4\plaque 1/@05 EE2 114/H5_02.tif "/>
    <s v=" 27714.2839 "/>
    <s v=" 70.7998 "/>
    <x v="0"/>
    <n v="1962167"/>
    <m/>
    <m/>
    <m/>
  </r>
  <r>
    <x v="5"/>
    <x v="7"/>
    <s v="\\192.168.24.208\images\R&amp;D\2-Test oestrogénique\OECD and AOPs\REACTIV oecd interlaboratory validation\WF data\Repeats for invalid experiments - EBO\2022-EBO-ARABINOSE R4\plaque 1/@05 EE2 114/H5_03.tif "/>
    <s v=" 25038.572 "/>
    <s v=" 69.2268 "/>
    <x v="0"/>
    <n v="1733339"/>
    <m/>
    <m/>
    <m/>
  </r>
  <r>
    <x v="1"/>
    <x v="8"/>
    <s v=" "/>
    <m/>
    <m/>
    <x v="1"/>
    <m/>
    <m/>
    <m/>
    <m/>
  </r>
  <r>
    <x v="1"/>
    <x v="8"/>
    <s v="group "/>
    <s v=" "/>
    <s v=" mean of mean fluo "/>
    <x v="2"/>
    <s v=" mean of total fluo "/>
    <s v=" SD total fluo "/>
    <s v=" n fluorescent "/>
    <s v=" n total"/>
  </r>
  <r>
    <x v="5"/>
    <x v="9"/>
    <s v="\\192.168.24.208\images\R&amp;D\2-Test oestrogénique\OECD and AOPs\REACTIV oecd interlaboratory validation\WF data\Repeats for invalid experiments - EBO\2022-EBO-ARABINOSE R4\plaque 1/@05 EE2 114/ "/>
    <s v=" "/>
    <s v=" 67.1506 "/>
    <x v="7"/>
    <s v=" 1145434.08 "/>
    <s v=" 1123756.4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192.168.24.208\images\R&amp;D\2-Test oestrogénique\OECD and AOPs\REACTIV oecd interlaboratory validation\WF data\Repeats for invalid experiments - EBO\2022-EBO-ARABINOSE R4\plaque 1/@06 EE2 171/A6_01.tif "/>
    <s v=" 29215.293 "/>
    <s v=" 66.4713 "/>
    <x v="0"/>
    <n v="1941979"/>
    <m/>
    <m/>
    <m/>
  </r>
  <r>
    <x v="6"/>
    <x v="0"/>
    <s v="\\192.168.24.208\images\R&amp;D\2-Test oestrogénique\OECD and AOPs\REACTIV oecd interlaboratory validation\WF data\Repeats for invalid experiments - EBO\2022-EBO-ARABINOSE R4\plaque 1/@06 EE2 171/A6_02.tif "/>
    <s v=" 24124.9143 "/>
    <s v=" 65.8133 "/>
    <x v="0"/>
    <n v="1587741"/>
    <m/>
    <m/>
    <m/>
  </r>
  <r>
    <x v="6"/>
    <x v="0"/>
    <s v="\\192.168.24.208\images\R&amp;D\2-Test oestrogénique\OECD and AOPs\REACTIV oecd interlaboratory validation\WF data\Repeats for invalid experiments - EBO\2022-EBO-ARABINOSE R4\plaque 1/@06 EE2 171/A6_03.tif "/>
    <s v=" 22341.1064 "/>
    <s v=" 65.6125 "/>
    <x v="0"/>
    <n v="1465855"/>
    <m/>
    <m/>
    <m/>
  </r>
  <r>
    <x v="6"/>
    <x v="1"/>
    <s v="\\192.168.24.208\images\R&amp;D\2-Test oestrogénique\OECD and AOPs\REACTIV oecd interlaboratory validation\WF data\Repeats for invalid experiments - EBO\2022-EBO-ARABINOSE R4\plaque 1/@06 EE2 171/B6_01.tif "/>
    <s v=" 39352.5428 "/>
    <s v=" 69.3671 "/>
    <x v="0"/>
    <n v="2729770"/>
    <m/>
    <m/>
    <m/>
  </r>
  <r>
    <x v="6"/>
    <x v="1"/>
    <s v="\\192.168.24.208\images\R&amp;D\2-Test oestrogénique\OECD and AOPs\REACTIV oecd interlaboratory validation\WF data\Repeats for invalid experiments - EBO\2022-EBO-ARABINOSE R4\plaque 1/@06 EE2 171/B6_02.tif "/>
    <s v=" 25647.6771 "/>
    <s v=" 66.2986 "/>
    <x v="0"/>
    <n v="1700404"/>
    <m/>
    <m/>
    <m/>
  </r>
  <r>
    <x v="6"/>
    <x v="1"/>
    <s v="\\192.168.24.208\images\R&amp;D\2-Test oestrogénique\OECD and AOPs\REACTIV oecd interlaboratory validation\WF data\Repeats for invalid experiments - EBO\2022-EBO-ARABINOSE R4\plaque 1/@06 EE2 171/B6_03.tif "/>
    <s v=" 30759.8096 "/>
    <s v=" 66.9385 "/>
    <x v="0"/>
    <n v="2059015"/>
    <m/>
    <m/>
    <m/>
  </r>
  <r>
    <x v="6"/>
    <x v="2"/>
    <s v="\\192.168.24.208\images\R&amp;D\2-Test oestrogénique\OECD and AOPs\REACTIV oecd interlaboratory validation\WF data\Repeats for invalid experiments - EBO\2022-EBO-ARABINOSE R4\plaque 1/@06 EE2 171/C6_01.tif "/>
    <s v=" 44529.9365 "/>
    <s v=" 69.9853 "/>
    <x v="0"/>
    <n v="3116443"/>
    <m/>
    <m/>
    <m/>
  </r>
  <r>
    <x v="6"/>
    <x v="2"/>
    <s v="\\192.168.24.208\images\R&amp;D\2-Test oestrogénique\OECD and AOPs\REACTIV oecd interlaboratory validation\WF data\Repeats for invalid experiments - EBO\2022-EBO-ARABINOSE R4\plaque 1/@06 EE2 171/C6_02.tif "/>
    <s v=" 37786.2724 "/>
    <s v=" 69.1808 "/>
    <x v="0"/>
    <n v="2614083"/>
    <m/>
    <m/>
    <m/>
  </r>
  <r>
    <x v="6"/>
    <x v="2"/>
    <s v="\\192.168.24.208\images\R&amp;D\2-Test oestrogénique\OECD and AOPs\REACTIV oecd interlaboratory validation\WF data\Repeats for invalid experiments - EBO\2022-EBO-ARABINOSE R4\plaque 1/@06 EE2 171/C6_03.tif "/>
    <s v=" 33892.3503 "/>
    <s v=" 67.681 "/>
    <x v="0"/>
    <n v="2293868"/>
    <m/>
    <m/>
    <m/>
  </r>
  <r>
    <x v="6"/>
    <x v="3"/>
    <s v="\\192.168.24.208\images\R&amp;D\2-Test oestrogénique\OECD and AOPs\REACTIV oecd interlaboratory validation\WF data\Repeats for invalid experiments - EBO\2022-EBO-ARABINOSE R4\plaque 1/@06 EE2 171/D6_01- exclu.tif"/>
    <m/>
    <m/>
    <x v="1"/>
    <m/>
    <m/>
    <m/>
    <m/>
  </r>
  <r>
    <x v="6"/>
    <x v="3"/>
    <s v="\\192.168.24.208\images\R&amp;D\2-Test oestrogénique\OECD and AOPs\REACTIV oecd interlaboratory validation\WF data\Repeats for invalid experiments - EBO\2022-EBO-ARABINOSE R4\plaque 1/@06 EE2 171/D6_02.tif "/>
    <s v=" 39091.4977 "/>
    <s v=" 70.005 "/>
    <x v="0"/>
    <n v="2736601"/>
    <m/>
    <m/>
    <m/>
  </r>
  <r>
    <x v="6"/>
    <x v="3"/>
    <s v="\\192.168.24.208\images\R&amp;D\2-Test oestrogénique\OECD and AOPs\REACTIV oecd interlaboratory validation\WF data\Repeats for invalid experiments - EBO\2022-EBO-ARABINOSE R4\plaque 1/@06 EE2 171/D6_03.tif "/>
    <s v=" 31390.6685 "/>
    <s v=" 67.6265 "/>
    <x v="0"/>
    <n v="2122840"/>
    <m/>
    <m/>
    <m/>
  </r>
  <r>
    <x v="6"/>
    <x v="4"/>
    <s v="\\192.168.24.208\images\R&amp;D\2-Test oestrogénique\OECD and AOPs\REACTIV oecd interlaboratory validation\WF data\Repeats for invalid experiments - EBO\2022-EBO-ARABINOSE R4\plaque 1/@06 EE2 171/E6_01.tif "/>
    <s v=" 19600.1333 "/>
    <s v=" 68.1221 "/>
    <x v="0"/>
    <n v="1335202"/>
    <m/>
    <m/>
    <m/>
  </r>
  <r>
    <x v="6"/>
    <x v="4"/>
    <s v="\\192.168.24.208\images\R&amp;D\2-Test oestrogénique\OECD and AOPs\REACTIV oecd interlaboratory validation\WF data\Repeats for invalid experiments - EBO\2022-EBO-ARABINOSE R4\plaque 1/@06 EE2 171/E6_02.tif "/>
    <s v=" 23733.3467 "/>
    <s v=" 69.978 "/>
    <x v="0"/>
    <n v="1660812"/>
    <m/>
    <m/>
    <m/>
  </r>
  <r>
    <x v="6"/>
    <x v="4"/>
    <s v="\\192.168.24.208\images\R&amp;D\2-Test oestrogénique\OECD and AOPs\REACTIV oecd interlaboratory validation\WF data\Repeats for invalid experiments - EBO\2022-EBO-ARABINOSE R4\plaque 1/@06 EE2 171/E6_03.tif "/>
    <s v=" 20796.5898 "/>
    <s v=" 68.9132 "/>
    <x v="0"/>
    <n v="1433159"/>
    <m/>
    <m/>
    <m/>
  </r>
  <r>
    <x v="6"/>
    <x v="5"/>
    <s v="\\192.168.24.208\images\R&amp;D\2-Test oestrogénique\OECD and AOPs\REACTIV oecd interlaboratory validation\WF data\Repeats for invalid experiments - EBO\2022-EBO-ARABINOSE R4\plaque 1/@06 EE2 171/F6_01.tif "/>
    <s v=" 53405.4685 "/>
    <s v=" 72.8815 "/>
    <x v="0"/>
    <n v="3892269"/>
    <m/>
    <m/>
    <m/>
  </r>
  <r>
    <x v="6"/>
    <x v="5"/>
    <s v="\\192.168.24.208\images\R&amp;D\2-Test oestrogénique\OECD and AOPs\REACTIV oecd interlaboratory validation\WF data\Repeats for invalid experiments - EBO\2022-EBO-ARABINOSE R4\plaque 1/@06 EE2 171/F6_02.tif "/>
    <s v=" 59670.55 "/>
    <s v=" 71.8673 "/>
    <x v="0"/>
    <n v="4288361"/>
    <m/>
    <m/>
    <m/>
  </r>
  <r>
    <x v="6"/>
    <x v="5"/>
    <s v="\\192.168.24.208\images\R&amp;D\2-Test oestrogénique\OECD and AOPs\REACTIV oecd interlaboratory validation\WF data\Repeats for invalid experiments - EBO\2022-EBO-ARABINOSE R4\plaque 1/@06 EE2 171/F6_03.tif "/>
    <s v=" 57756.2195 "/>
    <s v=" 72.8256 "/>
    <x v="0"/>
    <n v="4206132"/>
    <m/>
    <m/>
    <m/>
  </r>
  <r>
    <x v="6"/>
    <x v="6"/>
    <s v="\\192.168.24.208\images\R&amp;D\2-Test oestrogénique\OECD and AOPs\REACTIV oecd interlaboratory validation\WF data\Repeats for invalid experiments - EBO\2022-EBO-ARABINOSE R4\plaque 1/@06 EE2 171/G6_01.tif "/>
    <s v=" 33609.5515 "/>
    <s v=" 71.932 "/>
    <x v="0"/>
    <n v="2417604"/>
    <m/>
    <m/>
    <m/>
  </r>
  <r>
    <x v="6"/>
    <x v="6"/>
    <s v="\\192.168.24.208\images\R&amp;D\2-Test oestrogénique\OECD and AOPs\REACTIV oecd interlaboratory validation\WF data\Repeats for invalid experiments - EBO\2022-EBO-ARABINOSE R4\plaque 1/@06 EE2 171/G6_02.tif "/>
    <s v=" 33914.1041 "/>
    <s v=" 69.2033 "/>
    <x v="0"/>
    <n v="2346969"/>
    <m/>
    <m/>
    <m/>
  </r>
  <r>
    <x v="6"/>
    <x v="6"/>
    <s v="\\192.168.24.208\images\R&amp;D\2-Test oestrogénique\OECD and AOPs\REACTIV oecd interlaboratory validation\WF data\Repeats for invalid experiments - EBO\2022-EBO-ARABINOSE R4\plaque 1/@06 EE2 171/G6_03.tif "/>
    <s v=" 35175.8218 "/>
    <s v=" 69.9932 "/>
    <x v="0"/>
    <n v="2462068"/>
    <m/>
    <m/>
    <m/>
  </r>
  <r>
    <x v="6"/>
    <x v="7"/>
    <s v="\\192.168.24.208\images\R&amp;D\2-Test oestrogénique\OECD and AOPs\REACTIV oecd interlaboratory validation\WF data\Repeats for invalid experiments - EBO\2022-EBO-ARABINOSE R4\plaque 1/@06 EE2 171/H6_01.tif "/>
    <s v=" 23733.3467 "/>
    <s v=" 68.7039 "/>
    <x v="0"/>
    <n v="1630574"/>
    <m/>
    <m/>
    <m/>
  </r>
  <r>
    <x v="6"/>
    <x v="7"/>
    <s v="\\192.168.24.208\images\R&amp;D\2-Test oestrogénique\OECD and AOPs\REACTIV oecd interlaboratory validation\WF data\Repeats for invalid experiments - EBO\2022-EBO-ARABINOSE R4\plaque 1/@06 EE2 171/H6_02.tif "/>
    <s v=" 24146.6681 "/>
    <s v=" 68.8459 "/>
    <x v="0"/>
    <n v="1662400"/>
    <m/>
    <m/>
    <m/>
  </r>
  <r>
    <x v="6"/>
    <x v="7"/>
    <s v="\\192.168.24.208\images\R&amp;D\2-Test oestrogénique\OECD and AOPs\REACTIV oecd interlaboratory validation\WF data\Repeats for invalid experiments - EBO\2022-EBO-ARABINOSE R4\plaque 1/@06 EE2 171/H6_03.tif "/>
    <s v=" 24385.9594 "/>
    <s v=" 68.0482 "/>
    <x v="0"/>
    <n v="1659420"/>
    <m/>
    <m/>
    <m/>
  </r>
  <r>
    <x v="1"/>
    <x v="8"/>
    <s v=" "/>
    <m/>
    <m/>
    <x v="1"/>
    <m/>
    <m/>
    <m/>
    <m/>
  </r>
  <r>
    <x v="1"/>
    <x v="8"/>
    <s v="group "/>
    <s v=" "/>
    <s v=" mean of mean fluo "/>
    <x v="2"/>
    <s v=" mean of total fluo "/>
    <s v=" SD total fluo "/>
    <s v=" n fluorescent "/>
    <s v=" n total"/>
  </r>
  <r>
    <x v="6"/>
    <x v="9"/>
    <s v="\\192.168.24.208\images\R&amp;D\2-Test oestrogénique\OECD and AOPs\REACTIV oecd interlaboratory validation\WF data\Repeats for invalid experiments - EBO\2022-EBO-ARABINOSE R4\plaque 1/@06 EE2 171/ "/>
    <s v=" "/>
    <s v=" 68.9526 "/>
    <x v="8"/>
    <n v="2325286"/>
    <s v=" 845612.7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192.168.24.208\images\R&amp;D\2-Test oestrogénique\OECD and AOPs\REACTIV oecd interlaboratory validation\WF data\Repeats for invalid experiments - EBO\2022-EBO-ARABINOSE R4\plaque 1/@07 EE2 488/A7_01- exclu.tif"/>
    <m/>
    <m/>
    <x v="1"/>
    <m/>
    <m/>
    <m/>
    <m/>
  </r>
  <r>
    <x v="7"/>
    <x v="0"/>
    <s v="\\192.168.24.208\images\R&amp;D\2-Test oestrogénique\OECD and AOPs\REACTIV oecd interlaboratory validation\WF data\Repeats for invalid experiments - EBO\2022-EBO-ARABINOSE R4\plaque 1/@07 EE2 488/A7_02- exclu.tif"/>
    <m/>
    <m/>
    <x v="1"/>
    <m/>
    <m/>
    <m/>
    <m/>
  </r>
  <r>
    <x v="7"/>
    <x v="0"/>
    <s v="\\192.168.24.208\images\R&amp;D\2-Test oestrogénique\OECD and AOPs\REACTIV oecd interlaboratory validation\WF data\Repeats for invalid experiments - EBO\2022-EBO-ARABINOSE R4\plaque 1/@07 EE2 488/A7_03- exclu.tif"/>
    <m/>
    <m/>
    <x v="1"/>
    <m/>
    <m/>
    <m/>
    <m/>
  </r>
  <r>
    <x v="7"/>
    <x v="1"/>
    <s v="\\192.168.24.208\images\R&amp;D\2-Test oestrogénique\OECD and AOPs\REACTIV oecd interlaboratory validation\WF data\Repeats for invalid experiments - EBO\2022-EBO-ARABINOSE R4\plaque 1/@07 EE2 488/B7_01.tif "/>
    <s v=" 77943.7042 "/>
    <s v=" 100.8286 "/>
    <x v="0"/>
    <n v="7858957"/>
    <m/>
    <m/>
    <m/>
  </r>
  <r>
    <x v="7"/>
    <x v="1"/>
    <s v="\\192.168.24.208\images\R&amp;D\2-Test oestrogénique\OECD and AOPs\REACTIV oecd interlaboratory validation\WF data\Repeats for invalid experiments - EBO\2022-EBO-ARABINOSE R4\plaque 1/@07 EE2 488/B7_02.tif "/>
    <s v=" 78008.9654 "/>
    <s v=" 99.633 "/>
    <x v="0"/>
    <n v="7772269"/>
    <m/>
    <m/>
    <m/>
  </r>
  <r>
    <x v="7"/>
    <x v="1"/>
    <s v="\\192.168.24.208\images\R&amp;D\2-Test oestrogénique\OECD and AOPs\REACTIV oecd interlaboratory validation\WF data\Repeats for invalid experiments - EBO\2022-EBO-ARABINOSE R4\plaque 1/@07 EE2 488/B7_03.tif "/>
    <s v=" 85862.071 "/>
    <s v=" 93.6473 "/>
    <x v="0"/>
    <n v="8040753"/>
    <m/>
    <m/>
    <m/>
  </r>
  <r>
    <x v="7"/>
    <x v="2"/>
    <s v="\\192.168.24.208\images\R&amp;D\2-Test oestrogénique\OECD and AOPs\REACTIV oecd interlaboratory validation\WF data\Repeats for invalid experiments - EBO\2022-EBO-ARABINOSE R4\plaque 1/@07 EE2 488/C7_01.tif "/>
    <s v=" 76986.539 "/>
    <s v=" 83.6197 "/>
    <x v="0"/>
    <n v="6437589"/>
    <m/>
    <m/>
    <m/>
  </r>
  <r>
    <x v="7"/>
    <x v="2"/>
    <s v="\\192.168.24.208\images\R&amp;D\2-Test oestrogénique\OECD and AOPs\REACTIV oecd interlaboratory validation\WF data\Repeats for invalid experiments - EBO\2022-EBO-ARABINOSE R4\plaque 1/@07 EE2 488/C7_02.tif "/>
    <s v=" 78226.503 "/>
    <s v=" 78.8568 "/>
    <x v="0"/>
    <n v="6168691"/>
    <m/>
    <m/>
    <m/>
  </r>
  <r>
    <x v="7"/>
    <x v="2"/>
    <s v="\\192.168.24.208\images\R&amp;D\2-Test oestrogénique\OECD and AOPs\REACTIV oecd interlaboratory validation\WF data\Repeats for invalid experiments - EBO\2022-EBO-ARABINOSE R4\plaque 1/@07 EE2 488/C7_03.tif "/>
    <s v=" 81380.7975 "/>
    <s v=" 79.1451 "/>
    <x v="0"/>
    <n v="6440895"/>
    <m/>
    <m/>
    <m/>
  </r>
  <r>
    <x v="7"/>
    <x v="3"/>
    <s v="\\192.168.24.208\images\R&amp;D\2-Test oestrogénique\OECD and AOPs\REACTIV oecd interlaboratory validation\WF data\Repeats for invalid experiments - EBO\2022-EBO-ARABINOSE R4\plaque 1/@07 EE2 488/D7_01.tif "/>
    <s v=" 66871.0429 "/>
    <s v=" 90.636 "/>
    <x v="0"/>
    <n v="6060922"/>
    <m/>
    <m/>
    <m/>
  </r>
  <r>
    <x v="7"/>
    <x v="3"/>
    <s v="\\192.168.24.208\images\R&amp;D\2-Test oestrogénique\OECD and AOPs\REACTIV oecd interlaboratory validation\WF data\Repeats for invalid experiments - EBO\2022-EBO-ARABINOSE R4\plaque 1/@07 EE2 488/D7_02.tif "/>
    <s v=" 61976.448 "/>
    <s v=" 94.2966 "/>
    <x v="0"/>
    <n v="5844168"/>
    <m/>
    <m/>
    <m/>
  </r>
  <r>
    <x v="7"/>
    <x v="3"/>
    <s v="\\192.168.24.208\images\R&amp;D\2-Test oestrogénique\OECD and AOPs\REACTIV oecd interlaboratory validation\WF data\Repeats for invalid experiments - EBO\2022-EBO-ARABINOSE R4\plaque 1/@07 EE2 488/D7_03.tif "/>
    <s v=" 59627.0425 "/>
    <s v=" 92.7461 "/>
    <x v="0"/>
    <n v="5530174"/>
    <m/>
    <m/>
    <m/>
  </r>
  <r>
    <x v="7"/>
    <x v="4"/>
    <s v="\\192.168.24.208\images\R&amp;D\2-Test oestrogénique\OECD and AOPs\REACTIV oecd interlaboratory validation\WF data\Repeats for invalid experiments - EBO\2022-EBO-ARABINOSE R4\plaque 1/@07 EE2 488/E7_01.tif "/>
    <s v=" 51578.1531 "/>
    <s v=" 87.1906 "/>
    <x v="0"/>
    <n v="4497132"/>
    <m/>
    <m/>
    <m/>
  </r>
  <r>
    <x v="7"/>
    <x v="4"/>
    <s v="\\192.168.24.208\images\R&amp;D\2-Test oestrogénique\OECD and AOPs\REACTIV oecd interlaboratory validation\WF data\Repeats for invalid experiments - EBO\2022-EBO-ARABINOSE R4\plaque 1/@07 EE2 488/E7_02.tif "/>
    <s v=" 53405.4685 "/>
    <s v=" 85.6012 "/>
    <x v="0"/>
    <n v="4571573"/>
    <m/>
    <m/>
    <m/>
  </r>
  <r>
    <x v="7"/>
    <x v="4"/>
    <s v="\\192.168.24.208\images\R&amp;D\2-Test oestrogénique\OECD and AOPs\REACTIV oecd interlaboratory validation\WF data\Repeats for invalid experiments - EBO\2022-EBO-ARABINOSE R4\plaque 1/@07 EE2 488/E7_03.tif "/>
    <s v=" 61302.0816 "/>
    <s v=" 85.5259 "/>
    <x v="0"/>
    <n v="5242916"/>
    <m/>
    <m/>
    <m/>
  </r>
  <r>
    <x v="7"/>
    <x v="5"/>
    <s v="\\192.168.24.208\images\R&amp;D\2-Test oestrogénique\OECD and AOPs\REACTIV oecd interlaboratory validation\WF data\Repeats for invalid experiments - EBO\2022-EBO-ARABINOSE R4\plaque 1/@07 EE2 488/F7_01.tif "/>
    <s v=" 64760.9286 "/>
    <s v=" 100.9278 "/>
    <x v="0"/>
    <n v="6536177"/>
    <m/>
    <m/>
    <m/>
  </r>
  <r>
    <x v="7"/>
    <x v="5"/>
    <s v="\\192.168.24.208\images\R&amp;D\2-Test oestrogénique\OECD and AOPs\REACTIV oecd interlaboratory validation\WF data\Repeats for invalid experiments - EBO\2022-EBO-ARABINOSE R4\plaque 1/@07 EE2 488/F7_02.tif "/>
    <s v=" 65261.265 "/>
    <s v=" 96.1117 "/>
    <x v="0"/>
    <n v="6272369"/>
    <m/>
    <m/>
    <m/>
  </r>
  <r>
    <x v="7"/>
    <x v="5"/>
    <s v="\\192.168.24.208\images\R&amp;D\2-Test oestrogénique\OECD and AOPs\REACTIV oecd interlaboratory validation\WF data\Repeats for invalid experiments - EBO\2022-EBO-ARABINOSE R4\plaque 1/@07 EE2 488/F7_03.tif "/>
    <s v=" 65413.5413 "/>
    <s v=" 98.3824 "/>
    <x v="0"/>
    <n v="6435544"/>
    <m/>
    <m/>
    <m/>
  </r>
  <r>
    <x v="7"/>
    <x v="6"/>
    <s v="\\192.168.24.208\images\R&amp;D\2-Test oestrogénique\OECD and AOPs\REACTIV oecd interlaboratory validation\WF data\Repeats for invalid experiments - EBO\2022-EBO-ARABINOSE R4\plaque 1/@07 EE2 488/G7_01.tif "/>
    <s v=" 35023.5456 "/>
    <s v=" 86.0752 "/>
    <x v="0"/>
    <n v="3014657"/>
    <m/>
    <m/>
    <m/>
  </r>
  <r>
    <x v="7"/>
    <x v="6"/>
    <s v="\\192.168.24.208\images\R&amp;D\2-Test oestrogénique\OECD and AOPs\REACTIV oecd interlaboratory validation\WF data\Repeats for invalid experiments - EBO\2022-EBO-ARABINOSE R4\plaque 1/@07 EE2 488/G7_02.tif "/>
    <s v=" 39287.2815 "/>
    <s v=" 86.6606 "/>
    <x v="0"/>
    <n v="3404658"/>
    <m/>
    <m/>
    <m/>
  </r>
  <r>
    <x v="7"/>
    <x v="6"/>
    <s v="\\192.168.24.208\images\R&amp;D\2-Test oestrogénique\OECD and AOPs\REACTIV oecd interlaboratory validation\WF data\Repeats for invalid experiments - EBO\2022-EBO-ARABINOSE R4\plaque 1/@07 EE2 488/G7_03.tif "/>
    <s v=" 36937.876 "/>
    <s v=" 85.7638 "/>
    <x v="0"/>
    <n v="3167934"/>
    <m/>
    <m/>
    <m/>
  </r>
  <r>
    <x v="7"/>
    <x v="7"/>
    <s v="\\192.168.24.208\images\R&amp;D\2-Test oestrogénique\OECD and AOPs\REACTIV oecd interlaboratory validation\WF data\Repeats for invalid experiments - EBO\2022-EBO-ARABINOSE R4\plaque 1/@07 EE2 488/H7_01.tif "/>
    <s v=" 58996.1836 "/>
    <s v=" 96.2666 "/>
    <x v="0"/>
    <n v="5679362"/>
    <m/>
    <m/>
    <m/>
  </r>
  <r>
    <x v="7"/>
    <x v="7"/>
    <s v="\\192.168.24.208\images\R&amp;D\2-Test oestrogénique\OECD and AOPs\REACTIV oecd interlaboratory validation\WF data\Repeats for invalid experiments - EBO\2022-EBO-ARABINOSE R4\plaque 1/@07 EE2 488/H7_02.tif "/>
    <s v=" 61563.1267 "/>
    <s v=" 96.2728 "/>
    <x v="0"/>
    <n v="5926854"/>
    <m/>
    <m/>
    <m/>
  </r>
  <r>
    <x v="7"/>
    <x v="7"/>
    <s v="\\192.168.24.208\images\R&amp;D\2-Test oestrogénique\OECD and AOPs\REACTIV oecd interlaboratory validation\WF data\Repeats for invalid experiments - EBO\2022-EBO-ARABINOSE R4\plaque 1/@07 EE2 488/H7_03.tif "/>
    <s v=" 50512.2191 "/>
    <s v=" 99.115 "/>
    <x v="0"/>
    <n v="5006518"/>
    <m/>
    <m/>
    <m/>
  </r>
  <r>
    <x v="1"/>
    <x v="8"/>
    <s v=" "/>
    <m/>
    <m/>
    <x v="1"/>
    <m/>
    <m/>
    <m/>
    <m/>
  </r>
  <r>
    <x v="1"/>
    <x v="8"/>
    <s v="group "/>
    <s v=" "/>
    <s v=" mean of mean fluo "/>
    <x v="2"/>
    <s v=" mean of total fluo "/>
    <s v=" SD total fluo "/>
    <s v=" n fluorescent "/>
    <s v=" n total"/>
  </r>
  <r>
    <x v="7"/>
    <x v="9"/>
    <s v="\\192.168.24.208\images\R&amp;D\2-Test oestrogénique\OECD and AOPs\REACTIV oecd interlaboratory validation\WF data\Repeats for invalid experiments - EBO\2022-EBO-ARABINOSE R4\plaque 1/@07 EE2 488/ "/>
    <s v=" "/>
    <s v=" 85.2696 "/>
    <x v="9"/>
    <s v=" 4996547.42 "/>
    <s v=" 2334630.53 "/>
    <n v="23"/>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192.168.24.208\images\R&amp;D\2-Test oestrogénique\OECD and AOPs\REACTIV oecd interlaboratory validation\WF data\Repeats for invalid experiments - EBO\2022-EBO-ARABINOSE R4\plaque 1/@08 ARABINOSE 0.01/A8_01.tif "/>
    <s v=" 195.7838 "/>
    <s v=" 62.1111 "/>
    <x v="0"/>
    <n v="12160"/>
    <m/>
    <m/>
    <m/>
  </r>
  <r>
    <x v="8"/>
    <x v="0"/>
    <s v="\\192.168.24.208\images\R&amp;D\2-Test oestrogénique\OECD and AOPs\REACTIV oecd interlaboratory validation\WF data\Repeats for invalid experiments - EBO\2022-EBO-ARABINOSE R4\plaque 1/@08 ARABINOSE 0.01/A8_02.tif "/>
    <s v=" 130.5225 "/>
    <s v=" 65.6667 "/>
    <x v="0"/>
    <n v="8571"/>
    <m/>
    <m/>
    <m/>
  </r>
  <r>
    <x v="8"/>
    <x v="0"/>
    <s v="\\192.168.24.208\images\R&amp;D\2-Test oestrogénique\OECD and AOPs\REACTIV oecd interlaboratory validation\WF data\Repeats for invalid experiments - EBO\2022-EBO-ARABINOSE R4\plaque 1/@08 ARABINOSE 0.01/A8_03.tif "/>
    <s v=" 326.3063 "/>
    <s v=" 62.9333 "/>
    <x v="0"/>
    <n v="20536"/>
    <m/>
    <m/>
    <m/>
  </r>
  <r>
    <x v="8"/>
    <x v="1"/>
    <s v="\\192.168.24.208\images\R&amp;D\2-Test oestrogénique\OECD and AOPs\REACTIV oecd interlaboratory validation\WF data\Repeats for invalid experiments - EBO\2022-EBO-ARABINOSE R4\plaque 1/@08 ARABINOSE 0.01/B8_01.tif "/>
    <s v=" 217.5376 "/>
    <n v="65"/>
    <x v="0"/>
    <n v="14140"/>
    <m/>
    <m/>
    <m/>
  </r>
  <r>
    <x v="8"/>
    <x v="1"/>
    <s v="\\192.168.24.208\images\R&amp;D\2-Test oestrogénique\OECD and AOPs\REACTIV oecd interlaboratory validation\WF data\Repeats for invalid experiments - EBO\2022-EBO-ARABINOSE R4\plaque 1/@08 ARABINOSE 0.01/B8_02.tif "/>
    <s v=" 195.7838 "/>
    <s v=" 62.5556 "/>
    <x v="0"/>
    <n v="12247"/>
    <m/>
    <m/>
    <m/>
  </r>
  <r>
    <x v="8"/>
    <x v="1"/>
    <s v="\\192.168.24.208\images\R&amp;D\2-Test oestrogénique\OECD and AOPs\REACTIV oecd interlaboratory validation\WF data\Repeats for invalid experiments - EBO\2022-EBO-ARABINOSE R4\plaque 1/@08 ARABINOSE 0.01/B8_03.tif "/>
    <s v=" 435.0751 "/>
    <s v=" 64.05 "/>
    <x v="0"/>
    <n v="27867"/>
    <m/>
    <m/>
    <m/>
  </r>
  <r>
    <x v="8"/>
    <x v="2"/>
    <s v="\\192.168.24.208\images\R&amp;D\2-Test oestrogénique\OECD and AOPs\REACTIV oecd interlaboratory validation\WF data\Repeats for invalid experiments - EBO\2022-EBO-ARABINOSE R4\plaque 1/@08 ARABINOSE 0.01/C8_01.tif "/>
    <s v=" 348.0601 "/>
    <s v=" 63.125 "/>
    <x v="0"/>
    <n v="21971"/>
    <m/>
    <m/>
    <m/>
  </r>
  <r>
    <x v="8"/>
    <x v="2"/>
    <s v="\\192.168.24.208\images\R&amp;D\2-Test oestrogénique\OECD and AOPs\REACTIV oecd interlaboratory validation\WF data\Repeats for invalid experiments - EBO\2022-EBO-ARABINOSE R4\plaque 1/@08 ARABINOSE 0.01/C8_02.tif "/>
    <s v=" 217.5376 "/>
    <s v=" 65.2 "/>
    <x v="0"/>
    <n v="14183"/>
    <m/>
    <m/>
    <m/>
  </r>
  <r>
    <x v="8"/>
    <x v="2"/>
    <s v="\\192.168.24.208\images\R&amp;D\2-Test oestrogénique\OECD and AOPs\REACTIV oecd interlaboratory validation\WF data\Repeats for invalid experiments - EBO\2022-EBO-ARABINOSE R4\plaque 1/@08 ARABINOSE 0.01/C8_03.tif "/>
    <s v=" 239.2913 "/>
    <n v="64"/>
    <x v="0"/>
    <n v="15315"/>
    <m/>
    <m/>
    <m/>
  </r>
  <r>
    <x v="8"/>
    <x v="3"/>
    <s v="\\192.168.24.208\images\R&amp;D\2-Test oestrogénique\OECD and AOPs\REACTIV oecd interlaboratory validation\WF data\Repeats for invalid experiments - EBO\2022-EBO-ARABINOSE R4\plaque 1/@08 ARABINOSE 0.01/D8_01.tif "/>
    <s v=" 282.7988 "/>
    <s v=" 63.3077 "/>
    <x v="0"/>
    <n v="17903"/>
    <m/>
    <m/>
    <m/>
  </r>
  <r>
    <x v="8"/>
    <x v="3"/>
    <s v="\\192.168.24.208\images\R&amp;D\2-Test oestrogénique\OECD and AOPs\REACTIV oecd interlaboratory validation\WF data\Repeats for invalid experiments - EBO\2022-EBO-ARABINOSE R4\plaque 1/@08 ARABINOSE 0.01/D8_02.tif "/>
    <s v=" 1827.3154 "/>
    <s v=" 65.4762 "/>
    <x v="0"/>
    <n v="119646"/>
    <m/>
    <m/>
    <m/>
  </r>
  <r>
    <x v="8"/>
    <x v="3"/>
    <s v="\\192.168.24.208\images\R&amp;D\2-Test oestrogénique\OECD and AOPs\REACTIV oecd interlaboratory validation\WF data\Repeats for invalid experiments - EBO\2022-EBO-ARABINOSE R4\plaque 1/@08 ARABINOSE 0.01/D8_03- exclu.tif"/>
    <m/>
    <m/>
    <x v="1"/>
    <m/>
    <m/>
    <m/>
    <m/>
  </r>
  <r>
    <x v="8"/>
    <x v="4"/>
    <s v="\\192.168.24.208\images\R&amp;D\2-Test oestrogénique\OECD and AOPs\REACTIV oecd interlaboratory validation\WF data\Repeats for invalid experiments - EBO\2022-EBO-ARABINOSE R4\plaque 1/@08 ARABINOSE 0.01/E8_01.tif "/>
    <s v=" 848.3964 "/>
    <s v=" 63.641 "/>
    <x v="0"/>
    <n v="53993"/>
    <m/>
    <m/>
    <m/>
  </r>
  <r>
    <x v="8"/>
    <x v="4"/>
    <s v="\\192.168.24.208\images\R&amp;D\2-Test oestrogénique\OECD and AOPs\REACTIV oecd interlaboratory validation\WF data\Repeats for invalid experiments - EBO\2022-EBO-ARABINOSE R4\plaque 1/@08 ARABINOSE 0.01/E8_02.tif "/>
    <s v=" 1566.2704 "/>
    <s v=" 65.4306 "/>
    <x v="0"/>
    <n v="102482"/>
    <m/>
    <m/>
    <m/>
  </r>
  <r>
    <x v="8"/>
    <x v="4"/>
    <s v="\\192.168.24.208\images\R&amp;D\2-Test oestrogénique\OECD and AOPs\REACTIV oecd interlaboratory validation\WF data\Repeats for invalid experiments - EBO\2022-EBO-ARABINOSE R4\plaque 1/@08 ARABINOSE 0.01/E8_03.tif "/>
    <s v=" 478.5826 "/>
    <s v=" 67.6818 "/>
    <x v="0"/>
    <n v="32391"/>
    <m/>
    <m/>
    <m/>
  </r>
  <r>
    <x v="8"/>
    <x v="5"/>
    <s v="\\192.168.24.208\images\R&amp;D\2-Test oestrogénique\OECD and AOPs\REACTIV oecd interlaboratory validation\WF data\Repeats for invalid experiments - EBO\2022-EBO-ARABINOSE R4\plaque 1/@08 ARABINOSE 0.01/F8_01.tif "/>
    <s v=" 1762.0542 "/>
    <s v=" 65.4815 "/>
    <x v="0"/>
    <n v="115382"/>
    <m/>
    <m/>
    <m/>
  </r>
  <r>
    <x v="8"/>
    <x v="5"/>
    <s v="\\192.168.24.208\images\R&amp;D\2-Test oestrogénique\OECD and AOPs\REACTIV oecd interlaboratory validation\WF data\Repeats for invalid experiments - EBO\2022-EBO-ARABINOSE R4\plaque 1/@08 ARABINOSE 0.01/F8_02.tif "/>
    <s v=" 1239.964 "/>
    <n v="63"/>
    <x v="0"/>
    <n v="78118"/>
    <m/>
    <m/>
    <m/>
  </r>
  <r>
    <x v="8"/>
    <x v="5"/>
    <s v="\\192.168.24.208\images\R&amp;D\2-Test oestrogénique\OECD and AOPs\REACTIV oecd interlaboratory validation\WF data\Repeats for invalid experiments - EBO\2022-EBO-ARABINOSE R4\plaque 1/@08 ARABINOSE 0.01/F8_03.tif "/>
    <s v=" 304.5526 "/>
    <s v=" 62.9286 "/>
    <x v="0"/>
    <n v="19165"/>
    <m/>
    <m/>
    <m/>
  </r>
  <r>
    <x v="8"/>
    <x v="6"/>
    <s v="\\192.168.24.208\images\R&amp;D\2-Test oestrogénique\OECD and AOPs\REACTIV oecd interlaboratory validation\WF data\Repeats for invalid experiments - EBO\2022-EBO-ARABINOSE R4\plaque 1/@08 ARABINOSE 0.01/G8_01.tif "/>
    <s v=" 5851.7601 "/>
    <s v=" 74.9963 "/>
    <x v="0"/>
    <n v="438860"/>
    <m/>
    <m/>
    <m/>
  </r>
  <r>
    <x v="8"/>
    <x v="6"/>
    <s v="\\192.168.24.208\images\R&amp;D\2-Test oestrogénique\OECD and AOPs\REACTIV oecd interlaboratory validation\WF data\Repeats for invalid experiments - EBO\2022-EBO-ARABINOSE R4\plaque 1/@08 ARABINOSE 0.01/G8_02.tif "/>
    <s v=" 413.3213 "/>
    <s v=" 63.7368 "/>
    <x v="0"/>
    <n v="26344"/>
    <m/>
    <m/>
    <m/>
  </r>
  <r>
    <x v="8"/>
    <x v="6"/>
    <s v="\\192.168.24.208\images\R&amp;D\2-Test oestrogénique\OECD and AOPs\REACTIV oecd interlaboratory validation\WF data\Repeats for invalid experiments - EBO\2022-EBO-ARABINOSE R4\plaque 1/@08 ARABINOSE 0.01/G8_03.tif "/>
    <s v=" 5373.1775 "/>
    <s v=" 68.8259 "/>
    <x v="0"/>
    <n v="369814"/>
    <m/>
    <m/>
    <m/>
  </r>
  <r>
    <x v="8"/>
    <x v="7"/>
    <s v="\\192.168.24.208\images\R&amp;D\2-Test oestrogénique\OECD and AOPs\REACTIV oecd interlaboratory validation\WF data\Repeats for invalid experiments - EBO\2022-EBO-ARABINOSE R4\plaque 1/@08 ARABINOSE 0.01/H8_01.tif "/>
    <s v=" 891.904 "/>
    <s v=" 66.0976 "/>
    <x v="0"/>
    <n v="58953"/>
    <m/>
    <m/>
    <m/>
  </r>
  <r>
    <x v="8"/>
    <x v="7"/>
    <s v="\\192.168.24.208\images\R&amp;D\2-Test oestrogénique\OECD and AOPs\REACTIV oecd interlaboratory validation\WF data\Repeats for invalid experiments - EBO\2022-EBO-ARABINOSE R4\plaque 1/@08 ARABINOSE 0.01/H8_02.tif "/>
    <s v=" 1000.6727 "/>
    <s v=" 64.9348 "/>
    <x v="0"/>
    <n v="64978"/>
    <m/>
    <m/>
    <m/>
  </r>
  <r>
    <x v="8"/>
    <x v="7"/>
    <s v="\\192.168.24.208\images\R&amp;D\2-Test oestrogénique\OECD and AOPs\REACTIV oecd interlaboratory validation\WF data\Repeats for invalid experiments - EBO\2022-EBO-ARABINOSE R4\plaque 1/@08 ARABINOSE 0.01/H8_03.tif "/>
    <s v=" 391.5676 "/>
    <s v=" 64.5 "/>
    <x v="0"/>
    <n v="25256"/>
    <m/>
    <m/>
    <m/>
  </r>
  <r>
    <x v="1"/>
    <x v="8"/>
    <s v=" "/>
    <m/>
    <m/>
    <x v="1"/>
    <m/>
    <m/>
    <m/>
    <m/>
  </r>
  <r>
    <x v="1"/>
    <x v="8"/>
    <s v="group "/>
    <s v=" "/>
    <s v=" mean of mean fluo "/>
    <x v="2"/>
    <s v=" mean of total fluo "/>
    <s v=" SD total fluo "/>
    <s v=" n fluorescent "/>
    <s v=" n total"/>
  </r>
  <r>
    <x v="8"/>
    <x v="9"/>
    <s v="\\192.168.24.208\images\R&amp;D\2-Test oestrogénique\OECD and AOPs\REACTIV oecd interlaboratory validation\WF data\Repeats for invalid experiments - EBO\2022-EBO-ARABINOSE R4\plaque 1/@08 ARABINOSE 0.01/ "/>
    <s v=" "/>
    <s v=" 64.9412 "/>
    <x v="10"/>
    <s v=" 72143.625 "/>
    <s v=" 108104.7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192.168.24.208\images\R&amp;D\2-Test oestrogénique\OECD and AOPs\REACTIV oecd interlaboratory validation\WF data\Repeats for invalid experiments - EBO\2022-EBO-ARABINOSE R4\plaque 1/@09 ARABINOSE 0.1/A9_01- exclu.tif"/>
    <m/>
    <m/>
    <x v="1"/>
    <m/>
    <m/>
    <m/>
    <m/>
  </r>
  <r>
    <x v="9"/>
    <x v="0"/>
    <s v="\\192.168.24.208\images\R&amp;D\2-Test oestrogénique\OECD and AOPs\REACTIV oecd interlaboratory validation\WF data\Repeats for invalid experiments - EBO\2022-EBO-ARABINOSE R4\plaque 1/@09 ARABINOSE 0.1/A9_02.tif "/>
    <s v=" 217.5376 "/>
    <s v=" 63.7 "/>
    <x v="0"/>
    <n v="13857"/>
    <m/>
    <m/>
    <m/>
  </r>
  <r>
    <x v="9"/>
    <x v="0"/>
    <s v="\\192.168.24.208\images\R&amp;D\2-Test oestrogénique\OECD and AOPs\REACTIV oecd interlaboratory validation\WF data\Repeats for invalid experiments - EBO\2022-EBO-ARABINOSE R4\plaque 1/@09 ARABINOSE 0.1/A9_03.tif "/>
    <s v=" 369.8138 "/>
    <s v=" 63.5294 "/>
    <x v="0"/>
    <n v="23494"/>
    <m/>
    <m/>
    <m/>
  </r>
  <r>
    <x v="9"/>
    <x v="1"/>
    <s v="\\192.168.24.208\images\R&amp;D\2-Test oestrogénique\OECD and AOPs\REACTIV oecd interlaboratory validation\WF data\Repeats for invalid experiments - EBO\2022-EBO-ARABINOSE R4\plaque 1/@09 ARABINOSE 0.1/B9_01.tif "/>
    <s v=" 652.6127 "/>
    <s v=" 67.4333 "/>
    <x v="0"/>
    <n v="44008"/>
    <m/>
    <m/>
    <m/>
  </r>
  <r>
    <x v="9"/>
    <x v="1"/>
    <s v="\\192.168.24.208\images\R&amp;D\2-Test oestrogénique\OECD and AOPs\REACTIV oecd interlaboratory validation\WF data\Repeats for invalid experiments - EBO\2022-EBO-ARABINOSE R4\plaque 1/@09 ARABINOSE 0.1/B9_02- exclu.tif"/>
    <m/>
    <m/>
    <x v="1"/>
    <m/>
    <m/>
    <m/>
    <m/>
  </r>
  <r>
    <x v="9"/>
    <x v="1"/>
    <s v="\\192.168.24.208\images\R&amp;D\2-Test oestrogénique\OECD and AOPs\REACTIV oecd interlaboratory validation\WF data\Repeats for invalid experiments - EBO\2022-EBO-ARABINOSE R4\plaque 1/@09 ARABINOSE 0.1/B9_03.tif "/>
    <s v=" 304.5526 "/>
    <s v=" 64.0714 "/>
    <x v="0"/>
    <n v="19513"/>
    <m/>
    <m/>
    <m/>
  </r>
  <r>
    <x v="9"/>
    <x v="2"/>
    <s v="\\192.168.24.208\images\R&amp;D\2-Test oestrogénique\OECD and AOPs\REACTIV oecd interlaboratory validation\WF data\Repeats for invalid experiments - EBO\2022-EBO-ARABINOSE R4\plaque 1/@09 ARABINOSE 0.1/C9_01- exclu.tif"/>
    <m/>
    <m/>
    <x v="1"/>
    <m/>
    <m/>
    <m/>
    <m/>
  </r>
  <r>
    <x v="9"/>
    <x v="2"/>
    <s v="\\192.168.24.208\images\R&amp;D\2-Test oestrogénique\OECD and AOPs\REACTIV oecd interlaboratory validation\WF data\Repeats for invalid experiments - EBO\2022-EBO-ARABINOSE R4\plaque 1/@09 ARABINOSE 0.1/C9_02.tif "/>
    <s v=" 1718.5466 "/>
    <s v=" 67.2025 "/>
    <x v="0"/>
    <n v="115491"/>
    <m/>
    <m/>
    <m/>
  </r>
  <r>
    <x v="9"/>
    <x v="2"/>
    <s v="\\192.168.24.208\images\R&amp;D\2-Test oestrogénique\OECD and AOPs\REACTIV oecd interlaboratory validation\WF data\Repeats for invalid experiments - EBO\2022-EBO-ARABINOSE R4\plaque 1/@09 ARABINOSE 0.1/C9_03.tif "/>
    <s v=" 4742.3186 "/>
    <s v=" 69.6468 "/>
    <x v="0"/>
    <n v="330287"/>
    <m/>
    <m/>
    <m/>
  </r>
  <r>
    <x v="9"/>
    <x v="3"/>
    <s v="\\192.168.24.208\images\R&amp;D\2-Test oestrogénique\OECD and AOPs\REACTIV oecd interlaboratory validation\WF data\Repeats for invalid experiments - EBO\2022-EBO-ARABINOSE R4\plaque 1/@09 ARABINOSE 0.1/D9_01.tif "/>
    <s v=" 804.8889 "/>
    <s v=" 66.5135 "/>
    <x v="0"/>
    <n v="53536"/>
    <m/>
    <m/>
    <m/>
  </r>
  <r>
    <x v="9"/>
    <x v="3"/>
    <s v="\\192.168.24.208\images\R&amp;D\2-Test oestrogénique\OECD and AOPs\REACTIV oecd interlaboratory validation\WF data\Repeats for invalid experiments - EBO\2022-EBO-ARABINOSE R4\plaque 1/@09 ARABINOSE 0.1/D9_02.tif "/>
    <s v=" 870.1502 "/>
    <s v=" 64.25 "/>
    <x v="0"/>
    <n v="55907"/>
    <m/>
    <m/>
    <m/>
  </r>
  <r>
    <x v="9"/>
    <x v="3"/>
    <s v="\\192.168.24.208\images\R&amp;D\2-Test oestrogénique\OECD and AOPs\REACTIV oecd interlaboratory validation\WF data\Repeats for invalid experiments - EBO\2022-EBO-ARABINOSE R4\plaque 1/@09 ARABINOSE 0.1/D9_03.tif "/>
    <s v=" 609.1051 "/>
    <s v=" 63.7857 "/>
    <x v="0"/>
    <n v="38852"/>
    <m/>
    <m/>
    <m/>
  </r>
  <r>
    <x v="9"/>
    <x v="4"/>
    <s v="\\192.168.24.208\images\R&amp;D\2-Test oestrogénique\OECD and AOPs\REACTIV oecd interlaboratory validation\WF data\Repeats for invalid experiments - EBO\2022-EBO-ARABINOSE R4\plaque 1/@09 ARABINOSE 0.1/E9_01.tif "/>
    <s v=" 456.8289 "/>
    <s v=" 65.0476 "/>
    <x v="0"/>
    <n v="29716"/>
    <m/>
    <m/>
    <m/>
  </r>
  <r>
    <x v="9"/>
    <x v="4"/>
    <s v="\\192.168.24.208\images\R&amp;D\2-Test oestrogénique\OECD and AOPs\REACTIV oecd interlaboratory validation\WF data\Repeats for invalid experiments - EBO\2022-EBO-ARABINOSE R4\plaque 1/@09 ARABINOSE 0.1/E9_02.tif "/>
    <s v=" 543.8439 "/>
    <s v=" 64.92 "/>
    <x v="0"/>
    <n v="35306"/>
    <m/>
    <m/>
    <m/>
  </r>
  <r>
    <x v="9"/>
    <x v="4"/>
    <s v="\\192.168.24.208\images\R&amp;D\2-Test oestrogénique\OECD and AOPs\REACTIV oecd interlaboratory validation\WF data\Repeats for invalid experiments - EBO\2022-EBO-ARABINOSE R4\plaque 1/@09 ARABINOSE 0.1/E9_03.tif "/>
    <s v=" 1457.5016 "/>
    <s v=" 63.5224 "/>
    <x v="0"/>
    <n v="92584"/>
    <m/>
    <m/>
    <m/>
  </r>
  <r>
    <x v="9"/>
    <x v="5"/>
    <s v="\\192.168.24.208\images\R&amp;D\2-Test oestrogénique\OECD and AOPs\REACTIV oecd interlaboratory validation\WF data\Repeats for invalid experiments - EBO\2022-EBO-ARABINOSE R4\plaque 1/@09 ARABINOSE 0.1/F9_01.tif "/>
    <s v=" 108.7688 "/>
    <s v=" 65.2 "/>
    <x v="0"/>
    <n v="7092"/>
    <m/>
    <m/>
    <m/>
  </r>
  <r>
    <x v="9"/>
    <x v="5"/>
    <s v="\\192.168.24.208\images\R&amp;D\2-Test oestrogénique\OECD and AOPs\REACTIV oecd interlaboratory validation\WF data\Repeats for invalid experiments - EBO\2022-EBO-ARABINOSE R4\plaque 1/@09 ARABINOSE 0.1/F9_02.tif "/>
    <s v=" 369.8138 "/>
    <s v=" 65.2353 "/>
    <x v="0"/>
    <n v="24125"/>
    <m/>
    <m/>
    <m/>
  </r>
  <r>
    <x v="9"/>
    <x v="5"/>
    <s v="\\192.168.24.208\images\R&amp;D\2-Test oestrogénique\OECD and AOPs\REACTIV oecd interlaboratory validation\WF data\Repeats for invalid experiments - EBO\2022-EBO-ARABINOSE R4\plaque 1/@09 ARABINOSE 0.1/F9_03.tif "/>
    <s v=" 2023.0992 "/>
    <s v=" 65.2581 "/>
    <x v="0"/>
    <n v="132024"/>
    <m/>
    <m/>
    <m/>
  </r>
  <r>
    <x v="9"/>
    <x v="6"/>
    <s v="\\192.168.24.208\images\R&amp;D\2-Test oestrogénique\OECD and AOPs\REACTIV oecd interlaboratory validation\WF data\Repeats for invalid experiments - EBO\2022-EBO-ARABINOSE R4\plaque 1/@09 ARABINOSE 0.1/G9_01.tif "/>
    <s v=" 7374.5229 "/>
    <s v=" 68.6549 "/>
    <x v="0"/>
    <n v="506297"/>
    <m/>
    <m/>
    <m/>
  </r>
  <r>
    <x v="9"/>
    <x v="6"/>
    <s v="\\192.168.24.208\images\R&amp;D\2-Test oestrogénique\OECD and AOPs\REACTIV oecd interlaboratory validation\WF data\Repeats for invalid experiments - EBO\2022-EBO-ARABINOSE R4\plaque 1/@09 ARABINOSE 0.1/G9_02.tif "/>
    <s v=" 6004.0364 "/>
    <s v=" 66.3442 "/>
    <x v="0"/>
    <n v="398333"/>
    <m/>
    <m/>
    <m/>
  </r>
  <r>
    <x v="9"/>
    <x v="6"/>
    <s v="\\192.168.24.208\images\R&amp;D\2-Test oestrogénique\OECD and AOPs\REACTIV oecd interlaboratory validation\WF data\Repeats for invalid experiments - EBO\2022-EBO-ARABINOSE R4\plaque 1/@09 ARABINOSE 0.1/G9_03- exclu.tif"/>
    <m/>
    <m/>
    <x v="1"/>
    <m/>
    <m/>
    <m/>
    <m/>
  </r>
  <r>
    <x v="9"/>
    <x v="7"/>
    <s v="\\192.168.24.208\images\R&amp;D\2-Test oestrogénique\OECD and AOPs\REACTIV oecd interlaboratory validation\WF data\Repeats for invalid experiments - EBO\2022-EBO-ARABINOSE R4\plaque 1/@09 ARABINOSE 0.1/H9_01.tif "/>
    <s v=" 717.8739 "/>
    <s v=" 63.7879 "/>
    <x v="0"/>
    <n v="45792"/>
    <m/>
    <m/>
    <m/>
  </r>
  <r>
    <x v="9"/>
    <x v="7"/>
    <s v="\\192.168.24.208\images\R&amp;D\2-Test oestrogénique\OECD and AOPs\REACTIV oecd interlaboratory validation\WF data\Repeats for invalid experiments - EBO\2022-EBO-ARABINOSE R4\plaque 1/@09 ARABINOSE 0.1/H9_02- exclu.tif"/>
    <m/>
    <m/>
    <x v="1"/>
    <m/>
    <m/>
    <m/>
    <m/>
  </r>
  <r>
    <x v="9"/>
    <x v="7"/>
    <s v="\\192.168.24.208\images\R&amp;D\2-Test oestrogénique\OECD and AOPs\REACTIV oecd interlaboratory validation\WF data\Repeats for invalid experiments - EBO\2022-EBO-ARABINOSE R4\plaque 1/@09 ARABINOSE 0.1/H9_03- exclu.tif"/>
    <m/>
    <m/>
    <x v="1"/>
    <m/>
    <m/>
    <m/>
    <m/>
  </r>
  <r>
    <x v="1"/>
    <x v="8"/>
    <s v=" "/>
    <m/>
    <m/>
    <x v="1"/>
    <m/>
    <m/>
    <m/>
    <m/>
  </r>
  <r>
    <x v="1"/>
    <x v="8"/>
    <s v="group "/>
    <s v=" "/>
    <s v=" mean of mean fluo "/>
    <x v="2"/>
    <s v=" mean of total fluo "/>
    <s v=" SD total fluo "/>
    <s v=" n fluorescent "/>
    <s v=" n total"/>
  </r>
  <r>
    <x v="9"/>
    <x v="9"/>
    <s v="\\192.168.24.208\images\R&amp;D\2-Test oestrogénique\OECD and AOPs\REACTIV oecd interlaboratory validation\WF data\Repeats for invalid experiments - EBO\2022-EBO-ARABINOSE R4\plaque 1/@09 ARABINOSE 0.1/ "/>
    <s v=" "/>
    <s v=" 66.1115 "/>
    <x v="11"/>
    <s v=" 140529.333 "/>
    <s v=" 288712.14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192.168.24.208\images\R&amp;D\2-Test oestrogénique\OECD and AOPs\REACTIV oecd interlaboratory validation\WF data\Repeats for invalid experiments - EBO\2022-EBO-ARABINOSE R4\plaque 1/@10 ARABINOSE 1/A10_01- exclu.tif"/>
    <m/>
    <m/>
    <x v="1"/>
    <m/>
    <m/>
    <m/>
    <m/>
  </r>
  <r>
    <x v="10"/>
    <x v="0"/>
    <s v="\\192.168.24.208\images\R&amp;D\2-Test oestrogénique\OECD and AOPs\REACTIV oecd interlaboratory validation\WF data\Repeats for invalid experiments - EBO\2022-EBO-ARABINOSE R4\plaque 1/@10 ARABINOSE 1/A10_02.tif "/>
    <s v=" 630.8589 "/>
    <s v=" 62.931 "/>
    <x v="0"/>
    <n v="39701"/>
    <m/>
    <m/>
    <m/>
  </r>
  <r>
    <x v="10"/>
    <x v="0"/>
    <s v="\\192.168.24.208\images\R&amp;D\2-Test oestrogénique\OECD and AOPs\REACTIV oecd interlaboratory validation\WF data\Repeats for invalid experiments - EBO\2022-EBO-ARABINOSE R4\plaque 1/@10 ARABINOSE 1/A10_03.tif "/>
    <s v=" 2305.898 "/>
    <s v=" 67.1415 "/>
    <x v="0"/>
    <n v="154821"/>
    <m/>
    <m/>
    <m/>
  </r>
  <r>
    <x v="10"/>
    <x v="1"/>
    <s v="\\192.168.24.208\images\R&amp;D\2-Test oestrogénique\OECD and AOPs\REACTIV oecd interlaboratory validation\WF data\Repeats for invalid experiments - EBO\2022-EBO-ARABINOSE R4\plaque 1/@10 ARABINOSE 1/B10_01.tif "/>
    <s v=" 239.2913 "/>
    <s v=" 63.0909 "/>
    <x v="0"/>
    <n v="15097"/>
    <m/>
    <m/>
    <m/>
  </r>
  <r>
    <x v="10"/>
    <x v="1"/>
    <s v="\\192.168.24.208\images\R&amp;D\2-Test oestrogénique\OECD and AOPs\REACTIV oecd interlaboratory validation\WF data\Repeats for invalid experiments - EBO\2022-EBO-ARABINOSE R4\plaque 1/@10 ARABINOSE 1/B10_02.tif "/>
    <s v=" 195.7838 "/>
    <s v=" 64.6667 "/>
    <x v="0"/>
    <n v="12661"/>
    <m/>
    <m/>
    <m/>
  </r>
  <r>
    <x v="10"/>
    <x v="1"/>
    <s v="\\192.168.24.208\images\R&amp;D\2-Test oestrogénique\OECD and AOPs\REACTIV oecd interlaboratory validation\WF data\Repeats for invalid experiments - EBO\2022-EBO-ARABINOSE R4\plaque 1/@10 ARABINOSE 1/B10_03.tif "/>
    <s v=" 369.8138 "/>
    <s v=" 65.9412 "/>
    <x v="0"/>
    <n v="24386"/>
    <m/>
    <m/>
    <m/>
  </r>
  <r>
    <x v="10"/>
    <x v="2"/>
    <s v="\\192.168.24.208\images\R&amp;D\2-Test oestrogénique\OECD and AOPs\REACTIV oecd interlaboratory validation\WF data\Repeats for invalid experiments - EBO\2022-EBO-ARABINOSE R4\plaque 1/@10 ARABINOSE 1/C10_01.tif "/>
    <s v=" 2871.4957 "/>
    <s v=" 65.8258 "/>
    <x v="0"/>
    <n v="189018"/>
    <m/>
    <m/>
    <m/>
  </r>
  <r>
    <x v="10"/>
    <x v="2"/>
    <s v="\\192.168.24.208\images\R&amp;D\2-Test oestrogénique\OECD and AOPs\REACTIV oecd interlaboratory validation\WF data\Repeats for invalid experiments - EBO\2022-EBO-ARABINOSE R4\plaque 1/@10 ARABINOSE 1/C10_02.tif "/>
    <s v=" 1522.7629 "/>
    <s v=" 68.4143 "/>
    <x v="0"/>
    <n v="104179"/>
    <m/>
    <m/>
    <m/>
  </r>
  <r>
    <x v="10"/>
    <x v="2"/>
    <s v="\\192.168.24.208\images\R&amp;D\2-Test oestrogénique\OECD and AOPs\REACTIV oecd interlaboratory validation\WF data\Repeats for invalid experiments - EBO\2022-EBO-ARABINOSE R4\plaque 1/@10 ARABINOSE 1/C10_03.tif "/>
    <s v=" 891.904 "/>
    <s v=" 68.0244 "/>
    <x v="0"/>
    <n v="60671"/>
    <m/>
    <m/>
    <m/>
  </r>
  <r>
    <x v="10"/>
    <x v="3"/>
    <s v="\\192.168.24.208\images\R&amp;D\2-Test oestrogénique\OECD and AOPs\REACTIV oecd interlaboratory validation\WF data\Repeats for invalid experiments - EBO\2022-EBO-ARABINOSE R4\plaque 1/@10 ARABINOSE 1/D10_01.tif "/>
    <s v=" 848.3964 "/>
    <s v=" 63.1026 "/>
    <x v="0"/>
    <n v="53536"/>
    <m/>
    <m/>
    <m/>
  </r>
  <r>
    <x v="10"/>
    <x v="3"/>
    <s v="\\192.168.24.208\images\R&amp;D\2-Test oestrogénique\OECD and AOPs\REACTIV oecd interlaboratory validation\WF data\Repeats for invalid experiments - EBO\2022-EBO-ARABINOSE R4\plaque 1/@10 ARABINOSE 1/D10_02.tif "/>
    <s v=" 174.03 "/>
    <s v=" 63.25 "/>
    <x v="0"/>
    <n v="11007"/>
    <m/>
    <m/>
    <m/>
  </r>
  <r>
    <x v="10"/>
    <x v="3"/>
    <s v="\\192.168.24.208\images\R&amp;D\2-Test oestrogénique\OECD and AOPs\REACTIV oecd interlaboratory validation\WF data\Repeats for invalid experiments - EBO\2022-EBO-ARABINOSE R4\plaque 1/@10 ARABINOSE 1/D10_03.tif "/>
    <s v=" 195.7838 "/>
    <s v=" 61.1111 "/>
    <x v="0"/>
    <n v="11965"/>
    <m/>
    <m/>
    <m/>
  </r>
  <r>
    <x v="10"/>
    <x v="4"/>
    <s v="\\192.168.24.208\images\R&amp;D\2-Test oestrogénique\OECD and AOPs\REACTIV oecd interlaboratory validation\WF data\Repeats for invalid experiments - EBO\2022-EBO-ARABINOSE R4\plaque 1/@10 ARABINOSE 1/E10_01- exclu.tif"/>
    <m/>
    <m/>
    <x v="1"/>
    <m/>
    <m/>
    <m/>
    <m/>
  </r>
  <r>
    <x v="10"/>
    <x v="4"/>
    <s v="\\192.168.24.208\images\R&amp;D\2-Test oestrogénique\OECD and AOPs\REACTIV oecd interlaboratory validation\WF data\Repeats for invalid experiments - EBO\2022-EBO-ARABINOSE R4\plaque 1/@10 ARABINOSE 1/E10_02.tif "/>
    <s v=" 2066.6067 "/>
    <s v=" 64.1895 "/>
    <x v="0"/>
    <n v="132654"/>
    <m/>
    <m/>
    <m/>
  </r>
  <r>
    <x v="10"/>
    <x v="4"/>
    <s v="\\192.168.24.208\images\R&amp;D\2-Test oestrogénique\OECD and AOPs\REACTIV oecd interlaboratory validation\WF data\Repeats for invalid experiments - EBO\2022-EBO-ARABINOSE R4\plaque 1/@10 ARABINOSE 1/E10_03.tif "/>
    <s v=" 1283.4715 "/>
    <s v=" 63.7119 "/>
    <x v="0"/>
    <n v="81772"/>
    <m/>
    <m/>
    <m/>
  </r>
  <r>
    <x v="10"/>
    <x v="5"/>
    <s v="\\192.168.24.208\images\R&amp;D\2-Test oestrogénique\OECD and AOPs\REACTIV oecd interlaboratory validation\WF data\Repeats for invalid experiments - EBO\2022-EBO-ARABINOSE R4\plaque 1/@10 ARABINOSE 1/F10_01.tif "/>
    <s v=" 282.7988 "/>
    <s v=" 62.9231 "/>
    <x v="0"/>
    <n v="17795"/>
    <m/>
    <m/>
    <m/>
  </r>
  <r>
    <x v="10"/>
    <x v="5"/>
    <s v="\\192.168.24.208\images\R&amp;D\2-Test oestrogénique\OECD and AOPs\REACTIV oecd interlaboratory validation\WF data\Repeats for invalid experiments - EBO\2022-EBO-ARABINOSE R4\plaque 1/@10 ARABINOSE 1/F10_02.tif "/>
    <s v=" 3458.847 "/>
    <s v=" 66.8428 "/>
    <x v="0"/>
    <n v="231199"/>
    <m/>
    <m/>
    <m/>
  </r>
  <r>
    <x v="10"/>
    <x v="5"/>
    <s v="\\192.168.24.208\images\R&amp;D\2-Test oestrogénique\OECD and AOPs\REACTIV oecd interlaboratory validation\WF data\Repeats for invalid experiments - EBO\2022-EBO-ARABINOSE R4\plaque 1/@10 ARABINOSE 1/F10_03.tif "/>
    <s v=" 804.8889 "/>
    <s v=" 65.8108 "/>
    <x v="0"/>
    <n v="52970"/>
    <m/>
    <m/>
    <m/>
  </r>
  <r>
    <x v="10"/>
    <x v="6"/>
    <s v="\\192.168.24.208\images\R&amp;D\2-Test oestrogénique\OECD and AOPs\REACTIV oecd interlaboratory validation\WF data\Repeats for invalid experiments - EBO\2022-EBO-ARABINOSE R4\plaque 1/@10 ARABINOSE 1/G10_01.tif "/>
    <s v=" 2479.9281 "/>
    <s v=" 65.3509 "/>
    <x v="0"/>
    <n v="162065"/>
    <m/>
    <m/>
    <m/>
  </r>
  <r>
    <x v="10"/>
    <x v="6"/>
    <s v="\\192.168.24.208\images\R&amp;D\2-Test oestrogénique\OECD and AOPs\REACTIV oecd interlaboratory validation\WF data\Repeats for invalid experiments - EBO\2022-EBO-ARABINOSE R4\plaque 1/@10 ARABINOSE 1/G10_02.tif "/>
    <s v=" 891.904 "/>
    <s v=" 66.4146 "/>
    <x v="0"/>
    <n v="59235"/>
    <m/>
    <m/>
    <m/>
  </r>
  <r>
    <x v="10"/>
    <x v="6"/>
    <s v="\\192.168.24.208\images\R&amp;D\2-Test oestrogénique\OECD and AOPs\REACTIV oecd interlaboratory validation\WF data\Repeats for invalid experiments - EBO\2022-EBO-ARABINOSE R4\plaque 1/@10 ARABINOSE 1/G10_03.tif "/>
    <s v=" 1065.934 "/>
    <s v=" 63.898 "/>
    <x v="0"/>
    <n v="68111"/>
    <m/>
    <m/>
    <m/>
  </r>
  <r>
    <x v="10"/>
    <x v="7"/>
    <s v="\\192.168.24.208\images\R&amp;D\2-Test oestrogénique\OECD and AOPs\REACTIV oecd interlaboratory validation\WF data\Repeats for invalid experiments - EBO\2022-EBO-ARABINOSE R4\plaque 1/@10 ARABINOSE 1/H10_01.tif "/>
    <s v=" 413.3213 "/>
    <s v=" 64.1579 "/>
    <x v="0"/>
    <n v="26518"/>
    <m/>
    <m/>
    <m/>
  </r>
  <r>
    <x v="10"/>
    <x v="7"/>
    <s v="\\192.168.24.208\images\R&amp;D\2-Test oestrogénique\OECD and AOPs\REACTIV oecd interlaboratory validation\WF data\Repeats for invalid experiments - EBO\2022-EBO-ARABINOSE R4\plaque 1/@10 ARABINOSE 1/H10_02.tif "/>
    <s v=" 239.2913 "/>
    <s v=" 64.1818 "/>
    <x v="0"/>
    <n v="15358"/>
    <m/>
    <m/>
    <m/>
  </r>
  <r>
    <x v="10"/>
    <x v="7"/>
    <s v="\\192.168.24.208\images\R&amp;D\2-Test oestrogénique\OECD and AOPs\REACTIV oecd interlaboratory validation\WF data\Repeats for invalid experiments - EBO\2022-EBO-ARABINOSE R4\plaque 1/@10 ARABINOSE 1/H10_03.tif "/>
    <s v=" 304.5526 "/>
    <s v=" 65.1429 "/>
    <x v="0"/>
    <n v="19839"/>
    <m/>
    <m/>
    <m/>
  </r>
  <r>
    <x v="1"/>
    <x v="8"/>
    <s v=" "/>
    <m/>
    <m/>
    <x v="1"/>
    <m/>
    <m/>
    <m/>
    <m/>
  </r>
  <r>
    <x v="1"/>
    <x v="8"/>
    <s v="group "/>
    <s v=" "/>
    <s v=" mean of mean fluo "/>
    <x v="2"/>
    <s v=" mean of total fluo "/>
    <s v=" SD total fluo "/>
    <s v=" n fluorescent "/>
    <s v=" n total"/>
  </r>
  <r>
    <x v="10"/>
    <x v="9"/>
    <s v="\\192.168.24.208\images\R&amp;D\2-Test oestrogénique\OECD and AOPs\REACTIV oecd interlaboratory validation\WF data\Repeats for invalid experiments - EBO\2022-EBO-ARABINOSE R4\plaque 1/@10 ARABINOSE 1/ "/>
    <s v=" "/>
    <s v=" 64.7738 "/>
    <x v="12"/>
    <s v=" 75592.4167 "/>
    <s v=" 73755.48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192.168.24.208\images\R&amp;D\2-Test oestrogénique\OECD and AOPs\REACTIV oecd interlaboratory validation\WF data\Repeats for invalid experiments - EBO\2022-EBO-ARABINOSE R4\plaque 1/@11 ARABINOSE 10/A11_01.tif "/>
    <s v=" 348.0601 "/>
    <s v=" 65.3125 "/>
    <x v="0"/>
    <n v="22733"/>
    <m/>
    <m/>
    <m/>
  </r>
  <r>
    <x v="11"/>
    <x v="0"/>
    <s v="\\192.168.24.208\images\R&amp;D\2-Test oestrogénique\OECD and AOPs\REACTIV oecd interlaboratory validation\WF data\Repeats for invalid experiments - EBO\2022-EBO-ARABINOSE R4\plaque 1/@11 ARABINOSE 10/A11_02.tif "/>
    <s v=" 195.7838 "/>
    <s v=" 63.8889 "/>
    <x v="0"/>
    <n v="12508"/>
    <m/>
    <m/>
    <m/>
  </r>
  <r>
    <x v="11"/>
    <x v="0"/>
    <s v="\\192.168.24.208\images\R&amp;D\2-Test oestrogénique\OECD and AOPs\REACTIV oecd interlaboratory validation\WF data\Repeats for invalid experiments - EBO\2022-EBO-ARABINOSE R4\plaque 1/@11 ARABINOSE 10/A11_03.tif "/>
    <s v=" 130.5225 "/>
    <s v=" 65.1667 "/>
    <x v="0"/>
    <n v="8506"/>
    <m/>
    <m/>
    <m/>
  </r>
  <r>
    <x v="11"/>
    <x v="1"/>
    <s v="\\192.168.24.208\images\R&amp;D\2-Test oestrogénique\OECD and AOPs\REACTIV oecd interlaboratory validation\WF data\Repeats for invalid experiments - EBO\2022-EBO-ARABINOSE R4\plaque 1/@11 ARABINOSE 10/B11_01- exclu.tif"/>
    <m/>
    <m/>
    <x v="1"/>
    <m/>
    <m/>
    <m/>
    <m/>
  </r>
  <r>
    <x v="11"/>
    <x v="1"/>
    <s v="\\192.168.24.208\images\R&amp;D\2-Test oestrogénique\OECD and AOPs\REACTIV oecd interlaboratory validation\WF data\Repeats for invalid experiments - EBO\2022-EBO-ARABINOSE R4\plaque 1/@11 ARABINOSE 10/B11_02- exclu.tif"/>
    <m/>
    <m/>
    <x v="1"/>
    <m/>
    <m/>
    <m/>
    <m/>
  </r>
  <r>
    <x v="11"/>
    <x v="1"/>
    <s v="\\192.168.24.208\images\R&amp;D\2-Test oestrogénique\OECD and AOPs\REACTIV oecd interlaboratory validation\WF data\Repeats for invalid experiments - EBO\2022-EBO-ARABINOSE R4\plaque 1/@11 ARABINOSE 10/B11_03- exclu.tif"/>
    <m/>
    <m/>
    <x v="1"/>
    <m/>
    <m/>
    <m/>
    <m/>
  </r>
  <r>
    <x v="11"/>
    <x v="2"/>
    <s v="\\192.168.24.208\images\R&amp;D\2-Test oestrogénique\OECD and AOPs\REACTIV oecd interlaboratory validation\WF data\Repeats for invalid experiments - EBO\2022-EBO-ARABINOSE R4\plaque 1/@11 ARABINOSE 10/C11_01.tif "/>
    <s v=" 3328.3245 "/>
    <s v=" 65.3137 "/>
    <x v="0"/>
    <n v="217385"/>
    <m/>
    <m/>
    <m/>
  </r>
  <r>
    <x v="11"/>
    <x v="2"/>
    <s v="\\192.168.24.208\images\R&amp;D\2-Test oestrogénique\OECD and AOPs\REACTIV oecd interlaboratory validation\WF data\Repeats for invalid experiments - EBO\2022-EBO-ARABINOSE R4\plaque 1/@11 ARABINOSE 10/C11_02.tif "/>
    <s v=" 2697.4656 "/>
    <s v=" 66.5242 "/>
    <x v="0"/>
    <n v="179447"/>
    <m/>
    <m/>
    <m/>
  </r>
  <r>
    <x v="11"/>
    <x v="2"/>
    <s v="\\192.168.24.208\images\R&amp;D\2-Test oestrogénique\OECD and AOPs\REACTIV oecd interlaboratory validation\WF data\Repeats for invalid experiments - EBO\2022-EBO-ARABINOSE R4\plaque 1/@11 ARABINOSE 10/C11_03.tif "/>
    <s v=" 2349.4055 "/>
    <s v=" 64.463 "/>
    <x v="0"/>
    <n v="151450"/>
    <m/>
    <m/>
    <m/>
  </r>
  <r>
    <x v="11"/>
    <x v="3"/>
    <s v="\\192.168.24.208\images\R&amp;D\2-Test oestrogénique\OECD and AOPs\REACTIV oecd interlaboratory validation\WF data\Repeats for invalid experiments - EBO\2022-EBO-ARABINOSE R4\plaque 1/@11 ARABINOSE 10/D11_01.tif "/>
    <s v=" 6460.8652 "/>
    <s v=" 67.1953 "/>
    <x v="0"/>
    <n v="434140"/>
    <m/>
    <m/>
    <m/>
  </r>
  <r>
    <x v="11"/>
    <x v="3"/>
    <s v="\\192.168.24.208\images\R&amp;D\2-Test oestrogénique\OECD and AOPs\REACTIV oecd interlaboratory validation\WF data\Repeats for invalid experiments - EBO\2022-EBO-ARABINOSE R4\plaque 1/@11 ARABINOSE 10/D11_02- exclu.tif"/>
    <m/>
    <m/>
    <x v="1"/>
    <m/>
    <m/>
    <m/>
    <m/>
  </r>
  <r>
    <x v="11"/>
    <x v="3"/>
    <s v="\\192.168.24.208\images\R&amp;D\2-Test oestrogénique\OECD and AOPs\REACTIV oecd interlaboratory validation\WF data\Repeats for invalid experiments - EBO\2022-EBO-ARABINOSE R4\plaque 1/@11 ARABINOSE 10/D11_03- exclu.tif"/>
    <m/>
    <m/>
    <x v="1"/>
    <m/>
    <m/>
    <m/>
    <m/>
  </r>
  <r>
    <x v="11"/>
    <x v="4"/>
    <s v="\\192.168.24.208\images\R&amp;D\2-Test oestrogénique\OECD and AOPs\REACTIV oecd interlaboratory validation\WF data\Repeats for invalid experiments - EBO\2022-EBO-ARABINOSE R4\plaque 1/@11 ARABINOSE 10/E11_01.tif "/>
    <s v=" 2610.4506 "/>
    <s v=" 65.5083 "/>
    <x v="0"/>
    <n v="171006"/>
    <m/>
    <m/>
    <m/>
  </r>
  <r>
    <x v="11"/>
    <x v="4"/>
    <s v="\\192.168.24.208\images\R&amp;D\2-Test oestrogénique\OECD and AOPs\REACTIV oecd interlaboratory validation\WF data\Repeats for invalid experiments - EBO\2022-EBO-ARABINOSE R4\plaque 1/@11 ARABINOSE 10/E11_02.tif "/>
    <s v=" 913.6577 "/>
    <s v=" 66.0952 "/>
    <x v="0"/>
    <n v="60388"/>
    <m/>
    <m/>
    <m/>
  </r>
  <r>
    <x v="11"/>
    <x v="4"/>
    <s v="\\192.168.24.208\images\R&amp;D\2-Test oestrogénique\OECD and AOPs\REACTIV oecd interlaboratory validation\WF data\Repeats for invalid experiments - EBO\2022-EBO-ARABINOSE R4\plaque 1/@11 ARABINOSE 10/E11_03.tif "/>
    <s v=" 217.5376 "/>
    <n v="64"/>
    <x v="0"/>
    <n v="13922"/>
    <m/>
    <m/>
    <m/>
  </r>
  <r>
    <x v="11"/>
    <x v="5"/>
    <s v="\\192.168.24.208\images\R&amp;D\2-Test oestrogénique\OECD and AOPs\REACTIV oecd interlaboratory validation\WF data\Repeats for invalid experiments - EBO\2022-EBO-ARABINOSE R4\plaque 1/@11 ARABINOSE 10/F11_01.tif "/>
    <s v=" 326.3063 "/>
    <s v=" 64.1333 "/>
    <x v="0"/>
    <n v="20927"/>
    <m/>
    <m/>
    <m/>
  </r>
  <r>
    <x v="11"/>
    <x v="5"/>
    <s v="\\192.168.24.208\images\R&amp;D\2-Test oestrogénique\OECD and AOPs\REACTIV oecd interlaboratory validation\WF data\Repeats for invalid experiments - EBO\2022-EBO-ARABINOSE R4\plaque 1/@11 ARABINOSE 10/F11_02.tif "/>
    <s v=" 913.6577 "/>
    <s v=" 63.1905 "/>
    <x v="0"/>
    <n v="57734"/>
    <m/>
    <m/>
    <m/>
  </r>
  <r>
    <x v="11"/>
    <x v="5"/>
    <s v="\\192.168.24.208\images\R&amp;D\2-Test oestrogénique\OECD and AOPs\REACTIV oecd interlaboratory validation\WF data\Repeats for invalid experiments - EBO\2022-EBO-ARABINOSE R4\plaque 1/@11 ARABINOSE 10/F11_03.tif "/>
    <s v=" 957.1652 "/>
    <s v=" 64.7273 "/>
    <x v="0"/>
    <n v="61955"/>
    <m/>
    <m/>
    <m/>
  </r>
  <r>
    <x v="11"/>
    <x v="6"/>
    <s v="\\192.168.24.208\images\R&amp;D\2-Test oestrogénique\OECD and AOPs\REACTIV oecd interlaboratory validation\WF data\Repeats for invalid experiments - EBO\2022-EBO-ARABINOSE R4\plaque 1/@11 ARABINOSE 10/G11_01- exclu.tif"/>
    <m/>
    <m/>
    <x v="1"/>
    <m/>
    <m/>
    <m/>
    <m/>
  </r>
  <r>
    <x v="11"/>
    <x v="6"/>
    <s v="\\192.168.24.208\images\R&amp;D\2-Test oestrogénique\OECD and AOPs\REACTIV oecd interlaboratory validation\WF data\Repeats for invalid experiments - EBO\2022-EBO-ARABINOSE R4\plaque 1/@11 ARABINOSE 10/G11_02.tif "/>
    <s v=" 1283.4715 "/>
    <s v=" 63.9492 "/>
    <x v="0"/>
    <n v="82077"/>
    <m/>
    <m/>
    <m/>
  </r>
  <r>
    <x v="11"/>
    <x v="6"/>
    <s v="\\192.168.24.208\images\R&amp;D\2-Test oestrogénique\OECD and AOPs\REACTIV oecd interlaboratory validation\WF data\Repeats for invalid experiments - EBO\2022-EBO-ARABINOSE R4\plaque 1/@11 ARABINOSE 10/G11_03.tif "/>
    <s v=" 152.2763 "/>
    <n v="64"/>
    <x v="0"/>
    <n v="9746"/>
    <m/>
    <m/>
    <m/>
  </r>
  <r>
    <x v="11"/>
    <x v="7"/>
    <s v="\\192.168.24.208\images\R&amp;D\2-Test oestrogénique\OECD and AOPs\REACTIV oecd interlaboratory validation\WF data\Repeats for invalid experiments - EBO\2022-EBO-ARABINOSE R4\plaque 1/@11 ARABINOSE 10/H11_01.tif "/>
    <s v=" 4829.3336 "/>
    <s v=" 68.9279 "/>
    <x v="0"/>
    <n v="332876"/>
    <m/>
    <m/>
    <m/>
  </r>
  <r>
    <x v="11"/>
    <x v="7"/>
    <s v="\\192.168.24.208\images\R&amp;D\2-Test oestrogénique\OECD and AOPs\REACTIV oecd interlaboratory validation\WF data\Repeats for invalid experiments - EBO\2022-EBO-ARABINOSE R4\plaque 1/@11 ARABINOSE 10/H11_02.tif "/>
    <s v=" 1653.2854 "/>
    <s v=" 65.7632 "/>
    <x v="0"/>
    <n v="108725"/>
    <m/>
    <m/>
    <m/>
  </r>
  <r>
    <x v="11"/>
    <x v="7"/>
    <s v="\\192.168.24.208\images\R&amp;D\2-Test oestrogénique\OECD and AOPs\REACTIV oecd interlaboratory validation\WF data\Repeats for invalid experiments - EBO\2022-EBO-ARABINOSE R4\plaque 1/@11 ARABINOSE 10/H11_03.tif "/>
    <s v=" 1740.3004 "/>
    <s v=" 64.55 "/>
    <x v="0"/>
    <n v="112336"/>
    <m/>
    <m/>
    <m/>
  </r>
  <r>
    <x v="1"/>
    <x v="8"/>
    <s v=" "/>
    <m/>
    <m/>
    <x v="1"/>
    <m/>
    <m/>
    <m/>
    <m/>
  </r>
  <r>
    <x v="1"/>
    <x v="8"/>
    <s v="group "/>
    <s v=" "/>
    <s v=" mean of mean fluo "/>
    <x v="2"/>
    <s v=" mean of total fluo "/>
    <s v=" SD total fluo "/>
    <s v=" n fluorescent "/>
    <s v=" n total"/>
  </r>
  <r>
    <x v="11"/>
    <x v="9"/>
    <s v="\\192.168.24.208\images\R&amp;D\2-Test oestrogénique\OECD and AOPs\REACTIV oecd interlaboratory validation\WF data\Repeats for invalid experiments - EBO\2022-EBO-ARABINOSE R4\plaque 1/@11 ARABINOSE 10/ "/>
    <s v=" "/>
    <s v=" 65.6712 "/>
    <x v="13"/>
    <s v=" 129445.708 "/>
    <s v=" 204601.3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192.168.24.208\images\R&amp;D\2-Test oestrogénique\OECD and AOPs\REACTIV oecd interlaboratory validation\WF data\Repeats for invalid experiments - EBO\2022-EBO-ARABINOSE R4\plaque 1/@12 ARABINOSE 100/A12_01.tif "/>
    <s v=" 3219.5557 "/>
    <s v=" 64.6622 "/>
    <x v="0"/>
    <n v="208183"/>
    <m/>
    <m/>
    <m/>
  </r>
  <r>
    <x v="12"/>
    <x v="0"/>
    <s v="\\192.168.24.208\images\R&amp;D\2-Test oestrogénique\OECD and AOPs\REACTIV oecd interlaboratory validation\WF data\Repeats for invalid experiments - EBO\2022-EBO-ARABINOSE R4\plaque 1/@12 ARABINOSE 100/A12_02.tif "/>
    <s v=" 1109.4415 "/>
    <n v="63"/>
    <x v="0"/>
    <n v="69895"/>
    <m/>
    <m/>
    <m/>
  </r>
  <r>
    <x v="12"/>
    <x v="0"/>
    <s v="\\192.168.24.208\images\R&amp;D\2-Test oestrogénique\OECD and AOPs\REACTIV oecd interlaboratory validation\WF data\Repeats for invalid experiments - EBO\2022-EBO-ARABINOSE R4\plaque 1/@12 ARABINOSE 100/A12_03.tif "/>
    <s v=" 1675.0391 "/>
    <s v=" 65.2597 "/>
    <x v="0"/>
    <n v="109313"/>
    <m/>
    <m/>
    <m/>
  </r>
  <r>
    <x v="12"/>
    <x v="1"/>
    <s v="\\192.168.24.208\images\R&amp;D\2-Test oestrogénique\OECD and AOPs\REACTIV oecd interlaboratory validation\WF data\Repeats for invalid experiments - EBO\2022-EBO-ARABINOSE R4\plaque 1/@12 ARABINOSE 100/B12_01.tif "/>
    <s v=" 326.3063 "/>
    <s v=" 63.5333 "/>
    <x v="0"/>
    <n v="20731"/>
    <m/>
    <m/>
    <m/>
  </r>
  <r>
    <x v="12"/>
    <x v="1"/>
    <s v="\\192.168.24.208\images\R&amp;D\2-Test oestrogénique\OECD and AOPs\REACTIV oecd interlaboratory validation\WF data\Repeats for invalid experiments - EBO\2022-EBO-ARABINOSE R4\plaque 1/@12 ARABINOSE 100/B12_02.tif "/>
    <s v=" 804.8889 "/>
    <s v=" 62.9459 "/>
    <x v="0"/>
    <n v="50664"/>
    <m/>
    <m/>
    <m/>
  </r>
  <r>
    <x v="12"/>
    <x v="1"/>
    <s v="\\192.168.24.208\images\R&amp;D\2-Test oestrogénique\OECD and AOPs\REACTIV oecd interlaboratory validation\WF data\Repeats for invalid experiments - EBO\2022-EBO-ARABINOSE R4\plaque 1/@12 ARABINOSE 100/B12_03.tif "/>
    <s v=" 1979.5917 "/>
    <s v=" 64.4835 "/>
    <x v="0"/>
    <n v="127651"/>
    <m/>
    <m/>
    <m/>
  </r>
  <r>
    <x v="12"/>
    <x v="2"/>
    <s v="\\192.168.24.208\images\R&amp;D\2-Test oestrogénique\OECD and AOPs\REACTIV oecd interlaboratory validation\WF data\Repeats for invalid experiments - EBO\2022-EBO-ARABINOSE R4\plaque 1/@12 ARABINOSE 100/C12_01.tif "/>
    <s v=" 1283.4715 "/>
    <s v=" 65.6949 "/>
    <x v="0"/>
    <n v="84318"/>
    <m/>
    <m/>
    <m/>
  </r>
  <r>
    <x v="12"/>
    <x v="2"/>
    <s v="\\192.168.24.208\images\R&amp;D\2-Test oestrogénique\OECD and AOPs\REACTIV oecd interlaboratory validation\WF data\Repeats for invalid experiments - EBO\2022-EBO-ARABINOSE R4\plaque 1/@12 ARABINOSE 100/C12_02.tif "/>
    <s v=" 2436.4206 "/>
    <s v=" 67.2411 "/>
    <x v="0"/>
    <n v="163828"/>
    <m/>
    <m/>
    <m/>
  </r>
  <r>
    <x v="12"/>
    <x v="2"/>
    <s v="\\192.168.24.208\images\R&amp;D\2-Test oestrogénique\OECD and AOPs\REACTIV oecd interlaboratory validation\WF data\Repeats for invalid experiments - EBO\2022-EBO-ARABINOSE R4\plaque 1/@12 ARABINOSE 100/C12_03.tif "/>
    <s v=" 2893.2494 "/>
    <s v=" 66.4511 "/>
    <x v="0"/>
    <n v="192260"/>
    <m/>
    <m/>
    <m/>
  </r>
  <r>
    <x v="12"/>
    <x v="3"/>
    <s v="\\192.168.24.208\images\R&amp;D\2-Test oestrogénique\OECD and AOPs\REACTIV oecd interlaboratory validation\WF data\Repeats for invalid experiments - EBO\2022-EBO-ARABINOSE R4\plaque 1/@12 ARABINOSE 100/D12_01.tif "/>
    <s v=" 6765.4178 "/>
    <s v=" 68.0643 "/>
    <x v="0"/>
    <n v="460483"/>
    <m/>
    <m/>
    <m/>
  </r>
  <r>
    <x v="12"/>
    <x v="3"/>
    <s v="\\192.168.24.208\images\R&amp;D\2-Test oestrogénique\OECD and AOPs\REACTIV oecd interlaboratory validation\WF data\Repeats for invalid experiments - EBO\2022-EBO-ARABINOSE R4\plaque 1/@12 ARABINOSE 100/D12_02.tif "/>
    <s v=" 5090.3787 "/>
    <s v=" 68.9615 "/>
    <x v="0"/>
    <n v="351040"/>
    <m/>
    <m/>
    <m/>
  </r>
  <r>
    <x v="12"/>
    <x v="3"/>
    <s v="\\192.168.24.208\images\R&amp;D\2-Test oestrogénique\OECD and AOPs\REACTIV oecd interlaboratory validation\WF data\Repeats for invalid experiments - EBO\2022-EBO-ARABINOSE R4\plaque 1/@12 ARABINOSE 100/D12_03.tif "/>
    <s v=" 413.3213 "/>
    <s v=" 63.3158 "/>
    <x v="0"/>
    <n v="26170"/>
    <m/>
    <m/>
    <m/>
  </r>
  <r>
    <x v="12"/>
    <x v="4"/>
    <s v="\\192.168.24.208\images\R&amp;D\2-Test oestrogénique\OECD and AOPs\REACTIV oecd interlaboratory validation\WF data\Repeats for invalid experiments - EBO\2022-EBO-ARABINOSE R4\plaque 1/@12 ARABINOSE 100/E12_01- exclu.tif"/>
    <m/>
    <m/>
    <x v="1"/>
    <m/>
    <m/>
    <m/>
    <m/>
  </r>
  <r>
    <x v="12"/>
    <x v="4"/>
    <s v="\\192.168.24.208\images\R&amp;D\2-Test oestrogénique\OECD and AOPs\REACTIV oecd interlaboratory validation\WF data\Repeats for invalid experiments - EBO\2022-EBO-ARABINOSE R4\plaque 1/@12 ARABINOSE 100/E12_02.tif "/>
    <s v=" 413.3213 "/>
    <s v=" 64.7368 "/>
    <x v="0"/>
    <n v="26757"/>
    <m/>
    <m/>
    <m/>
  </r>
  <r>
    <x v="12"/>
    <x v="4"/>
    <s v="\\192.168.24.208\images\R&amp;D\2-Test oestrogénique\OECD and AOPs\REACTIV oecd interlaboratory validation\WF data\Repeats for invalid experiments - EBO\2022-EBO-ARABINOSE R4\plaque 1/@12 ARABINOSE 100/E12_03.tif "/>
    <s v=" 282.7988 "/>
    <s v=" 63.2308 "/>
    <x v="0"/>
    <n v="17882"/>
    <m/>
    <m/>
    <m/>
  </r>
  <r>
    <x v="12"/>
    <x v="5"/>
    <s v="\\192.168.24.208\images\R&amp;D\2-Test oestrogénique\OECD and AOPs\REACTIV oecd interlaboratory validation\WF data\Repeats for invalid experiments - EBO\2022-EBO-ARABINOSE R4\plaque 1/@12 ARABINOSE 100/F12_01.tif "/>
    <s v=" 2044.853 "/>
    <s v=" 64.4894 "/>
    <x v="0"/>
    <n v="131871"/>
    <m/>
    <m/>
    <m/>
  </r>
  <r>
    <x v="12"/>
    <x v="5"/>
    <s v="\\192.168.24.208\images\R&amp;D\2-Test oestrogénique\OECD and AOPs\REACTIV oecd interlaboratory validation\WF data\Repeats for invalid experiments - EBO\2022-EBO-ARABINOSE R4\plaque 1/@12 ARABINOSE 100/F12_02.tif "/>
    <s v=" 891.904 "/>
    <s v=" 62.5366 "/>
    <x v="0"/>
    <n v="55777"/>
    <m/>
    <m/>
    <m/>
  </r>
  <r>
    <x v="12"/>
    <x v="5"/>
    <s v="\\192.168.24.208\images\R&amp;D\2-Test oestrogénique\OECD and AOPs\REACTIV oecd interlaboratory validation\WF data\Repeats for invalid experiments - EBO\2022-EBO-ARABINOSE R4\plaque 1/@12 ARABINOSE 100/F12_03.tif "/>
    <s v=" 6199.8202 "/>
    <s v=" 72.786 "/>
    <x v="0"/>
    <n v="451260"/>
    <m/>
    <m/>
    <m/>
  </r>
  <r>
    <x v="12"/>
    <x v="6"/>
    <s v="\\192.168.24.208\images\R&amp;D\2-Test oestrogénique\OECD and AOPs\REACTIV oecd interlaboratory validation\WF data\Repeats for invalid experiments - EBO\2022-EBO-ARABINOSE R4\plaque 1/@12 ARABINOSE 100/G12_01- exclu.tif"/>
    <m/>
    <m/>
    <x v="1"/>
    <m/>
    <m/>
    <m/>
    <m/>
  </r>
  <r>
    <x v="12"/>
    <x v="6"/>
    <s v="\\192.168.24.208\images\R&amp;D\2-Test oestrogénique\OECD and AOPs\REACTIV oecd interlaboratory validation\WF data\Repeats for invalid experiments - EBO\2022-EBO-ARABINOSE R4\plaque 1/@12 ARABINOSE 100/G12_02- exclu.tif"/>
    <m/>
    <m/>
    <x v="1"/>
    <m/>
    <m/>
    <m/>
    <m/>
  </r>
  <r>
    <x v="12"/>
    <x v="6"/>
    <s v="\\192.168.24.208\images\R&amp;D\2-Test oestrogénique\OECD and AOPs\REACTIV oecd interlaboratory validation\WF data\Repeats for invalid experiments - EBO\2022-EBO-ARABINOSE R4\plaque 1/@12 ARABINOSE 100/G12_03- exclu.tif"/>
    <m/>
    <m/>
    <x v="1"/>
    <m/>
    <m/>
    <m/>
    <m/>
  </r>
  <r>
    <x v="12"/>
    <x v="7"/>
    <s v="\\192.168.24.208\images\R&amp;D\2-Test oestrogénique\OECD and AOPs\REACTIV oecd interlaboratory validation\WF data\Repeats for invalid experiments - EBO\2022-EBO-ARABINOSE R4\plaque 1/@12 ARABINOSE 100/H12_01- exclu.tif"/>
    <m/>
    <m/>
    <x v="1"/>
    <m/>
    <m/>
    <m/>
    <m/>
  </r>
  <r>
    <x v="12"/>
    <x v="7"/>
    <s v="\\192.168.24.208\images\R&amp;D\2-Test oestrogénique\OECD and AOPs\REACTIV oecd interlaboratory validation\WF data\Repeats for invalid experiments - EBO\2022-EBO-ARABINOSE R4\plaque 1/@12 ARABINOSE 100/H12_02.tif "/>
    <s v=" 1936.0842 "/>
    <s v=" 65.9663 "/>
    <x v="0"/>
    <n v="127716"/>
    <m/>
    <m/>
    <m/>
  </r>
  <r>
    <x v="12"/>
    <x v="7"/>
    <s v="\\192.168.24.208\images\R&amp;D\2-Test oestrogénique\OECD and AOPs\REACTIV oecd interlaboratory validation\WF data\Repeats for invalid experiments - EBO\2022-EBO-ARABINOSE R4\plaque 1/@12 ARABINOSE 100/H12_03.tif "/>
    <s v=" 3067.2795 "/>
    <s v=" 67.2837 "/>
    <x v="0"/>
    <n v="206378"/>
    <m/>
    <m/>
    <m/>
  </r>
  <r>
    <x v="1"/>
    <x v="8"/>
    <s v=" "/>
    <m/>
    <m/>
    <x v="1"/>
    <m/>
    <m/>
    <m/>
    <m/>
  </r>
  <r>
    <x v="1"/>
    <x v="8"/>
    <s v="group "/>
    <s v=" "/>
    <s v=" mean of mean fluo "/>
    <x v="2"/>
    <s v=" mean of total fluo "/>
    <s v=" SD total fluo "/>
    <s v=" n fluorescent "/>
    <s v=" n total"/>
  </r>
  <r>
    <x v="12"/>
    <x v="9"/>
    <s v="\\192.168.24.208\images\R&amp;D\2-Test oestrogénique\OECD and AOPs\REACTIV oecd interlaboratory validation\WF data\Repeats for invalid experiments - EBO\2022-EBO-ARABINOSE R4\plaque 1/@12 ARABINOSE 100/ "/>
    <s v=" "/>
    <s v=" 65.1582 "/>
    <x v="14"/>
    <s v=" 121592.583 "/>
    <s v=" 134465.0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192.168.24.208\images\R&amp;D\2-Test oestrogénique\OECD and AOPs\REACTIV oecd interlaboratory validation\WF data\Repeats for invalid experiments - EBO\2022-EBO-ARABINOSE R4\plaque 2/@13 TESTO 0.2/A1_01.tif "/>
    <s v=" 3698.1384 "/>
    <s v=" 64.9353 "/>
    <x v="0"/>
    <n v="240140"/>
    <m/>
    <m/>
    <m/>
  </r>
  <r>
    <x v="13"/>
    <x v="0"/>
    <s v="\\192.168.24.208\images\R&amp;D\2-Test oestrogénique\OECD and AOPs\REACTIV oecd interlaboratory validation\WF data\Repeats for invalid experiments - EBO\2022-EBO-ARABINOSE R4\plaque 2/@13 TESTO 0.2/A1_02- exclu.tif"/>
    <m/>
    <m/>
    <x v="1"/>
    <m/>
    <m/>
    <m/>
    <m/>
  </r>
  <r>
    <x v="13"/>
    <x v="0"/>
    <s v="\\192.168.24.208\images\R&amp;D\2-Test oestrogénique\OECD and AOPs\REACTIV oecd interlaboratory validation\WF data\Repeats for invalid experiments - EBO\2022-EBO-ARABINOSE R4\plaque 2/@13 TESTO 0.2/A1_03.tif "/>
    <s v=" 1892.5767 "/>
    <s v=" 63.977 "/>
    <x v="0"/>
    <n v="121081"/>
    <m/>
    <m/>
    <m/>
  </r>
  <r>
    <x v="13"/>
    <x v="1"/>
    <s v="\\192.168.24.208\images\R&amp;D\2-Test oestrogénique\OECD and AOPs\REACTIV oecd interlaboratory validation\WF data\Repeats for invalid experiments - EBO\2022-EBO-ARABINOSE R4\plaque 2/@13 TESTO 0.2/B1_01.tif "/>
    <s v=" 41419.1495 "/>
    <s v=" 72.0951 "/>
    <x v="0"/>
    <n v="2986116"/>
    <m/>
    <m/>
    <m/>
  </r>
  <r>
    <x v="13"/>
    <x v="1"/>
    <s v="\\192.168.24.208\images\R&amp;D\2-Test oestrogénique\OECD and AOPs\REACTIV oecd interlaboratory validation\WF data\Repeats for invalid experiments - EBO\2022-EBO-ARABINOSE R4\plaque 2/@13 TESTO 0.2/B1_02.tif "/>
    <s v=" 38308.3626 "/>
    <s v=" 71.3169 "/>
    <x v="0"/>
    <n v="2732032"/>
    <m/>
    <m/>
    <m/>
  </r>
  <r>
    <x v="13"/>
    <x v="1"/>
    <s v="\\192.168.24.208\images\R&amp;D\2-Test oestrogénique\OECD and AOPs\REACTIV oecd interlaboratory validation\WF data\Repeats for invalid experiments - EBO\2022-EBO-ARABINOSE R4\plaque 2/@13 TESTO 0.2/B1_03.tif "/>
    <s v=" 39852.8792 "/>
    <s v=" 71.6578 "/>
    <x v="0"/>
    <n v="2855768"/>
    <m/>
    <m/>
    <m/>
  </r>
  <r>
    <x v="13"/>
    <x v="2"/>
    <s v="\\192.168.24.208\images\R&amp;D\2-Test oestrogénique\OECD and AOPs\REACTIV oecd interlaboratory validation\WF data\Repeats for invalid experiments - EBO\2022-EBO-ARABINOSE R4\plaque 2/@13 TESTO 0.2/C1_01.tif "/>
    <s v=" 54862.9701 "/>
    <s v=" 70.7454 "/>
    <x v="0"/>
    <n v="3881305"/>
    <m/>
    <m/>
    <m/>
  </r>
  <r>
    <x v="13"/>
    <x v="2"/>
    <s v="\\192.168.24.208\images\R&amp;D\2-Test oestrogénique\OECD and AOPs\REACTIV oecd interlaboratory validation\WF data\Repeats for invalid experiments - EBO\2022-EBO-ARABINOSE R4\plaque 2/@13 TESTO 0.2/C1_02.tif "/>
    <s v=" 55058.7539 "/>
    <s v=" 70.6357 "/>
    <x v="0"/>
    <n v="3889115"/>
    <m/>
    <m/>
    <m/>
  </r>
  <r>
    <x v="13"/>
    <x v="2"/>
    <s v="\\192.168.24.208\images\R&amp;D\2-Test oestrogénique\OECD and AOPs\REACTIV oecd interlaboratory validation\WF data\Repeats for invalid experiments - EBO\2022-EBO-ARABINOSE R4\plaque 2/@13 TESTO 0.2/C1_03.tif "/>
    <s v=" 53122.6697 "/>
    <s v=" 71.588 "/>
    <x v="0"/>
    <n v="3802948"/>
    <m/>
    <m/>
    <m/>
  </r>
  <r>
    <x v="13"/>
    <x v="3"/>
    <s v="\\192.168.24.208\images\R&amp;D\2-Test oestrogénique\OECD and AOPs\REACTIV oecd interlaboratory validation\WF data\Repeats for invalid experiments - EBO\2022-EBO-ARABINOSE R4\plaque 2/@13 TESTO 0.2/D1_01.tif "/>
    <s v=" 30542.272 "/>
    <s v=" 68.2151 "/>
    <x v="0"/>
    <n v="2083444"/>
    <m/>
    <m/>
    <m/>
  </r>
  <r>
    <x v="13"/>
    <x v="3"/>
    <s v="\\192.168.24.208\images\R&amp;D\2-Test oestrogénique\OECD and AOPs\REACTIV oecd interlaboratory validation\WF data\Repeats for invalid experiments - EBO\2022-EBO-ARABINOSE R4\plaque 2/@13 TESTO 0.2/D1_02.tif "/>
    <s v=" 25560.6621 "/>
    <s v=" 66.7515 "/>
    <x v="0"/>
    <n v="1706212"/>
    <m/>
    <m/>
    <m/>
  </r>
  <r>
    <x v="13"/>
    <x v="3"/>
    <s v="\\192.168.24.208\images\R&amp;D\2-Test oestrogénique\OECD and AOPs\REACTIV oecd interlaboratory validation\WF data\Repeats for invalid experiments - EBO\2022-EBO-ARABINOSE R4\plaque 2/@13 TESTO 0.2/D1_03.tif "/>
    <s v=" 30781.5633 "/>
    <s v=" 67.7449 "/>
    <x v="0"/>
    <n v="2085293"/>
    <m/>
    <m/>
    <m/>
  </r>
  <r>
    <x v="13"/>
    <x v="4"/>
    <s v="\\192.168.24.208\images\R&amp;D\2-Test oestrogénique\OECD and AOPs\REACTIV oecd interlaboratory validation\WF data\Repeats for invalid experiments - EBO\2022-EBO-ARABINOSE R4\plaque 2/@13 TESTO 0.2/E1_01.tif "/>
    <s v=" 31738.7286 "/>
    <s v=" 68.8903 "/>
    <x v="0"/>
    <n v="2186492"/>
    <m/>
    <m/>
    <m/>
  </r>
  <r>
    <x v="13"/>
    <x v="4"/>
    <s v="\\192.168.24.208\images\R&amp;D\2-Test oestrogénique\OECD and AOPs\REACTIV oecd interlaboratory validation\WF data\Repeats for invalid experiments - EBO\2022-EBO-ARABINOSE R4\plaque 2/@13 TESTO 0.2/E1_02.tif "/>
    <s v=" 30302.9807 "/>
    <s v=" 69.1723 "/>
    <x v="0"/>
    <n v="2096127"/>
    <m/>
    <m/>
    <m/>
  </r>
  <r>
    <x v="13"/>
    <x v="4"/>
    <s v="\\192.168.24.208\images\R&amp;D\2-Test oestrogénique\OECD and AOPs\REACTIV oecd interlaboratory validation\WF data\Repeats for invalid experiments - EBO\2022-EBO-ARABINOSE R4\plaque 2/@13 TESTO 0.2/E1_03.tif "/>
    <s v=" 25669.4309 "/>
    <s v=" 68.6492 "/>
    <x v="0"/>
    <n v="1762185"/>
    <m/>
    <m/>
    <m/>
  </r>
  <r>
    <x v="13"/>
    <x v="5"/>
    <s v="\\192.168.24.208\images\R&amp;D\2-Test oestrogénique\OECD and AOPs\REACTIV oecd interlaboratory validation\WF data\Repeats for invalid experiments - EBO\2022-EBO-ARABINOSE R4\plaque 2/@13 TESTO 0.2/F1_01.tif "/>
    <s v=" 11181.4301 "/>
    <s v=" 67.2977 "/>
    <x v="0"/>
    <n v="752484"/>
    <m/>
    <m/>
    <m/>
  </r>
  <r>
    <x v="13"/>
    <x v="5"/>
    <s v="\\192.168.24.208\images\R&amp;D\2-Test oestrogénique\OECD and AOPs\REACTIV oecd interlaboratory validation\WF data\Repeats for invalid experiments - EBO\2022-EBO-ARABINOSE R4\plaque 2/@13 TESTO 0.2/F1_02.tif "/>
    <s v=" 6569.634 "/>
    <s v=" 64.9636 "/>
    <x v="0"/>
    <n v="426787"/>
    <m/>
    <m/>
    <m/>
  </r>
  <r>
    <x v="13"/>
    <x v="5"/>
    <s v="\\192.168.24.208\images\R&amp;D\2-Test oestrogénique\OECD and AOPs\REACTIV oecd interlaboratory validation\WF data\Repeats for invalid experiments - EBO\2022-EBO-ARABINOSE R4\plaque 2/@13 TESTO 0.2/F1_03.tif "/>
    <s v=" 7178.7392 "/>
    <s v=" 64.9727 "/>
    <x v="0"/>
    <n v="466422"/>
    <m/>
    <m/>
    <m/>
  </r>
  <r>
    <x v="13"/>
    <x v="6"/>
    <s v="\\192.168.24.208\images\R&amp;D\2-Test oestrogénique\OECD and AOPs\REACTIV oecd interlaboratory validation\WF data\Repeats for invalid experiments - EBO\2022-EBO-ARABINOSE R4\plaque 2/@13 TESTO 0.2/G1_01.tif "/>
    <s v=" 4372.5048 "/>
    <s v=" 65.005 "/>
    <x v="0"/>
    <n v="284235"/>
    <m/>
    <m/>
    <m/>
  </r>
  <r>
    <x v="13"/>
    <x v="6"/>
    <s v="\\192.168.24.208\images\R&amp;D\2-Test oestrogénique\OECD and AOPs\REACTIV oecd interlaboratory validation\WF data\Repeats for invalid experiments - EBO\2022-EBO-ARABINOSE R4\plaque 2/@13 TESTO 0.2/G1_02.tif "/>
    <s v=" 3654.6308 "/>
    <s v=" 63.7917 "/>
    <x v="0"/>
    <n v="233135"/>
    <m/>
    <m/>
    <m/>
  </r>
  <r>
    <x v="13"/>
    <x v="6"/>
    <s v="\\192.168.24.208\images\R&amp;D\2-Test oestrogénique\OECD and AOPs\REACTIV oecd interlaboratory validation\WF data\Repeats for invalid experiments - EBO\2022-EBO-ARABINOSE R4\plaque 2/@13 TESTO 0.2/G1_03.tif "/>
    <s v=" 9593.406 "/>
    <s v=" 64.7347 "/>
    <x v="0"/>
    <n v="621026"/>
    <m/>
    <m/>
    <m/>
  </r>
  <r>
    <x v="13"/>
    <x v="7"/>
    <s v="\\192.168.24.208\images\R&amp;D\2-Test oestrogénique\OECD and AOPs\REACTIV oecd interlaboratory validation\WF data\Repeats for invalid experiments - EBO\2022-EBO-ARABINOSE R4\plaque 2/@13 TESTO 0.2/H1_01.tif "/>
    <s v=" 40113.9242 "/>
    <s v=" 70.8227 "/>
    <x v="0"/>
    <n v="2840975"/>
    <m/>
    <m/>
    <m/>
  </r>
  <r>
    <x v="13"/>
    <x v="7"/>
    <s v="\\192.168.24.208\images\R&amp;D\2-Test oestrogénique\OECD and AOPs\REACTIV oecd interlaboratory validation\WF data\Repeats for invalid experiments - EBO\2022-EBO-ARABINOSE R4\plaque 2/@13 TESTO 0.2/H1_02.tif "/>
    <s v=" 36002.4645 "/>
    <s v=" 69.8973 "/>
    <x v="0"/>
    <n v="2516474"/>
    <m/>
    <m/>
    <m/>
  </r>
  <r>
    <x v="13"/>
    <x v="7"/>
    <s v="\\192.168.24.208\images\R&amp;D\2-Test oestrogénique\OECD and AOPs\REACTIV oecd interlaboratory validation\WF data\Repeats for invalid experiments - EBO\2022-EBO-ARABINOSE R4\plaque 2/@13 TESTO 0.2/H1_03.tif "/>
    <s v=" 35828.4345 "/>
    <s v=" 69.2866 "/>
    <x v="0"/>
    <n v="2482430"/>
    <m/>
    <m/>
    <m/>
  </r>
  <r>
    <x v="1"/>
    <x v="8"/>
    <s v=" "/>
    <m/>
    <m/>
    <x v="1"/>
    <m/>
    <m/>
    <m/>
    <m/>
  </r>
  <r>
    <x v="1"/>
    <x v="8"/>
    <s v="group "/>
    <s v=" "/>
    <s v=" mean of mean fluo "/>
    <x v="2"/>
    <s v=" mean of total fluo "/>
    <s v=" SD total fluo "/>
    <s v=" n fluorescent "/>
    <s v=" n total"/>
  </r>
  <r>
    <x v="13"/>
    <x v="9"/>
    <s v="\\192.168.24.208\images\R&amp;D\2-Test oestrogénique\OECD and AOPs\REACTIV oecd interlaboratory validation\WF data\Repeats for invalid experiments - EBO\2022-EBO-ARABINOSE R4\plaque 2/@13 TESTO 0.2/ "/>
    <s v=" "/>
    <s v=" 67.9332 "/>
    <x v="15"/>
    <s v=" 1794301.38 "/>
    <s v=" 1284110.3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192.168.24.208\images\R&amp;D\2-Test oestrogénique\OECD and AOPs\REACTIV oecd interlaboratory validation\WF data\Repeats for invalid experiments - EBO\2022-EBO-ARABINOSE R4\plaque 2/@14 TESTO 0.2/A2_01.tif "/>
    <s v=" 43181.2037 "/>
    <s v=" 75.3698 "/>
    <x v="0"/>
    <n v="3254558"/>
    <m/>
    <m/>
    <m/>
  </r>
  <r>
    <x v="14"/>
    <x v="0"/>
    <s v="\\192.168.24.208\images\R&amp;D\2-Test oestrogénique\OECD and AOPs\REACTIV oecd interlaboratory validation\WF data\Repeats for invalid experiments - EBO\2022-EBO-ARABINOSE R4\plaque 2/@14 TESTO 0.2/A2_02.tif "/>
    <s v=" 38112.5788 "/>
    <s v=" 77.7842 "/>
    <x v="0"/>
    <n v="2964558"/>
    <m/>
    <m/>
    <m/>
  </r>
  <r>
    <x v="14"/>
    <x v="0"/>
    <s v="\\192.168.24.208\images\R&amp;D\2-Test oestrogénique\OECD and AOPs\REACTIV oecd interlaboratory validation\WF data\Repeats for invalid experiments - EBO\2022-EBO-ARABINOSE R4\plaque 2/@14 TESTO 0.2/A2_03.tif "/>
    <s v=" 39765.8641 "/>
    <s v=" 74.9672 "/>
    <x v="0"/>
    <n v="2981135"/>
    <m/>
    <m/>
    <m/>
  </r>
  <r>
    <x v="14"/>
    <x v="1"/>
    <s v="\\192.168.24.208\images\R&amp;D\2-Test oestrogénique\OECD and AOPs\REACTIV oecd interlaboratory validation\WF data\Repeats for invalid experiments - EBO\2022-EBO-ARABINOSE R4\plaque 2/@14 TESTO 0.2/B2_01.tif "/>
    <s v=" 25908.7222 "/>
    <s v=" 65.9328 "/>
    <x v="0"/>
    <n v="1708235"/>
    <m/>
    <m/>
    <m/>
  </r>
  <r>
    <x v="14"/>
    <x v="1"/>
    <s v="\\192.168.24.208\images\R&amp;D\2-Test oestrogénique\OECD and AOPs\REACTIV oecd interlaboratory validation\WF data\Repeats for invalid experiments - EBO\2022-EBO-ARABINOSE R4\plaque 2/@14 TESTO 0.2/B2_02- exclu.tif"/>
    <m/>
    <m/>
    <x v="1"/>
    <m/>
    <m/>
    <m/>
    <m/>
  </r>
  <r>
    <x v="14"/>
    <x v="1"/>
    <s v="\\192.168.24.208\images\R&amp;D\2-Test oestrogénique\OECD and AOPs\REACTIV oecd interlaboratory validation\WF data\Repeats for invalid experiments - EBO\2022-EBO-ARABINOSE R4\plaque 2/@14 TESTO 0.2/B2_03- exclu.tif"/>
    <m/>
    <m/>
    <x v="1"/>
    <m/>
    <m/>
    <m/>
    <m/>
  </r>
  <r>
    <x v="14"/>
    <x v="2"/>
    <s v="\\192.168.24.208\images\R&amp;D\2-Test oestrogénique\OECD and AOPs\REACTIV oecd interlaboratory validation\WF data\Repeats for invalid experiments - EBO\2022-EBO-ARABINOSE R4\plaque 2/@14 TESTO 0.2/C2_01- exclu.tif"/>
    <m/>
    <m/>
    <x v="1"/>
    <m/>
    <m/>
    <m/>
    <m/>
  </r>
  <r>
    <x v="14"/>
    <x v="2"/>
    <s v="\\192.168.24.208\images\R&amp;D\2-Test oestrogénique\OECD and AOPs\REACTIV oecd interlaboratory validation\WF data\Repeats for invalid experiments - EBO\2022-EBO-ARABINOSE R4\plaque 2/@14 TESTO 0.2/C2_02- exclu.tif"/>
    <m/>
    <m/>
    <x v="1"/>
    <m/>
    <m/>
    <m/>
    <m/>
  </r>
  <r>
    <x v="14"/>
    <x v="2"/>
    <s v="\\192.168.24.208\images\R&amp;D\2-Test oestrogénique\OECD and AOPs\REACTIV oecd interlaboratory validation\WF data\Repeats for invalid experiments - EBO\2022-EBO-ARABINOSE R4\plaque 2/@14 TESTO 0.2/C2_03- exclu.tif"/>
    <m/>
    <m/>
    <x v="1"/>
    <m/>
    <m/>
    <m/>
    <m/>
  </r>
  <r>
    <x v="14"/>
    <x v="3"/>
    <s v="\\192.168.24.208\images\R&amp;D\2-Test oestrogénique\OECD and AOPs\REACTIV oecd interlaboratory validation\WF data\Repeats for invalid experiments - EBO\2022-EBO-ARABINOSE R4\plaque 2/@14 TESTO 0.2/D2_01.tif "/>
    <s v=" 34066.3803 "/>
    <s v=" 66.9393 "/>
    <x v="0"/>
    <n v="2280381"/>
    <m/>
    <m/>
    <m/>
  </r>
  <r>
    <x v="14"/>
    <x v="3"/>
    <s v="\\192.168.24.208\images\R&amp;D\2-Test oestrogénique\OECD and AOPs\REACTIV oecd interlaboratory validation\WF data\Repeats for invalid experiments - EBO\2022-EBO-ARABINOSE R4\plaque 2/@14 TESTO 0.2/D2_02.tif "/>
    <s v=" 39222.0203 "/>
    <s v=" 67.9323 "/>
    <x v="0"/>
    <n v="2664443"/>
    <m/>
    <m/>
    <m/>
  </r>
  <r>
    <x v="14"/>
    <x v="3"/>
    <s v="\\192.168.24.208\images\R&amp;D\2-Test oestrogénique\OECD and AOPs\REACTIV oecd interlaboratory validation\WF data\Repeats for invalid experiments - EBO\2022-EBO-ARABINOSE R4\plaque 2/@14 TESTO 0.2/D2_03.tif "/>
    <s v=" 42789.6361 "/>
    <s v=" 68.8475 "/>
    <x v="0"/>
    <n v="2945959"/>
    <m/>
    <m/>
    <m/>
  </r>
  <r>
    <x v="14"/>
    <x v="4"/>
    <s v="\\192.168.24.208\images\R&amp;D\2-Test oestrogénique\OECD and AOPs\REACTIV oecd interlaboratory validation\WF data\Repeats for invalid experiments - EBO\2022-EBO-ARABINOSE R4\plaque 2/@14 TESTO 0.2/E2_01.tif "/>
    <s v=" 10724.6012 "/>
    <s v=" 65.2759 "/>
    <x v="0"/>
    <n v="700058"/>
    <m/>
    <m/>
    <m/>
  </r>
  <r>
    <x v="14"/>
    <x v="4"/>
    <s v="\\192.168.24.208\images\R&amp;D\2-Test oestrogénique\OECD and AOPs\REACTIV oecd interlaboratory validation\WF data\Repeats for invalid experiments - EBO\2022-EBO-ARABINOSE R4\plaque 2/@14 TESTO 0.2/E2_02.tif "/>
    <s v=" 11224.9376 "/>
    <s v=" 65.2112 "/>
    <x v="0"/>
    <n v="731992"/>
    <m/>
    <m/>
    <m/>
  </r>
  <r>
    <x v="14"/>
    <x v="4"/>
    <s v="\\192.168.24.208\images\R&amp;D\2-Test oestrogénique\OECD and AOPs\REACTIV oecd interlaboratory validation\WF data\Repeats for invalid experiments - EBO\2022-EBO-ARABINOSE R4\plaque 2/@14 TESTO 0.2/E2_03.tif "/>
    <s v=" 11290.1988 "/>
    <s v=" 65.2216 "/>
    <x v="0"/>
    <n v="736365"/>
    <m/>
    <m/>
    <m/>
  </r>
  <r>
    <x v="14"/>
    <x v="5"/>
    <s v="\\192.168.24.208\images\R&amp;D\2-Test oestrogénique\OECD and AOPs\REACTIV oecd interlaboratory validation\WF data\Repeats for invalid experiments - EBO\2022-EBO-ARABINOSE R4\plaque 2/@14 TESTO 0.2/F2_01.tif "/>
    <s v=" 23972.638 "/>
    <s v=" 66.333 "/>
    <x v="0"/>
    <n v="1590178"/>
    <m/>
    <m/>
    <m/>
  </r>
  <r>
    <x v="14"/>
    <x v="5"/>
    <s v="\\192.168.24.208\images\R&amp;D\2-Test oestrogénique\OECD and AOPs\REACTIV oecd interlaboratory validation\WF data\Repeats for invalid experiments - EBO\2022-EBO-ARABINOSE R4\plaque 2/@14 TESTO 0.2/F2_02.tif "/>
    <s v=" 27453.2388 "/>
    <s v=" 67.6513 "/>
    <x v="0"/>
    <n v="1857249"/>
    <m/>
    <m/>
    <m/>
  </r>
  <r>
    <x v="14"/>
    <x v="5"/>
    <s v="\\192.168.24.208\images\R&amp;D\2-Test oestrogénique\OECD and AOPs\REACTIV oecd interlaboratory validation\WF data\Repeats for invalid experiments - EBO\2022-EBO-ARABINOSE R4\plaque 2/@14 TESTO 0.2/F2_03.tif "/>
    <s v=" 21079.3886 "/>
    <s v=" 67.2755 "/>
    <x v="0"/>
    <n v="1418127"/>
    <m/>
    <m/>
    <m/>
  </r>
  <r>
    <x v="14"/>
    <x v="6"/>
    <s v="\\192.168.24.208\images\R&amp;D\2-Test oestrogénique\OECD and AOPs\REACTIV oecd interlaboratory validation\WF data\Repeats for invalid experiments - EBO\2022-EBO-ARABINOSE R4\plaque 2/@14 TESTO 0.2/G2_01.tif "/>
    <s v=" 28084.0977 "/>
    <s v=" 68.0101 "/>
    <x v="0"/>
    <n v="1910001"/>
    <m/>
    <m/>
    <m/>
  </r>
  <r>
    <x v="14"/>
    <x v="6"/>
    <s v="\\192.168.24.208\images\R&amp;D\2-Test oestrogénique\OECD and AOPs\REACTIV oecd interlaboratory validation\WF data\Repeats for invalid experiments - EBO\2022-EBO-ARABINOSE R4\plaque 2/@14 TESTO 0.2/G2_02.tif "/>
    <s v=" 32130.2961 "/>
    <s v=" 68.673 "/>
    <x v="0"/>
    <n v="2206483"/>
    <m/>
    <m/>
    <m/>
  </r>
  <r>
    <x v="14"/>
    <x v="6"/>
    <s v="\\192.168.24.208\images\R&amp;D\2-Test oestrogénique\OECD and AOPs\REACTIV oecd interlaboratory validation\WF data\Repeats for invalid experiments - EBO\2022-EBO-ARABINOSE R4\plaque 2/@14 TESTO 0.2/G2_03.tif "/>
    <s v=" 30237.7195 "/>
    <s v=" 67.7417 "/>
    <x v="0"/>
    <n v="2048355"/>
    <m/>
    <m/>
    <m/>
  </r>
  <r>
    <x v="14"/>
    <x v="7"/>
    <s v="\\192.168.24.208\images\R&amp;D\2-Test oestrogénique\OECD and AOPs\REACTIV oecd interlaboratory validation\WF data\Repeats for invalid experiments - EBO\2022-EBO-ARABINOSE R4\plaque 2/@14 TESTO 0.2/H2_01.tif "/>
    <s v=" 24342.4518 "/>
    <s v=" 67.1376 "/>
    <x v="0"/>
    <n v="1634294"/>
    <m/>
    <m/>
    <m/>
  </r>
  <r>
    <x v="14"/>
    <x v="7"/>
    <s v="\\192.168.24.208\images\R&amp;D\2-Test oestrogénique\OECD and AOPs\REACTIV oecd interlaboratory validation\WF data\Repeats for invalid experiments - EBO\2022-EBO-ARABINOSE R4\plaque 2/@14 TESTO 0.2/H2_02.tif "/>
    <s v=" 22167.0763 "/>
    <s v=" 67.9558 "/>
    <x v="0"/>
    <n v="1506382"/>
    <m/>
    <m/>
    <m/>
  </r>
  <r>
    <x v="14"/>
    <x v="7"/>
    <s v="\\192.168.24.208\images\R&amp;D\2-Test oestrogénique\OECD and AOPs\REACTIV oecd interlaboratory validation\WF data\Repeats for invalid experiments - EBO\2022-EBO-ARABINOSE R4\plaque 2/@14 TESTO 0.2/H2_03.tif "/>
    <s v=" 21079.3886 "/>
    <s v=" 67.9051 "/>
    <x v="0"/>
    <n v="1431397"/>
    <m/>
    <m/>
    <m/>
  </r>
  <r>
    <x v="1"/>
    <x v="8"/>
    <s v=" "/>
    <m/>
    <m/>
    <x v="1"/>
    <m/>
    <m/>
    <m/>
    <m/>
  </r>
  <r>
    <x v="1"/>
    <x v="8"/>
    <s v="group "/>
    <s v=" "/>
    <s v=" mean of mean fluo "/>
    <x v="2"/>
    <s v=" mean of total fluo "/>
    <s v=" SD total fluo "/>
    <s v=" n fluorescent "/>
    <s v=" n total"/>
  </r>
  <r>
    <x v="14"/>
    <x v="9"/>
    <s v="\\192.168.24.208\images\R&amp;D\2-Test oestrogénique\OECD and AOPs\REACTIV oecd interlaboratory validation\WF data\Repeats for invalid experiments - EBO\2022-EBO-ARABINOSE R4\plaque 2/@14 TESTO 0.2/ "/>
    <s v=" "/>
    <s v=" 68.2964 "/>
    <x v="16"/>
    <s v=" 1616659.25 "/>
    <s v=" 944398.22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192.168.24.208\images\R&amp;D\2-Test oestrogénique\OECD and AOPs\REACTIV oecd interlaboratory validation\WF data\Repeats for invalid experiments - EBO\2022-EBO-ARABINOSE R4\plaque 2/@15 TESTO +EE2/A3_01.tif "/>
    <s v=" 54210.3575 "/>
    <s v=" 77.3399 "/>
    <x v="0"/>
    <n v="4192623"/>
    <m/>
    <m/>
    <m/>
  </r>
  <r>
    <x v="15"/>
    <x v="0"/>
    <s v="\\192.168.24.208\images\R&amp;D\2-Test oestrogénique\OECD and AOPs\REACTIV oecd interlaboratory validation\WF data\Repeats for invalid experiments - EBO\2022-EBO-ARABINOSE R4\plaque 2/@15 TESTO +EE2/A3_02.tif "/>
    <s v=" 49185.2401 "/>
    <s v=" 80.889 "/>
    <x v="0"/>
    <n v="3978544"/>
    <m/>
    <m/>
    <m/>
  </r>
  <r>
    <x v="15"/>
    <x v="0"/>
    <s v="\\192.168.24.208\images\R&amp;D\2-Test oestrogénique\OECD and AOPs\REACTIV oecd interlaboratory validation\WF data\Repeats for invalid experiments - EBO\2022-EBO-ARABINOSE R4\plaque 2/@15 TESTO +EE2/A3_03.tif "/>
    <s v=" 57930.2496 "/>
    <s v=" 77.5637 "/>
    <x v="0"/>
    <n v="4493282"/>
    <m/>
    <m/>
    <m/>
  </r>
  <r>
    <x v="15"/>
    <x v="1"/>
    <s v="\\192.168.24.208\images\R&amp;D\2-Test oestrogénique\OECD and AOPs\REACTIV oecd interlaboratory validation\WF data\Repeats for invalid experiments - EBO\2022-EBO-ARABINOSE R4\plaque 2/@15 TESTO +EE2/B3_01.tif "/>
    <s v=" 60518.9464 "/>
    <s v=" 87.9454 "/>
    <x v="0"/>
    <n v="5322361"/>
    <m/>
    <m/>
    <m/>
  </r>
  <r>
    <x v="15"/>
    <x v="1"/>
    <s v="\\192.168.24.208\images\R&amp;D\2-Test oestrogénique\OECD and AOPs\REACTIV oecd interlaboratory validation\WF data\Repeats for invalid experiments - EBO\2022-EBO-ARABINOSE R4\plaque 2/@15 TESTO +EE2/B3_02.tif "/>
    <s v=" 63825.5172 "/>
    <s v=" 87.9598 "/>
    <x v="0"/>
    <n v="5614079"/>
    <m/>
    <m/>
    <m/>
  </r>
  <r>
    <x v="15"/>
    <x v="1"/>
    <s v="\\192.168.24.208\images\R&amp;D\2-Test oestrogénique\OECD and AOPs\REACTIV oecd interlaboratory validation\WF data\Repeats for invalid experiments - EBO\2022-EBO-ARABINOSE R4\plaque 2/@15 TESTO +EE2/B3_03- exclu.tif"/>
    <m/>
    <m/>
    <x v="1"/>
    <m/>
    <m/>
    <m/>
    <m/>
  </r>
  <r>
    <x v="15"/>
    <x v="2"/>
    <s v="\\192.168.24.208\images\R&amp;D\2-Test oestrogénique\OECD and AOPs\REACTIV oecd interlaboratory validation\WF data\Repeats for invalid experiments - EBO\2022-EBO-ARABINOSE R4\plaque 2/@15 TESTO +EE2/C3_01- exclu.tif"/>
    <m/>
    <m/>
    <x v="1"/>
    <m/>
    <m/>
    <m/>
    <m/>
  </r>
  <r>
    <x v="15"/>
    <x v="2"/>
    <s v="\\192.168.24.208\images\R&amp;D\2-Test oestrogénique\OECD and AOPs\REACTIV oecd interlaboratory validation\WF data\Repeats for invalid experiments - EBO\2022-EBO-ARABINOSE R4\plaque 2/@15 TESTO +EE2/C3_02- exclu.tif"/>
    <m/>
    <m/>
    <x v="1"/>
    <m/>
    <m/>
    <m/>
    <m/>
  </r>
  <r>
    <x v="15"/>
    <x v="2"/>
    <s v="\\192.168.24.208\images\R&amp;D\2-Test oestrogénique\OECD and AOPs\REACTIV oecd interlaboratory validation\WF data\Repeats for invalid experiments - EBO\2022-EBO-ARABINOSE R4\plaque 2/@15 TESTO +EE2/C3_03- exclu.tif"/>
    <m/>
    <m/>
    <x v="1"/>
    <m/>
    <m/>
    <m/>
    <m/>
  </r>
  <r>
    <x v="15"/>
    <x v="3"/>
    <s v="\\192.168.24.208\images\R&amp;D\2-Test oestrogénique\OECD and AOPs\REACTIV oecd interlaboratory validation\WF data\Repeats for invalid experiments - EBO\2022-EBO-ARABINOSE R4\plaque 2/@15 TESTO +EE2/D3_01- exclu.tif"/>
    <m/>
    <m/>
    <x v="1"/>
    <m/>
    <m/>
    <m/>
    <m/>
  </r>
  <r>
    <x v="15"/>
    <x v="3"/>
    <s v="\\192.168.24.208\images\R&amp;D\2-Test oestrogénique\OECD and AOPs\REACTIV oecd interlaboratory validation\WF data\Repeats for invalid experiments - EBO\2022-EBO-ARABINOSE R4\plaque 2/@15 TESTO +EE2/D3_02.tif "/>
    <s v=" 70982.5026 "/>
    <s v=" 80.194 "/>
    <x v="0"/>
    <n v="5692370"/>
    <m/>
    <m/>
    <m/>
  </r>
  <r>
    <x v="15"/>
    <x v="3"/>
    <s v="\\192.168.24.208\images\R&amp;D\2-Test oestrogénique\OECD and AOPs\REACTIV oecd interlaboratory validation\WF data\Repeats for invalid experiments - EBO\2022-EBO-ARABINOSE R4\plaque 2/@15 TESTO +EE2/D3_03.tif "/>
    <s v=" 72113.6978 "/>
    <s v=" 81.5309 "/>
    <x v="0"/>
    <n v="5879496"/>
    <m/>
    <m/>
    <m/>
  </r>
  <r>
    <x v="15"/>
    <x v="4"/>
    <s v="\\192.168.24.208\images\R&amp;D\2-Test oestrogénique\OECD and AOPs\REACTIV oecd interlaboratory validation\WF data\Repeats for invalid experiments - EBO\2022-EBO-ARABINOSE R4\plaque 2/@15 TESTO +EE2/E3_01.tif "/>
    <s v=" 68415.5595 "/>
    <s v=" 80.3437 "/>
    <x v="0"/>
    <n v="5496761"/>
    <m/>
    <m/>
    <m/>
  </r>
  <r>
    <x v="15"/>
    <x v="4"/>
    <s v="\\192.168.24.208\images\R&amp;D\2-Test oestrogénique\OECD and AOPs\REACTIV oecd interlaboratory validation\WF data\Repeats for invalid experiments - EBO\2022-EBO-ARABINOSE R4\plaque 2/@15 TESTO +EE2/E3_02- exclu.tif"/>
    <m/>
    <m/>
    <x v="1"/>
    <m/>
    <m/>
    <m/>
    <m/>
  </r>
  <r>
    <x v="15"/>
    <x v="4"/>
    <s v="\\192.168.24.208\images\R&amp;D\2-Test oestrogénique\OECD and AOPs\REACTIV oecd interlaboratory validation\WF data\Repeats for invalid experiments - EBO\2022-EBO-ARABINOSE R4\plaque 2/@15 TESTO +EE2/E3_03.tif "/>
    <s v=" 65435.2951 "/>
    <s v=" 79.8747 "/>
    <x v="0"/>
    <n v="5226622"/>
    <m/>
    <m/>
    <m/>
  </r>
  <r>
    <x v="15"/>
    <x v="5"/>
    <s v="\\192.168.24.208\images\R&amp;D\2-Test oestrogénique\OECD and AOPs\REACTIV oecd interlaboratory validation\WF data\Repeats for invalid experiments - EBO\2022-EBO-ARABINOSE R4\plaque 2/@15 TESTO +EE2/F3_01.tif "/>
    <s v=" 60714.7302 "/>
    <s v=" 76.292 "/>
    <x v="0"/>
    <n v="4632049"/>
    <m/>
    <m/>
    <m/>
  </r>
  <r>
    <x v="15"/>
    <x v="5"/>
    <s v="\\192.168.24.208\images\R&amp;D\2-Test oestrogénique\OECD and AOPs\REACTIV oecd interlaboratory validation\WF data\Repeats for invalid experiments - EBO\2022-EBO-ARABINOSE R4\plaque 2/@15 TESTO +EE2/F3_02.tif "/>
    <s v=" 62237.4931 "/>
    <s v=" 75.978 "/>
    <x v="0"/>
    <n v="4728679"/>
    <m/>
    <m/>
    <m/>
  </r>
  <r>
    <x v="15"/>
    <x v="5"/>
    <s v="\\192.168.24.208\images\R&amp;D\2-Test oestrogénique\OECD and AOPs\REACTIV oecd interlaboratory validation\WF data\Repeats for invalid experiments - EBO\2022-EBO-ARABINOSE R4\plaque 2/@15 TESTO +EE2/F3_03.tif "/>
    <s v=" 63281.6733 "/>
    <s v=" 75.516 "/>
    <x v="0"/>
    <n v="4778778"/>
    <m/>
    <m/>
    <m/>
  </r>
  <r>
    <x v="15"/>
    <x v="6"/>
    <s v="\\192.168.24.208\images\R&amp;D\2-Test oestrogénique\OECD and AOPs\REACTIV oecd interlaboratory validation\WF data\Repeats for invalid experiments - EBO\2022-EBO-ARABINOSE R4\plaque 2/@15 TESTO +EE2/G3_01.tif "/>
    <s v=" 81815.8726 "/>
    <s v=" 85.5211 "/>
    <x v="0"/>
    <n v="6996987"/>
    <m/>
    <m/>
    <m/>
  </r>
  <r>
    <x v="15"/>
    <x v="6"/>
    <s v="\\192.168.24.208\images\R&amp;D\2-Test oestrogénique\OECD and AOPs\REACTIV oecd interlaboratory validation\WF data\Repeats for invalid experiments - EBO\2022-EBO-ARABINOSE R4\plaque 2/@15 TESTO +EE2/G3_02.tif "/>
    <s v=" 79901.5421 "/>
    <s v=" 89.0041 "/>
    <x v="0"/>
    <n v="7111564"/>
    <m/>
    <m/>
    <m/>
  </r>
  <r>
    <x v="15"/>
    <x v="6"/>
    <s v="\\192.168.24.208\images\R&amp;D\2-Test oestrogénique\OECD and AOPs\REACTIV oecd interlaboratory validation\WF data\Repeats for invalid experiments - EBO\2022-EBO-ARABINOSE R4\plaque 2/@15 TESTO +EE2/G3_03.tif "/>
    <s v=" 66370.7065 "/>
    <s v=" 92.038 "/>
    <x v="0"/>
    <n v="6108628"/>
    <m/>
    <m/>
    <m/>
  </r>
  <r>
    <x v="15"/>
    <x v="7"/>
    <s v="\\192.168.24.208\images\R&amp;D\2-Test oestrogénique\OECD and AOPs\REACTIV oecd interlaboratory validation\WF data\Repeats for invalid experiments - EBO\2022-EBO-ARABINOSE R4\plaque 2/@15 TESTO +EE2/H3_01.tif "/>
    <s v=" 50708.0029 "/>
    <s v=" 76.589 "/>
    <x v="0"/>
    <n v="3883676"/>
    <m/>
    <m/>
    <m/>
  </r>
  <r>
    <x v="15"/>
    <x v="7"/>
    <s v="\\192.168.24.208\images\R&amp;D\2-Test oestrogénique\OECD and AOPs\REACTIV oecd interlaboratory validation\WF data\Repeats for invalid experiments - EBO\2022-EBO-ARABINOSE R4\plaque 2/@15 TESTO +EE2/H3_02.tif "/>
    <s v=" 62563.7994 "/>
    <s v=" 81.3108 "/>
    <x v="0"/>
    <n v="5087116"/>
    <m/>
    <m/>
    <m/>
  </r>
  <r>
    <x v="15"/>
    <x v="7"/>
    <s v="\\192.168.24.208\images\R&amp;D\2-Test oestrogénique\OECD and AOPs\REACTIV oecd interlaboratory validation\WF data\Repeats for invalid experiments - EBO\2022-EBO-ARABINOSE R4\plaque 2/@15 TESTO +EE2/H3_03.tif "/>
    <s v=" 63651.4871 "/>
    <s v=" 83.0328 "/>
    <x v="0"/>
    <n v="5285162"/>
    <m/>
    <m/>
    <m/>
  </r>
  <r>
    <x v="1"/>
    <x v="8"/>
    <s v=" "/>
    <m/>
    <m/>
    <x v="1"/>
    <m/>
    <m/>
    <m/>
    <m/>
  </r>
  <r>
    <x v="1"/>
    <x v="8"/>
    <s v="group "/>
    <s v=" "/>
    <s v=" mean of mean fluo "/>
    <x v="2"/>
    <s v=" mean of total fluo "/>
    <s v=" SD total fluo "/>
    <s v=" n fluorescent "/>
    <s v=" n total"/>
  </r>
  <r>
    <x v="15"/>
    <x v="9"/>
    <s v="\\192.168.24.208\images\R&amp;D\2-Test oestrogénique\OECD and AOPs\REACTIV oecd interlaboratory validation\WF data\Repeats for invalid experiments - EBO\2022-EBO-ARABINOSE R4\plaque 2/@15 TESTO +EE2/ "/>
    <s v=" "/>
    <s v=" 81.5391 "/>
    <x v="17"/>
    <s v=" 4943139.33 "/>
    <s v=" 1016765.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192.168.24.208\images\R&amp;D\2-Test oestrogénique\OECD and AOPs\REACTIV oecd interlaboratory validation\WF data\Repeats for invalid experiments - EBO\2022-EBO-ARABINOSE R4\plaque 2/@16 TESTO + FAD/A4_01.tif "/>
    <s v=" 1631.5316 "/>
    <s v=" 64.7067 "/>
    <x v="0"/>
    <n v="105571"/>
    <m/>
    <m/>
    <m/>
  </r>
  <r>
    <x v="16"/>
    <x v="0"/>
    <s v="\\192.168.24.208\images\R&amp;D\2-Test oestrogénique\OECD and AOPs\REACTIV oecd interlaboratory validation\WF data\Repeats for invalid experiments - EBO\2022-EBO-ARABINOSE R4\plaque 2/@16 TESTO + FAD/A4_02.tif "/>
    <s v=" 348.0601 "/>
    <s v=" 63.1875 "/>
    <x v="0"/>
    <n v="21993"/>
    <m/>
    <m/>
    <m/>
  </r>
  <r>
    <x v="16"/>
    <x v="0"/>
    <s v="\\192.168.24.208\images\R&amp;D\2-Test oestrogénique\OECD and AOPs\REACTIV oecd interlaboratory validation\WF data\Repeats for invalid experiments - EBO\2022-EBO-ARABINOSE R4\plaque 2/@16 TESTO + FAD/A4_03- exclu.tif"/>
    <m/>
    <m/>
    <x v="1"/>
    <m/>
    <m/>
    <m/>
    <m/>
  </r>
  <r>
    <x v="16"/>
    <x v="1"/>
    <s v="\\192.168.24.208\images\R&amp;D\2-Test oestrogénique\OECD and AOPs\REACTIV oecd interlaboratory validation\WF data\Repeats for invalid experiments - EBO\2022-EBO-ARABINOSE R4\plaque 2/@16 TESTO + FAD/B4_01.tif "/>
    <s v=" 3219.5557 "/>
    <s v=" 64.2365 "/>
    <x v="0"/>
    <n v="206813"/>
    <m/>
    <m/>
    <m/>
  </r>
  <r>
    <x v="16"/>
    <x v="1"/>
    <s v="\\192.168.24.208\images\R&amp;D\2-Test oestrogénique\OECD and AOPs\REACTIV oecd interlaboratory validation\WF data\Repeats for invalid experiments - EBO\2022-EBO-ARABINOSE R4\plaque 2/@16 TESTO + FAD/B4_02.tif "/>
    <s v=" 1392.2403 "/>
    <s v=" 63.625 "/>
    <x v="0"/>
    <n v="88581"/>
    <m/>
    <m/>
    <m/>
  </r>
  <r>
    <x v="16"/>
    <x v="1"/>
    <s v="\\192.168.24.208\images\R&amp;D\2-Test oestrogénique\OECD and AOPs\REACTIV oecd interlaboratory validation\WF data\Repeats for invalid experiments - EBO\2022-EBO-ARABINOSE R4\plaque 2/@16 TESTO + FAD/B4_03.tif "/>
    <s v=" 1392.2403 "/>
    <s v=" 64.2188 "/>
    <x v="0"/>
    <n v="89408"/>
    <m/>
    <m/>
    <m/>
  </r>
  <r>
    <x v="16"/>
    <x v="2"/>
    <s v="\\192.168.24.208\images\R&amp;D\2-Test oestrogénique\OECD and AOPs\REACTIV oecd interlaboratory validation\WF data\Repeats for invalid experiments - EBO\2022-EBO-ARABINOSE R4\plaque 2/@16 TESTO + FAD/C4_01.tif "/>
    <s v=" 1609.7779 "/>
    <s v=" 72.1622 "/>
    <x v="0"/>
    <n v="116165"/>
    <m/>
    <m/>
    <m/>
  </r>
  <r>
    <x v="16"/>
    <x v="2"/>
    <s v="\\192.168.24.208\images\R&amp;D\2-Test oestrogénique\OECD and AOPs\REACTIV oecd interlaboratory validation\WF data\Repeats for invalid experiments - EBO\2022-EBO-ARABINOSE R4\plaque 2/@16 TESTO + FAD/C4_02- exclu.tif"/>
    <m/>
    <m/>
    <x v="1"/>
    <m/>
    <m/>
    <m/>
    <m/>
  </r>
  <r>
    <x v="16"/>
    <x v="2"/>
    <s v="\\192.168.24.208\images\R&amp;D\2-Test oestrogénique\OECD and AOPs\REACTIV oecd interlaboratory validation\WF data\Repeats for invalid experiments - EBO\2022-EBO-ARABINOSE R4\plaque 2/@16 TESTO + FAD/C4_03.tif "/>
    <s v=" 1044.1802 "/>
    <s v=" 66.3125 "/>
    <x v="0"/>
    <n v="69242"/>
    <m/>
    <m/>
    <m/>
  </r>
  <r>
    <x v="16"/>
    <x v="3"/>
    <s v="\\192.168.24.208\images\R&amp;D\2-Test oestrogénique\OECD and AOPs\REACTIV oecd interlaboratory validation\WF data\Repeats for invalid experiments - EBO\2022-EBO-ARABINOSE R4\plaque 2/@16 TESTO + FAD/D4_01.tif "/>
    <s v=" 282.7988 "/>
    <s v=" 63.2308 "/>
    <x v="0"/>
    <n v="17882"/>
    <m/>
    <m/>
    <m/>
  </r>
  <r>
    <x v="16"/>
    <x v="3"/>
    <s v="\\192.168.24.208\images\R&amp;D\2-Test oestrogénique\OECD and AOPs\REACTIV oecd interlaboratory validation\WF data\Repeats for invalid experiments - EBO\2022-EBO-ARABINOSE R4\plaque 2/@16 TESTO + FAD/D4_02.tif "/>
    <s v=" 304.5526 "/>
    <s v=" 62.7857 "/>
    <x v="0"/>
    <n v="19122"/>
    <m/>
    <m/>
    <m/>
  </r>
  <r>
    <x v="16"/>
    <x v="3"/>
    <s v="\\192.168.24.208\images\R&amp;D\2-Test oestrogénique\OECD and AOPs\REACTIV oecd interlaboratory validation\WF data\Repeats for invalid experiments - EBO\2022-EBO-ARABINOSE R4\plaque 2/@16 TESTO + FAD/D4_03.tif "/>
    <s v=" 239.2913 "/>
    <s v=" 63.3636 "/>
    <x v="0"/>
    <n v="15162"/>
    <m/>
    <m/>
    <m/>
  </r>
  <r>
    <x v="16"/>
    <x v="4"/>
    <s v="\\192.168.24.208\images\R&amp;D\2-Test oestrogénique\OECD and AOPs\REACTIV oecd interlaboratory validation\WF data\Repeats for invalid experiments - EBO\2022-EBO-ARABINOSE R4\plaque 2/@16 TESTO + FAD/E4_01.tif "/>
    <s v=" 152.2763 "/>
    <s v=" 61.4286 "/>
    <x v="0"/>
    <n v="9354"/>
    <m/>
    <m/>
    <m/>
  </r>
  <r>
    <x v="16"/>
    <x v="4"/>
    <s v="\\192.168.24.208\images\R&amp;D\2-Test oestrogénique\OECD and AOPs\REACTIV oecd interlaboratory validation\WF data\Repeats for invalid experiments - EBO\2022-EBO-ARABINOSE R4\plaque 2/@16 TESTO + FAD/E4_02- exclu.tif"/>
    <m/>
    <m/>
    <x v="1"/>
    <m/>
    <m/>
    <m/>
    <m/>
  </r>
  <r>
    <x v="16"/>
    <x v="4"/>
    <s v="\\192.168.24.208\images\R&amp;D\2-Test oestrogénique\OECD and AOPs\REACTIV oecd interlaboratory validation\WF data\Repeats for invalid experiments - EBO\2022-EBO-ARABINOSE R4\plaque 2/@16 TESTO + FAD/E4_03.tif "/>
    <s v=" 435.0751 "/>
    <s v=" 63.4 "/>
    <x v="0"/>
    <n v="27584"/>
    <m/>
    <m/>
    <m/>
  </r>
  <r>
    <x v="16"/>
    <x v="5"/>
    <s v="\\192.168.24.208\images\R&amp;D\2-Test oestrogénique\OECD and AOPs\REACTIV oecd interlaboratory validation\WF data\Repeats for invalid experiments - EBO\2022-EBO-ARABINOSE R4\plaque 2/@16 TESTO + FAD/F4_01.tif "/>
    <s v=" 761.3814 "/>
    <s v=" 63.0571 "/>
    <x v="0"/>
    <n v="48011"/>
    <m/>
    <m/>
    <m/>
  </r>
  <r>
    <x v="16"/>
    <x v="5"/>
    <s v="\\192.168.24.208\images\R&amp;D\2-Test oestrogénique\OECD and AOPs\REACTIV oecd interlaboratory validation\WF data\Repeats for invalid experiments - EBO\2022-EBO-ARABINOSE R4\plaque 2/@16 TESTO + FAD/F4_02.tif "/>
    <s v=" 609.1051 "/>
    <s v=" 63.9286 "/>
    <x v="0"/>
    <n v="38939"/>
    <m/>
    <m/>
    <m/>
  </r>
  <r>
    <x v="16"/>
    <x v="5"/>
    <s v="\\192.168.24.208\images\R&amp;D\2-Test oestrogénique\OECD and AOPs\REACTIV oecd interlaboratory validation\WF data\Repeats for invalid experiments - EBO\2022-EBO-ARABINOSE R4\plaque 2/@16 TESTO + FAD/F4_03.tif "/>
    <s v=" 565.5976 "/>
    <s v=" 63.1923 "/>
    <x v="0"/>
    <n v="35741"/>
    <m/>
    <m/>
    <m/>
  </r>
  <r>
    <x v="16"/>
    <x v="6"/>
    <s v="\\192.168.24.208\images\R&amp;D\2-Test oestrogénique\OECD and AOPs\REACTIV oecd interlaboratory validation\WF data\Repeats for invalid experiments - EBO\2022-EBO-ARABINOSE R4\plaque 2/@16 TESTO + FAD/G4_01.tif "/>
    <s v=" 1522.7629 "/>
    <s v=" 64.3143 "/>
    <x v="0"/>
    <n v="97935"/>
    <m/>
    <m/>
    <m/>
  </r>
  <r>
    <x v="16"/>
    <x v="6"/>
    <s v="\\192.168.24.208\images\R&amp;D\2-Test oestrogénique\OECD and AOPs\REACTIV oecd interlaboratory validation\WF data\Repeats for invalid experiments - EBO\2022-EBO-ARABINOSE R4\plaque 2/@16 TESTO + FAD/G4_02- exclu.tif"/>
    <m/>
    <m/>
    <x v="1"/>
    <m/>
    <m/>
    <m/>
    <m/>
  </r>
  <r>
    <x v="16"/>
    <x v="6"/>
    <s v="\\192.168.24.208\images\R&amp;D\2-Test oestrogénique\OECD and AOPs\REACTIV oecd interlaboratory validation\WF data\Repeats for invalid experiments - EBO\2022-EBO-ARABINOSE R4\plaque 2/@16 TESTO + FAD/G4_03.tif "/>
    <s v=" 1000.6727 "/>
    <s v=" 63.9565 "/>
    <x v="0"/>
    <n v="64000"/>
    <m/>
    <m/>
    <m/>
  </r>
  <r>
    <x v="16"/>
    <x v="7"/>
    <s v="\\192.168.24.208\images\R&amp;D\2-Test oestrogénique\OECD and AOPs\REACTIV oecd interlaboratory validation\WF data\Repeats for invalid experiments - EBO\2022-EBO-ARABINOSE R4\plaque 2/@16 TESTO + FAD/H4_01.tif "/>
    <s v=" 5133.8862 "/>
    <s v=" 63.9407 "/>
    <x v="0"/>
    <n v="328264"/>
    <m/>
    <m/>
    <m/>
  </r>
  <r>
    <x v="16"/>
    <x v="7"/>
    <s v="\\192.168.24.208\images\R&amp;D\2-Test oestrogénique\OECD and AOPs\REACTIV oecd interlaboratory validation\WF data\Repeats for invalid experiments - EBO\2022-EBO-ARABINOSE R4\plaque 2/@16 TESTO + FAD/H4_02.tif "/>
    <s v=" 4285.4897 "/>
    <s v=" 64.7716 "/>
    <x v="0"/>
    <n v="277578"/>
    <m/>
    <m/>
    <m/>
  </r>
  <r>
    <x v="16"/>
    <x v="7"/>
    <s v="\\192.168.24.208\images\R&amp;D\2-Test oestrogénique\OECD and AOPs\REACTIV oecd interlaboratory validation\WF data\Repeats for invalid experiments - EBO\2022-EBO-ARABINOSE R4\plaque 2/@16 TESTO + FAD/H4_03- exclu.tif"/>
    <m/>
    <m/>
    <x v="1"/>
    <m/>
    <m/>
    <m/>
    <m/>
  </r>
  <r>
    <x v="1"/>
    <x v="8"/>
    <s v=" "/>
    <m/>
    <m/>
    <x v="1"/>
    <m/>
    <m/>
    <m/>
    <m/>
  </r>
  <r>
    <x v="1"/>
    <x v="8"/>
    <s v="group "/>
    <s v=" "/>
    <s v=" mean of mean fluo "/>
    <x v="2"/>
    <s v=" mean of total fluo "/>
    <s v=" SD total fluo "/>
    <s v=" n fluorescent "/>
    <s v=" n total"/>
  </r>
  <r>
    <x v="16"/>
    <x v="9"/>
    <s v="\\192.168.24.208\images\R&amp;D\2-Test oestrogénique\OECD and AOPs\REACTIV oecd interlaboratory validation\WF data\Repeats for invalid experiments - EBO\2022-EBO-ARABINOSE R4\plaque 2/@16 TESTO + FAD/ "/>
    <s v=" "/>
    <s v=" 64.0233 "/>
    <x v="18"/>
    <s v=" 81104.375 "/>
    <s v=" 88751.268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192.168.24.208\images\R&amp;D\2-Test oestrogénique\OECD and AOPs\REACTIV oecd interlaboratory validation\WF data\Repeats for invalid experiments - EBO\2022-EBO-ARABINOSE R4\plaque 2/@17 ARABINOSE 0.01 + TESTO/A5_01.tif "/>
    <s v=" 13443.8206 "/>
    <s v=" 66.1683 "/>
    <x v="0"/>
    <n v="889555"/>
    <m/>
    <m/>
    <m/>
  </r>
  <r>
    <x v="17"/>
    <x v="0"/>
    <s v="\\192.168.24.208\images\R&amp;D\2-Test oestrogénique\OECD and AOPs\REACTIV oecd interlaboratory validation\WF data\Repeats for invalid experiments - EBO\2022-EBO-ARABINOSE R4\plaque 2/@17 ARABINOSE 0.01 + TESTO/A5_02.tif "/>
    <s v=" 16054.2712 "/>
    <s v=" 66.6531 "/>
    <x v="0"/>
    <n v="1070067"/>
    <m/>
    <m/>
    <m/>
  </r>
  <r>
    <x v="17"/>
    <x v="0"/>
    <s v="\\192.168.24.208\images\R&amp;D\2-Test oestrogénique\OECD and AOPs\REACTIV oecd interlaboratory validation\WF data\Repeats for invalid experiments - EBO\2022-EBO-ARABINOSE R4\plaque 2/@17 ARABINOSE 0.01 + TESTO/A5_03.tif "/>
    <s v=" 13639.6044 "/>
    <s v=" 66.5136 "/>
    <x v="0"/>
    <n v="907219"/>
    <m/>
    <m/>
    <m/>
  </r>
  <r>
    <x v="17"/>
    <x v="1"/>
    <s v="\\192.168.24.208\images\R&amp;D\2-Test oestrogénique\OECD and AOPs\REACTIV oecd interlaboratory validation\WF data\Repeats for invalid experiments - EBO\2022-EBO-ARABINOSE R4\plaque 2/@17 ARABINOSE 0.01 + TESTO/B5_01.tif "/>
    <s v=" 46640.0507 "/>
    <s v=" 70.7896 "/>
    <x v="0"/>
    <n v="3301633"/>
    <m/>
    <m/>
    <m/>
  </r>
  <r>
    <x v="17"/>
    <x v="1"/>
    <s v="\\192.168.24.208\images\R&amp;D\2-Test oestrogénique\OECD and AOPs\REACTIV oecd interlaboratory validation\WF data\Repeats for invalid experiments - EBO\2022-EBO-ARABINOSE R4\plaque 2/@17 ARABINOSE 0.01 + TESTO/B5_02.tif "/>
    <s v=" 41745.4559 "/>
    <s v=" 68.6858 "/>
    <x v="0"/>
    <n v="2867319"/>
    <m/>
    <m/>
    <m/>
  </r>
  <r>
    <x v="17"/>
    <x v="1"/>
    <s v="\\192.168.24.208\images\R&amp;D\2-Test oestrogénique\OECD and AOPs\REACTIV oecd interlaboratory validation\WF data\Repeats for invalid experiments - EBO\2022-EBO-ARABINOSE R4\plaque 2/@17 ARABINOSE 0.01 + TESTO/B5_03.tif "/>
    <s v=" 39483.0653 "/>
    <s v=" 69.6171 "/>
    <x v="0"/>
    <n v="2748696"/>
    <m/>
    <m/>
    <m/>
  </r>
  <r>
    <x v="17"/>
    <x v="2"/>
    <s v="\\192.168.24.208\images\R&amp;D\2-Test oestrogénique\OECD and AOPs\REACTIV oecd interlaboratory validation\WF data\Repeats for invalid experiments - EBO\2022-EBO-ARABINOSE R4\plaque 2/@17 ARABINOSE 0.01 + TESTO/C5_01.tif "/>
    <s v=" 53013.9009 "/>
    <s v=" 72.3726 "/>
    <x v="0"/>
    <n v="3836753"/>
    <m/>
    <m/>
    <m/>
  </r>
  <r>
    <x v="17"/>
    <x v="2"/>
    <s v="\\192.168.24.208\images\R&amp;D\2-Test oestrogénique\OECD and AOPs\REACTIV oecd interlaboratory validation\WF data\Repeats for invalid experiments - EBO\2022-EBO-ARABINOSE R4\plaque 2/@17 ARABINOSE 0.01 + TESTO/C5_02.tif "/>
    <s v=" 59714.0575 "/>
    <s v=" 73.3599 "/>
    <x v="0"/>
    <n v="4380619"/>
    <m/>
    <m/>
    <m/>
  </r>
  <r>
    <x v="17"/>
    <x v="2"/>
    <s v="\\192.168.24.208\images\R&amp;D\2-Test oestrogénique\OECD and AOPs\REACTIV oecd interlaboratory validation\WF data\Repeats for invalid experiments - EBO\2022-EBO-ARABINOSE R4\plaque 2/@17 ARABINOSE 0.01 + TESTO/C5_03.tif "/>
    <s v=" 49881.3602 "/>
    <s v=" 71.6049 "/>
    <x v="0"/>
    <n v="3571749"/>
    <m/>
    <m/>
    <m/>
  </r>
  <r>
    <x v="17"/>
    <x v="3"/>
    <s v="\\192.168.24.208\images\R&amp;D\2-Test oestrogénique\OECD and AOPs\REACTIV oecd interlaboratory validation\WF data\Repeats for invalid experiments - EBO\2022-EBO-ARABINOSE R4\plaque 2/@17 ARABINOSE 0.01 + TESTO/D5_01.tif "/>
    <s v=" 43289.9725 "/>
    <s v=" 69.4965 "/>
    <x v="0"/>
    <n v="3008501"/>
    <m/>
    <m/>
    <m/>
  </r>
  <r>
    <x v="17"/>
    <x v="3"/>
    <s v="\\192.168.24.208\images\R&amp;D\2-Test oestrogénique\OECD and AOPs\REACTIV oecd interlaboratory validation\WF data\Repeats for invalid experiments - EBO\2022-EBO-ARABINOSE R4\plaque 2/@17 ARABINOSE 0.01 + TESTO/D5_02.tif "/>
    <s v=" 41962.9934 "/>
    <s v=" 69.3738 "/>
    <x v="0"/>
    <n v="2911131"/>
    <m/>
    <m/>
    <m/>
  </r>
  <r>
    <x v="17"/>
    <x v="3"/>
    <s v="\\192.168.24.208\images\R&amp;D\2-Test oestrogénique\OECD and AOPs\REACTIV oecd interlaboratory validation\WF data\Repeats for invalid experiments - EBO\2022-EBO-ARABINOSE R4\plaque 2/@17 ARABINOSE 0.01 + TESTO/D5_03.tif "/>
    <s v=" 43289.9725 "/>
    <s v=" 70.3271 "/>
    <x v="0"/>
    <n v="3044460"/>
    <m/>
    <m/>
    <m/>
  </r>
  <r>
    <x v="17"/>
    <x v="4"/>
    <s v="\\192.168.24.208\images\R&amp;D\2-Test oestrogénique\OECD and AOPs\REACTIV oecd interlaboratory validation\WF data\Repeats for invalid experiments - EBO\2022-EBO-ARABINOSE R4\plaque 2/@17 ARABINOSE 0.01 + TESTO/E5_01- exclu.tif"/>
    <m/>
    <m/>
    <x v="1"/>
    <m/>
    <m/>
    <m/>
    <m/>
  </r>
  <r>
    <x v="17"/>
    <x v="4"/>
    <s v="\\192.168.24.208\images\R&amp;D\2-Test oestrogénique\OECD and AOPs\REACTIV oecd interlaboratory validation\WF data\Repeats for invalid experiments - EBO\2022-EBO-ARABINOSE R4\plaque 2/@17 ARABINOSE 0.01 + TESTO/E5_02.tif "/>
    <s v=" 717.8739 "/>
    <s v=" 63.7576 "/>
    <x v="0"/>
    <n v="45770"/>
    <m/>
    <m/>
    <m/>
  </r>
  <r>
    <x v="17"/>
    <x v="4"/>
    <s v="\\192.168.24.208\images\R&amp;D\2-Test oestrogénique\OECD and AOPs\REACTIV oecd interlaboratory validation\WF data\Repeats for invalid experiments - EBO\2022-EBO-ARABINOSE R4\plaque 2/@17 ARABINOSE 0.01 + TESTO/E5_03.tif "/>
    <s v=" 891.904 "/>
    <s v=" 63.4146 "/>
    <x v="0"/>
    <n v="56560"/>
    <m/>
    <m/>
    <m/>
  </r>
  <r>
    <x v="17"/>
    <x v="5"/>
    <s v="\\192.168.24.208\images\R&amp;D\2-Test oestrogénique\OECD and AOPs\REACTIV oecd interlaboratory validation\WF data\Repeats for invalid experiments - EBO\2022-EBO-ARABINOSE R4\plaque 2/@17 ARABINOSE 0.01 + TESTO/F5_01.tif "/>
    <s v=" 15271.136 "/>
    <s v=" 65.3932 "/>
    <x v="0"/>
    <n v="998628"/>
    <m/>
    <m/>
    <m/>
  </r>
  <r>
    <x v="17"/>
    <x v="5"/>
    <s v="\\192.168.24.208\images\R&amp;D\2-Test oestrogénique\OECD and AOPs\REACTIV oecd interlaboratory validation\WF data\Repeats for invalid experiments - EBO\2022-EBO-ARABINOSE R4\plaque 2/@17 ARABINOSE 0.01 + TESTO/F5_02.tif "/>
    <s v=" 6569.634 "/>
    <s v=" 63.9503 "/>
    <x v="0"/>
    <n v="420130"/>
    <m/>
    <m/>
    <m/>
  </r>
  <r>
    <x v="17"/>
    <x v="5"/>
    <s v="\\192.168.24.208\images\R&amp;D\2-Test oestrogénique\OECD and AOPs\REACTIV oecd interlaboratory validation\WF data\Repeats for invalid experiments - EBO\2022-EBO-ARABINOSE R4\plaque 2/@17 ARABINOSE 0.01 + TESTO/F5_03- exclu.tif"/>
    <m/>
    <m/>
    <x v="1"/>
    <m/>
    <m/>
    <m/>
    <m/>
  </r>
  <r>
    <x v="17"/>
    <x v="6"/>
    <s v="\\192.168.24.208\images\R&amp;D\2-Test oestrogénique\OECD and AOPs\REACTIV oecd interlaboratory validation\WF data\Repeats for invalid experiments - EBO\2022-EBO-ARABINOSE R4\plaque 2/@17 ARABINOSE 0.01 + TESTO/G5_01.tif "/>
    <s v=" 195.7838 "/>
    <s v=" 63.2222 "/>
    <x v="0"/>
    <n v="12378"/>
    <m/>
    <m/>
    <m/>
  </r>
  <r>
    <x v="17"/>
    <x v="6"/>
    <s v="\\192.168.24.208\images\R&amp;D\2-Test oestrogénique\OECD and AOPs\REACTIV oecd interlaboratory validation\WF data\Repeats for invalid experiments - EBO\2022-EBO-ARABINOSE R4\plaque 2/@17 ARABINOSE 0.01 + TESTO/G5_02.tif "/>
    <s v=" 456.8289 "/>
    <s v=" 64.6667 "/>
    <x v="0"/>
    <n v="29542"/>
    <m/>
    <m/>
    <m/>
  </r>
  <r>
    <x v="17"/>
    <x v="6"/>
    <s v="\\192.168.24.208\images\R&amp;D\2-Test oestrogénique\OECD and AOPs\REACTIV oecd interlaboratory validation\WF data\Repeats for invalid experiments - EBO\2022-EBO-ARABINOSE R4\plaque 2/@17 ARABINOSE 0.01 + TESTO/G5_03- exclu.tif"/>
    <m/>
    <m/>
    <x v="1"/>
    <m/>
    <m/>
    <m/>
    <m/>
  </r>
  <r>
    <x v="17"/>
    <x v="7"/>
    <s v="\\192.168.24.208\images\R&amp;D\2-Test oestrogénique\OECD and AOPs\REACTIV oecd interlaboratory validation\WF data\Repeats for invalid experiments - EBO\2022-EBO-ARABINOSE R4\plaque 2/@17 ARABINOSE 0.01 + TESTO/H5_01.tif "/>
    <s v=" 6352.0965 "/>
    <s v=" 64.589 "/>
    <x v="0"/>
    <n v="410276"/>
    <m/>
    <m/>
    <m/>
  </r>
  <r>
    <x v="17"/>
    <x v="7"/>
    <s v="\\192.168.24.208\images\R&amp;D\2-Test oestrogénique\OECD and AOPs\REACTIV oecd interlaboratory validation\WF data\Repeats for invalid experiments - EBO\2022-EBO-ARABINOSE R4\plaque 2/@17 ARABINOSE 0.01 + TESTO/H5_02.tif "/>
    <s v=" 6678.4028 "/>
    <s v=" 64.114 "/>
    <x v="0"/>
    <n v="428179"/>
    <m/>
    <m/>
    <m/>
  </r>
  <r>
    <x v="17"/>
    <x v="7"/>
    <s v="\\192.168.24.208\images\R&amp;D\2-Test oestrogénique\OECD and AOPs\REACTIV oecd interlaboratory validation\WF data\Repeats for invalid experiments - EBO\2022-EBO-ARABINOSE R4\plaque 2/@17 ARABINOSE 0.01 + TESTO/H5_03.tif "/>
    <s v=" 10615.8324 "/>
    <s v=" 65.1127 "/>
    <x v="0"/>
    <n v="691226"/>
    <m/>
    <m/>
    <m/>
  </r>
  <r>
    <x v="1"/>
    <x v="8"/>
    <s v=" "/>
    <m/>
    <m/>
    <x v="1"/>
    <m/>
    <m/>
    <m/>
    <m/>
  </r>
  <r>
    <x v="1"/>
    <x v="8"/>
    <s v="group "/>
    <s v=" "/>
    <s v=" mean of mean fluo "/>
    <x v="2"/>
    <s v=" mean of total fluo "/>
    <s v=" SD total fluo "/>
    <s v=" n fluorescent "/>
    <s v=" n total"/>
  </r>
  <r>
    <x v="17"/>
    <x v="9"/>
    <s v="\\192.168.24.208\images\R&amp;D\2-Test oestrogénique\OECD and AOPs\REACTIV oecd interlaboratory validation\WF data\Repeats for invalid experiments - EBO\2022-EBO-ARABINOSE R4\plaque 2/@17 ARABINOSE 0.01 + TESTO/ "/>
    <s v=" "/>
    <s v=" 66.8822 "/>
    <x v="19"/>
    <s v=" 1494561.96 "/>
    <s v=" 1494061.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192.168.24.208\images\R&amp;D\2-Test oestrogénique\OECD and AOPs\REACTIV oecd interlaboratory validation\WF data\Repeats for invalid experiments - EBO\2022-EBO-ARABINOSE R4\plaque 2/@18 ARABINOSE 0.1 + TESTO/A6_01.tif "/>
    <s v=" 22493.3827 "/>
    <s v=" 65.7698 "/>
    <x v="0"/>
    <n v="1479386"/>
    <m/>
    <m/>
    <m/>
  </r>
  <r>
    <x v="18"/>
    <x v="0"/>
    <s v="\\192.168.24.208\images\R&amp;D\2-Test oestrogénique\OECD and AOPs\REACTIV oecd interlaboratory validation\WF data\Repeats for invalid experiments - EBO\2022-EBO-ARABINOSE R4\plaque 2/@18 ARABINOSE 0.1 + TESTO/A6_02.tif "/>
    <s v=" 22928.4578 "/>
    <s v=" 66.9298 "/>
    <x v="0"/>
    <n v="1534597"/>
    <m/>
    <m/>
    <m/>
  </r>
  <r>
    <x v="18"/>
    <x v="0"/>
    <s v="\\192.168.24.208\images\R&amp;D\2-Test oestrogénique\OECD and AOPs\REACTIV oecd interlaboratory validation\WF data\Repeats for invalid experiments - EBO\2022-EBO-ARABINOSE R4\plaque 2/@18 ARABINOSE 0.1 + TESTO/A6_03.tif "/>
    <s v=" 24821.0345 "/>
    <s v=" 66.1306 "/>
    <x v="0"/>
    <n v="1641430"/>
    <m/>
    <m/>
    <m/>
  </r>
  <r>
    <x v="18"/>
    <x v="1"/>
    <s v="\\192.168.24.208\images\R&amp;D\2-Test oestrogénique\OECD and AOPs\REACTIV oecd interlaboratory validation\WF data\Repeats for invalid experiments - EBO\2022-EBO-ARABINOSE R4\plaque 2/@18 ARABINOSE 0.1 + TESTO/B6_01.tif "/>
    <s v=" 35393.3594 "/>
    <s v=" 83.1211 "/>
    <x v="0"/>
    <n v="2941934"/>
    <m/>
    <m/>
    <m/>
  </r>
  <r>
    <x v="18"/>
    <x v="1"/>
    <s v="\\192.168.24.208\images\R&amp;D\2-Test oestrogénique\OECD and AOPs\REACTIV oecd interlaboratory validation\WF data\Repeats for invalid experiments - EBO\2022-EBO-ARABINOSE R4\plaque 2/@18 ARABINOSE 0.1 + TESTO/B6_02.tif "/>
    <s v=" 33479.029 "/>
    <s v=" 79.9831 "/>
    <x v="0"/>
    <n v="2677757"/>
    <m/>
    <m/>
    <m/>
  </r>
  <r>
    <x v="18"/>
    <x v="1"/>
    <s v="\\192.168.24.208\images\R&amp;D\2-Test oestrogénique\OECD and AOPs\REACTIV oecd interlaboratory validation\WF data\Repeats for invalid experiments - EBO\2022-EBO-ARABINOSE R4\plaque 2/@18 ARABINOSE 0.1 + TESTO/B6_03.tif "/>
    <s v=" 31999.7736 "/>
    <s v=" 78.966 "/>
    <x v="0"/>
    <n v="2526894"/>
    <m/>
    <m/>
    <m/>
  </r>
  <r>
    <x v="18"/>
    <x v="2"/>
    <s v="\\192.168.24.208\images\R&amp;D\2-Test oestrogénique\OECD and AOPs\REACTIV oecd interlaboratory validation\WF data\Repeats for invalid experiments - EBO\2022-EBO-ARABINOSE R4\plaque 2/@18 ARABINOSE 0.1 + TESTO/C6_01.tif "/>
    <s v=" 49555.0539 "/>
    <s v=" 72.9675 "/>
    <x v="0"/>
    <n v="3615909"/>
    <m/>
    <m/>
    <m/>
  </r>
  <r>
    <x v="18"/>
    <x v="2"/>
    <s v="\\192.168.24.208\images\R&amp;D\2-Test oestrogénique\OECD and AOPs\REACTIV oecd interlaboratory validation\WF data\Repeats for invalid experiments - EBO\2022-EBO-ARABINOSE R4\plaque 2/@18 ARABINOSE 0.1 + TESTO/C6_02.tif "/>
    <s v=" 50533.9729 "/>
    <s v=" 71.1515 "/>
    <x v="0"/>
    <n v="3595569"/>
    <m/>
    <m/>
    <m/>
  </r>
  <r>
    <x v="18"/>
    <x v="2"/>
    <s v="\\192.168.24.208\images\R&amp;D\2-Test oestrogénique\OECD and AOPs\REACTIV oecd interlaboratory validation\WF data\Repeats for invalid experiments - EBO\2022-EBO-ARABINOSE R4\plaque 2/@18 ARABINOSE 0.1 + TESTO/C6_03.tif "/>
    <s v=" 45552.363 "/>
    <s v=" 70.6012 "/>
    <x v="0"/>
    <n v="3216053"/>
    <m/>
    <m/>
    <m/>
  </r>
  <r>
    <x v="18"/>
    <x v="3"/>
    <s v="\\192.168.24.208\images\R&amp;D\2-Test oestrogénique\OECD and AOPs\REACTIV oecd interlaboratory validation\WF data\Repeats for invalid experiments - EBO\2022-EBO-ARABINOSE R4\plaque 2/@18 ARABINOSE 0.1 + TESTO/D6_01.tif "/>
    <s v=" 565.5976 "/>
    <s v=" 63.3077 "/>
    <x v="0"/>
    <n v="35807"/>
    <m/>
    <m/>
    <m/>
  </r>
  <r>
    <x v="18"/>
    <x v="3"/>
    <s v="\\192.168.24.208\images\R&amp;D\2-Test oestrogénique\OECD and AOPs\REACTIV oecd interlaboratory validation\WF data\Repeats for invalid experiments - EBO\2022-EBO-ARABINOSE R4\plaque 2/@18 ARABINOSE 0.1 + TESTO/D6_02.tif "/>
    <s v=" 1174.7028 "/>
    <s v=" 63.3333 "/>
    <x v="0"/>
    <n v="74398"/>
    <m/>
    <m/>
    <m/>
  </r>
  <r>
    <x v="18"/>
    <x v="3"/>
    <s v="\\192.168.24.208\images\R&amp;D\2-Test oestrogénique\OECD and AOPs\REACTIV oecd interlaboratory validation\WF data\Repeats for invalid experiments - EBO\2022-EBO-ARABINOSE R4\plaque 2/@18 ARABINOSE 0.1 + TESTO/D6_03.tif "/>
    <s v=" 1152.949 "/>
    <s v=" 63.3396 "/>
    <x v="0"/>
    <n v="73027"/>
    <m/>
    <m/>
    <m/>
  </r>
  <r>
    <x v="18"/>
    <x v="4"/>
    <s v="\\192.168.24.208\images\R&amp;D\2-Test oestrogénique\OECD and AOPs\REACTIV oecd interlaboratory validation\WF data\Repeats for invalid experiments - EBO\2022-EBO-ARABINOSE R4\plaque 2/@18 ARABINOSE 0.1 + TESTO/E6_01- exclu.tif"/>
    <m/>
    <m/>
    <x v="1"/>
    <m/>
    <m/>
    <m/>
    <m/>
  </r>
  <r>
    <x v="18"/>
    <x v="4"/>
    <s v="\\192.168.24.208\images\R&amp;D\2-Test oestrogénique\OECD and AOPs\REACTIV oecd interlaboratory validation\WF data\Repeats for invalid experiments - EBO\2022-EBO-ARABINOSE R4\plaque 2/@18 ARABINOSE 0.1 + TESTO/E6_02.tif "/>
    <s v=" 21710.2475 "/>
    <s v=" 68.1834 "/>
    <x v="0"/>
    <n v="1480278"/>
    <m/>
    <m/>
    <m/>
  </r>
  <r>
    <x v="18"/>
    <x v="4"/>
    <s v="\\192.168.24.208\images\R&amp;D\2-Test oestrogénique\OECD and AOPs\REACTIV oecd interlaboratory validation\WF data\Repeats for invalid experiments - EBO\2022-EBO-ARABINOSE R4\plaque 2/@18 ARABINOSE 0.1 + TESTO/E6_03.tif "/>
    <s v=" 27953.5752 "/>
    <s v=" 66.4125 "/>
    <x v="0"/>
    <n v="1856465"/>
    <m/>
    <m/>
    <m/>
  </r>
  <r>
    <x v="18"/>
    <x v="5"/>
    <s v="\\192.168.24.208\images\R&amp;D\2-Test oestrogénique\OECD and AOPs\REACTIV oecd interlaboratory validation\WF data\Repeats for invalid experiments - EBO\2022-EBO-ARABINOSE R4\plaque 2/@18 ARABINOSE 0.1 + TESTO/F6_01- exclu.tif"/>
    <m/>
    <m/>
    <x v="1"/>
    <m/>
    <m/>
    <m/>
    <m/>
  </r>
  <r>
    <x v="18"/>
    <x v="5"/>
    <s v="\\192.168.24.208\images\R&amp;D\2-Test oestrogénique\OECD and AOPs\REACTIV oecd interlaboratory validation\WF data\Repeats for invalid experiments - EBO\2022-EBO-ARABINOSE R4\plaque 2/@18 ARABINOSE 0.1 + TESTO/F6_02- exclu.tif"/>
    <m/>
    <m/>
    <x v="1"/>
    <m/>
    <m/>
    <m/>
    <m/>
  </r>
  <r>
    <x v="18"/>
    <x v="5"/>
    <s v="\\192.168.24.208\images\R&amp;D\2-Test oestrogénique\OECD and AOPs\REACTIV oecd interlaboratory validation\WF data\Repeats for invalid experiments - EBO\2022-EBO-ARABINOSE R4\plaque 2/@18 ARABINOSE 0.1 + TESTO/F6_03- exclu.tif"/>
    <m/>
    <m/>
    <x v="1"/>
    <m/>
    <m/>
    <m/>
    <m/>
  </r>
  <r>
    <x v="18"/>
    <x v="6"/>
    <s v="\\192.168.24.208\images\R&amp;D\2-Test oestrogénique\OECD and AOPs\REACTIV oecd interlaboratory validation\WF data\Repeats for invalid experiments - EBO\2022-EBO-ARABINOSE R4\plaque 2/@18 ARABINOSE 0.1 + TESTO/G6_01.tif "/>
    <s v=" 9810.9435 "/>
    <s v=" 65.8625 "/>
    <x v="0"/>
    <n v="646174"/>
    <m/>
    <m/>
    <m/>
  </r>
  <r>
    <x v="18"/>
    <x v="6"/>
    <s v="\\192.168.24.208\images\R&amp;D\2-Test oestrogénique\OECD and AOPs\REACTIV oecd interlaboratory validation\WF data\Repeats for invalid experiments - EBO\2022-EBO-ARABINOSE R4\plaque 2/@18 ARABINOSE 0.1 + TESTO/G6_02.tif "/>
    <s v=" 8549.2257 "/>
    <s v=" 65.6845 "/>
    <x v="0"/>
    <n v="561551"/>
    <m/>
    <m/>
    <m/>
  </r>
  <r>
    <x v="18"/>
    <x v="6"/>
    <s v="\\192.168.24.208\images\R&amp;D\2-Test oestrogénique\OECD and AOPs\REACTIV oecd interlaboratory validation\WF data\Repeats for invalid experiments - EBO\2022-EBO-ARABINOSE R4\plaque 2/@18 ARABINOSE 0.1 + TESTO/G6_03.tif "/>
    <s v=" 14031.172 "/>
    <s v=" 67.5395 "/>
    <x v="0"/>
    <n v="947659"/>
    <m/>
    <m/>
    <m/>
  </r>
  <r>
    <x v="18"/>
    <x v="7"/>
    <s v="\\192.168.24.208\images\R&amp;D\2-Test oestrogénique\OECD and AOPs\REACTIV oecd interlaboratory validation\WF data\Repeats for invalid experiments - EBO\2022-EBO-ARABINOSE R4\plaque 2/@18 ARABINOSE 0.1 + TESTO/H6_01.tif "/>
    <s v=" 38873.9602 "/>
    <s v=" 68.272 "/>
    <x v="0"/>
    <n v="2654002"/>
    <m/>
    <m/>
    <m/>
  </r>
  <r>
    <x v="18"/>
    <x v="7"/>
    <s v="\\192.168.24.208\images\R&amp;D\2-Test oestrogénique\OECD and AOPs\REACTIV oecd interlaboratory validation\WF data\Repeats for invalid experiments - EBO\2022-EBO-ARABINOSE R4\plaque 2/@18 ARABINOSE 0.1 + TESTO/H6_02.tif "/>
    <s v=" 29650.3681 "/>
    <s v=" 67.091 "/>
    <x v="0"/>
    <n v="1989272"/>
    <m/>
    <m/>
    <m/>
  </r>
  <r>
    <x v="18"/>
    <x v="7"/>
    <s v="\\192.168.24.208\images\R&amp;D\2-Test oestrogénique\OECD and AOPs\REACTIV oecd interlaboratory validation\WF data\Repeats for invalid experiments - EBO\2022-EBO-ARABINOSE R4\plaque 2/@18 ARABINOSE 0.1 + TESTO/H6_03.tif "/>
    <s v=" 37111.906 "/>
    <s v=" 69.1841 "/>
    <x v="0"/>
    <n v="2567552"/>
    <m/>
    <m/>
    <m/>
  </r>
  <r>
    <x v="1"/>
    <x v="8"/>
    <s v=" "/>
    <m/>
    <m/>
    <x v="1"/>
    <m/>
    <m/>
    <m/>
    <m/>
  </r>
  <r>
    <x v="1"/>
    <x v="8"/>
    <s v="group "/>
    <s v=" "/>
    <s v=" mean of mean fluo "/>
    <x v="2"/>
    <s v=" mean of total fluo "/>
    <s v=" SD total fluo "/>
    <s v=" n fluorescent "/>
    <s v=" n total"/>
  </r>
  <r>
    <x v="18"/>
    <x v="9"/>
    <s v="\\192.168.24.208\images\R&amp;D\2-Test oestrogénique\OECD and AOPs\REACTIV oecd interlaboratory validation\WF data\Repeats for invalid experiments - EBO\2022-EBO-ARABINOSE R4\plaque 2/@18 ARABINOSE 0.1 + TESTO/ "/>
    <s v=" "/>
    <s v=" 68.473 "/>
    <x v="20"/>
    <s v=" 1595214.62 "/>
    <s v=" 1218137.8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192.168.24.208\images\R&amp;D\2-Test oestrogénique\OECD and AOPs\REACTIV oecd interlaboratory validation\WF data\Repeats for invalid experiments - EBO\2022-EBO-ARABINOSE R4\plaque 2/@19 ARABINOSE 1 + TESTO/A7_01.tif "/>
    <s v=" 36502.8009 "/>
    <s v=" 69.792 "/>
    <x v="0"/>
    <n v="2547604"/>
    <m/>
    <m/>
    <m/>
  </r>
  <r>
    <x v="19"/>
    <x v="0"/>
    <s v="\\192.168.24.208\images\R&amp;D\2-Test oestrogénique\OECD and AOPs\REACTIV oecd interlaboratory validation\WF data\Repeats for invalid experiments - EBO\2022-EBO-ARABINOSE R4\plaque 2/@19 ARABINOSE 1 + TESTO/A7_02.tif "/>
    <s v=" 29432.8305 "/>
    <s v=" 68.1744 "/>
    <x v="0"/>
    <n v="2006566"/>
    <m/>
    <m/>
    <m/>
  </r>
  <r>
    <x v="19"/>
    <x v="0"/>
    <s v="\\192.168.24.208\images\R&amp;D\2-Test oestrogénique\OECD and AOPs\REACTIV oecd interlaboratory validation\WF data\Repeats for invalid experiments - EBO\2022-EBO-ARABINOSE R4\plaque 2/@19 ARABINOSE 1 + TESTO/A7_03.tif "/>
    <s v=" 37372.9511 "/>
    <s v=" 70.2008 "/>
    <x v="0"/>
    <n v="2623612"/>
    <m/>
    <m/>
    <m/>
  </r>
  <r>
    <x v="19"/>
    <x v="1"/>
    <s v="\\192.168.24.208\images\R&amp;D\2-Test oestrogénique\OECD and AOPs\REACTIV oecd interlaboratory validation\WF data\Repeats for invalid experiments - EBO\2022-EBO-ARABINOSE R4\plaque 2/@19 ARABINOSE 1 + TESTO/B7_01.tif "/>
    <s v=" 35328.0981 "/>
    <s v=" 72.7475 "/>
    <x v="0"/>
    <n v="2570032"/>
    <m/>
    <m/>
    <m/>
  </r>
  <r>
    <x v="19"/>
    <x v="1"/>
    <s v="\\192.168.24.208\images\R&amp;D\2-Test oestrogénique\OECD and AOPs\REACTIV oecd interlaboratory validation\WF data\Repeats for invalid experiments - EBO\2022-EBO-ARABINOSE R4\plaque 2/@19 ARABINOSE 1 + TESTO/B7_02.tif "/>
    <s v=" 29302.308 "/>
    <s v=" 70.4848 "/>
    <x v="0"/>
    <n v="2065367"/>
    <m/>
    <m/>
    <m/>
  </r>
  <r>
    <x v="19"/>
    <x v="1"/>
    <s v="\\192.168.24.208\images\R&amp;D\2-Test oestrogénique\OECD and AOPs\REACTIV oecd interlaboratory validation\WF data\Repeats for invalid experiments - EBO\2022-EBO-ARABINOSE R4\plaque 2/@19 ARABINOSE 1 + TESTO/B7_03.tif "/>
    <s v=" 28649.6953 "/>
    <s v=" 71.5756 "/>
    <x v="0"/>
    <n v="2050618"/>
    <m/>
    <m/>
    <m/>
  </r>
  <r>
    <x v="19"/>
    <x v="2"/>
    <s v="\\192.168.24.208\images\R&amp;D\2-Test oestrogénique\OECD and AOPs\REACTIV oecd interlaboratory validation\WF data\Repeats for invalid experiments - EBO\2022-EBO-ARABINOSE R4\plaque 2/@19 ARABINOSE 1 + TESTO/C7_01.tif "/>
    <s v=" 15184.121 "/>
    <s v=" 64.9513 "/>
    <x v="0"/>
    <n v="986228"/>
    <m/>
    <m/>
    <m/>
  </r>
  <r>
    <x v="19"/>
    <x v="2"/>
    <s v="\\192.168.24.208\images\R&amp;D\2-Test oestrogénique\OECD and AOPs\REACTIV oecd interlaboratory validation\WF data\Repeats for invalid experiments - EBO\2022-EBO-ARABINOSE R4\plaque 2/@19 ARABINOSE 1 + TESTO/C7_02.tif "/>
    <s v=" 8527.472 "/>
    <s v=" 64.7679 "/>
    <x v="0"/>
    <n v="552306"/>
    <m/>
    <m/>
    <m/>
  </r>
  <r>
    <x v="19"/>
    <x v="2"/>
    <s v="\\192.168.24.208\images\R&amp;D\2-Test oestrogénique\OECD and AOPs\REACTIV oecd interlaboratory validation\WF data\Repeats for invalid experiments - EBO\2022-EBO-ARABINOSE R4\plaque 2/@19 ARABINOSE 1 + TESTO/C7_03.tif "/>
    <s v=" 14553.2621 "/>
    <s v=" 64.7115 "/>
    <x v="0"/>
    <n v="941764"/>
    <m/>
    <m/>
    <m/>
  </r>
  <r>
    <x v="19"/>
    <x v="3"/>
    <s v="\\192.168.24.208\images\R&amp;D\2-Test oestrogénique\OECD and AOPs\REACTIV oecd interlaboratory validation\WF data\Repeats for invalid experiments - EBO\2022-EBO-ARABINOSE R4\plaque 2/@19 ARABINOSE 1 + TESTO/D7_01- exclu.tif"/>
    <m/>
    <m/>
    <x v="1"/>
    <m/>
    <m/>
    <m/>
    <m/>
  </r>
  <r>
    <x v="19"/>
    <x v="3"/>
    <s v="\\192.168.24.208\images\R&amp;D\2-Test oestrogénique\OECD and AOPs\REACTIV oecd interlaboratory validation\WF data\Repeats for invalid experiments - EBO\2022-EBO-ARABINOSE R4\plaque 2/@19 ARABINOSE 1 + TESTO/D7_02.tif "/>
    <s v=" 4176.721 "/>
    <s v=" 63.3438 "/>
    <x v="0"/>
    <n v="264569"/>
    <m/>
    <m/>
    <m/>
  </r>
  <r>
    <x v="19"/>
    <x v="3"/>
    <s v="\\192.168.24.208\images\R&amp;D\2-Test oestrogénique\OECD and AOPs\REACTIV oecd interlaboratory validation\WF data\Repeats for invalid experiments - EBO\2022-EBO-ARABINOSE R4\plaque 2/@19 ARABINOSE 1 + TESTO/D7_03.tif "/>
    <s v=" 1936.0842 "/>
    <s v=" 63.1798 "/>
    <x v="0"/>
    <n v="122321"/>
    <m/>
    <m/>
    <m/>
  </r>
  <r>
    <x v="19"/>
    <x v="4"/>
    <s v="\\192.168.24.208\images\R&amp;D\2-Test oestrogénique\OECD and AOPs\REACTIV oecd interlaboratory validation\WF data\Repeats for invalid experiments - EBO\2022-EBO-ARABINOSE R4\plaque 2/@19 ARABINOSE 1 + TESTO/E7_01.tif "/>
    <s v=" 2088.3605 "/>
    <s v=" 63.8125 "/>
    <x v="0"/>
    <n v="133264"/>
    <m/>
    <m/>
    <m/>
  </r>
  <r>
    <x v="19"/>
    <x v="4"/>
    <s v="\\192.168.24.208\images\R&amp;D\2-Test oestrogénique\OECD and AOPs\REACTIV oecd interlaboratory validation\WF data\Repeats for invalid experiments - EBO\2022-EBO-ARABINOSE R4\plaque 2/@19 ARABINOSE 1 + TESTO/E7_02.tif "/>
    <s v=" 2305.898 "/>
    <s v=" 64.4057 "/>
    <x v="0"/>
    <n v="148513"/>
    <m/>
    <m/>
    <m/>
  </r>
  <r>
    <x v="19"/>
    <x v="4"/>
    <s v="\\192.168.24.208\images\R&amp;D\2-Test oestrogénique\OECD and AOPs\REACTIV oecd interlaboratory validation\WF data\Repeats for invalid experiments - EBO\2022-EBO-ARABINOSE R4\plaque 2/@19 ARABINOSE 1 + TESTO/E7_03.tif "/>
    <s v=" 2088.3605 "/>
    <s v=" 64.7708 "/>
    <x v="0"/>
    <n v="135265"/>
    <m/>
    <m/>
    <m/>
  </r>
  <r>
    <x v="19"/>
    <x v="5"/>
    <s v="\\192.168.24.208\images\R&amp;D\2-Test oestrogénique\OECD and AOPs\REACTIV oecd interlaboratory validation\WF data\Repeats for invalid experiments - EBO\2022-EBO-ARABINOSE R4\plaque 2/@19 ARABINOSE 1 + TESTO/F7_01- exclu.tif"/>
    <m/>
    <m/>
    <x v="1"/>
    <m/>
    <m/>
    <m/>
    <m/>
  </r>
  <r>
    <x v="19"/>
    <x v="5"/>
    <s v="\\192.168.24.208\images\R&amp;D\2-Test oestrogénique\OECD and AOPs\REACTIV oecd interlaboratory validation\WF data\Repeats for invalid experiments - EBO\2022-EBO-ARABINOSE R4\plaque 2/@19 ARABINOSE 1 + TESTO/F7_02.tif "/>
    <s v=" 19404.3495 "/>
    <s v=" 66.3812 "/>
    <x v="0"/>
    <n v="1288083"/>
    <m/>
    <m/>
    <m/>
  </r>
  <r>
    <x v="19"/>
    <x v="5"/>
    <s v="\\192.168.24.208\images\R&amp;D\2-Test oestrogénique\OECD and AOPs\REACTIV oecd interlaboratory validation\WF data\Repeats for invalid experiments - EBO\2022-EBO-ARABINOSE R4\plaque 2/@19 ARABINOSE 1 + TESTO/F7_03.tif "/>
    <s v=" 18860.5056 "/>
    <s v=" 66.782 "/>
    <x v="0"/>
    <n v="1259542"/>
    <m/>
    <m/>
    <m/>
  </r>
  <r>
    <x v="19"/>
    <x v="6"/>
    <s v="\\192.168.24.208\images\R&amp;D\2-Test oestrogénique\OECD and AOPs\REACTIV oecd interlaboratory validation\WF data\Repeats for invalid experiments - EBO\2022-EBO-ARABINOSE R4\plaque 2/@19 ARABINOSE 1 + TESTO/G7_01.tif "/>
    <s v=" 23407.0404 "/>
    <s v=" 67.7695 "/>
    <x v="0"/>
    <n v="1586284"/>
    <m/>
    <m/>
    <m/>
  </r>
  <r>
    <x v="19"/>
    <x v="6"/>
    <s v="\\192.168.24.208\images\R&amp;D\2-Test oestrogénique\OECD and AOPs\REACTIV oecd interlaboratory validation\WF data\Repeats for invalid experiments - EBO\2022-EBO-ARABINOSE R4\plaque 2/@19 ARABINOSE 1 + TESTO/G7_02- exclu.tif"/>
    <m/>
    <m/>
    <x v="1"/>
    <m/>
    <m/>
    <m/>
    <m/>
  </r>
  <r>
    <x v="19"/>
    <x v="6"/>
    <s v="\\192.168.24.208\images\R&amp;D\2-Test oestrogénique\OECD and AOPs\REACTIV oecd interlaboratory validation\WF data\Repeats for invalid experiments - EBO\2022-EBO-ARABINOSE R4\plaque 2/@19 ARABINOSE 1 + TESTO/G7_03.tif "/>
    <s v=" 18773.4906 "/>
    <s v=" 66.2132 "/>
    <x v="0"/>
    <n v="1243053"/>
    <m/>
    <m/>
    <m/>
  </r>
  <r>
    <x v="19"/>
    <x v="7"/>
    <s v="\\192.168.24.208\images\R&amp;D\2-Test oestrogénique\OECD and AOPs\REACTIV oecd interlaboratory validation\WF data\Repeats for invalid experiments - EBO\2022-EBO-ARABINOSE R4\plaque 2/@19 ARABINOSE 1 + TESTO/H7_01.tif "/>
    <s v=" 15510.4273 "/>
    <s v=" 65.885 "/>
    <x v="0"/>
    <n v="1021904"/>
    <m/>
    <m/>
    <m/>
  </r>
  <r>
    <x v="19"/>
    <x v="7"/>
    <s v="\\192.168.24.208\images\R&amp;D\2-Test oestrogénique\OECD and AOPs\REACTIV oecd interlaboratory validation\WF data\Repeats for invalid experiments - EBO\2022-EBO-ARABINOSE R4\plaque 2/@19 ARABINOSE 1 + TESTO/H7_02.tif "/>
    <s v=" 10507.0637 "/>
    <s v=" 65.8282 "/>
    <x v="0"/>
    <n v="691661"/>
    <m/>
    <m/>
    <m/>
  </r>
  <r>
    <x v="19"/>
    <x v="7"/>
    <s v="\\192.168.24.208\images\R&amp;D\2-Test oestrogénique\OECD and AOPs\REACTIV oecd interlaboratory validation\WF data\Repeats for invalid experiments - EBO\2022-EBO-ARABINOSE R4\plaque 2/@19 ARABINOSE 1 + TESTO/H7_03- exclu.tif"/>
    <m/>
    <m/>
    <x v="1"/>
    <m/>
    <m/>
    <m/>
    <m/>
  </r>
  <r>
    <x v="1"/>
    <x v="8"/>
    <s v=" "/>
    <m/>
    <m/>
    <x v="1"/>
    <m/>
    <m/>
    <m/>
    <m/>
  </r>
  <r>
    <x v="1"/>
    <x v="8"/>
    <s v="group "/>
    <s v=" "/>
    <s v=" mean of mean fluo "/>
    <x v="2"/>
    <s v=" mean of total fluo "/>
    <s v=" SD total fluo "/>
    <s v=" n fluorescent "/>
    <s v=" n total"/>
  </r>
  <r>
    <x v="19"/>
    <x v="9"/>
    <s v="\\192.168.24.208\images\R&amp;D\2-Test oestrogénique\OECD and AOPs\REACTIV oecd interlaboratory validation\WF data\Repeats for invalid experiments - EBO\2022-EBO-ARABINOSE R4\plaque 2/@19 ARABINOSE 1 + TESTO/ "/>
    <s v=" "/>
    <s v=" 66.5068 "/>
    <x v="21"/>
    <s v=" 1125924.5 "/>
    <s v=" 824242.88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192.168.24.208\images\R&amp;D\2-Test oestrogénique\OECD and AOPs\REACTIV oecd interlaboratory validation\WF data\Repeats for invalid experiments - EBO\2022-EBO-ARABINOSE R4\plaque 2/@20 ARABINOSE 10 + TESTO/A8_01.tif "/>
    <s v=" 34501.4554 "/>
    <s v=" 69.6431 "/>
    <x v="0"/>
    <n v="2402789"/>
    <m/>
    <m/>
    <m/>
  </r>
  <r>
    <x v="20"/>
    <x v="0"/>
    <s v="\\192.168.24.208\images\R&amp;D\2-Test oestrogénique\OECD and AOPs\REACTIV oecd interlaboratory validation\WF data\Repeats for invalid experiments - EBO\2022-EBO-ARABINOSE R4\plaque 2/@20 ARABINOSE 10 + TESTO/A8_02.tif "/>
    <s v=" 34697.2392 "/>
    <s v=" 69.6533 "/>
    <x v="0"/>
    <n v="2416777"/>
    <m/>
    <m/>
    <m/>
  </r>
  <r>
    <x v="20"/>
    <x v="0"/>
    <s v="\\192.168.24.208\images\R&amp;D\2-Test oestrogénique\OECD and AOPs\REACTIV oecd interlaboratory validation\WF data\Repeats for invalid experiments - EBO\2022-EBO-ARABINOSE R4\plaque 2/@20 ARABINOSE 10 + TESTO/A8_03.tif "/>
    <s v=" 35502.1282 "/>
    <s v=" 69.6624 "/>
    <x v="0"/>
    <n v="2473163"/>
    <m/>
    <m/>
    <m/>
  </r>
  <r>
    <x v="20"/>
    <x v="1"/>
    <s v="\\192.168.24.208\images\R&amp;D\2-Test oestrogénique\OECD and AOPs\REACTIV oecd interlaboratory validation\WF data\Repeats for invalid experiments - EBO\2022-EBO-ARABINOSE R4\plaque 2/@20 ARABINOSE 10 + TESTO/B8_01.tif "/>
    <s v=" 16228.3012 "/>
    <s v=" 65.9678 "/>
    <x v="0"/>
    <n v="1070546"/>
    <m/>
    <m/>
    <m/>
  </r>
  <r>
    <x v="20"/>
    <x v="1"/>
    <s v="\\192.168.24.208\images\R&amp;D\2-Test oestrogénique\OECD and AOPs\REACTIV oecd interlaboratory validation\WF data\Repeats for invalid experiments - EBO\2022-EBO-ARABINOSE R4\plaque 2/@20 ARABINOSE 10 + TESTO/B8_02.tif "/>
    <s v=" 18012.1091 "/>
    <s v=" 67.9976 "/>
    <x v="0"/>
    <n v="1224780"/>
    <m/>
    <m/>
    <m/>
  </r>
  <r>
    <x v="20"/>
    <x v="1"/>
    <s v="\\192.168.24.208\images\R&amp;D\2-Test oestrogénique\OECD and AOPs\REACTIV oecd interlaboratory validation\WF data\Repeats for invalid experiments - EBO\2022-EBO-ARABINOSE R4\plaque 2/@20 ARABINOSE 10 + TESTO/B8_03- exclu.tif"/>
    <m/>
    <m/>
    <x v="1"/>
    <m/>
    <m/>
    <m/>
    <m/>
  </r>
  <r>
    <x v="20"/>
    <x v="2"/>
    <s v="\\192.168.24.208\images\R&amp;D\2-Test oestrogénique\OECD and AOPs\REACTIV oecd interlaboratory validation\WF data\Repeats for invalid experiments - EBO\2022-EBO-ARABINOSE R4\plaque 2/@20 ARABINOSE 10 + TESTO/C8_01.tif "/>
    <s v=" 36089.4796 "/>
    <s v=" 69.1579 "/>
    <x v="0"/>
    <n v="2495874"/>
    <m/>
    <m/>
    <m/>
  </r>
  <r>
    <x v="20"/>
    <x v="2"/>
    <s v="\\192.168.24.208\images\R&amp;D\2-Test oestrogénique\OECD and AOPs\REACTIV oecd interlaboratory validation\WF data\Repeats for invalid experiments - EBO\2022-EBO-ARABINOSE R4\plaque 2/@20 ARABINOSE 10 + TESTO/C8_02.tif "/>
    <s v=" 33479.029 "/>
    <s v=" 68.4094 "/>
    <x v="0"/>
    <n v="2290279"/>
    <m/>
    <m/>
    <m/>
  </r>
  <r>
    <x v="20"/>
    <x v="2"/>
    <s v="\\192.168.24.208\images\R&amp;D\2-Test oestrogénique\OECD and AOPs\REACTIV oecd interlaboratory validation\WF data\Repeats for invalid experiments - EBO\2022-EBO-ARABINOSE R4\plaque 2/@20 ARABINOSE 10 + TESTO/C8_03.tif "/>
    <s v=" 33870.5965 "/>
    <s v=" 70.5979 "/>
    <x v="0"/>
    <n v="2391195"/>
    <m/>
    <m/>
    <m/>
  </r>
  <r>
    <x v="20"/>
    <x v="3"/>
    <s v="\\192.168.24.208\images\R&amp;D\2-Test oestrogénique\OECD and AOPs\REACTIV oecd interlaboratory validation\WF data\Repeats for invalid experiments - EBO\2022-EBO-ARABINOSE R4\plaque 2/@20 ARABINOSE 10 + TESTO/D8_01- exclu.tif"/>
    <m/>
    <m/>
    <x v="1"/>
    <m/>
    <m/>
    <m/>
    <m/>
  </r>
  <r>
    <x v="20"/>
    <x v="3"/>
    <s v="\\192.168.24.208\images\R&amp;D\2-Test oestrogénique\OECD and AOPs\REACTIV oecd interlaboratory validation\WF data\Repeats for invalid experiments - EBO\2022-EBO-ARABINOSE R4\plaque 2/@20 ARABINOSE 10 + TESTO/D8_02.tif "/>
    <s v=" 1218.2103 "/>
    <s v=" 62.75 "/>
    <x v="0"/>
    <n v="76443"/>
    <m/>
    <m/>
    <m/>
  </r>
  <r>
    <x v="20"/>
    <x v="3"/>
    <s v="\\192.168.24.208\images\R&amp;D\2-Test oestrogénique\OECD and AOPs\REACTIV oecd interlaboratory validation\WF data\Repeats for invalid experiments - EBO\2022-EBO-ARABINOSE R4\plaque 2/@20 ARABINOSE 10 + TESTO/D8_03- exclu.tif"/>
    <m/>
    <m/>
    <x v="1"/>
    <m/>
    <m/>
    <m/>
    <m/>
  </r>
  <r>
    <x v="20"/>
    <x v="4"/>
    <s v="\\192.168.24.208\images\R&amp;D\2-Test oestrogénique\OECD and AOPs\REACTIV oecd interlaboratory validation\WF data\Repeats for invalid experiments - EBO\2022-EBO-ARABINOSE R4\plaque 2/@20 ARABINOSE 10 + TESTO/E8_01.tif "/>
    <s v=" 2284.1443 "/>
    <s v=" 65.2476 "/>
    <x v="0"/>
    <n v="149035"/>
    <m/>
    <m/>
    <m/>
  </r>
  <r>
    <x v="20"/>
    <x v="4"/>
    <s v="\\192.168.24.208\images\R&amp;D\2-Test oestrogénique\OECD and AOPs\REACTIV oecd interlaboratory validation\WF data\Repeats for invalid experiments - EBO\2022-EBO-ARABINOSE R4\plaque 2/@20 ARABINOSE 10 + TESTO/E8_02.tif "/>
    <s v=" 1783.8079 "/>
    <s v=" 63.3293 "/>
    <x v="0"/>
    <n v="112967"/>
    <m/>
    <m/>
    <m/>
  </r>
  <r>
    <x v="20"/>
    <x v="4"/>
    <s v="\\192.168.24.208\images\R&amp;D\2-Test oestrogénique\OECD and AOPs\REACTIV oecd interlaboratory validation\WF data\Repeats for invalid experiments - EBO\2022-EBO-ARABINOSE R4\plaque 2/@20 ARABINOSE 10 + TESTO/E8_03- exclu.tif"/>
    <m/>
    <m/>
    <x v="1"/>
    <m/>
    <m/>
    <m/>
    <m/>
  </r>
  <r>
    <x v="20"/>
    <x v="5"/>
    <s v="\\192.168.24.208\images\R&amp;D\2-Test oestrogénique\OECD and AOPs\REACTIV oecd interlaboratory validation\WF data\Repeats for invalid experiments - EBO\2022-EBO-ARABINOSE R4\plaque 2/@20 ARABINOSE 10 + TESTO/F8_01.tif "/>
    <s v=" 26322.0436 "/>
    <s v=" 69.3248 "/>
    <x v="0"/>
    <n v="1824770"/>
    <m/>
    <m/>
    <m/>
  </r>
  <r>
    <x v="20"/>
    <x v="5"/>
    <s v="\\192.168.24.208\images\R&amp;D\2-Test oestrogénique\OECD and AOPs\REACTIV oecd interlaboratory validation\WF data\Repeats for invalid experiments - EBO\2022-EBO-ARABINOSE R4\plaque 2/@20 ARABINOSE 10 + TESTO/F8_02.tif "/>
    <s v=" 27170.44 "/>
    <s v=" 68.4572 "/>
    <x v="0"/>
    <n v="1860011"/>
    <m/>
    <m/>
    <m/>
  </r>
  <r>
    <x v="20"/>
    <x v="5"/>
    <s v="\\192.168.24.208\images\R&amp;D\2-Test oestrogénique\OECD and AOPs\REACTIV oecd interlaboratory validation\WF data\Repeats for invalid experiments - EBO\2022-EBO-ARABINOSE R4\plaque 2/@20 ARABINOSE 10 + TESTO/F8_03.tif "/>
    <s v=" 22014.8001 "/>
    <s v=" 67.7599 "/>
    <x v="0"/>
    <n v="1491720"/>
    <m/>
    <m/>
    <m/>
  </r>
  <r>
    <x v="20"/>
    <x v="6"/>
    <s v="\\192.168.24.208\images\R&amp;D\2-Test oestrogénique\OECD and AOPs\REACTIV oecd interlaboratory validation\WF data\Repeats for invalid experiments - EBO\2022-EBO-ARABINOSE R4\plaque 2/@20 ARABINOSE 10 + TESTO/G8_01.tif "/>
    <s v=" 16772.1451 "/>
    <s v=" 65.5006 "/>
    <x v="0"/>
    <n v="1098586"/>
    <m/>
    <m/>
    <m/>
  </r>
  <r>
    <x v="20"/>
    <x v="6"/>
    <s v="\\192.168.24.208\images\R&amp;D\2-Test oestrogénique\OECD and AOPs\REACTIV oecd interlaboratory validation\WF data\Repeats for invalid experiments - EBO\2022-EBO-ARABINOSE R4\plaque 2/@20 ARABINOSE 10 + TESTO/G8_02.tif "/>
    <s v=" 23994.3918 "/>
    <s v=" 67.2647 "/>
    <x v="0"/>
    <n v="1613976"/>
    <m/>
    <m/>
    <m/>
  </r>
  <r>
    <x v="20"/>
    <x v="6"/>
    <s v="\\192.168.24.208\images\R&amp;D\2-Test oestrogénique\OECD and AOPs\REACTIV oecd interlaboratory validation\WF data\Repeats for invalid experiments - EBO\2022-EBO-ARABINOSE R4\plaque 2/@20 ARABINOSE 10 + TESTO/G8_03.tif "/>
    <s v=" 26235.0285 "/>
    <s v=" 66.641 "/>
    <x v="0"/>
    <n v="1748328"/>
    <m/>
    <m/>
    <m/>
  </r>
  <r>
    <x v="20"/>
    <x v="7"/>
    <s v="\\192.168.24.208\images\R&amp;D\2-Test oestrogénique\OECD and AOPs\REACTIV oecd interlaboratory validation\WF data\Repeats for invalid experiments - EBO\2022-EBO-ARABINOSE R4\plaque 2/@20 ARABINOSE 10 + TESTO/H8_01- exclu.tif"/>
    <m/>
    <m/>
    <x v="1"/>
    <m/>
    <m/>
    <m/>
    <m/>
  </r>
  <r>
    <x v="20"/>
    <x v="7"/>
    <s v="\\192.168.24.208\images\R&amp;D\2-Test oestrogénique\OECD and AOPs\REACTIV oecd interlaboratory validation\WF data\Repeats for invalid experiments - EBO\2022-EBO-ARABINOSE R4\plaque 2/@20 ARABINOSE 10 + TESTO/H8_02.tif "/>
    <s v=" 3785.1534 "/>
    <s v=" 64.477 "/>
    <x v="0"/>
    <n v="244055"/>
    <m/>
    <m/>
    <m/>
  </r>
  <r>
    <x v="20"/>
    <x v="7"/>
    <s v="\\192.168.24.208\images\R&amp;D\2-Test oestrogénique\OECD and AOPs\REACTIV oecd interlaboratory validation\WF data\Repeats for invalid experiments - EBO\2022-EBO-ARABINOSE R4\plaque 2/@20 ARABINOSE 10 + TESTO/H8_03- exclu.tif"/>
    <m/>
    <m/>
    <x v="1"/>
    <m/>
    <m/>
    <m/>
    <m/>
  </r>
  <r>
    <x v="1"/>
    <x v="8"/>
    <s v=" "/>
    <m/>
    <m/>
    <x v="1"/>
    <m/>
    <m/>
    <m/>
    <m/>
  </r>
  <r>
    <x v="1"/>
    <x v="8"/>
    <s v="group "/>
    <s v=" "/>
    <s v=" mean of mean fluo "/>
    <x v="2"/>
    <s v=" mean of total fluo "/>
    <s v=" SD total fluo "/>
    <s v=" n fluorescent "/>
    <s v=" n total"/>
  </r>
  <r>
    <x v="20"/>
    <x v="9"/>
    <s v="\\192.168.24.208\images\R&amp;D\2-Test oestrogénique\OECD and AOPs\REACTIV oecd interlaboratory validation\WF data\Repeats for invalid experiments - EBO\2022-EBO-ARABINOSE R4\plaque 2/@20 ARABINOSE 10 + TESTO/ "/>
    <s v=" "/>
    <s v=" 66.5346 "/>
    <x v="22"/>
    <s v=" 1178748.96 "/>
    <s v=" 963938.27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192.168.24.208\images\R&amp;D\2-Test oestrogénique\OECD and AOPs\REACTIV oecd interlaboratory validation\WF data\Repeats for invalid experiments - EBO\2022-EBO-ARABINOSE R4\plaque 2/@21 ARABINOSE 100 + TESTO/A9_01.tif "/>
    <s v=" 23972.638 "/>
    <s v=" 68.4274 "/>
    <x v="0"/>
    <n v="1640385"/>
    <m/>
    <m/>
    <m/>
  </r>
  <r>
    <x v="21"/>
    <x v="0"/>
    <s v="\\192.168.24.208\images\R&amp;D\2-Test oestrogénique\OECD and AOPs\REACTIV oecd interlaboratory validation\WF data\Repeats for invalid experiments - EBO\2022-EBO-ARABINOSE R4\plaque 2/@21 ARABINOSE 100 + TESTO/A9_02.tif "/>
    <s v=" 22950.2115 "/>
    <s v=" 69.5773 "/>
    <x v="0"/>
    <n v="1596813"/>
    <m/>
    <m/>
    <m/>
  </r>
  <r>
    <x v="21"/>
    <x v="0"/>
    <s v="\\192.168.24.208\images\R&amp;D\2-Test oestrogénique\OECD and AOPs\REACTIV oecd interlaboratory validation\WF data\Repeats for invalid experiments - EBO\2022-EBO-ARABINOSE R4\plaque 2/@21 ARABINOSE 100 + TESTO/A9_03.tif "/>
    <s v=" 20274.4997 "/>
    <s v=" 67.4034 "/>
    <x v="0"/>
    <n v="1366571"/>
    <m/>
    <m/>
    <m/>
  </r>
  <r>
    <x v="21"/>
    <x v="1"/>
    <s v="\\192.168.24.208\images\R&amp;D\2-Test oestrogénique\OECD and AOPs\REACTIV oecd interlaboratory validation\WF data\Repeats for invalid experiments - EBO\2022-EBO-ARABINOSE R4\plaque 2/@21 ARABINOSE 100 + TESTO/B9_01.tif "/>
    <s v=" 20818.3435 "/>
    <s v=" 66.8819 "/>
    <x v="0"/>
    <n v="1392371"/>
    <m/>
    <m/>
    <m/>
  </r>
  <r>
    <x v="21"/>
    <x v="1"/>
    <s v="\\192.168.24.208\images\R&amp;D\2-Test oestrogénique\OECD and AOPs\REACTIV oecd interlaboratory validation\WF data\Repeats for invalid experiments - EBO\2022-EBO-ARABINOSE R4\plaque 2/@21 ARABINOSE 100 + TESTO/B9_02.tif "/>
    <s v=" 19991.7008 "/>
    <s v=" 66.185 "/>
    <x v="0"/>
    <n v="1323150"/>
    <m/>
    <m/>
    <m/>
  </r>
  <r>
    <x v="21"/>
    <x v="1"/>
    <s v="\\192.168.24.208\images\R&amp;D\2-Test oestrogénique\OECD and AOPs\REACTIV oecd interlaboratory validation\WF data\Repeats for invalid experiments - EBO\2022-EBO-ARABINOSE R4\plaque 2/@21 ARABINOSE 100 + TESTO/B9_03.tif "/>
    <s v=" 20187.4846 "/>
    <s v=" 67.5323 "/>
    <x v="0"/>
    <n v="1363308"/>
    <m/>
    <m/>
    <m/>
  </r>
  <r>
    <x v="21"/>
    <x v="2"/>
    <s v="\\192.168.24.208\images\R&amp;D\2-Test oestrogénique\OECD and AOPs\REACTIV oecd interlaboratory validation\WF data\Repeats for invalid experiments - EBO\2022-EBO-ARABINOSE R4\plaque 2/@21 ARABINOSE 100 + TESTO/C9_01.tif "/>
    <s v=" 31912.7586 "/>
    <s v=" 68.5699 "/>
    <x v="0"/>
    <n v="2188254"/>
    <m/>
    <m/>
    <m/>
  </r>
  <r>
    <x v="21"/>
    <x v="2"/>
    <s v="\\192.168.24.208\images\R&amp;D\2-Test oestrogénique\OECD and AOPs\REACTIV oecd interlaboratory validation\WF data\Repeats for invalid experiments - EBO\2022-EBO-ARABINOSE R4\plaque 2/@21 ARABINOSE 100 + TESTO/C9_02.tif "/>
    <s v=" 32891.6776 "/>
    <s v=" 69.2401 "/>
    <x v="0"/>
    <n v="2277422"/>
    <m/>
    <m/>
    <m/>
  </r>
  <r>
    <x v="21"/>
    <x v="2"/>
    <s v="\\192.168.24.208\images\R&amp;D\2-Test oestrogénique\OECD and AOPs\REACTIV oecd interlaboratory validation\WF data\Repeats for invalid experiments - EBO\2022-EBO-ARABINOSE R4\plaque 2/@21 ARABINOSE 100 + TESTO/C9_03.tif "/>
    <s v=" 30738.0558 "/>
    <s v=" 68.4912 "/>
    <x v="0"/>
    <n v="2105285"/>
    <m/>
    <m/>
    <m/>
  </r>
  <r>
    <x v="21"/>
    <x v="3"/>
    <s v="\\192.168.24.208\images\R&amp;D\2-Test oestrogénique\OECD and AOPs\REACTIV oecd interlaboratory validation\WF data\Repeats for invalid experiments - EBO\2022-EBO-ARABINOSE R4\plaque 2/@21 ARABINOSE 100 + TESTO/D9_01.tif "/>
    <s v=" 31695.221 "/>
    <s v=" 68.5525 "/>
    <x v="0"/>
    <n v="2172787"/>
    <m/>
    <m/>
    <m/>
  </r>
  <r>
    <x v="21"/>
    <x v="3"/>
    <s v="\\192.168.24.208\images\R&amp;D\2-Test oestrogénique\OECD and AOPs\REACTIV oecd interlaboratory validation\WF data\Repeats for invalid experiments - EBO\2022-EBO-ARABINOSE R4\plaque 2/@21 ARABINOSE 100 + TESTO/D9_02.tif "/>
    <s v=" 28236.374 "/>
    <s v=" 68.6602 "/>
    <x v="0"/>
    <n v="1938716"/>
    <m/>
    <m/>
    <m/>
  </r>
  <r>
    <x v="21"/>
    <x v="3"/>
    <s v="\\192.168.24.208\images\R&amp;D\2-Test oestrogénique\OECD and AOPs\REACTIV oecd interlaboratory validation\WF data\Repeats for invalid experiments - EBO\2022-EBO-ARABINOSE R4\plaque 2/@21 ARABINOSE 100 + TESTO/D9_03.tif "/>
    <s v=" 28519.1728 "/>
    <s v=" 69.9397 "/>
    <x v="0"/>
    <n v="1994624"/>
    <m/>
    <m/>
    <m/>
  </r>
  <r>
    <x v="21"/>
    <x v="4"/>
    <s v="\\192.168.24.208\images\R&amp;D\2-Test oestrogénique\OECD and AOPs\REACTIV oecd interlaboratory validation\WF data\Repeats for invalid experiments - EBO\2022-EBO-ARABINOSE R4\plaque 2/@21 ARABINOSE 100 + TESTO/E9_01.tif "/>
    <s v=" 45856.9155 "/>
    <s v=" 70.0612 "/>
    <x v="0"/>
    <n v="3212790"/>
    <m/>
    <m/>
    <m/>
  </r>
  <r>
    <x v="21"/>
    <x v="4"/>
    <s v="\\192.168.24.208\images\R&amp;D\2-Test oestrogénique\OECD and AOPs\REACTIV oecd interlaboratory validation\WF data\Repeats for invalid experiments - EBO\2022-EBO-ARABINOSE R4\plaque 2/@21 ARABINOSE 100 + TESTO/E9_02- exclu.tif"/>
    <m/>
    <m/>
    <x v="1"/>
    <m/>
    <m/>
    <m/>
    <m/>
  </r>
  <r>
    <x v="21"/>
    <x v="4"/>
    <s v="\\192.168.24.208\images\R&amp;D\2-Test oestrogénique\OECD and AOPs\REACTIV oecd interlaboratory validation\WF data\Repeats for invalid experiments - EBO\2022-EBO-ARABINOSE R4\plaque 2/@21 ARABINOSE 100 + TESTO/E9_03- exclu.tif"/>
    <m/>
    <m/>
    <x v="1"/>
    <m/>
    <m/>
    <m/>
    <m/>
  </r>
  <r>
    <x v="21"/>
    <x v="5"/>
    <s v="\\192.168.24.208\images\R&amp;D\2-Test oestrogénique\OECD and AOPs\REACTIV oecd interlaboratory validation\WF data\Repeats for invalid experiments - EBO\2022-EBO-ARABINOSE R4\plaque 2/@21 ARABINOSE 100 + TESTO/F9_01- exclu.tif"/>
    <m/>
    <m/>
    <x v="1"/>
    <m/>
    <m/>
    <m/>
    <m/>
  </r>
  <r>
    <x v="21"/>
    <x v="5"/>
    <s v="\\192.168.24.208\images\R&amp;D\2-Test oestrogénique\OECD and AOPs\REACTIV oecd interlaboratory validation\WF data\Repeats for invalid experiments - EBO\2022-EBO-ARABINOSE R4\plaque 2/@21 ARABINOSE 100 + TESTO/F9_02.tif "/>
    <s v=" 13248.0368 "/>
    <s v=" 67.5878 "/>
    <x v="0"/>
    <n v="895406"/>
    <m/>
    <m/>
    <m/>
  </r>
  <r>
    <x v="21"/>
    <x v="5"/>
    <s v="\\192.168.24.208\images\R&amp;D\2-Test oestrogénique\OECD and AOPs\REACTIV oecd interlaboratory validation\WF data\Repeats for invalid experiments - EBO\2022-EBO-ARABINOSE R4\plaque 2/@21 ARABINOSE 100 + TESTO/F9_03.tif "/>
    <s v=" 14379.2321 "/>
    <s v=" 66.5628 "/>
    <x v="0"/>
    <n v="957122"/>
    <m/>
    <m/>
    <m/>
  </r>
  <r>
    <x v="21"/>
    <x v="6"/>
    <s v="\\192.168.24.208\images\R&amp;D\2-Test oestrogénique\OECD and AOPs\REACTIV oecd interlaboratory validation\WF data\Repeats for invalid experiments - EBO\2022-EBO-ARABINOSE R4\plaque 2/@21 ARABINOSE 100 + TESTO/G9_01.tif "/>
    <s v=" 1566.2704 "/>
    <s v=" 64.0972 "/>
    <x v="0"/>
    <n v="100394"/>
    <m/>
    <m/>
    <m/>
  </r>
  <r>
    <x v="21"/>
    <x v="6"/>
    <s v="\\192.168.24.208\images\R&amp;D\2-Test oestrogénique\OECD and AOPs\REACTIV oecd interlaboratory validation\WF data\Repeats for invalid experiments - EBO\2022-EBO-ARABINOSE R4\plaque 2/@21 ARABINOSE 100 + TESTO/G9_02.tif "/>
    <s v=" 2197.1293 "/>
    <s v=" 64.3663 "/>
    <x v="0"/>
    <n v="141421"/>
    <m/>
    <m/>
    <m/>
  </r>
  <r>
    <x v="21"/>
    <x v="6"/>
    <s v="\\192.168.24.208\images\R&amp;D\2-Test oestrogénique\OECD and AOPs\REACTIV oecd interlaboratory validation\WF data\Repeats for invalid experiments - EBO\2022-EBO-ARABINOSE R4\plaque 2/@21 ARABINOSE 100 + TESTO/G9_03.tif "/>
    <s v=" 1501.0091 "/>
    <s v=" 63.5217 "/>
    <x v="0"/>
    <n v="95347"/>
    <m/>
    <m/>
    <m/>
  </r>
  <r>
    <x v="21"/>
    <x v="7"/>
    <s v="\\192.168.24.208\images\R&amp;D\2-Test oestrogénique\OECD and AOPs\REACTIV oecd interlaboratory validation\WF data\Repeats for invalid experiments - EBO\2022-EBO-ARABINOSE R4\plaque 2/@21 ARABINOSE 100 + TESTO/H9_01.tif "/>
    <s v=" 152.2763 "/>
    <n v="64"/>
    <x v="0"/>
    <n v="9746"/>
    <m/>
    <m/>
    <m/>
  </r>
  <r>
    <x v="21"/>
    <x v="7"/>
    <s v="\\192.168.24.208\images\R&amp;D\2-Test oestrogénique\OECD and AOPs\REACTIV oecd interlaboratory validation\WF data\Repeats for invalid experiments - EBO\2022-EBO-ARABINOSE R4\plaque 2/@21 ARABINOSE 100 + TESTO/H9_02.tif "/>
    <s v=" 282.7988 "/>
    <s v=" 62.9231 "/>
    <x v="0"/>
    <n v="17795"/>
    <m/>
    <m/>
    <m/>
  </r>
  <r>
    <x v="21"/>
    <x v="7"/>
    <s v="\\192.168.24.208\images\R&amp;D\2-Test oestrogénique\OECD and AOPs\REACTIV oecd interlaboratory validation\WF data\Repeats for invalid experiments - EBO\2022-EBO-ARABINOSE R4\plaque 2/@21 ARABINOSE 100 + TESTO/H9_03.tif "/>
    <s v=" 304.5526 "/>
    <s v=" 63.5714 "/>
    <x v="0"/>
    <n v="19361"/>
    <m/>
    <m/>
    <m/>
  </r>
  <r>
    <x v="1"/>
    <x v="8"/>
    <s v=" "/>
    <m/>
    <m/>
    <x v="1"/>
    <m/>
    <m/>
    <m/>
    <m/>
  </r>
  <r>
    <x v="1"/>
    <x v="8"/>
    <s v="group "/>
    <s v=" "/>
    <s v=" mean of mean fluo "/>
    <x v="2"/>
    <s v=" mean of total fluo "/>
    <s v=" SD total fluo "/>
    <s v=" n fluorescent "/>
    <s v=" n total"/>
  </r>
  <r>
    <x v="21"/>
    <x v="9"/>
    <s v="\\192.168.24.208\images\R&amp;D\2-Test oestrogénique\OECD and AOPs\REACTIV oecd interlaboratory validation\WF data\Repeats for invalid experiments - EBO\2022-EBO-ARABINOSE R4\plaque 2/@21 ARABINOSE 100 + TESTO/ "/>
    <s v=" "/>
    <s v=" 67.1292 "/>
    <x v="23"/>
    <s v=" 1359278.92 "/>
    <s v=" 930802.071 "/>
    <n v="24"/>
    <n v="24"/>
  </r>
  <r>
    <x v="1"/>
    <x v="8"/>
    <s v=" "/>
    <m/>
    <m/>
    <x v="1"/>
    <m/>
    <m/>
    <m/>
    <m/>
  </r>
  <r>
    <x v="1"/>
    <x v="8"/>
    <s v=" "/>
    <m/>
    <m/>
    <x v="1"/>
    <m/>
    <m/>
    <m/>
    <m/>
  </r>
  <r>
    <x v="1"/>
    <x v="8"/>
    <s v=" "/>
    <m/>
    <m/>
    <x v="1"/>
    <m/>
    <m/>
    <m/>
    <m/>
  </r>
  <r>
    <x v="1"/>
    <x v="8"/>
    <s v=" "/>
    <m/>
    <m/>
    <x v="1"/>
    <m/>
    <m/>
    <m/>
    <m/>
  </r>
  <r>
    <x v="1"/>
    <x v="8"/>
    <s v=" "/>
    <m/>
    <m/>
    <x v="1"/>
    <m/>
    <m/>
    <m/>
    <m/>
  </r>
  <r>
    <x v="1"/>
    <x v="8"/>
    <s v=" "/>
    <m/>
    <m/>
    <x v="1"/>
    <m/>
    <m/>
    <m/>
    <m/>
  </r>
  <r>
    <x v="1"/>
    <x v="8"/>
    <m/>
    <s v=" n total analysed"/>
    <m/>
    <x v="1"/>
    <m/>
    <m/>
    <m/>
    <m/>
  </r>
  <r>
    <x v="1"/>
    <x v="8"/>
    <m/>
    <n v="504"/>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images\20210420\plaque 1/@01 Evian + 0.2% DMSO/A1_01.tif "/>
    <s v=" 10663.5381 "/>
    <s v=" 77.3489 "/>
    <x v="0"/>
    <n v="824813"/>
    <m/>
    <m/>
    <m/>
  </r>
  <r>
    <x v="0"/>
    <x v="0"/>
    <s v="F:\images\20210420\plaque 1/@01 Evian + 0.2% DMSO/A1_02.tif "/>
    <s v=" 2054.84 "/>
    <s v=" 65.3368 "/>
    <x v="0"/>
    <n v="134257"/>
    <m/>
    <m/>
    <m/>
  </r>
  <r>
    <x v="0"/>
    <x v="0"/>
    <s v="F:\images\20210420\plaque 1/@01 Evian + 0.2% DMSO/A1_03.tif "/>
    <s v=" 3568.9326 "/>
    <s v=" 65.4545 "/>
    <x v="0"/>
    <n v="233603"/>
    <m/>
    <m/>
    <m/>
  </r>
  <r>
    <x v="0"/>
    <x v="1"/>
    <s v="F:\images\20210420\plaque 1/@01 Evian + 0.2% DMSO/B1_01.tif "/>
    <s v=" 8716.8475 "/>
    <s v=" 71.3375 "/>
    <x v="0"/>
    <n v="621838"/>
    <m/>
    <m/>
    <m/>
  </r>
  <r>
    <x v="0"/>
    <x v="1"/>
    <s v="F:\images\20210420\plaque 1/@01 Evian + 0.2% DMSO/B1_02.tif "/>
    <s v=" 497.4876 "/>
    <s v=" 62.6522 "/>
    <x v="0"/>
    <n v="31169"/>
    <m/>
    <m/>
    <m/>
  </r>
  <r>
    <x v="0"/>
    <x v="1"/>
    <s v="F:\images\20210420\plaque 1/@01 Evian + 0.2% DMSO/B1_03.tif "/>
    <s v=" 281.1886 "/>
    <n v="63"/>
    <x v="0"/>
    <n v="17715"/>
    <m/>
    <m/>
    <m/>
  </r>
  <r>
    <x v="0"/>
    <x v="2"/>
    <s v="F:\images\20210420\plaque 1/@01 Evian + 0.2% DMSO/C1_01.tif "/>
    <s v=" 3244.4842 "/>
    <s v=" 65.5867 "/>
    <x v="0"/>
    <n v="212795"/>
    <m/>
    <m/>
    <m/>
  </r>
  <r>
    <x v="0"/>
    <x v="2"/>
    <s v="F:\images\20210420\plaque 1/@01 Evian + 0.2% DMSO/C1_02.tif "/>
    <s v=" 324.4484 "/>
    <n v="63"/>
    <x v="0"/>
    <n v="20440"/>
    <m/>
    <m/>
    <m/>
  </r>
  <r>
    <x v="0"/>
    <x v="2"/>
    <s v="F:\images\20210420\plaque 1/@01 Evian + 0.2% DMSO/C1_03.tif "/>
    <s v=" 1211.2741 "/>
    <s v=" 63.3929 "/>
    <x v="0"/>
    <n v="76786"/>
    <m/>
    <m/>
    <m/>
  </r>
  <r>
    <x v="0"/>
    <x v="3"/>
    <s v="F:\images\20210420\plaque 1/@01 Evian + 0.2% DMSO/D1_01.tif "/>
    <s v=" 281.1886 "/>
    <s v=" 63.1538 "/>
    <x v="0"/>
    <n v="17758"/>
    <m/>
    <m/>
    <m/>
  </r>
  <r>
    <x v="0"/>
    <x v="3"/>
    <s v="F:\images\20210420\plaque 1/@01 Evian + 0.2% DMSO/D1_02.tif "/>
    <s v=" 1427.573 "/>
    <s v=" 65.2424 "/>
    <x v="0"/>
    <n v="93138"/>
    <m/>
    <m/>
    <m/>
  </r>
  <r>
    <x v="0"/>
    <x v="3"/>
    <s v="F:\images\20210420\plaque 1/@01 Evian + 0.2% DMSO/D1_03.tif "/>
    <s v=" 259.5587 "/>
    <s v=" 64.1667 "/>
    <x v="0"/>
    <n v="16655"/>
    <m/>
    <m/>
    <m/>
  </r>
  <r>
    <x v="0"/>
    <x v="4"/>
    <s v="F:\images\20210420\plaque 1/@01 Evian + 0.2% DMSO/E1_01.tif "/>
    <s v=" 2465.808 "/>
    <s v=" 65.1579 "/>
    <x v="0"/>
    <n v="160667"/>
    <m/>
    <m/>
    <m/>
  </r>
  <r>
    <x v="0"/>
    <x v="4"/>
    <s v="F:\images\20210420\plaque 1/@01 Evian + 0.2% DMSO/E1_02.tif "/>
    <s v=" 1449.2029 "/>
    <s v=" 63.1194 "/>
    <x v="0"/>
    <n v="91473"/>
    <m/>
    <m/>
    <m/>
  </r>
  <r>
    <x v="0"/>
    <x v="4"/>
    <s v="F:\images\20210420\plaque 1/@01 Evian + 0.2% DMSO/E1_03.tif "/>
    <s v=" 4152.9398 "/>
    <s v=" 65.6094 "/>
    <x v="0"/>
    <n v="272472"/>
    <m/>
    <m/>
    <m/>
  </r>
  <r>
    <x v="0"/>
    <x v="5"/>
    <s v="F:\images\20210420\plaque 1/@01 Evian + 0.2% DMSO/F1_01.tif "/>
    <s v=" 346.0783 "/>
    <s v=" 63.25 "/>
    <x v="0"/>
    <n v="21889"/>
    <m/>
    <m/>
    <m/>
  </r>
  <r>
    <x v="0"/>
    <x v="5"/>
    <s v="F:\images\20210420\plaque 1/@01 Evian + 0.2% DMSO/F1_02.tif "/>
    <s v=" 389.3381 "/>
    <s v=" 62.9444 "/>
    <x v="0"/>
    <n v="24507"/>
    <m/>
    <m/>
    <m/>
  </r>
  <r>
    <x v="0"/>
    <x v="5"/>
    <s v="F:\images\20210420\plaque 1/@01 Evian + 0.2% DMSO/F1_03.tif "/>
    <s v=" 151.4093 "/>
    <n v="64"/>
    <x v="0"/>
    <n v="9690"/>
    <m/>
    <m/>
    <m/>
  </r>
  <r>
    <x v="0"/>
    <x v="6"/>
    <s v="F:\images\20210420\plaque 1/@01 Evian + 0.2% DMSO/G1_01.tif "/>
    <s v=" 2336.0286 "/>
    <s v=" 63.8241 "/>
    <x v="0"/>
    <n v="149095"/>
    <m/>
    <m/>
    <m/>
  </r>
  <r>
    <x v="0"/>
    <x v="6"/>
    <s v="F:\images\20210420\plaque 1/@01 Evian + 0.2% DMSO/G1_02.tif "/>
    <s v=" 865.1958 "/>
    <s v=" 63.5 "/>
    <x v="0"/>
    <n v="54940"/>
    <m/>
    <m/>
    <m/>
  </r>
  <r>
    <x v="0"/>
    <x v="6"/>
    <s v="F:\images\20210420\plaque 1/@01 Evian + 0.2% DMSO/G1_03.tif "/>
    <s v=" 497.4876 "/>
    <s v=" 63.087 "/>
    <x v="0"/>
    <n v="31385"/>
    <m/>
    <m/>
    <m/>
  </r>
  <r>
    <x v="0"/>
    <x v="7"/>
    <s v="F:\images\20210420\plaque 1/@01 Evian + 0.2% DMSO/H1_01.tif "/>
    <s v=" 108.1495 "/>
    <s v=" 64.2 "/>
    <x v="0"/>
    <n v="6943"/>
    <m/>
    <m/>
    <m/>
  </r>
  <r>
    <x v="0"/>
    <x v="7"/>
    <s v="F:\images\20210420\plaque 1/@01 Evian + 0.2% DMSO/H1_02.tif "/>
    <s v=" 1535.7225 "/>
    <s v=" 63.3662 "/>
    <x v="0"/>
    <n v="97313"/>
    <m/>
    <m/>
    <m/>
  </r>
  <r>
    <x v="0"/>
    <x v="7"/>
    <s v="F:\images\20210420\plaque 1/@01 Evian + 0.2% DMSO/H1_03.tif "/>
    <s v=" 151.4093 "/>
    <s v=" 62.7143 "/>
    <x v="0"/>
    <n v="9496"/>
    <m/>
    <m/>
    <m/>
  </r>
  <r>
    <x v="1"/>
    <x v="8"/>
    <s v=" "/>
    <m/>
    <m/>
    <x v="1"/>
    <m/>
    <m/>
    <m/>
    <m/>
  </r>
  <r>
    <x v="1"/>
    <x v="8"/>
    <s v="group "/>
    <s v=" "/>
    <s v=" mean of mean fluo "/>
    <x v="2"/>
    <s v=" mean of total fluo "/>
    <s v=" SD total fluo "/>
    <s v=" n fluorescent "/>
    <s v=" n total"/>
  </r>
  <r>
    <x v="0"/>
    <x v="9"/>
    <s v="F:\images\20210420\plaque 1/@01 Evian + 0.2% DMSO/ "/>
    <s v=" "/>
    <s v=" 64.7685 "/>
    <x v="3"/>
    <s v=" 134618.208 "/>
    <s v=" 199155.81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F:\images\20210420\plaque 1/@02 EE2 33.8/A2_01.tif "/>
    <s v=" 8392.3991 "/>
    <s v=" 72.2706 "/>
    <x v="0"/>
    <n v="606524"/>
    <m/>
    <m/>
    <m/>
  </r>
  <r>
    <x v="2"/>
    <x v="0"/>
    <s v="F:\images\20210420\plaque 1/@02 EE2 33.8/A2_02.tif "/>
    <s v=" 5104.6551 "/>
    <s v=" 66.4237 "/>
    <x v="0"/>
    <n v="339070"/>
    <m/>
    <m/>
    <m/>
  </r>
  <r>
    <x v="2"/>
    <x v="0"/>
    <s v="F:\images\20210420\plaque 1/@02 EE2 33.8/A2_03.tif "/>
    <s v=" 6640.3777 "/>
    <s v=" 68.8502 "/>
    <x v="0"/>
    <n v="457191"/>
    <m/>
    <m/>
    <m/>
  </r>
  <r>
    <x v="2"/>
    <x v="1"/>
    <s v="F:\images\20210420\plaque 1/@02 EE2 33.8/B2_01.tif "/>
    <s v=" 6640.3777 "/>
    <s v=" 68.1303 "/>
    <x v="0"/>
    <n v="452411"/>
    <m/>
    <m/>
    <m/>
  </r>
  <r>
    <x v="2"/>
    <x v="1"/>
    <s v="F:\images\20210420\plaque 1/@02 EE2 33.8/B2_02.tif "/>
    <s v=" 5234.4345 "/>
    <s v=" 70.3471 "/>
    <x v="0"/>
    <n v="368227"/>
    <m/>
    <m/>
    <m/>
  </r>
  <r>
    <x v="2"/>
    <x v="1"/>
    <s v="F:\images\20210420\plaque 1/@02 EE2 33.8/B2_03.tif "/>
    <s v=" 2292.7688 "/>
    <s v=" 64.5283 "/>
    <x v="0"/>
    <n v="147948"/>
    <m/>
    <m/>
    <m/>
  </r>
  <r>
    <x v="2"/>
    <x v="2"/>
    <s v="F:\images\20210420\plaque 1/@02 EE2 33.8/C2_01.tif "/>
    <s v=" 3093.0749 "/>
    <s v=" 63.7622 "/>
    <x v="0"/>
    <n v="197221"/>
    <m/>
    <m/>
    <m/>
  </r>
  <r>
    <x v="2"/>
    <x v="2"/>
    <s v="F:\images\20210420\plaque 1/@02 EE2 33.8/C2_02.tif "/>
    <s v=" 2379.2884 "/>
    <s v=" 64.4364 "/>
    <x v="0"/>
    <n v="153313"/>
    <m/>
    <m/>
    <m/>
  </r>
  <r>
    <x v="2"/>
    <x v="2"/>
    <s v="F:\images\20210420\plaque 1/@02 EE2 33.8/C2_03.tif "/>
    <s v=" 346.0783 "/>
    <s v=" 62.3125 "/>
    <x v="0"/>
    <n v="21565"/>
    <m/>
    <m/>
    <m/>
  </r>
  <r>
    <x v="2"/>
    <x v="3"/>
    <s v="F:\images\20210420\plaque 1/@02 EE2 33.8/D2_01.tif "/>
    <s v=" 9257.5949 "/>
    <s v=" 73.8832 "/>
    <x v="0"/>
    <n v="683981"/>
    <m/>
    <m/>
    <m/>
  </r>
  <r>
    <x v="2"/>
    <x v="3"/>
    <s v="F:\images\20210420\plaque 1/@02 EE2 33.8/D2_02.tif "/>
    <s v=" 908.4556 "/>
    <s v=" 62.1667 "/>
    <x v="0"/>
    <n v="56476"/>
    <m/>
    <m/>
    <m/>
  </r>
  <r>
    <x v="2"/>
    <x v="3"/>
    <s v="F:\images\20210420\plaque 1/@02 EE2 33.8/D2_03.tif "/>
    <s v=" 2703.7368 "/>
    <s v=" 63.968 "/>
    <x v="0"/>
    <n v="172953"/>
    <m/>
    <m/>
    <m/>
  </r>
  <r>
    <x v="2"/>
    <x v="4"/>
    <s v="F:\images\20210420\plaque 1/@02 EE2 33.8/E2_01.tif "/>
    <s v=" 324.4484 "/>
    <s v=" 64.4 "/>
    <x v="0"/>
    <n v="20894"/>
    <m/>
    <m/>
    <m/>
  </r>
  <r>
    <x v="2"/>
    <x v="4"/>
    <s v="F:\images\20210420\plaque 1/@02 EE2 33.8/E2_02- exclu.tif"/>
    <m/>
    <m/>
    <x v="1"/>
    <m/>
    <m/>
    <m/>
    <m/>
  </r>
  <r>
    <x v="2"/>
    <x v="4"/>
    <s v="F:\images\20210420\plaque 1/@02 EE2 33.8/E2_03.tif "/>
    <s v=" 237.9288 "/>
    <s v=" 62.2727 "/>
    <x v="0"/>
    <n v="14816"/>
    <m/>
    <m/>
    <m/>
  </r>
  <r>
    <x v="2"/>
    <x v="5"/>
    <s v="F:\images\20210420\plaque 1/@02 EE2 33.8/F2_01.tif "/>
    <s v=" 12134.3709 "/>
    <s v=" 76.2674 "/>
    <x v="0"/>
    <n v="925457"/>
    <m/>
    <m/>
    <m/>
  </r>
  <r>
    <x v="2"/>
    <x v="5"/>
    <s v="F:\images\20210420\plaque 1/@02 EE2 33.8/F2_02.tif "/>
    <s v=" 11031.2463 "/>
    <s v=" 80.349 "/>
    <x v="0"/>
    <n v="886350"/>
    <m/>
    <m/>
    <m/>
  </r>
  <r>
    <x v="2"/>
    <x v="5"/>
    <s v="F:\images\20210420\plaque 1/@02 EE2 33.8/F2_03.tif "/>
    <s v=" 7072.9755 "/>
    <s v=" 69.6147 "/>
    <x v="0"/>
    <n v="492383"/>
    <m/>
    <m/>
    <m/>
  </r>
  <r>
    <x v="2"/>
    <x v="6"/>
    <s v="F:\images\20210420\plaque 1/@02 EE2 33.8/G2_01.tif "/>
    <s v=" 6186.1499 "/>
    <s v=" 64.7028 "/>
    <x v="0"/>
    <n v="400261"/>
    <m/>
    <m/>
    <m/>
  </r>
  <r>
    <x v="2"/>
    <x v="6"/>
    <s v="F:\images\20210420\plaque 1/@02 EE2 33.8/G2_02.tif "/>
    <s v=" 5429.1036 "/>
    <s v=" 64.753 "/>
    <x v="0"/>
    <n v="351551"/>
    <m/>
    <m/>
    <m/>
  </r>
  <r>
    <x v="2"/>
    <x v="6"/>
    <s v="F:\images\20210420\plaque 1/@02 EE2 33.8/G2_03.tif "/>
    <s v=" 5537.253 "/>
    <n v="64"/>
    <x v="0"/>
    <n v="354384"/>
    <m/>
    <m/>
    <m/>
  </r>
  <r>
    <x v="2"/>
    <x v="7"/>
    <s v="F:\images\20210420\plaque 1/@02 EE2 33.8/H2_01.tif "/>
    <s v=" 86.5196 "/>
    <s v=" 69.75 "/>
    <x v="0"/>
    <n v="6035"/>
    <m/>
    <m/>
    <m/>
  </r>
  <r>
    <x v="2"/>
    <x v="7"/>
    <s v="F:\images\20210420\plaque 1/@02 EE2 33.8/H2_02.tif "/>
    <s v=" 108.1495 "/>
    <s v=" 63.4 "/>
    <x v="0"/>
    <n v="6857"/>
    <m/>
    <m/>
    <m/>
  </r>
  <r>
    <x v="2"/>
    <x v="7"/>
    <s v="F:\images\20210420\plaque 1/@02 EE2 33.8/H2_03.tif "/>
    <s v=" 151.4093 "/>
    <n v="65"/>
    <x v="0"/>
    <n v="9842"/>
    <m/>
    <m/>
    <m/>
  </r>
  <r>
    <x v="1"/>
    <x v="8"/>
    <s v=" "/>
    <m/>
    <m/>
    <x v="1"/>
    <m/>
    <m/>
    <m/>
    <m/>
  </r>
  <r>
    <x v="1"/>
    <x v="8"/>
    <s v="group "/>
    <s v=" "/>
    <s v=" mean of mean fluo "/>
    <x v="2"/>
    <s v=" mean of total fluo "/>
    <s v=" SD total fluo "/>
    <s v=" n fluorescent "/>
    <s v=" n total"/>
  </r>
  <r>
    <x v="2"/>
    <x v="9"/>
    <s v="F:\images\20210420\plaque 1/@02 EE2 33.8/ "/>
    <s v=" "/>
    <s v=" 67.061 "/>
    <x v="4"/>
    <s v=" 297365.125 "/>
    <s v=" 279009.45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F:\images\20210420\plaque 1/@03 EE2 50.6/A3_01.tif "/>
    <s v=" 6424.0787 "/>
    <s v=" 69.7306 "/>
    <x v="0"/>
    <n v="447955"/>
    <m/>
    <m/>
    <m/>
  </r>
  <r>
    <x v="3"/>
    <x v="0"/>
    <s v="F:\images\20210420\plaque 1/@03 EE2 50.6/A3_02.tif "/>
    <s v=" 5493.9932 "/>
    <s v=" 69.4646 "/>
    <x v="0"/>
    <n v="381638"/>
    <m/>
    <m/>
    <m/>
  </r>
  <r>
    <x v="3"/>
    <x v="0"/>
    <s v="F:\images\20210420\plaque 1/@03 EE2 50.6/A3_03.tif "/>
    <s v=" 5083.0252 "/>
    <s v=" 67.8681 "/>
    <x v="0"/>
    <n v="344975"/>
    <m/>
    <m/>
    <m/>
  </r>
  <r>
    <x v="3"/>
    <x v="1"/>
    <s v="F:\images\20210420\plaque 1/@03 EE2 50.6/B3_01.tif "/>
    <s v=" 9452.264 "/>
    <s v=" 70.389 "/>
    <x v="0"/>
    <n v="665336"/>
    <m/>
    <m/>
    <m/>
  </r>
  <r>
    <x v="3"/>
    <x v="1"/>
    <s v="F:\images\20210420\plaque 1/@03 EE2 50.6/B3_02.tif "/>
    <s v=" 1362.6834 "/>
    <s v=" 66.6984 "/>
    <x v="0"/>
    <n v="90889"/>
    <m/>
    <m/>
    <m/>
  </r>
  <r>
    <x v="3"/>
    <x v="1"/>
    <s v="F:\images\20210420\plaque 1/@03 EE2 50.6/B3_03.tif "/>
    <s v=" 7527.2033 "/>
    <s v=" 67.319 "/>
    <x v="0"/>
    <n v="506724"/>
    <m/>
    <m/>
    <m/>
  </r>
  <r>
    <x v="3"/>
    <x v="2"/>
    <s v="F:\images\20210420\plaque 1/@03 EE2 50.6/C3_01.tif "/>
    <s v=" 2336.0286 "/>
    <s v=" 65.3611 "/>
    <x v="0"/>
    <n v="152685"/>
    <m/>
    <m/>
    <m/>
  </r>
  <r>
    <x v="3"/>
    <x v="2"/>
    <s v="F:\images\20210420\plaque 1/@03 EE2 50.6/C3_02.tif "/>
    <s v=" 475.8577 "/>
    <n v="63"/>
    <x v="0"/>
    <n v="29979"/>
    <m/>
    <m/>
    <m/>
  </r>
  <r>
    <x v="3"/>
    <x v="2"/>
    <s v="F:\images\20210420\plaque 1/@03 EE2 50.6/C3_03.tif "/>
    <s v=" 540.7474 "/>
    <s v=" 63.96 "/>
    <x v="0"/>
    <n v="34586"/>
    <m/>
    <m/>
    <m/>
  </r>
  <r>
    <x v="3"/>
    <x v="3"/>
    <s v="F:\images\20210420\plaque 1/@03 EE2 50.6/D3_01.tif "/>
    <s v=" 7527.2033 "/>
    <s v=" 75.0316 "/>
    <x v="0"/>
    <n v="564778"/>
    <m/>
    <m/>
    <m/>
  </r>
  <r>
    <x v="3"/>
    <x v="3"/>
    <s v="F:\images\20210420\plaque 1/@03 EE2 50.6/D3_02.tif "/>
    <s v=" 4088.0501 "/>
    <s v=" 64.9947 "/>
    <x v="0"/>
    <n v="265702"/>
    <m/>
    <m/>
    <m/>
  </r>
  <r>
    <x v="3"/>
    <x v="3"/>
    <s v="F:\images\20210420\plaque 1/@03 EE2 50.6/D3_03.tif "/>
    <s v=" 1989.9503 "/>
    <s v=" 66.163 "/>
    <x v="0"/>
    <n v="131661"/>
    <m/>
    <m/>
    <m/>
  </r>
  <r>
    <x v="3"/>
    <x v="4"/>
    <s v="F:\images\20210420\plaque 1/@03 EE2 50.6/E3_01.tif "/>
    <s v=" 5212.8046 "/>
    <s v=" 68.4938 "/>
    <x v="0"/>
    <n v="357045"/>
    <m/>
    <m/>
    <m/>
  </r>
  <r>
    <x v="3"/>
    <x v="4"/>
    <s v="F:\images\20210420\plaque 1/@03 EE2 50.6/E3_02.tif "/>
    <s v=" 1730.3916 "/>
    <s v=" 63.5625 "/>
    <x v="0"/>
    <n v="109988"/>
    <m/>
    <m/>
    <m/>
  </r>
  <r>
    <x v="3"/>
    <x v="4"/>
    <s v="F:\images\20210420\plaque 1/@03 EE2 50.6/E3_03.tif "/>
    <s v=" 1989.9503 "/>
    <s v=" 63.3261 "/>
    <x v="0"/>
    <n v="126016"/>
    <m/>
    <m/>
    <m/>
  </r>
  <r>
    <x v="3"/>
    <x v="5"/>
    <s v="F:\images\20210420\plaque 1/@03 EE2 50.6/F3_01.tif "/>
    <s v=" 1708.7617 "/>
    <s v=" 65.3418 "/>
    <x v="0"/>
    <n v="111654"/>
    <m/>
    <m/>
    <m/>
  </r>
  <r>
    <x v="3"/>
    <x v="5"/>
    <s v="F:\images\20210420\plaque 1/@03 EE2 50.6/F3_02.tif "/>
    <s v=" 973.3453 "/>
    <s v=" 69.2444 "/>
    <x v="0"/>
    <n v="67399"/>
    <m/>
    <m/>
    <m/>
  </r>
  <r>
    <x v="3"/>
    <x v="5"/>
    <s v="F:\images\20210420\plaque 1/@03 EE2 50.6/F3_03.tif "/>
    <s v=" 951.7154 "/>
    <s v=" 62.8864 "/>
    <x v="0"/>
    <n v="59850"/>
    <m/>
    <m/>
    <m/>
  </r>
  <r>
    <x v="3"/>
    <x v="6"/>
    <s v="F:\images\20210420\plaque 1/@03 EE2 50.6/G3_01.tif "/>
    <s v=" 3785.2316 "/>
    <s v=" 65.5543 "/>
    <x v="0"/>
    <n v="248138"/>
    <m/>
    <m/>
    <m/>
  </r>
  <r>
    <x v="3"/>
    <x v="6"/>
    <s v="F:\images\20210420\plaque 1/@03 EE2 50.6/G3_02.tif "/>
    <s v=" 6272.6694 "/>
    <s v=" 67.9586 "/>
    <x v="0"/>
    <n v="426282"/>
    <m/>
    <m/>
    <m/>
  </r>
  <r>
    <x v="3"/>
    <x v="6"/>
    <s v="F:\images\20210420\plaque 1/@03 EE2 50.6/G3_03.tif "/>
    <s v=" 410.968 "/>
    <s v=" 63.5789 "/>
    <x v="0"/>
    <n v="26129"/>
    <m/>
    <m/>
    <m/>
  </r>
  <r>
    <x v="3"/>
    <x v="7"/>
    <s v="F:\images\20210420\plaque 1/@03 EE2 50.6/H3_01.tif "/>
    <s v=" 713.7865 "/>
    <s v=" 62.7273 "/>
    <x v="0"/>
    <n v="44774"/>
    <m/>
    <m/>
    <m/>
  </r>
  <r>
    <x v="3"/>
    <x v="7"/>
    <s v="F:\images\20210420\plaque 1/@03 EE2 50.6/H3_02.tif "/>
    <s v=" 3157.9646 "/>
    <s v=" 65.5274 "/>
    <x v="0"/>
    <n v="206933"/>
    <m/>
    <m/>
    <m/>
  </r>
  <r>
    <x v="3"/>
    <x v="7"/>
    <s v="F:\images\20210420\plaque 1/@03 EE2 50.6/H3_03.tif "/>
    <s v=" 2292.7688 "/>
    <s v=" 64.4057 "/>
    <x v="0"/>
    <n v="147667"/>
    <m/>
    <m/>
    <m/>
  </r>
  <r>
    <x v="1"/>
    <x v="8"/>
    <s v=" "/>
    <m/>
    <m/>
    <x v="1"/>
    <m/>
    <m/>
    <m/>
    <m/>
  </r>
  <r>
    <x v="1"/>
    <x v="8"/>
    <s v="group "/>
    <s v=" "/>
    <s v=" mean of mean fluo "/>
    <x v="2"/>
    <s v=" mean of total fluo "/>
    <s v=" SD total fluo "/>
    <s v=" n fluorescent "/>
    <s v=" n total"/>
  </r>
  <r>
    <x v="3"/>
    <x v="9"/>
    <s v="F:\images\20210420\plaque 1/@03 EE2 50.6/ "/>
    <s v=" "/>
    <s v=" 66.3578 "/>
    <x v="5"/>
    <s v=" 231199.292 "/>
    <s v=" 187560.2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F:\images\20210420\plaque 1/@04 EE2 76/A4_01.tif "/>
    <s v=" 2422.5482 "/>
    <s v=" 64.1696 "/>
    <x v="0"/>
    <n v="155454"/>
    <m/>
    <m/>
    <m/>
  </r>
  <r>
    <x v="4"/>
    <x v="0"/>
    <s v="F:\images\20210420\plaque 1/@04 EE2 76/A4_02.tif "/>
    <s v=" 4131.3099 "/>
    <s v=" 65.4974 "/>
    <x v="0"/>
    <n v="270590"/>
    <m/>
    <m/>
    <m/>
  </r>
  <r>
    <x v="4"/>
    <x v="0"/>
    <s v="F:\images\20210420\plaque 1/@04 EE2 76/A4_03.tif "/>
    <s v=" 9041.296 "/>
    <s v=" 72.6675 "/>
    <x v="0"/>
    <n v="657008"/>
    <m/>
    <m/>
    <m/>
  </r>
  <r>
    <x v="4"/>
    <x v="1"/>
    <s v="F:\images\20210420\plaque 1/@04 EE2 76/B4_01.tif "/>
    <s v=" 1341.0535 "/>
    <s v=" 62.9032 "/>
    <x v="0"/>
    <n v="84357"/>
    <m/>
    <m/>
    <m/>
  </r>
  <r>
    <x v="4"/>
    <x v="1"/>
    <s v="F:\images\20210420\plaque 1/@04 EE2 76/B4_02.tif "/>
    <s v=" 5191.1747 "/>
    <s v=" 67.4833 "/>
    <x v="0"/>
    <n v="350318"/>
    <m/>
    <m/>
    <m/>
  </r>
  <r>
    <x v="4"/>
    <x v="1"/>
    <s v="F:\images\20210420\plaque 1/@04 EE2 76/B4_03.tif "/>
    <s v=" 5429.1036 "/>
    <s v=" 65.49 "/>
    <x v="0"/>
    <n v="355552"/>
    <m/>
    <m/>
    <m/>
  </r>
  <r>
    <x v="4"/>
    <x v="2"/>
    <s v="F:\images\20210420\plaque 1/@04 EE2 76/C4_01.tif "/>
    <s v=" 1535.7225 "/>
    <s v=" 62.7606 "/>
    <x v="0"/>
    <n v="96383"/>
    <m/>
    <m/>
    <m/>
  </r>
  <r>
    <x v="4"/>
    <x v="2"/>
    <s v="F:\images\20210420\plaque 1/@04 EE2 76/C4_02.tif "/>
    <s v=" 1016.605 "/>
    <s v=" 63.2553 "/>
    <x v="0"/>
    <n v="64306"/>
    <m/>
    <m/>
    <m/>
  </r>
  <r>
    <x v="4"/>
    <x v="2"/>
    <s v="F:\images\20210420\plaque 1/@04 EE2 76/C4_03.tif "/>
    <s v=" 1427.573 "/>
    <s v=" 63.303 "/>
    <x v="0"/>
    <n v="90370"/>
    <m/>
    <m/>
    <m/>
  </r>
  <r>
    <x v="4"/>
    <x v="3"/>
    <s v="F:\images\20210420\plaque 1/@04 EE2 76/D4_01.tif "/>
    <s v=" 6986.456 "/>
    <s v=" 67.5325 "/>
    <x v="0"/>
    <n v="471813"/>
    <m/>
    <m/>
    <m/>
  </r>
  <r>
    <x v="4"/>
    <x v="3"/>
    <s v="F:\images\20210420\plaque 1/@04 EE2 76/D4_02.tif "/>
    <s v=" 5883.3313 "/>
    <s v=" 67.1838 "/>
    <x v="0"/>
    <n v="395265"/>
    <m/>
    <m/>
    <m/>
  </r>
  <r>
    <x v="4"/>
    <x v="3"/>
    <s v="F:\images\20210420\plaque 1/@04 EE2 76/D4_03.tif "/>
    <s v=" 2941.6657 "/>
    <s v=" 64.9853 "/>
    <x v="0"/>
    <n v="191165"/>
    <m/>
    <m/>
    <m/>
  </r>
  <r>
    <x v="4"/>
    <x v="4"/>
    <s v="F:\images\20210420\plaque 1/@04 EE2 76/E4_01- exclu.tif"/>
    <m/>
    <m/>
    <x v="1"/>
    <m/>
    <m/>
    <m/>
    <m/>
  </r>
  <r>
    <x v="4"/>
    <x v="4"/>
    <s v="F:\images\20210420\plaque 1/@04 EE2 76/E4_02.tif "/>
    <s v=" 5796.8118 "/>
    <s v=" 65.9627 "/>
    <x v="0"/>
    <n v="382373"/>
    <m/>
    <m/>
    <m/>
  </r>
  <r>
    <x v="4"/>
    <x v="4"/>
    <s v="F:\images\20210420\plaque 1/@04 EE2 76/E4_03.tif "/>
    <s v=" 4455.7583 "/>
    <s v=" 64.432 "/>
    <x v="0"/>
    <n v="287094"/>
    <m/>
    <m/>
    <m/>
  </r>
  <r>
    <x v="4"/>
    <x v="5"/>
    <s v="F:\images\20210420\plaque 1/@04 EE2 76/F4_01.tif "/>
    <s v=" 9949.7515 "/>
    <s v=" 73.087 "/>
    <x v="0"/>
    <n v="727197"/>
    <m/>
    <m/>
    <m/>
  </r>
  <r>
    <x v="4"/>
    <x v="5"/>
    <s v="F:\images\20210420\plaque 1/@04 EE2 76/F4_02.tif "/>
    <s v=" 3374.2636 "/>
    <s v=" 64.0449 "/>
    <x v="0"/>
    <n v="216104"/>
    <m/>
    <m/>
    <m/>
  </r>
  <r>
    <x v="4"/>
    <x v="5"/>
    <s v="F:\images\20210420\plaque 1/@04 EE2 76/F4_03.tif "/>
    <s v=" 4304.349 "/>
    <s v=" 65.5327 "/>
    <x v="0"/>
    <n v="282075"/>
    <m/>
    <m/>
    <m/>
  </r>
  <r>
    <x v="4"/>
    <x v="6"/>
    <s v="F:\images\20210420\plaque 1/@04 EE2 76/G4_01.tif "/>
    <s v=" 2033.2101 "/>
    <s v=" 62.9149 "/>
    <x v="0"/>
    <n v="127919"/>
    <m/>
    <m/>
    <m/>
  </r>
  <r>
    <x v="4"/>
    <x v="6"/>
    <s v="F:\images\20210420\plaque 1/@04 EE2 76/G4_02.tif "/>
    <s v=" 2725.3667 "/>
    <s v=" 63.1111 "/>
    <x v="0"/>
    <n v="172001"/>
    <m/>
    <m/>
    <m/>
  </r>
  <r>
    <x v="4"/>
    <x v="6"/>
    <s v="F:\images\20210420\plaque 1/@04 EE2 76/G4_03.tif "/>
    <s v=" 2530.6977 "/>
    <s v=" 63.2137 "/>
    <x v="0"/>
    <n v="159975"/>
    <m/>
    <m/>
    <m/>
  </r>
  <r>
    <x v="4"/>
    <x v="7"/>
    <s v="F:\images\20210420\plaque 1/@04 EE2 76/H4_01.tif "/>
    <s v=" 13302.3852 "/>
    <s v=" 65.8959 "/>
    <x v="0"/>
    <n v="876573"/>
    <m/>
    <m/>
    <m/>
  </r>
  <r>
    <x v="4"/>
    <x v="7"/>
    <s v="F:\images\20210420\plaque 1/@04 EE2 76/H4_02.tif "/>
    <s v=" 4304.349 "/>
    <s v=" 63.4472 "/>
    <x v="0"/>
    <n v="273099"/>
    <m/>
    <m/>
    <m/>
  </r>
  <r>
    <x v="4"/>
    <x v="7"/>
    <s v="F:\images\20210420\plaque 1/@04 EE2 76/H4_03.tif "/>
    <s v=" 10295.8298 "/>
    <s v=" 64.5273 "/>
    <x v="0"/>
    <n v="664362"/>
    <m/>
    <m/>
    <m/>
  </r>
  <r>
    <x v="1"/>
    <x v="8"/>
    <s v=" "/>
    <m/>
    <m/>
    <x v="1"/>
    <m/>
    <m/>
    <m/>
    <m/>
  </r>
  <r>
    <x v="1"/>
    <x v="8"/>
    <s v="group "/>
    <s v=" "/>
    <s v=" mean of mean fluo "/>
    <x v="2"/>
    <s v=" mean of total fluo "/>
    <s v=" SD total fluo "/>
    <s v=" n fluorescent "/>
    <s v=" n total"/>
  </r>
  <r>
    <x v="4"/>
    <x v="9"/>
    <s v="F:\images\20210420\plaque 1/@04 EE2 76/ "/>
    <s v=" "/>
    <s v=" 65.2524 "/>
    <x v="6"/>
    <s v=" 309920.375 "/>
    <s v=" 224981.20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F:\images\20210420\plaque 1/@05 EE2 114/A5_01.tif "/>
    <s v=" 22300.4214 "/>
    <s v=" 66.7284 "/>
    <x v="0"/>
    <n v="1488072"/>
    <m/>
    <m/>
    <m/>
  </r>
  <r>
    <x v="5"/>
    <x v="0"/>
    <s v="F:\images\20210420\plaque 1/@05 EE2 114/A5_02.tif "/>
    <s v=" 11420.5844 "/>
    <s v=" 64.6591 "/>
    <x v="0"/>
    <n v="738445"/>
    <m/>
    <m/>
    <m/>
  </r>
  <r>
    <x v="5"/>
    <x v="0"/>
    <s v="F:\images\20210420\plaque 1/@05 EE2 114/A5_03.tif "/>
    <s v=" 28486.5712 "/>
    <s v=" 67.8041 "/>
    <x v="0"/>
    <n v="1931506"/>
    <m/>
    <m/>
    <m/>
  </r>
  <r>
    <x v="5"/>
    <x v="1"/>
    <s v="F:\images\20210420\plaque 1/@05 EE2 114/B5_01.tif "/>
    <s v=" 22841.1687 "/>
    <s v=" 66.5492 "/>
    <x v="0"/>
    <n v="1520062"/>
    <m/>
    <m/>
    <m/>
  </r>
  <r>
    <x v="5"/>
    <x v="1"/>
    <s v="F:\images\20210420\plaque 1/@05 EE2 114/B5_02.tif "/>
    <s v=" 20223.9515 "/>
    <s v=" 65.6021 "/>
    <x v="0"/>
    <n v="1326734"/>
    <m/>
    <m/>
    <m/>
  </r>
  <r>
    <x v="5"/>
    <x v="1"/>
    <s v="F:\images\20210420\plaque 1/@05 EE2 114/B5_03.tif "/>
    <s v=" 19834.6134 "/>
    <s v=" 66.3588 "/>
    <x v="0"/>
    <n v="1316201"/>
    <m/>
    <m/>
    <m/>
  </r>
  <r>
    <x v="5"/>
    <x v="2"/>
    <s v="F:\images\20210420\plaque 1/@05 EE2 114/C5_01.tif "/>
    <s v=" 21348.706 "/>
    <s v=" 66.1327 "/>
    <x v="0"/>
    <n v="1411848"/>
    <m/>
    <m/>
    <m/>
  </r>
  <r>
    <x v="5"/>
    <x v="2"/>
    <s v="F:\images\20210420\plaque 1/@05 EE2 114/C5_02.tif "/>
    <s v=" 15941.2323 "/>
    <s v=" 65.6635 "/>
    <x v="0"/>
    <n v="1046757"/>
    <m/>
    <m/>
    <m/>
  </r>
  <r>
    <x v="5"/>
    <x v="2"/>
    <s v="F:\images\20210420\plaque 1/@05 EE2 114/C5_03.tif "/>
    <s v=" 14059.4315 "/>
    <s v=" 65.4508 "/>
    <x v="0"/>
    <n v="920201"/>
    <m/>
    <m/>
    <m/>
  </r>
  <r>
    <x v="5"/>
    <x v="3"/>
    <s v="F:\images\20210420\plaque 1/@05 EE2 114/D5_01.tif "/>
    <s v=" 16892.9477 "/>
    <s v=" 69.5775 "/>
    <x v="0"/>
    <n v="1175368"/>
    <m/>
    <m/>
    <m/>
  </r>
  <r>
    <x v="5"/>
    <x v="3"/>
    <s v="F:\images\20210420\plaque 1/@05 EE2 114/D5_02.tif "/>
    <s v=" 17174.1363 "/>
    <s v=" 69.6826 "/>
    <x v="0"/>
    <n v="1196739"/>
    <m/>
    <m/>
    <m/>
  </r>
  <r>
    <x v="5"/>
    <x v="3"/>
    <s v="F:\images\20210420\plaque 1/@05 EE2 114/D5_03.tif "/>
    <s v=" 20375.3607 "/>
    <s v=" 68.0616 "/>
    <x v="0"/>
    <n v="1386779"/>
    <m/>
    <m/>
    <m/>
  </r>
  <r>
    <x v="5"/>
    <x v="4"/>
    <s v="F:\images\20210420\plaque 1/@05 EE2 114/E5_01.tif "/>
    <s v=" 16611.7591 "/>
    <s v=" 66.2227 "/>
    <x v="0"/>
    <n v="1100075"/>
    <m/>
    <m/>
    <m/>
  </r>
  <r>
    <x v="5"/>
    <x v="4"/>
    <s v="F:\images\20210420\plaque 1/@05 EE2 114/E5_02.tif "/>
    <s v=" 15119.2963 "/>
    <s v=" 65.9943 "/>
    <x v="0"/>
    <n v="997787"/>
    <m/>
    <m/>
    <m/>
  </r>
  <r>
    <x v="5"/>
    <x v="4"/>
    <s v="F:\images\20210420\plaque 1/@05 EE2 114/E5_03.tif "/>
    <s v=" 14578.549 "/>
    <s v=" 67.003 "/>
    <x v="0"/>
    <n v="976806"/>
    <m/>
    <m/>
    <m/>
  </r>
  <r>
    <x v="5"/>
    <x v="5"/>
    <s v="F:\images\20210420\plaque 1/@05 EE2 114/F5_01.tif "/>
    <s v=" 173.0392 "/>
    <s v=" 62.25 "/>
    <x v="0"/>
    <n v="10772"/>
    <m/>
    <m/>
    <m/>
  </r>
  <r>
    <x v="5"/>
    <x v="5"/>
    <s v="F:\images\20210420\plaque 1/@05 EE2 114/F5_02.tif "/>
    <s v=" 584.0072 "/>
    <s v=" 66.6667 "/>
    <x v="0"/>
    <n v="38934"/>
    <m/>
    <m/>
    <m/>
  </r>
  <r>
    <x v="5"/>
    <x v="5"/>
    <s v="F:\images\20210420\plaque 1/@05 EE2 114/F5_03.tif "/>
    <s v=" 1578.9823 "/>
    <s v=" 64.8356 "/>
    <x v="0"/>
    <n v="102374"/>
    <m/>
    <m/>
    <m/>
  </r>
  <r>
    <x v="5"/>
    <x v="6"/>
    <s v="F:\images\20210420\plaque 1/@05 EE2 114/G5_01.tif "/>
    <s v=" 19942.7628 "/>
    <s v=" 65.6594 "/>
    <x v="0"/>
    <n v="1309431"/>
    <m/>
    <m/>
    <m/>
  </r>
  <r>
    <x v="5"/>
    <x v="6"/>
    <s v="F:\images\20210420\plaque 1/@05 EE2 114/G5_02.tif "/>
    <s v=" 27578.1157 "/>
    <s v=" 67.6525 "/>
    <x v="0"/>
    <n v="1865730"/>
    <m/>
    <m/>
    <m/>
  </r>
  <r>
    <x v="5"/>
    <x v="6"/>
    <s v="F:\images\20210420\plaque 1/@05 EE2 114/G5_03.tif "/>
    <s v=" 14059.4315 "/>
    <s v=" 65.3738 "/>
    <x v="0"/>
    <n v="919119"/>
    <m/>
    <m/>
    <m/>
  </r>
  <r>
    <x v="5"/>
    <x v="7"/>
    <s v="F:\images\20210420\plaque 1/@05 EE2 114/H5_01.tif "/>
    <s v=" 17931.1826 "/>
    <s v=" 66.7527 "/>
    <x v="0"/>
    <n v="1196955"/>
    <m/>
    <m/>
    <m/>
  </r>
  <r>
    <x v="5"/>
    <x v="7"/>
    <s v="F:\images\20210420\plaque 1/@05 EE2 114/H5_02.tif "/>
    <s v=" 23122.3574 "/>
    <s v=" 67.0346 "/>
    <x v="0"/>
    <n v="1549998"/>
    <m/>
    <m/>
    <m/>
  </r>
  <r>
    <x v="5"/>
    <x v="7"/>
    <s v="F:\images\20210420\plaque 1/@05 EE2 114/H5_03.tif "/>
    <s v=" 22430.2007 "/>
    <s v=" 67.6557 "/>
    <x v="0"/>
    <n v="1517532"/>
    <m/>
    <m/>
    <m/>
  </r>
  <r>
    <x v="1"/>
    <x v="8"/>
    <s v=" "/>
    <m/>
    <m/>
    <x v="1"/>
    <m/>
    <m/>
    <m/>
    <m/>
  </r>
  <r>
    <x v="1"/>
    <x v="8"/>
    <s v="group "/>
    <s v=" "/>
    <s v=" mean of mean fluo "/>
    <x v="2"/>
    <s v=" mean of total fluo "/>
    <s v=" SD total fluo "/>
    <s v=" n fluorescent "/>
    <s v=" n total"/>
  </r>
  <r>
    <x v="5"/>
    <x v="9"/>
    <s v="F:\images\20210420\plaque 1/@05 EE2 114/ "/>
    <s v=" "/>
    <s v=" 66.4738 "/>
    <x v="7"/>
    <s v=" 1126842.71 "/>
    <s v=" 503985.89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F:\images\20210420\plaque 1/@06 EE2 170.9/A6_01.tif "/>
    <s v=" 68674.9154 "/>
    <s v=" 85.2617 "/>
    <x v="0"/>
    <n v="5855342"/>
    <m/>
    <m/>
    <m/>
  </r>
  <r>
    <x v="6"/>
    <x v="0"/>
    <s v="F:\images\20210420\plaque 1/@06 EE2 170.9/A6_02.tif "/>
    <s v=" 61126.0822 "/>
    <s v=" 84.5103 "/>
    <x v="0"/>
    <n v="5165781"/>
    <m/>
    <m/>
    <m/>
  </r>
  <r>
    <x v="6"/>
    <x v="0"/>
    <s v="F:\images\20210420\plaque 1/@06 EE2 170.9/A6_03.tif "/>
    <s v=" 61169.342 "/>
    <s v=" 84.3854 "/>
    <x v="0"/>
    <n v="5161801"/>
    <m/>
    <m/>
    <m/>
  </r>
  <r>
    <x v="6"/>
    <x v="1"/>
    <s v="F:\images\20210420\plaque 1/@06 EE2 170.9/B6_01.tif "/>
    <s v=" 11398.9545 "/>
    <s v=" 71.6053 "/>
    <x v="0"/>
    <n v="816226"/>
    <m/>
    <m/>
    <m/>
  </r>
  <r>
    <x v="6"/>
    <x v="1"/>
    <s v="F:\images\20210420\plaque 1/@06 EE2 170.9/B6_02.tif "/>
    <s v=" 237.9288 "/>
    <s v=" 61.5455 "/>
    <x v="0"/>
    <n v="14643"/>
    <m/>
    <m/>
    <m/>
  </r>
  <r>
    <x v="6"/>
    <x v="1"/>
    <s v="F:\images\20210420\plaque 1/@06 EE2 170.9/B6_03.tif "/>
    <s v=" 410.968 "/>
    <s v=" 64.5789 "/>
    <x v="0"/>
    <n v="26540"/>
    <m/>
    <m/>
    <m/>
  </r>
  <r>
    <x v="6"/>
    <x v="2"/>
    <s v="F:\images\20210420\plaque 1/@06 EE2 170.9/C6_01.tif "/>
    <s v=" 38176.764 "/>
    <s v=" 68.1139 "/>
    <x v="0"/>
    <n v="2600368"/>
    <m/>
    <m/>
    <m/>
  </r>
  <r>
    <x v="6"/>
    <x v="2"/>
    <s v="F:\images\20210420\plaque 1/@06 EE2 170.9/C6_02.tif "/>
    <s v=" 36230.0735 "/>
    <s v=" 70.5254 "/>
    <x v="0"/>
    <n v="2555139"/>
    <m/>
    <m/>
    <m/>
  </r>
  <r>
    <x v="6"/>
    <x v="2"/>
    <s v="F:\images\20210420\plaque 1/@06 EE2 170.9/C6_03.tif "/>
    <s v=" 36273.3333 "/>
    <s v=" 70.0078 "/>
    <x v="0"/>
    <n v="2539415"/>
    <m/>
    <m/>
    <m/>
  </r>
  <r>
    <x v="6"/>
    <x v="3"/>
    <s v="F:\images\20210420\plaque 1/@06 EE2 170.9/D6_01.tif "/>
    <s v=" 47845.3269 "/>
    <s v=" 70.4702 "/>
    <x v="0"/>
    <n v="3371668"/>
    <m/>
    <m/>
    <m/>
  </r>
  <r>
    <x v="6"/>
    <x v="3"/>
    <s v="F:\images\20210420\plaque 1/@06 EE2 170.9/D6_02.tif "/>
    <s v=" 46071.6756 "/>
    <s v=" 72.593 "/>
    <x v="0"/>
    <n v="3344479"/>
    <m/>
    <m/>
    <m/>
  </r>
  <r>
    <x v="6"/>
    <x v="3"/>
    <s v="F:\images\20210420\plaque 1/@06 EE2 170.9/D6_03.tif "/>
    <s v=" 41291.4688 "/>
    <s v=" 75.3908 "/>
    <x v="0"/>
    <n v="3112996"/>
    <m/>
    <m/>
    <m/>
  </r>
  <r>
    <x v="6"/>
    <x v="4"/>
    <s v="F:\images\20210420\plaque 1/@06 EE2 170.9/E6_01.tif "/>
    <s v=" 41118.4297 "/>
    <s v=" 71.2783 "/>
    <x v="0"/>
    <n v="2930851"/>
    <m/>
    <m/>
    <m/>
  </r>
  <r>
    <x v="6"/>
    <x v="4"/>
    <s v="F:\images\20210420\plaque 1/@06 EE2 170.9/E6_02.tif "/>
    <s v=" 21283.8163 "/>
    <s v=" 66.6707 "/>
    <x v="0"/>
    <n v="1419008"/>
    <m/>
    <m/>
    <m/>
  </r>
  <r>
    <x v="6"/>
    <x v="4"/>
    <s v="F:\images\20210420\plaque 1/@06 EE2 170.9/E6_03.tif "/>
    <s v=" 39755.7463 "/>
    <s v=" 69.5196 "/>
    <x v="0"/>
    <n v="2763803"/>
    <m/>
    <m/>
    <m/>
  </r>
  <r>
    <x v="6"/>
    <x v="5"/>
    <s v="F:\images\20210420\plaque 1/@06 EE2 170.9/F6_01.tif "/>
    <s v=" 49662.2381 "/>
    <s v=" 71.5841 "/>
    <x v="0"/>
    <n v="3555025"/>
    <m/>
    <m/>
    <m/>
  </r>
  <r>
    <x v="6"/>
    <x v="5"/>
    <s v="F:\images\20210420\plaque 1/@06 EE2 170.9/F6_02.tif "/>
    <s v=" 51111.441 "/>
    <s v=" 73.4456 "/>
    <x v="0"/>
    <n v="3753911"/>
    <m/>
    <m/>
    <m/>
  </r>
  <r>
    <x v="6"/>
    <x v="5"/>
    <s v="F:\images\20210420\plaque 1/@06 EE2 170.9/F6_03.tif "/>
    <s v=" 43238.1594 "/>
    <s v=" 71.2411 "/>
    <x v="0"/>
    <n v="3080335"/>
    <m/>
    <m/>
    <m/>
  </r>
  <r>
    <x v="6"/>
    <x v="6"/>
    <s v="F:\images\20210420\plaque 1/@06 EE2 170.9/G6_01.tif "/>
    <s v=" 30736.0803 "/>
    <s v=" 69.2949 "/>
    <x v="0"/>
    <n v="2129852"/>
    <m/>
    <m/>
    <m/>
  </r>
  <r>
    <x v="6"/>
    <x v="6"/>
    <s v="F:\images\20210420\plaque 1/@06 EE2 170.9/G6_02.tif "/>
    <s v=" 28313.5321 "/>
    <s v=" 69.1711 "/>
    <x v="0"/>
    <n v="1958479"/>
    <m/>
    <m/>
    <m/>
  </r>
  <r>
    <x v="6"/>
    <x v="6"/>
    <s v="F:\images\20210420\plaque 1/@06 EE2 170.9/G6_03.tif "/>
    <s v=" 30606.3009 "/>
    <s v=" 69.6947 "/>
    <x v="0"/>
    <n v="2133097"/>
    <m/>
    <m/>
    <m/>
  </r>
  <r>
    <x v="6"/>
    <x v="7"/>
    <s v="F:\images\20210420\plaque 1/@06 EE2 170.9/H6_01.tif "/>
    <s v=" 29654.5855 "/>
    <s v=" 72.5872 "/>
    <x v="0"/>
    <n v="2152542"/>
    <m/>
    <m/>
    <m/>
  </r>
  <r>
    <x v="6"/>
    <x v="7"/>
    <s v="F:\images\20210420\plaque 1/@06 EE2 170.9/H6_02.tif "/>
    <s v=" 27880.9342 "/>
    <s v=" 73.7083 "/>
    <x v="0"/>
    <n v="2055056"/>
    <m/>
    <m/>
    <m/>
  </r>
  <r>
    <x v="6"/>
    <x v="7"/>
    <s v="F:\images\20210420\plaque 1/@06 EE2 170.9/H6_03.tif "/>
    <s v=" 29805.9948 "/>
    <s v=" 73.4296 "/>
    <x v="0"/>
    <n v="2188643"/>
    <m/>
    <m/>
    <m/>
  </r>
  <r>
    <x v="1"/>
    <x v="8"/>
    <s v=" "/>
    <m/>
    <m/>
    <x v="1"/>
    <m/>
    <m/>
    <m/>
    <m/>
  </r>
  <r>
    <x v="1"/>
    <x v="8"/>
    <s v="group "/>
    <s v=" "/>
    <s v=" mean of mean fluo "/>
    <x v="2"/>
    <s v=" mean of total fluo "/>
    <s v=" SD total fluo "/>
    <s v=" n fluorescent "/>
    <s v=" n total"/>
  </r>
  <r>
    <x v="6"/>
    <x v="9"/>
    <s v="F:\images\20210420\plaque 1/@06 EE2 170.9/ "/>
    <s v=" "/>
    <s v=" 72.1089 "/>
    <x v="8"/>
    <s v=" 2695208.33 "/>
    <s v=" 1428822.3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F:\images\20210420\plaque 1/@07 EE2 488/A7_01.tif "/>
    <s v=" 81371.6636 "/>
    <s v=" 87.8926 "/>
    <x v="0"/>
    <n v="7151968"/>
    <m/>
    <m/>
    <m/>
  </r>
  <r>
    <x v="7"/>
    <x v="0"/>
    <s v="F:\images\20210420\plaque 1/@07 EE2 488/A7_02.tif "/>
    <s v=" 80592.9874 "/>
    <s v=" 88.073 "/>
    <x v="0"/>
    <n v="7098066"/>
    <m/>
    <m/>
    <m/>
  </r>
  <r>
    <x v="7"/>
    <x v="0"/>
    <s v="F:\images\20210420\plaque 1/@07 EE2 488/A7_03.tif "/>
    <s v=" 79771.0514 "/>
    <s v=" 87.3042 "/>
    <x v="0"/>
    <n v="6964350"/>
    <m/>
    <m/>
    <m/>
  </r>
  <r>
    <x v="7"/>
    <x v="1"/>
    <s v="F:\images\20210420\plaque 1/@07 EE2 488/B7_01.tif "/>
    <s v=" 56929.8827 "/>
    <s v=" 86.8875 "/>
    <x v="0"/>
    <n v="4946497"/>
    <m/>
    <m/>
    <m/>
  </r>
  <r>
    <x v="7"/>
    <x v="1"/>
    <s v="F:\images\20210420\plaque 1/@07 EE2 488/B7_02.tif "/>
    <s v=" 60909.7833 "/>
    <s v=" 85.8686 "/>
    <x v="0"/>
    <n v="5230238"/>
    <m/>
    <m/>
    <m/>
  </r>
  <r>
    <x v="7"/>
    <x v="1"/>
    <s v="F:\images\20210420\plaque 1/@07 EE2 488/B7_03.tif "/>
    <s v=" 62207.577 "/>
    <s v=" 97.2138 "/>
    <x v="0"/>
    <n v="6047437"/>
    <m/>
    <m/>
    <m/>
  </r>
  <r>
    <x v="7"/>
    <x v="2"/>
    <s v="F:\images\20210420\plaque 1/@07 EE2 488/C7_01.tif "/>
    <s v=" 78927.4855 "/>
    <s v=" 89.3875 "/>
    <x v="0"/>
    <n v="7055131"/>
    <m/>
    <m/>
    <m/>
  </r>
  <r>
    <x v="7"/>
    <x v="2"/>
    <s v="F:\images\20210420\plaque 1/@07 EE2 488/C7_02.tif "/>
    <s v=" 79749.4215 "/>
    <s v=" 90.4632 "/>
    <x v="0"/>
    <n v="7214392"/>
    <m/>
    <m/>
    <m/>
  </r>
  <r>
    <x v="7"/>
    <x v="2"/>
    <s v="F:\images\20210420\plaque 1/@07 EE2 488/C7_03.tif "/>
    <s v=" 26712.9199 "/>
    <s v=" 70.6057 "/>
    <x v="0"/>
    <n v="1886084"/>
    <m/>
    <m/>
    <m/>
  </r>
  <r>
    <x v="7"/>
    <x v="3"/>
    <s v="F:\images\20210420\plaque 1/@07 EE2 488/D7_01.tif "/>
    <s v=" 58119.5269 "/>
    <s v=" 91.7845 "/>
    <x v="0"/>
    <n v="5334473"/>
    <m/>
    <m/>
    <m/>
  </r>
  <r>
    <x v="7"/>
    <x v="3"/>
    <s v="F:\images\20210420\plaque 1/@07 EE2 488/D7_02.tif "/>
    <s v=" 59958.0679 "/>
    <s v=" 92.3319 "/>
    <x v="0"/>
    <n v="5536042"/>
    <m/>
    <m/>
    <m/>
  </r>
  <r>
    <x v="7"/>
    <x v="3"/>
    <s v="F:\images\20210420\plaque 1/@07 EE2 488/D7_03.tif "/>
    <s v=" 61104.4523 "/>
    <s v=" 88.4828 "/>
    <x v="0"/>
    <n v="5406695"/>
    <m/>
    <m/>
    <m/>
  </r>
  <r>
    <x v="7"/>
    <x v="4"/>
    <s v="F:\images\20210420\plaque 1/@07 EE2 488/E7_01.tif "/>
    <s v=" 70859.5348 "/>
    <s v=" 91.1068 "/>
    <x v="0"/>
    <n v="6455788"/>
    <m/>
    <m/>
    <m/>
  </r>
  <r>
    <x v="7"/>
    <x v="4"/>
    <s v="F:\images\20210420\plaque 1/@07 EE2 488/E7_02.tif "/>
    <s v=" 64132.6376 "/>
    <s v=" 90.2277 "/>
    <x v="0"/>
    <n v="5786538"/>
    <m/>
    <m/>
    <m/>
  </r>
  <r>
    <x v="7"/>
    <x v="4"/>
    <s v="F:\images\20210420\plaque 1/@07 EE2 488/E7_03.tif "/>
    <s v=" 82842.4964 "/>
    <s v=" 80.7279 "/>
    <x v="0"/>
    <n v="6687704"/>
    <m/>
    <m/>
    <m/>
  </r>
  <r>
    <x v="7"/>
    <x v="5"/>
    <s v="F:\images\20210420\plaque 1/@07 EE2 488/F7_01.tif "/>
    <s v=" 70643.2359 "/>
    <s v=" 95.259 "/>
    <x v="0"/>
    <n v="6729406"/>
    <m/>
    <m/>
    <m/>
  </r>
  <r>
    <x v="7"/>
    <x v="5"/>
    <s v="F:\images\20210420\plaque 1/@07 EE2 488/F7_02.tif "/>
    <s v=" 70448.5668 "/>
    <s v=" 94.6174 "/>
    <x v="0"/>
    <n v="6665663"/>
    <m/>
    <m/>
    <m/>
  </r>
  <r>
    <x v="7"/>
    <x v="5"/>
    <s v="F:\images\20210420\plaque 1/@07 EE2 488/F7_03.tif "/>
    <s v=" 71270.5028 "/>
    <s v=" 95.4434 "/>
    <x v="0"/>
    <n v="6802299"/>
    <m/>
    <m/>
    <m/>
  </r>
  <r>
    <x v="7"/>
    <x v="6"/>
    <s v="F:\images\20210420\plaque 1/@07 EE2 488/G7_01.tif "/>
    <s v=" 36749.191 "/>
    <s v=" 82.7063 "/>
    <x v="0"/>
    <n v="3039390"/>
    <m/>
    <m/>
    <m/>
  </r>
  <r>
    <x v="7"/>
    <x v="6"/>
    <s v="F:\images\20210420\plaque 1/@07 EE2 488/G7_02.tif "/>
    <s v=" 32855.8099 "/>
    <s v=" 80.7544 "/>
    <x v="0"/>
    <n v="2653253"/>
    <m/>
    <m/>
    <m/>
  </r>
  <r>
    <x v="7"/>
    <x v="6"/>
    <s v="F:\images\20210420\plaque 1/@07 EE2 488/G7_03- exclu.tif"/>
    <m/>
    <m/>
    <x v="1"/>
    <m/>
    <m/>
    <m/>
    <m/>
  </r>
  <r>
    <x v="7"/>
    <x v="7"/>
    <s v="F:\images\20210420\plaque 1/@07 EE2 488/H7_01.tif "/>
    <s v=" 15335.5953 "/>
    <s v=" 65.7983 "/>
    <x v="0"/>
    <n v="1009056"/>
    <m/>
    <m/>
    <m/>
  </r>
  <r>
    <x v="7"/>
    <x v="7"/>
    <s v="F:\images\20210420\plaque 1/@07 EE2 488/H7_02.tif "/>
    <s v=" 16525.2395 "/>
    <s v=" 65.1374 "/>
    <x v="0"/>
    <n v="1076412"/>
    <m/>
    <m/>
    <m/>
  </r>
  <r>
    <x v="7"/>
    <x v="7"/>
    <s v="F:\images\20210420\plaque 1/@07 EE2 488/H7_03.tif "/>
    <s v=" 25155.5675 "/>
    <s v=" 66.9347 "/>
    <x v="0"/>
    <n v="1683779"/>
    <m/>
    <m/>
    <m/>
  </r>
  <r>
    <x v="1"/>
    <x v="8"/>
    <s v=" "/>
    <m/>
    <m/>
    <x v="1"/>
    <m/>
    <m/>
    <m/>
    <m/>
  </r>
  <r>
    <x v="1"/>
    <x v="8"/>
    <s v="group "/>
    <s v=" "/>
    <s v=" mean of mean fluo "/>
    <x v="2"/>
    <s v=" mean of total fluo "/>
    <s v=" SD total fluo "/>
    <s v=" n fluorescent "/>
    <s v=" n total"/>
  </r>
  <r>
    <x v="7"/>
    <x v="9"/>
    <s v="F:\images\20210420\plaque 1/@07 EE2 488/ "/>
    <s v=" "/>
    <s v=" 84.565 "/>
    <x v="9"/>
    <s v=" 4939235.12 "/>
    <s v=" 2320151.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F:\images\20210420\plaque 1/@08 Arabinose 0.01mg_L/A8_01.tif "/>
    <s v=" 5623.7726 "/>
    <s v=" 65.6231 "/>
    <x v="0"/>
    <n v="369049"/>
    <m/>
    <m/>
    <m/>
  </r>
  <r>
    <x v="8"/>
    <x v="0"/>
    <s v="F:\images\20210420\plaque 1/@08 Arabinose 0.01mg_L/A8_02.tif "/>
    <s v=" 497.4876 "/>
    <n v="64"/>
    <x v="0"/>
    <n v="31839"/>
    <m/>
    <m/>
    <m/>
  </r>
  <r>
    <x v="8"/>
    <x v="0"/>
    <s v="F:\images\20210420\plaque 1/@08 Arabinose 0.01mg_L/A8_03.tif "/>
    <s v=" 2552.3276 "/>
    <s v=" 64.1017 "/>
    <x v="0"/>
    <n v="163609"/>
    <m/>
    <m/>
    <m/>
  </r>
  <r>
    <x v="8"/>
    <x v="1"/>
    <s v="F:\images\20210420\plaque 1/@08 Arabinose 0.01mg_L/B8_01.tif "/>
    <s v=" 5926.5911 "/>
    <s v=" 72.5474 "/>
    <x v="0"/>
    <n v="429959"/>
    <m/>
    <m/>
    <m/>
  </r>
  <r>
    <x v="8"/>
    <x v="1"/>
    <s v="F:\images\20210420\plaque 1/@08 Arabinose 0.01mg_L/B8_02.tif "/>
    <s v=" 346.0783 "/>
    <s v=" 62.3125 "/>
    <x v="0"/>
    <n v="21565"/>
    <m/>
    <m/>
    <m/>
  </r>
  <r>
    <x v="8"/>
    <x v="1"/>
    <s v="F:\images\20210420\plaque 1/@08 Arabinose 0.01mg_L/B8_03.tif "/>
    <s v=" 2011.5802 "/>
    <s v=" 65.7097 "/>
    <x v="0"/>
    <n v="132180"/>
    <m/>
    <m/>
    <m/>
  </r>
  <r>
    <x v="8"/>
    <x v="2"/>
    <s v="F:\images\20210420\plaque 1/@08 Arabinose 0.01mg_L/C8_01.tif "/>
    <s v=" 2465.808 "/>
    <s v=" 68.6842 "/>
    <x v="0"/>
    <n v="169362"/>
    <m/>
    <m/>
    <m/>
  </r>
  <r>
    <x v="8"/>
    <x v="2"/>
    <s v="F:\images\20210420\plaque 1/@08 Arabinose 0.01mg_L/C8_02.tif "/>
    <s v=" 237.9288 "/>
    <s v=" 62.7273 "/>
    <x v="0"/>
    <n v="14925"/>
    <m/>
    <m/>
    <m/>
  </r>
  <r>
    <x v="8"/>
    <x v="2"/>
    <s v="F:\images\20210420\plaque 1/@08 Arabinose 0.01mg_L/C8_03.tif "/>
    <s v=" 1189.6442 "/>
    <s v=" 65.6727 "/>
    <x v="0"/>
    <n v="78127"/>
    <m/>
    <m/>
    <m/>
  </r>
  <r>
    <x v="8"/>
    <x v="3"/>
    <s v="F:\images\20210420\plaque 1/@08 Arabinose 0.01mg_L/D8_01.tif "/>
    <s v=" 1622.2421 "/>
    <s v=" 64.2667 "/>
    <x v="0"/>
    <n v="104256"/>
    <m/>
    <m/>
    <m/>
  </r>
  <r>
    <x v="8"/>
    <x v="3"/>
    <s v="F:\images\20210420\plaque 1/@08 Arabinose 0.01mg_L/D8_02.tif "/>
    <s v=" 497.4876 "/>
    <s v=" 63.7826 "/>
    <x v="0"/>
    <n v="31731"/>
    <m/>
    <m/>
    <m/>
  </r>
  <r>
    <x v="8"/>
    <x v="3"/>
    <s v="F:\images\20210420\plaque 1/@08 Arabinose 0.01mg_L/D8_03.tif "/>
    <s v=" 692.1566 "/>
    <n v="66"/>
    <x v="0"/>
    <n v="45682"/>
    <m/>
    <m/>
    <m/>
  </r>
  <r>
    <x v="8"/>
    <x v="4"/>
    <s v="F:\images\20210420\plaque 1/@08 Arabinose 0.01mg_L/E8_01.tif "/>
    <s v=" 1903.4307 "/>
    <s v=" 65.2159 "/>
    <x v="0"/>
    <n v="124134"/>
    <m/>
    <m/>
    <m/>
  </r>
  <r>
    <x v="8"/>
    <x v="4"/>
    <s v="F:\images\20210420\plaque 1/@08 Arabinose 0.01mg_L/E8_02.tif "/>
    <s v=" 3395.8935 "/>
    <s v=" 63.6752 "/>
    <x v="0"/>
    <n v="216234"/>
    <m/>
    <m/>
    <m/>
  </r>
  <r>
    <x v="8"/>
    <x v="4"/>
    <s v="F:\images\20210420\plaque 1/@08 Arabinose 0.01mg_L/E8_03.tif "/>
    <s v=" 930.0855 "/>
    <s v=" 64.9535 "/>
    <x v="0"/>
    <n v="60412"/>
    <m/>
    <m/>
    <m/>
  </r>
  <r>
    <x v="8"/>
    <x v="5"/>
    <s v="F:\images\20210420\plaque 1/@08 Arabinose 0.01mg_L/F8_01.tif "/>
    <s v=" 1211.2741 "/>
    <s v=" 63.3036 "/>
    <x v="0"/>
    <n v="76678"/>
    <m/>
    <m/>
    <m/>
  </r>
  <r>
    <x v="8"/>
    <x v="5"/>
    <s v="F:\images\20210420\plaque 1/@08 Arabinose 0.01mg_L/F8_02.tif "/>
    <s v=" 5342.584 "/>
    <s v=" 71.081 "/>
    <x v="0"/>
    <n v="379756"/>
    <m/>
    <m/>
    <m/>
  </r>
  <r>
    <x v="8"/>
    <x v="5"/>
    <s v="F:\images\20210420\plaque 1/@08 Arabinose 0.01mg_L/F8_03.tif "/>
    <s v=" 627.2669 "/>
    <s v=" 62.1379 "/>
    <x v="0"/>
    <n v="38977"/>
    <m/>
    <m/>
    <m/>
  </r>
  <r>
    <x v="8"/>
    <x v="6"/>
    <s v="F:\images\20210420\plaque 1/@08 Arabinose 0.01mg_L/G8_01.tif "/>
    <s v=" 3979.9006 "/>
    <s v=" 64.7772 "/>
    <x v="0"/>
    <n v="257807"/>
    <m/>
    <m/>
    <m/>
  </r>
  <r>
    <x v="8"/>
    <x v="6"/>
    <s v="F:\images\20210420\plaque 1/@08 Arabinose 0.01mg_L/G8_02.tif "/>
    <s v=" 1319.4236 "/>
    <s v=" 63.6066 "/>
    <x v="0"/>
    <n v="83924"/>
    <m/>
    <m/>
    <m/>
  </r>
  <r>
    <x v="8"/>
    <x v="6"/>
    <s v="F:\images\20210420\plaque 1/@08 Arabinose 0.01mg_L/G8_03.tif "/>
    <s v=" 7159.4951 "/>
    <s v=" 74.7432 "/>
    <x v="0"/>
    <n v="535124"/>
    <m/>
    <m/>
    <m/>
  </r>
  <r>
    <x v="8"/>
    <x v="7"/>
    <s v="F:\images\20210420\plaque 1/@08 Arabinose 0.01mg_L/H8_01.tif "/>
    <s v=" 129.7794 "/>
    <s v=" 62.6667 "/>
    <x v="0"/>
    <n v="8133"/>
    <m/>
    <m/>
    <m/>
  </r>
  <r>
    <x v="8"/>
    <x v="7"/>
    <s v="F:\images\20210420\plaque 1/@08 Arabinose 0.01mg_L/H8_02.tif "/>
    <s v=" 324.4484 "/>
    <s v=" 61.9333 "/>
    <x v="0"/>
    <n v="20094"/>
    <m/>
    <m/>
    <m/>
  </r>
  <r>
    <x v="8"/>
    <x v="7"/>
    <s v="F:\images\20210420\plaque 1/@08 Arabinose 0.01mg_L/H8_03.tif "/>
    <s v=" 129.7794 "/>
    <s v=" 62.5 "/>
    <x v="0"/>
    <n v="8111"/>
    <m/>
    <m/>
    <m/>
  </r>
  <r>
    <x v="1"/>
    <x v="8"/>
    <s v=" "/>
    <m/>
    <m/>
    <x v="1"/>
    <m/>
    <m/>
    <m/>
    <m/>
  </r>
  <r>
    <x v="1"/>
    <x v="8"/>
    <s v="group "/>
    <s v=" "/>
    <s v=" mean of mean fluo "/>
    <x v="2"/>
    <s v=" mean of total fluo "/>
    <s v=" SD total fluo "/>
    <s v=" n fluorescent "/>
    <s v=" n total"/>
  </r>
  <r>
    <x v="8"/>
    <x v="9"/>
    <s v="F:\images\20210420\plaque 1/@08 Arabinose 0.01mg_L/ "/>
    <s v=" "/>
    <s v=" 65.2509 "/>
    <x v="10"/>
    <s v=" 141736.167 "/>
    <s v=" 149119.77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F:\images\20210420\plaque 1/@09 Arabinose 0.1mg_L/A9_01.tif "/>
    <s v=" 5926.5911 "/>
    <s v=" 71.1314 "/>
    <x v="0"/>
    <n v="421567"/>
    <m/>
    <m/>
    <m/>
  </r>
  <r>
    <x v="9"/>
    <x v="0"/>
    <s v="F:\images\20210420\plaque 1/@09 Arabinose 0.1mg_L/A9_02.tif "/>
    <s v=" 7029.7158 "/>
    <s v=" 73.92 "/>
    <x v="0"/>
    <n v="519637"/>
    <m/>
    <m/>
    <m/>
  </r>
  <r>
    <x v="9"/>
    <x v="0"/>
    <s v="F:\images\20210420\plaque 1/@09 Arabinose 0.1mg_L/A9_03.tif "/>
    <s v=" 11225.9153 "/>
    <s v=" 85.9518 "/>
    <x v="0"/>
    <n v="964888"/>
    <m/>
    <m/>
    <m/>
  </r>
  <r>
    <x v="9"/>
    <x v="1"/>
    <s v="F:\images\20210420\plaque 1/@09 Arabinose 0.1mg_L/B9_01.tif "/>
    <s v=" 9041.296 "/>
    <s v=" 72.3397 "/>
    <x v="0"/>
    <n v="654045"/>
    <m/>
    <m/>
    <m/>
  </r>
  <r>
    <x v="9"/>
    <x v="1"/>
    <s v="F:\images\20210420\plaque 1/@09 Arabinose 0.1mg_L/B9_02.tif "/>
    <s v=" 778.6762 "/>
    <s v=" 63.4722 "/>
    <x v="0"/>
    <n v="49424"/>
    <m/>
    <m/>
    <m/>
  </r>
  <r>
    <x v="9"/>
    <x v="1"/>
    <s v="F:\images\20210420\plaque 1/@09 Arabinose 0.1mg_L/B9_03.tif "/>
    <s v=" 4996.5057 "/>
    <s v=" 67.632 "/>
    <x v="0"/>
    <n v="337924"/>
    <m/>
    <m/>
    <m/>
  </r>
  <r>
    <x v="9"/>
    <x v="2"/>
    <s v="F:\images\20210420\plaque 1/@09 Arabinose 0.1mg_L/C9_01.tif "/>
    <s v=" 2725.3667 "/>
    <s v=" 64.0079 "/>
    <x v="0"/>
    <n v="174445"/>
    <m/>
    <m/>
    <m/>
  </r>
  <r>
    <x v="9"/>
    <x v="2"/>
    <s v="F:\images\20210420\plaque 1/@09 Arabinose 0.1mg_L/C9_02.tif "/>
    <s v=" 2400.9183 "/>
    <s v=" 63.6937 "/>
    <x v="0"/>
    <n v="152923"/>
    <m/>
    <m/>
    <m/>
  </r>
  <r>
    <x v="9"/>
    <x v="2"/>
    <s v="F:\images\20210420\plaque 1/@09 Arabinose 0.1mg_L/C9_03.tif "/>
    <s v=" 410.968 "/>
    <s v=" 62.5789 "/>
    <x v="0"/>
    <n v="25718"/>
    <m/>
    <m/>
    <m/>
  </r>
  <r>
    <x v="9"/>
    <x v="3"/>
    <s v="F:\images\20210420\plaque 1/@09 Arabinose 0.1mg_L/D9_01.tif "/>
    <s v=" 9517.1536 "/>
    <s v=" 78.8341 "/>
    <x v="0"/>
    <n v="750276"/>
    <m/>
    <m/>
    <m/>
  </r>
  <r>
    <x v="9"/>
    <x v="3"/>
    <s v="F:\images\20210420\plaque 1/@09 Arabinose 0.1mg_L/D9_02.tif "/>
    <s v=" 8976.4063 "/>
    <s v=" 77.4 "/>
    <x v="0"/>
    <n v="694774"/>
    <m/>
    <m/>
    <m/>
  </r>
  <r>
    <x v="9"/>
    <x v="3"/>
    <s v="F:\images\20210420\plaque 1/@09 Arabinose 0.1mg_L/D9_03.tif "/>
    <s v=" 9517.1536 "/>
    <s v=" 76.6068 "/>
    <x v="0"/>
    <n v="729079"/>
    <m/>
    <m/>
    <m/>
  </r>
  <r>
    <x v="9"/>
    <x v="4"/>
    <s v="F:\images\20210420\plaque 1/@09 Arabinose 0.1mg_L/E9_01.tif "/>
    <s v=" 5667.0324 "/>
    <s v=" 67.4924 "/>
    <x v="0"/>
    <n v="382481"/>
    <m/>
    <m/>
    <m/>
  </r>
  <r>
    <x v="9"/>
    <x v="4"/>
    <s v="F:\images\20210420\plaque 1/@09 Arabinose 0.1mg_L/E9_02.tif "/>
    <s v=" 4607.1676 "/>
    <s v=" 70.9765 "/>
    <x v="0"/>
    <n v="327001"/>
    <m/>
    <m/>
    <m/>
  </r>
  <r>
    <x v="9"/>
    <x v="4"/>
    <s v="F:\images\20210420\plaque 1/@09 Arabinose 0.1mg_L/E9_03.tif "/>
    <s v=" 2162.9895 "/>
    <s v=" 64.46 "/>
    <x v="0"/>
    <n v="139426"/>
    <m/>
    <m/>
    <m/>
  </r>
  <r>
    <x v="9"/>
    <x v="5"/>
    <s v="F:\images\20210420\plaque 1/@09 Arabinose 0.1mg_L/F9_01.tif "/>
    <s v=" 3266.1141 "/>
    <s v=" 64.894 "/>
    <x v="0"/>
    <n v="211951"/>
    <m/>
    <m/>
    <m/>
  </r>
  <r>
    <x v="9"/>
    <x v="5"/>
    <s v="F:\images\20210420\plaque 1/@09 Arabinose 0.1mg_L/F9_02.tif "/>
    <s v=" 3936.6408 "/>
    <s v=" 64.1868 "/>
    <x v="0"/>
    <n v="252680"/>
    <m/>
    <m/>
    <m/>
  </r>
  <r>
    <x v="9"/>
    <x v="5"/>
    <s v="F:\images\20210420\plaque 1/@09 Arabinose 0.1mg_L/F9_03.tif "/>
    <s v=" 2638.8471 "/>
    <s v=" 67.8934 "/>
    <x v="0"/>
    <n v="179160"/>
    <m/>
    <m/>
    <m/>
  </r>
  <r>
    <x v="9"/>
    <x v="6"/>
    <s v="F:\images\20210420\plaque 1/@09 Arabinose 0.1mg_L/G9_01.tif "/>
    <s v=" 4974.8758 "/>
    <s v=" 66.7609 "/>
    <x v="0"/>
    <n v="332127"/>
    <m/>
    <m/>
    <m/>
  </r>
  <r>
    <x v="9"/>
    <x v="6"/>
    <s v="F:\images\20210420\plaque 1/@09 Arabinose 0.1mg_L/G9_02.tif "/>
    <s v=" 2162.9895 "/>
    <s v=" 63.96 "/>
    <x v="0"/>
    <n v="138345"/>
    <m/>
    <m/>
    <m/>
  </r>
  <r>
    <x v="9"/>
    <x v="6"/>
    <s v="F:\images\20210420\plaque 1/@09 Arabinose 0.1mg_L/G9_03.tif "/>
    <s v=" 5731.9221 "/>
    <s v=" 68.7245 "/>
    <x v="0"/>
    <n v="393924"/>
    <m/>
    <m/>
    <m/>
  </r>
  <r>
    <x v="9"/>
    <x v="7"/>
    <s v="F:\images\20210420\plaque 1/@09 Arabinose 0.1mg_L/H9_01.tif "/>
    <s v=" 3093.0749 "/>
    <s v=" 66.1259 "/>
    <x v="0"/>
    <n v="204532"/>
    <m/>
    <m/>
    <m/>
  </r>
  <r>
    <x v="9"/>
    <x v="7"/>
    <s v="F:\images\20210420\plaque 1/@09 Arabinose 0.1mg_L/H9_02.tif "/>
    <s v=" 2876.776 "/>
    <s v=" 65.406 "/>
    <x v="0"/>
    <n v="188158"/>
    <m/>
    <m/>
    <m/>
  </r>
  <r>
    <x v="9"/>
    <x v="7"/>
    <s v="F:\images\20210420\plaque 1/@09 Arabinose 0.1mg_L/H9_03.tif "/>
    <s v=" 2509.0678 "/>
    <s v=" 64.5603 "/>
    <x v="0"/>
    <n v="161986"/>
    <m/>
    <m/>
    <m/>
  </r>
  <r>
    <x v="1"/>
    <x v="8"/>
    <s v=" "/>
    <m/>
    <m/>
    <x v="1"/>
    <m/>
    <m/>
    <m/>
    <m/>
  </r>
  <r>
    <x v="1"/>
    <x v="8"/>
    <s v="group "/>
    <s v=" "/>
    <s v=" mean of mean fluo "/>
    <x v="2"/>
    <s v=" mean of total fluo "/>
    <s v=" SD total fluo "/>
    <s v=" n fluorescent "/>
    <s v=" n total"/>
  </r>
  <r>
    <x v="9"/>
    <x v="9"/>
    <s v="F:\images\20210420\plaque 1/@09 Arabinose 0.1mg_L/ "/>
    <s v=" "/>
    <s v=" 68.8754 "/>
    <x v="11"/>
    <s v=" 349436.292 "/>
    <s v=" 248990.30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F:\images\20210420\plaque 1/@10 Arabinose 1mg_L/A10_01.tif "/>
    <s v=" 324.4484 "/>
    <s v=" 62.8 "/>
    <x v="0"/>
    <n v="20375"/>
    <m/>
    <m/>
    <m/>
  </r>
  <r>
    <x v="10"/>
    <x v="0"/>
    <s v="F:\images\20210420\plaque 1/@10 Arabinose 1mg_L/A10_02.tif "/>
    <s v=" 5104.6551 "/>
    <s v=" 66.1695 "/>
    <x v="0"/>
    <n v="337772"/>
    <m/>
    <m/>
    <m/>
  </r>
  <r>
    <x v="10"/>
    <x v="0"/>
    <s v="F:\images\20210420\plaque 1/@10 Arabinose 1mg_L/A10_03.tif "/>
    <s v=" 5169.5448 "/>
    <s v=" 65.6695 "/>
    <x v="0"/>
    <n v="339481"/>
    <m/>
    <m/>
    <m/>
  </r>
  <r>
    <x v="10"/>
    <x v="1"/>
    <s v="F:\images\20210420\plaque 1/@10 Arabinose 1mg_L/B10_01.tif "/>
    <s v=" 3828.4913 "/>
    <s v=" 65.8249 "/>
    <x v="0"/>
    <n v="252010"/>
    <m/>
    <m/>
    <m/>
  </r>
  <r>
    <x v="10"/>
    <x v="1"/>
    <s v="F:\images\20210420\plaque 1/@10 Arabinose 1mg_L/B10_02.tif "/>
    <s v=" 1687.1318 "/>
    <s v=" 63.8205 "/>
    <x v="0"/>
    <n v="107674"/>
    <m/>
    <m/>
    <m/>
  </r>
  <r>
    <x v="10"/>
    <x v="1"/>
    <s v="F:\images\20210420\plaque 1/@10 Arabinose 1mg_L/B10_03.tif "/>
    <s v=" 237.9288 "/>
    <s v=" 62.6364 "/>
    <x v="0"/>
    <n v="14903"/>
    <m/>
    <m/>
    <m/>
  </r>
  <r>
    <x v="10"/>
    <x v="2"/>
    <s v="F:\images\20210420\plaque 1/@10 Arabinose 1mg_L/C10_01.tif "/>
    <s v=" 15833.0829 "/>
    <s v=" 88.9891 "/>
    <x v="0"/>
    <n v="1408971"/>
    <m/>
    <m/>
    <m/>
  </r>
  <r>
    <x v="10"/>
    <x v="2"/>
    <s v="F:\images\20210420\plaque 1/@10 Arabinose 1mg_L/C10_02.tif "/>
    <s v=" 17109.2467 "/>
    <s v=" 72.3894 "/>
    <x v="0"/>
    <n v="1238528"/>
    <m/>
    <m/>
    <m/>
  </r>
  <r>
    <x v="10"/>
    <x v="2"/>
    <s v="F:\images\20210420\plaque 1/@10 Arabinose 1mg_L/C10_03.tif "/>
    <s v=" 13150.9759 "/>
    <s v=" 77.5592 "/>
    <x v="0"/>
    <n v="1019979"/>
    <m/>
    <m/>
    <m/>
  </r>
  <r>
    <x v="10"/>
    <x v="3"/>
    <s v="F:\images\20210420\plaque 1/@10 Arabinose 1mg_L/D10_01.tif "/>
    <s v=" 5320.9541 "/>
    <s v=" 67.9146 "/>
    <x v="0"/>
    <n v="361371"/>
    <m/>
    <m/>
    <m/>
  </r>
  <r>
    <x v="10"/>
    <x v="3"/>
    <s v="F:\images\20210420\plaque 1/@10 Arabinose 1mg_L/D10_02.tif "/>
    <s v=" 1752.0215 "/>
    <s v=" 63.7407 "/>
    <x v="0"/>
    <n v="111675"/>
    <m/>
    <m/>
    <m/>
  </r>
  <r>
    <x v="10"/>
    <x v="3"/>
    <s v="F:\images\20210420\plaque 1/@10 Arabinose 1mg_L/D10_03.tif "/>
    <s v=" 930.0855 "/>
    <n v="63"/>
    <x v="0"/>
    <n v="58595"/>
    <m/>
    <m/>
    <m/>
  </r>
  <r>
    <x v="10"/>
    <x v="4"/>
    <s v="F:\images\20210420\plaque 1/@10 Arabinose 1mg_L/E10_01.tif "/>
    <s v=" 11853.1823 "/>
    <s v=" 81.5693 "/>
    <x v="0"/>
    <n v="966856"/>
    <m/>
    <m/>
    <m/>
  </r>
  <r>
    <x v="10"/>
    <x v="4"/>
    <s v="F:\images\20210420\plaque 1/@10 Arabinose 1mg_L/E10_02.tif "/>
    <s v=" 12220.8905 "/>
    <s v=" 86.1009 "/>
    <x v="0"/>
    <n v="1052229"/>
    <m/>
    <m/>
    <m/>
  </r>
  <r>
    <x v="10"/>
    <x v="4"/>
    <s v="F:\images\20210420\plaque 1/@10 Arabinose 1mg_L/E10_03.tif "/>
    <s v=" 11788.2926 "/>
    <s v=" 83.1853 "/>
    <x v="0"/>
    <n v="980613"/>
    <m/>
    <m/>
    <m/>
  </r>
  <r>
    <x v="10"/>
    <x v="5"/>
    <s v="F:\images\20210420\plaque 1/@10 Arabinose 1mg_L/F10_01.tif "/>
    <s v=" 8132.8404 "/>
    <s v=" 67.8484 "/>
    <x v="0"/>
    <n v="551800"/>
    <m/>
    <m/>
    <m/>
  </r>
  <r>
    <x v="10"/>
    <x v="5"/>
    <s v="F:\images\20210420\plaque 1/@10 Arabinose 1mg_L/F10_02.tif "/>
    <s v=" 2054.84 "/>
    <s v=" 65.7368 "/>
    <x v="0"/>
    <n v="135079"/>
    <m/>
    <m/>
    <m/>
  </r>
  <r>
    <x v="10"/>
    <x v="5"/>
    <s v="F:\images\20210420\plaque 1/@10 Arabinose 1mg_L/F10_03.tif "/>
    <s v=" 3633.8223 "/>
    <s v=" 64.8869 "/>
    <x v="0"/>
    <n v="235787"/>
    <m/>
    <m/>
    <m/>
  </r>
  <r>
    <x v="10"/>
    <x v="6"/>
    <s v="F:\images\20210420\plaque 1/@10 Arabinose 1mg_L/G10_01.tif "/>
    <s v=" 237.9288 "/>
    <s v=" 66.4545 "/>
    <x v="0"/>
    <n v="15811"/>
    <m/>
    <m/>
    <m/>
  </r>
  <r>
    <x v="10"/>
    <x v="6"/>
    <s v="F:\images\20210420\plaque 1/@10 Arabinose 1mg_L/G10_02.tif "/>
    <s v=" 367.7082 "/>
    <s v=" 65.2353 "/>
    <x v="0"/>
    <n v="23988"/>
    <m/>
    <m/>
    <m/>
  </r>
  <r>
    <x v="10"/>
    <x v="6"/>
    <s v="F:\images\20210420\plaque 1/@10 Arabinose 1mg_L/G10_03.tif "/>
    <s v=" 605.637 "/>
    <s v=" 63.9643 "/>
    <x v="0"/>
    <n v="38739"/>
    <m/>
    <m/>
    <m/>
  </r>
  <r>
    <x v="10"/>
    <x v="7"/>
    <s v="F:\images\20210420\plaque 1/@10 Arabinose 1mg_L/H10_01.tif "/>
    <s v=" 4066.4202 "/>
    <s v=" 67.6968 "/>
    <x v="0"/>
    <n v="275284"/>
    <m/>
    <m/>
    <m/>
  </r>
  <r>
    <x v="10"/>
    <x v="7"/>
    <s v="F:\images\20210420\plaque 1/@10 Arabinose 1mg_L/H10_02.tif "/>
    <s v=" 259.5587 "/>
    <s v=" 64.5 "/>
    <x v="0"/>
    <n v="16742"/>
    <m/>
    <m/>
    <m/>
  </r>
  <r>
    <x v="10"/>
    <x v="7"/>
    <s v="F:\images\20210420\plaque 1/@10 Arabinose 1mg_L/H10_03.tif "/>
    <s v=" 259.5587 "/>
    <s v=" 64.5833 "/>
    <x v="0"/>
    <n v="16763"/>
    <m/>
    <m/>
    <m/>
  </r>
  <r>
    <x v="1"/>
    <x v="8"/>
    <s v=" "/>
    <m/>
    <m/>
    <x v="1"/>
    <m/>
    <m/>
    <m/>
    <m/>
  </r>
  <r>
    <x v="1"/>
    <x v="8"/>
    <s v="group "/>
    <s v=" "/>
    <s v=" mean of mean fluo "/>
    <x v="2"/>
    <s v=" mean of total fluo "/>
    <s v=" SD total fluo "/>
    <s v=" n fluorescent "/>
    <s v=" n total"/>
  </r>
  <r>
    <x v="10"/>
    <x v="9"/>
    <s v="F:\images\20210420\plaque 1/@10 Arabinose 1mg_L/ "/>
    <s v=" "/>
    <s v=" 69.2615 "/>
    <x v="12"/>
    <s v=" 399209.375 "/>
    <s v=" 449484.53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F:\images\20210420\plaque 1/@11 Arabinose 10mg_L/A11_01.tif "/>
    <s v=" 3006.5554 "/>
    <s v=" 65.7482 "/>
    <x v="0"/>
    <n v="197676"/>
    <m/>
    <m/>
    <m/>
  </r>
  <r>
    <x v="11"/>
    <x v="0"/>
    <s v="F:\images\20210420\plaque 1/@11 Arabinose 10mg_L/A11_02.tif "/>
    <s v=" 5191.1747 "/>
    <s v=" 71.4458 "/>
    <x v="0"/>
    <n v="370888"/>
    <m/>
    <m/>
    <m/>
  </r>
  <r>
    <x v="11"/>
    <x v="0"/>
    <s v="F:\images\20210420\plaque 1/@11 Arabinose 10mg_L/A11_03.tif "/>
    <s v=" 2076.4699 "/>
    <s v=" 65.0729 "/>
    <x v="0"/>
    <n v="135122"/>
    <m/>
    <m/>
    <m/>
  </r>
  <r>
    <x v="11"/>
    <x v="1"/>
    <s v="F:\images\20210420\plaque 1/@11 Arabinose 10mg_L/B11_01.tif "/>
    <s v=" 194.6691 "/>
    <s v=" 63.5556 "/>
    <x v="0"/>
    <n v="12372"/>
    <m/>
    <m/>
    <m/>
  </r>
  <r>
    <x v="11"/>
    <x v="1"/>
    <s v="F:\images\20210420\plaque 1/@11 Arabinose 10mg_L/B11_02.tif "/>
    <s v=" 86.5196 "/>
    <s v=" 63.25 "/>
    <x v="0"/>
    <n v="5472"/>
    <m/>
    <m/>
    <m/>
  </r>
  <r>
    <x v="11"/>
    <x v="1"/>
    <s v="F:\images\20210420\plaque 1/@11 Arabinose 10mg_L/B11_03.tif "/>
    <s v=" 151.4093 "/>
    <s v=" 65.8571 "/>
    <x v="0"/>
    <n v="9971"/>
    <m/>
    <m/>
    <m/>
  </r>
  <r>
    <x v="11"/>
    <x v="2"/>
    <s v="F:\images\20210420\plaque 1/@11 Arabinose 10mg_L/C11_01.tif "/>
    <s v=" 6142.8901 "/>
    <s v=" 68.7923 "/>
    <x v="0"/>
    <n v="422583"/>
    <m/>
    <m/>
    <m/>
  </r>
  <r>
    <x v="11"/>
    <x v="2"/>
    <s v="F:\images\20210420\plaque 1/@11 Arabinose 10mg_L/C11_02.tif "/>
    <s v=" 778.6762 "/>
    <s v=" 68.8611 "/>
    <x v="0"/>
    <n v="53621"/>
    <m/>
    <m/>
    <m/>
  </r>
  <r>
    <x v="11"/>
    <x v="2"/>
    <s v="F:\images\20210420\plaque 1/@11 Arabinose 10mg_L/C11_03.tif "/>
    <s v=" 1038.2349 "/>
    <s v=" 62.5208 "/>
    <x v="0"/>
    <n v="64911"/>
    <m/>
    <m/>
    <m/>
  </r>
  <r>
    <x v="11"/>
    <x v="3"/>
    <s v="F:\images\20210420\plaque 1/@11 Arabinose 10mg_L/D11_01.tif "/>
    <s v=" 2941.6657 "/>
    <s v=" 66.4191 "/>
    <x v="0"/>
    <n v="195383"/>
    <m/>
    <m/>
    <m/>
  </r>
  <r>
    <x v="11"/>
    <x v="3"/>
    <s v="F:\images\20210420\plaque 1/@11 Arabinose 10mg_L/D11_02.tif "/>
    <s v=" 757.0463 "/>
    <s v=" 63.0857 "/>
    <x v="0"/>
    <n v="47759"/>
    <m/>
    <m/>
    <m/>
  </r>
  <r>
    <x v="11"/>
    <x v="3"/>
    <s v="F:\images\20210420\plaque 1/@11 Arabinose 10mg_L/D11_03.tif "/>
    <s v=" 930.0855 "/>
    <s v=" 63.6744 "/>
    <x v="0"/>
    <n v="59223"/>
    <m/>
    <m/>
    <m/>
  </r>
  <r>
    <x v="11"/>
    <x v="4"/>
    <s v="F:\images\20210420\plaque 1/@11 Arabinose 10mg_L/E11_01.tif "/>
    <s v=" 8349.1393 "/>
    <s v=" 67.2254 "/>
    <x v="0"/>
    <n v="561274"/>
    <m/>
    <m/>
    <m/>
  </r>
  <r>
    <x v="11"/>
    <x v="4"/>
    <s v="F:\images\20210420\plaque 1/@11 Arabinose 10mg_L/E11_02.tif "/>
    <s v=" 3828.4913 "/>
    <s v=" 64.6384 "/>
    <x v="0"/>
    <n v="247468"/>
    <m/>
    <m/>
    <m/>
  </r>
  <r>
    <x v="11"/>
    <x v="4"/>
    <s v="F:\images\20210420\plaque 1/@11 Arabinose 10mg_L/E11_03.tif "/>
    <s v=" 3287.744 "/>
    <s v=" 65.3026 "/>
    <x v="0"/>
    <n v="214698"/>
    <m/>
    <m/>
    <m/>
  </r>
  <r>
    <x v="11"/>
    <x v="5"/>
    <s v="F:\images\20210420\plaque 1/@11 Arabinose 10mg_L/F11_01.tif "/>
    <s v=" 3287.744 "/>
    <s v=" 64.8421 "/>
    <x v="0"/>
    <n v="213184"/>
    <m/>
    <m/>
    <m/>
  </r>
  <r>
    <x v="11"/>
    <x v="5"/>
    <s v="F:\images\20210420\plaque 1/@11 Arabinose 10mg_L/F11_02.tif "/>
    <s v=" 367.7082 "/>
    <s v=" 63.4118 "/>
    <x v="0"/>
    <n v="23317"/>
    <m/>
    <m/>
    <m/>
  </r>
  <r>
    <x v="11"/>
    <x v="5"/>
    <s v="F:\images\20210420\plaque 1/@11 Arabinose 10mg_L/F11_03.tif "/>
    <s v=" 2422.5482 "/>
    <s v=" 66.0714 "/>
    <x v="0"/>
    <n v="160061"/>
    <m/>
    <m/>
    <m/>
  </r>
  <r>
    <x v="11"/>
    <x v="6"/>
    <s v="F:\images\20210420\plaque 1/@11 Arabinose 10mg_L/G11_01.tif "/>
    <s v=" 12956.3069 "/>
    <s v=" 92.6194 "/>
    <x v="0"/>
    <n v="1200005"/>
    <m/>
    <m/>
    <m/>
  </r>
  <r>
    <x v="11"/>
    <x v="6"/>
    <s v="F:\images\20210420\plaque 1/@11 Arabinose 10mg_L/G11_02.tif "/>
    <s v=" 11052.8762 "/>
    <s v=" 79.8356 "/>
    <x v="0"/>
    <n v="882413"/>
    <m/>
    <m/>
    <m/>
  </r>
  <r>
    <x v="11"/>
    <x v="6"/>
    <s v="F:\images\20210420\plaque 1/@11 Arabinose 10mg_L/G11_03.tif "/>
    <s v=" 13280.7553 "/>
    <s v=" 90.0879 "/>
    <x v="0"/>
    <n v="1196436"/>
    <m/>
    <m/>
    <m/>
  </r>
  <r>
    <x v="11"/>
    <x v="7"/>
    <s v="F:\images\20210420\plaque 1/@11 Arabinose 10mg_L/H11_01- exclu.tif"/>
    <m/>
    <m/>
    <x v="1"/>
    <m/>
    <m/>
    <m/>
    <m/>
  </r>
  <r>
    <x v="11"/>
    <x v="7"/>
    <s v="F:\images\20210420\plaque 1/@11 Arabinose 10mg_L/H11_02.tif "/>
    <s v=" 6878.3065 "/>
    <s v=" 66.6352 "/>
    <x v="0"/>
    <n v="458337"/>
    <m/>
    <m/>
    <m/>
  </r>
  <r>
    <x v="11"/>
    <x v="7"/>
    <s v="F:\images\20210420\plaque 1/@11 Arabinose 10mg_L/H11_03.tif "/>
    <s v=" 7181.125 "/>
    <s v=" 70.25 "/>
    <x v="0"/>
    <n v="504474"/>
    <m/>
    <m/>
    <m/>
  </r>
  <r>
    <x v="1"/>
    <x v="8"/>
    <s v=" "/>
    <m/>
    <m/>
    <x v="1"/>
    <m/>
    <m/>
    <m/>
    <m/>
  </r>
  <r>
    <x v="1"/>
    <x v="8"/>
    <s v="group "/>
    <s v=" "/>
    <s v=" mean of mean fluo "/>
    <x v="2"/>
    <s v=" mean of total fluo "/>
    <s v=" SD total fluo "/>
    <s v=" n fluorescent "/>
    <s v=" n total"/>
  </r>
  <r>
    <x v="11"/>
    <x v="9"/>
    <s v="F:\images\20210420\plaque 1/@11 Arabinose 10mg_L/ "/>
    <s v=" "/>
    <s v=" 68.4062 "/>
    <x v="13"/>
    <s v=" 303387.167 "/>
    <s v=" 350552.97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F:\images\20210420\plaque 1/@12 Arabinose 100mg_L/A12_01.tif "/>
    <s v=" 12523.709 "/>
    <s v=" 83.5078 "/>
    <x v="0"/>
    <n v="1045827"/>
    <m/>
    <m/>
    <m/>
  </r>
  <r>
    <x v="12"/>
    <x v="0"/>
    <s v="F:\images\20210420\plaque 1/@12 Arabinose 100mg_L/A12_02.tif "/>
    <s v=" 4953.2459 "/>
    <s v=" 69.0044 "/>
    <x v="0"/>
    <n v="341796"/>
    <m/>
    <m/>
    <m/>
  </r>
  <r>
    <x v="12"/>
    <x v="0"/>
    <s v="F:\images\20210420\plaque 1/@12 Arabinose 100mg_L/A12_03.tif "/>
    <s v=" 4304.349 "/>
    <s v=" 70.2111 "/>
    <x v="0"/>
    <n v="302213"/>
    <m/>
    <m/>
    <m/>
  </r>
  <r>
    <x v="12"/>
    <x v="1"/>
    <s v="F:\images\20210420\plaque 1/@12 Arabinose 100mg_L/B12_01.tif "/>
    <s v=" 7592.093 "/>
    <s v=" 75.5157 "/>
    <x v="0"/>
    <n v="573322"/>
    <m/>
    <m/>
    <m/>
  </r>
  <r>
    <x v="12"/>
    <x v="1"/>
    <s v="F:\images\20210420\plaque 1/@12 Arabinose 100mg_L/B12_02.tif "/>
    <s v=" 8219.36 "/>
    <s v=" 72.3711 "/>
    <x v="0"/>
    <n v="594844"/>
    <m/>
    <m/>
    <m/>
  </r>
  <r>
    <x v="12"/>
    <x v="1"/>
    <s v="F:\images\20210420\plaque 1/@12 Arabinose 100mg_L/B12_03.tif "/>
    <s v=" 4931.616 "/>
    <s v=" 65.7851 "/>
    <x v="0"/>
    <n v="324427"/>
    <m/>
    <m/>
    <m/>
  </r>
  <r>
    <x v="12"/>
    <x v="2"/>
    <s v="F:\images\20210420\plaque 1/@12 Arabinose 100mg_L/C12_01.tif "/>
    <s v=" 3482.413 "/>
    <s v=" 65.4472 "/>
    <x v="0"/>
    <n v="227914"/>
    <m/>
    <m/>
    <m/>
  </r>
  <r>
    <x v="12"/>
    <x v="2"/>
    <s v="F:\images\20210420\plaque 1/@12 Arabinose 100mg_L/C12_02.tif "/>
    <s v=" 886.8257 "/>
    <s v=" 63.2927 "/>
    <x v="0"/>
    <n v="56130"/>
    <m/>
    <m/>
    <m/>
  </r>
  <r>
    <x v="12"/>
    <x v="2"/>
    <s v="F:\images\20210420\plaque 1/@12 Arabinose 100mg_L/C12_03.tif "/>
    <s v=" 951.7154 "/>
    <s v=" 62.9318 "/>
    <x v="0"/>
    <n v="59893"/>
    <m/>
    <m/>
    <m/>
  </r>
  <r>
    <x v="12"/>
    <x v="3"/>
    <s v="F:\images\20210420\plaque 1/@12 Arabinose 100mg_L/D12_01.tif "/>
    <s v=" 3958.2707 "/>
    <s v=" 67.5628 "/>
    <x v="0"/>
    <n v="267432"/>
    <m/>
    <m/>
    <m/>
  </r>
  <r>
    <x v="12"/>
    <x v="3"/>
    <s v="F:\images\20210420\plaque 1/@12 Arabinose 100mg_L/D12_02.tif "/>
    <s v=" 4585.5377 "/>
    <s v=" 69.8066 "/>
    <x v="0"/>
    <n v="320101"/>
    <m/>
    <m/>
    <m/>
  </r>
  <r>
    <x v="12"/>
    <x v="3"/>
    <s v="F:\images\20210420\plaque 1/@12 Arabinose 100mg_L/D12_03.tif "/>
    <s v=" 3979.9006 "/>
    <s v=" 67.788 "/>
    <x v="0"/>
    <n v="269790"/>
    <m/>
    <m/>
    <m/>
  </r>
  <r>
    <x v="12"/>
    <x v="4"/>
    <s v="F:\images\20210420\plaque 1/@12 Arabinose 100mg_L/E12_01.tif "/>
    <s v=" 3828.4913 "/>
    <s v=" 66.1638 "/>
    <x v="0"/>
    <n v="253308"/>
    <m/>
    <m/>
    <m/>
  </r>
  <r>
    <x v="12"/>
    <x v="4"/>
    <s v="F:\images\20210420\plaque 1/@12 Arabinose 100mg_L/E12_02.tif "/>
    <s v=" 367.7082 "/>
    <s v=" 61.9412 "/>
    <x v="0"/>
    <n v="22776"/>
    <m/>
    <m/>
    <m/>
  </r>
  <r>
    <x v="12"/>
    <x v="4"/>
    <s v="F:\images\20210420\plaque 1/@12 Arabinose 100mg_L/E12_03.tif "/>
    <s v=" 324.4484 "/>
    <s v=" 63.0667 "/>
    <x v="0"/>
    <n v="20462"/>
    <m/>
    <m/>
    <m/>
  </r>
  <r>
    <x v="12"/>
    <x v="5"/>
    <s v="F:\images\20210420\plaque 1/@12 Arabinose 100mg_L/F12_01.tif "/>
    <s v=" 7743.5023 "/>
    <s v=" 67.5726 "/>
    <x v="0"/>
    <n v="523249"/>
    <m/>
    <m/>
    <m/>
  </r>
  <r>
    <x v="12"/>
    <x v="5"/>
    <s v="F:\images\20210420\plaque 1/@12 Arabinose 100mg_L/F12_02.tif "/>
    <s v=" 3439.1532 "/>
    <s v=" 64.6038 "/>
    <x v="0"/>
    <n v="222182"/>
    <m/>
    <m/>
    <m/>
  </r>
  <r>
    <x v="12"/>
    <x v="5"/>
    <s v="F:\images\20210420\plaque 1/@12 Arabinose 100mg_L/F12_03.tif "/>
    <s v=" 2768.6265 "/>
    <s v=" 65.4297 "/>
    <x v="0"/>
    <n v="181150"/>
    <m/>
    <m/>
    <m/>
  </r>
  <r>
    <x v="12"/>
    <x v="6"/>
    <s v="F:\images\20210420\plaque 1/@12 Arabinose 100mg_L/G12_01.tif "/>
    <s v=" 129.7794 "/>
    <s v=" 63.5 "/>
    <x v="0"/>
    <n v="8241"/>
    <m/>
    <m/>
    <m/>
  </r>
  <r>
    <x v="12"/>
    <x v="6"/>
    <s v="F:\images\20210420\plaque 1/@12 Arabinose 100mg_L/G12_02.tif "/>
    <s v=" 692.1566 "/>
    <s v=" 64.4062 "/>
    <x v="0"/>
    <n v="44579"/>
    <m/>
    <m/>
    <m/>
  </r>
  <r>
    <x v="12"/>
    <x v="6"/>
    <s v="F:\images\20210420\plaque 1/@12 Arabinose 100mg_L/G12_03.tif "/>
    <s v=" 237.9288 "/>
    <s v=" 62.6364 "/>
    <x v="0"/>
    <n v="14903"/>
    <m/>
    <m/>
    <m/>
  </r>
  <r>
    <x v="12"/>
    <x v="7"/>
    <s v="F:\images\20210420\plaque 1/@12 Arabinose 100mg_L/H12_01.tif "/>
    <s v=" 302.8185 "/>
    <s v=" 62.4286 "/>
    <x v="0"/>
    <n v="18905"/>
    <m/>
    <m/>
    <m/>
  </r>
  <r>
    <x v="12"/>
    <x v="7"/>
    <s v="F:\images\20210420\plaque 1/@12 Arabinose 100mg_L/H12_02.tif "/>
    <s v=" 1946.6905 "/>
    <s v=" 65.9889 "/>
    <x v="0"/>
    <n v="128460"/>
    <m/>
    <m/>
    <m/>
  </r>
  <r>
    <x v="12"/>
    <x v="7"/>
    <s v="F:\images\20210420\plaque 1/@12 Arabinose 100mg_L/H12_03.tif "/>
    <s v=" 173.0392 "/>
    <s v=" 62.75 "/>
    <x v="0"/>
    <n v="10858"/>
    <m/>
    <m/>
    <m/>
  </r>
  <r>
    <x v="1"/>
    <x v="8"/>
    <s v=" "/>
    <m/>
    <m/>
    <x v="1"/>
    <m/>
    <m/>
    <m/>
    <m/>
  </r>
  <r>
    <x v="1"/>
    <x v="8"/>
    <s v="group "/>
    <s v=" "/>
    <s v=" mean of mean fluo "/>
    <x v="2"/>
    <s v=" mean of total fluo "/>
    <s v=" SD total fluo "/>
    <s v=" n fluorescent "/>
    <s v=" n total"/>
  </r>
  <r>
    <x v="12"/>
    <x v="9"/>
    <s v="F:\images\20210420\plaque 1/@12 Arabinose 100mg_L/ "/>
    <s v=" "/>
    <s v=" 66.8213 "/>
    <x v="14"/>
    <s v=" 243031.75 "/>
    <s v=" 248292.92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F:\images\20210420\plaque 2/@01 Testo 30/A1_01.tif "/>
    <s v=" 45357.889 "/>
    <s v=" 73.0591 "/>
    <x v="0"/>
    <n v="3313808"/>
    <m/>
    <m/>
    <m/>
  </r>
  <r>
    <x v="13"/>
    <x v="0"/>
    <s v="F:\images\20210420\plaque 2/@01 Testo 30/A1_02.tif "/>
    <s v=" 43995.2057 "/>
    <s v=" 73.262 "/>
    <x v="0"/>
    <n v="3223179"/>
    <m/>
    <m/>
    <m/>
  </r>
  <r>
    <x v="13"/>
    <x v="0"/>
    <s v="F:\images\20210420\plaque 2/@01 Testo 30/A1_03.tif "/>
    <s v=" 40902.1307 "/>
    <s v=" 71.9001 "/>
    <x v="0"/>
    <n v="2940865"/>
    <m/>
    <m/>
    <m/>
  </r>
  <r>
    <x v="13"/>
    <x v="1"/>
    <s v="F:\images\20210420\plaque 2/@01 Testo 30/B1_01.tif "/>
    <s v=" 19272.2361 "/>
    <s v=" 66.3838 "/>
    <x v="0"/>
    <n v="1279365"/>
    <m/>
    <m/>
    <m/>
  </r>
  <r>
    <x v="13"/>
    <x v="1"/>
    <s v="F:\images\20210420\plaque 2/@01 Testo 30/B1_02.tif "/>
    <s v=" 16352.2003 "/>
    <s v=" 67.0714 "/>
    <x v="0"/>
    <n v="1096765"/>
    <m/>
    <m/>
    <m/>
  </r>
  <r>
    <x v="13"/>
    <x v="1"/>
    <s v="F:\images\20210420\plaque 2/@01 Testo 30/B1_03- exclu.tif"/>
    <m/>
    <m/>
    <x v="1"/>
    <m/>
    <m/>
    <m/>
    <m/>
  </r>
  <r>
    <x v="13"/>
    <x v="2"/>
    <s v="F:\images\20210420\plaque 2/@01 Testo 30/C1_01- exclu.tif"/>
    <m/>
    <m/>
    <x v="1"/>
    <m/>
    <m/>
    <m/>
    <m/>
  </r>
  <r>
    <x v="13"/>
    <x v="2"/>
    <s v="F:\images\20210420\plaque 2/@01 Testo 30/C1_02- exclu.tif"/>
    <m/>
    <m/>
    <x v="1"/>
    <m/>
    <m/>
    <m/>
    <m/>
  </r>
  <r>
    <x v="13"/>
    <x v="2"/>
    <s v="F:\images\20210420\plaque 2/@01 Testo 30/C1_03- exclu.tif"/>
    <m/>
    <m/>
    <x v="1"/>
    <m/>
    <m/>
    <m/>
    <m/>
  </r>
  <r>
    <x v="13"/>
    <x v="3"/>
    <s v="F:\images\20210420\plaque 2/@01 Testo 30/D1_01.tif "/>
    <s v=" 23836.1439 "/>
    <s v=" 69.6525 "/>
    <x v="0"/>
    <n v="1660246"/>
    <m/>
    <m/>
    <m/>
  </r>
  <r>
    <x v="13"/>
    <x v="3"/>
    <s v="F:\images\20210420\plaque 2/@01 Testo 30/D1_02.tif "/>
    <s v=" 22473.4605 "/>
    <s v=" 68.5438 "/>
    <x v="0"/>
    <n v="1540416"/>
    <m/>
    <m/>
    <m/>
  </r>
  <r>
    <x v="13"/>
    <x v="3"/>
    <s v="F:\images\20210420\plaque 2/@01 Testo 30/D1_03.tif "/>
    <s v=" 20137.4319 "/>
    <s v=" 67.5693 "/>
    <x v="0"/>
    <n v="1360672"/>
    <m/>
    <m/>
    <m/>
  </r>
  <r>
    <x v="13"/>
    <x v="4"/>
    <s v="F:\images\20210420\plaque 2/@01 Testo 30/E1_01.tif "/>
    <s v=" 20937.738 "/>
    <s v=" 68.2469 "/>
    <x v="0"/>
    <n v="1428936"/>
    <m/>
    <m/>
    <m/>
  </r>
  <r>
    <x v="13"/>
    <x v="4"/>
    <s v="F:\images\20210420\plaque 2/@01 Testo 30/E1_02.tif "/>
    <s v=" 18969.4176 "/>
    <s v=" 67.9316 "/>
    <x v="0"/>
    <n v="1288623"/>
    <m/>
    <m/>
    <m/>
  </r>
  <r>
    <x v="13"/>
    <x v="4"/>
    <s v="F:\images\20210420\plaque 2/@01 Testo 30/E1_03.tif "/>
    <s v=" 12934.677 "/>
    <s v=" 66.7843 "/>
    <x v="0"/>
    <n v="863833"/>
    <m/>
    <m/>
    <m/>
  </r>
  <r>
    <x v="13"/>
    <x v="5"/>
    <s v="F:\images\20210420\plaque 2/@01 Testo 30/F1_01.tif "/>
    <s v=" 27210.4074 "/>
    <s v=" 68.314 "/>
    <x v="0"/>
    <n v="1858852"/>
    <m/>
    <m/>
    <m/>
  </r>
  <r>
    <x v="13"/>
    <x v="5"/>
    <s v="F:\images\20210420\plaque 2/@01 Testo 30/F1_02.tif "/>
    <s v=" 19553.4247 "/>
    <s v=" 67.5586 "/>
    <x v="0"/>
    <n v="1321003"/>
    <m/>
    <m/>
    <m/>
  </r>
  <r>
    <x v="13"/>
    <x v="5"/>
    <s v="F:\images\20210420\plaque 2/@01 Testo 30/F1_03.tif "/>
    <s v=" 25350.2365 "/>
    <s v=" 67.8311 "/>
    <x v="0"/>
    <n v="1719533"/>
    <m/>
    <m/>
    <m/>
  </r>
  <r>
    <x v="13"/>
    <x v="6"/>
    <s v="F:\images\20210420\plaque 2/@01 Testo 30/G1_01.tif "/>
    <s v=" 23706.3645 "/>
    <s v=" 68.6396 "/>
    <x v="0"/>
    <n v="1627195"/>
    <m/>
    <m/>
    <m/>
  </r>
  <r>
    <x v="13"/>
    <x v="6"/>
    <s v="F:\images\20210420\plaque 2/@01 Testo 30/G1_02.tif "/>
    <s v=" 23901.0336 "/>
    <s v=" 70.2281 "/>
    <x v="0"/>
    <n v="1678523"/>
    <m/>
    <m/>
    <m/>
  </r>
  <r>
    <x v="13"/>
    <x v="6"/>
    <s v="F:\images\20210420\plaque 2/@01 Testo 30/G1_03.tif "/>
    <s v=" 14751.5881 "/>
    <s v=" 66.6305 "/>
    <x v="0"/>
    <n v="982906"/>
    <m/>
    <m/>
    <m/>
  </r>
  <r>
    <x v="13"/>
    <x v="7"/>
    <s v="F:\images\20210420\plaque 2/@01 Testo 30/H1_01.tif "/>
    <s v=" 47434.3589 "/>
    <s v=" 71.5964 "/>
    <x v="0"/>
    <n v="3396131"/>
    <m/>
    <m/>
    <m/>
  </r>
  <r>
    <x v="13"/>
    <x v="7"/>
    <s v="F:\images\20210420\plaque 2/@01 Testo 30/H1_02.tif "/>
    <s v=" 45206.4798 "/>
    <s v=" 71.623 "/>
    <x v="0"/>
    <n v="3237822"/>
    <m/>
    <m/>
    <m/>
  </r>
  <r>
    <x v="13"/>
    <x v="7"/>
    <s v="F:\images\20210420\plaque 2/@01 Testo 30/H1_03.tif "/>
    <s v=" 44817.1417 "/>
    <s v=" 73.9223 "/>
    <x v="0"/>
    <n v="3312986"/>
    <m/>
    <m/>
    <m/>
  </r>
  <r>
    <x v="1"/>
    <x v="8"/>
    <s v=" "/>
    <m/>
    <m/>
    <x v="1"/>
    <m/>
    <m/>
    <m/>
    <m/>
  </r>
  <r>
    <x v="1"/>
    <x v="8"/>
    <s v="group "/>
    <s v=" "/>
    <s v=" mean of mean fluo "/>
    <x v="2"/>
    <s v=" mean of total fluo "/>
    <s v=" SD total fluo "/>
    <s v=" n fluorescent "/>
    <s v=" n total"/>
  </r>
  <r>
    <x v="13"/>
    <x v="9"/>
    <s v="F:\images\20210420\plaque 2/@01 Testo 30/ "/>
    <s v=" "/>
    <s v=" 68.564 "/>
    <x v="15"/>
    <s v=" 1633900.58 "/>
    <s v=" 1099446.8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F:\images\20210420\plaque 2/@02 Testo 30/A2_01.tif "/>
    <s v=" 10598.6484 "/>
    <s v=" 64.8286 "/>
    <x v="0"/>
    <n v="687095"/>
    <m/>
    <m/>
    <m/>
  </r>
  <r>
    <x v="14"/>
    <x v="0"/>
    <s v="F:\images\20210420\plaque 2/@02 Testo 30/A2_02.tif "/>
    <s v=" 9300.8547 "/>
    <s v=" 64.607 "/>
    <x v="0"/>
    <n v="600900"/>
    <m/>
    <m/>
    <m/>
  </r>
  <r>
    <x v="14"/>
    <x v="0"/>
    <s v="F:\images\20210420\plaque 2/@02 Testo 30/A2_03.tif "/>
    <s v=" 7029.7158 "/>
    <s v=" 63.5969 "/>
    <x v="0"/>
    <n v="447068"/>
    <m/>
    <m/>
    <m/>
  </r>
  <r>
    <x v="14"/>
    <x v="1"/>
    <s v="F:\images\20210420\plaque 2/@02 Testo 30/B2_01.tif "/>
    <s v=" 7483.9435 "/>
    <s v=" 66.0954 "/>
    <x v="0"/>
    <n v="494654"/>
    <m/>
    <m/>
    <m/>
  </r>
  <r>
    <x v="14"/>
    <x v="1"/>
    <s v="F:\images\20210420\plaque 2/@02 Testo 30/B2_02.tif "/>
    <s v=" 27080.6281 "/>
    <s v=" 69.6422 "/>
    <x v="0"/>
    <n v="1885954"/>
    <m/>
    <m/>
    <m/>
  </r>
  <r>
    <x v="14"/>
    <x v="1"/>
    <s v="F:\images\20210420\plaque 2/@02 Testo 30/B2_03.tif "/>
    <s v=" 8716.8475 "/>
    <s v=" 65.9603 "/>
    <x v="0"/>
    <n v="574966"/>
    <m/>
    <m/>
    <m/>
  </r>
  <r>
    <x v="14"/>
    <x v="2"/>
    <s v="F:\images\20210420\plaque 2/@02 Testo 30/C2_01.tif "/>
    <s v=" 56670.3239 "/>
    <s v=" 72.9344 "/>
    <x v="0"/>
    <n v="4133213"/>
    <m/>
    <m/>
    <m/>
  </r>
  <r>
    <x v="14"/>
    <x v="2"/>
    <s v="F:\images\20210420\plaque 2/@02 Testo 30/C2_02.tif "/>
    <s v=" 53598.8789 "/>
    <s v=" 73.433 "/>
    <x v="0"/>
    <n v="3935927"/>
    <m/>
    <m/>
    <m/>
  </r>
  <r>
    <x v="14"/>
    <x v="2"/>
    <s v="F:\images\20210420\plaque 2/@02 Testo 30/C2_03.tif "/>
    <s v=" 46223.0848 "/>
    <s v=" 71.6893 "/>
    <x v="0"/>
    <n v="3313700"/>
    <m/>
    <m/>
    <m/>
  </r>
  <r>
    <x v="14"/>
    <x v="3"/>
    <s v="F:\images\20210420\plaque 2/@02 Testo 30/D2_01- exclu.tif"/>
    <m/>
    <m/>
    <x v="1"/>
    <m/>
    <m/>
    <m/>
    <m/>
  </r>
  <r>
    <x v="14"/>
    <x v="3"/>
    <s v="F:\images\20210420\plaque 2/@02 Testo 30/D2_02- exclu.tif"/>
    <m/>
    <m/>
    <x v="1"/>
    <m/>
    <m/>
    <m/>
    <m/>
  </r>
  <r>
    <x v="14"/>
    <x v="3"/>
    <s v="F:\images\20210420\plaque 2/@02 Testo 30/D2_03- exclu.tif"/>
    <m/>
    <m/>
    <x v="1"/>
    <m/>
    <m/>
    <m/>
    <m/>
  </r>
  <r>
    <x v="14"/>
    <x v="4"/>
    <s v="F:\images\20210420\plaque 2/@02 Testo 30/E2_01.tif "/>
    <s v=" 30671.1906 "/>
    <s v=" 70.6629 "/>
    <x v="0"/>
    <n v="2167315"/>
    <m/>
    <m/>
    <m/>
  </r>
  <r>
    <x v="14"/>
    <x v="4"/>
    <s v="F:\images\20210420\plaque 2/@02 Testo 30/E2_02.tif "/>
    <s v=" 30736.0803 "/>
    <s v=" 69.4877 "/>
    <x v="0"/>
    <n v="2135779"/>
    <m/>
    <m/>
    <m/>
  </r>
  <r>
    <x v="14"/>
    <x v="4"/>
    <s v="F:\images\20210420\plaque 2/@02 Testo 30/E2_03.tif "/>
    <s v=" 28097.2331 "/>
    <s v=" 69.2964 "/>
    <x v="0"/>
    <n v="1947037"/>
    <m/>
    <m/>
    <m/>
  </r>
  <r>
    <x v="14"/>
    <x v="5"/>
    <s v="F:\images\20210420\plaque 2/@02 Testo 30/F2_01.tif "/>
    <s v=" 28746.13 "/>
    <s v=" 68.6042 "/>
    <x v="0"/>
    <n v="1972106"/>
    <m/>
    <m/>
    <m/>
  </r>
  <r>
    <x v="14"/>
    <x v="5"/>
    <s v="F:\images\20210420\plaque 2/@02 Testo 30/F2_02.tif "/>
    <s v=" 16525.2395 "/>
    <s v=" 66.8757 "/>
    <x v="0"/>
    <n v="1105136"/>
    <m/>
    <m/>
    <m/>
  </r>
  <r>
    <x v="14"/>
    <x v="5"/>
    <s v="F:\images\20210420\plaque 2/@02 Testo 30/F2_03.tif "/>
    <s v=" 14838.1077 "/>
    <s v=" 65.8324 "/>
    <x v="0"/>
    <n v="976828"/>
    <m/>
    <m/>
    <m/>
  </r>
  <r>
    <x v="14"/>
    <x v="6"/>
    <s v="F:\images\20210420\plaque 2/@02 Testo 30/G2_01.tif "/>
    <s v=" 56691.9538 "/>
    <s v=" 74.5834 "/>
    <x v="0"/>
    <n v="4228277"/>
    <m/>
    <m/>
    <m/>
  </r>
  <r>
    <x v="14"/>
    <x v="6"/>
    <s v="F:\images\20210420\plaque 2/@02 Testo 30/G2_02.tif "/>
    <s v=" 50895.1421 "/>
    <s v=" 71.9108 "/>
    <x v="0"/>
    <n v="3659908"/>
    <m/>
    <m/>
    <m/>
  </r>
  <r>
    <x v="14"/>
    <x v="6"/>
    <s v="F:\images\20210420\plaque 2/@02 Testo 30/G2_03.tif "/>
    <s v=" 50851.8823 "/>
    <s v=" 74.3552 "/>
    <x v="0"/>
    <n v="3781100"/>
    <m/>
    <m/>
    <m/>
  </r>
  <r>
    <x v="14"/>
    <x v="7"/>
    <s v="F:\images\20210420\plaque 2/@02 Testo 30/H2_01.tif "/>
    <s v=" 38868.9206 "/>
    <s v=" 71.6628 "/>
    <x v="0"/>
    <n v="2785455"/>
    <m/>
    <m/>
    <m/>
  </r>
  <r>
    <x v="14"/>
    <x v="7"/>
    <s v="F:\images\20210420\plaque 2/@02 Testo 30/H2_02.tif "/>
    <s v=" 37830.6857 "/>
    <s v=" 69.9079 "/>
    <x v="0"/>
    <n v="2644666"/>
    <m/>
    <m/>
    <m/>
  </r>
  <r>
    <x v="14"/>
    <x v="7"/>
    <s v="F:\images\20210420\plaque 2/@02 Testo 30/H2_03.tif "/>
    <s v=" 36165.1838 "/>
    <s v=" 70.369 "/>
    <x v="0"/>
    <n v="2544909"/>
    <m/>
    <m/>
    <m/>
  </r>
  <r>
    <x v="1"/>
    <x v="8"/>
    <s v=" "/>
    <m/>
    <m/>
    <x v="1"/>
    <m/>
    <m/>
    <m/>
    <m/>
  </r>
  <r>
    <x v="1"/>
    <x v="8"/>
    <s v="group "/>
    <s v=" "/>
    <s v=" mean of mean fluo "/>
    <x v="2"/>
    <s v=" mean of total fluo "/>
    <s v=" SD total fluo "/>
    <s v=" n fluorescent "/>
    <s v=" n total"/>
  </r>
  <r>
    <x v="14"/>
    <x v="9"/>
    <s v="F:\images\20210420\plaque 2/@02 Testo 30/ "/>
    <s v=" "/>
    <s v=" 68.7416 "/>
    <x v="16"/>
    <s v=" 1918565.38 "/>
    <s v=" 1418718.1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F:\images\20210420\plaque 2/@03 Testo+ EE2 64/A3_01.tif "/>
    <s v=" 62250.8367 "/>
    <s v=" 77.5191 "/>
    <x v="0"/>
    <n v="4825629"/>
    <m/>
    <m/>
    <m/>
  </r>
  <r>
    <x v="15"/>
    <x v="0"/>
    <s v="F:\images\20210420\plaque 2/@03 Testo+ EE2 64/A3_02.tif "/>
    <s v=" 58292.566 "/>
    <s v=" 77.0827 "/>
    <x v="0"/>
    <n v="4493351"/>
    <m/>
    <m/>
    <m/>
  </r>
  <r>
    <x v="15"/>
    <x v="0"/>
    <s v="F:\images\20210420\plaque 2/@03 Testo+ EE2 64/A3_03.tif "/>
    <s v=" 56497.2848 "/>
    <s v=" 81.7768 "/>
    <x v="0"/>
    <n v="4620167"/>
    <m/>
    <m/>
    <m/>
  </r>
  <r>
    <x v="15"/>
    <x v="1"/>
    <s v="F:\images\20210420\plaque 2/@03 Testo+ EE2 64/B3_01.tif "/>
    <s v=" 10209.3103 "/>
    <s v=" 70.5148 "/>
    <x v="0"/>
    <n v="719908"/>
    <m/>
    <m/>
    <m/>
  </r>
  <r>
    <x v="15"/>
    <x v="1"/>
    <s v="F:\images\20210420\plaque 2/@03 Testo+ EE2 64/B3_02.tif "/>
    <s v=" 7137.8652 "/>
    <s v=" 71.3697 "/>
    <x v="0"/>
    <n v="509427"/>
    <m/>
    <m/>
    <m/>
  </r>
  <r>
    <x v="15"/>
    <x v="1"/>
    <s v="F:\images\20210420\plaque 2/@03 Testo+ EE2 64/B3_03.tif "/>
    <s v=" 6272.6694 "/>
    <s v=" 71.2483 "/>
    <x v="0"/>
    <n v="446917"/>
    <m/>
    <m/>
    <m/>
  </r>
  <r>
    <x v="15"/>
    <x v="2"/>
    <s v="F:\images\20210420\plaque 2/@03 Testo+ EE2 64/C3_01.tif "/>
    <s v=" 38457.9527 "/>
    <s v=" 70.1187 "/>
    <x v="0"/>
    <n v="2696621"/>
    <m/>
    <m/>
    <m/>
  </r>
  <r>
    <x v="15"/>
    <x v="2"/>
    <s v="F:\images\20210420\plaque 2/@03 Testo+ EE2 64/C3_02.tif "/>
    <s v=" 26691.29 "/>
    <s v=" 67.3752 "/>
    <x v="0"/>
    <n v="1798331"/>
    <m/>
    <m/>
    <m/>
  </r>
  <r>
    <x v="15"/>
    <x v="2"/>
    <s v="F:\images\20210420\plaque 2/@03 Testo+ EE2 64/C3_03.tif "/>
    <s v=" 35040.4293 "/>
    <s v=" 68.0562 "/>
    <x v="0"/>
    <n v="2384718"/>
    <m/>
    <m/>
    <m/>
  </r>
  <r>
    <x v="15"/>
    <x v="3"/>
    <s v="F:\images\20210420\plaque 2/@03 Testo+ EE2 64/D3_01.tif "/>
    <s v=" 61169.342 "/>
    <s v=" 83.6743 "/>
    <x v="0"/>
    <n v="5118304"/>
    <m/>
    <m/>
    <m/>
  </r>
  <r>
    <x v="15"/>
    <x v="3"/>
    <s v="F:\images\20210420\plaque 2/@03 Testo+ EE2 64/D3_02.tif "/>
    <s v=" 58011.3774 "/>
    <s v=" 81.5093 "/>
    <x v="0"/>
    <n v="4728468"/>
    <m/>
    <m/>
    <m/>
  </r>
  <r>
    <x v="15"/>
    <x v="3"/>
    <s v="F:\images\20210420\plaque 2/@03 Testo+ EE2 64/D3_03.tif "/>
    <s v=" 62056.1677 "/>
    <s v=" 78.9355 "/>
    <x v="0"/>
    <n v="4898436"/>
    <m/>
    <m/>
    <m/>
  </r>
  <r>
    <x v="15"/>
    <x v="4"/>
    <s v="F:\images\20210420\plaque 2/@03 Testo+ EE2 64/E3_01.tif "/>
    <s v=" 50138.0957 "/>
    <s v=" 79.7097 "/>
    <x v="0"/>
    <n v="3996491"/>
    <m/>
    <m/>
    <m/>
  </r>
  <r>
    <x v="15"/>
    <x v="4"/>
    <s v="F:\images\20210420\plaque 2/@03 Testo+ EE2 64/E3_02.tif "/>
    <s v=" 42762.3017 "/>
    <s v=" 77.2443 "/>
    <x v="0"/>
    <n v="3303144"/>
    <m/>
    <m/>
    <m/>
  </r>
  <r>
    <x v="15"/>
    <x v="4"/>
    <s v="F:\images\20210420\plaque 2/@03 Testo+ EE2 64/E3_03.tif "/>
    <s v=" 45098.3303 "/>
    <s v=" 78.5918 "/>
    <x v="0"/>
    <n v="3544361"/>
    <m/>
    <m/>
    <m/>
  </r>
  <r>
    <x v="15"/>
    <x v="5"/>
    <s v="F:\images\20210420\plaque 2/@03 Testo+ EE2 64/F3_01.tif "/>
    <s v=" 46525.9033 "/>
    <s v=" 78.4826 "/>
    <x v="0"/>
    <n v="3651472"/>
    <m/>
    <m/>
    <m/>
  </r>
  <r>
    <x v="15"/>
    <x v="5"/>
    <s v="F:\images\20210420\plaque 2/@03 Testo+ EE2 64/F3_02.tif "/>
    <s v=" 43281.4192 "/>
    <s v=" 77.9005 "/>
    <x v="0"/>
    <n v="3371646"/>
    <m/>
    <m/>
    <m/>
  </r>
  <r>
    <x v="15"/>
    <x v="5"/>
    <s v="F:\images\20210420\plaque 2/@03 Testo+ EE2 64/F3_03.tif "/>
    <s v=" 39106.8495 "/>
    <s v=" 77.1034 "/>
    <x v="0"/>
    <n v="3015272"/>
    <m/>
    <m/>
    <m/>
  </r>
  <r>
    <x v="15"/>
    <x v="6"/>
    <s v="F:\images\20210420\plaque 2/@03 Testo+ EE2 64/G3_01.tif "/>
    <s v=" 61666.8296 "/>
    <s v=" 79.8246 "/>
    <x v="0"/>
    <n v="4922531"/>
    <m/>
    <m/>
    <m/>
  </r>
  <r>
    <x v="15"/>
    <x v="6"/>
    <s v="F:\images\20210420\plaque 2/@03 Testo+ EE2 64/G3_02.tif "/>
    <s v=" 48753.7825 "/>
    <s v=" 79.2107 "/>
    <x v="0"/>
    <n v="3861823"/>
    <m/>
    <m/>
    <m/>
  </r>
  <r>
    <x v="15"/>
    <x v="6"/>
    <s v="F:\images\20210420\plaque 2/@03 Testo+ EE2 64/G3_03.tif "/>
    <s v=" 54485.7046 "/>
    <s v=" 77.0548 "/>
    <x v="0"/>
    <n v="4198384"/>
    <m/>
    <m/>
    <m/>
  </r>
  <r>
    <x v="15"/>
    <x v="7"/>
    <s v="F:\images\20210420\plaque 2/@03 Testo+ EE2 64/H3_01.tif "/>
    <s v=" 1925.0606 "/>
    <s v=" 65.1236 "/>
    <x v="0"/>
    <n v="125367"/>
    <m/>
    <m/>
    <m/>
  </r>
  <r>
    <x v="15"/>
    <x v="7"/>
    <s v="F:\images\20210420\plaque 2/@03 Testo+ EE2 64/H3_02.tif "/>
    <s v=" 540.7474 "/>
    <s v=" 62.04 "/>
    <x v="0"/>
    <n v="33548"/>
    <m/>
    <m/>
    <m/>
  </r>
  <r>
    <x v="15"/>
    <x v="7"/>
    <s v="F:\images\20210420\plaque 2/@03 Testo+ EE2 64/H3_03.tif "/>
    <s v=" 5385.8438 "/>
    <s v=" 65.5141 "/>
    <x v="0"/>
    <n v="352848"/>
    <m/>
    <m/>
    <m/>
  </r>
  <r>
    <x v="1"/>
    <x v="8"/>
    <s v=" "/>
    <m/>
    <m/>
    <x v="1"/>
    <m/>
    <m/>
    <m/>
    <m/>
  </r>
  <r>
    <x v="1"/>
    <x v="8"/>
    <s v="group "/>
    <s v=" "/>
    <s v=" mean of mean fluo "/>
    <x v="2"/>
    <s v=" mean of total fluo "/>
    <s v=" SD total fluo "/>
    <s v=" n fluorescent "/>
    <s v=" n total"/>
  </r>
  <r>
    <x v="15"/>
    <x v="9"/>
    <s v="F:\images\20210420\plaque 2/@03 Testo+ EE2 64/ "/>
    <s v=" "/>
    <s v=" 74.8742 "/>
    <x v="17"/>
    <s v=" 2984048.5 "/>
    <s v=" 1756789.2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F:\images\20210420\plaque 2/@04 Testo+ FAD/A4_01.tif "/>
    <s v=" 6986.456 "/>
    <s v=" 71.6873 "/>
    <x v="0"/>
    <n v="500840"/>
    <m/>
    <m/>
    <m/>
  </r>
  <r>
    <x v="16"/>
    <x v="0"/>
    <s v="F:\images\20210420\plaque 2/@04 Testo+ FAD/A4_02.tif "/>
    <s v=" 8435.6589 "/>
    <s v=" 74.6795 "/>
    <x v="0"/>
    <n v="629971"/>
    <m/>
    <m/>
    <m/>
  </r>
  <r>
    <x v="16"/>
    <x v="0"/>
    <s v="F:\images\20210420\plaque 2/@04 Testo+ FAD/A4_03.tif "/>
    <s v=" 8111.2105 "/>
    <s v=" 69.5067 "/>
    <x v="0"/>
    <n v="563783"/>
    <m/>
    <m/>
    <m/>
  </r>
  <r>
    <x v="16"/>
    <x v="1"/>
    <s v="F:\images\20210420\plaque 2/@04 Testo+ FAD/B4_01.tif "/>
    <s v=" 7029.7158 "/>
    <s v=" 72.6646 "/>
    <x v="0"/>
    <n v="510812"/>
    <m/>
    <m/>
    <m/>
  </r>
  <r>
    <x v="16"/>
    <x v="1"/>
    <s v="F:\images\20210420\plaque 2/@04 Testo+ FAD/B4_02.tif "/>
    <s v=" 8089.5806 "/>
    <s v=" 72.508 "/>
    <x v="0"/>
    <n v="586559"/>
    <m/>
    <m/>
    <m/>
  </r>
  <r>
    <x v="16"/>
    <x v="1"/>
    <s v="F:\images\20210420\plaque 2/@04 Testo+ FAD/B4_03.tif "/>
    <s v=" 6597.1179 "/>
    <s v=" 69.7246 "/>
    <x v="0"/>
    <n v="459981"/>
    <m/>
    <m/>
    <m/>
  </r>
  <r>
    <x v="16"/>
    <x v="2"/>
    <s v="F:\images\20210420\plaque 2/@04 Testo+ FAD/C4_01.tif "/>
    <s v=" 5320.9541 "/>
    <s v=" 69.0325 "/>
    <x v="0"/>
    <n v="367319"/>
    <m/>
    <m/>
    <m/>
  </r>
  <r>
    <x v="16"/>
    <x v="2"/>
    <s v="F:\images\20210420\plaque 2/@04 Testo+ FAD/C4_02.tif "/>
    <s v=" 1600.6122 "/>
    <s v=" 63.9595 "/>
    <x v="0"/>
    <n v="102374"/>
    <m/>
    <m/>
    <m/>
  </r>
  <r>
    <x v="16"/>
    <x v="2"/>
    <s v="F:\images\20210420\plaque 2/@04 Testo+ FAD/C4_03.tif "/>
    <s v=" 302.8185 "/>
    <s v=" 65.9286 "/>
    <x v="0"/>
    <n v="19964"/>
    <m/>
    <m/>
    <m/>
  </r>
  <r>
    <x v="16"/>
    <x v="3"/>
    <s v="F:\images\20210420\plaque 2/@04 Testo+ FAD/D4_01.tif "/>
    <s v=" 648.8968 "/>
    <n v="63"/>
    <x v="0"/>
    <n v="40881"/>
    <m/>
    <m/>
    <m/>
  </r>
  <r>
    <x v="16"/>
    <x v="3"/>
    <s v="F:\images\20210420\plaque 2/@04 Testo+ FAD/D4_02.tif "/>
    <s v=" 584.0072 "/>
    <s v=" 63.4444 "/>
    <x v="0"/>
    <n v="37052"/>
    <m/>
    <m/>
    <m/>
  </r>
  <r>
    <x v="16"/>
    <x v="3"/>
    <s v="F:\images\20210420\plaque 2/@04 Testo+ FAD/D4_03.tif "/>
    <s v=" 1405.9432 "/>
    <s v=" 63.9385 "/>
    <x v="0"/>
    <n v="89894"/>
    <m/>
    <m/>
    <m/>
  </r>
  <r>
    <x v="16"/>
    <x v="4"/>
    <s v="F:\images\20210420\plaque 2/@04 Testo+ FAD/E4_01.tif "/>
    <s v=" 7483.9435 "/>
    <s v=" 69.9566 "/>
    <x v="0"/>
    <n v="523552"/>
    <m/>
    <m/>
    <m/>
  </r>
  <r>
    <x v="16"/>
    <x v="4"/>
    <s v="F:\images\20210420\plaque 2/@04 Testo+ FAD/E4_02- exclu.tif"/>
    <m/>
    <m/>
    <x v="1"/>
    <m/>
    <m/>
    <m/>
    <m/>
  </r>
  <r>
    <x v="16"/>
    <x v="4"/>
    <s v="F:\images\20210420\plaque 2/@04 Testo+ FAD/E4_03.tif "/>
    <s v=" 6575.488 "/>
    <s v=" 69.6809 "/>
    <x v="0"/>
    <n v="458186"/>
    <m/>
    <m/>
    <m/>
  </r>
  <r>
    <x v="16"/>
    <x v="5"/>
    <s v="F:\images\20210420\plaque 2/@04 Testo+ FAD/F4_01.tif "/>
    <s v=" 6813.4168 "/>
    <s v=" 71.2571 "/>
    <x v="0"/>
    <n v="485505"/>
    <m/>
    <m/>
    <m/>
  </r>
  <r>
    <x v="16"/>
    <x v="5"/>
    <s v="F:\images\20210420\plaque 2/@04 Testo+ FAD/F4_02.tif "/>
    <s v=" 7743.5023 "/>
    <s v=" 78.3799 "/>
    <x v="0"/>
    <n v="606935"/>
    <m/>
    <m/>
    <m/>
  </r>
  <r>
    <x v="16"/>
    <x v="5"/>
    <s v="F:\images\20210420\plaque 2/@04 Testo+ FAD/F4_03.tif "/>
    <s v=" 3958.2707 "/>
    <s v=" 67.7213 "/>
    <x v="0"/>
    <n v="268059"/>
    <m/>
    <m/>
    <m/>
  </r>
  <r>
    <x v="16"/>
    <x v="6"/>
    <s v="F:\images\20210420\plaque 2/@04 Testo+ FAD/G4_01.tif "/>
    <s v=" 4996.5057 "/>
    <s v=" 78.2771 "/>
    <x v="0"/>
    <n v="391112"/>
    <m/>
    <m/>
    <m/>
  </r>
  <r>
    <x v="16"/>
    <x v="6"/>
    <s v="F:\images\20210420\plaque 2/@04 Testo+ FAD/G4_02.tif "/>
    <s v=" 216.2989 "/>
    <s v=" 62.9 "/>
    <x v="0"/>
    <n v="13605"/>
    <m/>
    <m/>
    <m/>
  </r>
  <r>
    <x v="16"/>
    <x v="6"/>
    <s v="F:\images\20210420\plaque 2/@04 Testo+ FAD/G4_03.tif "/>
    <s v=" 3850.1212 "/>
    <s v=" 69.4775 "/>
    <x v="0"/>
    <n v="267497"/>
    <m/>
    <m/>
    <m/>
  </r>
  <r>
    <x v="16"/>
    <x v="7"/>
    <s v="F:\images\20210420\plaque 2/@04 Testo+ FAD/H4_01.tif "/>
    <s v=" 2444.1781 "/>
    <s v=" 65.1681 "/>
    <x v="0"/>
    <n v="159283"/>
    <m/>
    <m/>
    <m/>
  </r>
  <r>
    <x v="16"/>
    <x v="7"/>
    <s v="F:\images\20210420\plaque 2/@04 Testo+ FAD/H4_02.tif "/>
    <s v=" 1752.0215 "/>
    <s v=" 65.0741 "/>
    <x v="0"/>
    <n v="114011"/>
    <m/>
    <m/>
    <m/>
  </r>
  <r>
    <x v="16"/>
    <x v="7"/>
    <s v="F:\images\20210420\plaque 2/@04 Testo+ FAD/H4_03.tif "/>
    <s v=" 1059.8648 "/>
    <s v=" 63.7959 "/>
    <x v="0"/>
    <n v="67615"/>
    <m/>
    <m/>
    <m/>
  </r>
  <r>
    <x v="1"/>
    <x v="8"/>
    <s v=" "/>
    <m/>
    <m/>
    <x v="1"/>
    <m/>
    <m/>
    <m/>
    <m/>
  </r>
  <r>
    <x v="1"/>
    <x v="8"/>
    <s v="group "/>
    <s v=" "/>
    <s v=" mean of mean fluo "/>
    <x v="2"/>
    <s v=" mean of total fluo "/>
    <s v=" SD total fluo "/>
    <s v=" n fluorescent "/>
    <s v=" n total"/>
  </r>
  <r>
    <x v="16"/>
    <x v="9"/>
    <s v="F:\images\20210420\plaque 2/@04 Testo+ FAD/ "/>
    <s v=" "/>
    <s v=" 69.0087 "/>
    <x v="18"/>
    <s v=" 341613.583 "/>
    <s v=" 250053.69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F:\images\20210420\plaque 2/@05 Arabinose 0.01mg_L Dopé/A5_01.tif "/>
    <s v=" 48840.3021 "/>
    <s v=" 70.566 "/>
    <x v="0"/>
    <n v="3446464"/>
    <m/>
    <m/>
    <m/>
  </r>
  <r>
    <x v="17"/>
    <x v="0"/>
    <s v="F:\images\20210420\plaque 2/@05 Arabinose 0.01mg_L Dopé/A5_02.tif "/>
    <s v=" 39712.4865 "/>
    <s v=" 69.049 "/>
    <x v="0"/>
    <n v="2742108"/>
    <m/>
    <m/>
    <m/>
  </r>
  <r>
    <x v="17"/>
    <x v="0"/>
    <s v="F:\images\20210420\plaque 2/@05 Arabinose 0.01mg_L Dopé/A5_03.tif "/>
    <s v=" 42264.8141 "/>
    <s v=" 70.262 "/>
    <x v="0"/>
    <n v="2969611"/>
    <m/>
    <m/>
    <m/>
  </r>
  <r>
    <x v="17"/>
    <x v="1"/>
    <s v="F:\images\20210420\plaque 2/@05 Arabinose 0.01mg_L Dopé/B5_01.tif "/>
    <s v=" 37614.3868 "/>
    <s v=" 71.1121 "/>
    <x v="0"/>
    <n v="2674839"/>
    <m/>
    <m/>
    <m/>
  </r>
  <r>
    <x v="17"/>
    <x v="1"/>
    <s v="F:\images\20210420\plaque 2/@05 Arabinose 0.01mg_L Dopé/B5_02.tif "/>
    <s v=" 42524.3728 "/>
    <s v=" 72.2818 "/>
    <x v="0"/>
    <n v="3073738"/>
    <m/>
    <m/>
    <m/>
  </r>
  <r>
    <x v="17"/>
    <x v="1"/>
    <s v="F:\images\20210420\plaque 2/@05 Arabinose 0.01mg_L Dopé/B5_03.tif "/>
    <s v=" 41940.3657 "/>
    <s v=" 71.6565 "/>
    <x v="0"/>
    <n v="3005301"/>
    <m/>
    <m/>
    <m/>
  </r>
  <r>
    <x v="17"/>
    <x v="2"/>
    <s v="F:\images\20210420\plaque 2/@05 Arabinose 0.01mg_L Dopé/C5_01.tif "/>
    <s v=" 18709.8589 "/>
    <s v=" 71.5376 "/>
    <x v="0"/>
    <n v="1338458"/>
    <m/>
    <m/>
    <m/>
  </r>
  <r>
    <x v="17"/>
    <x v="2"/>
    <s v="F:\images\20210420\plaque 2/@05 Arabinose 0.01mg_L Dopé/C5_02.tif "/>
    <s v=" 20396.9906 "/>
    <s v=" 71.6978 "/>
    <x v="0"/>
    <n v="1462419"/>
    <m/>
    <m/>
    <m/>
  </r>
  <r>
    <x v="17"/>
    <x v="2"/>
    <s v="F:\images\20210420\plaque 2/@05 Arabinose 0.01mg_L Dopé/C5_03.tif "/>
    <s v=" 19423.6454 "/>
    <s v=" 70.8185 "/>
    <x v="0"/>
    <n v="1375553"/>
    <m/>
    <m/>
    <m/>
  </r>
  <r>
    <x v="17"/>
    <x v="3"/>
    <s v="F:\images\20210420\plaque 2/@05 Arabinose 0.01mg_L Dopé/D5_01.tif "/>
    <s v=" 27924.194 "/>
    <s v=" 68.2548 "/>
    <x v="0"/>
    <n v="1905961"/>
    <m/>
    <m/>
    <m/>
  </r>
  <r>
    <x v="17"/>
    <x v="3"/>
    <s v="F:\images\20210420\plaque 2/@05 Arabinose 0.01mg_L Dopé/D5_02.tif "/>
    <s v=" 29914.1443 "/>
    <s v=" 67.2589 "/>
    <x v="0"/>
    <n v="2011991"/>
    <m/>
    <m/>
    <m/>
  </r>
  <r>
    <x v="17"/>
    <x v="3"/>
    <s v="F:\images\20210420\plaque 2/@05 Arabinose 0.01mg_L Dopé/D5_03.tif "/>
    <s v=" 28767.7599 "/>
    <s v=" 67.0556 "/>
    <x v="0"/>
    <n v="1929041"/>
    <m/>
    <m/>
    <m/>
  </r>
  <r>
    <x v="17"/>
    <x v="4"/>
    <s v="F:\images\20210420\plaque 2/@05 Arabinose 0.01mg_L Dopé/E5_01.tif "/>
    <s v=" 30454.8916 "/>
    <s v=" 69.657 "/>
    <x v="0"/>
    <n v="2121395"/>
    <m/>
    <m/>
    <m/>
  </r>
  <r>
    <x v="17"/>
    <x v="4"/>
    <s v="F:\images\20210420\plaque 2/@05 Arabinose 0.01mg_L Dopé/E5_02.tif "/>
    <s v=" 20094.1721 "/>
    <s v=" 66.6233 "/>
    <x v="0"/>
    <n v="1338739"/>
    <m/>
    <m/>
    <m/>
  </r>
  <r>
    <x v="17"/>
    <x v="4"/>
    <s v="F:\images\20210420\plaque 2/@05 Arabinose 0.01mg_L Dopé/E5_03.tif "/>
    <s v=" 28118.863 "/>
    <s v=" 69.2808 "/>
    <x v="0"/>
    <n v="1948096"/>
    <m/>
    <m/>
    <m/>
  </r>
  <r>
    <x v="17"/>
    <x v="5"/>
    <s v="F:\images\20210420\plaque 2/@05 Arabinose 0.01mg_L Dopé/F5_01.tif "/>
    <s v=" 61991.278 "/>
    <s v=" 73.351 "/>
    <x v="0"/>
    <n v="4547123"/>
    <m/>
    <m/>
    <m/>
  </r>
  <r>
    <x v="17"/>
    <x v="5"/>
    <s v="F:\images\20210420\plaque 2/@05 Arabinose 0.01mg_L Dopé/F5_02.tif "/>
    <s v=" 57968.1176 "/>
    <s v=" 71.3097 "/>
    <x v="0"/>
    <n v="4133689"/>
    <m/>
    <m/>
    <m/>
  </r>
  <r>
    <x v="17"/>
    <x v="5"/>
    <s v="F:\images\20210420\plaque 2/@05 Arabinose 0.01mg_L Dopé/F5_03.tif "/>
    <s v=" 53880.0675 "/>
    <s v=" 72.9189 "/>
    <x v="0"/>
    <n v="3928876"/>
    <m/>
    <m/>
    <m/>
  </r>
  <r>
    <x v="17"/>
    <x v="6"/>
    <s v="F:\images\20210420\plaque 2/@05 Arabinose 0.01mg_L Dopé/G5_01.tif "/>
    <s v=" 32639.511 "/>
    <s v=" 76.719 "/>
    <x v="0"/>
    <n v="2504071"/>
    <m/>
    <m/>
    <m/>
  </r>
  <r>
    <x v="17"/>
    <x v="6"/>
    <s v="F:\images\20210420\plaque 2/@05 Arabinose 0.01mg_L Dopé/G5_02.tif "/>
    <s v=" 32747.6605 "/>
    <s v=" 75.8771 "/>
    <x v="0"/>
    <n v="2484799"/>
    <m/>
    <m/>
    <m/>
  </r>
  <r>
    <x v="17"/>
    <x v="6"/>
    <s v="F:\images\20210420\plaque 2/@05 Arabinose 0.01mg_L Dopé/G5_03.tif "/>
    <s v=" 25436.7561 "/>
    <s v=" 72.7389 "/>
    <x v="0"/>
    <n v="1850243"/>
    <m/>
    <m/>
    <m/>
  </r>
  <r>
    <x v="17"/>
    <x v="7"/>
    <s v="F:\images\20210420\plaque 2/@05 Arabinose 0.01mg_L Dopé/H5_01.tif "/>
    <s v=" 37744.1661 "/>
    <s v=" 69.443 "/>
    <x v="0"/>
    <n v="2621067"/>
    <m/>
    <m/>
    <m/>
  </r>
  <r>
    <x v="17"/>
    <x v="7"/>
    <s v="F:\images\20210420\plaque 2/@05 Arabinose 0.01mg_L Dopé/H5_02.tif "/>
    <s v=" 35235.0984 "/>
    <s v=" 67.903 "/>
    <x v="0"/>
    <n v="2392569"/>
    <m/>
    <m/>
    <m/>
  </r>
  <r>
    <x v="17"/>
    <x v="7"/>
    <s v="F:\images\20210420\plaque 2/@05 Arabinose 0.01mg_L Dopé/H5_03.tif "/>
    <s v=" 38955.4402 "/>
    <s v=" 68.4142 "/>
    <x v="0"/>
    <n v="2665106"/>
    <m/>
    <m/>
    <m/>
  </r>
  <r>
    <x v="1"/>
    <x v="8"/>
    <s v=" "/>
    <m/>
    <m/>
    <x v="1"/>
    <m/>
    <m/>
    <m/>
    <m/>
  </r>
  <r>
    <x v="1"/>
    <x v="8"/>
    <s v="group "/>
    <s v=" "/>
    <s v=" mean of mean fluo "/>
    <x v="2"/>
    <s v=" mean of total fluo "/>
    <s v=" SD total fluo "/>
    <s v=" n fluorescent "/>
    <s v=" n total"/>
  </r>
  <r>
    <x v="17"/>
    <x v="9"/>
    <s v="F:\images\20210420\plaque 2/@05 Arabinose 0.01mg_L Dopé/ "/>
    <s v=" "/>
    <s v=" 70.6578 "/>
    <x v="19"/>
    <s v=" 2519635.71 "/>
    <s v=" 873812.8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F:\images\20210420\plaque 2/@06 Dutastéride 0.1mg_L Dopé/A6_01.tif "/>
    <s v=" 22322.0513 "/>
    <s v=" 68.0349 "/>
    <x v="0"/>
    <n v="1518678"/>
    <m/>
    <m/>
    <m/>
  </r>
  <r>
    <x v="18"/>
    <x v="0"/>
    <s v="F:\images\20210420\plaque 2/@06 Dutastéride 0.1mg_L Dopé/A6_02.tif "/>
    <s v=" 27253.6672 "/>
    <s v=" 72.95 "/>
    <x v="0"/>
    <n v="1988155"/>
    <m/>
    <m/>
    <m/>
  </r>
  <r>
    <x v="18"/>
    <x v="0"/>
    <s v="F:\images\20210420\plaque 2/@06 Dutastéride 0.1mg_L Dopé/A6_03.tif "/>
    <s v=" 27534.8559 "/>
    <s v=" 72.3551 "/>
    <x v="0"/>
    <n v="1992286"/>
    <m/>
    <m/>
    <m/>
  </r>
  <r>
    <x v="18"/>
    <x v="1"/>
    <s v="F:\images\20210420\plaque 2/@06 Dutastéride 0.1mg_L Dopé/B6_01.tif "/>
    <s v=" 31082.1586 "/>
    <s v=" 68.8337 "/>
    <x v="0"/>
    <n v="2139499"/>
    <m/>
    <m/>
    <m/>
  </r>
  <r>
    <x v="18"/>
    <x v="1"/>
    <s v="F:\images\20210420\plaque 2/@06 Dutastéride 0.1mg_L Dopé/B6_02.tif "/>
    <s v=" 22668.1296 "/>
    <s v=" 66.2366 "/>
    <x v="0"/>
    <n v="1501461"/>
    <m/>
    <m/>
    <m/>
  </r>
  <r>
    <x v="18"/>
    <x v="1"/>
    <s v="F:\images\20210420\plaque 2/@06 Dutastéride 0.1mg_L Dopé/B6_03.tif "/>
    <s v=" 27751.1548 "/>
    <s v=" 66.3414 "/>
    <x v="0"/>
    <n v="1841050"/>
    <m/>
    <m/>
    <m/>
  </r>
  <r>
    <x v="18"/>
    <x v="2"/>
    <s v="F:\images\20210420\plaque 2/@06 Dutastéride 0.1mg_L Dopé/C6_01.tif "/>
    <s v=" 6662.0075 "/>
    <s v=" 64.8669 "/>
    <x v="0"/>
    <n v="432144"/>
    <m/>
    <m/>
    <m/>
  </r>
  <r>
    <x v="18"/>
    <x v="2"/>
    <s v="F:\images\20210420\plaque 2/@06 Dutastéride 0.1mg_L Dopé/C6_02.tif "/>
    <s v=" 6986.456 "/>
    <s v=" 65.0217 "/>
    <x v="0"/>
    <n v="454271"/>
    <m/>
    <m/>
    <m/>
  </r>
  <r>
    <x v="18"/>
    <x v="2"/>
    <s v="F:\images\20210420\plaque 2/@06 Dutastéride 0.1mg_L Dopé/C6_03.tif "/>
    <s v=" 7808.392 "/>
    <s v=" 66.0249 "/>
    <x v="0"/>
    <n v="515549"/>
    <m/>
    <m/>
    <m/>
  </r>
  <r>
    <x v="18"/>
    <x v="3"/>
    <s v="F:\images\20210420\plaque 2/@06 Dutastéride 0.1mg_L Dopé/D6_01.tif "/>
    <s v=" 18688.229 "/>
    <s v=" 65.7986 "/>
    <x v="0"/>
    <n v="1229660"/>
    <m/>
    <m/>
    <m/>
  </r>
  <r>
    <x v="18"/>
    <x v="3"/>
    <s v="F:\images\20210420\plaque 2/@06 Dutastéride 0.1mg_L Dopé/D6_02.tif "/>
    <s v=" 14189.2109 "/>
    <s v=" 65.4848 "/>
    <x v="0"/>
    <n v="929177"/>
    <m/>
    <m/>
    <m/>
  </r>
  <r>
    <x v="18"/>
    <x v="3"/>
    <s v="F:\images\20210420\plaque 2/@06 Dutastéride 0.1mg_L Dopé/D6_03- exclu.tif"/>
    <m/>
    <m/>
    <x v="1"/>
    <m/>
    <m/>
    <m/>
    <m/>
  </r>
  <r>
    <x v="18"/>
    <x v="4"/>
    <s v="F:\images\20210420\plaque 2/@06 Dutastéride 0.1mg_L Dopé/E6_01.tif "/>
    <s v=" 8673.5877 "/>
    <s v=" 65.8304 "/>
    <x v="0"/>
    <n v="570986"/>
    <m/>
    <m/>
    <m/>
  </r>
  <r>
    <x v="18"/>
    <x v="4"/>
    <s v="F:\images\20210420\plaque 2/@06 Dutastéride 0.1mg_L Dopé/E6_02.tif "/>
    <s v=" 21370.3359 "/>
    <s v=" 69.9747 "/>
    <x v="0"/>
    <n v="1495383"/>
    <m/>
    <m/>
    <m/>
  </r>
  <r>
    <x v="18"/>
    <x v="4"/>
    <s v="F:\images\20210420\plaque 2/@06 Dutastéride 0.1mg_L Dopé/E6_03.tif "/>
    <s v=" 23490.0656 "/>
    <s v=" 69.035 "/>
    <x v="0"/>
    <n v="1621636"/>
    <m/>
    <m/>
    <m/>
  </r>
  <r>
    <x v="18"/>
    <x v="5"/>
    <s v="F:\images\20210420\plaque 2/@06 Dutastéride 0.1mg_L Dopé/F6_01.tif "/>
    <s v=" 19531.7948 "/>
    <s v=" 69.6678 "/>
    <x v="0"/>
    <n v="1360737"/>
    <m/>
    <m/>
    <m/>
  </r>
  <r>
    <x v="18"/>
    <x v="5"/>
    <s v="F:\images\20210420\plaque 2/@06 Dutastéride 0.1mg_L Dopé/F6_02.tif "/>
    <s v=" 11745.0328 "/>
    <s v=" 65.4125 "/>
    <x v="0"/>
    <n v="768272"/>
    <m/>
    <m/>
    <m/>
  </r>
  <r>
    <x v="18"/>
    <x v="5"/>
    <s v="F:\images\20210420\plaque 2/@06 Dutastéride 0.1mg_L Dopé/F6_03.tif "/>
    <s v=" 19099.197 "/>
    <s v=" 66.6082 "/>
    <x v="0"/>
    <n v="1272162"/>
    <m/>
    <m/>
    <m/>
  </r>
  <r>
    <x v="18"/>
    <x v="6"/>
    <s v="F:\images\20210420\plaque 2/@06 Dutastéride 0.1mg_L Dopé/G6_01.tif "/>
    <s v=" 38955.4402 "/>
    <s v=" 72.3798 "/>
    <x v="0"/>
    <n v="2819587"/>
    <m/>
    <m/>
    <m/>
  </r>
  <r>
    <x v="18"/>
    <x v="6"/>
    <s v="F:\images\20210420\plaque 2/@06 Dutastéride 0.1mg_L Dopé/G6_02.tif "/>
    <s v=" 30606.3009 "/>
    <s v=" 73.0191 "/>
    <x v="0"/>
    <n v="2234844"/>
    <m/>
    <m/>
    <m/>
  </r>
  <r>
    <x v="18"/>
    <x v="6"/>
    <s v="F:\images\20210420\plaque 2/@06 Dutastéride 0.1mg_L Dopé/G6_03.tif "/>
    <s v=" 39431.2979 "/>
    <s v=" 72.3406 "/>
    <x v="0"/>
    <n v="2852486"/>
    <m/>
    <m/>
    <m/>
  </r>
  <r>
    <x v="18"/>
    <x v="7"/>
    <s v="F:\images\20210420\plaque 2/@06 Dutastéride 0.1mg_L Dopé/H6_01.tif "/>
    <s v=" 9409.0042 "/>
    <s v=" 65.0092 "/>
    <x v="0"/>
    <n v="611672"/>
    <m/>
    <m/>
    <m/>
  </r>
  <r>
    <x v="18"/>
    <x v="7"/>
    <s v="F:\images\20210420\plaque 2/@06 Dutastéride 0.1mg_L Dopé/H6_02.tif "/>
    <s v=" 3049.8151 "/>
    <s v=" 63.1915 "/>
    <x v="0"/>
    <n v="192722"/>
    <m/>
    <m/>
    <m/>
  </r>
  <r>
    <x v="18"/>
    <x v="7"/>
    <s v="F:\images\20210420\plaque 2/@06 Dutastéride 0.1mg_L Dopé/H6_03.tif "/>
    <s v=" 3568.9326 "/>
    <s v=" 64.5515 "/>
    <x v="0"/>
    <n v="230380"/>
    <m/>
    <m/>
    <m/>
  </r>
  <r>
    <x v="1"/>
    <x v="8"/>
    <s v=" "/>
    <m/>
    <m/>
    <x v="1"/>
    <m/>
    <m/>
    <m/>
    <m/>
  </r>
  <r>
    <x v="1"/>
    <x v="8"/>
    <s v="group "/>
    <s v=" "/>
    <s v=" mean of mean fluo "/>
    <x v="2"/>
    <s v=" mean of total fluo "/>
    <s v=" SD total fluo "/>
    <s v=" n fluorescent "/>
    <s v=" n total"/>
  </r>
  <r>
    <x v="18"/>
    <x v="9"/>
    <s v="F:\images\20210420\plaque 2/@06 Dutastéride 0.1mg_L Dopé/ "/>
    <s v=" "/>
    <s v=" 67.6429 "/>
    <x v="20"/>
    <s v=" 1285078.96 "/>
    <s v=" 799997.4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F:\images\20210420\plaque 2/@07  Arabinose 1mg_L Dopé/A7_01.tif "/>
    <s v=" 35883.9952 "/>
    <s v=" 75.9337 "/>
    <x v="0"/>
    <n v="2724804"/>
    <m/>
    <m/>
    <m/>
  </r>
  <r>
    <x v="19"/>
    <x v="0"/>
    <s v="F:\images\20210420\plaque 2/@07  Arabinose 1mg_L Dopé/A7_02.tif "/>
    <s v=" 36078.6642 "/>
    <s v=" 73.5935 "/>
    <x v="0"/>
    <n v="2655156"/>
    <m/>
    <m/>
    <m/>
  </r>
  <r>
    <x v="19"/>
    <x v="0"/>
    <s v="F:\images\20210420\plaque 2/@07  Arabinose 1mg_L Dopé/A7_03.tif "/>
    <s v=" 35170.2087 "/>
    <s v=" 75.5443 "/>
    <x v="0"/>
    <n v="2656908"/>
    <m/>
    <m/>
    <m/>
  </r>
  <r>
    <x v="19"/>
    <x v="1"/>
    <s v="F:\images\20210420\plaque 2/@07  Arabinose 1mg_L Dopé/B7_01.tif "/>
    <s v=" 39452.9278 "/>
    <s v=" 70.313 "/>
    <x v="0"/>
    <n v="2774056"/>
    <m/>
    <m/>
    <m/>
  </r>
  <r>
    <x v="19"/>
    <x v="1"/>
    <s v="F:\images\20210420\plaque 2/@07  Arabinose 1mg_L Dopé/B7_02.tif "/>
    <s v=" 33483.0769 "/>
    <s v=" 69.5433 "/>
    <x v="0"/>
    <n v="2328523"/>
    <m/>
    <m/>
    <m/>
  </r>
  <r>
    <x v="19"/>
    <x v="1"/>
    <s v="F:\images\20210420\plaque 2/@07  Arabinose 1mg_L Dopé/B7_03.tif "/>
    <s v=" 35235.0984 "/>
    <s v=" 71.5605 "/>
    <x v="0"/>
    <n v="2521440"/>
    <m/>
    <m/>
    <m/>
  </r>
  <r>
    <x v="19"/>
    <x v="2"/>
    <s v="F:\images\20210420\plaque 2/@07  Arabinose 1mg_L Dopé/C7_01.tif "/>
    <s v=" 54875.0427 "/>
    <s v=" 75.1853 "/>
    <x v="0"/>
    <n v="4125794"/>
    <m/>
    <m/>
    <m/>
  </r>
  <r>
    <x v="19"/>
    <x v="2"/>
    <s v="F:\images\20210420\plaque 2/@07  Arabinose 1mg_L Dopé/C7_02.tif "/>
    <s v=" 50765.3627 "/>
    <s v=" 75.2182 "/>
    <x v="0"/>
    <n v="3818477"/>
    <m/>
    <m/>
    <m/>
  </r>
  <r>
    <x v="19"/>
    <x v="2"/>
    <s v="F:\images\20210420\plaque 2/@07  Arabinose 1mg_L Dopé/C7_03.tif "/>
    <s v=" 45141.5901 "/>
    <s v=" 72.9401 "/>
    <x v="0"/>
    <n v="3292632"/>
    <m/>
    <m/>
    <m/>
  </r>
  <r>
    <x v="19"/>
    <x v="3"/>
    <s v="F:\images\20210420\plaque 2/@07  Arabinose 1mg_L Dopé/D7_01.tif "/>
    <s v=" 57903.2279 "/>
    <s v=" 76.9193 "/>
    <x v="0"/>
    <n v="4453876"/>
    <m/>
    <m/>
    <m/>
  </r>
  <r>
    <x v="19"/>
    <x v="3"/>
    <s v="F:\images\20210420\plaque 2/@07  Arabinose 1mg_L Dopé/D7_02.tif "/>
    <s v=" 51262.8503 "/>
    <s v=" 74.5211 "/>
    <x v="0"/>
    <n v="3820164"/>
    <m/>
    <m/>
    <m/>
  </r>
  <r>
    <x v="19"/>
    <x v="3"/>
    <s v="F:\images\20210420\plaque 2/@07  Arabinose 1mg_L Dopé/D7_03.tif "/>
    <s v=" 50051.5762 "/>
    <s v=" 75.5164 "/>
    <x v="0"/>
    <n v="3779716"/>
    <m/>
    <m/>
    <m/>
  </r>
  <r>
    <x v="19"/>
    <x v="4"/>
    <s v="F:\images\20210420\plaque 2/@07  Arabinose 1mg_L Dopé/E7_01.tif "/>
    <s v=" 16049.3818 "/>
    <s v=" 69.1577 "/>
    <x v="0"/>
    <n v="1109938"/>
    <m/>
    <m/>
    <m/>
  </r>
  <r>
    <x v="19"/>
    <x v="4"/>
    <s v="F:\images\20210420\plaque 2/@07  Arabinose 1mg_L Dopé/E7_02.tif "/>
    <s v=" 15616.7839 "/>
    <s v=" 69.5817 "/>
    <x v="0"/>
    <n v="1086643"/>
    <m/>
    <m/>
    <m/>
  </r>
  <r>
    <x v="19"/>
    <x v="4"/>
    <s v="F:\images\20210420\plaque 2/@07  Arabinose 1mg_L Dopé/E7_03.tif "/>
    <s v=" 16871.3178 "/>
    <s v=" 69.1462 "/>
    <x v="0"/>
    <n v="1166587"/>
    <m/>
    <m/>
    <m/>
  </r>
  <r>
    <x v="19"/>
    <x v="5"/>
    <s v="F:\images\20210420\plaque 2/@07  Arabinose 1mg_L Dopé/F7_01.tif "/>
    <s v=" 38955.4402 "/>
    <s v=" 67.1594 "/>
    <x v="0"/>
    <n v="2616222"/>
    <m/>
    <m/>
    <m/>
  </r>
  <r>
    <x v="19"/>
    <x v="5"/>
    <s v="F:\images\20210420\plaque 2/@07  Arabinose 1mg_L Dopé/F7_02.tif "/>
    <s v=" 35537.9169 "/>
    <s v=" 67.5837 "/>
    <x v="0"/>
    <n v="2401783"/>
    <m/>
    <m/>
    <m/>
  </r>
  <r>
    <x v="19"/>
    <x v="5"/>
    <s v="F:\images\20210420\plaque 2/@07  Arabinose 1mg_L Dopé/F7_03.tif "/>
    <s v=" 38349.8032 "/>
    <s v=" 69.0784 "/>
    <x v="0"/>
    <n v="2649143"/>
    <m/>
    <m/>
    <m/>
  </r>
  <r>
    <x v="19"/>
    <x v="6"/>
    <s v="F:\images\20210420\plaque 2/@07  Arabinose 1mg_L Dopé/G7_01.tif "/>
    <s v=" 61666.8296 "/>
    <s v=" 73.0982 "/>
    <x v="0"/>
    <n v="4507735"/>
    <m/>
    <m/>
    <m/>
  </r>
  <r>
    <x v="19"/>
    <x v="6"/>
    <s v="F:\images\20210420\plaque 2/@07  Arabinose 1mg_L Dopé/G7_02.tif "/>
    <s v=" 55091.3416 "/>
    <s v=" 70.5544 "/>
    <x v="0"/>
    <n v="3886935"/>
    <m/>
    <m/>
    <m/>
  </r>
  <r>
    <x v="19"/>
    <x v="6"/>
    <s v="F:\images\20210420\plaque 2/@07  Arabinose 1mg_L Dopé/G7_03.tif "/>
    <s v=" 39755.7463 "/>
    <s v=" 69.5724 "/>
    <x v="0"/>
    <n v="2765901"/>
    <m/>
    <m/>
    <m/>
  </r>
  <r>
    <x v="19"/>
    <x v="7"/>
    <s v="F:\images\20210420\plaque 2/@07  Arabinose 1mg_L Dopé/H7_01.tif "/>
    <s v=" 9884.8618 "/>
    <s v=" 64.9365 "/>
    <x v="0"/>
    <n v="641889"/>
    <m/>
    <m/>
    <m/>
  </r>
  <r>
    <x v="19"/>
    <x v="7"/>
    <s v="F:\images\20210420\plaque 2/@07  Arabinose 1mg_L Dopé/H7_02.tif "/>
    <s v=" 7786.7621 "/>
    <s v=" 65.3528 "/>
    <x v="0"/>
    <n v="508887"/>
    <m/>
    <m/>
    <m/>
  </r>
  <r>
    <x v="19"/>
    <x v="7"/>
    <s v="F:\images\20210420\plaque 2/@07  Arabinose 1mg_L Dopé/H7_03.tif "/>
    <s v=" 11225.9153 "/>
    <s v=" 64.7437 "/>
    <x v="0"/>
    <n v="726808"/>
    <m/>
    <m/>
    <m/>
  </r>
  <r>
    <x v="1"/>
    <x v="8"/>
    <s v=" "/>
    <m/>
    <m/>
    <x v="1"/>
    <m/>
    <m/>
    <m/>
    <m/>
  </r>
  <r>
    <x v="1"/>
    <x v="8"/>
    <s v="group "/>
    <s v=" "/>
    <s v=" mean of mean fluo "/>
    <x v="2"/>
    <s v=" mean of total fluo "/>
    <s v=" SD total fluo "/>
    <s v=" n fluorescent "/>
    <s v=" n total"/>
  </r>
  <r>
    <x v="19"/>
    <x v="9"/>
    <s v="F:\images\20210420\plaque 2/@07  Arabinose 1mg_L Dopé/ "/>
    <s v=" "/>
    <s v=" 71.1147 "/>
    <x v="21"/>
    <s v=" 2625834.04 "/>
    <s v=" 1222471.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F:\images\20210420\plaque 2/@08 Arabinose 10mg_L Dopé/A8_01.tif "/>
    <s v=" 55718.6086 "/>
    <s v=" 73.8513 "/>
    <x v="0"/>
    <n v="4114893"/>
    <m/>
    <m/>
    <m/>
  </r>
  <r>
    <x v="20"/>
    <x v="0"/>
    <s v="F:\images\20210420\plaque 2/@08 Arabinose 10mg_L Dopé/A8_02.tif "/>
    <s v=" 55199.4911 "/>
    <s v=" 71.1211 "/>
    <x v="0"/>
    <n v="3925848"/>
    <m/>
    <m/>
    <m/>
  </r>
  <r>
    <x v="20"/>
    <x v="0"/>
    <s v="F:\images\20210420\plaque 2/@08 Arabinose 10mg_L Dopé/A8_03.tif "/>
    <s v=" 51955.0069 "/>
    <s v=" 73.6045 "/>
    <x v="0"/>
    <n v="3824122"/>
    <m/>
    <m/>
    <m/>
  </r>
  <r>
    <x v="20"/>
    <x v="1"/>
    <s v="F:\images\20210420\plaque 2/@08 Arabinose 10mg_L Dopé/B8_01.tif "/>
    <s v=" 24312.0016 "/>
    <s v=" 66.1975 "/>
    <x v="0"/>
    <n v="1609394"/>
    <m/>
    <m/>
    <m/>
  </r>
  <r>
    <x v="20"/>
    <x v="1"/>
    <s v="F:\images\20210420\plaque 2/@08 Arabinose 10mg_L Dopé/B8_02.tif "/>
    <s v=" 13042.8265 "/>
    <s v=" 64.9735 "/>
    <x v="0"/>
    <n v="847438"/>
    <m/>
    <m/>
    <m/>
  </r>
  <r>
    <x v="20"/>
    <x v="1"/>
    <s v="F:\images\20210420\plaque 2/@08 Arabinose 10mg_L Dopé/B8_03.tif "/>
    <s v=" 26042.3931 "/>
    <s v=" 66.8015 "/>
    <x v="0"/>
    <n v="1739671"/>
    <m/>
    <m/>
    <m/>
  </r>
  <r>
    <x v="20"/>
    <x v="2"/>
    <s v="F:\images\20210420\plaque 2/@08 Arabinose 10mg_L Dopé/C8_01.tif "/>
    <s v=" 4239.4593 "/>
    <s v=" 64.6786 "/>
    <x v="0"/>
    <n v="274202"/>
    <m/>
    <m/>
    <m/>
  </r>
  <r>
    <x v="20"/>
    <x v="2"/>
    <s v="F:\images\20210420\plaque 2/@08 Arabinose 10mg_L Dopé/C8_02.tif "/>
    <s v=" 2941.6657 "/>
    <s v=" 64.2353 "/>
    <x v="0"/>
    <n v="188959"/>
    <m/>
    <m/>
    <m/>
  </r>
  <r>
    <x v="20"/>
    <x v="2"/>
    <s v="F:\images\20210420\plaque 2/@08 Arabinose 10mg_L Dopé/C8_03.tif "/>
    <s v=" 3222.8543 "/>
    <s v=" 63.7047 "/>
    <x v="0"/>
    <n v="205311"/>
    <m/>
    <m/>
    <m/>
  </r>
  <r>
    <x v="20"/>
    <x v="3"/>
    <s v="F:\images\20210420\plaque 2/@08 Arabinose 10mg_L Dopé/D8_01.tif "/>
    <s v=" 43908.6861 "/>
    <s v=" 69.9813 "/>
    <x v="0"/>
    <n v="3072786"/>
    <m/>
    <m/>
    <m/>
  </r>
  <r>
    <x v="20"/>
    <x v="3"/>
    <s v="F:\images\20210420\plaque 2/@08 Arabinose 10mg_L Dopé/D8_02.tif "/>
    <s v=" 37052.0095 "/>
    <s v=" 69.244 "/>
    <x v="0"/>
    <n v="2565630"/>
    <m/>
    <m/>
    <m/>
  </r>
  <r>
    <x v="20"/>
    <x v="3"/>
    <s v="F:\images\20210420\plaque 2/@08 Arabinose 10mg_L Dopé/D8_03.tif "/>
    <s v=" 41204.9493 "/>
    <s v=" 68.9612 "/>
    <x v="0"/>
    <n v="2841541"/>
    <m/>
    <m/>
    <m/>
  </r>
  <r>
    <x v="20"/>
    <x v="4"/>
    <s v="F:\images\20210420\plaque 2/@08 Arabinose 10mg_L Dopé/E8_01.tif "/>
    <s v=" 40361.3834 "/>
    <s v=" 71.0638 "/>
    <x v="0"/>
    <n v="2868232"/>
    <m/>
    <m/>
    <m/>
  </r>
  <r>
    <x v="20"/>
    <x v="4"/>
    <s v="F:\images\20210420\plaque 2/@08 Arabinose 10mg_L Dopé/E8_02.tif "/>
    <s v=" 41204.9493 "/>
    <s v=" 70.9239 "/>
    <x v="0"/>
    <n v="2922415"/>
    <m/>
    <m/>
    <m/>
  </r>
  <r>
    <x v="20"/>
    <x v="4"/>
    <s v="F:\images\20210420\plaque 2/@08 Arabinose 10mg_L Dopé/E8_03.tif "/>
    <s v=" 36684.3013 "/>
    <s v=" 71.1887 "/>
    <x v="0"/>
    <n v="2611507"/>
    <m/>
    <m/>
    <m/>
  </r>
  <r>
    <x v="20"/>
    <x v="5"/>
    <s v="F:\images\20210420\plaque 2/@08 Arabinose 10mg_L Dopé/F8_01.tif "/>
    <s v=" 44341.284 "/>
    <s v=" 70.7302 "/>
    <x v="0"/>
    <n v="3136270"/>
    <m/>
    <m/>
    <m/>
  </r>
  <r>
    <x v="20"/>
    <x v="5"/>
    <s v="F:\images\20210420\plaque 2/@08 Arabinose 10mg_L Dopé/F8_02.tif "/>
    <s v=" 40837.2411 "/>
    <s v=" 69.3522 "/>
    <x v="0"/>
    <n v="2832154"/>
    <m/>
    <m/>
    <m/>
  </r>
  <r>
    <x v="20"/>
    <x v="5"/>
    <s v="F:\images\20210420\plaque 2/@08 Arabinose 10mg_L Dopé/F8_03.tif "/>
    <s v=" 39625.967 "/>
    <s v=" 70.8783 "/>
    <x v="0"/>
    <n v="2808620"/>
    <m/>
    <m/>
    <m/>
  </r>
  <r>
    <x v="20"/>
    <x v="6"/>
    <s v="F:\images\20210420\plaque 2/@08 Arabinose 10mg_L Dopé/G8_01.tif "/>
    <s v=" 44124.985 "/>
    <s v=" 69.7912 "/>
    <x v="0"/>
    <n v="3079535"/>
    <m/>
    <m/>
    <m/>
  </r>
  <r>
    <x v="20"/>
    <x v="6"/>
    <s v="F:\images\20210420\plaque 2/@08 Arabinose 10mg_L Dopé/G8_02.tif "/>
    <s v=" 35797.4756 "/>
    <s v=" 68.4453 "/>
    <x v="0"/>
    <n v="2450170"/>
    <m/>
    <m/>
    <m/>
  </r>
  <r>
    <x v="20"/>
    <x v="6"/>
    <s v="F:\images\20210420\plaque 2/@08 Arabinose 10mg_L Dopé/G8_03.tif "/>
    <s v=" 37268.3084 "/>
    <s v=" 68.4869 "/>
    <x v="0"/>
    <n v="2552392"/>
    <m/>
    <m/>
    <m/>
  </r>
  <r>
    <x v="20"/>
    <x v="7"/>
    <s v="F:\images\20210420\plaque 2/@08 Arabinose 10mg_L Dopé/H8_01.tif "/>
    <s v=" 34088.7139 "/>
    <s v=" 71.6942 "/>
    <x v="0"/>
    <n v="2443962"/>
    <m/>
    <m/>
    <m/>
  </r>
  <r>
    <x v="20"/>
    <x v="7"/>
    <s v="F:\images\20210420\plaque 2/@08 Arabinose 10mg_L Dopé/H8_02.tif "/>
    <s v=" 26972.4786 "/>
    <s v=" 70.9791 "/>
    <x v="0"/>
    <n v="1914484"/>
    <m/>
    <m/>
    <m/>
  </r>
  <r>
    <x v="20"/>
    <x v="7"/>
    <s v="F:\images\20210420\plaque 2/@08 Arabinose 10mg_L Dopé/H8_03.tif "/>
    <s v=" 30476.5215 "/>
    <s v=" 71.1867 "/>
    <x v="0"/>
    <n v="2169522"/>
    <m/>
    <m/>
    <m/>
  </r>
  <r>
    <x v="1"/>
    <x v="8"/>
    <s v=" "/>
    <m/>
    <m/>
    <x v="1"/>
    <m/>
    <m/>
    <m/>
    <m/>
  </r>
  <r>
    <x v="1"/>
    <x v="8"/>
    <s v="group "/>
    <s v=" "/>
    <s v=" mean of mean fluo "/>
    <x v="2"/>
    <s v=" mean of total fluo "/>
    <s v=" SD total fluo "/>
    <s v=" n fluorescent "/>
    <s v=" n total"/>
  </r>
  <r>
    <x v="20"/>
    <x v="9"/>
    <s v="F:\images\20210420\plaque 2/@08 Arabinose 10mg_L Dopé/ "/>
    <s v=" "/>
    <s v=" 69.2531 "/>
    <x v="22"/>
    <s v=" 2374960.75 "/>
    <s v=" 1100673.7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F:\images\20210420\plaque 2/@09 Arabinose 100 mg_L Dopé/A9_01.tif "/>
    <s v=" 44406.1737 "/>
    <s v=" 71.3794 "/>
    <x v="0"/>
    <n v="3169688"/>
    <m/>
    <m/>
    <m/>
  </r>
  <r>
    <x v="21"/>
    <x v="0"/>
    <s v="F:\images\20210420\plaque 2/@09 Arabinose 100 mg_L Dopé/A9_02.tif "/>
    <s v=" 37354.828 "/>
    <s v=" 67.8691 "/>
    <x v="0"/>
    <n v="2535240"/>
    <m/>
    <m/>
    <m/>
  </r>
  <r>
    <x v="21"/>
    <x v="0"/>
    <s v="F:\images\20210420\plaque 2/@09 Arabinose 100 mg_L Dopé/A9_03.tif "/>
    <s v=" 42394.5935 "/>
    <s v=" 69.8143 "/>
    <x v="0"/>
    <n v="2959748"/>
    <m/>
    <m/>
    <m/>
  </r>
  <r>
    <x v="21"/>
    <x v="1"/>
    <s v="F:\images\20210420\plaque 2/@09 Arabinose 100 mg_L Dopé/B9_01.tif "/>
    <s v=" 35429.7674 "/>
    <s v=" 70.0775 "/>
    <x v="0"/>
    <n v="2482831"/>
    <m/>
    <m/>
    <m/>
  </r>
  <r>
    <x v="21"/>
    <x v="1"/>
    <s v="F:\images\20210420\plaque 2/@09 Arabinose 100 mg_L Dopé/B9_02.tif "/>
    <s v=" 35581.1767 "/>
    <s v=" 71.5246 "/>
    <x v="0"/>
    <n v="2544930"/>
    <m/>
    <m/>
    <m/>
  </r>
  <r>
    <x v="21"/>
    <x v="1"/>
    <s v="F:\images\20210420\plaque 2/@09 Arabinose 100 mg_L Dopé/B9_03.tif "/>
    <s v=" 31428.2369 "/>
    <s v=" 72.137 "/>
    <x v="0"/>
    <n v="2267137"/>
    <m/>
    <m/>
    <m/>
  </r>
  <r>
    <x v="21"/>
    <x v="2"/>
    <s v="F:\images\20210420\plaque 2/@09 Arabinose 100 mg_L Dopé/C9_01.tif "/>
    <s v=" 49056.601 "/>
    <s v=" 70.3179 "/>
    <x v="0"/>
    <n v="3449557"/>
    <m/>
    <m/>
    <m/>
  </r>
  <r>
    <x v="21"/>
    <x v="2"/>
    <s v="F:\images\20210420\plaque 2/@09 Arabinose 100 mg_L Dopé/C9_02.tif "/>
    <s v=" 47996.7362 "/>
    <s v=" 69.639 "/>
    <x v="0"/>
    <n v="3342446"/>
    <m/>
    <m/>
    <m/>
  </r>
  <r>
    <x v="21"/>
    <x v="2"/>
    <s v="F:\images\20210420\plaque 2/@09 Arabinose 100 mg_L Dopé/C9_03.tif "/>
    <s v=" 40318.1236 "/>
    <s v=" 68.9995 "/>
    <x v="0"/>
    <n v="2781929"/>
    <m/>
    <m/>
    <m/>
  </r>
  <r>
    <x v="21"/>
    <x v="3"/>
    <s v="F:\images\20210420\plaque 2/@09 Arabinose 100 mg_L Dopé/D9_01.tif "/>
    <s v=" 24658.0799 "/>
    <s v=" 69.0658 "/>
    <x v="0"/>
    <n v="1703030"/>
    <m/>
    <m/>
    <m/>
  </r>
  <r>
    <x v="21"/>
    <x v="3"/>
    <s v="F:\images\20210420\plaque 2/@09 Arabinose 100 mg_L Dopé/D9_02.tif "/>
    <s v=" 18926.1578 "/>
    <s v=" 68.0377 "/>
    <x v="0"/>
    <n v="1287693"/>
    <m/>
    <m/>
    <m/>
  </r>
  <r>
    <x v="21"/>
    <x v="3"/>
    <s v="F:\images\20210420\plaque 2/@09 Arabinose 100 mg_L Dopé/D9_03.tif "/>
    <s v=" 21932.7132 "/>
    <s v=" 68.3895 "/>
    <x v="0"/>
    <n v="1499968"/>
    <m/>
    <m/>
    <m/>
  </r>
  <r>
    <x v="21"/>
    <x v="4"/>
    <s v="F:\images\20210420\plaque 2/@09 Arabinose 100 mg_L Dopé/E9_01.tif "/>
    <s v=" 7029.7158 "/>
    <s v=" 72.4154 "/>
    <x v="0"/>
    <n v="509060"/>
    <m/>
    <m/>
    <m/>
  </r>
  <r>
    <x v="21"/>
    <x v="4"/>
    <s v="F:\images\20210420\plaque 2/@09 Arabinose 100 mg_L Dopé/E9_02.tif "/>
    <s v=" 9365.7444 "/>
    <s v=" 76.7552 "/>
    <x v="0"/>
    <n v="718870"/>
    <m/>
    <m/>
    <m/>
  </r>
  <r>
    <x v="21"/>
    <x v="4"/>
    <s v="F:\images\20210420\plaque 2/@09 Arabinose 100 mg_L Dopé/E9_03- exclu.tif"/>
    <m/>
    <m/>
    <x v="1"/>
    <m/>
    <m/>
    <m/>
    <m/>
  </r>
  <r>
    <x v="21"/>
    <x v="5"/>
    <s v="F:\images\20210420\plaque 2/@09 Arabinose 100 mg_L Dopé/F9_01.tif "/>
    <s v=" 32942.3295 "/>
    <s v=" 68.5364 "/>
    <x v="0"/>
    <n v="2257750"/>
    <m/>
    <m/>
    <m/>
  </r>
  <r>
    <x v="21"/>
    <x v="5"/>
    <s v="F:\images\20210420\plaque 2/@09 Arabinose 100 mg_L Dopé/F9_02.tif "/>
    <s v=" 30087.1834 "/>
    <s v=" 68.3595 "/>
    <x v="0"/>
    <n v="2056743"/>
    <m/>
    <m/>
    <m/>
  </r>
  <r>
    <x v="21"/>
    <x v="5"/>
    <s v="F:\images\20210420\plaque 2/@09 Arabinose 100 mg_L Dopé/F9_03.tif "/>
    <s v=" 26691.29 "/>
    <s v=" 67.329 "/>
    <x v="0"/>
    <n v="1797098"/>
    <m/>
    <m/>
    <m/>
  </r>
  <r>
    <x v="21"/>
    <x v="6"/>
    <s v="F:\images\20210420\plaque 2/@09 Arabinose 100 mg_L Dopé/G9_01.tif "/>
    <s v=" 44687.3623 "/>
    <s v=" 70.7807 "/>
    <x v="0"/>
    <n v="3163004"/>
    <m/>
    <m/>
    <m/>
  </r>
  <r>
    <x v="21"/>
    <x v="6"/>
    <s v="F:\images\20210420\plaque 2/@09 Arabinose 100 mg_L Dopé/G9_02.tif "/>
    <s v=" 33310.0377 "/>
    <s v=" 69.6571 "/>
    <x v="0"/>
    <n v="2320282"/>
    <m/>
    <m/>
    <m/>
  </r>
  <r>
    <x v="21"/>
    <x v="6"/>
    <s v="F:\images\20210420\plaque 2/@09 Arabinose 100 mg_L Dopé/G9_03.tif "/>
    <s v=" 38501.2124 "/>
    <s v=" 70.5191 "/>
    <x v="0"/>
    <n v="2715071"/>
    <m/>
    <m/>
    <m/>
  </r>
  <r>
    <x v="21"/>
    <x v="7"/>
    <s v="F:\images\20210420\plaque 2/@09 Arabinose 100 mg_L Dopé/H9_01.tif "/>
    <s v=" 35581.1767 "/>
    <s v=" 68.507 "/>
    <x v="0"/>
    <n v="2437559"/>
    <m/>
    <m/>
    <m/>
  </r>
  <r>
    <x v="21"/>
    <x v="7"/>
    <s v="F:\images\20210420\plaque 2/@09 Arabinose 100 mg_L Dopé/H9_02.tif "/>
    <s v=" 30800.97 "/>
    <s v=" 68.8062 "/>
    <x v="0"/>
    <n v="2119297"/>
    <m/>
    <m/>
    <m/>
  </r>
  <r>
    <x v="21"/>
    <x v="7"/>
    <s v="F:\images\20210420\plaque 2/@09 Arabinose 100 mg_L Dopé/H9_03.tif "/>
    <s v=" 31709.4255 "/>
    <s v=" 69.839 "/>
    <x v="0"/>
    <n v="2214555"/>
    <m/>
    <m/>
    <m/>
  </r>
  <r>
    <x v="1"/>
    <x v="8"/>
    <s v=" "/>
    <m/>
    <m/>
    <x v="1"/>
    <m/>
    <m/>
    <m/>
    <m/>
  </r>
  <r>
    <x v="1"/>
    <x v="8"/>
    <s v="group "/>
    <s v=" "/>
    <s v=" mean of mean fluo "/>
    <x v="2"/>
    <s v=" mean of total fluo "/>
    <s v=" SD total fluo "/>
    <s v=" n fluorescent "/>
    <s v=" n total"/>
  </r>
  <r>
    <x v="21"/>
    <x v="9"/>
    <s v="F:\images\20210420\plaque 2/@09 Arabinose 100 mg_L Dopé/ "/>
    <s v=" "/>
    <s v=" 70.1071 "/>
    <x v="23"/>
    <s v=" 2205442.62 "/>
    <s v=" 825830.083 "/>
    <n v="24"/>
    <n v="24"/>
  </r>
  <r>
    <x v="1"/>
    <x v="8"/>
    <s v=" "/>
    <m/>
    <m/>
    <x v="1"/>
    <m/>
    <m/>
    <m/>
    <m/>
  </r>
  <r>
    <x v="1"/>
    <x v="8"/>
    <s v=" "/>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Q:\R&amp;D\2-Test oestrogénique\OECD and AOPs\REACTIV oecd interlaboratory validation\Results WF\Repeats for invalid experiments - EBO\2022-EBO-ARABINOSE R5\plaque 1/@01 TS/A1_01.tif "/>
    <s v=" 1196.4565 "/>
    <s v=" 66.2545 "/>
    <x v="0"/>
    <n v="79271"/>
    <m/>
    <m/>
    <m/>
  </r>
  <r>
    <x v="0"/>
    <x v="0"/>
    <s v="Q:\R&amp;D\2-Test oestrogénique\OECD and AOPs\REACTIV oecd interlaboratory validation\Results WF\Repeats for invalid experiments - EBO\2022-EBO-ARABINOSE R5\plaque 1/@01 TS/A1_02.tif "/>
    <s v=" 3698.1384 "/>
    <s v=" 67.6765 "/>
    <x v="0"/>
    <n v="250277"/>
    <m/>
    <m/>
    <m/>
  </r>
  <r>
    <x v="0"/>
    <x v="0"/>
    <s v="Q:\R&amp;D\2-Test oestrogénique\OECD and AOPs\REACTIV oecd interlaboratory validation\Results WF\Repeats for invalid experiments - EBO\2022-EBO-ARABINOSE R5\plaque 1/@01 TS/A1_03- exclu.tif"/>
    <m/>
    <m/>
    <x v="1"/>
    <m/>
    <m/>
    <m/>
    <m/>
  </r>
  <r>
    <x v="0"/>
    <x v="1"/>
    <s v="Q:\R&amp;D\2-Test oestrogénique\OECD and AOPs\REACTIV oecd interlaboratory validation\Results WF\Repeats for invalid experiments - EBO\2022-EBO-ARABINOSE R5\plaque 1/@01 TS/B1_01.tif "/>
    <s v=" 4176.721 "/>
    <s v=" 66.25 "/>
    <x v="0"/>
    <n v="276708"/>
    <m/>
    <m/>
    <m/>
  </r>
  <r>
    <x v="0"/>
    <x v="1"/>
    <s v="Q:\R&amp;D\2-Test oestrogénique\OECD and AOPs\REACTIV oecd interlaboratory validation\Results WF\Repeats for invalid experiments - EBO\2022-EBO-ARABINOSE R5\plaque 1/@01 TS/B1_02.tif "/>
    <s v=" 630.8589 "/>
    <s v=" 62.9655 "/>
    <x v="0"/>
    <n v="39722"/>
    <m/>
    <m/>
    <m/>
  </r>
  <r>
    <x v="0"/>
    <x v="1"/>
    <s v="Q:\R&amp;D\2-Test oestrogénique\OECD and AOPs\REACTIV oecd interlaboratory validation\Results WF\Repeats for invalid experiments - EBO\2022-EBO-ARABINOSE R5\plaque 1/@01 TS/B1_03.tif "/>
    <s v=" 2740.9731 "/>
    <s v=" 65.1111 "/>
    <x v="0"/>
    <n v="178468"/>
    <m/>
    <m/>
    <m/>
  </r>
  <r>
    <x v="0"/>
    <x v="2"/>
    <s v="Q:\R&amp;D\2-Test oestrogénique\OECD and AOPs\REACTIV oecd interlaboratory validation\Results WF\Repeats for invalid experiments - EBO\2022-EBO-ARABINOSE R5\plaque 1/@01 TS/C1_01.tif "/>
    <s v=" 4785.8261 "/>
    <s v=" 71.9727 "/>
    <x v="0"/>
    <n v="344449"/>
    <m/>
    <m/>
    <m/>
  </r>
  <r>
    <x v="0"/>
    <x v="2"/>
    <s v="Q:\R&amp;D\2-Test oestrogénique\OECD and AOPs\REACTIV oecd interlaboratory validation\Results WF\Repeats for invalid experiments - EBO\2022-EBO-ARABINOSE R5\plaque 1/@01 TS/C1_02.tif "/>
    <s v=" 4350.751 "/>
    <s v=" 68.36 "/>
    <x v="0"/>
    <n v="297417"/>
    <m/>
    <m/>
    <m/>
  </r>
  <r>
    <x v="0"/>
    <x v="2"/>
    <s v="Q:\R&amp;D\2-Test oestrogénique\OECD and AOPs\REACTIV oecd interlaboratory validation\Results WF\Repeats for invalid experiments - EBO\2022-EBO-ARABINOSE R5\plaque 1/@01 TS/C1_03- exclu.tif"/>
    <m/>
    <m/>
    <x v="1"/>
    <m/>
    <m/>
    <m/>
    <m/>
  </r>
  <r>
    <x v="0"/>
    <x v="3"/>
    <s v="Q:\R&amp;D\2-Test oestrogénique\OECD and AOPs\REACTIV oecd interlaboratory validation\Results WF\Repeats for invalid experiments - EBO\2022-EBO-ARABINOSE R5\plaque 1/@01 TS/D1_01.tif "/>
    <s v=" 1022.4265 "/>
    <s v=" 69.1064 "/>
    <x v="0"/>
    <n v="70656"/>
    <m/>
    <m/>
    <m/>
  </r>
  <r>
    <x v="0"/>
    <x v="3"/>
    <s v="Q:\R&amp;D\2-Test oestrogénique\OECD and AOPs\REACTIV oecd interlaboratory validation\Results WF\Repeats for invalid experiments - EBO\2022-EBO-ARABINOSE R5\plaque 1/@01 TS/D1_02.tif "/>
    <s v=" 413.3213 "/>
    <s v=" 62.3684 "/>
    <x v="0"/>
    <n v="25778"/>
    <m/>
    <m/>
    <m/>
  </r>
  <r>
    <x v="0"/>
    <x v="3"/>
    <s v="Q:\R&amp;D\2-Test oestrogénique\OECD and AOPs\REACTIV oecd interlaboratory validation\Results WF\Repeats for invalid experiments - EBO\2022-EBO-ARABINOSE R5\plaque 1/@01 TS/D1_03.tif "/>
    <s v=" 1022.4265 "/>
    <s v=" 65.6383 "/>
    <x v="0"/>
    <n v="67110"/>
    <m/>
    <m/>
    <m/>
  </r>
  <r>
    <x v="0"/>
    <x v="4"/>
    <s v="Q:\R&amp;D\2-Test oestrogénique\OECD and AOPs\REACTIV oecd interlaboratory validation\Results WF\Repeats for invalid experiments - EBO\2022-EBO-ARABINOSE R5\plaque 1/@01 TS/E1_01.tif "/>
    <s v=" 1239.964 "/>
    <s v=" 62.9649 "/>
    <x v="0"/>
    <n v="78074"/>
    <m/>
    <m/>
    <m/>
  </r>
  <r>
    <x v="0"/>
    <x v="4"/>
    <s v="Q:\R&amp;D\2-Test oestrogénique\OECD and AOPs\REACTIV oecd interlaboratory validation\Results WF\Repeats for invalid experiments - EBO\2022-EBO-ARABINOSE R5\plaque 1/@01 TS/E1_02.tif "/>
    <s v=" 2980.2644 "/>
    <s v=" 67.708 "/>
    <x v="0"/>
    <n v="201788"/>
    <m/>
    <m/>
    <m/>
  </r>
  <r>
    <x v="0"/>
    <x v="4"/>
    <s v="Q:\R&amp;D\2-Test oestrogénique\OECD and AOPs\REACTIV oecd interlaboratory validation\Results WF\Repeats for invalid experiments - EBO\2022-EBO-ARABINOSE R5\plaque 1/@01 TS/E1_03.tif "/>
    <s v=" 369.8138 "/>
    <s v=" 63.5294 "/>
    <x v="0"/>
    <n v="23494"/>
    <m/>
    <m/>
    <m/>
  </r>
  <r>
    <x v="0"/>
    <x v="5"/>
    <s v="Q:\R&amp;D\2-Test oestrogénique\OECD and AOPs\REACTIV oecd interlaboratory validation\Results WF\Repeats for invalid experiments - EBO\2022-EBO-ARABINOSE R5\plaque 1/@01 TS/F1_01- exclu.tif"/>
    <m/>
    <m/>
    <x v="1"/>
    <m/>
    <m/>
    <m/>
    <m/>
  </r>
  <r>
    <x v="0"/>
    <x v="5"/>
    <s v="Q:\R&amp;D\2-Test oestrogénique\OECD and AOPs\REACTIV oecd interlaboratory validation\Results WF\Repeats for invalid experiments - EBO\2022-EBO-ARABINOSE R5\plaque 1/@01 TS/F1_02- exclu.tif"/>
    <m/>
    <m/>
    <x v="1"/>
    <m/>
    <m/>
    <m/>
    <m/>
  </r>
  <r>
    <x v="0"/>
    <x v="5"/>
    <s v="Q:\R&amp;D\2-Test oestrogénique\OECD and AOPs\REACTIV oecd interlaboratory validation\Results WF\Repeats for invalid experiments - EBO\2022-EBO-ARABINOSE R5\plaque 1/@01 TS/F1_03- exclu.tif"/>
    <m/>
    <m/>
    <x v="1"/>
    <m/>
    <m/>
    <m/>
    <m/>
  </r>
  <r>
    <x v="0"/>
    <x v="6"/>
    <s v="Q:\R&amp;D\2-Test oestrogénique\OECD and AOPs\REACTIV oecd interlaboratory validation\Results WF\Repeats for invalid experiments - EBO\2022-EBO-ARABINOSE R5\plaque 1/@01 TS/G1_01.tif "/>
    <s v=" 2240.6368 "/>
    <s v=" 65.2136 "/>
    <x v="0"/>
    <n v="146120"/>
    <m/>
    <m/>
    <m/>
  </r>
  <r>
    <x v="0"/>
    <x v="6"/>
    <s v="Q:\R&amp;D\2-Test oestrogénique\OECD and AOPs\REACTIV oecd interlaboratory validation\Results WF\Repeats for invalid experiments - EBO\2022-EBO-ARABINOSE R5\plaque 1/@01 TS/G1_02.tif "/>
    <s v=" 391.5676 "/>
    <s v=" 65.3889 "/>
    <x v="0"/>
    <n v="25604"/>
    <m/>
    <m/>
    <m/>
  </r>
  <r>
    <x v="0"/>
    <x v="6"/>
    <s v="Q:\R&amp;D\2-Test oestrogénique\OECD and AOPs\REACTIV oecd interlaboratory validation\Results WF\Repeats for invalid experiments - EBO\2022-EBO-ARABINOSE R5\plaque 1/@01 TS/G1_03- exclu.tif"/>
    <m/>
    <m/>
    <x v="1"/>
    <m/>
    <m/>
    <m/>
    <m/>
  </r>
  <r>
    <x v="0"/>
    <x v="7"/>
    <s v="Q:\R&amp;D\2-Test oestrogénique\OECD and AOPs\REACTIV oecd interlaboratory validation\Results WF\Repeats for invalid experiments - EBO\2022-EBO-ARABINOSE R5\plaque 1/@01 TS/H1_01- exclu.tif"/>
    <m/>
    <m/>
    <x v="1"/>
    <m/>
    <m/>
    <m/>
    <m/>
  </r>
  <r>
    <x v="0"/>
    <x v="7"/>
    <s v="Q:\R&amp;D\2-Test oestrogénique\OECD and AOPs\REACTIV oecd interlaboratory validation\Results WF\Repeats for invalid experiments - EBO\2022-EBO-ARABINOSE R5\plaque 1/@01 TS/H1_02.tif "/>
    <s v=" 130.5225 "/>
    <s v=" 63.1667 "/>
    <x v="0"/>
    <n v="8245"/>
    <m/>
    <m/>
    <m/>
  </r>
  <r>
    <x v="0"/>
    <x v="7"/>
    <s v="Q:\R&amp;D\2-Test oestrogénique\OECD and AOPs\REACTIV oecd interlaboratory validation\Results WF\Repeats for invalid experiments - EBO\2022-EBO-ARABINOSE R5\plaque 1/@01 TS/H1_03.tif "/>
    <s v=" 195.7838 "/>
    <s v=" 64.5556 "/>
    <x v="0"/>
    <n v="12639"/>
    <m/>
    <m/>
    <m/>
  </r>
  <r>
    <x v="1"/>
    <x v="8"/>
    <s v=" "/>
    <m/>
    <m/>
    <x v="1"/>
    <m/>
    <m/>
    <m/>
    <m/>
  </r>
  <r>
    <x v="1"/>
    <x v="8"/>
    <s v="group "/>
    <s v=" "/>
    <s v=" mean of mean fluo "/>
    <x v="2"/>
    <s v=" mean of total fluo "/>
    <s v=" SD total fluo "/>
    <s v=" n fluorescent "/>
    <s v=" n total"/>
  </r>
  <r>
    <x v="0"/>
    <x v="9"/>
    <s v="Q:\R&amp;D\2-Test oestrogénique\OECD and AOPs\REACTIV oecd interlaboratory validation\Results WF\Repeats for invalid experiments - EBO\2022-EBO-ARABINOSE R5\plaque 1/@01 TS/ "/>
    <s v=" "/>
    <s v=" 65.1175 "/>
    <x v="3"/>
    <s v=" 101425.042 "/>
    <s v=" 105755.93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
    <x v="0"/>
    <s v="Q:\R&amp;D\2-Test oestrogénique\OECD and AOPs\REACTIV oecd interlaboratory validation\Results WF\Repeats for invalid experiments - EBO\2022-EBO-ARABINOSE R5\plaque 1/@02 EE2 34/A2_01.tif "/>
    <s v=" 4720.5648 "/>
    <s v=" 67.0645 "/>
    <x v="0"/>
    <n v="316582"/>
    <m/>
    <m/>
    <m/>
  </r>
  <r>
    <x v="2"/>
    <x v="0"/>
    <s v="Q:\R&amp;D\2-Test oestrogénique\OECD and AOPs\REACTIV oecd interlaboratory validation\Results WF\Repeats for invalid experiments - EBO\2022-EBO-ARABINOSE R5\plaque 1/@02 EE2 34/A2_02.tif "/>
    <s v=" 348.0601 "/>
    <s v=" 62.875 "/>
    <x v="0"/>
    <n v="21884"/>
    <m/>
    <m/>
    <m/>
  </r>
  <r>
    <x v="2"/>
    <x v="0"/>
    <s v="Q:\R&amp;D\2-Test oestrogénique\OECD and AOPs\REACTIV oecd interlaboratory validation\Results WF\Repeats for invalid experiments - EBO\2022-EBO-ARABINOSE R5\plaque 1/@02 EE2 34/A2_03- exclu.tif"/>
    <m/>
    <m/>
    <x v="1"/>
    <m/>
    <m/>
    <m/>
    <m/>
  </r>
  <r>
    <x v="2"/>
    <x v="1"/>
    <s v="Q:\R&amp;D\2-Test oestrogénique\OECD and AOPs\REACTIV oecd interlaboratory validation\Results WF\Repeats for invalid experiments - EBO\2022-EBO-ARABINOSE R5\plaque 1/@02 EE2 34/B2_01.tif "/>
    <s v=" 891.904 "/>
    <s v=" 63.3415 "/>
    <x v="0"/>
    <n v="56495"/>
    <m/>
    <m/>
    <m/>
  </r>
  <r>
    <x v="2"/>
    <x v="1"/>
    <s v="Q:\R&amp;D\2-Test oestrogénique\OECD and AOPs\REACTIV oecd interlaboratory validation\Results WF\Repeats for invalid experiments - EBO\2022-EBO-ARABINOSE R5\plaque 1/@02 EE2 34/B2_02- exclu.tif"/>
    <m/>
    <m/>
    <x v="1"/>
    <m/>
    <m/>
    <m/>
    <m/>
  </r>
  <r>
    <x v="2"/>
    <x v="1"/>
    <s v="Q:\R&amp;D\2-Test oestrogénique\OECD and AOPs\REACTIV oecd interlaboratory validation\Results WF\Repeats for invalid experiments - EBO\2022-EBO-ARABINOSE R5\plaque 1/@02 EE2 34/B2_03.tif "/>
    <s v=" 761.3814 "/>
    <s v=" 63.6571 "/>
    <x v="0"/>
    <n v="48467"/>
    <m/>
    <m/>
    <m/>
  </r>
  <r>
    <x v="2"/>
    <x v="2"/>
    <s v="Q:\R&amp;D\2-Test oestrogénique\OECD and AOPs\REACTIV oecd interlaboratory validation\Results WF\Repeats for invalid experiments - EBO\2022-EBO-ARABINOSE R5\plaque 1/@02 EE2 34/C2_01.tif "/>
    <s v=" 8396.9494 "/>
    <s v=" 72.2668 "/>
    <x v="0"/>
    <n v="606821"/>
    <m/>
    <m/>
    <m/>
  </r>
  <r>
    <x v="2"/>
    <x v="2"/>
    <s v="Q:\R&amp;D\2-Test oestrogénique\OECD and AOPs\REACTIV oecd interlaboratory validation\Results WF\Repeats for invalid experiments - EBO\2022-EBO-ARABINOSE R5\plaque 1/@02 EE2 34/C2_02- exclu.tif"/>
    <m/>
    <m/>
    <x v="1"/>
    <m/>
    <m/>
    <m/>
    <m/>
  </r>
  <r>
    <x v="2"/>
    <x v="2"/>
    <s v="Q:\R&amp;D\2-Test oestrogénique\OECD and AOPs\REACTIV oecd interlaboratory validation\Results WF\Repeats for invalid experiments - EBO\2022-EBO-ARABINOSE R5\plaque 1/@02 EE2 34/C2_03.tif "/>
    <s v=" 6330.3427 "/>
    <s v=" 70.0619 "/>
    <x v="0"/>
    <n v="443516"/>
    <m/>
    <m/>
    <m/>
  </r>
  <r>
    <x v="2"/>
    <x v="3"/>
    <s v="Q:\R&amp;D\2-Test oestrogénique\OECD and AOPs\REACTIV oecd interlaboratory validation\Results WF\Repeats for invalid experiments - EBO\2022-EBO-ARABINOSE R5\plaque 1/@02 EE2 34/D2_01.tif "/>
    <s v=" 3632.8771 "/>
    <s v=" 67.6407 "/>
    <x v="0"/>
    <n v="245730"/>
    <m/>
    <m/>
    <m/>
  </r>
  <r>
    <x v="2"/>
    <x v="3"/>
    <s v="Q:\R&amp;D\2-Test oestrogénique\OECD and AOPs\REACTIV oecd interlaboratory validation\Results WF\Repeats for invalid experiments - EBO\2022-EBO-ARABINOSE R5\plaque 1/@02 EE2 34/D2_02.tif "/>
    <s v=" 239.2913 "/>
    <s v=" 63.9091 "/>
    <x v="0"/>
    <n v="15293"/>
    <m/>
    <m/>
    <m/>
  </r>
  <r>
    <x v="2"/>
    <x v="3"/>
    <s v="Q:\R&amp;D\2-Test oestrogénique\OECD and AOPs\REACTIV oecd interlaboratory validation\Results WF\Repeats for invalid experiments - EBO\2022-EBO-ARABINOSE R5\plaque 1/@02 EE2 34/D2_03.tif "/>
    <s v=" 369.8138 "/>
    <s v=" 63.9412 "/>
    <x v="0"/>
    <n v="23646"/>
    <m/>
    <m/>
    <m/>
  </r>
  <r>
    <x v="2"/>
    <x v="4"/>
    <s v="Q:\R&amp;D\2-Test oestrogénique\OECD and AOPs\REACTIV oecd interlaboratory validation\Results WF\Repeats for invalid experiments - EBO\2022-EBO-ARABINOSE R5\plaque 1/@02 EE2 34/E2_01.tif "/>
    <s v=" 304.5526 "/>
    <s v=" 69.2143 "/>
    <x v="0"/>
    <n v="21079"/>
    <m/>
    <m/>
    <m/>
  </r>
  <r>
    <x v="2"/>
    <x v="4"/>
    <s v="Q:\R&amp;D\2-Test oestrogénique\OECD and AOPs\REACTIV oecd interlaboratory validation\Results WF\Repeats for invalid experiments - EBO\2022-EBO-ARABINOSE R5\plaque 1/@02 EE2 34/E2_02- exclu.tif"/>
    <m/>
    <m/>
    <x v="1"/>
    <m/>
    <m/>
    <m/>
    <m/>
  </r>
  <r>
    <x v="2"/>
    <x v="4"/>
    <s v="Q:\R&amp;D\2-Test oestrogénique\OECD and AOPs\REACTIV oecd interlaboratory validation\Results WF\Repeats for invalid experiments - EBO\2022-EBO-ARABINOSE R5\plaque 1/@02 EE2 34/E2_03- exclu.tif"/>
    <m/>
    <m/>
    <x v="1"/>
    <m/>
    <m/>
    <m/>
    <m/>
  </r>
  <r>
    <x v="2"/>
    <x v="5"/>
    <s v="Q:\R&amp;D\2-Test oestrogénique\OECD and AOPs\REACTIV oecd interlaboratory validation\Results WF\Repeats for invalid experiments - EBO\2022-EBO-ARABINOSE R5\plaque 1/@02 EE2 34/F2_01- exclu.tif"/>
    <m/>
    <m/>
    <x v="1"/>
    <m/>
    <m/>
    <m/>
    <m/>
  </r>
  <r>
    <x v="2"/>
    <x v="5"/>
    <s v="Q:\R&amp;D\2-Test oestrogénique\OECD and AOPs\REACTIV oecd interlaboratory validation\Results WF\Repeats for invalid experiments - EBO\2022-EBO-ARABINOSE R5\plaque 1/@02 EE2 34/F2_02.tif "/>
    <s v=" 587.3514 "/>
    <s v=" 63.2593 "/>
    <x v="0"/>
    <n v="37155"/>
    <m/>
    <m/>
    <m/>
  </r>
  <r>
    <x v="2"/>
    <x v="5"/>
    <s v="Q:\R&amp;D\2-Test oestrogénique\OECD and AOPs\REACTIV oecd interlaboratory validation\Results WF\Repeats for invalid experiments - EBO\2022-EBO-ARABINOSE R5\plaque 1/@02 EE2 34/F2_03.tif "/>
    <s v=" 369.8138 "/>
    <s v=" 63.1765 "/>
    <x v="0"/>
    <n v="23364"/>
    <m/>
    <m/>
    <m/>
  </r>
  <r>
    <x v="2"/>
    <x v="6"/>
    <s v="Q:\R&amp;D\2-Test oestrogénique\OECD and AOPs\REACTIV oecd interlaboratory validation\Results WF\Repeats for invalid experiments - EBO\2022-EBO-ARABINOSE R5\plaque 1/@02 EE2 34/G2_01.tif "/>
    <s v=" 152.2763 "/>
    <s v=" 63.1429 "/>
    <x v="0"/>
    <n v="9615"/>
    <m/>
    <m/>
    <m/>
  </r>
  <r>
    <x v="2"/>
    <x v="6"/>
    <s v="Q:\R&amp;D\2-Test oestrogénique\OECD and AOPs\REACTIV oecd interlaboratory validation\Results WF\Repeats for invalid experiments - EBO\2022-EBO-ARABINOSE R5\plaque 1/@02 EE2 34/G2_02.tif "/>
    <s v=" 1827.3154 "/>
    <s v=" 65.0119 "/>
    <x v="0"/>
    <n v="118797"/>
    <m/>
    <m/>
    <m/>
  </r>
  <r>
    <x v="2"/>
    <x v="6"/>
    <s v="Q:\R&amp;D\2-Test oestrogénique\OECD and AOPs\REACTIV oecd interlaboratory validation\Results WF\Repeats for invalid experiments - EBO\2022-EBO-ARABINOSE R5\plaque 1/@02 EE2 34/G2_03.tif "/>
    <s v=" 2110.1142 "/>
    <s v=" 65.0309 "/>
    <x v="0"/>
    <n v="137223"/>
    <m/>
    <m/>
    <m/>
  </r>
  <r>
    <x v="2"/>
    <x v="7"/>
    <s v="Q:\R&amp;D\2-Test oestrogénique\OECD and AOPs\REACTIV oecd interlaboratory validation\Results WF\Repeats for invalid experiments - EBO\2022-EBO-ARABINOSE R5\plaque 1/@02 EE2 34/H2_01.tif "/>
    <s v=" 152.2763 "/>
    <s v=" 65.7143 "/>
    <x v="0"/>
    <n v="10007"/>
    <m/>
    <m/>
    <m/>
  </r>
  <r>
    <x v="2"/>
    <x v="7"/>
    <s v="Q:\R&amp;D\2-Test oestrogénique\OECD and AOPs\REACTIV oecd interlaboratory validation\Results WF\Repeats for invalid experiments - EBO\2022-EBO-ARABINOSE R5\plaque 1/@02 EE2 34/H2_02.tif "/>
    <s v=" 195.7838 "/>
    <s v=" 63.4444 "/>
    <x v="0"/>
    <n v="12421"/>
    <m/>
    <m/>
    <m/>
  </r>
  <r>
    <x v="2"/>
    <x v="7"/>
    <s v="Q:\R&amp;D\2-Test oestrogénique\OECD and AOPs\REACTIV oecd interlaboratory validation\Results WF\Repeats for invalid experiments - EBO\2022-EBO-ARABINOSE R5\plaque 1/@02 EE2 34/H2_03.tif "/>
    <s v=" 239.2913 "/>
    <s v=" 64.9091 "/>
    <x v="0"/>
    <n v="15532"/>
    <m/>
    <m/>
    <m/>
  </r>
  <r>
    <x v="1"/>
    <x v="8"/>
    <s v=" "/>
    <m/>
    <m/>
    <x v="1"/>
    <m/>
    <m/>
    <m/>
    <m/>
  </r>
  <r>
    <x v="1"/>
    <x v="8"/>
    <s v="group "/>
    <s v=" "/>
    <s v=" mean of mean fluo "/>
    <x v="2"/>
    <s v=" mean of total fluo "/>
    <s v=" SD total fluo "/>
    <s v=" n fluorescent "/>
    <s v=" n total"/>
  </r>
  <r>
    <x v="2"/>
    <x v="9"/>
    <s v="Q:\R&amp;D\2-Test oestrogénique\OECD and AOPs\REACTIV oecd interlaboratory validation\Results WF\Repeats for invalid experiments - EBO\2022-EBO-ARABINOSE R5\plaque 1/@02 EE2 34/ "/>
    <s v=" "/>
    <s v=" 65.1686 "/>
    <x v="4"/>
    <s v=" 94688.5833 "/>
    <s v=" 155570.93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3"/>
    <x v="0"/>
    <s v="Q:\R&amp;D\2-Test oestrogénique\OECD and AOPs\REACTIV oecd interlaboratory validation\Results WF\Repeats for invalid experiments - EBO\2022-EBO-ARABINOSE R5\plaque 1/@03 EE2 51/A3_01- exclu.tif"/>
    <m/>
    <m/>
    <x v="1"/>
    <m/>
    <m/>
    <m/>
    <m/>
  </r>
  <r>
    <x v="3"/>
    <x v="0"/>
    <s v="Q:\R&amp;D\2-Test oestrogénique\OECD and AOPs\REACTIV oecd interlaboratory validation\Results WF\Repeats for invalid experiments - EBO\2022-EBO-ARABINOSE R5\plaque 1/@03 EE2 51/A3_02- exclu.tif"/>
    <m/>
    <m/>
    <x v="1"/>
    <m/>
    <m/>
    <m/>
    <m/>
  </r>
  <r>
    <x v="3"/>
    <x v="0"/>
    <s v="Q:\R&amp;D\2-Test oestrogénique\OECD and AOPs\REACTIV oecd interlaboratory validation\Results WF\Repeats for invalid experiments - EBO\2022-EBO-ARABINOSE R5\plaque 1/@03 EE2 51/A3_03- exclu.tif"/>
    <m/>
    <m/>
    <x v="1"/>
    <m/>
    <m/>
    <m/>
    <m/>
  </r>
  <r>
    <x v="3"/>
    <x v="1"/>
    <s v="Q:\R&amp;D\2-Test oestrogénique\OECD and AOPs\REACTIV oecd interlaboratory validation\Results WF\Repeats for invalid experiments - EBO\2022-EBO-ARABINOSE R5\plaque 1/@03 EE2 51/B3_01- exclu.tif"/>
    <m/>
    <m/>
    <x v="1"/>
    <m/>
    <m/>
    <m/>
    <m/>
  </r>
  <r>
    <x v="3"/>
    <x v="1"/>
    <s v="Q:\R&amp;D\2-Test oestrogénique\OECD and AOPs\REACTIV oecd interlaboratory validation\Results WF\Repeats for invalid experiments - EBO\2022-EBO-ARABINOSE R5\plaque 1/@03 EE2 51/B3_02- exclu.tif"/>
    <m/>
    <m/>
    <x v="1"/>
    <m/>
    <m/>
    <m/>
    <m/>
  </r>
  <r>
    <x v="3"/>
    <x v="1"/>
    <s v="Q:\R&amp;D\2-Test oestrogénique\OECD and AOPs\REACTIV oecd interlaboratory validation\Results WF\Repeats for invalid experiments - EBO\2022-EBO-ARABINOSE R5\plaque 1/@03 EE2 51/B3_03.tif "/>
    <s v=" 2719.2194 "/>
    <s v=" 64.168 "/>
    <x v="0"/>
    <n v="174487"/>
    <m/>
    <m/>
    <m/>
  </r>
  <r>
    <x v="3"/>
    <x v="2"/>
    <s v="Q:\R&amp;D\2-Test oestrogénique\OECD and AOPs\REACTIV oecd interlaboratory validation\Results WF\Repeats for invalid experiments - EBO\2022-EBO-ARABINOSE R5\plaque 1/@03 EE2 51/C3_01.tif "/>
    <s v=" 217.5376 "/>
    <s v=" 65.8 "/>
    <x v="0"/>
    <n v="14314"/>
    <m/>
    <m/>
    <m/>
  </r>
  <r>
    <x v="3"/>
    <x v="2"/>
    <s v="Q:\R&amp;D\2-Test oestrogénique\OECD and AOPs\REACTIV oecd interlaboratory validation\Results WF\Repeats for invalid experiments - EBO\2022-EBO-ARABINOSE R5\plaque 1/@03 EE2 51/C3_02.tif "/>
    <s v=" 739.6277 "/>
    <s v=" 63.8824 "/>
    <x v="0"/>
    <n v="47249"/>
    <m/>
    <m/>
    <m/>
  </r>
  <r>
    <x v="3"/>
    <x v="2"/>
    <s v="Q:\R&amp;D\2-Test oestrogénique\OECD and AOPs\REACTIV oecd interlaboratory validation\Results WF\Repeats for invalid experiments - EBO\2022-EBO-ARABINOSE R5\plaque 1/@03 EE2 51/C3_03- exclu.tif"/>
    <m/>
    <m/>
    <x v="1"/>
    <m/>
    <m/>
    <m/>
    <m/>
  </r>
  <r>
    <x v="3"/>
    <x v="3"/>
    <s v="Q:\R&amp;D\2-Test oestrogénique\OECD and AOPs\REACTIV oecd interlaboratory validation\Results WF\Repeats for invalid experiments - EBO\2022-EBO-ARABINOSE R5\plaque 1/@03 EE2 51/D3_01.tif "/>
    <s v=" 304.5526 "/>
    <s v=" 65.8571 "/>
    <x v="0"/>
    <n v="20057"/>
    <m/>
    <m/>
    <m/>
  </r>
  <r>
    <x v="3"/>
    <x v="3"/>
    <s v="Q:\R&amp;D\2-Test oestrogénique\OECD and AOPs\REACTIV oecd interlaboratory validation\Results WF\Repeats for invalid experiments - EBO\2022-EBO-ARABINOSE R5\plaque 1/@03 EE2 51/D3_02.tif "/>
    <s v=" 261.0451 "/>
    <s v=" 64.9167 "/>
    <x v="0"/>
    <n v="16946"/>
    <m/>
    <m/>
    <m/>
  </r>
  <r>
    <x v="3"/>
    <x v="3"/>
    <s v="Q:\R&amp;D\2-Test oestrogénique\OECD and AOPs\REACTIV oecd interlaboratory validation\Results WF\Repeats for invalid experiments - EBO\2022-EBO-ARABINOSE R5\plaque 1/@03 EE2 51/D3_03.tif "/>
    <s v=" 326.3063 "/>
    <s v=" 64.2667 "/>
    <x v="0"/>
    <n v="20971"/>
    <m/>
    <m/>
    <m/>
  </r>
  <r>
    <x v="3"/>
    <x v="4"/>
    <s v="Q:\R&amp;D\2-Test oestrogénique\OECD and AOPs\REACTIV oecd interlaboratory validation\Results WF\Repeats for invalid experiments - EBO\2022-EBO-ARABINOSE R5\plaque 1/@03 EE2 51/E3_01- exclu.tif"/>
    <m/>
    <m/>
    <x v="1"/>
    <m/>
    <m/>
    <m/>
    <m/>
  </r>
  <r>
    <x v="3"/>
    <x v="4"/>
    <s v="Q:\R&amp;D\2-Test oestrogénique\OECD and AOPs\REACTIV oecd interlaboratory validation\Results WF\Repeats for invalid experiments - EBO\2022-EBO-ARABINOSE R5\plaque 1/@03 EE2 51/E3_02.tif "/>
    <s v=" 2262.3905 "/>
    <s v=" 65.6635 "/>
    <x v="0"/>
    <n v="148556"/>
    <m/>
    <m/>
    <m/>
  </r>
  <r>
    <x v="3"/>
    <x v="4"/>
    <s v="Q:\R&amp;D\2-Test oestrogénique\OECD and AOPs\REACTIV oecd interlaboratory validation\Results WF\Repeats for invalid experiments - EBO\2022-EBO-ARABINOSE R5\plaque 1/@03 EE2 51/E3_03- exclu.tif"/>
    <m/>
    <m/>
    <x v="1"/>
    <m/>
    <m/>
    <m/>
    <m/>
  </r>
  <r>
    <x v="3"/>
    <x v="5"/>
    <s v="Q:\R&amp;D\2-Test oestrogénique\OECD and AOPs\REACTIV oecd interlaboratory validation\Results WF\Repeats for invalid experiments - EBO\2022-EBO-ARABINOSE R5\plaque 1/@03 EE2 51/F3_01- exclu.tif"/>
    <m/>
    <m/>
    <x v="1"/>
    <m/>
    <m/>
    <m/>
    <m/>
  </r>
  <r>
    <x v="3"/>
    <x v="5"/>
    <s v="Q:\R&amp;D\2-Test oestrogénique\OECD and AOPs\REACTIV oecd interlaboratory validation\Results WF\Repeats for invalid experiments - EBO\2022-EBO-ARABINOSE R5\plaque 1/@03 EE2 51/F3_02.tif "/>
    <s v=" 543.8439 "/>
    <s v=" 62.6 "/>
    <x v="0"/>
    <n v="34045"/>
    <m/>
    <m/>
    <m/>
  </r>
  <r>
    <x v="3"/>
    <x v="5"/>
    <s v="Q:\R&amp;D\2-Test oestrogénique\OECD and AOPs\REACTIV oecd interlaboratory validation\Results WF\Repeats for invalid experiments - EBO\2022-EBO-ARABINOSE R5\plaque 1/@03 EE2 51/F3_03.tif "/>
    <s v=" 435.0751 "/>
    <s v=" 62.7 "/>
    <x v="0"/>
    <n v="27279"/>
    <m/>
    <m/>
    <m/>
  </r>
  <r>
    <x v="3"/>
    <x v="6"/>
    <s v="Q:\R&amp;D\2-Test oestrogénique\OECD and AOPs\REACTIV oecd interlaboratory validation\Results WF\Repeats for invalid experiments - EBO\2022-EBO-ARABINOSE R5\plaque 1/@03 EE2 51/G3_01.tif "/>
    <s v=" 1631.5316 "/>
    <s v=" 64.9467 "/>
    <x v="0"/>
    <n v="105963"/>
    <m/>
    <m/>
    <m/>
  </r>
  <r>
    <x v="3"/>
    <x v="6"/>
    <s v="Q:\R&amp;D\2-Test oestrogénique\OECD and AOPs\REACTIV oecd interlaboratory validation\Results WF\Repeats for invalid experiments - EBO\2022-EBO-ARABINOSE R5\plaque 1/@03 EE2 51/G3_02.tif "/>
    <s v=" 1087.6878 "/>
    <s v=" 63.02 "/>
    <x v="0"/>
    <n v="68546"/>
    <m/>
    <m/>
    <m/>
  </r>
  <r>
    <x v="3"/>
    <x v="6"/>
    <s v="Q:\R&amp;D\2-Test oestrogénique\OECD and AOPs\REACTIV oecd interlaboratory validation\Results WF\Repeats for invalid experiments - EBO\2022-EBO-ARABINOSE R5\plaque 1/@03 EE2 51/G3_03.tif "/>
    <s v=" 217.5376 "/>
    <n v="63"/>
    <x v="0"/>
    <n v="13705"/>
    <m/>
    <m/>
    <m/>
  </r>
  <r>
    <x v="3"/>
    <x v="7"/>
    <s v="Q:\R&amp;D\2-Test oestrogénique\OECD and AOPs\REACTIV oecd interlaboratory validation\Results WF\Repeats for invalid experiments - EBO\2022-EBO-ARABINOSE R5\plaque 1/@03 EE2 51/H3_01- exclu.tif"/>
    <m/>
    <m/>
    <x v="1"/>
    <m/>
    <m/>
    <m/>
    <m/>
  </r>
  <r>
    <x v="3"/>
    <x v="7"/>
    <s v="Q:\R&amp;D\2-Test oestrogénique\OECD and AOPs\REACTIV oecd interlaboratory validation\Results WF\Repeats for invalid experiments - EBO\2022-EBO-ARABINOSE R5\plaque 1/@03 EE2 51/H3_02.tif "/>
    <s v=" 1783.8079 "/>
    <s v=" 63.9878 "/>
    <x v="0"/>
    <n v="114142"/>
    <m/>
    <m/>
    <m/>
  </r>
  <r>
    <x v="3"/>
    <x v="7"/>
    <s v="Q:\R&amp;D\2-Test oestrogénique\OECD and AOPs\REACTIV oecd interlaboratory validation\Results WF\Repeats for invalid experiments - EBO\2022-EBO-ARABINOSE R5\plaque 1/@03 EE2 51/H3_03.tif "/>
    <s v=" 2523.4356 "/>
    <s v=" 63.8362 "/>
    <x v="0"/>
    <n v="161087"/>
    <m/>
    <m/>
    <m/>
  </r>
  <r>
    <x v="1"/>
    <x v="8"/>
    <s v=" "/>
    <m/>
    <m/>
    <x v="1"/>
    <m/>
    <m/>
    <m/>
    <m/>
  </r>
  <r>
    <x v="1"/>
    <x v="8"/>
    <s v="group "/>
    <s v=" "/>
    <s v=" mean of mean fluo "/>
    <x v="2"/>
    <s v=" mean of total fluo "/>
    <s v=" SD total fluo "/>
    <s v=" n fluorescent "/>
    <s v=" n total"/>
  </r>
  <r>
    <x v="3"/>
    <x v="9"/>
    <s v="Q:\R&amp;D\2-Test oestrogénique\OECD and AOPs\REACTIV oecd interlaboratory validation\Results WF\Repeats for invalid experiments - EBO\2022-EBO-ARABINOSE R5\plaque 1/@03 EE2 51/ "/>
    <s v=" "/>
    <s v=" 65.337 "/>
    <x v="5"/>
    <n v="335540"/>
    <s v=" 683349.784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4"/>
    <x v="0"/>
    <s v="Q:\R&amp;D\2-Test oestrogénique\OECD and AOPs\REACTIV oecd interlaboratory validation\Results WF\Repeats for invalid experiments - EBO\2022-EBO-ARABINOSE R5\plaque 1/@04 EE2 76/A4_01.tif "/>
    <s v=" 3741.6459 "/>
    <s v=" 65.7209 "/>
    <x v="0"/>
    <n v="245904"/>
    <m/>
    <m/>
    <m/>
  </r>
  <r>
    <x v="4"/>
    <x v="0"/>
    <s v="Q:\R&amp;D\2-Test oestrogénique\OECD and AOPs\REACTIV oecd interlaboratory validation\Results WF\Repeats for invalid experiments - EBO\2022-EBO-ARABINOSE R5\plaque 1/@04 EE2 76/A4_02.tif "/>
    <s v=" 4067.9522 "/>
    <s v=" 63.3904 "/>
    <x v="0"/>
    <n v="257869"/>
    <m/>
    <m/>
    <m/>
  </r>
  <r>
    <x v="4"/>
    <x v="0"/>
    <s v="Q:\R&amp;D\2-Test oestrogénique\OECD and AOPs\REACTIV oecd interlaboratory validation\Results WF\Repeats for invalid experiments - EBO\2022-EBO-ARABINOSE R5\plaque 1/@04 EE2 76/A4_03- exclu.tif"/>
    <m/>
    <m/>
    <x v="1"/>
    <m/>
    <m/>
    <m/>
    <m/>
  </r>
  <r>
    <x v="4"/>
    <x v="1"/>
    <s v="Q:\R&amp;D\2-Test oestrogénique\OECD and AOPs\REACTIV oecd interlaboratory validation\Results WF\Repeats for invalid experiments - EBO\2022-EBO-ARABINOSE R5\plaque 1/@04 EE2 76/B4_01- exclu.tif"/>
    <m/>
    <m/>
    <x v="1"/>
    <m/>
    <m/>
    <m/>
    <m/>
  </r>
  <r>
    <x v="4"/>
    <x v="1"/>
    <s v="Q:\R&amp;D\2-Test oestrogénique\OECD and AOPs\REACTIV oecd interlaboratory validation\Results WF\Repeats for invalid experiments - EBO\2022-EBO-ARABINOSE R5\plaque 1/@04 EE2 76/B4_02- exclu.tif"/>
    <m/>
    <m/>
    <x v="1"/>
    <m/>
    <m/>
    <m/>
    <m/>
  </r>
  <r>
    <x v="4"/>
    <x v="1"/>
    <s v="Q:\R&amp;D\2-Test oestrogénique\OECD and AOPs\REACTIV oecd interlaboratory validation\Results WF\Repeats for invalid experiments - EBO\2022-EBO-ARABINOSE R5\plaque 1/@04 EE2 76/B4_03- exclu.tif"/>
    <m/>
    <m/>
    <x v="1"/>
    <m/>
    <m/>
    <m/>
    <m/>
  </r>
  <r>
    <x v="4"/>
    <x v="2"/>
    <s v="Q:\R&amp;D\2-Test oestrogénique\OECD and AOPs\REACTIV oecd interlaboratory validation\Results WF\Repeats for invalid experiments - EBO\2022-EBO-ARABINOSE R5\plaque 1/@04 EE2 76/C4_01.tif "/>
    <s v=" 1675.0391 "/>
    <s v=" 64.6234 "/>
    <x v="0"/>
    <n v="108247"/>
    <m/>
    <m/>
    <m/>
  </r>
  <r>
    <x v="4"/>
    <x v="2"/>
    <s v="Q:\R&amp;D\2-Test oestrogénique\OECD and AOPs\REACTIV oecd interlaboratory validation\Results WF\Repeats for invalid experiments - EBO\2022-EBO-ARABINOSE R5\plaque 1/@04 EE2 76/C4_02.tif "/>
    <s v=" 1566.2704 "/>
    <s v=" 63.375 "/>
    <x v="0"/>
    <n v="99262"/>
    <m/>
    <m/>
    <m/>
  </r>
  <r>
    <x v="4"/>
    <x v="2"/>
    <s v="Q:\R&amp;D\2-Test oestrogénique\OECD and AOPs\REACTIV oecd interlaboratory validation\Results WF\Repeats for invalid experiments - EBO\2022-EBO-ARABINOSE R5\plaque 1/@04 EE2 76/C4_03- exclu.tif"/>
    <m/>
    <m/>
    <x v="1"/>
    <m/>
    <m/>
    <m/>
    <m/>
  </r>
  <r>
    <x v="4"/>
    <x v="3"/>
    <s v="Q:\R&amp;D\2-Test oestrogénique\OECD and AOPs\REACTIV oecd interlaboratory validation\Results WF\Repeats for invalid experiments - EBO\2022-EBO-ARABINOSE R5\plaque 1/@04 EE2 76/D4_01- exclu.tif"/>
    <m/>
    <m/>
    <x v="1"/>
    <m/>
    <m/>
    <m/>
    <m/>
  </r>
  <r>
    <x v="4"/>
    <x v="3"/>
    <s v="Q:\R&amp;D\2-Test oestrogénique\OECD and AOPs\REACTIV oecd interlaboratory validation\Results WF\Repeats for invalid experiments - EBO\2022-EBO-ARABINOSE R5\plaque 1/@04 EE2 76/D4_02.tif "/>
    <s v=" 456.8289 "/>
    <s v=" 61.9048 "/>
    <x v="0"/>
    <n v="28280"/>
    <m/>
    <m/>
    <m/>
  </r>
  <r>
    <x v="4"/>
    <x v="3"/>
    <s v="Q:\R&amp;D\2-Test oestrogénique\OECD and AOPs\REACTIV oecd interlaboratory validation\Results WF\Repeats for invalid experiments - EBO\2022-EBO-ARABINOSE R5\plaque 1/@04 EE2 76/D4_03- exclu.tif"/>
    <m/>
    <m/>
    <x v="1"/>
    <m/>
    <m/>
    <m/>
    <m/>
  </r>
  <r>
    <x v="4"/>
    <x v="4"/>
    <s v="Q:\R&amp;D\2-Test oestrogénique\OECD and AOPs\REACTIV oecd interlaboratory validation\Results WF\Repeats for invalid experiments - EBO\2022-EBO-ARABINOSE R5\plaque 1/@04 EE2 76/E4_01.tif "/>
    <s v=" 1239.964 "/>
    <s v=" 65.193 "/>
    <x v="0"/>
    <n v="80837"/>
    <m/>
    <m/>
    <m/>
  </r>
  <r>
    <x v="4"/>
    <x v="4"/>
    <s v="Q:\R&amp;D\2-Test oestrogénique\OECD and AOPs\REACTIV oecd interlaboratory validation\Results WF\Repeats for invalid experiments - EBO\2022-EBO-ARABINOSE R5\plaque 1/@04 EE2 76/E4_02- exclu.tif"/>
    <m/>
    <m/>
    <x v="1"/>
    <m/>
    <m/>
    <m/>
    <m/>
  </r>
  <r>
    <x v="4"/>
    <x v="4"/>
    <s v="Q:\R&amp;D\2-Test oestrogénique\OECD and AOPs\REACTIV oecd interlaboratory validation\Results WF\Repeats for invalid experiments - EBO\2022-EBO-ARABINOSE R5\plaque 1/@04 EE2 76/E4_03- exclu.tif"/>
    <m/>
    <m/>
    <x v="1"/>
    <m/>
    <m/>
    <m/>
    <m/>
  </r>
  <r>
    <x v="4"/>
    <x v="5"/>
    <s v="Q:\R&amp;D\2-Test oestrogénique\OECD and AOPs\REACTIV oecd interlaboratory validation\Results WF\Repeats for invalid experiments - EBO\2022-EBO-ARABINOSE R5\plaque 1/@04 EE2 76/F4_01.tif "/>
    <s v=" 13965.9107 "/>
    <s v=" 65.271 "/>
    <x v="0"/>
    <n v="911569"/>
    <m/>
    <m/>
    <m/>
  </r>
  <r>
    <x v="4"/>
    <x v="5"/>
    <s v="Q:\R&amp;D\2-Test oestrogénique\OECD and AOPs\REACTIV oecd interlaboratory validation\Results WF\Repeats for invalid experiments - EBO\2022-EBO-ARABINOSE R5\plaque 1/@04 EE2 76/F4_02- exclu.tif"/>
    <m/>
    <m/>
    <x v="1"/>
    <m/>
    <m/>
    <m/>
    <m/>
  </r>
  <r>
    <x v="4"/>
    <x v="5"/>
    <s v="Q:\R&amp;D\2-Test oestrogénique\OECD and AOPs\REACTIV oecd interlaboratory validation\Results WF\Repeats for invalid experiments - EBO\2022-EBO-ARABINOSE R5\plaque 1/@04 EE2 76/F4_03- exclu.tif"/>
    <m/>
    <m/>
    <x v="1"/>
    <m/>
    <m/>
    <m/>
    <m/>
  </r>
  <r>
    <x v="4"/>
    <x v="6"/>
    <s v="Q:\R&amp;D\2-Test oestrogénique\OECD and AOPs\REACTIV oecd interlaboratory validation\Results WF\Repeats for invalid experiments - EBO\2022-EBO-ARABINOSE R5\plaque 1/@04 EE2 76/G4_01.tif "/>
    <s v=" 6178.0664 "/>
    <s v=" 70.9648 "/>
    <x v="0"/>
    <n v="438425"/>
    <m/>
    <m/>
    <m/>
  </r>
  <r>
    <x v="4"/>
    <x v="6"/>
    <s v="Q:\R&amp;D\2-Test oestrogénique\OECD and AOPs\REACTIV oecd interlaboratory validation\Results WF\Repeats for invalid experiments - EBO\2022-EBO-ARABINOSE R5\plaque 1/@04 EE2 76/G4_02.tif "/>
    <s v=" 3654.6308 "/>
    <s v=" 66.4821 "/>
    <x v="0"/>
    <n v="242968"/>
    <m/>
    <m/>
    <m/>
  </r>
  <r>
    <x v="4"/>
    <x v="6"/>
    <s v="Q:\R&amp;D\2-Test oestrogénique\OECD and AOPs\REACTIV oecd interlaboratory validation\Results WF\Repeats for invalid experiments - EBO\2022-EBO-ARABINOSE R5\plaque 1/@04 EE2 76/G4_03.tif "/>
    <s v=" 3154.2945 "/>
    <s v=" 65.4897 "/>
    <x v="0"/>
    <n v="206574"/>
    <m/>
    <m/>
    <m/>
  </r>
  <r>
    <x v="4"/>
    <x v="7"/>
    <s v="Q:\R&amp;D\2-Test oestrogénique\OECD and AOPs\REACTIV oecd interlaboratory validation\Results WF\Repeats for invalid experiments - EBO\2022-EBO-ARABINOSE R5\plaque 1/@04 EE2 76/H4_01.tif "/>
    <s v=" 1000.6727 "/>
    <s v=" 64.1522 "/>
    <x v="0"/>
    <n v="64195"/>
    <m/>
    <m/>
    <m/>
  </r>
  <r>
    <x v="4"/>
    <x v="7"/>
    <s v="Q:\R&amp;D\2-Test oestrogénique\OECD and AOPs\REACTIV oecd interlaboratory validation\Results WF\Repeats for invalid experiments - EBO\2022-EBO-ARABINOSE R5\plaque 1/@04 EE2 76/H4_02.tif "/>
    <s v=" 391.5676 "/>
    <s v=" 63.9444 "/>
    <x v="0"/>
    <n v="25039"/>
    <m/>
    <m/>
    <m/>
  </r>
  <r>
    <x v="4"/>
    <x v="7"/>
    <s v="Q:\R&amp;D\2-Test oestrogénique\OECD and AOPs\REACTIV oecd interlaboratory validation\Results WF\Repeats for invalid experiments - EBO\2022-EBO-ARABINOSE R5\plaque 1/@04 EE2 76/H4_03.tif "/>
    <s v=" 522.0901 "/>
    <n v="63"/>
    <x v="0"/>
    <n v="32892"/>
    <m/>
    <m/>
    <m/>
  </r>
  <r>
    <x v="1"/>
    <x v="8"/>
    <s v=" "/>
    <m/>
    <m/>
    <x v="1"/>
    <m/>
    <m/>
    <m/>
    <m/>
  </r>
  <r>
    <x v="1"/>
    <x v="8"/>
    <s v="group "/>
    <s v=" "/>
    <s v=" mean of mean fluo "/>
    <x v="2"/>
    <s v=" mean of total fluo "/>
    <s v=" SD total fluo "/>
    <s v=" n fluorescent "/>
    <s v=" n total"/>
  </r>
  <r>
    <x v="4"/>
    <x v="9"/>
    <s v="Q:\R&amp;D\2-Test oestrogénique\OECD and AOPs\REACTIV oecd interlaboratory validation\Results WF\Repeats for invalid experiments - EBO\2022-EBO-ARABINOSE R5\plaque 1/@04 EE2 76/ "/>
    <s v=" "/>
    <s v=" 66.4077 "/>
    <x v="6"/>
    <s v=" 354656.042 "/>
    <s v=" 393378.21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5"/>
    <x v="0"/>
    <s v="Q:\R&amp;D\2-Test oestrogénique\OECD and AOPs\REACTIV oecd interlaboratory validation\Results WF\Repeats for invalid experiments - EBO\2022-EBO-ARABINOSE R5\plaque 1/@05 EE2 114/A10_01.tif "/>
    <s v=" 16054.2712 "/>
    <s v=" 67.622 "/>
    <x v="0"/>
    <n v="1085621"/>
    <m/>
    <m/>
    <m/>
  </r>
  <r>
    <x v="5"/>
    <x v="0"/>
    <s v="Q:\R&amp;D\2-Test oestrogénique\OECD and AOPs\REACTIV oecd interlaboratory validation\Results WF\Repeats for invalid experiments - EBO\2022-EBO-ARABINOSE R5\plaque 1/@05 EE2 114/A10_02- exclu.tif"/>
    <m/>
    <m/>
    <x v="1"/>
    <m/>
    <m/>
    <m/>
    <m/>
  </r>
  <r>
    <x v="5"/>
    <x v="0"/>
    <s v="Q:\R&amp;D\2-Test oestrogénique\OECD and AOPs\REACTIV oecd interlaboratory validation\Results WF\Repeats for invalid experiments - EBO\2022-EBO-ARABINOSE R5\plaque 1/@05 EE2 114/A10_03- exclu.tif"/>
    <m/>
    <m/>
    <x v="1"/>
    <m/>
    <m/>
    <m/>
    <m/>
  </r>
  <r>
    <x v="5"/>
    <x v="1"/>
    <s v="Q:\R&amp;D\2-Test oestrogénique\OECD and AOPs\REACTIV oecd interlaboratory validation\Results WF\Repeats for invalid experiments - EBO\2022-EBO-ARABINOSE R5\plaque 1/@05 EE2 114/B10_01.tif "/>
    <s v=" 4894.5949 "/>
    <s v=" 63.6044 "/>
    <x v="0"/>
    <n v="311318"/>
    <m/>
    <m/>
    <m/>
  </r>
  <r>
    <x v="5"/>
    <x v="1"/>
    <s v="Q:\R&amp;D\2-Test oestrogénique\OECD and AOPs\REACTIV oecd interlaboratory validation\Results WF\Repeats for invalid experiments - EBO\2022-EBO-ARABINOSE R5\plaque 1/@05 EE2 114/B10_02- exclu.tif"/>
    <m/>
    <m/>
    <x v="1"/>
    <m/>
    <m/>
    <m/>
    <m/>
  </r>
  <r>
    <x v="5"/>
    <x v="1"/>
    <s v="Q:\R&amp;D\2-Test oestrogénique\OECD and AOPs\REACTIV oecd interlaboratory validation\Results WF\Repeats for invalid experiments - EBO\2022-EBO-ARABINOSE R5\plaque 1/@05 EE2 114/B10_03.tif "/>
    <s v=" 4568.2886 "/>
    <s v=" 64.4857 "/>
    <x v="0"/>
    <n v="294589"/>
    <m/>
    <m/>
    <m/>
  </r>
  <r>
    <x v="5"/>
    <x v="2"/>
    <s v="Q:\R&amp;D\2-Test oestrogénique\OECD and AOPs\REACTIV oecd interlaboratory validation\Results WF\Repeats for invalid experiments - EBO\2022-EBO-ARABINOSE R5\plaque 1/@05 EE2 114/C10_01.tif "/>
    <s v=" 12834.7155 "/>
    <s v=" 65.7153 "/>
    <x v="0"/>
    <n v="843437"/>
    <m/>
    <m/>
    <m/>
  </r>
  <r>
    <x v="5"/>
    <x v="2"/>
    <s v="Q:\R&amp;D\2-Test oestrogénique\OECD and AOPs\REACTIV oecd interlaboratory validation\Results WF\Repeats for invalid experiments - EBO\2022-EBO-ARABINOSE R5\plaque 1/@05 EE2 114/C10_02.tif "/>
    <s v=" 10833.37 "/>
    <s v=" 64.5542 "/>
    <x v="0"/>
    <n v="699340"/>
    <m/>
    <m/>
    <m/>
  </r>
  <r>
    <x v="5"/>
    <x v="2"/>
    <s v="Q:\R&amp;D\2-Test oestrogénique\OECD and AOPs\REACTIV oecd interlaboratory validation\Results WF\Repeats for invalid experiments - EBO\2022-EBO-ARABINOSE R5\plaque 1/@05 EE2 114/C10_03.tif "/>
    <s v=" 10768.1087 "/>
    <s v=" 64.8323 "/>
    <x v="0"/>
    <n v="698122"/>
    <m/>
    <m/>
    <m/>
  </r>
  <r>
    <x v="5"/>
    <x v="3"/>
    <s v="Q:\R&amp;D\2-Test oestrogénique\OECD and AOPs\REACTIV oecd interlaboratory validation\Results WF\Repeats for invalid experiments - EBO\2022-EBO-ARABINOSE R5\plaque 1/@05 EE2 114/D10_01.tif "/>
    <s v=" 23994.3918 "/>
    <s v=" 67.0743 "/>
    <x v="0"/>
    <n v="1609408"/>
    <m/>
    <m/>
    <m/>
  </r>
  <r>
    <x v="5"/>
    <x v="3"/>
    <s v="Q:\R&amp;D\2-Test oestrogénique\OECD and AOPs\REACTIV oecd interlaboratory validation\Results WF\Repeats for invalid experiments - EBO\2022-EBO-ARABINOSE R5\plaque 1/@05 EE2 114/D10_02.tif "/>
    <s v=" 22993.719 "/>
    <s v=" 67.8373 "/>
    <x v="0"/>
    <n v="1559831"/>
    <m/>
    <m/>
    <m/>
  </r>
  <r>
    <x v="5"/>
    <x v="3"/>
    <s v="Q:\R&amp;D\2-Test oestrogénique\OECD and AOPs\REACTIV oecd interlaboratory validation\Results WF\Repeats for invalid experiments - EBO\2022-EBO-ARABINOSE R5\plaque 1/@05 EE2 114/D10_03.tif "/>
    <s v=" 20405.0222 "/>
    <s v=" 67.29 "/>
    <x v="0"/>
    <n v="1373054"/>
    <m/>
    <m/>
    <m/>
  </r>
  <r>
    <x v="5"/>
    <x v="4"/>
    <s v="Q:\R&amp;D\2-Test oestrogénique\OECD and AOPs\REACTIV oecd interlaboratory validation\Results WF\Repeats for invalid experiments - EBO\2022-EBO-ARABINOSE R5\plaque 1/@05 EE2 114/E10_01.tif "/>
    <s v=" 108.7688 "/>
    <s v=" 61.8 "/>
    <x v="0"/>
    <n v="6722"/>
    <m/>
    <m/>
    <m/>
  </r>
  <r>
    <x v="5"/>
    <x v="4"/>
    <s v="Q:\R&amp;D\2-Test oestrogénique\OECD and AOPs\REACTIV oecd interlaboratory validation\Results WF\Repeats for invalid experiments - EBO\2022-EBO-ARABINOSE R5\plaque 1/@05 EE2 114/E10_02- exclu.tif"/>
    <m/>
    <m/>
    <x v="1"/>
    <m/>
    <m/>
    <m/>
    <m/>
  </r>
  <r>
    <x v="5"/>
    <x v="4"/>
    <s v="Q:\R&amp;D\2-Test oestrogénique\OECD and AOPs\REACTIV oecd interlaboratory validation\Results WF\Repeats for invalid experiments - EBO\2022-EBO-ARABINOSE R5\plaque 1/@05 EE2 114/E10_03- exclu.tif"/>
    <m/>
    <m/>
    <x v="1"/>
    <m/>
    <m/>
    <m/>
    <m/>
  </r>
  <r>
    <x v="5"/>
    <x v="5"/>
    <s v="Q:\R&amp;D\2-Test oestrogénique\OECD and AOPs\REACTIV oecd interlaboratory validation\Results WF\Repeats for invalid experiments - EBO\2022-EBO-ARABINOSE R5\plaque 1/@05 EE2 114/F10_01.tif "/>
    <s v=" 12095.0878 "/>
    <s v=" 64.6169 "/>
    <x v="0"/>
    <n v="781547"/>
    <m/>
    <m/>
    <m/>
  </r>
  <r>
    <x v="5"/>
    <x v="5"/>
    <s v="Q:\R&amp;D\2-Test oestrogénique\OECD and AOPs\REACTIV oecd interlaboratory validation\Results WF\Repeats for invalid experiments - EBO\2022-EBO-ARABINOSE R5\plaque 1/@05 EE2 114/F10_02.tif "/>
    <s v=" 9441.1297 "/>
    <s v=" 63.765 "/>
    <x v="0"/>
    <n v="602013"/>
    <m/>
    <m/>
    <m/>
  </r>
  <r>
    <x v="5"/>
    <x v="5"/>
    <s v="Q:\R&amp;D\2-Test oestrogénique\OECD and AOPs\REACTIV oecd interlaboratory validation\Results WF\Repeats for invalid experiments - EBO\2022-EBO-ARABINOSE R5\plaque 1/@05 EE2 114/F10_03.tif "/>
    <s v=" 9114.8233 "/>
    <s v=" 64.8854 "/>
    <x v="0"/>
    <n v="591419"/>
    <m/>
    <m/>
    <m/>
  </r>
  <r>
    <x v="5"/>
    <x v="6"/>
    <s v="Q:\R&amp;D\2-Test oestrogénique\OECD and AOPs\REACTIV oecd interlaboratory validation\Results WF\Repeats for invalid experiments - EBO\2022-EBO-ARABINOSE R5\plaque 1/@05 EE2 114/G10_01.tif "/>
    <s v=" 4394.2585 "/>
    <s v=" 64.3911 "/>
    <x v="0"/>
    <n v="282951"/>
    <m/>
    <m/>
    <m/>
  </r>
  <r>
    <x v="5"/>
    <x v="6"/>
    <s v="Q:\R&amp;D\2-Test oestrogénique\OECD and AOPs\REACTIV oecd interlaboratory validation\Results WF\Repeats for invalid experiments - EBO\2022-EBO-ARABINOSE R5\plaque 1/@05 EE2 114/G10_02.tif "/>
    <s v=" 8549.2257 "/>
    <s v=" 65.0992 "/>
    <x v="0"/>
    <n v="556548"/>
    <m/>
    <m/>
    <m/>
  </r>
  <r>
    <x v="5"/>
    <x v="6"/>
    <s v="Q:\R&amp;D\2-Test oestrogénique\OECD and AOPs\REACTIV oecd interlaboratory validation\Results WF\Repeats for invalid experiments - EBO\2022-EBO-ARABINOSE R5\plaque 1/@05 EE2 114/G10_03- exclu.tif"/>
    <m/>
    <m/>
    <x v="1"/>
    <m/>
    <m/>
    <m/>
    <m/>
  </r>
  <r>
    <x v="5"/>
    <x v="7"/>
    <s v="Q:\R&amp;D\2-Test oestrogénique\OECD and AOPs\REACTIV oecd interlaboratory validation\Results WF\Repeats for invalid experiments - EBO\2022-EBO-ARABINOSE R5\plaque 1/@05 EE2 114/H10_01- exclu.tif"/>
    <m/>
    <m/>
    <x v="1"/>
    <m/>
    <m/>
    <m/>
    <m/>
  </r>
  <r>
    <x v="5"/>
    <x v="7"/>
    <s v="Q:\R&amp;D\2-Test oestrogénique\OECD and AOPs\REACTIV oecd interlaboratory validation\Results WF\Repeats for invalid experiments - EBO\2022-EBO-ARABINOSE R5\plaque 1/@05 EE2 114/H10_02.tif "/>
    <s v=" 1457.5016 "/>
    <s v=" 63.3731 "/>
    <x v="0"/>
    <n v="92366"/>
    <m/>
    <m/>
    <m/>
  </r>
  <r>
    <x v="5"/>
    <x v="7"/>
    <s v="Q:\R&amp;D\2-Test oestrogénique\OECD and AOPs\REACTIV oecd interlaboratory validation\Results WF\Repeats for invalid experiments - EBO\2022-EBO-ARABINOSE R5\plaque 1/@05 EE2 114/H10_03- exclu.tif"/>
    <m/>
    <m/>
    <x v="1"/>
    <m/>
    <m/>
    <m/>
    <m/>
  </r>
  <r>
    <x v="1"/>
    <x v="8"/>
    <s v=" "/>
    <m/>
    <m/>
    <x v="1"/>
    <m/>
    <m/>
    <m/>
    <m/>
  </r>
  <r>
    <x v="1"/>
    <x v="8"/>
    <s v="group "/>
    <s v=" "/>
    <s v=" mean of mean fluo "/>
    <x v="2"/>
    <s v=" mean of total fluo "/>
    <s v=" SD total fluo "/>
    <s v=" n fluorescent "/>
    <s v=" n total"/>
  </r>
  <r>
    <x v="5"/>
    <x v="9"/>
    <s v="Q:\R&amp;D\2-Test oestrogénique\OECD and AOPs\REACTIV oecd interlaboratory validation\Results WF\Repeats for invalid experiments - EBO\2022-EBO-ARABINOSE R5\plaque 1/@05 EE2 114/ "/>
    <s v=" "/>
    <s v=" 64.9115 "/>
    <x v="7"/>
    <s v=" 573588.458 "/>
    <s v=" 496208.45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6"/>
    <x v="0"/>
    <s v="Q:\R&amp;D\2-Test oestrogénique\OECD and AOPs\REACTIV oecd interlaboratory validation\Results WF\Repeats for invalid experiments - EBO\2022-EBO-ARABINOSE R5\plaque 1/@06 EE2 171/A11_01.tif "/>
    <s v=" 46009.1918 "/>
    <s v=" 76.4118 "/>
    <x v="0"/>
    <n v="3515646"/>
    <m/>
    <m/>
    <m/>
  </r>
  <r>
    <x v="6"/>
    <x v="0"/>
    <s v="Q:\R&amp;D\2-Test oestrogénique\OECD and AOPs\REACTIV oecd interlaboratory validation\Results WF\Repeats for invalid experiments - EBO\2022-EBO-ARABINOSE R5\plaque 1/@06 EE2 171/A11_02.tif "/>
    <s v=" 48489.1199 "/>
    <s v=" 74.8537 "/>
    <x v="0"/>
    <n v="3629592"/>
    <m/>
    <m/>
    <m/>
  </r>
  <r>
    <x v="6"/>
    <x v="0"/>
    <s v="Q:\R&amp;D\2-Test oestrogénique\OECD and AOPs\REACTIV oecd interlaboratory validation\Results WF\Repeats for invalid experiments - EBO\2022-EBO-ARABINOSE R5\plaque 1/@06 EE2 171/A11_03.tif "/>
    <s v=" 36872.6147 "/>
    <s v=" 77.0643 "/>
    <x v="0"/>
    <n v="2841562"/>
    <m/>
    <m/>
    <m/>
  </r>
  <r>
    <x v="6"/>
    <x v="1"/>
    <s v="Q:\R&amp;D\2-Test oestrogénique\OECD and AOPs\REACTIV oecd interlaboratory validation\Results WF\Repeats for invalid experiments - EBO\2022-EBO-ARABINOSE R5\plaque 1/@06 EE2 171/B11_01.tif "/>
    <s v=" 36959.6298 "/>
    <s v=" 69.7181 "/>
    <x v="0"/>
    <n v="2576754"/>
    <m/>
    <m/>
    <m/>
  </r>
  <r>
    <x v="6"/>
    <x v="1"/>
    <s v="Q:\R&amp;D\2-Test oestrogénique\OECD and AOPs\REACTIV oecd interlaboratory validation\Results WF\Repeats for invalid experiments - EBO\2022-EBO-ARABINOSE R5\plaque 1/@06 EE2 171/B11_02.tif "/>
    <s v=" 46117.9606 "/>
    <s v=" 69.7047 "/>
    <x v="0"/>
    <n v="3214639"/>
    <m/>
    <m/>
    <m/>
  </r>
  <r>
    <x v="6"/>
    <x v="1"/>
    <s v="Q:\R&amp;D\2-Test oestrogénique\OECD and AOPs\REACTIV oecd interlaboratory validation\Results WF\Repeats for invalid experiments - EBO\2022-EBO-ARABINOSE R5\plaque 1/@06 EE2 171/B11_03- exclu.tif"/>
    <m/>
    <m/>
    <x v="1"/>
    <m/>
    <m/>
    <m/>
    <m/>
  </r>
  <r>
    <x v="6"/>
    <x v="2"/>
    <s v="Q:\R&amp;D\2-Test oestrogénique\OECD and AOPs\REACTIV oecd interlaboratory validation\Results WF\Repeats for invalid experiments - EBO\2022-EBO-ARABINOSE R5\plaque 1/@06 EE2 171/C11_01.tif "/>
    <s v=" 20709.5748 "/>
    <s v=" 76.187 "/>
    <x v="0"/>
    <n v="1577800"/>
    <m/>
    <m/>
    <m/>
  </r>
  <r>
    <x v="6"/>
    <x v="2"/>
    <s v="Q:\R&amp;D\2-Test oestrogénique\OECD and AOPs\REACTIV oecd interlaboratory validation\Results WF\Repeats for invalid experiments - EBO\2022-EBO-ARABINOSE R5\plaque 1/@06 EE2 171/C11_02.tif "/>
    <s v=" 21057.6348 "/>
    <s v=" 73.8988 "/>
    <x v="0"/>
    <n v="1556133"/>
    <m/>
    <m/>
    <m/>
  </r>
  <r>
    <x v="6"/>
    <x v="2"/>
    <s v="Q:\R&amp;D\2-Test oestrogénique\OECD and AOPs\REACTIV oecd interlaboratory validation\Results WF\Repeats for invalid experiments - EBO\2022-EBO-ARABINOSE R5\plaque 1/@06 EE2 171/C11_03.tif "/>
    <s v=" 21144.6499 "/>
    <s v=" 73.9033 "/>
    <x v="0"/>
    <n v="1562659"/>
    <m/>
    <m/>
    <m/>
  </r>
  <r>
    <x v="6"/>
    <x v="3"/>
    <s v="Q:\R&amp;D\2-Test oestrogénique\OECD and AOPs\REACTIV oecd interlaboratory validation\Results WF\Repeats for invalid experiments - EBO\2022-EBO-ARABINOSE R5\plaque 1/@06 EE2 171/D11_01- exclu.tif"/>
    <m/>
    <m/>
    <x v="1"/>
    <m/>
    <m/>
    <m/>
    <m/>
  </r>
  <r>
    <x v="6"/>
    <x v="3"/>
    <s v="Q:\R&amp;D\2-Test oestrogénique\OECD and AOPs\REACTIV oecd interlaboratory validation\Results WF\Repeats for invalid experiments - EBO\2022-EBO-ARABINOSE R5\plaque 1/@06 EE2 171/D11_02- exclu.tif"/>
    <m/>
    <m/>
    <x v="1"/>
    <m/>
    <m/>
    <m/>
    <m/>
  </r>
  <r>
    <x v="6"/>
    <x v="3"/>
    <s v="Q:\R&amp;D\2-Test oestrogénique\OECD and AOPs\REACTIV oecd interlaboratory validation\Results WF\Repeats for invalid experiments - EBO\2022-EBO-ARABINOSE R5\plaque 1/@06 EE2 171/D11_03.tif "/>
    <s v=" 38438.8851 "/>
    <s v=" 76.3945 "/>
    <x v="0"/>
    <n v="2936518"/>
    <m/>
    <m/>
    <m/>
  </r>
  <r>
    <x v="6"/>
    <x v="4"/>
    <s v="Q:\R&amp;D\2-Test oestrogénique\OECD and AOPs\REACTIV oecd interlaboratory validation\Results WF\Repeats for invalid experiments - EBO\2022-EBO-ARABINOSE R5\plaque 1/@06 EE2 171/E11_01.tif "/>
    <s v=" 48271.5824 "/>
    <s v=" 72.0406 "/>
    <x v="0"/>
    <n v="3477512"/>
    <m/>
    <m/>
    <m/>
  </r>
  <r>
    <x v="6"/>
    <x v="4"/>
    <s v="Q:\R&amp;D\2-Test oestrogénique\OECD and AOPs\REACTIV oecd interlaboratory validation\Results WF\Repeats for invalid experiments - EBO\2022-EBO-ARABINOSE R5\plaque 1/@06 EE2 171/E11_02.tif "/>
    <s v=" 50686.2492 "/>
    <s v=" 75.1266 "/>
    <x v="0"/>
    <n v="3807886"/>
    <m/>
    <m/>
    <m/>
  </r>
  <r>
    <x v="6"/>
    <x v="4"/>
    <s v="Q:\R&amp;D\2-Test oestrogénique\OECD and AOPs\REACTIV oecd interlaboratory validation\Results WF\Repeats for invalid experiments - EBO\2022-EBO-ARABINOSE R5\plaque 1/@06 EE2 171/E11_03.tif "/>
    <s v=" 50446.9579 "/>
    <s v=" 74.5809 "/>
    <x v="0"/>
    <n v="3762377"/>
    <m/>
    <m/>
    <m/>
  </r>
  <r>
    <x v="6"/>
    <x v="5"/>
    <s v="Q:\R&amp;D\2-Test oestrogénique\OECD and AOPs\REACTIV oecd interlaboratory validation\Results WF\Repeats for invalid experiments - EBO\2022-EBO-ARABINOSE R5\plaque 1/@06 EE2 171/F11_01.tif "/>
    <s v=" 48119.3061 "/>
    <s v=" 76.4186 "/>
    <x v="0"/>
    <n v="3677211"/>
    <m/>
    <m/>
    <m/>
  </r>
  <r>
    <x v="6"/>
    <x v="5"/>
    <s v="Q:\R&amp;D\2-Test oestrogénique\OECD and AOPs\REACTIV oecd interlaboratory validation\Results WF\Repeats for invalid experiments - EBO\2022-EBO-ARABINOSE R5\plaque 1/@06 EE2 171/F11_02.tif "/>
    <s v=" 49054.7175 "/>
    <s v=" 75.4457 "/>
    <x v="0"/>
    <n v="3700966"/>
    <m/>
    <m/>
    <m/>
  </r>
  <r>
    <x v="6"/>
    <x v="5"/>
    <s v="Q:\R&amp;D\2-Test oestrogénique\OECD and AOPs\REACTIV oecd interlaboratory validation\Results WF\Repeats for invalid experiments - EBO\2022-EBO-ARABINOSE R5\plaque 1/@06 EE2 171/F11_03.tif "/>
    <s v=" 52665.8409 "/>
    <s v=" 75.2867 "/>
    <x v="0"/>
    <n v="3965035"/>
    <m/>
    <m/>
    <m/>
  </r>
  <r>
    <x v="6"/>
    <x v="6"/>
    <s v="Q:\R&amp;D\2-Test oestrogénique\OECD and AOPs\REACTIV oecd interlaboratory validation\Results WF\Repeats for invalid experiments - EBO\2022-EBO-ARABINOSE R5\plaque 1/@06 EE2 171/G11_01.tif "/>
    <s v=" 21579.725 "/>
    <s v=" 68.5897 "/>
    <x v="0"/>
    <n v="1480147"/>
    <m/>
    <m/>
    <m/>
  </r>
  <r>
    <x v="6"/>
    <x v="6"/>
    <s v="Q:\R&amp;D\2-Test oestrogénique\OECD and AOPs\REACTIV oecd interlaboratory validation\Results WF\Repeats for invalid experiments - EBO\2022-EBO-ARABINOSE R5\plaque 1/@06 EE2 171/G11_02.tif "/>
    <s v=" 20840.0973 "/>
    <s v=" 68.572 "/>
    <x v="0"/>
    <n v="1429048"/>
    <m/>
    <m/>
    <m/>
  </r>
  <r>
    <x v="6"/>
    <x v="6"/>
    <s v="Q:\R&amp;D\2-Test oestrogénique\OECD and AOPs\REACTIV oecd interlaboratory validation\Results WF\Repeats for invalid experiments - EBO\2022-EBO-ARABINOSE R5\plaque 1/@06 EE2 171/G11_03.tif "/>
    <s v=" 20905.3586 "/>
    <s v=" 70.1644 "/>
    <x v="0"/>
    <n v="1466812"/>
    <m/>
    <m/>
    <m/>
  </r>
  <r>
    <x v="6"/>
    <x v="7"/>
    <s v="Q:\R&amp;D\2-Test oestrogénique\OECD and AOPs\REACTIV oecd interlaboratory validation\Results WF\Repeats for invalid experiments - EBO\2022-EBO-ARABINOSE R5\plaque 1/@06 EE2 171/H11_01.tif "/>
    <s v=" 32608.8788 "/>
    <s v=" 75.9193 "/>
    <x v="0"/>
    <n v="2475643"/>
    <m/>
    <m/>
    <m/>
  </r>
  <r>
    <x v="6"/>
    <x v="7"/>
    <s v="Q:\R&amp;D\2-Test oestrogénique\OECD and AOPs\REACTIV oecd interlaboratory validation\Results WF\Repeats for invalid experiments - EBO\2022-EBO-ARABINOSE R5\plaque 1/@06 EE2 171/H11_02.tif "/>
    <s v=" 32521.8637 "/>
    <s v=" 77.5097 "/>
    <x v="0"/>
    <n v="2520760"/>
    <m/>
    <m/>
    <m/>
  </r>
  <r>
    <x v="6"/>
    <x v="7"/>
    <s v="Q:\R&amp;D\2-Test oestrogénique\OECD and AOPs\REACTIV oecd interlaboratory validation\Results WF\Repeats for invalid experiments - EBO\2022-EBO-ARABINOSE R5\plaque 1/@06 EE2 171/H11_03.tif "/>
    <s v=" 30237.7195 "/>
    <s v=" 76.1187 "/>
    <x v="0"/>
    <n v="2301656"/>
    <m/>
    <m/>
    <m/>
  </r>
  <r>
    <x v="1"/>
    <x v="8"/>
    <s v=" "/>
    <m/>
    <m/>
    <x v="1"/>
    <m/>
    <m/>
    <m/>
    <m/>
  </r>
  <r>
    <x v="1"/>
    <x v="8"/>
    <s v="group "/>
    <s v=" "/>
    <s v=" mean of mean fluo "/>
    <x v="2"/>
    <s v=" mean of total fluo "/>
    <s v=" SD total fluo "/>
    <s v=" n fluorescent "/>
    <s v=" n total"/>
  </r>
  <r>
    <x v="6"/>
    <x v="9"/>
    <s v="Q:\R&amp;D\2-Test oestrogénique\OECD and AOPs\REACTIV oecd interlaboratory validation\Results WF\Repeats for invalid experiments - EBO\2022-EBO-ARABINOSE R5\plaque 1/@06 EE2 171/ "/>
    <s v=" "/>
    <s v=" 74.141 "/>
    <x v="8"/>
    <s v=" 2688856.54 "/>
    <s v=" 893270.042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7"/>
    <x v="0"/>
    <s v="Q:\R&amp;D\2-Test oestrogénique\OECD and AOPs\REACTIV oecd interlaboratory validation\Results WF\Repeats for invalid experiments - EBO\2022-EBO-ARABINOSE R5\plaque 1/@07 EE2 488/A12_01.tif "/>
    <s v=" 54928.2314 "/>
    <s v=" 85.5885 "/>
    <x v="0"/>
    <n v="4701226"/>
    <m/>
    <m/>
    <m/>
  </r>
  <r>
    <x v="7"/>
    <x v="0"/>
    <s v="Q:\R&amp;D\2-Test oestrogénique\OECD and AOPs\REACTIV oecd interlaboratory validation\Results WF\Repeats for invalid experiments - EBO\2022-EBO-ARABINOSE R5\plaque 1/@07 EE2 488/A12_02.tif "/>
    <s v=" 57908.4958 "/>
    <s v=" 85.1307 "/>
    <x v="0"/>
    <n v="4929792"/>
    <m/>
    <m/>
    <m/>
  </r>
  <r>
    <x v="7"/>
    <x v="0"/>
    <s v="Q:\R&amp;D\2-Test oestrogénique\OECD and AOPs\REACTIV oecd interlaboratory validation\Results WF\Repeats for invalid experiments - EBO\2022-EBO-ARABINOSE R5\plaque 1/@07 EE2 488/A12_03- exclu.tif"/>
    <m/>
    <m/>
    <x v="1"/>
    <m/>
    <m/>
    <m/>
    <m/>
  </r>
  <r>
    <x v="7"/>
    <x v="1"/>
    <s v="Q:\R&amp;D\2-Test oestrogénique\OECD and AOPs\REACTIV oecd interlaboratory validation\Results WF\Repeats for invalid experiments - EBO\2022-EBO-ARABINOSE R5\plaque 1/@07 EE2 488/B12_01.tif "/>
    <s v=" 44508.1827 "/>
    <s v=" 92.2674 "/>
    <x v="0"/>
    <n v="4106652"/>
    <m/>
    <m/>
    <m/>
  </r>
  <r>
    <x v="7"/>
    <x v="1"/>
    <s v="Q:\R&amp;D\2-Test oestrogénique\OECD and AOPs\REACTIV oecd interlaboratory validation\Results WF\Repeats for invalid experiments - EBO\2022-EBO-ARABINOSE R5\plaque 1/@07 EE2 488/B12_02.tif "/>
    <s v=" 58517.601 "/>
    <s v=" 83.0822 "/>
    <x v="0"/>
    <n v="4861768"/>
    <m/>
    <m/>
    <m/>
  </r>
  <r>
    <x v="7"/>
    <x v="1"/>
    <s v="Q:\R&amp;D\2-Test oestrogénique\OECD and AOPs\REACTIV oecd interlaboratory validation\Results WF\Repeats for invalid experiments - EBO\2022-EBO-ARABINOSE R5\plaque 1/@07 EE2 488/B12_03.tif "/>
    <s v=" 35915.4495 "/>
    <s v=" 98.5161 "/>
    <x v="0"/>
    <n v="3538248"/>
    <m/>
    <m/>
    <m/>
  </r>
  <r>
    <x v="7"/>
    <x v="2"/>
    <s v="Q:\R&amp;D\2-Test oestrogénique\OECD and AOPs\REACTIV oecd interlaboratory validation\Results WF\Repeats for invalid experiments - EBO\2022-EBO-ARABINOSE R5\plaque 1/@07 EE2 488/C12_01.tif "/>
    <s v=" 25169.0945 "/>
    <s v=" 91.2213 "/>
    <x v="0"/>
    <n v="2295957"/>
    <m/>
    <m/>
    <m/>
  </r>
  <r>
    <x v="7"/>
    <x v="2"/>
    <s v="Q:\R&amp;D\2-Test oestrogénique\OECD and AOPs\REACTIV oecd interlaboratory validation\Results WF\Repeats for invalid experiments - EBO\2022-EBO-ARABINOSE R5\plaque 1/@07 EE2 488/C12_02.tif "/>
    <s v=" 26169.7673 "/>
    <s v=" 89.0191 "/>
    <x v="0"/>
    <n v="2329610"/>
    <m/>
    <m/>
    <m/>
  </r>
  <r>
    <x v="7"/>
    <x v="2"/>
    <s v="Q:\R&amp;D\2-Test oestrogénique\OECD and AOPs\REACTIV oecd interlaboratory validation\Results WF\Repeats for invalid experiments - EBO\2022-EBO-ARABINOSE R5\plaque 1/@07 EE2 488/C12_03.tif "/>
    <s v=" 31564.6985 "/>
    <s v=" 83.2247 "/>
    <x v="0"/>
    <n v="2626962"/>
    <m/>
    <m/>
    <m/>
  </r>
  <r>
    <x v="7"/>
    <x v="3"/>
    <s v="Q:\R&amp;D\2-Test oestrogénique\OECD and AOPs\REACTIV oecd interlaboratory validation\Results WF\Repeats for invalid experiments - EBO\2022-EBO-ARABINOSE R5\plaque 1/@07 EE2 488/D12_01.tif "/>
    <s v=" 89212.1493 "/>
    <s v=" 87.3209 "/>
    <x v="0"/>
    <n v="7790085"/>
    <m/>
    <m/>
    <m/>
  </r>
  <r>
    <x v="7"/>
    <x v="3"/>
    <s v="Q:\R&amp;D\2-Test oestrogénique\OECD and AOPs\REACTIV oecd interlaboratory validation\Results WF\Repeats for invalid experiments - EBO\2022-EBO-ARABINOSE R5\plaque 1/@07 EE2 488/D12_02.tif "/>
    <s v=" 83969.4943 "/>
    <s v=" 88.5531 "/>
    <x v="0"/>
    <n v="7435760"/>
    <m/>
    <m/>
    <m/>
  </r>
  <r>
    <x v="7"/>
    <x v="3"/>
    <s v="Q:\R&amp;D\2-Test oestrogénique\OECD and AOPs\REACTIV oecd interlaboratory validation\Results WF\Repeats for invalid experiments - EBO\2022-EBO-ARABINOSE R5\plaque 1/@07 EE2 488/D12_03- exclu.tif"/>
    <m/>
    <m/>
    <x v="1"/>
    <m/>
    <m/>
    <m/>
    <m/>
  </r>
  <r>
    <x v="7"/>
    <x v="4"/>
    <s v="Q:\R&amp;D\2-Test oestrogénique\OECD and AOPs\REACTIV oecd interlaboratory validation\Results WF\Repeats for invalid experiments - EBO\2022-EBO-ARABINOSE R5\plaque 1/@07 EE2 488/E12_01.tif "/>
    <s v=" 62215.7393 "/>
    <s v=" 91.6262 "/>
    <x v="0"/>
    <n v="5700593"/>
    <m/>
    <m/>
    <m/>
  </r>
  <r>
    <x v="7"/>
    <x v="4"/>
    <s v="Q:\R&amp;D\2-Test oestrogénique\OECD and AOPs\REACTIV oecd interlaboratory validation\Results WF\Repeats for invalid experiments - EBO\2022-EBO-ARABINOSE R5\plaque 1/@07 EE2 488/E12_02.tif "/>
    <s v=" 59931.595 "/>
    <s v=" 87.3579 "/>
    <x v="0"/>
    <n v="5235498"/>
    <m/>
    <m/>
    <m/>
  </r>
  <r>
    <x v="7"/>
    <x v="4"/>
    <s v="Q:\R&amp;D\2-Test oestrogénique\OECD and AOPs\REACTIV oecd interlaboratory validation\Results WF\Repeats for invalid experiments - EBO\2022-EBO-ARABINOSE R5\plaque 1/@07 EE2 488/E12_03- exclu.tif"/>
    <m/>
    <m/>
    <x v="1"/>
    <m/>
    <m/>
    <m/>
    <m/>
  </r>
  <r>
    <x v="7"/>
    <x v="5"/>
    <s v="Q:\R&amp;D\2-Test oestrogénique\OECD and AOPs\REACTIV oecd interlaboratory validation\Results WF\Repeats for invalid experiments - EBO\2022-EBO-ARABINOSE R5\plaque 1/@07 EE2 488/F12_01- exclu.tif"/>
    <m/>
    <m/>
    <x v="1"/>
    <m/>
    <m/>
    <m/>
    <m/>
  </r>
  <r>
    <x v="7"/>
    <x v="5"/>
    <s v="Q:\R&amp;D\2-Test oestrogénique\OECD and AOPs\REACTIV oecd interlaboratory validation\Results WF\Repeats for invalid experiments - EBO\2022-EBO-ARABINOSE R5\plaque 1/@07 EE2 488/F12_02.tif "/>
    <s v=" 38308.3626 "/>
    <s v=" 76.1664 "/>
    <x v="0"/>
    <n v="2917809"/>
    <m/>
    <m/>
    <m/>
  </r>
  <r>
    <x v="7"/>
    <x v="5"/>
    <s v="Q:\R&amp;D\2-Test oestrogénique\OECD and AOPs\REACTIV oecd interlaboratory validation\Results WF\Repeats for invalid experiments - EBO\2022-EBO-ARABINOSE R5\plaque 1/@07 EE2 488/F12_03.tif "/>
    <s v=" 31347.161 "/>
    <s v=" 77.7189 "/>
    <x v="0"/>
    <n v="2436268"/>
    <m/>
    <m/>
    <m/>
  </r>
  <r>
    <x v="7"/>
    <x v="6"/>
    <s v="Q:\R&amp;D\2-Test oestrogénique\OECD and AOPs\REACTIV oecd interlaboratory validation\Results WF\Repeats for invalid experiments - EBO\2022-EBO-ARABINOSE R5\plaque 1/@07 EE2 488/G12_01.tif "/>
    <s v=" 31716.9748 "/>
    <s v=" 81.7298 "/>
    <x v="0"/>
    <n v="2592221"/>
    <m/>
    <m/>
    <m/>
  </r>
  <r>
    <x v="7"/>
    <x v="6"/>
    <s v="Q:\R&amp;D\2-Test oestrogénique\OECD and AOPs\REACTIV oecd interlaboratory validation\Results WF\Repeats for invalid experiments - EBO\2022-EBO-ARABINOSE R5\plaque 1/@07 EE2 488/G12_02- exclu.tif"/>
    <m/>
    <m/>
    <x v="1"/>
    <m/>
    <m/>
    <m/>
    <m/>
  </r>
  <r>
    <x v="7"/>
    <x v="6"/>
    <s v="Q:\R&amp;D\2-Test oestrogénique\OECD and AOPs\REACTIV oecd interlaboratory validation\Results WF\Repeats for invalid experiments - EBO\2022-EBO-ARABINOSE R5\plaque 1/@07 EE2 488/G12_03- exclu.tif"/>
    <m/>
    <m/>
    <x v="1"/>
    <m/>
    <m/>
    <m/>
    <m/>
  </r>
  <r>
    <x v="7"/>
    <x v="7"/>
    <s v="Q:\R&amp;D\2-Test oestrogénique\OECD and AOPs\REACTIV oecd interlaboratory validation\Results WF\Repeats for invalid experiments - EBO\2022-EBO-ARABINOSE R5\plaque 1/@07 EE2 488/H12_01.tif "/>
    <s v=" 69807.7998 "/>
    <s v=" 87.6108 "/>
    <x v="0"/>
    <n v="6115916"/>
    <m/>
    <m/>
    <m/>
  </r>
  <r>
    <x v="7"/>
    <x v="7"/>
    <s v="Q:\R&amp;D\2-Test oestrogénique\OECD and AOPs\REACTIV oecd interlaboratory validation\Results WF\Repeats for invalid experiments - EBO\2022-EBO-ARABINOSE R5\plaque 1/@07 EE2 488/H12_02.tif "/>
    <s v=" 63368.6883 "/>
    <s v=" 87.8596 "/>
    <x v="0"/>
    <n v="5567547"/>
    <m/>
    <m/>
    <m/>
  </r>
  <r>
    <x v="7"/>
    <x v="7"/>
    <s v="Q:\R&amp;D\2-Test oestrogénique\OECD and AOPs\REACTIV oecd interlaboratory validation\Results WF\Repeats for invalid experiments - EBO\2022-EBO-ARABINOSE R5\plaque 1/@07 EE2 488/H12_03.tif "/>
    <s v=" 67262.6105 "/>
    <s v=" 86.5566 "/>
    <x v="0"/>
    <n v="5822023"/>
    <m/>
    <m/>
    <m/>
  </r>
  <r>
    <x v="1"/>
    <x v="8"/>
    <s v=" "/>
    <m/>
    <m/>
    <x v="1"/>
    <m/>
    <m/>
    <m/>
    <m/>
  </r>
  <r>
    <x v="1"/>
    <x v="8"/>
    <s v="group "/>
    <s v=" "/>
    <s v=" mean of mean fluo "/>
    <x v="2"/>
    <s v=" mean of total fluo "/>
    <s v=" SD total fluo "/>
    <s v=" n fluorescent "/>
    <s v=" n total"/>
  </r>
  <r>
    <x v="7"/>
    <x v="9"/>
    <s v="Q:\R&amp;D\2-Test oestrogénique\OECD and AOPs\REACTIV oecd interlaboratory validation\Results WF\Repeats for invalid experiments - EBO\2022-EBO-ARABINOSE R5\plaque 1/@07 EE2 488/ "/>
    <s v=" "/>
    <s v=" 86.4901 "/>
    <x v="9"/>
    <s v=" 4185512.17 "/>
    <s v=" 1986870.7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8"/>
    <x v="0"/>
    <s v="Q:\R&amp;D\2-Test oestrogénique\OECD and AOPs\REACTIV oecd interlaboratory validation\Results WF\Repeats for invalid experiments - EBO\2022-EBO-ARABINOSE R5\plaque 1/@08 ARABINOSE 0.01/A5_01.tif "/>
    <s v=" 19078.0431 "/>
    <s v=" 76.0867 "/>
    <x v="0"/>
    <n v="1451585"/>
    <m/>
    <m/>
    <m/>
  </r>
  <r>
    <x v="8"/>
    <x v="0"/>
    <s v="Q:\R&amp;D\2-Test oestrogénique\OECD and AOPs\REACTIV oecd interlaboratory validation\Results WF\Repeats for invalid experiments - EBO\2022-EBO-ARABINOSE R5\plaque 1/@08 ARABINOSE 0.01/A5_02.tif "/>
    <s v=" 17120.2052 "/>
    <s v=" 78.7446 "/>
    <x v="0"/>
    <n v="1348124"/>
    <m/>
    <m/>
    <m/>
  </r>
  <r>
    <x v="8"/>
    <x v="0"/>
    <s v="Q:\R&amp;D\2-Test oestrogénique\OECD and AOPs\REACTIV oecd interlaboratory validation\Results WF\Repeats for invalid experiments - EBO\2022-EBO-ARABINOSE R5\plaque 1/@08 ARABINOSE 0.01/A5_03- exclu.tif"/>
    <m/>
    <m/>
    <x v="1"/>
    <m/>
    <m/>
    <m/>
    <m/>
  </r>
  <r>
    <x v="8"/>
    <x v="1"/>
    <s v="Q:\R&amp;D\2-Test oestrogénique\OECD and AOPs\REACTIV oecd interlaboratory validation\Results WF\Repeats for invalid experiments - EBO\2022-EBO-ARABINOSE R5\plaque 1/@08 ARABINOSE 0.01/B5_01.tif "/>
    <s v=" 5264.4087 "/>
    <s v=" 77.6446 "/>
    <x v="0"/>
    <n v="408753"/>
    <m/>
    <m/>
    <m/>
  </r>
  <r>
    <x v="8"/>
    <x v="1"/>
    <s v="Q:\R&amp;D\2-Test oestrogénique\OECD and AOPs\REACTIV oecd interlaboratory validation\Results WF\Repeats for invalid experiments - EBO\2022-EBO-ARABINOSE R5\plaque 1/@08 ARABINOSE 0.01/B5_02- exclu.tif"/>
    <m/>
    <m/>
    <x v="1"/>
    <m/>
    <m/>
    <m/>
    <m/>
  </r>
  <r>
    <x v="8"/>
    <x v="1"/>
    <s v="Q:\R&amp;D\2-Test oestrogénique\OECD and AOPs\REACTIV oecd interlaboratory validation\Results WF\Repeats for invalid experiments - EBO\2022-EBO-ARABINOSE R5\plaque 1/@08 ARABINOSE 0.01/B5_03.tif "/>
    <s v=" 3110.787 "/>
    <s v=" 68.3566 "/>
    <x v="0"/>
    <n v="212643"/>
    <m/>
    <m/>
    <m/>
  </r>
  <r>
    <x v="8"/>
    <x v="2"/>
    <s v="Q:\R&amp;D\2-Test oestrogénique\OECD and AOPs\REACTIV oecd interlaboratory validation\Results WF\Repeats for invalid experiments - EBO\2022-EBO-ARABINOSE R5\plaque 1/@08 ARABINOSE 0.01/C5_01.tif "/>
    <s v=" 4176.721 "/>
    <s v=" 66.8646 "/>
    <x v="0"/>
    <n v="279275"/>
    <m/>
    <m/>
    <m/>
  </r>
  <r>
    <x v="8"/>
    <x v="2"/>
    <s v="Q:\R&amp;D\2-Test oestrogénique\OECD and AOPs\REACTIV oecd interlaboratory validation\Results WF\Repeats for invalid experiments - EBO\2022-EBO-ARABINOSE R5\plaque 1/@08 ARABINOSE 0.01/C5_02.tif "/>
    <s v=" 1501.0091 "/>
    <s v=" 64.8261 "/>
    <x v="0"/>
    <n v="97305"/>
    <m/>
    <m/>
    <m/>
  </r>
  <r>
    <x v="8"/>
    <x v="2"/>
    <s v="Q:\R&amp;D\2-Test oestrogénique\OECD and AOPs\REACTIV oecd interlaboratory validation\Results WF\Repeats for invalid experiments - EBO\2022-EBO-ARABINOSE R5\plaque 1/@08 ARABINOSE 0.01/C5_03.tif "/>
    <s v=" 1957.838 "/>
    <s v=" 64.8222 "/>
    <x v="0"/>
    <n v="126911"/>
    <m/>
    <m/>
    <m/>
  </r>
  <r>
    <x v="8"/>
    <x v="3"/>
    <s v="Q:\R&amp;D\2-Test oestrogénique\OECD and AOPs\REACTIV oecd interlaboratory validation\Results WF\Repeats for invalid experiments - EBO\2022-EBO-ARABINOSE R5\plaque 1/@08 ARABINOSE 0.01/D5_01.tif "/>
    <s v=" 108.7688 "/>
    <s v=" 63.6 "/>
    <x v="0"/>
    <n v="6918"/>
    <m/>
    <m/>
    <m/>
  </r>
  <r>
    <x v="8"/>
    <x v="3"/>
    <s v="Q:\R&amp;D\2-Test oestrogénique\OECD and AOPs\REACTIV oecd interlaboratory validation\Results WF\Repeats for invalid experiments - EBO\2022-EBO-ARABINOSE R5\plaque 1/@08 ARABINOSE 0.01/D5_02.tif "/>
    <s v=" 174.03 "/>
    <s v=" 64.625 "/>
    <x v="0"/>
    <n v="11247"/>
    <m/>
    <m/>
    <m/>
  </r>
  <r>
    <x v="8"/>
    <x v="3"/>
    <s v="Q:\R&amp;D\2-Test oestrogénique\OECD and AOPs\REACTIV oecd interlaboratory validation\Results WF\Repeats for invalid experiments - EBO\2022-EBO-ARABINOSE R5\plaque 1/@08 ARABINOSE 0.01/D5_03.tif "/>
    <s v=" 435.0751 "/>
    <s v=" 63.6 "/>
    <x v="0"/>
    <n v="27671"/>
    <m/>
    <m/>
    <m/>
  </r>
  <r>
    <x v="8"/>
    <x v="4"/>
    <s v="Q:\R&amp;D\2-Test oestrogénique\OECD and AOPs\REACTIV oecd interlaboratory validation\Results WF\Repeats for invalid experiments - EBO\2022-EBO-ARABINOSE R5\plaque 1/@08 ARABINOSE 0.01/E5_01.tif "/>
    <s v=" 1218.2103 "/>
    <s v=" 64.3571 "/>
    <x v="0"/>
    <n v="78401"/>
    <m/>
    <m/>
    <m/>
  </r>
  <r>
    <x v="8"/>
    <x v="4"/>
    <s v="Q:\R&amp;D\2-Test oestrogénique\OECD and AOPs\REACTIV oecd interlaboratory validation\Results WF\Repeats for invalid experiments - EBO\2022-EBO-ARABINOSE R5\plaque 1/@08 ARABINOSE 0.01/E5_02- exclu.tif"/>
    <m/>
    <m/>
    <x v="1"/>
    <m/>
    <m/>
    <m/>
    <m/>
  </r>
  <r>
    <x v="8"/>
    <x v="4"/>
    <s v="Q:\R&amp;D\2-Test oestrogénique\OECD and AOPs\REACTIV oecd interlaboratory validation\Results WF\Repeats for invalid experiments - EBO\2022-EBO-ARABINOSE R5\plaque 1/@08 ARABINOSE 0.01/E5_03.tif "/>
    <s v=" 891.904 "/>
    <s v=" 64.5122 "/>
    <x v="0"/>
    <n v="57539"/>
    <m/>
    <m/>
    <m/>
  </r>
  <r>
    <x v="8"/>
    <x v="5"/>
    <s v="Q:\R&amp;D\2-Test oestrogénique\OECD and AOPs\REACTIV oecd interlaboratory validation\Results WF\Repeats for invalid experiments - EBO\2022-EBO-ARABINOSE R5\plaque 1/@08 ARABINOSE 0.01/F5_01.tif "/>
    <s v=" 5481.9463 "/>
    <s v=" 68.254 "/>
    <x v="0"/>
    <n v="374165"/>
    <m/>
    <m/>
    <m/>
  </r>
  <r>
    <x v="8"/>
    <x v="5"/>
    <s v="Q:\R&amp;D\2-Test oestrogénique\OECD and AOPs\REACTIV oecd interlaboratory validation\Results WF\Repeats for invalid experiments - EBO\2022-EBO-ARABINOSE R5\plaque 1/@08 ARABINOSE 0.01/F5_02.tif "/>
    <s v=" 2349.4055 "/>
    <s v=" 67.3704 "/>
    <x v="0"/>
    <n v="158280"/>
    <m/>
    <m/>
    <m/>
  </r>
  <r>
    <x v="8"/>
    <x v="5"/>
    <s v="Q:\R&amp;D\2-Test oestrogénique\OECD and AOPs\REACTIV oecd interlaboratory validation\Results WF\Repeats for invalid experiments - EBO\2022-EBO-ARABINOSE R5\plaque 1/@08 ARABINOSE 0.01/F5_03.tif "/>
    <s v=" 1783.8079 "/>
    <s v=" 66.1341 "/>
    <x v="0"/>
    <n v="117971"/>
    <m/>
    <m/>
    <m/>
  </r>
  <r>
    <x v="8"/>
    <x v="6"/>
    <s v="Q:\R&amp;D\2-Test oestrogénique\OECD and AOPs\REACTIV oecd interlaboratory validation\Results WF\Repeats for invalid experiments - EBO\2022-EBO-ARABINOSE R5\plaque 1/@08 ARABINOSE 0.01/G5_01.tif "/>
    <s v=" 1544.5166 "/>
    <s v=" 64.0423 "/>
    <x v="0"/>
    <n v="98914"/>
    <m/>
    <m/>
    <m/>
  </r>
  <r>
    <x v="8"/>
    <x v="6"/>
    <s v="Q:\R&amp;D\2-Test oestrogénique\OECD and AOPs\REACTIV oecd interlaboratory validation\Results WF\Repeats for invalid experiments - EBO\2022-EBO-ARABINOSE R5\plaque 1/@08 ARABINOSE 0.01/G5_02.tif "/>
    <s v=" 1457.5016 "/>
    <s v=" 63.7761 "/>
    <x v="0"/>
    <n v="92954"/>
    <m/>
    <m/>
    <m/>
  </r>
  <r>
    <x v="8"/>
    <x v="6"/>
    <s v="Q:\R&amp;D\2-Test oestrogénique\OECD and AOPs\REACTIV oecd interlaboratory validation\Results WF\Repeats for invalid experiments - EBO\2022-EBO-ARABINOSE R5\plaque 1/@08 ARABINOSE 0.01/G5_03.tif "/>
    <s v=" 565.5976 "/>
    <s v=" 64.2308 "/>
    <x v="0"/>
    <n v="36329"/>
    <m/>
    <m/>
    <m/>
  </r>
  <r>
    <x v="8"/>
    <x v="7"/>
    <s v="Q:\R&amp;D\2-Test oestrogénique\OECD and AOPs\REACTIV oecd interlaboratory validation\Results WF\Repeats for invalid experiments - EBO\2022-EBO-ARABINOSE R5\plaque 1/@08 ARABINOSE 0.01/H5_01.tif "/>
    <s v=" 174.03 "/>
    <s v=" 62.25 "/>
    <x v="0"/>
    <n v="10833"/>
    <m/>
    <m/>
    <m/>
  </r>
  <r>
    <x v="8"/>
    <x v="7"/>
    <s v="Q:\R&amp;D\2-Test oestrogénique\OECD and AOPs\REACTIV oecd interlaboratory validation\Results WF\Repeats for invalid experiments - EBO\2022-EBO-ARABINOSE R5\plaque 1/@08 ARABINOSE 0.01/H5_02.tif "/>
    <s v=" 282.7988 "/>
    <s v=" 63.5385 "/>
    <x v="0"/>
    <n v="17969"/>
    <m/>
    <m/>
    <m/>
  </r>
  <r>
    <x v="8"/>
    <x v="7"/>
    <s v="Q:\R&amp;D\2-Test oestrogénique\OECD and AOPs\REACTIV oecd interlaboratory validation\Results WF\Repeats for invalid experiments - EBO\2022-EBO-ARABINOSE R5\plaque 1/@08 ARABINOSE 0.01/H5_03.tif "/>
    <s v=" 217.5376 "/>
    <s v=" 64.2 "/>
    <x v="0"/>
    <n v="13966"/>
    <m/>
    <m/>
    <m/>
  </r>
  <r>
    <x v="1"/>
    <x v="8"/>
    <s v=" "/>
    <m/>
    <m/>
    <x v="1"/>
    <m/>
    <m/>
    <m/>
    <m/>
  </r>
  <r>
    <x v="1"/>
    <x v="8"/>
    <s v="group "/>
    <s v=" "/>
    <s v=" mean of mean fluo "/>
    <x v="2"/>
    <s v=" mean of total fluo "/>
    <s v=" SD total fluo "/>
    <s v=" n fluorescent "/>
    <s v=" n total"/>
  </r>
  <r>
    <x v="8"/>
    <x v="9"/>
    <s v="Q:\R&amp;D\2-Test oestrogénique\OECD and AOPs\REACTIV oecd interlaboratory validation\Results WF\Repeats for invalid experiments - EBO\2022-EBO-ARABINOSE R5\plaque 1/@08 ARABINOSE 0.01/ "/>
    <s v=" "/>
    <s v=" 66.9621 "/>
    <x v="10"/>
    <s v=" 266066.667 "/>
    <s v=" 437436.57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9"/>
    <x v="0"/>
    <s v="Q:\R&amp;D\2-Test oestrogénique\OECD and AOPs\REACTIV oecd interlaboratory validation\Results WF\Repeats for invalid experiments - EBO\2022-EBO-ARABINOSE R5\plaque 1/@09 ARABINOSE 0.1/A6_01.tif "/>
    <s v=" 5938.7751 "/>
    <s v=" 70.6703 "/>
    <x v="0"/>
    <n v="419695"/>
    <m/>
    <m/>
    <m/>
  </r>
  <r>
    <x v="9"/>
    <x v="0"/>
    <s v="Q:\R&amp;D\2-Test oestrogénique\OECD and AOPs\REACTIV oecd interlaboratory validation\Results WF\Repeats for invalid experiments - EBO\2022-EBO-ARABINOSE R5\plaque 1/@09 ARABINOSE 0.1/A6_02.tif "/>
    <s v=" 5046.8712 "/>
    <s v=" 68.0948 "/>
    <x v="0"/>
    <n v="343666"/>
    <m/>
    <m/>
    <m/>
  </r>
  <r>
    <x v="9"/>
    <x v="0"/>
    <s v="Q:\R&amp;D\2-Test oestrogénique\OECD and AOPs\REACTIV oecd interlaboratory validation\Results WF\Repeats for invalid experiments - EBO\2022-EBO-ARABINOSE R5\plaque 1/@09 ARABINOSE 0.1/A6_03.tif "/>
    <s v=" 6178.0664 "/>
    <s v=" 72.8873 "/>
    <x v="0"/>
    <n v="450303"/>
    <m/>
    <m/>
    <m/>
  </r>
  <r>
    <x v="9"/>
    <x v="1"/>
    <s v="Q:\R&amp;D\2-Test oestrogénique\OECD and AOPs\REACTIV oecd interlaboratory validation\Results WF\Repeats for invalid experiments - EBO\2022-EBO-ARABINOSE R5\plaque 1/@09 ARABINOSE 0.1/B6_01.tif "/>
    <s v=" 3328.3245 "/>
    <s v=" 64.6144 "/>
    <x v="0"/>
    <n v="215058"/>
    <m/>
    <m/>
    <m/>
  </r>
  <r>
    <x v="9"/>
    <x v="1"/>
    <s v="Q:\R&amp;D\2-Test oestrogénique\OECD and AOPs\REACTIV oecd interlaboratory validation\Results WF\Repeats for invalid experiments - EBO\2022-EBO-ARABINOSE R5\plaque 1/@09 ARABINOSE 0.1/B6_02.tif "/>
    <s v=" 1348.7328 "/>
    <s v=" 64.8226 "/>
    <x v="0"/>
    <n v="87428"/>
    <m/>
    <m/>
    <m/>
  </r>
  <r>
    <x v="9"/>
    <x v="1"/>
    <s v="Q:\R&amp;D\2-Test oestrogénique\OECD and AOPs\REACTIV oecd interlaboratory validation\Results WF\Repeats for invalid experiments - EBO\2022-EBO-ARABINOSE R5\plaque 1/@09 ARABINOSE 0.1/B6_03.tif "/>
    <s v=" 3045.5257 "/>
    <s v=" 68.4714 "/>
    <x v="0"/>
    <n v="208531"/>
    <m/>
    <m/>
    <m/>
  </r>
  <r>
    <x v="9"/>
    <x v="2"/>
    <s v="Q:\R&amp;D\2-Test oestrogénique\OECD and AOPs\REACTIV oecd interlaboratory validation\Results WF\Repeats for invalid experiments - EBO\2022-EBO-ARABINOSE R5\plaque 1/@09 ARABINOSE 0.1/C6_01- exclu.tif"/>
    <m/>
    <m/>
    <x v="1"/>
    <m/>
    <m/>
    <m/>
    <m/>
  </r>
  <r>
    <x v="9"/>
    <x v="2"/>
    <s v="Q:\R&amp;D\2-Test oestrogénique\OECD and AOPs\REACTIV oecd interlaboratory validation\Results WF\Repeats for invalid experiments - EBO\2022-EBO-ARABINOSE R5\plaque 1/@09 ARABINOSE 0.1/C6_02.tif "/>
    <s v=" 195.7838 "/>
    <n v="62"/>
    <x v="0"/>
    <n v="12139"/>
    <m/>
    <m/>
    <m/>
  </r>
  <r>
    <x v="9"/>
    <x v="2"/>
    <s v="Q:\R&amp;D\2-Test oestrogénique\OECD and AOPs\REACTIV oecd interlaboratory validation\Results WF\Repeats for invalid experiments - EBO\2022-EBO-ARABINOSE R5\plaque 1/@09 ARABINOSE 0.1/C6_03.tif "/>
    <s v=" 717.8739 "/>
    <s v=" 63.9091 "/>
    <x v="0"/>
    <n v="45879"/>
    <m/>
    <m/>
    <m/>
  </r>
  <r>
    <x v="9"/>
    <x v="3"/>
    <s v="Q:\R&amp;D\2-Test oestrogénique\OECD and AOPs\REACTIV oecd interlaboratory validation\Results WF\Repeats for invalid experiments - EBO\2022-EBO-ARABINOSE R5\plaque 1/@09 ARABINOSE 0.1/D6_01- exclu.tif"/>
    <m/>
    <m/>
    <x v="1"/>
    <m/>
    <m/>
    <m/>
    <m/>
  </r>
  <r>
    <x v="9"/>
    <x v="3"/>
    <s v="Q:\R&amp;D\2-Test oestrogénique\OECD and AOPs\REACTIV oecd interlaboratory validation\Results WF\Repeats for invalid experiments - EBO\2022-EBO-ARABINOSE R5\plaque 1/@09 ARABINOSE 0.1/D6_02.tif "/>
    <s v=" 87.015 "/>
    <s v=" 61.25 "/>
    <x v="0"/>
    <n v="5330"/>
    <m/>
    <m/>
    <m/>
  </r>
  <r>
    <x v="9"/>
    <x v="3"/>
    <s v="Q:\R&amp;D\2-Test oestrogénique\OECD and AOPs\REACTIV oecd interlaboratory validation\Results WF\Repeats for invalid experiments - EBO\2022-EBO-ARABINOSE R5\plaque 1/@09 ARABINOSE 0.1/D6_03.tif "/>
    <s v=" 391.5676 "/>
    <s v=" 62.3889 "/>
    <x v="0"/>
    <n v="24429"/>
    <m/>
    <m/>
    <m/>
  </r>
  <r>
    <x v="9"/>
    <x v="4"/>
    <s v="Q:\R&amp;D\2-Test oestrogénique\OECD and AOPs\REACTIV oecd interlaboratory validation\Results WF\Repeats for invalid experiments - EBO\2022-EBO-ARABINOSE R5\plaque 1/@09 ARABINOSE 0.1/E6_01.tif "/>
    <s v=" 1740.3004 "/>
    <s v=" 67.3 "/>
    <x v="0"/>
    <n v="117122"/>
    <m/>
    <m/>
    <m/>
  </r>
  <r>
    <x v="9"/>
    <x v="4"/>
    <s v="Q:\R&amp;D\2-Test oestrogénique\OECD and AOPs\REACTIV oecd interlaboratory validation\Results WF\Repeats for invalid experiments - EBO\2022-EBO-ARABINOSE R5\plaque 1/@09 ARABINOSE 0.1/E6_02.tif "/>
    <s v=" 1239.964 "/>
    <s v=" 64.0877 "/>
    <x v="0"/>
    <n v="79466"/>
    <m/>
    <m/>
    <m/>
  </r>
  <r>
    <x v="9"/>
    <x v="4"/>
    <s v="Q:\R&amp;D\2-Test oestrogénique\OECD and AOPs\REACTIV oecd interlaboratory validation\Results WF\Repeats for invalid experiments - EBO\2022-EBO-ARABINOSE R5\plaque 1/@09 ARABINOSE 0.1/E6_03.tif "/>
    <s v=" 239.2913 "/>
    <s v=" 62.1818 "/>
    <x v="0"/>
    <n v="14880"/>
    <m/>
    <m/>
    <m/>
  </r>
  <r>
    <x v="9"/>
    <x v="5"/>
    <s v="Q:\R&amp;D\2-Test oestrogénique\OECD and AOPs\REACTIV oecd interlaboratory validation\Results WF\Repeats for invalid experiments - EBO\2022-EBO-ARABINOSE R5\plaque 1/@09 ARABINOSE 0.1/F6_01.tif "/>
    <s v=" 1457.5016 "/>
    <s v=" 66.6119 "/>
    <x v="0"/>
    <n v="97087"/>
    <m/>
    <m/>
    <m/>
  </r>
  <r>
    <x v="9"/>
    <x v="5"/>
    <s v="Q:\R&amp;D\2-Test oestrogénique\OECD and AOPs\REACTIV oecd interlaboratory validation\Results WF\Repeats for invalid experiments - EBO\2022-EBO-ARABINOSE R5\plaque 1/@09 ARABINOSE 0.1/F6_02.tif "/>
    <s v=" 543.8439 "/>
    <s v=" 63.72 "/>
    <x v="0"/>
    <n v="34654"/>
    <m/>
    <m/>
    <m/>
  </r>
  <r>
    <x v="9"/>
    <x v="5"/>
    <s v="Q:\R&amp;D\2-Test oestrogénique\OECD and AOPs\REACTIV oecd interlaboratory validation\Results WF\Repeats for invalid experiments - EBO\2022-EBO-ARABINOSE R5\plaque 1/@09 ARABINOSE 0.1/F6_03.tif "/>
    <s v=" 565.5976 "/>
    <s v=" 64.3846 "/>
    <x v="0"/>
    <n v="36416"/>
    <m/>
    <m/>
    <m/>
  </r>
  <r>
    <x v="9"/>
    <x v="6"/>
    <s v="Q:\R&amp;D\2-Test oestrogénique\OECD and AOPs\REACTIV oecd interlaboratory validation\Results WF\Repeats for invalid experiments - EBO\2022-EBO-ARABINOSE R5\plaque 1/@09 ARABINOSE 0.1/G6_01.tif "/>
    <s v=" 130.5225 "/>
    <s v=" 64.1667 "/>
    <x v="0"/>
    <n v="8375"/>
    <m/>
    <m/>
    <m/>
  </r>
  <r>
    <x v="9"/>
    <x v="6"/>
    <s v="Q:\R&amp;D\2-Test oestrogénique\OECD and AOPs\REACTIV oecd interlaboratory validation\Results WF\Repeats for invalid experiments - EBO\2022-EBO-ARABINOSE R5\plaque 1/@09 ARABINOSE 0.1/G6_02.tif "/>
    <s v=" 87.015 "/>
    <n v="64"/>
    <x v="0"/>
    <n v="5569"/>
    <m/>
    <m/>
    <m/>
  </r>
  <r>
    <x v="9"/>
    <x v="6"/>
    <s v="Q:\R&amp;D\2-Test oestrogénique\OECD and AOPs\REACTIV oecd interlaboratory validation\Results WF\Repeats for invalid experiments - EBO\2022-EBO-ARABINOSE R5\plaque 1/@09 ARABINOSE 0.1/G6_03.tif "/>
    <s v=" 369.8138 "/>
    <s v=" 62.2941 "/>
    <x v="0"/>
    <n v="23037"/>
    <m/>
    <m/>
    <m/>
  </r>
  <r>
    <x v="9"/>
    <x v="7"/>
    <s v="Q:\R&amp;D\2-Test oestrogénique\OECD and AOPs\REACTIV oecd interlaboratory validation\Results WF\Repeats for invalid experiments - EBO\2022-EBO-ARABINOSE R5\plaque 1/@09 ARABINOSE 0.1/H6_01- exclu.tif"/>
    <m/>
    <m/>
    <x v="1"/>
    <m/>
    <m/>
    <m/>
    <m/>
  </r>
  <r>
    <x v="9"/>
    <x v="7"/>
    <s v="Q:\R&amp;D\2-Test oestrogénique\OECD and AOPs\REACTIV oecd interlaboratory validation\Results WF\Repeats for invalid experiments - EBO\2022-EBO-ARABINOSE R5\plaque 1/@09 ARABINOSE 0.1/H6_02- exclu.tif"/>
    <m/>
    <m/>
    <x v="1"/>
    <m/>
    <m/>
    <m/>
    <m/>
  </r>
  <r>
    <x v="9"/>
    <x v="7"/>
    <s v="Q:\R&amp;D\2-Test oestrogénique\OECD and AOPs\REACTIV oecd interlaboratory validation\Results WF\Repeats for invalid experiments - EBO\2022-EBO-ARABINOSE R5\plaque 1/@09 ARABINOSE 0.1/H6_03.tif "/>
    <s v=" 1979.5917 "/>
    <s v=" 65.978 "/>
    <x v="0"/>
    <n v="130610"/>
    <m/>
    <m/>
    <m/>
  </r>
  <r>
    <x v="1"/>
    <x v="8"/>
    <s v=" "/>
    <m/>
    <m/>
    <x v="1"/>
    <m/>
    <m/>
    <m/>
    <m/>
  </r>
  <r>
    <x v="1"/>
    <x v="8"/>
    <s v="group "/>
    <s v=" "/>
    <s v=" mean of mean fluo "/>
    <x v="2"/>
    <s v=" mean of total fluo "/>
    <s v=" SD total fluo "/>
    <s v=" n fluorescent "/>
    <s v=" n total"/>
  </r>
  <r>
    <x v="9"/>
    <x v="9"/>
    <s v="Q:\R&amp;D\2-Test oestrogénique\OECD and AOPs\REACTIV oecd interlaboratory validation\Results WF\Repeats for invalid experiments - EBO\2022-EBO-ARABINOSE R5\plaque 1/@09 ARABINOSE 0.1/ "/>
    <s v=" "/>
    <s v=" 65.5071 "/>
    <x v="11"/>
    <s v=" 137378.583 "/>
    <s v=" 172743.24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0"/>
    <x v="0"/>
    <s v="Q:\R&amp;D\2-Test oestrogénique\OECD and AOPs\REACTIV oecd interlaboratory validation\Results WF\Repeats for invalid experiments - EBO\2022-EBO-ARABINOSE R5\plaque 1/@10 ARABINOSE 1/A7_01.tif "/>
    <s v=" 456.8289 "/>
    <s v=" 63.381 "/>
    <x v="0"/>
    <n v="28954"/>
    <m/>
    <m/>
    <m/>
  </r>
  <r>
    <x v="10"/>
    <x v="0"/>
    <s v="Q:\R&amp;D\2-Test oestrogénique\OECD and AOPs\REACTIV oecd interlaboratory validation\Results WF\Repeats for invalid experiments - EBO\2022-EBO-ARABINOSE R5\plaque 1/@10 ARABINOSE 1/A7_02.tif "/>
    <s v=" 1174.7028 "/>
    <s v=" 66.7222 "/>
    <x v="0"/>
    <n v="78379"/>
    <m/>
    <m/>
    <m/>
  </r>
  <r>
    <x v="10"/>
    <x v="0"/>
    <s v="Q:\R&amp;D\2-Test oestrogénique\OECD and AOPs\REACTIV oecd interlaboratory validation\Results WF\Repeats for invalid experiments - EBO\2022-EBO-ARABINOSE R5\plaque 1/@10 ARABINOSE 1/A7_03.tif "/>
    <s v=" 717.8739 "/>
    <s v=" 63.4848 "/>
    <x v="0"/>
    <n v="45574"/>
    <m/>
    <m/>
    <m/>
  </r>
  <r>
    <x v="10"/>
    <x v="1"/>
    <s v="Q:\R&amp;D\2-Test oestrogénique\OECD and AOPs\REACTIV oecd interlaboratory validation\Results WF\Repeats for invalid experiments - EBO\2022-EBO-ARABINOSE R5\plaque 1/@10 ARABINOSE 1/B7_01- exclu.tif"/>
    <m/>
    <m/>
    <x v="1"/>
    <m/>
    <m/>
    <m/>
    <m/>
  </r>
  <r>
    <x v="10"/>
    <x v="1"/>
    <s v="Q:\R&amp;D\2-Test oestrogénique\OECD and AOPs\REACTIV oecd interlaboratory validation\Results WF\Repeats for invalid experiments - EBO\2022-EBO-ARABINOSE R5\plaque 1/@10 ARABINOSE 1/B7_02.tif "/>
    <s v=" 2806.2344 "/>
    <s v=" 66.8527 "/>
    <x v="0"/>
    <n v="187604"/>
    <m/>
    <m/>
    <m/>
  </r>
  <r>
    <x v="10"/>
    <x v="1"/>
    <s v="Q:\R&amp;D\2-Test oestrogénique\OECD and AOPs\REACTIV oecd interlaboratory validation\Results WF\Repeats for invalid experiments - EBO\2022-EBO-ARABINOSE R5\plaque 1/@10 ARABINOSE 1/B7_03.tif "/>
    <s v=" 456.8289 "/>
    <s v=" 64.2857 "/>
    <x v="0"/>
    <n v="29368"/>
    <m/>
    <m/>
    <m/>
  </r>
  <r>
    <x v="10"/>
    <x v="2"/>
    <s v="Q:\R&amp;D\2-Test oestrogénique\OECD and AOPs\REACTIV oecd interlaboratory validation\Results WF\Repeats for invalid experiments - EBO\2022-EBO-ARABINOSE R5\plaque 1/@10 ARABINOSE 1/C7_01.tif "/>
    <s v=" 435.0751 "/>
    <s v=" 62.25 "/>
    <x v="0"/>
    <n v="27083"/>
    <m/>
    <m/>
    <m/>
  </r>
  <r>
    <x v="10"/>
    <x v="2"/>
    <s v="Q:\R&amp;D\2-Test oestrogénique\OECD and AOPs\REACTIV oecd interlaboratory validation\Results WF\Repeats for invalid experiments - EBO\2022-EBO-ARABINOSE R5\plaque 1/@10 ARABINOSE 1/C7_02- exclu.tif"/>
    <m/>
    <m/>
    <x v="1"/>
    <m/>
    <m/>
    <m/>
    <m/>
  </r>
  <r>
    <x v="10"/>
    <x v="2"/>
    <s v="Q:\R&amp;D\2-Test oestrogénique\OECD and AOPs\REACTIV oecd interlaboratory validation\Results WF\Repeats for invalid experiments - EBO\2022-EBO-ARABINOSE R5\plaque 1/@10 ARABINOSE 1/C7_03- exclu.tif"/>
    <m/>
    <m/>
    <x v="1"/>
    <m/>
    <m/>
    <m/>
    <m/>
  </r>
  <r>
    <x v="10"/>
    <x v="3"/>
    <s v="Q:\R&amp;D\2-Test oestrogénique\OECD and AOPs\REACTIV oecd interlaboratory validation\Results WF\Repeats for invalid experiments - EBO\2022-EBO-ARABINOSE R5\plaque 1/@10 ARABINOSE 1/D7_01.tif "/>
    <s v=" 609.1051 "/>
    <s v=" 63.9643 "/>
    <x v="0"/>
    <n v="38961"/>
    <m/>
    <m/>
    <m/>
  </r>
  <r>
    <x v="10"/>
    <x v="3"/>
    <s v="Q:\R&amp;D\2-Test oestrogénique\OECD and AOPs\REACTIV oecd interlaboratory validation\Results WF\Repeats for invalid experiments - EBO\2022-EBO-ARABINOSE R5\plaque 1/@10 ARABINOSE 1/D7_02.tif "/>
    <s v=" 1065.934 "/>
    <s v=" 65.1837 "/>
    <x v="0"/>
    <n v="69481"/>
    <m/>
    <m/>
    <m/>
  </r>
  <r>
    <x v="10"/>
    <x v="3"/>
    <s v="Q:\R&amp;D\2-Test oestrogénique\OECD and AOPs\REACTIV oecd interlaboratory validation\Results WF\Repeats for invalid experiments - EBO\2022-EBO-ARABINOSE R5\plaque 1/@10 ARABINOSE 1/D7_03.tif "/>
    <s v=" 326.3063 "/>
    <s v=" 63.9333 "/>
    <x v="0"/>
    <n v="20862"/>
    <m/>
    <m/>
    <m/>
  </r>
  <r>
    <x v="10"/>
    <x v="4"/>
    <s v="Q:\R&amp;D\2-Test oestrogénique\OECD and AOPs\REACTIV oecd interlaboratory validation\Results WF\Repeats for invalid experiments - EBO\2022-EBO-ARABINOSE R5\plaque 1/@10 ARABINOSE 1/E7_01.tif "/>
    <s v=" 10876.8775 "/>
    <s v=" 80.816 "/>
    <x v="0"/>
    <n v="879026"/>
    <m/>
    <m/>
    <m/>
  </r>
  <r>
    <x v="10"/>
    <x v="4"/>
    <s v="Q:\R&amp;D\2-Test oestrogénique\OECD and AOPs\REACTIV oecd interlaboratory validation\Results WF\Repeats for invalid experiments - EBO\2022-EBO-ARABINOSE R5\plaque 1/@10 ARABINOSE 1/E7_02- exclu.tif"/>
    <m/>
    <m/>
    <x v="1"/>
    <m/>
    <m/>
    <m/>
    <m/>
  </r>
  <r>
    <x v="10"/>
    <x v="4"/>
    <s v="Q:\R&amp;D\2-Test oestrogénique\OECD and AOPs\REACTIV oecd interlaboratory validation\Results WF\Repeats for invalid experiments - EBO\2022-EBO-ARABINOSE R5\plaque 1/@10 ARABINOSE 1/E7_03- exclu.tif"/>
    <m/>
    <m/>
    <x v="1"/>
    <m/>
    <m/>
    <m/>
    <m/>
  </r>
  <r>
    <x v="10"/>
    <x v="5"/>
    <s v="Q:\R&amp;D\2-Test oestrogénique\OECD and AOPs\REACTIV oecd interlaboratory validation\Results WF\Repeats for invalid experiments - EBO\2022-EBO-ARABINOSE R5\plaque 1/@10 ARABINOSE 1/F7_01.tif "/>
    <s v=" 1413.9941 "/>
    <s v=" 63.7231 "/>
    <x v="0"/>
    <n v="90104"/>
    <m/>
    <m/>
    <m/>
  </r>
  <r>
    <x v="10"/>
    <x v="5"/>
    <s v="Q:\R&amp;D\2-Test oestrogénique\OECD and AOPs\REACTIV oecd interlaboratory validation\Results WF\Repeats for invalid experiments - EBO\2022-EBO-ARABINOSE R5\plaque 1/@10 ARABINOSE 1/F7_02- exclu.tif"/>
    <m/>
    <m/>
    <x v="1"/>
    <m/>
    <m/>
    <m/>
    <m/>
  </r>
  <r>
    <x v="10"/>
    <x v="5"/>
    <s v="Q:\R&amp;D\2-Test oestrogénique\OECD and AOPs\REACTIV oecd interlaboratory validation\Results WF\Repeats for invalid experiments - EBO\2022-EBO-ARABINOSE R5\plaque 1/@10 ARABINOSE 1/F7_03.tif "/>
    <s v=" 1870.8229 "/>
    <s v=" 64.3372 "/>
    <x v="0"/>
    <n v="120364"/>
    <m/>
    <m/>
    <m/>
  </r>
  <r>
    <x v="10"/>
    <x v="6"/>
    <s v="Q:\R&amp;D\2-Test oestrogénique\OECD and AOPs\REACTIV oecd interlaboratory validation\Results WF\Repeats for invalid experiments - EBO\2022-EBO-ARABINOSE R5\plaque 1/@10 ARABINOSE 1/G7_01.tif "/>
    <s v=" 239.2913 "/>
    <s v=" 61.9091 "/>
    <x v="0"/>
    <n v="14814"/>
    <m/>
    <m/>
    <m/>
  </r>
  <r>
    <x v="10"/>
    <x v="6"/>
    <s v="Q:\R&amp;D\2-Test oestrogénique\OECD and AOPs\REACTIV oecd interlaboratory validation\Results WF\Repeats for invalid experiments - EBO\2022-EBO-ARABINOSE R5\plaque 1/@10 ARABINOSE 1/G7_02.tif "/>
    <s v=" 413.3213 "/>
    <s v=" 64.6316 "/>
    <x v="0"/>
    <n v="26714"/>
    <m/>
    <m/>
    <m/>
  </r>
  <r>
    <x v="10"/>
    <x v="6"/>
    <s v="Q:\R&amp;D\2-Test oestrogénique\OECD and AOPs\REACTIV oecd interlaboratory validation\Results WF\Repeats for invalid experiments - EBO\2022-EBO-ARABINOSE R5\plaque 1/@10 ARABINOSE 1/G7_03.tif "/>
    <s v=" 195.7838 "/>
    <s v=" 62.5556 "/>
    <x v="0"/>
    <n v="12247"/>
    <m/>
    <m/>
    <m/>
  </r>
  <r>
    <x v="10"/>
    <x v="7"/>
    <s v="Q:\R&amp;D\2-Test oestrogénique\OECD and AOPs\REACTIV oecd interlaboratory validation\Results WF\Repeats for invalid experiments - EBO\2022-EBO-ARABINOSE R5\plaque 1/@10 ARABINOSE 1/H7_01.tif "/>
    <s v=" 3241.3095 "/>
    <s v=" 66.4094 "/>
    <x v="0"/>
    <n v="215253"/>
    <m/>
    <m/>
    <m/>
  </r>
  <r>
    <x v="10"/>
    <x v="7"/>
    <s v="Q:\R&amp;D\2-Test oestrogénique\OECD and AOPs\REACTIV oecd interlaboratory validation\Results WF\Repeats for invalid experiments - EBO\2022-EBO-ARABINOSE R5\plaque 1/@10 ARABINOSE 1/H7_02- exclu.tif"/>
    <m/>
    <m/>
    <x v="1"/>
    <m/>
    <m/>
    <m/>
    <m/>
  </r>
  <r>
    <x v="10"/>
    <x v="7"/>
    <s v="Q:\R&amp;D\2-Test oestrogénique\OECD and AOPs\REACTIV oecd interlaboratory validation\Results WF\Repeats for invalid experiments - EBO\2022-EBO-ARABINOSE R5\plaque 1/@10 ARABINOSE 1/H7_03- exclu.tif"/>
    <m/>
    <m/>
    <x v="1"/>
    <m/>
    <m/>
    <m/>
    <m/>
  </r>
  <r>
    <x v="1"/>
    <x v="8"/>
    <s v=" "/>
    <m/>
    <m/>
    <x v="1"/>
    <m/>
    <m/>
    <m/>
    <m/>
  </r>
  <r>
    <x v="1"/>
    <x v="8"/>
    <s v="group "/>
    <s v=" "/>
    <s v=" mean of mean fluo "/>
    <x v="2"/>
    <s v=" mean of total fluo "/>
    <s v=" SD total fluo "/>
    <s v=" n fluorescent "/>
    <s v=" n total"/>
  </r>
  <r>
    <x v="10"/>
    <x v="9"/>
    <s v="Q:\R&amp;D\2-Test oestrogénique\OECD and AOPs\REACTIV oecd interlaboratory validation\Results WF\Repeats for invalid experiments - EBO\2022-EBO-ARABINOSE R5\plaque 1/@10 ARABINOSE 1/ "/>
    <s v=" "/>
    <s v=" 66.4142 "/>
    <x v="12"/>
    <s v=" 158783.375 "/>
    <s v=" 287231.758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1"/>
    <x v="0"/>
    <s v="Q:\R&amp;D\2-Test oestrogénique\OECD and AOPs\REACTIV oecd interlaboratory validation\Results WF\Repeats for invalid experiments - EBO\2022-EBO-ARABINOSE R5\plaque 1/@11 ARABINOSE 10/A8_01.tif "/>
    <s v=" 2523.4356 "/>
    <s v=" 64.9052 "/>
    <x v="0"/>
    <n v="163784"/>
    <m/>
    <m/>
    <m/>
  </r>
  <r>
    <x v="11"/>
    <x v="0"/>
    <s v="Q:\R&amp;D\2-Test oestrogénique\OECD and AOPs\REACTIV oecd interlaboratory validation\Results WF\Repeats for invalid experiments - EBO\2022-EBO-ARABINOSE R5\plaque 1/@11 ARABINOSE 10/A8_02.tif "/>
    <s v=" 2436.4206 "/>
    <s v=" 65.375 "/>
    <x v="0"/>
    <n v="159281"/>
    <m/>
    <m/>
    <m/>
  </r>
  <r>
    <x v="11"/>
    <x v="0"/>
    <s v="Q:\R&amp;D\2-Test oestrogénique\OECD and AOPs\REACTIV oecd interlaboratory validation\Results WF\Repeats for invalid experiments - EBO\2022-EBO-ARABINOSE R5\plaque 1/@11 ARABINOSE 10/A8_03.tif "/>
    <s v=" 3741.6459 "/>
    <s v=" 66.3663 "/>
    <x v="0"/>
    <n v="248319"/>
    <m/>
    <m/>
    <m/>
  </r>
  <r>
    <x v="11"/>
    <x v="1"/>
    <s v="Q:\R&amp;D\2-Test oestrogénique\OECD and AOPs\REACTIV oecd interlaboratory validation\Results WF\Repeats for invalid experiments - EBO\2022-EBO-ARABINOSE R5\plaque 1/@11 ARABINOSE 10/B8_01.tif "/>
    <s v=" 413.3213 "/>
    <s v=" 64.2105 "/>
    <x v="0"/>
    <n v="26540"/>
    <m/>
    <m/>
    <m/>
  </r>
  <r>
    <x v="11"/>
    <x v="1"/>
    <s v="Q:\R&amp;D\2-Test oestrogénique\OECD and AOPs\REACTIV oecd interlaboratory validation\Results WF\Repeats for invalid experiments - EBO\2022-EBO-ARABINOSE R5\plaque 1/@11 ARABINOSE 10/B8_02.tif "/>
    <s v=" 152.2763 "/>
    <s v=" 61.1429 "/>
    <x v="0"/>
    <n v="9311"/>
    <m/>
    <m/>
    <m/>
  </r>
  <r>
    <x v="11"/>
    <x v="1"/>
    <s v="Q:\R&amp;D\2-Test oestrogénique\OECD and AOPs\REACTIV oecd interlaboratory validation\Results WF\Repeats for invalid experiments - EBO\2022-EBO-ARABINOSE R5\plaque 1/@11 ARABINOSE 10/B8_03.tif "/>
    <s v=" 261.0451 "/>
    <s v=" 65.25 "/>
    <x v="0"/>
    <n v="17033"/>
    <m/>
    <m/>
    <m/>
  </r>
  <r>
    <x v="11"/>
    <x v="2"/>
    <s v="Q:\R&amp;D\2-Test oestrogénique\OECD and AOPs\REACTIV oecd interlaboratory validation\Results WF\Repeats for invalid experiments - EBO\2022-EBO-ARABINOSE R5\plaque 1/@11 ARABINOSE 10/C8_01.tif "/>
    <s v=" 4220.2285 "/>
    <s v=" 68.1082 "/>
    <x v="0"/>
    <n v="287432"/>
    <m/>
    <m/>
    <m/>
  </r>
  <r>
    <x v="11"/>
    <x v="2"/>
    <s v="Q:\R&amp;D\2-Test oestrogénique\OECD and AOPs\REACTIV oecd interlaboratory validation\Results WF\Repeats for invalid experiments - EBO\2022-EBO-ARABINOSE R5\plaque 1/@11 ARABINOSE 10/C8_02.tif "/>
    <s v=" 543.8439 "/>
    <s v=" 67.32 "/>
    <x v="0"/>
    <n v="36612"/>
    <m/>
    <m/>
    <m/>
  </r>
  <r>
    <x v="11"/>
    <x v="2"/>
    <s v="Q:\R&amp;D\2-Test oestrogénique\OECD and AOPs\REACTIV oecd interlaboratory validation\Results WF\Repeats for invalid experiments - EBO\2022-EBO-ARABINOSE R5\plaque 1/@11 ARABINOSE 10/C8_03.tif "/>
    <s v=" 3263.0633 "/>
    <s v=" 66.4867 "/>
    <x v="0"/>
    <n v="216950"/>
    <m/>
    <m/>
    <m/>
  </r>
  <r>
    <x v="11"/>
    <x v="3"/>
    <s v="Q:\R&amp;D\2-Test oestrogénique\OECD and AOPs\REACTIV oecd interlaboratory validation\Results WF\Repeats for invalid experiments - EBO\2022-EBO-ARABINOSE R5\plaque 1/@11 ARABINOSE 10/D8_01.tif "/>
    <s v=" 2327.6518 "/>
    <s v=" 64.9439 "/>
    <x v="0"/>
    <n v="151167"/>
    <m/>
    <m/>
    <m/>
  </r>
  <r>
    <x v="11"/>
    <x v="3"/>
    <s v="Q:\R&amp;D\2-Test oestrogénique\OECD and AOPs\REACTIV oecd interlaboratory validation\Results WF\Repeats for invalid experiments - EBO\2022-EBO-ARABINOSE R5\plaque 1/@11 ARABINOSE 10/D8_02.tif "/>
    <s v=" 609.1051 "/>
    <s v=" 63.1786 "/>
    <x v="0"/>
    <n v="38482"/>
    <m/>
    <m/>
    <m/>
  </r>
  <r>
    <x v="11"/>
    <x v="3"/>
    <s v="Q:\R&amp;D\2-Test oestrogénique\OECD and AOPs\REACTIV oecd interlaboratory validation\Results WF\Repeats for invalid experiments - EBO\2022-EBO-ARABINOSE R5\plaque 1/@11 ARABINOSE 10/D8_03.tif "/>
    <s v=" 1196.4565 "/>
    <s v=" 67.0727 "/>
    <x v="0"/>
    <n v="80250"/>
    <m/>
    <m/>
    <m/>
  </r>
  <r>
    <x v="11"/>
    <x v="4"/>
    <s v="Q:\R&amp;D\2-Test oestrogénique\OECD and AOPs\REACTIV oecd interlaboratory validation\Results WF\Repeats for invalid experiments - EBO\2022-EBO-ARABINOSE R5\plaque 1/@11 ARABINOSE 10/E8_01.tif "/>
    <s v=" 435.0751 "/>
    <s v=" 62.55 "/>
    <x v="0"/>
    <n v="27214"/>
    <m/>
    <m/>
    <m/>
  </r>
  <r>
    <x v="11"/>
    <x v="4"/>
    <s v="Q:\R&amp;D\2-Test oestrogénique\OECD and AOPs\REACTIV oecd interlaboratory validation\Results WF\Repeats for invalid experiments - EBO\2022-EBO-ARABINOSE R5\plaque 1/@11 ARABINOSE 10/E8_02.tif "/>
    <s v=" 435.0751 "/>
    <n v="63"/>
    <x v="0"/>
    <n v="27410"/>
    <m/>
    <m/>
    <m/>
  </r>
  <r>
    <x v="11"/>
    <x v="4"/>
    <s v="Q:\R&amp;D\2-Test oestrogénique\OECD and AOPs\REACTIV oecd interlaboratory validation\Results WF\Repeats for invalid experiments - EBO\2022-EBO-ARABINOSE R5\plaque 1/@11 ARABINOSE 10/E8_03- exclu.tif"/>
    <m/>
    <m/>
    <x v="1"/>
    <m/>
    <m/>
    <m/>
    <m/>
  </r>
  <r>
    <x v="11"/>
    <x v="5"/>
    <s v="Q:\R&amp;D\2-Test oestrogénique\OECD and AOPs\REACTIV oecd interlaboratory validation\Results WF\Repeats for invalid experiments - EBO\2022-EBO-ARABINOSE R5\plaque 1/@11 ARABINOSE 10/F8_01.tif "/>
    <s v=" 326.3063 "/>
    <s v=" 62.3333 "/>
    <x v="0"/>
    <n v="20340"/>
    <m/>
    <m/>
    <m/>
  </r>
  <r>
    <x v="11"/>
    <x v="5"/>
    <s v="Q:\R&amp;D\2-Test oestrogénique\OECD and AOPs\REACTIV oecd interlaboratory validation\Results WF\Repeats for invalid experiments - EBO\2022-EBO-ARABINOSE R5\plaque 1/@11 ARABINOSE 10/F8_02.tif "/>
    <s v=" 1979.5917 "/>
    <s v=" 67.9451 "/>
    <x v="0"/>
    <n v="134503"/>
    <m/>
    <m/>
    <m/>
  </r>
  <r>
    <x v="11"/>
    <x v="5"/>
    <s v="Q:\R&amp;D\2-Test oestrogénique\OECD and AOPs\REACTIV oecd interlaboratory validation\Results WF\Repeats for invalid experiments - EBO\2022-EBO-ARABINOSE R5\plaque 1/@11 ARABINOSE 10/F8_03.tif "/>
    <s v=" 848.3964 "/>
    <s v=" 63.3077 "/>
    <x v="0"/>
    <n v="53710"/>
    <m/>
    <m/>
    <m/>
  </r>
  <r>
    <x v="11"/>
    <x v="6"/>
    <s v="Q:\R&amp;D\2-Test oestrogénique\OECD and AOPs\REACTIV oecd interlaboratory validation\Results WF\Repeats for invalid experiments - EBO\2022-EBO-ARABINOSE R5\plaque 1/@11 ARABINOSE 10/G8_01.tif "/>
    <s v=" 2414.6668 "/>
    <s v=" 67.027 "/>
    <x v="0"/>
    <n v="161848"/>
    <m/>
    <m/>
    <m/>
  </r>
  <r>
    <x v="11"/>
    <x v="6"/>
    <s v="Q:\R&amp;D\2-Test oestrogénique\OECD and AOPs\REACTIV oecd interlaboratory validation\Results WF\Repeats for invalid experiments - EBO\2022-EBO-ARABINOSE R5\plaque 1/@11 ARABINOSE 10/G8_02- exclu.tif"/>
    <m/>
    <m/>
    <x v="1"/>
    <m/>
    <m/>
    <m/>
    <m/>
  </r>
  <r>
    <x v="11"/>
    <x v="6"/>
    <s v="Q:\R&amp;D\2-Test oestrogénique\OECD and AOPs\REACTIV oecd interlaboratory validation\Results WF\Repeats for invalid experiments - EBO\2022-EBO-ARABINOSE R5\plaque 1/@11 ARABINOSE 10/G8_03.tif "/>
    <s v=" 413.3213 "/>
    <s v=" 63.3158 "/>
    <x v="0"/>
    <n v="26170"/>
    <m/>
    <m/>
    <m/>
  </r>
  <r>
    <x v="11"/>
    <x v="7"/>
    <s v="Q:\R&amp;D\2-Test oestrogénique\OECD and AOPs\REACTIV oecd interlaboratory validation\Results WF\Repeats for invalid experiments - EBO\2022-EBO-ARABINOSE R5\plaque 1/@11 ARABINOSE 10/H8_01.tif "/>
    <s v=" 3132.5407 "/>
    <s v=" 65.6042 "/>
    <x v="0"/>
    <n v="205508"/>
    <m/>
    <m/>
    <m/>
  </r>
  <r>
    <x v="11"/>
    <x v="7"/>
    <s v="Q:\R&amp;D\2-Test oestrogénique\OECD and AOPs\REACTIV oecd interlaboratory validation\Results WF\Repeats for invalid experiments - EBO\2022-EBO-ARABINOSE R5\plaque 1/@11 ARABINOSE 10/H8_02.tif "/>
    <s v=" 369.8138 "/>
    <s v=" 62.8235 "/>
    <x v="0"/>
    <n v="23233"/>
    <m/>
    <m/>
    <m/>
  </r>
  <r>
    <x v="11"/>
    <x v="7"/>
    <s v="Q:\R&amp;D\2-Test oestrogénique\OECD and AOPs\REACTIV oecd interlaboratory validation\Results WF\Repeats for invalid experiments - EBO\2022-EBO-ARABINOSE R5\plaque 1/@11 ARABINOSE 10/H8_03.tif "/>
    <s v=" 761.3814 "/>
    <s v=" 64.4857 "/>
    <x v="0"/>
    <n v="49098"/>
    <m/>
    <m/>
    <m/>
  </r>
  <r>
    <x v="1"/>
    <x v="8"/>
    <s v=" "/>
    <m/>
    <m/>
    <x v="1"/>
    <m/>
    <m/>
    <m/>
    <m/>
  </r>
  <r>
    <x v="1"/>
    <x v="8"/>
    <s v="group "/>
    <s v=" "/>
    <s v=" mean of mean fluo "/>
    <x v="2"/>
    <s v=" mean of total fluo "/>
    <s v=" SD total fluo "/>
    <s v=" n fluorescent "/>
    <s v=" n total"/>
  </r>
  <r>
    <x v="11"/>
    <x v="9"/>
    <s v="Q:\R&amp;D\2-Test oestrogénique\OECD and AOPs\REACTIV oecd interlaboratory validation\Results WF\Repeats for invalid experiments - EBO\2022-EBO-ARABINOSE R5\plaque 1/@11 ARABINOSE 10/ "/>
    <s v=" "/>
    <s v=" 64.7806 "/>
    <x v="13"/>
    <s v=" 91045.875 "/>
    <s v=" 86717.206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2"/>
    <x v="0"/>
    <s v="Q:\R&amp;D\2-Test oestrogénique\OECD and AOPs\REACTIV oecd interlaboratory validation\Results WF\Repeats for invalid experiments - EBO\2022-EBO-ARABINOSE R5\plaque 1/@12 ARABINOSE 100/A9_01.tif "/>
    <s v=" 913.6577 "/>
    <s v=" 63.1905 "/>
    <x v="0"/>
    <n v="57734"/>
    <m/>
    <m/>
    <m/>
  </r>
  <r>
    <x v="12"/>
    <x v="0"/>
    <s v="Q:\R&amp;D\2-Test oestrogénique\OECD and AOPs\REACTIV oecd interlaboratory validation\Results WF\Repeats for invalid experiments - EBO\2022-EBO-ARABINOSE R5\plaque 1/@12 ARABINOSE 100/A9_02.tif "/>
    <s v=" 2632.2044 "/>
    <s v=" 64.9835 "/>
    <x v="0"/>
    <n v="171050"/>
    <m/>
    <m/>
    <m/>
  </r>
  <r>
    <x v="12"/>
    <x v="0"/>
    <s v="Q:\R&amp;D\2-Test oestrogénique\OECD and AOPs\REACTIV oecd interlaboratory validation\Results WF\Repeats for invalid experiments - EBO\2022-EBO-ARABINOSE R5\plaque 1/@12 ARABINOSE 100/A9_03.tif "/>
    <s v=" 1174.7028 "/>
    <s v=" 64.5741 "/>
    <x v="0"/>
    <n v="75855"/>
    <m/>
    <m/>
    <m/>
  </r>
  <r>
    <x v="12"/>
    <x v="1"/>
    <s v="Q:\R&amp;D\2-Test oestrogénique\OECD and AOPs\REACTIV oecd interlaboratory validation\Results WF\Repeats for invalid experiments - EBO\2022-EBO-ARABINOSE R5\plaque 1/@12 ARABINOSE 100/B9_01.tif "/>
    <s v=" 2175.3755 "/>
    <s v=" 65.42 "/>
    <x v="0"/>
    <n v="142313"/>
    <m/>
    <m/>
    <m/>
  </r>
  <r>
    <x v="12"/>
    <x v="1"/>
    <s v="Q:\R&amp;D\2-Test oestrogénique\OECD and AOPs\REACTIV oecd interlaboratory validation\Results WF\Repeats for invalid experiments - EBO\2022-EBO-ARABINOSE R5\plaque 1/@12 ARABINOSE 100/B9_02.tif "/>
    <s v=" 891.904 "/>
    <s v=" 66.0732 "/>
    <x v="0"/>
    <n v="58931"/>
    <m/>
    <m/>
    <m/>
  </r>
  <r>
    <x v="12"/>
    <x v="1"/>
    <s v="Q:\R&amp;D\2-Test oestrogénique\OECD and AOPs\REACTIV oecd interlaboratory validation\Results WF\Repeats for invalid experiments - EBO\2022-EBO-ARABINOSE R5\plaque 1/@12 ARABINOSE 100/B9_03.tif "/>
    <s v=" 4067.9522 "/>
    <s v=" 68.2299 "/>
    <x v="0"/>
    <n v="277556"/>
    <m/>
    <m/>
    <m/>
  </r>
  <r>
    <x v="12"/>
    <x v="2"/>
    <s v="Q:\R&amp;D\2-Test oestrogénique\OECD and AOPs\REACTIV oecd interlaboratory validation\Results WF\Repeats for invalid experiments - EBO\2022-EBO-ARABINOSE R5\plaque 1/@12 ARABINOSE 100/C9_01.tif "/>
    <s v=" 1609.7779 "/>
    <s v=" 64.9324 "/>
    <x v="0"/>
    <n v="104527"/>
    <m/>
    <m/>
    <m/>
  </r>
  <r>
    <x v="12"/>
    <x v="2"/>
    <s v="Q:\R&amp;D\2-Test oestrogénique\OECD and AOPs\REACTIV oecd interlaboratory validation\Results WF\Repeats for invalid experiments - EBO\2022-EBO-ARABINOSE R5\plaque 1/@12 ARABINOSE 100/C9_02- exclu.tif"/>
    <m/>
    <m/>
    <x v="1"/>
    <m/>
    <m/>
    <m/>
    <m/>
  </r>
  <r>
    <x v="12"/>
    <x v="2"/>
    <s v="Q:\R&amp;D\2-Test oestrogénique\OECD and AOPs\REACTIV oecd interlaboratory validation\Results WF\Repeats for invalid experiments - EBO\2022-EBO-ARABINOSE R5\plaque 1/@12 ARABINOSE 100/C9_03- exclu.tif"/>
    <m/>
    <m/>
    <x v="1"/>
    <m/>
    <m/>
    <m/>
    <m/>
  </r>
  <r>
    <x v="12"/>
    <x v="3"/>
    <s v="Q:\R&amp;D\2-Test oestrogénique\OECD and AOPs\REACTIV oecd interlaboratory validation\Results WF\Repeats for invalid experiments - EBO\2022-EBO-ARABINOSE R5\plaque 1/@12 ARABINOSE 100/D9_01.tif "/>
    <s v=" 108.7688 "/>
    <s v=" 65.4 "/>
    <x v="0"/>
    <n v="7113"/>
    <m/>
    <m/>
    <m/>
  </r>
  <r>
    <x v="12"/>
    <x v="3"/>
    <s v="Q:\R&amp;D\2-Test oestrogénique\OECD and AOPs\REACTIV oecd interlaboratory validation\Results WF\Repeats for invalid experiments - EBO\2022-EBO-ARABINOSE R5\plaque 1/@12 ARABINOSE 100/D9_02.tif "/>
    <s v=" 239.2913 "/>
    <n v="64"/>
    <x v="0"/>
    <n v="15315"/>
    <m/>
    <m/>
    <m/>
  </r>
  <r>
    <x v="12"/>
    <x v="3"/>
    <s v="Q:\R&amp;D\2-Test oestrogénique\OECD and AOPs\REACTIV oecd interlaboratory validation\Results WF\Repeats for invalid experiments - EBO\2022-EBO-ARABINOSE R5\plaque 1/@12 ARABINOSE 100/D9_03.tif "/>
    <s v=" 282.7988 "/>
    <s v=" 64.2308 "/>
    <x v="0"/>
    <n v="18164"/>
    <m/>
    <m/>
    <m/>
  </r>
  <r>
    <x v="12"/>
    <x v="4"/>
    <s v="Q:\R&amp;D\2-Test oestrogénique\OECD and AOPs\REACTIV oecd interlaboratory validation\Results WF\Repeats for invalid experiments - EBO\2022-EBO-ARABINOSE R5\plaque 1/@12 ARABINOSE 100/E9_01.tif "/>
    <s v=" 326.3063 "/>
    <s v=" 64.5333 "/>
    <x v="0"/>
    <n v="21058"/>
    <m/>
    <m/>
    <m/>
  </r>
  <r>
    <x v="12"/>
    <x v="4"/>
    <s v="Q:\R&amp;D\2-Test oestrogénique\OECD and AOPs\REACTIV oecd interlaboratory validation\Results WF\Repeats for invalid experiments - EBO\2022-EBO-ARABINOSE R5\plaque 1/@12 ARABINOSE 100/E9_02.tif "/>
    <s v=" 261.0451 "/>
    <s v=" 64.9167 "/>
    <x v="0"/>
    <n v="16946"/>
    <m/>
    <m/>
    <m/>
  </r>
  <r>
    <x v="12"/>
    <x v="4"/>
    <s v="Q:\R&amp;D\2-Test oestrogénique\OECD and AOPs\REACTIV oecd interlaboratory validation\Results WF\Repeats for invalid experiments - EBO\2022-EBO-ARABINOSE R5\plaque 1/@12 ARABINOSE 100/E9_03.tif "/>
    <s v=" 152.2763 "/>
    <s v=" 64.1429 "/>
    <x v="0"/>
    <n v="9767"/>
    <m/>
    <m/>
    <m/>
  </r>
  <r>
    <x v="12"/>
    <x v="5"/>
    <s v="Q:\R&amp;D\2-Test oestrogénique\OECD and AOPs\REACTIV oecd interlaboratory validation\Results WF\Repeats for invalid experiments - EBO\2022-EBO-ARABINOSE R5\plaque 1/@12 ARABINOSE 100/F9_01.tif "/>
    <s v=" 3567.6158 "/>
    <s v=" 65.0122 "/>
    <x v="0"/>
    <n v="231939"/>
    <m/>
    <m/>
    <m/>
  </r>
  <r>
    <x v="12"/>
    <x v="5"/>
    <s v="Q:\R&amp;D\2-Test oestrogénique\OECD and AOPs\REACTIV oecd interlaboratory validation\Results WF\Repeats for invalid experiments - EBO\2022-EBO-ARABINOSE R5\plaque 1/@12 ARABINOSE 100/F9_02.tif "/>
    <s v=" 3850.4146 "/>
    <s v=" 68.3559 "/>
    <x v="0"/>
    <n v="263199"/>
    <m/>
    <m/>
    <m/>
  </r>
  <r>
    <x v="12"/>
    <x v="5"/>
    <s v="Q:\R&amp;D\2-Test oestrogénique\OECD and AOPs\REACTIV oecd interlaboratory validation\Results WF\Repeats for invalid experiments - EBO\2022-EBO-ARABINOSE R5\plaque 1/@12 ARABINOSE 100/F9_03.tif "/>
    <s v=" 2066.6067 "/>
    <s v=" 66.2737 "/>
    <x v="0"/>
    <n v="136962"/>
    <m/>
    <m/>
    <m/>
  </r>
  <r>
    <x v="12"/>
    <x v="6"/>
    <s v="Q:\R&amp;D\2-Test oestrogénique\OECD and AOPs\REACTIV oecd interlaboratory validation\Results WF\Repeats for invalid experiments - EBO\2022-EBO-ARABINOSE R5\plaque 1/@12 ARABINOSE 100/G9_01.tif "/>
    <s v=" 957.1652 "/>
    <s v=" 66.1364 "/>
    <x v="0"/>
    <n v="63303"/>
    <m/>
    <m/>
    <m/>
  </r>
  <r>
    <x v="12"/>
    <x v="6"/>
    <s v="Q:\R&amp;D\2-Test oestrogénique\OECD and AOPs\REACTIV oecd interlaboratory validation\Results WF\Repeats for invalid experiments - EBO\2022-EBO-ARABINOSE R5\plaque 1/@12 ARABINOSE 100/G9_02.tif "/>
    <s v=" 174.03 "/>
    <n v="65"/>
    <x v="0"/>
    <n v="11312"/>
    <m/>
    <m/>
    <m/>
  </r>
  <r>
    <x v="12"/>
    <x v="6"/>
    <s v="Q:\R&amp;D\2-Test oestrogénique\OECD and AOPs\REACTIV oecd interlaboratory validation\Results WF\Repeats for invalid experiments - EBO\2022-EBO-ARABINOSE R5\plaque 1/@12 ARABINOSE 100/G9_03.tif "/>
    <s v=" 174.03 "/>
    <s v=" 62.875 "/>
    <x v="0"/>
    <n v="10942"/>
    <m/>
    <m/>
    <m/>
  </r>
  <r>
    <x v="12"/>
    <x v="7"/>
    <s v="Q:\R&amp;D\2-Test oestrogénique\OECD and AOPs\REACTIV oecd interlaboratory validation\Results WF\Repeats for invalid experiments - EBO\2022-EBO-ARABINOSE R5\plaque 1/@12 ARABINOSE 100/H9_01.tif "/>
    <s v=" 5112.1324 "/>
    <s v=" 73.9064 "/>
    <x v="0"/>
    <n v="377819"/>
    <m/>
    <m/>
    <m/>
  </r>
  <r>
    <x v="12"/>
    <x v="7"/>
    <s v="Q:\R&amp;D\2-Test oestrogénique\OECD and AOPs\REACTIV oecd interlaboratory validation\Results WF\Repeats for invalid experiments - EBO\2022-EBO-ARABINOSE R5\plaque 1/@12 ARABINOSE 100/H9_02- exclu.tif"/>
    <m/>
    <m/>
    <x v="1"/>
    <m/>
    <m/>
    <m/>
    <m/>
  </r>
  <r>
    <x v="12"/>
    <x v="7"/>
    <s v="Q:\R&amp;D\2-Test oestrogénique\OECD and AOPs\REACTIV oecd interlaboratory validation\Results WF\Repeats for invalid experiments - EBO\2022-EBO-ARABINOSE R5\plaque 1/@12 ARABINOSE 100/H9_03- exclu.tif"/>
    <m/>
    <m/>
    <x v="1"/>
    <m/>
    <m/>
    <m/>
    <m/>
  </r>
  <r>
    <x v="1"/>
    <x v="8"/>
    <s v=" "/>
    <m/>
    <m/>
    <x v="1"/>
    <m/>
    <m/>
    <m/>
    <m/>
  </r>
  <r>
    <x v="1"/>
    <x v="8"/>
    <s v="group "/>
    <s v=" "/>
    <s v=" mean of mean fluo "/>
    <x v="2"/>
    <s v=" mean of total fluo "/>
    <s v=" SD total fluo "/>
    <s v=" n fluorescent "/>
    <s v=" n total"/>
  </r>
  <r>
    <x v="12"/>
    <x v="9"/>
    <s v="Q:\R&amp;D\2-Test oestrogénique\OECD and AOPs\REACTIV oecd interlaboratory validation\Results WF\Repeats for invalid experiments - EBO\2022-EBO-ARABINOSE R5\plaque 1/@12 ARABINOSE 100/ "/>
    <s v=" "/>
    <s v=" 65.3042 "/>
    <x v="14"/>
    <s v=" 98427.5833 "/>
    <s v=" 103180.31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3"/>
    <x v="0"/>
    <s v="Q:\R&amp;D\2-Test oestrogénique\OECD and AOPs\REACTIV oecd interlaboratory validation\Results WF\Repeats for invalid experiments - EBO\2022-EBO-ARABINOSE R5\plaque 2/@13 TESTO 0.2/A1_01- exclu.tif"/>
    <m/>
    <m/>
    <x v="1"/>
    <m/>
    <m/>
    <m/>
    <m/>
  </r>
  <r>
    <x v="13"/>
    <x v="0"/>
    <s v="Q:\R&amp;D\2-Test oestrogénique\OECD and AOPs\REACTIV oecd interlaboratory validation\Results WF\Repeats for invalid experiments - EBO\2022-EBO-ARABINOSE R5\plaque 2/@13 TESTO 0.2/A1_02.tif "/>
    <s v=" 8723.2558 "/>
    <s v=" 64.3791 "/>
    <x v="0"/>
    <n v="561595"/>
    <m/>
    <m/>
    <m/>
  </r>
  <r>
    <x v="13"/>
    <x v="0"/>
    <s v="Q:\R&amp;D\2-Test oestrogénique\OECD and AOPs\REACTIV oecd interlaboratory validation\Results WF\Repeats for invalid experiments - EBO\2022-EBO-ARABINOSE R5\plaque 2/@13 TESTO 0.2/A1_03.tif "/>
    <s v=" 12138.5953 "/>
    <s v=" 65.491 "/>
    <x v="0"/>
    <n v="794969"/>
    <m/>
    <m/>
    <m/>
  </r>
  <r>
    <x v="13"/>
    <x v="1"/>
    <s v="Q:\R&amp;D\2-Test oestrogénique\OECD and AOPs\REACTIV oecd interlaboratory validation\Results WF\Repeats for invalid experiments - EBO\2022-EBO-ARABINOSE R5\plaque 2/@13 TESTO 0.2/B1_01.tif "/>
    <s v=" 26931.1487 "/>
    <s v=" 68.6511 "/>
    <x v="0"/>
    <n v="1848852"/>
    <m/>
    <m/>
    <m/>
  </r>
  <r>
    <x v="13"/>
    <x v="1"/>
    <s v="Q:\R&amp;D\2-Test oestrogénique\OECD and AOPs\REACTIV oecd interlaboratory validation\Results WF\Repeats for invalid experiments - EBO\2022-EBO-ARABINOSE R5\plaque 2/@13 TESTO 0.2/B1_02- exclu.tif"/>
    <m/>
    <m/>
    <x v="1"/>
    <m/>
    <m/>
    <m/>
    <m/>
  </r>
  <r>
    <x v="13"/>
    <x v="1"/>
    <s v="Q:\R&amp;D\2-Test oestrogénique\OECD and AOPs\REACTIV oecd interlaboratory validation\Results WF\Repeats for invalid experiments - EBO\2022-EBO-ARABINOSE R5\plaque 2/@13 TESTO 0.2/B1_03.tif "/>
    <s v=" 21209.9111 "/>
    <s v=" 66.6123 "/>
    <x v="0"/>
    <n v="1412841"/>
    <m/>
    <m/>
    <m/>
  </r>
  <r>
    <x v="13"/>
    <x v="2"/>
    <s v="Q:\R&amp;D\2-Test oestrogénique\OECD and AOPs\REACTIV oecd interlaboratory validation\Results WF\Repeats for invalid experiments - EBO\2022-EBO-ARABINOSE R5\plaque 2/@13 TESTO 0.2/C1_01.tif "/>
    <s v=" 12899.9767 "/>
    <s v=" 64.9342 "/>
    <x v="0"/>
    <n v="837650"/>
    <m/>
    <m/>
    <m/>
  </r>
  <r>
    <x v="13"/>
    <x v="2"/>
    <s v="Q:\R&amp;D\2-Test oestrogénique\OECD and AOPs\REACTIV oecd interlaboratory validation\Results WF\Repeats for invalid experiments - EBO\2022-EBO-ARABINOSE R5\plaque 2/@13 TESTO 0.2/C1_02.tif "/>
    <s v=" 13878.8957 "/>
    <s v=" 64.873 "/>
    <x v="0"/>
    <n v="900366"/>
    <m/>
    <m/>
    <m/>
  </r>
  <r>
    <x v="13"/>
    <x v="2"/>
    <s v="Q:\R&amp;D\2-Test oestrogénique\OECD and AOPs\REACTIV oecd interlaboratory validation\Results WF\Repeats for invalid experiments - EBO\2022-EBO-ARABINOSE R5\plaque 2/@13 TESTO 0.2/C1_03- exclu.tif"/>
    <m/>
    <m/>
    <x v="1"/>
    <m/>
    <m/>
    <m/>
    <m/>
  </r>
  <r>
    <x v="13"/>
    <x v="3"/>
    <s v="Q:\R&amp;D\2-Test oestrogénique\OECD and AOPs\REACTIV oecd interlaboratory validation\Results WF\Repeats for invalid experiments - EBO\2022-EBO-ARABINOSE R5\plaque 2/@13 TESTO 0.2/D1_01.tif "/>
    <s v=" 13857.1419 "/>
    <s v=" 68.3093 "/>
    <x v="0"/>
    <n v="946571"/>
    <m/>
    <m/>
    <m/>
  </r>
  <r>
    <x v="13"/>
    <x v="3"/>
    <s v="Q:\R&amp;D\2-Test oestrogénique\OECD and AOPs\REACTIV oecd interlaboratory validation\Results WF\Repeats for invalid experiments - EBO\2022-EBO-ARABINOSE R5\plaque 2/@13 TESTO 0.2/D1_02.tif "/>
    <s v=" 10876.8775 "/>
    <s v=" 68.666 "/>
    <x v="0"/>
    <n v="746872"/>
    <m/>
    <m/>
    <m/>
  </r>
  <r>
    <x v="13"/>
    <x v="3"/>
    <s v="Q:\R&amp;D\2-Test oestrogénique\OECD and AOPs\REACTIV oecd interlaboratory validation\Results WF\Repeats for invalid experiments - EBO\2022-EBO-ARABINOSE R5\plaque 2/@13 TESTO 0.2/D1_03.tif "/>
    <s v=" 13965.9107 "/>
    <s v=" 66.8676 "/>
    <x v="0"/>
    <n v="933867"/>
    <m/>
    <m/>
    <m/>
  </r>
  <r>
    <x v="13"/>
    <x v="4"/>
    <s v="Q:\R&amp;D\2-Test oestrogénique\OECD and AOPs\REACTIV oecd interlaboratory validation\Results WF\Repeats for invalid experiments - EBO\2022-EBO-ARABINOSE R5\plaque 2/@13 TESTO 0.2/E1_01.tif "/>
    <s v=" 31608.206 "/>
    <s v=" 69.0833 "/>
    <x v="0"/>
    <n v="2183598"/>
    <m/>
    <m/>
    <m/>
  </r>
  <r>
    <x v="13"/>
    <x v="4"/>
    <s v="Q:\R&amp;D\2-Test oestrogénique\OECD and AOPs\REACTIV oecd interlaboratory validation\Results WF\Repeats for invalid experiments - EBO\2022-EBO-ARABINOSE R5\plaque 2/@13 TESTO 0.2/E1_02.tif "/>
    <s v=" 36589.8159 "/>
    <s v=" 69.6433 "/>
    <x v="0"/>
    <n v="2548235"/>
    <m/>
    <m/>
    <m/>
  </r>
  <r>
    <x v="13"/>
    <x v="4"/>
    <s v="Q:\R&amp;D\2-Test oestrogénique\OECD and AOPs\REACTIV oecd interlaboratory validation\Results WF\Repeats for invalid experiments - EBO\2022-EBO-ARABINOSE R5\plaque 2/@13 TESTO 0.2/E1_03.tif "/>
    <s v=" 32021.5274 "/>
    <s v=" 68.8458 "/>
    <x v="0"/>
    <n v="2204547"/>
    <m/>
    <m/>
    <m/>
  </r>
  <r>
    <x v="13"/>
    <x v="5"/>
    <s v="Q:\R&amp;D\2-Test oestrogénique\OECD and AOPs\REACTIV oecd interlaboratory validation\Results WF\Repeats for invalid experiments - EBO\2022-EBO-ARABINOSE R5\plaque 2/@13 TESTO 0.2/F1_01.tif "/>
    <s v=" 18904.0131 "/>
    <s v=" 66.5132 "/>
    <x v="0"/>
    <n v="1257367"/>
    <m/>
    <m/>
    <m/>
  </r>
  <r>
    <x v="13"/>
    <x v="5"/>
    <s v="Q:\R&amp;D\2-Test oestrogénique\OECD and AOPs\REACTIV oecd interlaboratory validation\Results WF\Repeats for invalid experiments - EBO\2022-EBO-ARABINOSE R5\plaque 2/@13 TESTO 0.2/F1_02.tif "/>
    <s v=" 18033.8629 "/>
    <s v=" 67.7165 "/>
    <x v="0"/>
    <n v="1221191"/>
    <m/>
    <m/>
    <m/>
  </r>
  <r>
    <x v="13"/>
    <x v="5"/>
    <s v="Q:\R&amp;D\2-Test oestrogénique\OECD and AOPs\REACTIV oecd interlaboratory validation\Results WF\Repeats for invalid experiments - EBO\2022-EBO-ARABINOSE R5\plaque 2/@13 TESTO 0.2/F1_03.tif "/>
    <s v=" 11899.304 "/>
    <s v=" 66.2303 "/>
    <x v="0"/>
    <n v="788095"/>
    <m/>
    <m/>
    <m/>
  </r>
  <r>
    <x v="13"/>
    <x v="6"/>
    <s v="Q:\R&amp;D\2-Test oestrogénique\OECD and AOPs\REACTIV oecd interlaboratory validation\Results WF\Repeats for invalid experiments - EBO\2022-EBO-ARABINOSE R5\plaque 2/@13 TESTO 0.2/G1_01.tif "/>
    <s v=" 5895.2676 "/>
    <s v=" 65.4834 "/>
    <x v="0"/>
    <n v="386042"/>
    <m/>
    <m/>
    <m/>
  </r>
  <r>
    <x v="13"/>
    <x v="6"/>
    <s v="Q:\R&amp;D\2-Test oestrogénique\OECD and AOPs\REACTIV oecd interlaboratory validation\Results WF\Repeats for invalid experiments - EBO\2022-EBO-ARABINOSE R5\plaque 2/@13 TESTO 0.2/G1_02.tif "/>
    <s v=" 7526.7992 "/>
    <s v=" 65.2948 "/>
    <x v="0"/>
    <n v="491461"/>
    <m/>
    <m/>
    <m/>
  </r>
  <r>
    <x v="13"/>
    <x v="6"/>
    <s v="Q:\R&amp;D\2-Test oestrogénique\OECD and AOPs\REACTIV oecd interlaboratory validation\Results WF\Repeats for invalid experiments - EBO\2022-EBO-ARABINOSE R5\plaque 2/@13 TESTO 0.2/G1_03.tif "/>
    <s v=" 10681.0937 "/>
    <s v=" 66.224 "/>
    <x v="0"/>
    <n v="707345"/>
    <m/>
    <m/>
    <m/>
  </r>
  <r>
    <x v="13"/>
    <x v="7"/>
    <s v="Q:\R&amp;D\2-Test oestrogénique\OECD and AOPs\REACTIV oecd interlaboratory validation\Results WF\Repeats for invalid experiments - EBO\2022-EBO-ARABINOSE R5\plaque 2/@13 TESTO 0.2/H1_01.tif "/>
    <s v=" 7874.8593 "/>
    <s v=" 64.221 "/>
    <x v="0"/>
    <n v="505731"/>
    <m/>
    <m/>
    <m/>
  </r>
  <r>
    <x v="13"/>
    <x v="7"/>
    <s v="Q:\R&amp;D\2-Test oestrogénique\OECD and AOPs\REACTIV oecd interlaboratory validation\Results WF\Repeats for invalid experiments - EBO\2022-EBO-ARABINOSE R5\plaque 2/@13 TESTO 0.2/H1_02.tif "/>
    <s v=" 10441.8024 "/>
    <s v=" 65.2521 "/>
    <x v="0"/>
    <n v="681349"/>
    <m/>
    <m/>
    <m/>
  </r>
  <r>
    <x v="13"/>
    <x v="7"/>
    <s v="Q:\R&amp;D\2-Test oestrogénique\OECD and AOPs\REACTIV oecd interlaboratory validation\Results WF\Repeats for invalid experiments - EBO\2022-EBO-ARABINOSE R5\plaque 2/@13 TESTO 0.2/H1_03.tif "/>
    <s v=" 6504.3727 "/>
    <s v=" 64.0067 "/>
    <x v="0"/>
    <n v="416323"/>
    <m/>
    <m/>
    <m/>
  </r>
  <r>
    <x v="1"/>
    <x v="8"/>
    <s v=" "/>
    <m/>
    <m/>
    <x v="1"/>
    <m/>
    <m/>
    <m/>
    <m/>
  </r>
  <r>
    <x v="1"/>
    <x v="8"/>
    <s v="group "/>
    <s v=" "/>
    <s v=" mean of mean fluo "/>
    <x v="2"/>
    <s v=" mean of total fluo "/>
    <s v=" SD total fluo "/>
    <s v=" n fluorescent "/>
    <s v=" n total"/>
  </r>
  <r>
    <x v="13"/>
    <x v="9"/>
    <s v="Q:\R&amp;D\2-Test oestrogénique\OECD and AOPs\REACTIV oecd interlaboratory validation\Results WF\Repeats for invalid experiments - EBO\2022-EBO-ARABINOSE R5\plaque 2/@13 TESTO 0.2/ "/>
    <s v=" "/>
    <s v=" 66.28 "/>
    <x v="15"/>
    <s v=" 998592.5 "/>
    <s v=" 627528.176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4"/>
    <x v="0"/>
    <s v="Q:\R&amp;D\2-Test oestrogénique\OECD and AOPs\REACTIV oecd interlaboratory validation\Results WF\Repeats for invalid experiments - EBO\2022-EBO-ARABINOSE R5\plaque 2/@14 TESTO 0.2/A2_01.tif "/>
    <s v=" 4546.5348 "/>
    <s v=" 65.0909 "/>
    <x v="0"/>
    <n v="295938"/>
    <m/>
    <m/>
    <m/>
  </r>
  <r>
    <x v="14"/>
    <x v="0"/>
    <s v="Q:\R&amp;D\2-Test oestrogénique\OECD and AOPs\REACTIV oecd interlaboratory validation\Results WF\Repeats for invalid experiments - EBO\2022-EBO-ARABINOSE R5\plaque 2/@14 TESTO 0.2/A2_02- exclu.tif"/>
    <m/>
    <m/>
    <x v="1"/>
    <m/>
    <m/>
    <m/>
    <m/>
  </r>
  <r>
    <x v="14"/>
    <x v="0"/>
    <s v="Q:\R&amp;D\2-Test oestrogénique\OECD and AOPs\REACTIV oecd interlaboratory validation\Results WF\Repeats for invalid experiments - EBO\2022-EBO-ARABINOSE R5\plaque 2/@14 TESTO 0.2/A2_03.tif "/>
    <s v=" 1522.7629 "/>
    <s v=" 63.7286 "/>
    <x v="0"/>
    <n v="97044"/>
    <m/>
    <m/>
    <m/>
  </r>
  <r>
    <x v="14"/>
    <x v="1"/>
    <s v="Q:\R&amp;D\2-Test oestrogénique\OECD and AOPs\REACTIV oecd interlaboratory validation\Results WF\Repeats for invalid experiments - EBO\2022-EBO-ARABINOSE R5\plaque 2/@14 TESTO 0.2/B2_01.tif "/>
    <s v=" 26474.3198 "/>
    <s v=" 68.9877 "/>
    <x v="0"/>
    <n v="1826402"/>
    <m/>
    <m/>
    <m/>
  </r>
  <r>
    <x v="14"/>
    <x v="1"/>
    <s v="Q:\R&amp;D\2-Test oestrogénique\OECD and AOPs\REACTIV oecd interlaboratory validation\Results WF\Repeats for invalid experiments - EBO\2022-EBO-ARABINOSE R5\plaque 2/@14 TESTO 0.2/B2_02.tif "/>
    <s v=" 26278.536 "/>
    <s v=" 68.2202 "/>
    <x v="0"/>
    <n v="1792727"/>
    <m/>
    <m/>
    <m/>
  </r>
  <r>
    <x v="14"/>
    <x v="1"/>
    <s v="Q:\R&amp;D\2-Test oestrogénique\OECD and AOPs\REACTIV oecd interlaboratory validation\Results WF\Repeats for invalid experiments - EBO\2022-EBO-ARABINOSE R5\plaque 2/@14 TESTO 0.2/B2_03.tif "/>
    <s v=" 23167.7491 "/>
    <s v=" 70.0507 "/>
    <x v="0"/>
    <n v="1622917"/>
    <m/>
    <m/>
    <m/>
  </r>
  <r>
    <x v="14"/>
    <x v="2"/>
    <s v="Q:\R&amp;D\2-Test oestrogénique\OECD and AOPs\REACTIV oecd interlaboratory validation\Results WF\Repeats for invalid experiments - EBO\2022-EBO-ARABINOSE R5\plaque 2/@14 TESTO 0.2/C2_01- exclu.tif"/>
    <m/>
    <m/>
    <x v="1"/>
    <m/>
    <m/>
    <m/>
    <m/>
  </r>
  <r>
    <x v="14"/>
    <x v="2"/>
    <s v="Q:\R&amp;D\2-Test oestrogénique\OECD and AOPs\REACTIV oecd interlaboratory validation\Results WF\Repeats for invalid experiments - EBO\2022-EBO-ARABINOSE R5\plaque 2/@14 TESTO 0.2/C2_02- exclu.tif"/>
    <m/>
    <m/>
    <x v="1"/>
    <m/>
    <m/>
    <m/>
    <m/>
  </r>
  <r>
    <x v="14"/>
    <x v="2"/>
    <s v="Q:\R&amp;D\2-Test oestrogénique\OECD and AOPs\REACTIV oecd interlaboratory validation\Results WF\Repeats for invalid experiments - EBO\2022-EBO-ARABINOSE R5\plaque 2/@14 TESTO 0.2/C2_03- exclu.tif"/>
    <m/>
    <m/>
    <x v="1"/>
    <m/>
    <m/>
    <m/>
    <m/>
  </r>
  <r>
    <x v="14"/>
    <x v="3"/>
    <s v="Q:\R&amp;D\2-Test oestrogénique\OECD and AOPs\REACTIV oecd interlaboratory validation\Results WF\Repeats for invalid experiments - EBO\2022-EBO-ARABINOSE R5\plaque 2/@14 TESTO 0.2/D2_01.tif "/>
    <s v=" 20513.791 "/>
    <s v=" 70.9396 "/>
    <x v="0"/>
    <n v="1455239"/>
    <m/>
    <m/>
    <m/>
  </r>
  <r>
    <x v="14"/>
    <x v="3"/>
    <s v="Q:\R&amp;D\2-Test oestrogénique\OECD and AOPs\REACTIV oecd interlaboratory validation\Results WF\Repeats for invalid experiments - EBO\2022-EBO-ARABINOSE R5\plaque 2/@14 TESTO 0.2/D2_02- exclu.tif"/>
    <m/>
    <m/>
    <x v="1"/>
    <m/>
    <m/>
    <m/>
    <m/>
  </r>
  <r>
    <x v="14"/>
    <x v="3"/>
    <s v="Q:\R&amp;D\2-Test oestrogénique\OECD and AOPs\REACTIV oecd interlaboratory validation\Results WF\Repeats for invalid experiments - EBO\2022-EBO-ARABINOSE R5\plaque 2/@14 TESTO 0.2/D2_03- exclu.tif"/>
    <m/>
    <m/>
    <x v="1"/>
    <m/>
    <m/>
    <m/>
    <m/>
  </r>
  <r>
    <x v="14"/>
    <x v="4"/>
    <s v="Q:\R&amp;D\2-Test oestrogénique\OECD and AOPs\REACTIV oecd interlaboratory validation\Results WF\Repeats for invalid experiments - EBO\2022-EBO-ARABINOSE R5\plaque 2/@14 TESTO 0.2/E2_01.tif "/>
    <s v=" 28127.6052 "/>
    <s v=" 66.3434 "/>
    <x v="0"/>
    <n v="1866081"/>
    <m/>
    <m/>
    <m/>
  </r>
  <r>
    <x v="14"/>
    <x v="4"/>
    <s v="Q:\R&amp;D\2-Test oestrogénique\OECD and AOPs\REACTIV oecd interlaboratory validation\Results WF\Repeats for invalid experiments - EBO\2022-EBO-ARABINOSE R5\plaque 2/@14 TESTO 0.2/E2_02.tif "/>
    <s v=" 27148.6862 "/>
    <s v=" 66.9303 "/>
    <x v="0"/>
    <n v="1817069"/>
    <m/>
    <m/>
    <m/>
  </r>
  <r>
    <x v="14"/>
    <x v="4"/>
    <s v="Q:\R&amp;D\2-Test oestrogénique\OECD and AOPs\REACTIV oecd interlaboratory validation\Results WF\Repeats for invalid experiments - EBO\2022-EBO-ARABINOSE R5\plaque 2/@14 TESTO 0.2/E2_03.tif "/>
    <s v=" 21819.0163 "/>
    <s v=" 65.8295 "/>
    <x v="0"/>
    <n v="1436335"/>
    <m/>
    <m/>
    <m/>
  </r>
  <r>
    <x v="14"/>
    <x v="5"/>
    <s v="Q:\R&amp;D\2-Test oestrogénique\OECD and AOPs\REACTIV oecd interlaboratory validation\Results WF\Repeats for invalid experiments - EBO\2022-EBO-ARABINOSE R5\plaque 2/@14 TESTO 0.2/F2_01.tif "/>
    <s v=" 3132.5407 "/>
    <s v=" 63.3542 "/>
    <x v="0"/>
    <n v="198460"/>
    <m/>
    <m/>
    <m/>
  </r>
  <r>
    <x v="14"/>
    <x v="5"/>
    <s v="Q:\R&amp;D\2-Test oestrogénique\OECD and AOPs\REACTIV oecd interlaboratory validation\Results WF\Repeats for invalid experiments - EBO\2022-EBO-ARABINOSE R5\plaque 2/@14 TESTO 0.2/F2_02.tif "/>
    <s v=" 5808.2526 "/>
    <s v=" 63.7378 "/>
    <x v="0"/>
    <n v="370205"/>
    <m/>
    <m/>
    <m/>
  </r>
  <r>
    <x v="14"/>
    <x v="5"/>
    <s v="Q:\R&amp;D\2-Test oestrogénique\OECD and AOPs\REACTIV oecd interlaboratory validation\Results WF\Repeats for invalid experiments - EBO\2022-EBO-ARABINOSE R5\plaque 2/@14 TESTO 0.2/F2_03.tif "/>
    <s v=" 3154.2945 "/>
    <s v=" 63.2552 "/>
    <x v="0"/>
    <n v="199525"/>
    <m/>
    <m/>
    <m/>
  </r>
  <r>
    <x v="14"/>
    <x v="6"/>
    <s v="Q:\R&amp;D\2-Test oestrogénique\OECD and AOPs\REACTIV oecd interlaboratory validation\Results WF\Repeats for invalid experiments - EBO\2022-EBO-ARABINOSE R5\plaque 2/@14 TESTO 0.2/G2_01.tif "/>
    <s v=" 8940.7933 "/>
    <s v=" 65.7202 "/>
    <x v="0"/>
    <n v="587591"/>
    <m/>
    <m/>
    <m/>
  </r>
  <r>
    <x v="14"/>
    <x v="6"/>
    <s v="Q:\R&amp;D\2-Test oestrogénique\OECD and AOPs\REACTIV oecd interlaboratory validation\Results WF\Repeats for invalid experiments - EBO\2022-EBO-ARABINOSE R5\plaque 2/@14 TESTO 0.2/G2_02.tif "/>
    <s v=" 8723.2558 "/>
    <s v=" 65.192 "/>
    <x v="0"/>
    <n v="568687"/>
    <m/>
    <m/>
    <m/>
  </r>
  <r>
    <x v="14"/>
    <x v="6"/>
    <s v="Q:\R&amp;D\2-Test oestrogénique\OECD and AOPs\REACTIV oecd interlaboratory validation\Results WF\Repeats for invalid experiments - EBO\2022-EBO-ARABINOSE R5\plaque 2/@14 TESTO 0.2/G2_03.tif "/>
    <s v=" 10202.5111 "/>
    <s v=" 66.7313 "/>
    <x v="0"/>
    <n v="680827"/>
    <m/>
    <m/>
    <m/>
  </r>
  <r>
    <x v="14"/>
    <x v="7"/>
    <s v="Q:\R&amp;D\2-Test oestrogénique\OECD and AOPs\REACTIV oecd interlaboratory validation\Results WF\Repeats for invalid experiments - EBO\2022-EBO-ARABINOSE R5\plaque 2/@14 TESTO 0.2/H2_01.tif "/>
    <s v=" 25778.1997 "/>
    <s v=" 70.1291 "/>
    <x v="0"/>
    <n v="1807802"/>
    <m/>
    <m/>
    <m/>
  </r>
  <r>
    <x v="14"/>
    <x v="7"/>
    <s v="Q:\R&amp;D\2-Test oestrogénique\OECD and AOPs\REACTIV oecd interlaboratory validation\Results WF\Repeats for invalid experiments - EBO\2022-EBO-ARABINOSE R5\plaque 2/@14 TESTO 0.2/H2_02.tif "/>
    <s v=" 22819.689 "/>
    <s v=" 70.286 "/>
    <x v="0"/>
    <n v="1603904"/>
    <m/>
    <m/>
    <m/>
  </r>
  <r>
    <x v="14"/>
    <x v="7"/>
    <s v="Q:\R&amp;D\2-Test oestrogénique\OECD and AOPs\REACTIV oecd interlaboratory validation\Results WF\Repeats for invalid experiments - EBO\2022-EBO-ARABINOSE R5\plaque 2/@14 TESTO 0.2/H2_03.tif "/>
    <s v=" 25734.6922 "/>
    <s v=" 70.2451 "/>
    <x v="0"/>
    <n v="1807737"/>
    <m/>
    <m/>
    <m/>
  </r>
  <r>
    <x v="1"/>
    <x v="8"/>
    <s v=" "/>
    <m/>
    <m/>
    <x v="1"/>
    <m/>
    <m/>
    <m/>
    <m/>
  </r>
  <r>
    <x v="1"/>
    <x v="8"/>
    <s v="group "/>
    <s v=" "/>
    <s v=" mean of mean fluo "/>
    <x v="2"/>
    <s v=" mean of total fluo "/>
    <s v=" SD total fluo "/>
    <s v=" n fluorescent "/>
    <s v=" n total"/>
  </r>
  <r>
    <x v="14"/>
    <x v="9"/>
    <s v="Q:\R&amp;D\2-Test oestrogénique\OECD and AOPs\REACTIV oecd interlaboratory validation\Results WF\Repeats for invalid experiments - EBO\2022-EBO-ARABINOSE R5\plaque 2/@14 TESTO 0.2/ "/>
    <s v=" "/>
    <s v=" 66.9496 "/>
    <x v="16"/>
    <s v=" 976022.083 "/>
    <s v=" 721994.55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5"/>
    <x v="0"/>
    <s v="Q:\R&amp;D\2-Test oestrogénique\OECD and AOPs\REACTIV oecd interlaboratory validation\Results WF\Repeats for invalid experiments - EBO\2022-EBO-ARABINOSE R5\plaque 2/@15 TESTO + EE2/A3_01- exclu.tif"/>
    <m/>
    <m/>
    <x v="1"/>
    <m/>
    <m/>
    <m/>
    <m/>
  </r>
  <r>
    <x v="15"/>
    <x v="0"/>
    <s v="Q:\R&amp;D\2-Test oestrogénique\OECD and AOPs\REACTIV oecd interlaboratory validation\Results WF\Repeats for invalid experiments - EBO\2022-EBO-ARABINOSE R5\plaque 2/@15 TESTO + EE2/A3_02.tif "/>
    <s v=" 7983.6281 "/>
    <s v=" 67.0436 "/>
    <x v="0"/>
    <n v="535251"/>
    <m/>
    <m/>
    <m/>
  </r>
  <r>
    <x v="15"/>
    <x v="0"/>
    <s v="Q:\R&amp;D\2-Test oestrogénique\OECD and AOPs\REACTIV oecd interlaboratory validation\Results WF\Repeats for invalid experiments - EBO\2022-EBO-ARABINOSE R5\plaque 2/@15 TESTO + EE2/A3_03.tif "/>
    <s v=" 8766.7633 "/>
    <s v=" 65.3672 "/>
    <x v="0"/>
    <n v="573059"/>
    <m/>
    <m/>
    <m/>
  </r>
  <r>
    <x v="15"/>
    <x v="1"/>
    <s v="Q:\R&amp;D\2-Test oestrogénique\OECD and AOPs\REACTIV oecd interlaboratory validation\Results WF\Repeats for invalid experiments - EBO\2022-EBO-ARABINOSE R5\plaque 2/@15 TESTO + EE2/B3_01.tif "/>
    <s v=" 31347.161 "/>
    <s v=" 73.7918 "/>
    <x v="0"/>
    <n v="2313164"/>
    <m/>
    <m/>
    <m/>
  </r>
  <r>
    <x v="15"/>
    <x v="1"/>
    <s v="Q:\R&amp;D\2-Test oestrogénique\OECD and AOPs\REACTIV oecd interlaboratory validation\Results WF\Repeats for invalid experiments - EBO\2022-EBO-ARABINOSE R5\plaque 2/@15 TESTO + EE2/B3_02.tif "/>
    <s v=" 30498.7645 "/>
    <s v=" 71.9151 "/>
    <x v="0"/>
    <n v="2193322"/>
    <m/>
    <m/>
    <m/>
  </r>
  <r>
    <x v="15"/>
    <x v="1"/>
    <s v="Q:\R&amp;D\2-Test oestrogénique\OECD and AOPs\REACTIV oecd interlaboratory validation\Results WF\Repeats for invalid experiments - EBO\2022-EBO-ARABINOSE R5\plaque 2/@15 TESTO + EE2/B3_03.tif "/>
    <s v=" 32086.7886 "/>
    <s v=" 74.1139 "/>
    <x v="0"/>
    <n v="2378077"/>
    <m/>
    <m/>
    <m/>
  </r>
  <r>
    <x v="15"/>
    <x v="2"/>
    <s v="Q:\R&amp;D\2-Test oestrogénique\OECD and AOPs\REACTIV oecd interlaboratory validation\Results WF\Repeats for invalid experiments - EBO\2022-EBO-ARABINOSE R5\plaque 2/@15 TESTO + EE2/C3_01.tif "/>
    <s v=" 37655.7499 "/>
    <s v=" 78.2166 "/>
    <x v="0"/>
    <n v="2945306"/>
    <m/>
    <m/>
    <m/>
  </r>
  <r>
    <x v="15"/>
    <x v="2"/>
    <s v="Q:\R&amp;D\2-Test oestrogénique\OECD and AOPs\REACTIV oecd interlaboratory validation\Results WF\Repeats for invalid experiments - EBO\2022-EBO-ARABINOSE R5\plaque 2/@15 TESTO + EE2/C3_02.tif "/>
    <s v=" 33957.6116 "/>
    <s v=" 80.8712 "/>
    <x v="0"/>
    <n v="2746194"/>
    <m/>
    <m/>
    <m/>
  </r>
  <r>
    <x v="15"/>
    <x v="2"/>
    <s v="Q:\R&amp;D\2-Test oestrogénique\OECD and AOPs\REACTIV oecd interlaboratory validation\Results WF\Repeats for invalid experiments - EBO\2022-EBO-ARABINOSE R5\plaque 2/@15 TESTO + EE2/C3_03.tif "/>
    <s v=" 35915.4495 "/>
    <s v=" 81.1605 "/>
    <x v="0"/>
    <n v="2914916"/>
    <m/>
    <m/>
    <m/>
  </r>
  <r>
    <x v="15"/>
    <x v="3"/>
    <s v="Q:\R&amp;D\2-Test oestrogénique\OECD and AOPs\REACTIV oecd interlaboratory validation\Results WF\Repeats for invalid experiments - EBO\2022-EBO-ARABINOSE R5\plaque 2/@15 TESTO + EE2/D3_01- exclu.tif"/>
    <m/>
    <m/>
    <x v="1"/>
    <m/>
    <m/>
    <m/>
    <m/>
  </r>
  <r>
    <x v="15"/>
    <x v="3"/>
    <s v="Q:\R&amp;D\2-Test oestrogénique\OECD and AOPs\REACTIV oecd interlaboratory validation\Results WF\Repeats for invalid experiments - EBO\2022-EBO-ARABINOSE R5\plaque 2/@15 TESTO + EE2/D3_02- exclu.tif"/>
    <m/>
    <m/>
    <x v="1"/>
    <m/>
    <m/>
    <m/>
    <m/>
  </r>
  <r>
    <x v="15"/>
    <x v="3"/>
    <s v="Q:\R&amp;D\2-Test oestrogénique\OECD and AOPs\REACTIV oecd interlaboratory validation\Results WF\Repeats for invalid experiments - EBO\2022-EBO-ARABINOSE R5\plaque 2/@15 TESTO + EE2/D3_03.tif "/>
    <s v=" 31891.0048 "/>
    <s v=" 77.2838 "/>
    <x v="0"/>
    <n v="2464657"/>
    <m/>
    <m/>
    <m/>
  </r>
  <r>
    <x v="15"/>
    <x v="4"/>
    <s v="Q:\R&amp;D\2-Test oestrogénique\OECD and AOPs\REACTIV oecd interlaboratory validation\Results WF\Repeats for invalid experiments - EBO\2022-EBO-ARABINOSE R5\plaque 2/@15 TESTO + EE2/E3_01.tif "/>
    <s v=" 43659.7863 "/>
    <s v=" 73.2327 "/>
    <x v="0"/>
    <n v="3197323"/>
    <m/>
    <m/>
    <m/>
  </r>
  <r>
    <x v="15"/>
    <x v="4"/>
    <s v="Q:\R&amp;D\2-Test oestrogénique\OECD and AOPs\REACTIV oecd interlaboratory validation\Results WF\Repeats for invalid experiments - EBO\2022-EBO-ARABINOSE R5\plaque 2/@15 TESTO + EE2/E3_02.tif "/>
    <s v=" 39352.5428 "/>
    <s v=" 70.9795 "/>
    <x v="0"/>
    <n v="2793226"/>
    <m/>
    <m/>
    <m/>
  </r>
  <r>
    <x v="15"/>
    <x v="4"/>
    <s v="Q:\R&amp;D\2-Test oestrogénique\OECD and AOPs\REACTIV oecd interlaboratory validation\Results WF\Repeats for invalid experiments - EBO\2022-EBO-ARABINOSE R5\plaque 2/@15 TESTO + EE2/E3_03.tif "/>
    <s v=" 39700.6029 "/>
    <s v=" 73.1967 "/>
    <x v="0"/>
    <n v="2905954"/>
    <m/>
    <m/>
    <m/>
  </r>
  <r>
    <x v="15"/>
    <x v="5"/>
    <s v="Q:\R&amp;D\2-Test oestrogénique\OECD and AOPs\REACTIV oecd interlaboratory validation\Results WF\Repeats for invalid experiments - EBO\2022-EBO-ARABINOSE R5\plaque 2/@15 TESTO + EE2/F3_01.tif "/>
    <s v=" 42833.1436 "/>
    <s v=" 73.3332 "/>
    <x v="0"/>
    <n v="3141090"/>
    <m/>
    <m/>
    <m/>
  </r>
  <r>
    <x v="15"/>
    <x v="5"/>
    <s v="Q:\R&amp;D\2-Test oestrogénique\OECD and AOPs\REACTIV oecd interlaboratory validation\Results WF\Repeats for invalid experiments - EBO\2022-EBO-ARABINOSE R5\plaque 2/@15 TESTO + EE2/F3_02.tif "/>
    <s v=" 41332.1345 "/>
    <s v=" 70.3374 "/>
    <x v="0"/>
    <n v="2907194"/>
    <m/>
    <m/>
    <m/>
  </r>
  <r>
    <x v="15"/>
    <x v="5"/>
    <s v="Q:\R&amp;D\2-Test oestrogénique\OECD and AOPs\REACTIV oecd interlaboratory validation\Results WF\Repeats for invalid experiments - EBO\2022-EBO-ARABINOSE R5\plaque 2/@15 TESTO + EE2/F3_03.tif "/>
    <s v=" 43507.51 "/>
    <s v=" 73.4805 "/>
    <x v="0"/>
    <n v="3196954"/>
    <m/>
    <m/>
    <m/>
  </r>
  <r>
    <x v="15"/>
    <x v="6"/>
    <s v="Q:\R&amp;D\2-Test oestrogénique\OECD and AOPs\REACTIV oecd interlaboratory validation\Results WF\Repeats for invalid experiments - EBO\2022-EBO-ARABINOSE R5\plaque 2/@15 TESTO + EE2/G3_01.tif "/>
    <s v=" 52948.6397 "/>
    <s v=" 69.7128 "/>
    <x v="0"/>
    <n v="3691199"/>
    <m/>
    <m/>
    <m/>
  </r>
  <r>
    <x v="15"/>
    <x v="6"/>
    <s v="Q:\R&amp;D\2-Test oestrogénique\OECD and AOPs\REACTIV oecd interlaboratory validation\Results WF\Repeats for invalid experiments - EBO\2022-EBO-ARABINOSE R5\plaque 2/@15 TESTO + EE2/G3_02.tif "/>
    <s v=" 61671.8954 "/>
    <s v=" 71.3097 "/>
    <x v="0"/>
    <n v="4397804"/>
    <m/>
    <m/>
    <m/>
  </r>
  <r>
    <x v="15"/>
    <x v="6"/>
    <s v="Q:\R&amp;D\2-Test oestrogénique\OECD and AOPs\REACTIV oecd interlaboratory validation\Results WF\Repeats for invalid experiments - EBO\2022-EBO-ARABINOSE R5\plaque 2/@15 TESTO + EE2/G3_03.tif "/>
    <s v=" 56494.5017 "/>
    <s v=" 70.566 "/>
    <x v="0"/>
    <n v="3986593"/>
    <m/>
    <m/>
    <m/>
  </r>
  <r>
    <x v="15"/>
    <x v="7"/>
    <s v="Q:\R&amp;D\2-Test oestrogénique\OECD and AOPs\REACTIV oecd interlaboratory validation\Results WF\Repeats for invalid experiments - EBO\2022-EBO-ARABINOSE R5\plaque 2/@15 TESTO + EE2/H3_01.tif "/>
    <s v=" 32413.095 "/>
    <s v=" 70.3886 "/>
    <x v="0"/>
    <n v="2281512"/>
    <m/>
    <m/>
    <m/>
  </r>
  <r>
    <x v="15"/>
    <x v="7"/>
    <s v="Q:\R&amp;D\2-Test oestrogénique\OECD and AOPs\REACTIV oecd interlaboratory validation\Results WF\Repeats for invalid experiments - EBO\2022-EBO-ARABINOSE R5\plaque 2/@15 TESTO + EE2/H3_02.tif "/>
    <s v=" 36045.972 "/>
    <s v=" 71.0398 "/>
    <x v="0"/>
    <n v="2560700"/>
    <m/>
    <m/>
    <m/>
  </r>
  <r>
    <x v="15"/>
    <x v="7"/>
    <s v="Q:\R&amp;D\2-Test oestrogénique\OECD and AOPs\REACTIV oecd interlaboratory validation\Results WF\Repeats for invalid experiments - EBO\2022-EBO-ARABINOSE R5\plaque 2/@15 TESTO + EE2/H3_03.tif "/>
    <s v=" 31782.2361 "/>
    <s v=" 70.8159 "/>
    <x v="0"/>
    <n v="2250687"/>
    <m/>
    <m/>
    <m/>
  </r>
  <r>
    <x v="1"/>
    <x v="8"/>
    <s v=" "/>
    <m/>
    <m/>
    <x v="1"/>
    <m/>
    <m/>
    <m/>
    <m/>
  </r>
  <r>
    <x v="1"/>
    <x v="8"/>
    <s v="group "/>
    <s v=" "/>
    <s v=" mean of mean fluo "/>
    <x v="2"/>
    <s v=" mean of total fluo "/>
    <s v=" SD total fluo "/>
    <s v=" n fluorescent "/>
    <s v=" n total"/>
  </r>
  <r>
    <x v="15"/>
    <x v="9"/>
    <s v="Q:\R&amp;D\2-Test oestrogénique\OECD and AOPs\REACTIV oecd interlaboratory validation\Results WF\Repeats for invalid experiments - EBO\2022-EBO-ARABINOSE R5\plaque 2/@15 TESTO + EE2/ "/>
    <s v=" "/>
    <s v=" 72.7101 "/>
    <x v="17"/>
    <s v=" 2543797.08 "/>
    <s v=" 965128.169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6"/>
    <x v="0"/>
    <s v="Q:\R&amp;D\2-Test oestrogénique\OECD and AOPs\REACTIV oecd interlaboratory validation\Results WF\Repeats for invalid experiments - EBO\2022-EBO-ARABINOSE R5\plaque 2/@16 TESTO + FAD/A4_01.tif "/>
    <s v=" 1348.7328 "/>
    <s v=" 64.2581 "/>
    <x v="0"/>
    <n v="86667"/>
    <m/>
    <m/>
    <m/>
  </r>
  <r>
    <x v="16"/>
    <x v="0"/>
    <s v="Q:\R&amp;D\2-Test oestrogénique\OECD and AOPs\REACTIV oecd interlaboratory validation\Results WF\Repeats for invalid experiments - EBO\2022-EBO-ARABINOSE R5\plaque 2/@16 TESTO + FAD/A4_02.tif "/>
    <s v=" 2349.4055 "/>
    <s v=" 67.713 "/>
    <x v="0"/>
    <n v="159085"/>
    <m/>
    <m/>
    <m/>
  </r>
  <r>
    <x v="16"/>
    <x v="0"/>
    <s v="Q:\R&amp;D\2-Test oestrogénique\OECD and AOPs\REACTIV oecd interlaboratory validation\Results WF\Repeats for invalid experiments - EBO\2022-EBO-ARABINOSE R5\plaque 2/@16 TESTO + FAD/A4_03.tif "/>
    <s v=" 3263.0633 "/>
    <s v=" 68.74 "/>
    <x v="0"/>
    <n v="224303"/>
    <m/>
    <m/>
    <m/>
  </r>
  <r>
    <x v="16"/>
    <x v="1"/>
    <s v="Q:\R&amp;D\2-Test oestrogénique\OECD and AOPs\REACTIV oecd interlaboratory validation\Results WF\Repeats for invalid experiments - EBO\2022-EBO-ARABINOSE R5\plaque 2/@16 TESTO + FAD/B4_01.tif "/>
    <s v=" 3872.1684 "/>
    <s v=" 65.8427 "/>
    <x v="0"/>
    <n v="254954"/>
    <m/>
    <m/>
    <m/>
  </r>
  <r>
    <x v="16"/>
    <x v="1"/>
    <s v="Q:\R&amp;D\2-Test oestrogénique\OECD and AOPs\REACTIV oecd interlaboratory validation\Results WF\Repeats for invalid experiments - EBO\2022-EBO-ARABINOSE R5\plaque 2/@16 TESTO + FAD/B4_02- exclu.tif"/>
    <m/>
    <m/>
    <x v="1"/>
    <m/>
    <m/>
    <m/>
    <m/>
  </r>
  <r>
    <x v="16"/>
    <x v="1"/>
    <s v="Q:\R&amp;D\2-Test oestrogénique\OECD and AOPs\REACTIV oecd interlaboratory validation\Results WF\Repeats for invalid experiments - EBO\2022-EBO-ARABINOSE R5\plaque 2/@16 TESTO + FAD/B4_03.tif "/>
    <s v=" 4220.2285 "/>
    <s v=" 66.6804 "/>
    <x v="0"/>
    <n v="281407"/>
    <m/>
    <m/>
    <m/>
  </r>
  <r>
    <x v="16"/>
    <x v="2"/>
    <s v="Q:\R&amp;D\2-Test oestrogénique\OECD and AOPs\REACTIV oecd interlaboratory validation\Results WF\Repeats for invalid experiments - EBO\2022-EBO-ARABINOSE R5\plaque 2/@16 TESTO + FAD/C4_01- exclu.tif"/>
    <m/>
    <m/>
    <x v="1"/>
    <m/>
    <m/>
    <m/>
    <m/>
  </r>
  <r>
    <x v="16"/>
    <x v="2"/>
    <s v="Q:\R&amp;D\2-Test oestrogénique\OECD and AOPs\REACTIV oecd interlaboratory validation\Results WF\Repeats for invalid experiments - EBO\2022-EBO-ARABINOSE R5\plaque 2/@16 TESTO + FAD/C4_02.tif "/>
    <s v=" 282.7988 "/>
    <s v=" 64.0769 "/>
    <x v="0"/>
    <n v="18121"/>
    <m/>
    <m/>
    <m/>
  </r>
  <r>
    <x v="16"/>
    <x v="2"/>
    <s v="Q:\R&amp;D\2-Test oestrogénique\OECD and AOPs\REACTIV oecd interlaboratory validation\Results WF\Repeats for invalid experiments - EBO\2022-EBO-ARABINOSE R5\plaque 2/@16 TESTO + FAD/C4_03.tif "/>
    <s v=" 1000.6727 "/>
    <s v=" 66.6739 "/>
    <x v="0"/>
    <n v="66719"/>
    <m/>
    <m/>
    <m/>
  </r>
  <r>
    <x v="16"/>
    <x v="3"/>
    <s v="Q:\R&amp;D\2-Test oestrogénique\OECD and AOPs\REACTIV oecd interlaboratory validation\Results WF\Repeats for invalid experiments - EBO\2022-EBO-ARABINOSE R5\plaque 2/@16 TESTO + FAD/D4_01.tif "/>
    <s v=" 391.5676 "/>
    <s v=" 68.5556 "/>
    <x v="0"/>
    <n v="26844"/>
    <m/>
    <m/>
    <m/>
  </r>
  <r>
    <x v="16"/>
    <x v="3"/>
    <s v="Q:\R&amp;D\2-Test oestrogénique\OECD and AOPs\REACTIV oecd interlaboratory validation\Results WF\Repeats for invalid experiments - EBO\2022-EBO-ARABINOSE R5\plaque 2/@16 TESTO + FAD/D4_02.tif "/>
    <s v=" 152.2763 "/>
    <s v=" 63.1429 "/>
    <x v="0"/>
    <n v="9615"/>
    <m/>
    <m/>
    <m/>
  </r>
  <r>
    <x v="16"/>
    <x v="3"/>
    <s v="Q:\R&amp;D\2-Test oestrogénique\OECD and AOPs\REACTIV oecd interlaboratory validation\Results WF\Repeats for invalid experiments - EBO\2022-EBO-ARABINOSE R5\plaque 2/@16 TESTO + FAD/D4_03.tif "/>
    <s v=" 478.5826 "/>
    <s v=" 66.5 "/>
    <x v="0"/>
    <n v="31826"/>
    <m/>
    <m/>
    <m/>
  </r>
  <r>
    <x v="16"/>
    <x v="4"/>
    <s v="Q:\R&amp;D\2-Test oestrogénique\OECD and AOPs\REACTIV oecd interlaboratory validation\Results WF\Repeats for invalid experiments - EBO\2022-EBO-ARABINOSE R5\plaque 2/@16 TESTO + FAD/E4_01- exclu.tif"/>
    <m/>
    <m/>
    <x v="1"/>
    <m/>
    <m/>
    <m/>
    <m/>
  </r>
  <r>
    <x v="16"/>
    <x v="4"/>
    <s v="Q:\R&amp;D\2-Test oestrogénique\OECD and AOPs\REACTIV oecd interlaboratory validation\Results WF\Repeats for invalid experiments - EBO\2022-EBO-ARABINOSE R5\plaque 2/@16 TESTO + FAD/E4_02.tif "/>
    <s v=" 478.5826 "/>
    <s v=" 62.0455 "/>
    <x v="0"/>
    <n v="29694"/>
    <m/>
    <m/>
    <m/>
  </r>
  <r>
    <x v="16"/>
    <x v="4"/>
    <s v="Q:\R&amp;D\2-Test oestrogénique\OECD and AOPs\REACTIV oecd interlaboratory validation\Results WF\Repeats for invalid experiments - EBO\2022-EBO-ARABINOSE R5\plaque 2/@16 TESTO + FAD/E4_03.tif "/>
    <s v=" 739.6277 "/>
    <s v=" 63.7059 "/>
    <x v="0"/>
    <n v="47119"/>
    <m/>
    <m/>
    <m/>
  </r>
  <r>
    <x v="16"/>
    <x v="5"/>
    <s v="Q:\R&amp;D\2-Test oestrogénique\OECD and AOPs\REACTIV oecd interlaboratory validation\Results WF\Repeats for invalid experiments - EBO\2022-EBO-ARABINOSE R5\plaque 2/@16 TESTO + FAD/F4_01.tif "/>
    <s v=" 500.3364 "/>
    <s v=" 64.0435 "/>
    <x v="0"/>
    <n v="32043"/>
    <m/>
    <m/>
    <m/>
  </r>
  <r>
    <x v="16"/>
    <x v="5"/>
    <s v="Q:\R&amp;D\2-Test oestrogénique\OECD and AOPs\REACTIV oecd interlaboratory validation\Results WF\Repeats for invalid experiments - EBO\2022-EBO-ARABINOSE R5\plaque 2/@16 TESTO + FAD/F4_02.tif "/>
    <s v=" 261.0451 "/>
    <s v=" 62.5 "/>
    <x v="0"/>
    <n v="16315"/>
    <m/>
    <m/>
    <m/>
  </r>
  <r>
    <x v="16"/>
    <x v="5"/>
    <s v="Q:\R&amp;D\2-Test oestrogénique\OECD and AOPs\REACTIV oecd interlaboratory validation\Results WF\Repeats for invalid experiments - EBO\2022-EBO-ARABINOSE R5\plaque 2/@16 TESTO + FAD/F4_03- exclu.tif"/>
    <m/>
    <m/>
    <x v="1"/>
    <m/>
    <m/>
    <m/>
    <m/>
  </r>
  <r>
    <x v="16"/>
    <x v="6"/>
    <s v="Q:\R&amp;D\2-Test oestrogénique\OECD and AOPs\REACTIV oecd interlaboratory validation\Results WF\Repeats for invalid experiments - EBO\2022-EBO-ARABINOSE R5\plaque 2/@16 TESTO + FAD/G4_01.tif "/>
    <s v=" 1435.7478 "/>
    <s v=" 64.0758 "/>
    <x v="0"/>
    <n v="91997"/>
    <m/>
    <m/>
    <m/>
  </r>
  <r>
    <x v="16"/>
    <x v="6"/>
    <s v="Q:\R&amp;D\2-Test oestrogénique\OECD and AOPs\REACTIV oecd interlaboratory validation\Results WF\Repeats for invalid experiments - EBO\2022-EBO-ARABINOSE R5\plaque 2/@16 TESTO + FAD/G4_02- exclu.tif"/>
    <m/>
    <m/>
    <x v="1"/>
    <m/>
    <m/>
    <m/>
    <m/>
  </r>
  <r>
    <x v="16"/>
    <x v="6"/>
    <s v="Q:\R&amp;D\2-Test oestrogénique\OECD and AOPs\REACTIV oecd interlaboratory validation\Results WF\Repeats for invalid experiments - EBO\2022-EBO-ARABINOSE R5\plaque 2/@16 TESTO + FAD/G4_03.tif "/>
    <s v=" 1326.9791 "/>
    <s v=" 66.1803 "/>
    <x v="0"/>
    <n v="87820"/>
    <m/>
    <m/>
    <m/>
  </r>
  <r>
    <x v="16"/>
    <x v="7"/>
    <s v="Q:\R&amp;D\2-Test oestrogénique\OECD and AOPs\REACTIV oecd interlaboratory validation\Results WF\Repeats for invalid experiments - EBO\2022-EBO-ARABINOSE R5\plaque 2/@16 TESTO + FAD/H4_01.tif "/>
    <s v=" 456.8289 "/>
    <s v=" 61.7619 "/>
    <x v="0"/>
    <n v="28215"/>
    <m/>
    <m/>
    <m/>
  </r>
  <r>
    <x v="16"/>
    <x v="7"/>
    <s v="Q:\R&amp;D\2-Test oestrogénique\OECD and AOPs\REACTIV oecd interlaboratory validation\Results WF\Repeats for invalid experiments - EBO\2022-EBO-ARABINOSE R5\plaque 2/@16 TESTO + FAD/H4_02.tif "/>
    <s v=" 174.03 "/>
    <s v=" 66.625 "/>
    <x v="0"/>
    <n v="11595"/>
    <m/>
    <m/>
    <m/>
  </r>
  <r>
    <x v="16"/>
    <x v="7"/>
    <s v="Q:\R&amp;D\2-Test oestrogénique\OECD and AOPs\REACTIV oecd interlaboratory validation\Results WF\Repeats for invalid experiments - EBO\2022-EBO-ARABINOSE R5\plaque 2/@16 TESTO + FAD/H4_03.tif "/>
    <s v=" 326.3063 "/>
    <s v=" 63.7333 "/>
    <x v="0"/>
    <n v="20797"/>
    <m/>
    <m/>
    <m/>
  </r>
  <r>
    <x v="1"/>
    <x v="8"/>
    <s v=" "/>
    <m/>
    <m/>
    <x v="1"/>
    <m/>
    <m/>
    <m/>
    <m/>
  </r>
  <r>
    <x v="1"/>
    <x v="8"/>
    <s v="group "/>
    <s v=" "/>
    <s v=" mean of mean fluo "/>
    <x v="2"/>
    <s v=" mean of total fluo "/>
    <s v=" SD total fluo "/>
    <s v=" n fluorescent "/>
    <s v=" n total"/>
  </r>
  <r>
    <x v="16"/>
    <x v="9"/>
    <s v="Q:\R&amp;D\2-Test oestrogénique\OECD and AOPs\REACTIV oecd interlaboratory validation\Results WF\Repeats for invalid experiments - EBO\2022-EBO-ARABINOSE R5\plaque 2/@16 TESTO + FAD/ "/>
    <s v=" "/>
    <s v=" 65.4022 "/>
    <x v="18"/>
    <s v=" 95263.4167 "/>
    <s v=" 149323.9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7"/>
    <x v="0"/>
    <s v="Q:\R&amp;D\2-Test oestrogénique\OECD and AOPs\REACTIV oecd interlaboratory validation\Results WF\Repeats for invalid experiments - EBO\2022-EBO-ARABINOSE R5\plaque 2/@17 ARABINOSE 0.01 + TESTO/A5_01.tif "/>
    <s v=" 4220.2285 "/>
    <s v=" 64.433 "/>
    <x v="0"/>
    <n v="271922"/>
    <m/>
    <m/>
    <m/>
  </r>
  <r>
    <x v="17"/>
    <x v="0"/>
    <s v="Q:\R&amp;D\2-Test oestrogénique\OECD and AOPs\REACTIV oecd interlaboratory validation\Results WF\Repeats for invalid experiments - EBO\2022-EBO-ARABINOSE R5\plaque 2/@17 ARABINOSE 0.01 + TESTO/A5_02.tif "/>
    <s v=" 3567.6158 "/>
    <s v=" 64.2378 "/>
    <x v="0"/>
    <n v="229176"/>
    <m/>
    <m/>
    <m/>
  </r>
  <r>
    <x v="17"/>
    <x v="0"/>
    <s v="Q:\R&amp;D\2-Test oestrogénique\OECD and AOPs\REACTIV oecd interlaboratory validation\Results WF\Repeats for invalid experiments - EBO\2022-EBO-ARABINOSE R5\plaque 2/@17 ARABINOSE 0.01 + TESTO/A5_03.tif "/>
    <s v=" 4046.1984 "/>
    <s v=" 63.5538 "/>
    <x v="0"/>
    <n v="257151"/>
    <m/>
    <m/>
    <m/>
  </r>
  <r>
    <x v="17"/>
    <x v="1"/>
    <s v="Q:\R&amp;D\2-Test oestrogénique\OECD and AOPs\REACTIV oecd interlaboratory validation\Results WF\Repeats for invalid experiments - EBO\2022-EBO-ARABINOSE R5\plaque 2/@17 ARABINOSE 0.01 + TESTO/B5_01.tif "/>
    <s v=" 456.8289 "/>
    <s v=" 65.381 "/>
    <x v="0"/>
    <n v="29868"/>
    <m/>
    <m/>
    <m/>
  </r>
  <r>
    <x v="17"/>
    <x v="1"/>
    <s v="Q:\R&amp;D\2-Test oestrogénique\OECD and AOPs\REACTIV oecd interlaboratory validation\Results WF\Repeats for invalid experiments - EBO\2022-EBO-ARABINOSE R5\plaque 2/@17 ARABINOSE 0.01 + TESTO/B5_02.tif "/>
    <s v=" 543.8439 "/>
    <s v=" 64.2 "/>
    <x v="0"/>
    <n v="34915"/>
    <m/>
    <m/>
    <m/>
  </r>
  <r>
    <x v="17"/>
    <x v="1"/>
    <s v="Q:\R&amp;D\2-Test oestrogénique\OECD and AOPs\REACTIV oecd interlaboratory validation\Results WF\Repeats for invalid experiments - EBO\2022-EBO-ARABINOSE R5\plaque 2/@17 ARABINOSE 0.01 + TESTO/B5_03- exclu.tif"/>
    <m/>
    <m/>
    <x v="1"/>
    <m/>
    <m/>
    <m/>
    <m/>
  </r>
  <r>
    <x v="17"/>
    <x v="2"/>
    <s v="Q:\R&amp;D\2-Test oestrogénique\OECD and AOPs\REACTIV oecd interlaboratory validation\Results WF\Repeats for invalid experiments - EBO\2022-EBO-ARABINOSE R5\plaque 2/@17 ARABINOSE 0.01 + TESTO/C5_01.tif "/>
    <s v=" 28171.1127 "/>
    <s v=" 67.9467 "/>
    <x v="0"/>
    <n v="1914135"/>
    <m/>
    <m/>
    <m/>
  </r>
  <r>
    <x v="17"/>
    <x v="2"/>
    <s v="Q:\R&amp;D\2-Test oestrogénique\OECD and AOPs\REACTIV oecd interlaboratory validation\Results WF\Repeats for invalid experiments - EBO\2022-EBO-ARABINOSE R5\plaque 2/@17 ARABINOSE 0.01 + TESTO/C5_02.tif "/>
    <s v=" 34370.9329 "/>
    <s v=" 70.7348 "/>
    <x v="0"/>
    <n v="2431221"/>
    <m/>
    <m/>
    <m/>
  </r>
  <r>
    <x v="17"/>
    <x v="2"/>
    <s v="Q:\R&amp;D\2-Test oestrogénique\OECD and AOPs\REACTIV oecd interlaboratory validation\Results WF\Repeats for invalid experiments - EBO\2022-EBO-ARABINOSE R5\plaque 2/@17 ARABINOSE 0.01 + TESTO/C5_03.tif "/>
    <s v=" 28606.1878 "/>
    <s v=" 69.8084 "/>
    <x v="0"/>
    <n v="1996951"/>
    <m/>
    <m/>
    <m/>
  </r>
  <r>
    <x v="17"/>
    <x v="3"/>
    <s v="Q:\R&amp;D\2-Test oestrogénique\OECD and AOPs\REACTIV oecd interlaboratory validation\Results WF\Repeats for invalid experiments - EBO\2022-EBO-ARABINOSE R5\plaque 2/@17 ARABINOSE 0.01 + TESTO/D5_01.tif "/>
    <s v=" 35262.8369 "/>
    <s v=" 70.0043 "/>
    <x v="0"/>
    <n v="2468551"/>
    <m/>
    <m/>
    <m/>
  </r>
  <r>
    <x v="17"/>
    <x v="3"/>
    <s v="Q:\R&amp;D\2-Test oestrogénique\OECD and AOPs\REACTIV oecd interlaboratory validation\Results WF\Repeats for invalid experiments - EBO\2022-EBO-ARABINOSE R5\plaque 2/@17 ARABINOSE 0.01 + TESTO/D5_02.tif "/>
    <s v=" 35567.3894 "/>
    <s v=" 68.5131 "/>
    <x v="0"/>
    <n v="2436834"/>
    <m/>
    <m/>
    <m/>
  </r>
  <r>
    <x v="17"/>
    <x v="3"/>
    <s v="Q:\R&amp;D\2-Test oestrogénique\OECD and AOPs\REACTIV oecd interlaboratory validation\Results WF\Repeats for invalid experiments - EBO\2022-EBO-ARABINOSE R5\plaque 2/@17 ARABINOSE 0.01 + TESTO/D5_03.tif "/>
    <s v=" 41571.4258 "/>
    <s v=" 70.3637 "/>
    <x v="0"/>
    <n v="2925119"/>
    <m/>
    <m/>
    <m/>
  </r>
  <r>
    <x v="17"/>
    <x v="4"/>
    <s v="Q:\R&amp;D\2-Test oestrogénique\OECD and AOPs\REACTIV oecd interlaboratory validation\Results WF\Repeats for invalid experiments - EBO\2022-EBO-ARABINOSE R5\plaque 2/@17 ARABINOSE 0.01 + TESTO/E5_01.tif "/>
    <s v=" 2545.1893 "/>
    <s v=" 64.6923 "/>
    <x v="0"/>
    <n v="164654"/>
    <m/>
    <m/>
    <m/>
  </r>
  <r>
    <x v="17"/>
    <x v="4"/>
    <s v="Q:\R&amp;D\2-Test oestrogénique\OECD and AOPs\REACTIV oecd interlaboratory validation\Results WF\Repeats for invalid experiments - EBO\2022-EBO-ARABINOSE R5\plaque 2/@17 ARABINOSE 0.01 + TESTO/E5_02.tif "/>
    <s v=" 2327.6518 "/>
    <s v=" 63.2897 "/>
    <x v="0"/>
    <n v="147316"/>
    <m/>
    <m/>
    <m/>
  </r>
  <r>
    <x v="17"/>
    <x v="4"/>
    <s v="Q:\R&amp;D\2-Test oestrogénique\OECD and AOPs\REACTIV oecd interlaboratory validation\Results WF\Repeats for invalid experiments - EBO\2022-EBO-ARABINOSE R5\plaque 2/@17 ARABINOSE 0.01 + TESTO/E5_03.tif "/>
    <s v=" 1152.949 "/>
    <s v=" 64.0189 "/>
    <x v="0"/>
    <n v="73810"/>
    <m/>
    <m/>
    <m/>
  </r>
  <r>
    <x v="17"/>
    <x v="5"/>
    <s v="Q:\R&amp;D\2-Test oestrogénique\OECD and AOPs\REACTIV oecd interlaboratory validation\Results WF\Repeats for invalid experiments - EBO\2022-EBO-ARABINOSE R5\plaque 2/@17 ARABINOSE 0.01 + TESTO/F5_01- exclu.tif"/>
    <m/>
    <m/>
    <x v="1"/>
    <m/>
    <m/>
    <m/>
    <m/>
  </r>
  <r>
    <x v="17"/>
    <x v="5"/>
    <s v="Q:\R&amp;D\2-Test oestrogénique\OECD and AOPs\REACTIV oecd interlaboratory validation\Results WF\Repeats for invalid experiments - EBO\2022-EBO-ARABINOSE R5\plaque 2/@17 ARABINOSE 0.01 + TESTO/F5_02.tif "/>
    <s v=" 10528.8174 "/>
    <s v=" 65.9153 "/>
    <x v="0"/>
    <n v="694010"/>
    <m/>
    <m/>
    <m/>
  </r>
  <r>
    <x v="17"/>
    <x v="5"/>
    <s v="Q:\R&amp;D\2-Test oestrogénique\OECD and AOPs\REACTIV oecd interlaboratory validation\Results WF\Repeats for invalid experiments - EBO\2022-EBO-ARABINOSE R5\plaque 2/@17 ARABINOSE 0.01 + TESTO/F5_03.tif "/>
    <s v=" 14031.172 "/>
    <s v=" 67.0186 "/>
    <x v="0"/>
    <n v="940350"/>
    <m/>
    <m/>
    <m/>
  </r>
  <r>
    <x v="17"/>
    <x v="6"/>
    <s v="Q:\R&amp;D\2-Test oestrogénique\OECD and AOPs\REACTIV oecd interlaboratory validation\Results WF\Repeats for invalid experiments - EBO\2022-EBO-ARABINOSE R5\plaque 2/@17 ARABINOSE 0.01 + TESTO/G5_01.tif "/>
    <s v=" 13617.8506 "/>
    <s v=" 66.3786 "/>
    <x v="0"/>
    <n v="903934"/>
    <m/>
    <m/>
    <m/>
  </r>
  <r>
    <x v="17"/>
    <x v="6"/>
    <s v="Q:\R&amp;D\2-Test oestrogénique\OECD and AOPs\REACTIV oecd interlaboratory validation\Results WF\Repeats for invalid experiments - EBO\2022-EBO-ARABINOSE R5\plaque 2/@17 ARABINOSE 0.01 + TESTO/G5_02.tif "/>
    <s v=" 11050.9075 "/>
    <s v=" 66.2795 "/>
    <x v="0"/>
    <n v="732449"/>
    <m/>
    <m/>
    <m/>
  </r>
  <r>
    <x v="17"/>
    <x v="6"/>
    <s v="Q:\R&amp;D\2-Test oestrogénique\OECD and AOPs\REACTIV oecd interlaboratory validation\Results WF\Repeats for invalid experiments - EBO\2022-EBO-ARABINOSE R5\plaque 2/@17 ARABINOSE 0.01 + TESTO/G5_03.tif "/>
    <s v=" 8309.9344 "/>
    <s v=" 65.0052 "/>
    <x v="0"/>
    <n v="540189"/>
    <m/>
    <m/>
    <m/>
  </r>
  <r>
    <x v="17"/>
    <x v="7"/>
    <s v="Q:\R&amp;D\2-Test oestrogénique\OECD and AOPs\REACTIV oecd interlaboratory validation\Results WF\Repeats for invalid experiments - EBO\2022-EBO-ARABINOSE R5\plaque 2/@17 ARABINOSE 0.01 + TESTO/H5_01.tif "/>
    <s v=" 7679.0755 "/>
    <s v=" 64.6176 "/>
    <x v="0"/>
    <n v="496203"/>
    <m/>
    <m/>
    <m/>
  </r>
  <r>
    <x v="17"/>
    <x v="7"/>
    <s v="Q:\R&amp;D\2-Test oestrogénique\OECD and AOPs\REACTIV oecd interlaboratory validation\Results WF\Repeats for invalid experiments - EBO\2022-EBO-ARABINOSE R5\plaque 2/@17 ARABINOSE 0.01 + TESTO/H5_02- exclu.tif"/>
    <m/>
    <m/>
    <x v="1"/>
    <m/>
    <m/>
    <m/>
    <m/>
  </r>
  <r>
    <x v="17"/>
    <x v="7"/>
    <s v="Q:\R&amp;D\2-Test oestrogénique\OECD and AOPs\REACTIV oecd interlaboratory validation\Results WF\Repeats for invalid experiments - EBO\2022-EBO-ARABINOSE R5\plaque 2/@17 ARABINOSE 0.01 + TESTO/H5_03- exclu.tif"/>
    <m/>
    <m/>
    <x v="1"/>
    <m/>
    <m/>
    <m/>
    <m/>
  </r>
  <r>
    <x v="1"/>
    <x v="8"/>
    <s v=" "/>
    <m/>
    <m/>
    <x v="1"/>
    <m/>
    <m/>
    <m/>
    <m/>
  </r>
  <r>
    <x v="1"/>
    <x v="8"/>
    <s v="group "/>
    <s v=" "/>
    <s v=" mean of mean fluo "/>
    <x v="2"/>
    <s v=" mean of total fluo "/>
    <s v=" SD total fluo "/>
    <s v=" n fluorescent "/>
    <s v=" n total"/>
  </r>
  <r>
    <x v="17"/>
    <x v="9"/>
    <s v="Q:\R&amp;D\2-Test oestrogénique\OECD and AOPs\REACTIV oecd interlaboratory validation\Results WF\Repeats for invalid experiments - EBO\2022-EBO-ARABINOSE R5\plaque 2/@17 ARABINOSE 0.01 + TESTO/ "/>
    <s v=" "/>
    <s v=" 65.8958 "/>
    <x v="19"/>
    <s v=" 876094.417 "/>
    <s v=" 928329.645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8"/>
    <x v="0"/>
    <s v="Q:\R&amp;D\2-Test oestrogénique\OECD and AOPs\REACTIV oecd interlaboratory validation\Results WF\Repeats for invalid experiments - EBO\2022-EBO-ARABINOSE R5\plaque 2/@18 ARABINOSE 0.1 + TESTO/A6_01.tif "/>
    <s v=" 3002.0182 "/>
    <s v=" 64.1739 "/>
    <x v="0"/>
    <n v="192651"/>
    <m/>
    <m/>
    <m/>
  </r>
  <r>
    <x v="18"/>
    <x v="0"/>
    <s v="Q:\R&amp;D\2-Test oestrogénique\OECD and AOPs\REACTIV oecd interlaboratory validation\Results WF\Repeats for invalid experiments - EBO\2022-EBO-ARABINOSE R5\plaque 2/@18 ARABINOSE 0.1 + TESTO/A6_02.tif "/>
    <s v=" 2588.6968 "/>
    <s v=" 63.8739 "/>
    <x v="0"/>
    <n v="165350"/>
    <m/>
    <m/>
    <m/>
  </r>
  <r>
    <x v="18"/>
    <x v="0"/>
    <s v="Q:\R&amp;D\2-Test oestrogénique\OECD and AOPs\REACTIV oecd interlaboratory validation\Results WF\Repeats for invalid experiments - EBO\2022-EBO-ARABINOSE R5\plaque 2/@18 ARABINOSE 0.1 + TESTO/A6_03.tif "/>
    <s v=" 3785.1534 "/>
    <s v=" 63.592 "/>
    <x v="0"/>
    <n v="240705"/>
    <m/>
    <m/>
    <m/>
  </r>
  <r>
    <x v="18"/>
    <x v="1"/>
    <s v="Q:\R&amp;D\2-Test oestrogénique\OECD and AOPs\REACTIV oecd interlaboratory validation\Results WF\Repeats for invalid experiments - EBO\2022-EBO-ARABINOSE R5\plaque 2/@18 ARABINOSE 0.1 + TESTO/B6_01- exclu.tif"/>
    <m/>
    <m/>
    <x v="1"/>
    <m/>
    <m/>
    <m/>
    <m/>
  </r>
  <r>
    <x v="18"/>
    <x v="1"/>
    <s v="Q:\R&amp;D\2-Test oestrogénique\OECD and AOPs\REACTIV oecd interlaboratory validation\Results WF\Repeats for invalid experiments - EBO\2022-EBO-ARABINOSE R5\plaque 2/@18 ARABINOSE 0.1 + TESTO/B6_02.tif "/>
    <s v=" 1174.7028 "/>
    <s v=" 62.9259 "/>
    <x v="0"/>
    <n v="73919"/>
    <m/>
    <m/>
    <m/>
  </r>
  <r>
    <x v="18"/>
    <x v="1"/>
    <s v="Q:\R&amp;D\2-Test oestrogénique\OECD and AOPs\REACTIV oecd interlaboratory validation\Results WF\Repeats for invalid experiments - EBO\2022-EBO-ARABINOSE R5\plaque 2/@18 ARABINOSE 0.1 + TESTO/B6_03.tif "/>
    <s v=" 891.904 "/>
    <s v=" 63.3171 "/>
    <x v="0"/>
    <n v="56473"/>
    <m/>
    <m/>
    <m/>
  </r>
  <r>
    <x v="18"/>
    <x v="2"/>
    <s v="Q:\R&amp;D\2-Test oestrogénique\OECD and AOPs\REACTIV oecd interlaboratory validation\Results WF\Repeats for invalid experiments - EBO\2022-EBO-ARABINOSE R5\plaque 2/@18 ARABINOSE 0.1 + TESTO/C6_01.tif "/>
    <s v=" 5873.5139 "/>
    <s v=" 64.7519 "/>
    <x v="0"/>
    <n v="380321"/>
    <m/>
    <m/>
    <m/>
  </r>
  <r>
    <x v="18"/>
    <x v="2"/>
    <s v="Q:\R&amp;D\2-Test oestrogénique\OECD and AOPs\REACTIV oecd interlaboratory validation\Results WF\Repeats for invalid experiments - EBO\2022-EBO-ARABINOSE R5\plaque 2/@18 ARABINOSE 0.1 + TESTO/C6_02- exclu.tif"/>
    <m/>
    <m/>
    <x v="1"/>
    <m/>
    <m/>
    <m/>
    <m/>
  </r>
  <r>
    <x v="18"/>
    <x v="2"/>
    <s v="Q:\R&amp;D\2-Test oestrogénique\OECD and AOPs\REACTIV oecd interlaboratory validation\Results WF\Repeats for invalid experiments - EBO\2022-EBO-ARABINOSE R5\plaque 2/@18 ARABINOSE 0.1 + TESTO/C6_03- exclu.tif"/>
    <m/>
    <m/>
    <x v="1"/>
    <m/>
    <m/>
    <m/>
    <m/>
  </r>
  <r>
    <x v="18"/>
    <x v="3"/>
    <s v="Q:\R&amp;D\2-Test oestrogénique\OECD and AOPs\REACTIV oecd interlaboratory validation\Results WF\Repeats for invalid experiments - EBO\2022-EBO-ARABINOSE R5\plaque 2/@18 ARABINOSE 0.1 + TESTO/D6_01.tif "/>
    <s v=" 14052.9257 "/>
    <s v=" 65.2508 "/>
    <x v="0"/>
    <n v="916964"/>
    <m/>
    <m/>
    <m/>
  </r>
  <r>
    <x v="18"/>
    <x v="3"/>
    <s v="Q:\R&amp;D\2-Test oestrogénique\OECD and AOPs\REACTIV oecd interlaboratory validation\Results WF\Repeats for invalid experiments - EBO\2022-EBO-ARABINOSE R5\plaque 2/@18 ARABINOSE 0.1 + TESTO/D6_02.tif "/>
    <s v=" 9636.9135 "/>
    <s v=" 63.9594 "/>
    <x v="0"/>
    <n v="616371"/>
    <m/>
    <m/>
    <m/>
  </r>
  <r>
    <x v="18"/>
    <x v="3"/>
    <s v="Q:\R&amp;D\2-Test oestrogénique\OECD and AOPs\REACTIV oecd interlaboratory validation\Results WF\Repeats for invalid experiments - EBO\2022-EBO-ARABINOSE R5\plaque 2/@18 ARABINOSE 0.1 + TESTO/D6_03.tif "/>
    <s v=" 11768.7815 "/>
    <s v=" 64.5675 "/>
    <x v="0"/>
    <n v="759880"/>
    <m/>
    <m/>
    <m/>
  </r>
  <r>
    <x v="18"/>
    <x v="4"/>
    <s v="Q:\R&amp;D\2-Test oestrogénique\OECD and AOPs\REACTIV oecd interlaboratory validation\Results WF\Repeats for invalid experiments - EBO\2022-EBO-ARABINOSE R5\plaque 2/@18 ARABINOSE 0.1 + TESTO/E6_01.tif "/>
    <s v=" 1261.7178 "/>
    <s v=" 64.2931 "/>
    <x v="0"/>
    <n v="81120"/>
    <m/>
    <m/>
    <m/>
  </r>
  <r>
    <x v="18"/>
    <x v="4"/>
    <s v="Q:\R&amp;D\2-Test oestrogénique\OECD and AOPs\REACTIV oecd interlaboratory validation\Results WF\Repeats for invalid experiments - EBO\2022-EBO-ARABINOSE R5\plaque 2/@18 ARABINOSE 0.1 + TESTO/E6_02.tif "/>
    <s v=" 478.5826 "/>
    <s v=" 62.6364 "/>
    <x v="0"/>
    <n v="29977"/>
    <m/>
    <m/>
    <m/>
  </r>
  <r>
    <x v="18"/>
    <x v="4"/>
    <s v="Q:\R&amp;D\2-Test oestrogénique\OECD and AOPs\REACTIV oecd interlaboratory validation\Results WF\Repeats for invalid experiments - EBO\2022-EBO-ARABINOSE R5\plaque 2/@18 ARABINOSE 0.1 + TESTO/E6_03.tif "/>
    <s v=" 674.3664 "/>
    <s v=" 65.2581 "/>
    <x v="0"/>
    <n v="44008"/>
    <m/>
    <m/>
    <m/>
  </r>
  <r>
    <x v="18"/>
    <x v="5"/>
    <s v="Q:\R&amp;D\2-Test oestrogénique\OECD and AOPs\REACTIV oecd interlaboratory validation\Results WF\Repeats for invalid experiments - EBO\2022-EBO-ARABINOSE R5\plaque 2/@18 ARABINOSE 0.1 + TESTO/F6_01.tif "/>
    <s v=" 16598.1151 "/>
    <s v=" 66.0249 "/>
    <x v="0"/>
    <n v="1095889"/>
    <m/>
    <m/>
    <m/>
  </r>
  <r>
    <x v="18"/>
    <x v="5"/>
    <s v="Q:\R&amp;D\2-Test oestrogénique\OECD and AOPs\REACTIV oecd interlaboratory validation\Results WF\Repeats for invalid experiments - EBO\2022-EBO-ARABINOSE R5\plaque 2/@18 ARABINOSE 0.1 + TESTO/F6_02.tif "/>
    <s v=" 18969.2744 "/>
    <s v=" 66.0596 "/>
    <x v="0"/>
    <n v="1253103"/>
    <m/>
    <m/>
    <m/>
  </r>
  <r>
    <x v="18"/>
    <x v="5"/>
    <s v="Q:\R&amp;D\2-Test oestrogénique\OECD and AOPs\REACTIV oecd interlaboratory validation\Results WF\Repeats for invalid experiments - EBO\2022-EBO-ARABINOSE R5\plaque 2/@18 ARABINOSE 0.1 + TESTO/F6_03.tif "/>
    <s v=" 15532.1811 "/>
    <s v=" 66.2563 "/>
    <x v="0"/>
    <n v="1029105"/>
    <m/>
    <m/>
    <m/>
  </r>
  <r>
    <x v="18"/>
    <x v="6"/>
    <s v="Q:\R&amp;D\2-Test oestrogénique\OECD and AOPs\REACTIV oecd interlaboratory validation\Results WF\Repeats for invalid experiments - EBO\2022-EBO-ARABINOSE R5\plaque 2/@18 ARABINOSE 0.1 + TESTO/G6_01.tif "/>
    <s v=" 7505.0455 "/>
    <s v=" 64.5043 "/>
    <x v="0"/>
    <n v="484108"/>
    <m/>
    <m/>
    <m/>
  </r>
  <r>
    <x v="18"/>
    <x v="6"/>
    <s v="Q:\R&amp;D\2-Test oestrogénique\OECD and AOPs\REACTIV oecd interlaboratory validation\Results WF\Repeats for invalid experiments - EBO\2022-EBO-ARABINOSE R5\plaque 2/@18 ARABINOSE 0.1 + TESTO/G6_02.tif "/>
    <s v=" 7156.9854 "/>
    <s v=" 64.4954 "/>
    <x v="0"/>
    <n v="461593"/>
    <m/>
    <m/>
    <m/>
  </r>
  <r>
    <x v="18"/>
    <x v="6"/>
    <s v="Q:\R&amp;D\2-Test oestrogénique\OECD and AOPs\REACTIV oecd interlaboratory validation\Results WF\Repeats for invalid experiments - EBO\2022-EBO-ARABINOSE R5\plaque 2/@18 ARABINOSE 0.1 + TESTO/G6_03.tif "/>
    <s v=" 6308.589 "/>
    <s v=" 63.6517 "/>
    <x v="0"/>
    <n v="401553"/>
    <m/>
    <m/>
    <m/>
  </r>
  <r>
    <x v="18"/>
    <x v="7"/>
    <s v="Q:\R&amp;D\2-Test oestrogénique\OECD and AOPs\REACTIV oecd interlaboratory validation\Results WF\Repeats for invalid experiments - EBO\2022-EBO-ARABINOSE R5\plaque 2/@18 ARABINOSE 0.1 + TESTO/H6_01.tif "/>
    <s v=" 43507.51 "/>
    <s v=" 70.0955 "/>
    <x v="0"/>
    <n v="3049681"/>
    <m/>
    <m/>
    <m/>
  </r>
  <r>
    <x v="18"/>
    <x v="7"/>
    <s v="Q:\R&amp;D\2-Test oestrogénique\OECD and AOPs\REACTIV oecd interlaboratory validation\Results WF\Repeats for invalid experiments - EBO\2022-EBO-ARABINOSE R5\plaque 2/@18 ARABINOSE 0.1 + TESTO/H6_02.tif "/>
    <s v=" 43115.9424 "/>
    <s v=" 70.9425 "/>
    <x v="0"/>
    <n v="3058752"/>
    <m/>
    <m/>
    <m/>
  </r>
  <r>
    <x v="18"/>
    <x v="7"/>
    <s v="Q:\R&amp;D\2-Test oestrogénique\OECD and AOPs\REACTIV oecd interlaboratory validation\Results WF\Repeats for invalid experiments - EBO\2022-EBO-ARABINOSE R5\plaque 2/@18 ARABINOSE 0.1 + TESTO/H6_03.tif "/>
    <s v=" 50577.4804 "/>
    <s v=" 71.6138 "/>
    <x v="0"/>
    <n v="3622044"/>
    <m/>
    <m/>
    <m/>
  </r>
  <r>
    <x v="1"/>
    <x v="8"/>
    <s v=" "/>
    <m/>
    <m/>
    <x v="1"/>
    <m/>
    <m/>
    <m/>
    <m/>
  </r>
  <r>
    <x v="1"/>
    <x v="8"/>
    <s v="group "/>
    <s v=" "/>
    <s v=" mean of mean fluo "/>
    <x v="2"/>
    <s v=" mean of total fluo "/>
    <s v=" SD total fluo "/>
    <s v=" n fluorescent "/>
    <s v=" n total"/>
  </r>
  <r>
    <x v="18"/>
    <x v="9"/>
    <s v="Q:\R&amp;D\2-Test oestrogénique\OECD and AOPs\REACTIV oecd interlaboratory validation\Results WF\Repeats for invalid experiments - EBO\2022-EBO-ARABINOSE R5\plaque 2/@18 ARABINOSE 0.1 + TESTO/ "/>
    <s v=" "/>
    <s v=" 65.2002 "/>
    <x v="20"/>
    <s v=" 776348.042 "/>
    <s v=" 1021700.31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19"/>
    <x v="0"/>
    <s v="Q:\R&amp;D\2-Test oestrogénique\OECD and AOPs\REACTIV oecd interlaboratory validation\Results WF\Repeats for invalid experiments - EBO\2022-EBO-ARABINOSE R5\plaque 2/@19 ARABINOSE 1 + TESTO/A7_01- exclu.tif"/>
    <m/>
    <m/>
    <x v="1"/>
    <m/>
    <m/>
    <m/>
    <m/>
  </r>
  <r>
    <x v="19"/>
    <x v="0"/>
    <s v="Q:\R&amp;D\2-Test oestrogénique\OECD and AOPs\REACTIV oecd interlaboratory validation\Results WF\Repeats for invalid experiments - EBO\2022-EBO-ARABINOSE R5\plaque 2/@19 ARABINOSE 1 + TESTO/A7_02.tif "/>
    <s v=" 10050.2348 "/>
    <s v=" 64.2662 "/>
    <x v="0"/>
    <n v="645891"/>
    <m/>
    <m/>
    <m/>
  </r>
  <r>
    <x v="19"/>
    <x v="0"/>
    <s v="Q:\R&amp;D\2-Test oestrogénique\OECD and AOPs\REACTIV oecd interlaboratory validation\Results WF\Repeats for invalid experiments - EBO\2022-EBO-ARABINOSE R5\plaque 2/@19 ARABINOSE 1 + TESTO/A7_03- exclu.tif"/>
    <m/>
    <m/>
    <x v="1"/>
    <m/>
    <m/>
    <m/>
    <m/>
  </r>
  <r>
    <x v="19"/>
    <x v="1"/>
    <s v="Q:\R&amp;D\2-Test oestrogénique\OECD and AOPs\REACTIV oecd interlaboratory validation\Results WF\Repeats for invalid experiments - EBO\2022-EBO-ARABINOSE R5\plaque 2/@19 ARABINOSE 1 + TESTO/B7_01.tif "/>
    <s v=" 3154.2945 "/>
    <s v=" 67.8069 "/>
    <x v="0"/>
    <n v="213883"/>
    <m/>
    <m/>
    <m/>
  </r>
  <r>
    <x v="19"/>
    <x v="1"/>
    <s v="Q:\R&amp;D\2-Test oestrogénique\OECD and AOPs\REACTIV oecd interlaboratory validation\Results WF\Repeats for invalid experiments - EBO\2022-EBO-ARABINOSE R5\plaque 2/@19 ARABINOSE 1 + TESTO/B7_02- exclu.tif"/>
    <m/>
    <m/>
    <x v="1"/>
    <m/>
    <m/>
    <m/>
    <m/>
  </r>
  <r>
    <x v="19"/>
    <x v="1"/>
    <s v="Q:\R&amp;D\2-Test oestrogénique\OECD and AOPs\REACTIV oecd interlaboratory validation\Results WF\Repeats for invalid experiments - EBO\2022-EBO-ARABINOSE R5\plaque 2/@19 ARABINOSE 1 + TESTO/B7_03- exclu.tif"/>
    <m/>
    <m/>
    <x v="1"/>
    <m/>
    <m/>
    <m/>
    <m/>
  </r>
  <r>
    <x v="19"/>
    <x v="2"/>
    <s v="Q:\R&amp;D\2-Test oestrogénique\OECD and AOPs\REACTIV oecd interlaboratory validation\Results WF\Repeats for invalid experiments - EBO\2022-EBO-ARABINOSE R5\plaque 2/@19 ARABINOSE 1 + TESTO/C7_01.tif "/>
    <s v=" 22384.6139 "/>
    <s v=" 68.2002 "/>
    <x v="0"/>
    <n v="1526635"/>
    <m/>
    <m/>
    <m/>
  </r>
  <r>
    <x v="19"/>
    <x v="2"/>
    <s v="Q:\R&amp;D\2-Test oestrogénique\OECD and AOPs\REACTIV oecd interlaboratory validation\Results WF\Repeats for invalid experiments - EBO\2022-EBO-ARABINOSE R5\plaque 2/@19 ARABINOSE 1 + TESTO/C7_02.tif "/>
    <s v=" 22493.3827 "/>
    <s v=" 68.6509 "/>
    <x v="0"/>
    <n v="1544190"/>
    <m/>
    <m/>
    <m/>
  </r>
  <r>
    <x v="19"/>
    <x v="2"/>
    <s v="Q:\R&amp;D\2-Test oestrogénique\OECD and AOPs\REACTIV oecd interlaboratory validation\Results WF\Repeats for invalid experiments - EBO\2022-EBO-ARABINOSE R5\plaque 2/@19 ARABINOSE 1 + TESTO/C7_03.tif "/>
    <s v=" 17990.3554 "/>
    <s v=" 67.9794 "/>
    <x v="0"/>
    <n v="1222974"/>
    <m/>
    <m/>
    <m/>
  </r>
  <r>
    <x v="19"/>
    <x v="3"/>
    <s v="Q:\R&amp;D\2-Test oestrogénique\OECD and AOPs\REACTIV oecd interlaboratory validation\Results WF\Repeats for invalid experiments - EBO\2022-EBO-ARABINOSE R5\plaque 2/@19 ARABINOSE 1 + TESTO/D7_01.tif "/>
    <s v=" 21296.9261 "/>
    <s v=" 69.3483 "/>
    <x v="0"/>
    <n v="1476906"/>
    <m/>
    <m/>
    <m/>
  </r>
  <r>
    <x v="19"/>
    <x v="3"/>
    <s v="Q:\R&amp;D\2-Test oestrogénique\OECD and AOPs\REACTIV oecd interlaboratory validation\Results WF\Repeats for invalid experiments - EBO\2022-EBO-ARABINOSE R5\plaque 2/@19 ARABINOSE 1 + TESTO/D7_02.tif "/>
    <s v=" 21949.5388 "/>
    <s v=" 67.3925 "/>
    <x v="0"/>
    <n v="1479234"/>
    <m/>
    <m/>
    <m/>
  </r>
  <r>
    <x v="19"/>
    <x v="3"/>
    <s v="Q:\R&amp;D\2-Test oestrogénique\OECD and AOPs\REACTIV oecd interlaboratory validation\Results WF\Repeats for invalid experiments - EBO\2022-EBO-ARABINOSE R5\plaque 2/@19 ARABINOSE 1 + TESTO/D7_03.tif "/>
    <s v=" 18816.9981 "/>
    <s v=" 67.3699 "/>
    <x v="0"/>
    <n v="1267700"/>
    <m/>
    <m/>
    <m/>
  </r>
  <r>
    <x v="19"/>
    <x v="4"/>
    <s v="Q:\R&amp;D\2-Test oestrogénique\OECD and AOPs\REACTIV oecd interlaboratory validation\Results WF\Repeats for invalid experiments - EBO\2022-EBO-ARABINOSE R5\plaque 2/@19 ARABINOSE 1 + TESTO/E7_01.tif "/>
    <s v=" 14705.5384 "/>
    <s v=" 65.6657 "/>
    <x v="0"/>
    <n v="965649"/>
    <m/>
    <m/>
    <m/>
  </r>
  <r>
    <x v="19"/>
    <x v="4"/>
    <s v="Q:\R&amp;D\2-Test oestrogénique\OECD and AOPs\REACTIV oecd interlaboratory validation\Results WF\Repeats for invalid experiments - EBO\2022-EBO-ARABINOSE R5\plaque 2/@19 ARABINOSE 1 + TESTO/E7_02.tif "/>
    <s v=" 20035.2084 "/>
    <s v=" 67.2182 "/>
    <x v="0"/>
    <n v="1346731"/>
    <m/>
    <m/>
    <m/>
  </r>
  <r>
    <x v="19"/>
    <x v="4"/>
    <s v="Q:\R&amp;D\2-Test oestrogénique\OECD and AOPs\REACTIV oecd interlaboratory validation\Results WF\Repeats for invalid experiments - EBO\2022-EBO-ARABINOSE R5\plaque 2/@19 ARABINOSE 1 + TESTO/E7_03.tif "/>
    <s v=" 13509.0819 "/>
    <s v=" 65.9807 "/>
    <x v="0"/>
    <n v="891338"/>
    <m/>
    <m/>
    <m/>
  </r>
  <r>
    <x v="19"/>
    <x v="5"/>
    <s v="Q:\R&amp;D\2-Test oestrogénique\OECD and AOPs\REACTIV oecd interlaboratory validation\Results WF\Repeats for invalid experiments - EBO\2022-EBO-ARABINOSE R5\plaque 2/@19 ARABINOSE 1 + TESTO/F7_01.tif "/>
    <s v=" 21014.1273 "/>
    <s v=" 66.7412 "/>
    <x v="0"/>
    <n v="1402508"/>
    <m/>
    <m/>
    <m/>
  </r>
  <r>
    <x v="19"/>
    <x v="5"/>
    <s v="Q:\R&amp;D\2-Test oestrogénique\OECD and AOPs\REACTIV oecd interlaboratory validation\Results WF\Repeats for invalid experiments - EBO\2022-EBO-ARABINOSE R5\plaque 2/@19 ARABINOSE 1 + TESTO/F7_02.tif "/>
    <s v=" 24342.4518 "/>
    <s v=" 66.5514 "/>
    <x v="0"/>
    <n v="1620024"/>
    <m/>
    <m/>
    <m/>
  </r>
  <r>
    <x v="19"/>
    <x v="5"/>
    <s v="Q:\R&amp;D\2-Test oestrogénique\OECD and AOPs\REACTIV oecd interlaboratory validation\Results WF\Repeats for invalid experiments - EBO\2022-EBO-ARABINOSE R5\plaque 2/@19 ARABINOSE 1 + TESTO/F7_03.tif "/>
    <s v=" 19817.6708 "/>
    <s v=" 66.8364 "/>
    <x v="0"/>
    <n v="1324543"/>
    <m/>
    <m/>
    <m/>
  </r>
  <r>
    <x v="19"/>
    <x v="6"/>
    <s v="Q:\R&amp;D\2-Test oestrogénique\OECD and AOPs\REACTIV oecd interlaboratory validation\Results WF\Repeats for invalid experiments - EBO\2022-EBO-ARABINOSE R5\plaque 2/@19 ARABINOSE 1 + TESTO/G7_01.tif "/>
    <s v=" 39852.8792 "/>
    <s v=" 76.4159 "/>
    <x v="0"/>
    <n v="3045395"/>
    <m/>
    <m/>
    <m/>
  </r>
  <r>
    <x v="19"/>
    <x v="6"/>
    <s v="Q:\R&amp;D\2-Test oestrogénique\OECD and AOPs\REACTIV oecd interlaboratory validation\Results WF\Repeats for invalid experiments - EBO\2022-EBO-ARABINOSE R5\plaque 2/@19 ARABINOSE 1 + TESTO/G7_02.tif "/>
    <s v=" 40005.1555 "/>
    <s v=" 75.0761 "/>
    <x v="0"/>
    <n v="3003432"/>
    <m/>
    <m/>
    <m/>
  </r>
  <r>
    <x v="19"/>
    <x v="6"/>
    <s v="Q:\R&amp;D\2-Test oestrogénique\OECD and AOPs\REACTIV oecd interlaboratory validation\Results WF\Repeats for invalid experiments - EBO\2022-EBO-ARABINOSE R5\plaque 2/@19 ARABINOSE 1 + TESTO/G7_03.tif "/>
    <s v=" 41071.0894 "/>
    <s v=" 76.4311 "/>
    <x v="0"/>
    <n v="3139110"/>
    <m/>
    <m/>
    <m/>
  </r>
  <r>
    <x v="19"/>
    <x v="7"/>
    <s v="Q:\R&amp;D\2-Test oestrogénique\OECD and AOPs\REACTIV oecd interlaboratory validation\Results WF\Repeats for invalid experiments - EBO\2022-EBO-ARABINOSE R5\plaque 2/@19 ARABINOSE 1 + TESTO/H7_01.tif "/>
    <s v=" 45356.5792 "/>
    <s v=" 72.3659 "/>
    <x v="0"/>
    <n v="3282272"/>
    <m/>
    <m/>
    <m/>
  </r>
  <r>
    <x v="19"/>
    <x v="7"/>
    <s v="Q:\R&amp;D\2-Test oestrogénique\OECD and AOPs\REACTIV oecd interlaboratory validation\Results WF\Repeats for invalid experiments - EBO\2022-EBO-ARABINOSE R5\plaque 2/@19 ARABINOSE 1 + TESTO/H7_02.tif "/>
    <s v=" 47466.6934 "/>
    <s v=" 74.0092 "/>
    <x v="0"/>
    <n v="3512970"/>
    <m/>
    <m/>
    <m/>
  </r>
  <r>
    <x v="19"/>
    <x v="7"/>
    <s v="Q:\R&amp;D\2-Test oestrogénique\OECD and AOPs\REACTIV oecd interlaboratory validation\Results WF\Repeats for invalid experiments - EBO\2022-EBO-ARABINOSE R5\plaque 2/@19 ARABINOSE 1 + TESTO/H7_03.tif "/>
    <s v=" 43398.7412 "/>
    <s v=" 72.0637 "/>
    <x v="0"/>
    <n v="3127472"/>
    <m/>
    <m/>
    <m/>
  </r>
  <r>
    <x v="1"/>
    <x v="8"/>
    <s v=" "/>
    <m/>
    <m/>
    <x v="1"/>
    <m/>
    <m/>
    <m/>
    <m/>
  </r>
  <r>
    <x v="1"/>
    <x v="8"/>
    <s v="group "/>
    <s v=" "/>
    <s v=" mean of mean fluo "/>
    <x v="2"/>
    <s v=" mean of total fluo "/>
    <s v=" SD total fluo "/>
    <s v=" n fluorescent "/>
    <s v=" n total"/>
  </r>
  <r>
    <x v="19"/>
    <x v="9"/>
    <s v="Q:\R&amp;D\2-Test oestrogénique\OECD and AOPs\REACTIV oecd interlaboratory validation\Results WF\Repeats for invalid experiments - EBO\2022-EBO-ARABINOSE R5\plaque 2/@19 ARABINOSE 1 + TESTO/ "/>
    <s v=" "/>
    <s v=" 68.4331 "/>
    <x v="21"/>
    <s v=" 1525643.33 "/>
    <s v=" 1100001.63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0"/>
    <x v="0"/>
    <s v="Q:\R&amp;D\2-Test oestrogénique\OECD and AOPs\REACTIV oecd interlaboratory validation\Results WF\Repeats for invalid experiments - EBO\2022-EBO-ARABINOSE R5\plaque 2/@20 ARABINOSE 10 + TESTO/A8_01.tif "/>
    <s v=" 12747.7004 "/>
    <s v=" 64.6758 "/>
    <x v="0"/>
    <n v="824467"/>
    <m/>
    <m/>
    <m/>
  </r>
  <r>
    <x v="20"/>
    <x v="0"/>
    <s v="Q:\R&amp;D\2-Test oestrogénique\OECD and AOPs\REACTIV oecd interlaboratory validation\Results WF\Repeats for invalid experiments - EBO\2022-EBO-ARABINOSE R5\plaque 2/@20 ARABINOSE 10 + TESTO/A8_02.tif "/>
    <s v=" 15858.4874 "/>
    <s v=" 65.1166 "/>
    <x v="0"/>
    <n v="1032651"/>
    <m/>
    <m/>
    <m/>
  </r>
  <r>
    <x v="20"/>
    <x v="0"/>
    <s v="Q:\R&amp;D\2-Test oestrogénique\OECD and AOPs\REACTIV oecd interlaboratory validation\Results WF\Repeats for invalid experiments - EBO\2022-EBO-ARABINOSE R5\plaque 2/@20 ARABINOSE 10 + TESTO/A8_03.tif "/>
    <s v=" 10071.9886 "/>
    <s v=" 64.3672 "/>
    <x v="0"/>
    <n v="648305"/>
    <m/>
    <m/>
    <m/>
  </r>
  <r>
    <x v="20"/>
    <x v="1"/>
    <s v="Q:\R&amp;D\2-Test oestrogénique\OECD and AOPs\REACTIV oecd interlaboratory validation\Results WF\Repeats for invalid experiments - EBO\2022-EBO-ARABINOSE R5\plaque 2/@20 ARABINOSE 10 + TESTO/B8_01.tif "/>
    <s v=" 24494.7281 "/>
    <s v=" 67.1705 "/>
    <x v="0"/>
    <n v="1645324"/>
    <m/>
    <m/>
    <m/>
  </r>
  <r>
    <x v="20"/>
    <x v="1"/>
    <s v="Q:\R&amp;D\2-Test oestrogénique\OECD and AOPs\REACTIV oecd interlaboratory validation\Results WF\Repeats for invalid experiments - EBO\2022-EBO-ARABINOSE R5\plaque 2/@20 ARABINOSE 10 + TESTO/B8_02.tif "/>
    <s v=" 24472.9744 "/>
    <s v=" 67.0578 "/>
    <x v="0"/>
    <n v="1641103"/>
    <m/>
    <m/>
    <m/>
  </r>
  <r>
    <x v="20"/>
    <x v="1"/>
    <s v="Q:\R&amp;D\2-Test oestrogénique\OECD and AOPs\REACTIV oecd interlaboratory validation\Results WF\Repeats for invalid experiments - EBO\2022-EBO-ARABINOSE R5\plaque 2/@20 ARABINOSE 10 + TESTO/B8_03.tif "/>
    <s v=" 20187.4846 "/>
    <s v=" 66.0205 "/>
    <x v="0"/>
    <n v="1332787"/>
    <m/>
    <m/>
    <m/>
  </r>
  <r>
    <x v="20"/>
    <x v="2"/>
    <s v="Q:\R&amp;D\2-Test oestrogénique\OECD and AOPs\REACTIV oecd interlaboratory validation\Results WF\Repeats for invalid experiments - EBO\2022-EBO-ARABINOSE R5\plaque 2/@20 ARABINOSE 10 + TESTO/C8_01.tif "/>
    <s v=" 19208.5657 "/>
    <s v=" 66.6455 "/>
    <x v="0"/>
    <n v="1280165"/>
    <m/>
    <m/>
    <m/>
  </r>
  <r>
    <x v="20"/>
    <x v="2"/>
    <s v="Q:\R&amp;D\2-Test oestrogénique\OECD and AOPs\REACTIV oecd interlaboratory validation\Results WF\Repeats for invalid experiments - EBO\2022-EBO-ARABINOSE R5\plaque 2/@20 ARABINOSE 10 + TESTO/C8_02.tif "/>
    <s v=" 24081.4068 "/>
    <s v=" 66.6974 "/>
    <x v="0"/>
    <n v="1606167"/>
    <m/>
    <m/>
    <m/>
  </r>
  <r>
    <x v="20"/>
    <x v="2"/>
    <s v="Q:\R&amp;D\2-Test oestrogénique\OECD and AOPs\REACTIV oecd interlaboratory validation\Results WF\Repeats for invalid experiments - EBO\2022-EBO-ARABINOSE R5\plaque 2/@20 ARABINOSE 10 + TESTO/C8_03.tif "/>
    <s v=" 19708.902 "/>
    <s v=" 65.3201 "/>
    <x v="0"/>
    <n v="1287387"/>
    <m/>
    <m/>
    <m/>
  </r>
  <r>
    <x v="20"/>
    <x v="3"/>
    <s v="Q:\R&amp;D\2-Test oestrogénique\OECD and AOPs\REACTIV oecd interlaboratory validation\Results WF\Repeats for invalid experiments - EBO\2022-EBO-ARABINOSE R5\plaque 2/@20 ARABINOSE 10 + TESTO/D8_01.tif "/>
    <s v=" 28519.1728 "/>
    <s v=" 68.7429 "/>
    <x v="0"/>
    <n v="1960492"/>
    <m/>
    <m/>
    <m/>
  </r>
  <r>
    <x v="20"/>
    <x v="3"/>
    <s v="Q:\R&amp;D\2-Test oestrogénique\OECD and AOPs\REACTIV oecd interlaboratory validation\Results WF\Repeats for invalid experiments - EBO\2022-EBO-ARABINOSE R5\plaque 2/@20 ARABINOSE 10 + TESTO/D8_02.tif "/>
    <s v=" 26887.6412 "/>
    <s v=" 68.2184 "/>
    <x v="0"/>
    <n v="1834233"/>
    <m/>
    <m/>
    <m/>
  </r>
  <r>
    <x v="20"/>
    <x v="3"/>
    <s v="Q:\R&amp;D\2-Test oestrogénique\OECD and AOPs\REACTIV oecd interlaboratory validation\Results WF\Repeats for invalid experiments - EBO\2022-EBO-ARABINOSE R5\plaque 2/@20 ARABINOSE 10 + TESTO/D8_03.tif "/>
    <s v=" 31738.7286 "/>
    <s v=" 72.3975 "/>
    <x v="0"/>
    <n v="2297806"/>
    <m/>
    <m/>
    <m/>
  </r>
  <r>
    <x v="20"/>
    <x v="4"/>
    <s v="Q:\R&amp;D\2-Test oestrogénique\OECD and AOPs\REACTIV oecd interlaboratory validation\Results WF\Repeats for invalid experiments - EBO\2022-EBO-ARABINOSE R5\plaque 2/@20 ARABINOSE 10 + TESTO/E8_01.tif "/>
    <s v=" 31586.4523 "/>
    <s v=" 72.8953 "/>
    <x v="0"/>
    <n v="2302504"/>
    <m/>
    <m/>
    <m/>
  </r>
  <r>
    <x v="20"/>
    <x v="4"/>
    <s v="Q:\R&amp;D\2-Test oestrogénique\OECD and AOPs\REACTIV oecd interlaboratory validation\Results WF\Repeats for invalid experiments - EBO\2022-EBO-ARABINOSE R5\plaque 2/@20 ARABINOSE 10 + TESTO/E8_02.tif "/>
    <s v=" 33609.5515 "/>
    <s v=" 73.0589 "/>
    <x v="0"/>
    <n v="2455477"/>
    <m/>
    <m/>
    <m/>
  </r>
  <r>
    <x v="20"/>
    <x v="4"/>
    <s v="Q:\R&amp;D\2-Test oestrogénique\OECD and AOPs\REACTIV oecd interlaboratory validation\Results WF\Repeats for invalid experiments - EBO\2022-EBO-ARABINOSE R5\plaque 2/@20 ARABINOSE 10 + TESTO/E8_03.tif "/>
    <s v=" 32478.3562 "/>
    <s v=" 72.6618 "/>
    <x v="0"/>
    <n v="2359934"/>
    <m/>
    <m/>
    <m/>
  </r>
  <r>
    <x v="20"/>
    <x v="5"/>
    <s v="Q:\R&amp;D\2-Test oestrogénique\OECD and AOPs\REACTIV oecd interlaboratory validation\Results WF\Repeats for invalid experiments - EBO\2022-EBO-ARABINOSE R5\plaque 2/@20 ARABINOSE 10 + TESTO/F8_01.tif "/>
    <s v=" 29519.8455 "/>
    <s v=" 67.692 "/>
    <x v="0"/>
    <n v="1998256"/>
    <m/>
    <m/>
    <m/>
  </r>
  <r>
    <x v="20"/>
    <x v="5"/>
    <s v="Q:\R&amp;D\2-Test oestrogénique\OECD and AOPs\REACTIV oecd interlaboratory validation\Results WF\Repeats for invalid experiments - EBO\2022-EBO-ARABINOSE R5\plaque 2/@20 ARABINOSE 10 + TESTO/F8_02- exclu.tif"/>
    <m/>
    <m/>
    <x v="1"/>
    <m/>
    <m/>
    <m/>
    <m/>
  </r>
  <r>
    <x v="20"/>
    <x v="5"/>
    <s v="Q:\R&amp;D\2-Test oestrogénique\OECD and AOPs\REACTIV oecd interlaboratory validation\Results WF\Repeats for invalid experiments - EBO\2022-EBO-ARABINOSE R5\plaque 2/@20 ARABINOSE 10 + TESTO/F8_03- exclu.tif"/>
    <m/>
    <m/>
    <x v="1"/>
    <m/>
    <m/>
    <m/>
    <m/>
  </r>
  <r>
    <x v="20"/>
    <x v="6"/>
    <s v="Q:\R&amp;D\2-Test oestrogénique\OECD and AOPs\REACTIV oecd interlaboratory validation\Results WF\Repeats for invalid experiments - EBO\2022-EBO-ARABINOSE R5\plaque 2/@20 ARABINOSE 10 + TESTO/G8_01.tif "/>
    <s v=" 42224.0385 "/>
    <s v=" 71.7032 "/>
    <x v="0"/>
    <n v="3027601"/>
    <m/>
    <m/>
    <m/>
  </r>
  <r>
    <x v="20"/>
    <x v="6"/>
    <s v="Q:\R&amp;D\2-Test oestrogénique\OECD and AOPs\REACTIV oecd interlaboratory validation\Results WF\Repeats for invalid experiments - EBO\2022-EBO-ARABINOSE R5\plaque 2/@20 ARABINOSE 10 + TESTO/G8_02.tif "/>
    <s v=" 37873.2875 "/>
    <s v=" 69.8168 "/>
    <x v="0"/>
    <n v="2644191"/>
    <m/>
    <m/>
    <m/>
  </r>
  <r>
    <x v="20"/>
    <x v="6"/>
    <s v="Q:\R&amp;D\2-Test oestrogénique\OECD and AOPs\REACTIV oecd interlaboratory validation\Results WF\Repeats for invalid experiments - EBO\2022-EBO-ARABINOSE R5\plaque 2/@20 ARABINOSE 10 + TESTO/G8_03.tif "/>
    <s v=" 42224.0385 "/>
    <s v=" 71.289 "/>
    <x v="0"/>
    <n v="3010111"/>
    <m/>
    <m/>
    <m/>
  </r>
  <r>
    <x v="20"/>
    <x v="7"/>
    <s v="Q:\R&amp;D\2-Test oestrogénique\OECD and AOPs\REACTIV oecd interlaboratory validation\Results WF\Repeats for invalid experiments - EBO\2022-EBO-ARABINOSE R5\plaque 2/@20 ARABINOSE 10 + TESTO/H8_01.tif "/>
    <s v=" 24037.8993 "/>
    <s v=" 68.1448 "/>
    <x v="0"/>
    <n v="1638058"/>
    <m/>
    <m/>
    <m/>
  </r>
  <r>
    <x v="20"/>
    <x v="7"/>
    <s v="Q:\R&amp;D\2-Test oestrogénique\OECD and AOPs\REACTIV oecd interlaboratory validation\Results WF\Repeats for invalid experiments - EBO\2022-EBO-ARABINOSE R5\plaque 2/@20 ARABINOSE 10 + TESTO/H8_02.tif "/>
    <s v=" 27170.44 "/>
    <s v=" 68.9392 "/>
    <x v="0"/>
    <n v="1873107"/>
    <m/>
    <m/>
    <m/>
  </r>
  <r>
    <x v="20"/>
    <x v="7"/>
    <s v="Q:\R&amp;D\2-Test oestrogénique\OECD and AOPs\REACTIV oecd interlaboratory validation\Results WF\Repeats for invalid experiments - EBO\2022-EBO-ARABINOSE R5\plaque 2/@20 ARABINOSE 10 + TESTO/H8_03.tif "/>
    <s v=" 25734.6922 "/>
    <s v=" 69.432 "/>
    <x v="0"/>
    <n v="1786810"/>
    <m/>
    <m/>
    <m/>
  </r>
  <r>
    <x v="1"/>
    <x v="8"/>
    <s v=" "/>
    <m/>
    <m/>
    <x v="1"/>
    <m/>
    <m/>
    <m/>
    <m/>
  </r>
  <r>
    <x v="1"/>
    <x v="8"/>
    <s v="group "/>
    <s v=" "/>
    <s v=" mean of mean fluo "/>
    <x v="2"/>
    <s v=" mean of total fluo "/>
    <s v=" SD total fluo "/>
    <s v=" n fluorescent "/>
    <s v=" n total"/>
  </r>
  <r>
    <x v="20"/>
    <x v="9"/>
    <s v="Q:\R&amp;D\2-Test oestrogénique\OECD and AOPs\REACTIV oecd interlaboratory validation\Results WF\Repeats for invalid experiments - EBO\2022-EBO-ARABINOSE R5\plaque 2/@20 ARABINOSE 10 + TESTO/ "/>
    <s v=" "/>
    <s v=" 68.4365 "/>
    <x v="22"/>
    <s v=" 1843576.38 "/>
    <s v=" 617284.977 "/>
    <n v="24"/>
    <n v="24"/>
  </r>
  <r>
    <x v="1"/>
    <x v="8"/>
    <s v=" "/>
    <m/>
    <m/>
    <x v="1"/>
    <m/>
    <m/>
    <m/>
    <m/>
  </r>
  <r>
    <x v="1"/>
    <x v="8"/>
    <s v=" "/>
    <m/>
    <m/>
    <x v="1"/>
    <m/>
    <m/>
    <m/>
    <m/>
  </r>
  <r>
    <x v="1"/>
    <x v="8"/>
    <s v=" "/>
    <m/>
    <m/>
    <x v="1"/>
    <m/>
    <m/>
    <m/>
    <m/>
  </r>
  <r>
    <x v="1"/>
    <x v="8"/>
    <s v=" "/>
    <m/>
    <m/>
    <x v="1"/>
    <m/>
    <m/>
    <m/>
    <m/>
  </r>
  <r>
    <x v="1"/>
    <x v="8"/>
    <s v=" "/>
    <m/>
    <m/>
    <x v="1"/>
    <m/>
    <m/>
    <m/>
    <m/>
  </r>
  <r>
    <x v="1"/>
    <x v="8"/>
    <s v="file name "/>
    <s v=" total area "/>
    <s v=" mean intensity "/>
    <x v="0"/>
    <s v=" total fluorescence"/>
    <m/>
    <m/>
    <m/>
  </r>
  <r>
    <x v="21"/>
    <x v="0"/>
    <s v="Q:\R&amp;D\2-Test oestrogénique\OECD and AOPs\REACTIV oecd interlaboratory validation\Results WF\Repeats for invalid experiments - EBO\2022-EBO-ARABINOSE R5\plaque 2/@21 ARABINOSE 100 + TESTO/A9_01.tif "/>
    <s v=" 1805.5617 "/>
    <s v=" 63.3494 "/>
    <x v="0"/>
    <n v="114381"/>
    <m/>
    <m/>
    <m/>
  </r>
  <r>
    <x v="21"/>
    <x v="0"/>
    <s v="Q:\R&amp;D\2-Test oestrogénique\OECD and AOPs\REACTIV oecd interlaboratory validation\Results WF\Repeats for invalid experiments - EBO\2022-EBO-ARABINOSE R5\plaque 2/@21 ARABINOSE 100 + TESTO/A9_02.tif "/>
    <s v=" 935.4115 "/>
    <s v=" 64.4419 "/>
    <x v="0"/>
    <n v="60280"/>
    <m/>
    <m/>
    <m/>
  </r>
  <r>
    <x v="21"/>
    <x v="0"/>
    <s v="Q:\R&amp;D\2-Test oestrogénique\OECD and AOPs\REACTIV oecd interlaboratory validation\Results WF\Repeats for invalid experiments - EBO\2022-EBO-ARABINOSE R5\plaque 2/@21 ARABINOSE 100 + TESTO/A9_03- exclu.tif"/>
    <m/>
    <m/>
    <x v="1"/>
    <m/>
    <m/>
    <m/>
    <m/>
  </r>
  <r>
    <x v="21"/>
    <x v="1"/>
    <s v="Q:\R&amp;D\2-Test oestrogénique\OECD and AOPs\REACTIV oecd interlaboratory validation\Results WF\Repeats for invalid experiments - EBO\2022-EBO-ARABINOSE R5\plaque 2/@21 ARABINOSE 100 + TESTO/B9_01.tif "/>
    <s v=" 13530.8356 "/>
    <s v=" 65.2058 "/>
    <x v="0"/>
    <n v="882289"/>
    <m/>
    <m/>
    <m/>
  </r>
  <r>
    <x v="21"/>
    <x v="1"/>
    <s v="Q:\R&amp;D\2-Test oestrogénique\OECD and AOPs\REACTIV oecd interlaboratory validation\Results WF\Repeats for invalid experiments - EBO\2022-EBO-ARABINOSE R5\plaque 2/@21 ARABINOSE 100 + TESTO/B9_02.tif "/>
    <s v=" 15423.4123 "/>
    <s v=" 67.8054 "/>
    <x v="0"/>
    <n v="1045790"/>
    <m/>
    <m/>
    <m/>
  </r>
  <r>
    <x v="21"/>
    <x v="1"/>
    <s v="Q:\R&amp;D\2-Test oestrogénique\OECD and AOPs\REACTIV oecd interlaboratory validation\Results WF\Repeats for invalid experiments - EBO\2022-EBO-ARABINOSE R5\plaque 2/@21 ARABINOSE 100 + TESTO/B9_03.tif "/>
    <s v=" 15575.6886 "/>
    <s v=" 67.2277 "/>
    <x v="0"/>
    <n v="1047117"/>
    <m/>
    <m/>
    <m/>
  </r>
  <r>
    <x v="21"/>
    <x v="2"/>
    <s v="Q:\R&amp;D\2-Test oestrogénique\OECD and AOPs\REACTIV oecd interlaboratory validation\Results WF\Repeats for invalid experiments - EBO\2022-EBO-ARABINOSE R5\plaque 2/@21 ARABINOSE 100 + TESTO/C9_01.tif "/>
    <s v=" 10463.5562 "/>
    <s v=" 65.7755 "/>
    <x v="0"/>
    <n v="688245"/>
    <m/>
    <m/>
    <m/>
  </r>
  <r>
    <x v="21"/>
    <x v="2"/>
    <s v="Q:\R&amp;D\2-Test oestrogénique\OECD and AOPs\REACTIV oecd interlaboratory validation\Results WF\Repeats for invalid experiments - EBO\2022-EBO-ARABINOSE R5\plaque 2/@21 ARABINOSE 100 + TESTO/C9_02.tif "/>
    <s v=" 11638.2589 "/>
    <s v=" 67.3925 "/>
    <x v="0"/>
    <n v="784332"/>
    <m/>
    <m/>
    <m/>
  </r>
  <r>
    <x v="21"/>
    <x v="2"/>
    <s v="Q:\R&amp;D\2-Test oestrogénique\OECD and AOPs\REACTIV oecd interlaboratory validation\Results WF\Repeats for invalid experiments - EBO\2022-EBO-ARABINOSE R5\plaque 2/@21 ARABINOSE 100 + TESTO/C9_03.tif "/>
    <s v=" 10746.355 "/>
    <s v=" 67.1842 "/>
    <x v="0"/>
    <n v="721985"/>
    <m/>
    <m/>
    <m/>
  </r>
  <r>
    <x v="21"/>
    <x v="3"/>
    <s v="Q:\R&amp;D\2-Test oestrogénique\OECD and AOPs\REACTIV oecd interlaboratory validation\Results WF\Repeats for invalid experiments - EBO\2022-EBO-ARABINOSE R5\plaque 2/@21 ARABINOSE 100 + TESTO/D9_01.tif "/>
    <s v=" 22515.1364 "/>
    <s v=" 66.5043 "/>
    <x v="0"/>
    <n v="1497354"/>
    <m/>
    <m/>
    <m/>
  </r>
  <r>
    <x v="21"/>
    <x v="3"/>
    <s v="Q:\R&amp;D\2-Test oestrogénique\OECD and AOPs\REACTIV oecd interlaboratory validation\Results WF\Repeats for invalid experiments - EBO\2022-EBO-ARABINOSE R5\plaque 2/@21 ARABINOSE 100 + TESTO/D9_02.tif "/>
    <s v=" 29824.3981 "/>
    <s v=" 67.7586 "/>
    <x v="0"/>
    <n v="2020859"/>
    <m/>
    <m/>
    <m/>
  </r>
  <r>
    <x v="21"/>
    <x v="3"/>
    <s v="Q:\R&amp;D\2-Test oestrogénique\OECD and AOPs\REACTIV oecd interlaboratory validation\Results WF\Repeats for invalid experiments - EBO\2022-EBO-ARABINOSE R5\plaque 2/@21 ARABINOSE 100 + TESTO/D9_03.tif "/>
    <s v=" 22623.9052 "/>
    <s v=" 66.6183 "/>
    <x v="0"/>
    <n v="1507165"/>
    <m/>
    <m/>
    <m/>
  </r>
  <r>
    <x v="21"/>
    <x v="4"/>
    <s v="Q:\R&amp;D\2-Test oestrogénique\OECD and AOPs\REACTIV oecd interlaboratory validation\Results WF\Repeats for invalid experiments - EBO\2022-EBO-ARABINOSE R5\plaque 2/@21 ARABINOSE 100 + TESTO/E9_01.tif "/>
    <s v=" 34305.6716 "/>
    <s v=" 78.3386 "/>
    <x v="0"/>
    <n v="2687459"/>
    <m/>
    <m/>
    <m/>
  </r>
  <r>
    <x v="21"/>
    <x v="4"/>
    <s v="Q:\R&amp;D\2-Test oestrogénique\OECD and AOPs\REACTIV oecd interlaboratory validation\Results WF\Repeats for invalid experiments - EBO\2022-EBO-ARABINOSE R5\plaque 2/@21 ARABINOSE 100 + TESTO/E9_02.tif "/>
    <s v=" 34240.4104 "/>
    <s v=" 77.5451 "/>
    <x v="0"/>
    <n v="2655176"/>
    <m/>
    <m/>
    <m/>
  </r>
  <r>
    <x v="21"/>
    <x v="4"/>
    <s v="Q:\R&amp;D\2-Test oestrogénique\OECD and AOPs\REACTIV oecd interlaboratory validation\Results WF\Repeats for invalid experiments - EBO\2022-EBO-ARABINOSE R5\plaque 2/@21 ARABINOSE 100 + TESTO/E9_03- exclu.tif"/>
    <m/>
    <m/>
    <x v="1"/>
    <m/>
    <m/>
    <m/>
    <m/>
  </r>
  <r>
    <x v="21"/>
    <x v="5"/>
    <s v="Q:\R&amp;D\2-Test oestrogénique\OECD and AOPs\REACTIV oecd interlaboratory validation\Results WF\Repeats for invalid experiments - EBO\2022-EBO-ARABINOSE R5\plaque 2/@21 ARABINOSE 100 + TESTO/F9_01.tif "/>
    <s v=" 14335.7245 "/>
    <s v=" 65.2671 "/>
    <x v="0"/>
    <n v="935651"/>
    <m/>
    <m/>
    <m/>
  </r>
  <r>
    <x v="21"/>
    <x v="5"/>
    <s v="Q:\R&amp;D\2-Test oestrogénique\OECD and AOPs\REACTIV oecd interlaboratory validation\Results WF\Repeats for invalid experiments - EBO\2022-EBO-ARABINOSE R5\plaque 2/@21 ARABINOSE 100 + TESTO/F9_02.tif "/>
    <s v=" 21318.6799 "/>
    <s v=" 67.1939 "/>
    <x v="0"/>
    <n v="1432485"/>
    <m/>
    <m/>
    <m/>
  </r>
  <r>
    <x v="21"/>
    <x v="5"/>
    <s v="Q:\R&amp;D\2-Test oestrogénique\OECD and AOPs\REACTIV oecd interlaboratory validation\Results WF\Repeats for invalid experiments - EBO\2022-EBO-ARABINOSE R5\plaque 2/@21 ARABINOSE 100 + TESTO/F9_03.tif "/>
    <s v=" 16706.8838 "/>
    <s v=" 66.1315 "/>
    <x v="0"/>
    <n v="1104851"/>
    <m/>
    <m/>
    <m/>
  </r>
  <r>
    <x v="21"/>
    <x v="6"/>
    <s v="Q:\R&amp;D\2-Test oestrogénique\OECD and AOPs\REACTIV oecd interlaboratory validation\Results WF\Repeats for invalid experiments - EBO\2022-EBO-ARABINOSE R5\plaque 2/@21 ARABINOSE 100 + TESTO/G9_01.tif "/>
    <s v=" 27279.2088 "/>
    <s v=" 68.1802 "/>
    <x v="0"/>
    <n v="1859903"/>
    <m/>
    <m/>
    <m/>
  </r>
  <r>
    <x v="21"/>
    <x v="6"/>
    <s v="Q:\R&amp;D\2-Test oestrogénique\OECD and AOPs\REACTIV oecd interlaboratory validation\Results WF\Repeats for invalid experiments - EBO\2022-EBO-ARABINOSE R5\plaque 2/@21 ARABINOSE 100 + TESTO/G9_02.tif "/>
    <s v=" 30629.287 "/>
    <s v=" 68.1158 "/>
    <x v="0"/>
    <n v="2086337"/>
    <m/>
    <m/>
    <m/>
  </r>
  <r>
    <x v="21"/>
    <x v="6"/>
    <s v="Q:\R&amp;D\2-Test oestrogénique\OECD and AOPs\REACTIV oecd interlaboratory validation\Results WF\Repeats for invalid experiments - EBO\2022-EBO-ARABINOSE R5\plaque 2/@21 ARABINOSE 100 + TESTO/G9_03.tif "/>
    <s v=" 29759.1368 "/>
    <s v=" 67.4985 "/>
    <x v="0"/>
    <n v="2008698"/>
    <m/>
    <m/>
    <m/>
  </r>
  <r>
    <x v="21"/>
    <x v="7"/>
    <s v="Q:\R&amp;D\2-Test oestrogénique\OECD and AOPs\REACTIV oecd interlaboratory validation\Results WF\Repeats for invalid experiments - EBO\2022-EBO-ARABINOSE R5\plaque 2/@21 ARABINOSE 100 + TESTO/H9_01.tif "/>
    <s v=" 22602.1514 "/>
    <s v=" 75.6631 "/>
    <x v="0"/>
    <n v="1710150"/>
    <m/>
    <m/>
    <m/>
  </r>
  <r>
    <x v="21"/>
    <x v="7"/>
    <s v="Q:\R&amp;D\2-Test oestrogénique\OECD and AOPs\REACTIV oecd interlaboratory validation\Results WF\Repeats for invalid experiments - EBO\2022-EBO-ARABINOSE R5\plaque 2/@21 ARABINOSE 100 + TESTO/H9_02- exclu.tif"/>
    <m/>
    <m/>
    <x v="1"/>
    <m/>
    <m/>
    <m/>
    <m/>
  </r>
  <r>
    <x v="21"/>
    <x v="7"/>
    <s v="Q:\R&amp;D\2-Test oestrogénique\OECD and AOPs\REACTIV oecd interlaboratory validation\Results WF\Repeats for invalid experiments - EBO\2022-EBO-ARABINOSE R5\plaque 2/@21 ARABINOSE 100 + TESTO/H9_03.tif "/>
    <s v=" 23407.0404 "/>
    <s v=" 76.3123 "/>
    <x v="0"/>
    <n v="1786244"/>
    <m/>
    <m/>
    <m/>
  </r>
  <r>
    <x v="1"/>
    <x v="8"/>
    <s v=" "/>
    <m/>
    <m/>
    <x v="1"/>
    <m/>
    <m/>
    <m/>
    <m/>
  </r>
  <r>
    <x v="1"/>
    <x v="8"/>
    <s v="group "/>
    <s v=" "/>
    <s v=" mean of mean fluo "/>
    <x v="2"/>
    <s v=" mean of total fluo "/>
    <s v=" SD total fluo "/>
    <s v=" n fluorescent "/>
    <s v=" n total"/>
  </r>
  <r>
    <x v="21"/>
    <x v="9"/>
    <s v="Q:\R&amp;D\2-Test oestrogénique\OECD and AOPs\REACTIV oecd interlaboratory validation\Results WF\Repeats for invalid experiments - EBO\2022-EBO-ARABINOSE R5\plaque 2/@21 ARABINOSE 100 + TESTO/ "/>
    <s v=" "/>
    <s v=" 68.8923 "/>
    <x v="23"/>
    <s v=" 1283858.54 "/>
    <s v=" 750481.167 "/>
    <n v="24"/>
    <n v="24"/>
  </r>
  <r>
    <x v="1"/>
    <x v="8"/>
    <s v=" "/>
    <m/>
    <m/>
    <x v="1"/>
    <m/>
    <m/>
    <m/>
    <m/>
  </r>
  <r>
    <x v="1"/>
    <x v="8"/>
    <s v=" "/>
    <m/>
    <m/>
    <x v="1"/>
    <m/>
    <m/>
    <m/>
    <m/>
  </r>
  <r>
    <x v="1"/>
    <x v="8"/>
    <s v=" "/>
    <m/>
    <m/>
    <x v="1"/>
    <m/>
    <m/>
    <m/>
    <m/>
  </r>
  <r>
    <x v="1"/>
    <x v="8"/>
    <s v=" "/>
    <m/>
    <m/>
    <x v="1"/>
    <m/>
    <m/>
    <m/>
    <m/>
  </r>
  <r>
    <x v="1"/>
    <x v="8"/>
    <s v=" "/>
    <m/>
    <m/>
    <x v="1"/>
    <m/>
    <m/>
    <m/>
    <m/>
  </r>
  <r>
    <x v="1"/>
    <x v="8"/>
    <s v=" "/>
    <m/>
    <m/>
    <x v="1"/>
    <m/>
    <m/>
    <m/>
    <m/>
  </r>
  <r>
    <x v="1"/>
    <x v="8"/>
    <m/>
    <s v=" n total analysed"/>
    <m/>
    <x v="1"/>
    <m/>
    <m/>
    <m/>
    <m/>
  </r>
  <r>
    <x v="1"/>
    <x v="8"/>
    <m/>
    <n v="504"/>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r>
    <x v="1"/>
    <x v="8"/>
    <m/>
    <m/>
    <m/>
    <x v="1"/>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n v="0.01"/>
    <s v="µg/L"/>
    <s v="Arabinose"/>
    <x v="0"/>
  </r>
  <r>
    <x v="9"/>
    <x v="1"/>
    <n v="0.1"/>
    <s v="µg/L"/>
    <s v="Arabinose"/>
    <x v="0"/>
  </r>
  <r>
    <x v="10"/>
    <x v="1"/>
    <n v="1"/>
    <s v="µg/L"/>
    <s v="Arabinose"/>
    <x v="0"/>
  </r>
  <r>
    <x v="11"/>
    <x v="1"/>
    <n v="10"/>
    <s v="µg/L"/>
    <s v="Arabinose"/>
    <x v="0"/>
  </r>
  <r>
    <x v="12"/>
    <x v="1"/>
    <n v="100"/>
    <s v="µg/L"/>
    <s v="Arabinose"/>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3"/>
    <x v="2"/>
    <m/>
    <m/>
    <m/>
    <x v="0"/>
  </r>
  <r>
    <x v="14"/>
    <x v="0"/>
    <n v="30"/>
    <s v="µg/L"/>
    <s v="Testo "/>
    <x v="0"/>
  </r>
  <r>
    <x v="15"/>
    <x v="0"/>
    <n v="64"/>
    <s v="ng/L"/>
    <s v="Testo 30µg/L + EE2 "/>
    <x v="0"/>
  </r>
  <r>
    <x v="16"/>
    <x v="0"/>
    <n v="10"/>
    <s v="µg/L"/>
    <s v="Testo 30µg/L + FAD"/>
    <x v="0"/>
  </r>
  <r>
    <x v="17"/>
    <x v="1"/>
    <n v="0.01"/>
    <s v="µg/L"/>
    <s v="Arabinose"/>
    <x v="1"/>
  </r>
  <r>
    <x v="18"/>
    <x v="1"/>
    <n v="0.1"/>
    <s v="µg/L"/>
    <s v="Arabinose"/>
    <x v="1"/>
  </r>
  <r>
    <x v="19"/>
    <x v="1"/>
    <n v="1"/>
    <s v="µg/L"/>
    <s v="Arabinose"/>
    <x v="1"/>
  </r>
  <r>
    <x v="20"/>
    <x v="1"/>
    <n v="10"/>
    <s v="µg/L"/>
    <s v="Arabinose"/>
    <x v="1"/>
  </r>
  <r>
    <x v="21"/>
    <x v="1"/>
    <n v="100"/>
    <s v="µg/L"/>
    <s v="Arabinose"/>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r>
    <x v="22"/>
    <x v="3"/>
    <n v="0"/>
    <n v="0"/>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0"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4">
        <item h="1" m="1" x="22"/>
        <item h="1"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1"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2"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K3:AF12" firstHeaderRow="1" firstDataRow="2" firstDataCol="1" rowPageCount="1" colPageCount="1"/>
  <pivotFields count="10">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24">
        <item x="22"/>
        <item x="13"/>
        <item x="1"/>
        <item x="2"/>
        <item x="3"/>
        <item x="4"/>
        <item x="5"/>
        <item x="6"/>
        <item x="7"/>
        <item x="15"/>
        <item m="1" x="23"/>
        <item x="14"/>
        <item x="0"/>
        <item x="16"/>
        <item x="8"/>
        <item x="9"/>
        <item x="10"/>
        <item x="11"/>
        <item x="12"/>
        <item x="17"/>
        <item x="18"/>
        <item x="19"/>
        <item x="20"/>
        <item x="21"/>
      </items>
    </pivotField>
    <pivotField axis="axisPage" multipleItemSelectionAllowed="1" showAll="0" defaultSubtotal="0">
      <items count="4">
        <item x="3"/>
        <item x="2"/>
        <item h="1" x="0"/>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3" applyNumberFormats="0" applyBorderFormats="0" applyFontFormats="0" applyPatternFormats="0" applyAlignmentFormats="0" applyWidthHeightFormats="1" dataCaption="Valeurs" updatedVersion="7"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24">
        <item x="22"/>
        <item x="13"/>
        <item x="1"/>
        <item x="2"/>
        <item x="3"/>
        <item x="4"/>
        <item x="5"/>
        <item x="6"/>
        <item x="7"/>
        <item x="15"/>
        <item m="1" x="23"/>
        <item x="14"/>
        <item x="0"/>
        <item x="16"/>
        <item x="8"/>
        <item x="9"/>
        <item x="10"/>
        <item x="11"/>
        <item x="12"/>
        <item x="17"/>
        <item x="18"/>
        <item x="19"/>
        <item x="20"/>
        <item x="21"/>
      </items>
    </pivotField>
    <pivotField axis="axisPage" multipleItemSelectionAllowed="1" showAll="0" defaultSubtotal="0">
      <items count="4">
        <item x="3"/>
        <item h="1" x="0"/>
        <item x="2"/>
        <item h="1"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8" totalsRowShown="0" headerRowDxfId="41" dataDxfId="40" tableBorderDxfId="39">
  <autoFilter ref="A6:F58"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J1557" totalsRowShown="0">
  <autoFilter ref="A1:J1557" xr:uid="{00000000-0009-0000-0100-000004000000}"/>
  <tableColumns count="10">
    <tableColumn id="1" xr3:uid="{00000000-0010-0000-0200-000001000000}" name="Nom groupe" dataDxfId="30">
      <calculatedColumnFormula>IFERROR(LEFT(RIGHT(C2,LEN(C2)-SEARCH("@",C2)),SEARCH("/",RIGHT(C2,LEN(C2)-SEARCH("@",C2)-1))),"")</calculatedColumnFormula>
    </tableColumn>
    <tableColumn id="2" xr3:uid="{00000000-0010-0000-0200-000002000000}" name="N° de valeur" dataDxfId="29">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 id="10" xr3:uid="{F1108A17-DBCD-4FB4-9B00-FA7354D3495F}" name="Colonne1"/>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J1531" totalsRowShown="0">
  <autoFilter ref="A1:J1531" xr:uid="{00000000-0009-0000-0100-000005000000}"/>
  <tableColumns count="10">
    <tableColumn id="1" xr3:uid="{00000000-0010-0000-0300-000001000000}" name="Nom groupe" dataDxfId="26">
      <calculatedColumnFormula>IFERROR(LEFT(RIGHT(C2,LEN(C2)-SEARCH("@",C2)),SEARCH("/",RIGHT(C2,LEN(C2)-SEARCH("@",C2)-1))),"")</calculatedColumnFormula>
    </tableColumn>
    <tableColumn id="2" xr3:uid="{00000000-0010-0000-0300-000002000000}" name="N° de valeur" dataDxfId="25">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 id="10" xr3:uid="{CAF9CB47-98B4-4A7B-B6D9-6611451E4A14}" name="Colonne1"/>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J1711" totalsRowShown="0">
  <autoFilter ref="A1:J1711" xr:uid="{00000000-0009-0000-0100-000006000000}"/>
  <tableColumns count="10">
    <tableColumn id="1" xr3:uid="{00000000-0010-0000-0400-000001000000}" name="Nom groupe" dataDxfId="22">
      <calculatedColumnFormula>IFERROR(LEFT(RIGHT(C2,LEN(C2)-SEARCH("@",C2)),SEARCH("/",RIGHT(C2,LEN(C2)-SEARCH("@",C2)-1))),"")</calculatedColumnFormula>
    </tableColumn>
    <tableColumn id="2" xr3:uid="{00000000-0010-0000-0400-000002000000}" name="N° de valeur" dataDxfId="21">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 id="10" xr3:uid="{8C7AF184-DF0F-4AFE-BB47-62F198CBD479}" name="Colonne1"/>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0" dataDxfId="19" tableBorderDxfId="18">
  <autoFilter ref="A1:G2" xr:uid="{00000000-0009-0000-0100-000002000000}"/>
  <tableColumns count="7">
    <tableColumn id="1" xr3:uid="{00000000-0010-0000-0500-000001000000}" name="Description" dataDxfId="17"/>
    <tableColumn id="2" xr3:uid="{00000000-0010-0000-0500-000002000000}" name="Problème" dataDxfId="16"/>
    <tableColumn id="3" xr3:uid="{00000000-0010-0000-0500-000003000000}" name="EqH RAPPORT" dataDxfId="15"/>
    <tableColumn id="4" xr3:uid="{00000000-0010-0000-0500-000004000000}" name="% atteinte du seuil RAPPORT" dataDxfId="14"/>
    <tableColumn id="5" xr3:uid="{00000000-0010-0000-0500-000005000000}" name="Valeur échelle sur graphique RAPPORT" dataDxfId="13"/>
    <tableColumn id="6" xr3:uid="{00000000-0010-0000-0500-000006000000}" name="EqH BASE DE DONNEES" dataDxfId="12"/>
    <tableColumn id="7" xr3:uid="{00000000-0010-0000-0500-000007000000}" name="% BASE DE DONNEES" dataDxfId="11"/>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0">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9">
      <calculatedColumnFormula>U6</calculatedColumnFormula>
    </tableColumn>
    <tableColumn id="3" xr3:uid="{00000000-0010-0000-0600-000003000000}" name="CHG-protocole"/>
    <tableColumn id="4" xr3:uid="{00000000-0010-0000-0600-000004000000}" name="CHG-dilution" dataDxfId="8">
      <calculatedColumnFormula>CONCATENATE(VLOOKUP(Tableau3[[#This Row],[Nom ND]],liste_groupe[],3,FALSE),VLOOKUP(Tableau3[[#This Row],[Nom ND]],liste_groupe[],4,FALSE))</calculatedColumnFormula>
    </tableColumn>
    <tableColumn id="5" xr3:uid="{00000000-0010-0000-0600-000005000000}" name="CHG-induction ND" dataDxfId="7">
      <calculatedColumnFormula>HLOOKUP(Tableau3[[#This Row],[Nom ND]],'pooled normalised values'!$B$74:$V$83,4,FALSE)</calculatedColumnFormula>
    </tableColumn>
    <tableColumn id="6" xr3:uid="{00000000-0010-0000-0600-000006000000}" name="CHG-test ND" dataDxfId="6">
      <calculatedColumnFormula>HLOOKUP(Tableau3[[#This Row],[Nom ND]],'pooled normalised values'!$B$74:$V$83,8,FALSE)</calculatedColumnFormula>
    </tableColumn>
    <tableColumn id="8" xr3:uid="{00000000-0010-0000-0600-000008000000}" name="CHG-EQH ND" dataDxfId="5">
      <calculatedColumnFormula>VLOOKUP(Tableau3[[#This Row],[Nom ND]],'summary results'!$A$6:$N$26,9,FALSE)</calculatedColumnFormula>
    </tableColumn>
    <tableColumn id="9" xr3:uid="{00000000-0010-0000-0600-000009000000}" name="CHG-% atteinte du seuil ND" dataDxfId="4">
      <calculatedColumnFormula>VLOOKUP(Tableau3[[#This Row],[Nom ND]],'summary results'!$A$6:$N$26,11,FALSE)</calculatedColumnFormula>
    </tableColumn>
    <tableColumn id="10" xr3:uid="{00000000-0010-0000-0600-00000A000000}" name="CHG-induction D" dataDxfId="3">
      <calculatedColumnFormula>HLOOKUP(Tableau3[[#This Row],[Nom D]],'pooled normalised values'!$B$74:$V$83,4,FALSE)</calculatedColumnFormula>
    </tableColumn>
    <tableColumn id="11" xr3:uid="{00000000-0010-0000-0600-00000B000000}" name="CHG-test D" dataDxfId="2">
      <calculatedColumnFormula>HLOOKUP(Tableau3[[#This Row],[Nom D]],'pooled normalised values'!$B$74:$V$83,8,FALSE)</calculatedColumnFormula>
    </tableColumn>
    <tableColumn id="13" xr3:uid="{00000000-0010-0000-0600-00000D000000}" name="CHG-EQH D" dataDxfId="1">
      <calculatedColumnFormula>VLOOKUP(Tableau3[[#This Row],[Nom D]],'summary results'!$A$29:$N$51,9,FALSE)</calculatedColumnFormula>
    </tableColumn>
    <tableColumn id="14" xr3:uid="{00000000-0010-0000-0600-00000E000000}" name="CHG-% atteinte seuil D" dataDxfId="0">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showGridLines="0" topLeftCell="A10" zoomScale="55" zoomScaleNormal="55" workbookViewId="0">
      <selection activeCell="D15" sqref="D15:D19"/>
    </sheetView>
  </sheetViews>
  <sheetFormatPr defaultColWidth="11.5546875" defaultRowHeight="39" customHeight="1" x14ac:dyDescent="0.3"/>
  <cols>
    <col min="1" max="1" width="42" bestFit="1" customWidth="1"/>
    <col min="2" max="2" width="33.77734375" style="44" bestFit="1" customWidth="1"/>
    <col min="3" max="3" width="21.21875" customWidth="1"/>
    <col min="4" max="4" width="30.44140625" customWidth="1"/>
    <col min="5" max="5" width="62.21875" style="157" bestFit="1" customWidth="1"/>
    <col min="6" max="6" width="56.77734375" bestFit="1" customWidth="1"/>
    <col min="7" max="7" width="19.44140625" customWidth="1"/>
    <col min="8" max="8" width="15.21875" customWidth="1"/>
    <col min="9" max="9" width="18" customWidth="1"/>
    <col min="10" max="10" width="19.5546875" bestFit="1" customWidth="1"/>
  </cols>
  <sheetData>
    <row r="1" spans="1:9" ht="39" customHeight="1" thickBot="1" x14ac:dyDescent="0.35">
      <c r="A1" s="198" t="s">
        <v>36</v>
      </c>
      <c r="B1" s="199"/>
      <c r="C1" s="199"/>
      <c r="D1" s="199"/>
      <c r="E1" s="199"/>
      <c r="F1" s="199"/>
      <c r="G1" s="199"/>
      <c r="H1" s="199"/>
      <c r="I1" s="200"/>
    </row>
    <row r="2" spans="1:9" ht="21" x14ac:dyDescent="0.4">
      <c r="A2" s="185" t="s">
        <v>17</v>
      </c>
      <c r="B2" s="42" t="s">
        <v>115</v>
      </c>
      <c r="C2" s="201"/>
      <c r="D2" s="202"/>
      <c r="E2" s="42" t="s">
        <v>21</v>
      </c>
      <c r="F2" s="213"/>
      <c r="G2" s="214"/>
      <c r="H2" s="214"/>
      <c r="I2" s="215"/>
    </row>
    <row r="3" spans="1:9" ht="21" x14ac:dyDescent="0.4">
      <c r="A3" s="186" t="s">
        <v>18</v>
      </c>
      <c r="B3" s="43" t="s">
        <v>115</v>
      </c>
      <c r="C3" s="203"/>
      <c r="D3" s="204"/>
      <c r="E3" s="43" t="s">
        <v>21</v>
      </c>
      <c r="F3" s="210"/>
      <c r="G3" s="211"/>
      <c r="H3" s="211"/>
      <c r="I3" s="212"/>
    </row>
    <row r="4" spans="1:9" ht="21.6" thickBot="1" x14ac:dyDescent="0.45">
      <c r="A4" s="187" t="s">
        <v>22</v>
      </c>
      <c r="B4" s="175" t="s">
        <v>115</v>
      </c>
      <c r="C4" s="205"/>
      <c r="D4" s="206"/>
      <c r="E4" s="175" t="s">
        <v>21</v>
      </c>
      <c r="F4" s="207"/>
      <c r="G4" s="208"/>
      <c r="H4" s="208"/>
      <c r="I4" s="209"/>
    </row>
    <row r="5" spans="1:9" s="1" customFormat="1" ht="65.25" customHeight="1" thickBot="1" x14ac:dyDescent="0.35">
      <c r="A5" s="198" t="s">
        <v>37</v>
      </c>
      <c r="B5" s="199"/>
      <c r="C5" s="199"/>
      <c r="D5" s="199"/>
      <c r="E5" s="199"/>
      <c r="F5" s="199"/>
      <c r="G5" s="199"/>
      <c r="H5" s="199"/>
      <c r="I5" s="200"/>
    </row>
    <row r="6" spans="1:9" s="109" customFormat="1" ht="39" customHeight="1" x14ac:dyDescent="0.4">
      <c r="A6" s="75" t="s">
        <v>35</v>
      </c>
      <c r="B6" s="100" t="s">
        <v>7</v>
      </c>
      <c r="C6" s="64" t="s">
        <v>19</v>
      </c>
      <c r="D6" s="64" t="s">
        <v>75</v>
      </c>
      <c r="E6" s="154" t="s">
        <v>51</v>
      </c>
      <c r="F6" s="108" t="s">
        <v>78</v>
      </c>
    </row>
    <row r="7" spans="1:9" s="163" customFormat="1" ht="39" customHeight="1" x14ac:dyDescent="0.4">
      <c r="A7"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59" t="s">
        <v>123</v>
      </c>
      <c r="C7" s="160"/>
      <c r="D7" s="161"/>
      <c r="E7" s="162" t="s">
        <v>125</v>
      </c>
      <c r="F7" s="110"/>
    </row>
    <row r="8" spans="1:9" s="163" customFormat="1" ht="39" customHeight="1" x14ac:dyDescent="0.4">
      <c r="A8"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EE2-22.5ng/L</v>
      </c>
      <c r="B8" s="159" t="s">
        <v>123</v>
      </c>
      <c r="C8" s="160">
        <v>22.5</v>
      </c>
      <c r="D8" s="161" t="s">
        <v>124</v>
      </c>
      <c r="E8" s="162" t="s">
        <v>126</v>
      </c>
      <c r="F8" s="110"/>
    </row>
    <row r="9" spans="1:9" s="163" customFormat="1" ht="39" customHeight="1" x14ac:dyDescent="0.4">
      <c r="A9"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9" s="159" t="s">
        <v>123</v>
      </c>
      <c r="C9" s="160">
        <v>33.799999999999997</v>
      </c>
      <c r="D9" s="161" t="s">
        <v>124</v>
      </c>
      <c r="E9" s="162" t="s">
        <v>126</v>
      </c>
      <c r="F9" s="110"/>
    </row>
    <row r="10" spans="1:9" s="163" customFormat="1" ht="39" customHeight="1" x14ac:dyDescent="0.4">
      <c r="A10"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10" s="159" t="s">
        <v>123</v>
      </c>
      <c r="C10" s="160">
        <v>50.6</v>
      </c>
      <c r="D10" s="161" t="s">
        <v>124</v>
      </c>
      <c r="E10" s="162" t="s">
        <v>126</v>
      </c>
      <c r="F10" s="110"/>
    </row>
    <row r="11" spans="1:9" s="163" customFormat="1" ht="39" customHeight="1" x14ac:dyDescent="0.4">
      <c r="A11"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1" s="159" t="s">
        <v>123</v>
      </c>
      <c r="C11" s="160">
        <v>76</v>
      </c>
      <c r="D11" s="161" t="s">
        <v>124</v>
      </c>
      <c r="E11" s="162" t="s">
        <v>126</v>
      </c>
      <c r="F11" s="110"/>
    </row>
    <row r="12" spans="1:9" s="163" customFormat="1" ht="39" customHeight="1" x14ac:dyDescent="0.4">
      <c r="A12"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2" s="159" t="s">
        <v>123</v>
      </c>
      <c r="C12" s="160">
        <v>114</v>
      </c>
      <c r="D12" s="161" t="s">
        <v>124</v>
      </c>
      <c r="E12" s="162" t="s">
        <v>126</v>
      </c>
      <c r="F12" s="110"/>
    </row>
    <row r="13" spans="1:9" s="163" customFormat="1" ht="39" customHeight="1" x14ac:dyDescent="0.4">
      <c r="A13"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3" s="159" t="s">
        <v>123</v>
      </c>
      <c r="C13" s="160">
        <v>170.9</v>
      </c>
      <c r="D13" s="161" t="s">
        <v>124</v>
      </c>
      <c r="E13" s="162" t="s">
        <v>126</v>
      </c>
      <c r="F13" s="110"/>
    </row>
    <row r="14" spans="1:9" s="163" customFormat="1" ht="39" customHeight="1" x14ac:dyDescent="0.4">
      <c r="A14"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4" s="159" t="s">
        <v>123</v>
      </c>
      <c r="C14" s="160">
        <v>488</v>
      </c>
      <c r="D14" s="161" t="s">
        <v>124</v>
      </c>
      <c r="E14" s="162" t="s">
        <v>126</v>
      </c>
      <c r="F14" s="110"/>
    </row>
    <row r="15" spans="1:9" s="163" customFormat="1" ht="39" customHeight="1" x14ac:dyDescent="0.4">
      <c r="A15" s="15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Arabinose-0.01mg/L</v>
      </c>
      <c r="B15" s="159" t="s">
        <v>165</v>
      </c>
      <c r="C15" s="160">
        <v>0.01</v>
      </c>
      <c r="D15" s="161" t="s">
        <v>4193</v>
      </c>
      <c r="E15" s="162" t="s">
        <v>166</v>
      </c>
      <c r="F15" s="110"/>
    </row>
    <row r="16" spans="1:9" s="111" customFormat="1" ht="39" customHeight="1" x14ac:dyDescent="0.3">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Arabinose-0.1mg/L</v>
      </c>
      <c r="B16" s="159" t="s">
        <v>165</v>
      </c>
      <c r="C16" s="105">
        <v>0.1</v>
      </c>
      <c r="D16" s="161" t="s">
        <v>4193</v>
      </c>
      <c r="E16" s="162" t="s">
        <v>166</v>
      </c>
      <c r="F16" s="110"/>
    </row>
    <row r="17" spans="1:6" s="111" customFormat="1" ht="39" customHeight="1" x14ac:dyDescent="0.3">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Arabinose-1mg/L</v>
      </c>
      <c r="B17" s="159" t="s">
        <v>165</v>
      </c>
      <c r="C17" s="105">
        <v>1</v>
      </c>
      <c r="D17" s="161" t="s">
        <v>4193</v>
      </c>
      <c r="E17" s="162" t="s">
        <v>166</v>
      </c>
      <c r="F17" s="110"/>
    </row>
    <row r="18" spans="1:6" s="111" customFormat="1" ht="39" customHeight="1" x14ac:dyDescent="0.3">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Arabinose-10mg/L</v>
      </c>
      <c r="B18" s="159" t="s">
        <v>165</v>
      </c>
      <c r="C18" s="105">
        <v>10</v>
      </c>
      <c r="D18" s="161" t="s">
        <v>4193</v>
      </c>
      <c r="E18" s="162" t="s">
        <v>166</v>
      </c>
      <c r="F18" s="110"/>
    </row>
    <row r="19" spans="1:6" s="111" customFormat="1" ht="39" customHeight="1" x14ac:dyDescent="0.3">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Arabinose-100mg/L</v>
      </c>
      <c r="B19" s="159" t="s">
        <v>165</v>
      </c>
      <c r="C19" s="105">
        <v>100</v>
      </c>
      <c r="D19" s="161" t="s">
        <v>4193</v>
      </c>
      <c r="E19" s="162" t="s">
        <v>166</v>
      </c>
      <c r="F19" s="110"/>
    </row>
    <row r="20" spans="1:6" s="111" customFormat="1" ht="39" customHeight="1" x14ac:dyDescent="0.3">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40"/>
      <c r="C20" s="105"/>
      <c r="D20" s="105"/>
      <c r="E20" s="40"/>
      <c r="F20" s="110"/>
    </row>
    <row r="21" spans="1:6" s="111" customFormat="1" ht="39" customHeight="1" x14ac:dyDescent="0.3">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101"/>
      <c r="C21" s="105"/>
      <c r="D21" s="105"/>
      <c r="E21" s="101"/>
      <c r="F21" s="110"/>
    </row>
    <row r="22" spans="1:6" s="111" customFormat="1" ht="39" customHeight="1" x14ac:dyDescent="0.3">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40"/>
      <c r="C22" s="105"/>
      <c r="D22" s="105"/>
      <c r="E22" s="40"/>
      <c r="F22" s="110"/>
    </row>
    <row r="23" spans="1:6" s="111" customFormat="1" ht="39" customHeight="1" x14ac:dyDescent="0.3">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101"/>
      <c r="C23" s="105"/>
      <c r="D23" s="105"/>
      <c r="E23" s="101"/>
      <c r="F23" s="110"/>
    </row>
    <row r="24" spans="1:6" s="111" customFormat="1" ht="39" customHeight="1" x14ac:dyDescent="0.3">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40"/>
      <c r="C24" s="105"/>
      <c r="D24" s="105"/>
      <c r="E24" s="40"/>
      <c r="F24" s="110"/>
    </row>
    <row r="25" spans="1:6" s="111" customFormat="1" ht="39" customHeight="1" x14ac:dyDescent="0.3">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101"/>
      <c r="C25" s="105"/>
      <c r="D25" s="105"/>
      <c r="E25" s="101"/>
      <c r="F25" s="110"/>
    </row>
    <row r="26" spans="1:6" s="111" customFormat="1" ht="39" customHeight="1" x14ac:dyDescent="0.3">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40"/>
      <c r="C26" s="105"/>
      <c r="D26" s="105"/>
      <c r="E26" s="40"/>
      <c r="F26" s="110"/>
    </row>
    <row r="27" spans="1:6" s="111" customFormat="1" ht="39" customHeight="1" x14ac:dyDescent="0.3">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101"/>
      <c r="C27" s="105"/>
      <c r="D27" s="105"/>
      <c r="E27" s="101"/>
      <c r="F27" s="110"/>
    </row>
    <row r="28" spans="1:6" s="111" customFormat="1" ht="39" customHeight="1" x14ac:dyDescent="0.3">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40"/>
      <c r="C28" s="105"/>
      <c r="D28" s="105"/>
      <c r="E28" s="40"/>
      <c r="F28" s="110"/>
    </row>
    <row r="29" spans="1:6" s="111" customFormat="1" ht="39" customHeight="1" x14ac:dyDescent="0.3">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101"/>
      <c r="C29" s="105"/>
      <c r="D29" s="105"/>
      <c r="E29" s="101"/>
      <c r="F29" s="110"/>
    </row>
    <row r="30" spans="1:6" s="111" customFormat="1" ht="39" customHeight="1" x14ac:dyDescent="0.3">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40"/>
      <c r="C30" s="105"/>
      <c r="D30" s="114"/>
      <c r="E30" s="40"/>
      <c r="F30" s="110"/>
    </row>
    <row r="31" spans="1:6" s="111" customFormat="1" ht="39" customHeight="1" x14ac:dyDescent="0.3">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101"/>
      <c r="C31" s="105"/>
      <c r="D31" s="114"/>
      <c r="E31" s="101"/>
      <c r="F31" s="110"/>
    </row>
    <row r="32" spans="1:6" s="111" customFormat="1" ht="39" customHeight="1" x14ac:dyDescent="0.3">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40"/>
      <c r="C32" s="105"/>
      <c r="D32" s="114"/>
      <c r="E32" s="40"/>
      <c r="F32" s="110"/>
    </row>
    <row r="33" spans="1:6" s="111" customFormat="1" ht="39" customHeight="1" x14ac:dyDescent="0.3">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101"/>
      <c r="C33" s="105"/>
      <c r="D33" s="114"/>
      <c r="E33" s="101"/>
      <c r="F33" s="110"/>
    </row>
    <row r="34" spans="1:6" s="111" customFormat="1" ht="39" customHeight="1" x14ac:dyDescent="0.3">
      <c r="A3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40"/>
      <c r="C34" s="105"/>
      <c r="D34" s="114"/>
      <c r="E34" s="40"/>
      <c r="F34" s="110"/>
    </row>
    <row r="35" spans="1:6" s="111" customFormat="1" ht="39" customHeight="1" thickBot="1" x14ac:dyDescent="0.35">
      <c r="A35" s="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5" s="164"/>
      <c r="C35" s="165"/>
      <c r="D35" s="115"/>
      <c r="E35" s="164"/>
      <c r="F35" s="110"/>
    </row>
    <row r="36" spans="1:6" s="111" customFormat="1" ht="39" customHeight="1" x14ac:dyDescent="0.3">
      <c r="A36" s="166"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6" s="102" t="s">
        <v>123</v>
      </c>
      <c r="C36" s="106">
        <v>30</v>
      </c>
      <c r="D36" s="116" t="s">
        <v>127</v>
      </c>
      <c r="E36" s="155" t="s">
        <v>20</v>
      </c>
      <c r="F36" s="167"/>
    </row>
    <row r="37" spans="1:6" s="111" customFormat="1" ht="39" customHeight="1" thickBot="1" x14ac:dyDescent="0.35">
      <c r="A37" s="168"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7" s="103" t="s">
        <v>123</v>
      </c>
      <c r="C37" s="107">
        <v>64</v>
      </c>
      <c r="D37" s="117" t="s">
        <v>124</v>
      </c>
      <c r="E37" s="156" t="s">
        <v>128</v>
      </c>
      <c r="F37" s="169"/>
    </row>
    <row r="38" spans="1:6" s="111" customFormat="1" ht="39" customHeight="1" thickBot="1" x14ac:dyDescent="0.35">
      <c r="A38" s="170"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FAD-10µg/L</v>
      </c>
      <c r="B38" s="171" t="s">
        <v>123</v>
      </c>
      <c r="C38" s="172">
        <v>10</v>
      </c>
      <c r="D38" s="116" t="s">
        <v>127</v>
      </c>
      <c r="E38" s="173" t="s">
        <v>129</v>
      </c>
      <c r="F38" s="174"/>
    </row>
    <row r="39" spans="1:6" s="111" customFormat="1" ht="39" customHeight="1" x14ac:dyDescent="0.3">
      <c r="A39"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Arabinose-0.01mg/L + Testostérone</v>
      </c>
      <c r="B39" s="188" t="str">
        <f>B15</f>
        <v>Test</v>
      </c>
      <c r="C39" s="188">
        <f t="shared" ref="C39:E39" si="0">C15</f>
        <v>0.01</v>
      </c>
      <c r="D39" s="188" t="str">
        <f t="shared" si="0"/>
        <v>mg/L</v>
      </c>
      <c r="E39" s="188" t="str">
        <f t="shared" si="0"/>
        <v>Arabinose</v>
      </c>
      <c r="F39" s="112" t="s">
        <v>50</v>
      </c>
    </row>
    <row r="40" spans="1:6" s="111" customFormat="1" ht="39" customHeight="1" x14ac:dyDescent="0.3">
      <c r="A4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Arabinose-0.1mg/L + Testostérone</v>
      </c>
      <c r="B40" s="190" t="str">
        <f t="shared" ref="B40:E40" si="1">B16</f>
        <v>Test</v>
      </c>
      <c r="C40" s="190">
        <f t="shared" si="1"/>
        <v>0.1</v>
      </c>
      <c r="D40" s="190" t="str">
        <f t="shared" si="1"/>
        <v>mg/L</v>
      </c>
      <c r="E40" s="190" t="str">
        <f t="shared" si="1"/>
        <v>Arabinose</v>
      </c>
      <c r="F40" s="113" t="s">
        <v>50</v>
      </c>
    </row>
    <row r="41" spans="1:6" s="111" customFormat="1" ht="39" customHeight="1" x14ac:dyDescent="0.3">
      <c r="A4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Arabinose-1mg/L + Testostérone</v>
      </c>
      <c r="B41" s="190" t="str">
        <f t="shared" ref="B41:E41" si="2">B17</f>
        <v>Test</v>
      </c>
      <c r="C41" s="190">
        <f t="shared" si="2"/>
        <v>1</v>
      </c>
      <c r="D41" s="190" t="str">
        <f t="shared" si="2"/>
        <v>mg/L</v>
      </c>
      <c r="E41" s="190" t="str">
        <f t="shared" si="2"/>
        <v>Arabinose</v>
      </c>
      <c r="F41" s="113" t="s">
        <v>50</v>
      </c>
    </row>
    <row r="42" spans="1:6" s="111" customFormat="1" ht="39" customHeight="1" x14ac:dyDescent="0.3">
      <c r="A4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Arabinose-10mg/L + Testostérone</v>
      </c>
      <c r="B42" s="190" t="str">
        <f t="shared" ref="B42:E42" si="3">B18</f>
        <v>Test</v>
      </c>
      <c r="C42" s="190">
        <f t="shared" si="3"/>
        <v>10</v>
      </c>
      <c r="D42" s="190" t="str">
        <f t="shared" si="3"/>
        <v>mg/L</v>
      </c>
      <c r="E42" s="190" t="str">
        <f t="shared" si="3"/>
        <v>Arabinose</v>
      </c>
      <c r="F42" s="113" t="s">
        <v>50</v>
      </c>
    </row>
    <row r="43" spans="1:6" s="111" customFormat="1" ht="39" customHeight="1" x14ac:dyDescent="0.3">
      <c r="A4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Arabinose-100mg/L + Testostérone</v>
      </c>
      <c r="B43" s="190" t="str">
        <f t="shared" ref="B43:E43" si="4">B19</f>
        <v>Test</v>
      </c>
      <c r="C43" s="190">
        <f t="shared" si="4"/>
        <v>100</v>
      </c>
      <c r="D43" s="190" t="str">
        <f t="shared" si="4"/>
        <v>mg/L</v>
      </c>
      <c r="E43" s="190" t="str">
        <f t="shared" si="4"/>
        <v>Arabinose</v>
      </c>
      <c r="F43" s="113" t="s">
        <v>50</v>
      </c>
    </row>
    <row r="44" spans="1:6" s="111" customFormat="1" ht="39" customHeight="1" x14ac:dyDescent="0.3">
      <c r="A4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0">
        <f t="shared" ref="B44:E44" si="5">B20</f>
        <v>0</v>
      </c>
      <c r="C44" s="190">
        <f t="shared" si="5"/>
        <v>0</v>
      </c>
      <c r="D44" s="190">
        <f t="shared" si="5"/>
        <v>0</v>
      </c>
      <c r="E44" s="190">
        <f t="shared" si="5"/>
        <v>0</v>
      </c>
      <c r="F44" s="113" t="s">
        <v>50</v>
      </c>
    </row>
    <row r="45" spans="1:6" s="111" customFormat="1" ht="39" customHeight="1" x14ac:dyDescent="0.3">
      <c r="A4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0">
        <f t="shared" ref="B45:E45" si="6">B21</f>
        <v>0</v>
      </c>
      <c r="C45" s="190">
        <f t="shared" si="6"/>
        <v>0</v>
      </c>
      <c r="D45" s="190">
        <f t="shared" si="6"/>
        <v>0</v>
      </c>
      <c r="E45" s="190">
        <f t="shared" si="6"/>
        <v>0</v>
      </c>
      <c r="F45" s="113" t="s">
        <v>50</v>
      </c>
    </row>
    <row r="46" spans="1:6" s="111" customFormat="1" ht="39" customHeight="1" x14ac:dyDescent="0.3">
      <c r="A4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0">
        <f t="shared" ref="B46:E46" si="7">B22</f>
        <v>0</v>
      </c>
      <c r="C46" s="190">
        <f t="shared" si="7"/>
        <v>0</v>
      </c>
      <c r="D46" s="190">
        <f t="shared" si="7"/>
        <v>0</v>
      </c>
      <c r="E46" s="190">
        <f t="shared" si="7"/>
        <v>0</v>
      </c>
      <c r="F46" s="113" t="s">
        <v>50</v>
      </c>
    </row>
    <row r="47" spans="1:6" s="111" customFormat="1" ht="39" customHeight="1" x14ac:dyDescent="0.3">
      <c r="A4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0">
        <f t="shared" ref="B47:E47" si="8">B23</f>
        <v>0</v>
      </c>
      <c r="C47" s="190">
        <f t="shared" si="8"/>
        <v>0</v>
      </c>
      <c r="D47" s="190">
        <f t="shared" si="8"/>
        <v>0</v>
      </c>
      <c r="E47" s="190">
        <f t="shared" si="8"/>
        <v>0</v>
      </c>
      <c r="F47" s="113" t="s">
        <v>50</v>
      </c>
    </row>
    <row r="48" spans="1:6" s="111" customFormat="1" ht="39" customHeight="1" x14ac:dyDescent="0.3">
      <c r="A48"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0">
        <f t="shared" ref="B48:E48" si="9">B24</f>
        <v>0</v>
      </c>
      <c r="C48" s="190">
        <f t="shared" si="9"/>
        <v>0</v>
      </c>
      <c r="D48" s="190">
        <f t="shared" si="9"/>
        <v>0</v>
      </c>
      <c r="E48" s="190">
        <f t="shared" si="9"/>
        <v>0</v>
      </c>
      <c r="F48" s="113" t="s">
        <v>50</v>
      </c>
    </row>
    <row r="49" spans="1:6" s="111" customFormat="1" ht="39" customHeight="1" x14ac:dyDescent="0.3">
      <c r="A49"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0">
        <f t="shared" ref="B49:E49" si="10">B25</f>
        <v>0</v>
      </c>
      <c r="C49" s="190">
        <f t="shared" si="10"/>
        <v>0</v>
      </c>
      <c r="D49" s="190">
        <f t="shared" si="10"/>
        <v>0</v>
      </c>
      <c r="E49" s="190">
        <f t="shared" si="10"/>
        <v>0</v>
      </c>
      <c r="F49" s="113" t="s">
        <v>50</v>
      </c>
    </row>
    <row r="50" spans="1:6" s="111" customFormat="1" ht="39" customHeight="1" x14ac:dyDescent="0.3">
      <c r="A50"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0">
        <f t="shared" ref="B50:E50" si="11">B26</f>
        <v>0</v>
      </c>
      <c r="C50" s="190">
        <f t="shared" si="11"/>
        <v>0</v>
      </c>
      <c r="D50" s="190">
        <f t="shared" si="11"/>
        <v>0</v>
      </c>
      <c r="E50" s="190">
        <f t="shared" si="11"/>
        <v>0</v>
      </c>
      <c r="F50" s="113" t="s">
        <v>50</v>
      </c>
    </row>
    <row r="51" spans="1:6" s="111" customFormat="1" ht="39" customHeight="1" x14ac:dyDescent="0.3">
      <c r="A51"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0">
        <f t="shared" ref="B51:E51" si="12">B27</f>
        <v>0</v>
      </c>
      <c r="C51" s="190">
        <f t="shared" si="12"/>
        <v>0</v>
      </c>
      <c r="D51" s="190">
        <f t="shared" si="12"/>
        <v>0</v>
      </c>
      <c r="E51" s="190">
        <f t="shared" si="12"/>
        <v>0</v>
      </c>
      <c r="F51" s="113" t="s">
        <v>50</v>
      </c>
    </row>
    <row r="52" spans="1:6" s="111" customFormat="1" ht="39" customHeight="1" x14ac:dyDescent="0.3">
      <c r="A52"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0">
        <f t="shared" ref="B52:E52" si="13">B28</f>
        <v>0</v>
      </c>
      <c r="C52" s="190">
        <f t="shared" si="13"/>
        <v>0</v>
      </c>
      <c r="D52" s="190">
        <f t="shared" si="13"/>
        <v>0</v>
      </c>
      <c r="E52" s="190">
        <f t="shared" si="13"/>
        <v>0</v>
      </c>
      <c r="F52" s="113" t="s">
        <v>50</v>
      </c>
    </row>
    <row r="53" spans="1:6" s="111" customFormat="1" ht="39" customHeight="1" x14ac:dyDescent="0.3">
      <c r="A53"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0">
        <f t="shared" ref="B53:E53" si="14">B29</f>
        <v>0</v>
      </c>
      <c r="C53" s="190">
        <f t="shared" si="14"/>
        <v>0</v>
      </c>
      <c r="D53" s="190">
        <f t="shared" si="14"/>
        <v>0</v>
      </c>
      <c r="E53" s="190">
        <f t="shared" si="14"/>
        <v>0</v>
      </c>
      <c r="F53" s="113" t="s">
        <v>50</v>
      </c>
    </row>
    <row r="54" spans="1:6" s="111" customFormat="1" ht="39" customHeight="1" x14ac:dyDescent="0.3">
      <c r="A5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0">
        <f t="shared" ref="B54:E54" si="15">B30</f>
        <v>0</v>
      </c>
      <c r="C54" s="190">
        <f t="shared" si="15"/>
        <v>0</v>
      </c>
      <c r="D54" s="190">
        <f t="shared" si="15"/>
        <v>0</v>
      </c>
      <c r="E54" s="190">
        <f t="shared" si="15"/>
        <v>0</v>
      </c>
      <c r="F54" s="113" t="s">
        <v>50</v>
      </c>
    </row>
    <row r="55" spans="1:6" s="111" customFormat="1" ht="39" customHeight="1" x14ac:dyDescent="0.3">
      <c r="A55"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0">
        <f t="shared" ref="B55:E55" si="16">B31</f>
        <v>0</v>
      </c>
      <c r="C55" s="190">
        <f t="shared" si="16"/>
        <v>0</v>
      </c>
      <c r="D55" s="190">
        <f t="shared" si="16"/>
        <v>0</v>
      </c>
      <c r="E55" s="190">
        <f t="shared" si="16"/>
        <v>0</v>
      </c>
      <c r="F55" s="113" t="s">
        <v>50</v>
      </c>
    </row>
    <row r="56" spans="1:6" s="111" customFormat="1" ht="39" customHeight="1" x14ac:dyDescent="0.3">
      <c r="A56"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0">
        <f t="shared" ref="B56:E56" si="17">B32</f>
        <v>0</v>
      </c>
      <c r="C56" s="190">
        <f t="shared" si="17"/>
        <v>0</v>
      </c>
      <c r="D56" s="190">
        <f t="shared" si="17"/>
        <v>0</v>
      </c>
      <c r="E56" s="190">
        <f t="shared" si="17"/>
        <v>0</v>
      </c>
      <c r="F56" s="113" t="s">
        <v>50</v>
      </c>
    </row>
    <row r="57" spans="1:6" s="111" customFormat="1" ht="39" customHeight="1" x14ac:dyDescent="0.3">
      <c r="A57"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0">
        <f t="shared" ref="B57:E57" si="18">B33</f>
        <v>0</v>
      </c>
      <c r="C57" s="190">
        <f t="shared" si="18"/>
        <v>0</v>
      </c>
      <c r="D57" s="190">
        <f t="shared" si="18"/>
        <v>0</v>
      </c>
      <c r="E57" s="190">
        <f t="shared" si="18"/>
        <v>0</v>
      </c>
      <c r="F57" s="113" t="s">
        <v>50</v>
      </c>
    </row>
    <row r="58" spans="1:6" s="111" customFormat="1" ht="39" customHeight="1" x14ac:dyDescent="0.3">
      <c r="A58" s="10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8" s="189">
        <f t="shared" ref="B58:E58" si="19">B34</f>
        <v>0</v>
      </c>
      <c r="C58" s="189">
        <f t="shared" si="19"/>
        <v>0</v>
      </c>
      <c r="D58" s="189">
        <f t="shared" si="19"/>
        <v>0</v>
      </c>
      <c r="E58" s="189">
        <f t="shared" si="19"/>
        <v>0</v>
      </c>
      <c r="F58" s="113" t="s">
        <v>50</v>
      </c>
    </row>
  </sheetData>
  <protectedRanges>
    <protectedRange sqref="A16:A52 C20:D38 C16:C19" name="Plage1_1"/>
  </protectedRanges>
  <mergeCells count="8">
    <mergeCell ref="A5:I5"/>
    <mergeCell ref="A1:I1"/>
    <mergeCell ref="C2:D2"/>
    <mergeCell ref="C3:D3"/>
    <mergeCell ref="C4:D4"/>
    <mergeCell ref="F4:I4"/>
    <mergeCell ref="F3:I3"/>
    <mergeCell ref="F2:I2"/>
  </mergeCells>
  <dataValidations count="1">
    <dataValidation type="custom" allowBlank="1" showInputMessage="1" showErrorMessage="1" sqref="E7:E38" xr:uid="{E0A8F951-ED76-4488-98E3-F13AD7875916}">
      <formula1>ISERROR(SEARCH("-",E7))=TRUE</formula1>
    </dataValidation>
  </dataValidations>
  <pageMargins left="0.7" right="0.7" top="0.75" bottom="0.75" header="0.3" footer="0.3"/>
  <pageSetup paperSize="9" scale="24"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defaultColWidth="11.5546875" defaultRowHeight="14.4" x14ac:dyDescent="0.3"/>
  <cols>
    <col min="1" max="1" width="14.21875" customWidth="1"/>
    <col min="2" max="2" width="14" customWidth="1"/>
    <col min="3" max="3" width="11.5546875" customWidth="1"/>
    <col min="4" max="4" width="12.44140625" customWidth="1"/>
    <col min="5" max="5" width="17.21875" customWidth="1"/>
    <col min="7" max="7" width="19.5546875" customWidth="1"/>
    <col min="9" max="9" width="15.77734375" customWidth="1"/>
  </cols>
  <sheetData>
    <row r="1" spans="1:9" x14ac:dyDescent="0.3">
      <c r="A1" t="s">
        <v>107</v>
      </c>
      <c r="B1" t="s">
        <v>108</v>
      </c>
      <c r="C1" t="s">
        <v>109</v>
      </c>
      <c r="D1" t="s">
        <v>110</v>
      </c>
      <c r="E1" t="s">
        <v>111</v>
      </c>
      <c r="F1" t="s">
        <v>112</v>
      </c>
      <c r="G1" t="s">
        <v>113</v>
      </c>
      <c r="H1" t="s">
        <v>117</v>
      </c>
      <c r="I1" t="s">
        <v>118</v>
      </c>
    </row>
    <row r="2" spans="1:9" x14ac:dyDescent="0.3">
      <c r="A2" t="s">
        <v>152</v>
      </c>
      <c r="B2" t="s">
        <v>163</v>
      </c>
      <c r="C2" t="s">
        <v>143</v>
      </c>
      <c r="D2" t="s">
        <v>146</v>
      </c>
      <c r="E2" t="s">
        <v>147</v>
      </c>
      <c r="F2" t="s">
        <v>112</v>
      </c>
      <c r="G2">
        <v>360268</v>
      </c>
    </row>
    <row r="3" spans="1:9" x14ac:dyDescent="0.3">
      <c r="A3" t="s">
        <v>152</v>
      </c>
      <c r="B3" t="s">
        <v>163</v>
      </c>
      <c r="C3" t="s">
        <v>144</v>
      </c>
      <c r="D3" t="s">
        <v>148</v>
      </c>
      <c r="E3" t="s">
        <v>149</v>
      </c>
      <c r="F3" t="s">
        <v>112</v>
      </c>
      <c r="G3">
        <v>372315</v>
      </c>
    </row>
    <row r="4" spans="1:9" x14ac:dyDescent="0.3">
      <c r="A4" t="s">
        <v>152</v>
      </c>
      <c r="B4" t="s">
        <v>163</v>
      </c>
      <c r="C4" t="s">
        <v>145</v>
      </c>
      <c r="D4" t="s">
        <v>150</v>
      </c>
      <c r="E4" t="s">
        <v>151</v>
      </c>
      <c r="F4" t="s">
        <v>112</v>
      </c>
      <c r="G4">
        <v>237626</v>
      </c>
    </row>
    <row r="5" spans="1:9" x14ac:dyDescent="0.3">
      <c r="A5" t="s">
        <v>152</v>
      </c>
      <c r="B5" t="s">
        <v>163</v>
      </c>
      <c r="C5" t="s">
        <v>160</v>
      </c>
      <c r="D5" t="s">
        <v>161</v>
      </c>
      <c r="E5" t="s">
        <v>162</v>
      </c>
      <c r="F5" t="s">
        <v>112</v>
      </c>
      <c r="G5">
        <v>1439015</v>
      </c>
    </row>
    <row r="6" spans="1:9" x14ac:dyDescent="0.3">
      <c r="A6" t="s">
        <v>152</v>
      </c>
      <c r="B6" t="s">
        <v>163</v>
      </c>
      <c r="C6" t="s">
        <v>157</v>
      </c>
      <c r="D6" t="s">
        <v>158</v>
      </c>
      <c r="E6" t="s">
        <v>159</v>
      </c>
      <c r="F6" t="s">
        <v>112</v>
      </c>
      <c r="G6">
        <v>1433586</v>
      </c>
    </row>
    <row r="7" spans="1:9" x14ac:dyDescent="0.3">
      <c r="A7" t="s">
        <v>152</v>
      </c>
      <c r="B7" t="s">
        <v>163</v>
      </c>
      <c r="C7" t="s">
        <v>154</v>
      </c>
      <c r="D7" t="s">
        <v>155</v>
      </c>
      <c r="E7" t="s">
        <v>156</v>
      </c>
      <c r="F7" t="s">
        <v>112</v>
      </c>
      <c r="G7">
        <v>1115346</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I1" zoomScale="70" zoomScaleNormal="70" workbookViewId="0">
      <selection activeCell="X5" sqref="X5:X12"/>
    </sheetView>
  </sheetViews>
  <sheetFormatPr defaultColWidth="11.44140625" defaultRowHeight="14.4" x14ac:dyDescent="0.3"/>
  <cols>
    <col min="1" max="1" width="15" style="1" customWidth="1"/>
    <col min="2" max="2" width="26.5546875" style="1" customWidth="1"/>
    <col min="3" max="3" width="87.21875" style="1" bestFit="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5.44140625" style="1" customWidth="1"/>
    <col min="12" max="12" width="15.44140625" style="1" customWidth="1"/>
    <col min="13" max="14" width="12.77734375" style="1" customWidth="1"/>
    <col min="15" max="20" width="12.21875" style="1" customWidth="1"/>
    <col min="21" max="21" width="17.44140625" style="1" customWidth="1"/>
    <col min="22" max="25" width="12.21875" style="1" customWidth="1"/>
    <col min="26" max="27" width="15.5546875" style="1" customWidth="1"/>
    <col min="28" max="28" width="14.21875" style="1" customWidth="1"/>
    <col min="29" max="16384" width="11.44140625" style="1"/>
  </cols>
  <sheetData>
    <row r="1" spans="1:144" x14ac:dyDescent="0.3">
      <c r="A1" s="1" t="s">
        <v>107</v>
      </c>
      <c r="B1" s="1" t="s">
        <v>108</v>
      </c>
      <c r="C1" s="1" t="s">
        <v>109</v>
      </c>
      <c r="D1" s="1" t="s">
        <v>110</v>
      </c>
      <c r="E1" s="1" t="s">
        <v>111</v>
      </c>
      <c r="F1" s="1" t="s">
        <v>112</v>
      </c>
      <c r="G1" s="1" t="s">
        <v>113</v>
      </c>
      <c r="H1" s="1" t="s">
        <v>117</v>
      </c>
      <c r="I1" s="1" t="s">
        <v>118</v>
      </c>
      <c r="J1" s="1" t="s">
        <v>1487</v>
      </c>
      <c r="K1" s="195" t="s">
        <v>112</v>
      </c>
      <c r="L1" s="193"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167</v>
      </c>
      <c r="D2" s="1" t="s">
        <v>168</v>
      </c>
      <c r="E2" s="1" t="s">
        <v>169</v>
      </c>
      <c r="F2" s="1" t="s">
        <v>112</v>
      </c>
      <c r="G2" s="1">
        <v>6765</v>
      </c>
      <c r="K2" s="153" t="s">
        <v>120</v>
      </c>
      <c r="L2" s="153"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170</v>
      </c>
      <c r="D3" s="1" t="s">
        <v>171</v>
      </c>
      <c r="E3" s="1" t="s">
        <v>172</v>
      </c>
      <c r="F3" s="1" t="s">
        <v>112</v>
      </c>
      <c r="G3" s="1">
        <v>17860</v>
      </c>
      <c r="K3" s="195" t="s">
        <v>153</v>
      </c>
      <c r="L3" s="195"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173</v>
      </c>
      <c r="D4" s="1" t="s">
        <v>174</v>
      </c>
      <c r="E4" s="1" t="s">
        <v>175</v>
      </c>
      <c r="F4" s="1" t="s">
        <v>112</v>
      </c>
      <c r="G4" s="1">
        <v>16359</v>
      </c>
      <c r="K4" s="195" t="s">
        <v>100</v>
      </c>
      <c r="L4" s="193" t="s">
        <v>1488</v>
      </c>
      <c r="M4" s="193" t="s">
        <v>1489</v>
      </c>
      <c r="N4" s="193" t="s">
        <v>1490</v>
      </c>
      <c r="O4" s="193" t="s">
        <v>1491</v>
      </c>
      <c r="P4" s="193" t="s">
        <v>1492</v>
      </c>
      <c r="Q4" s="193" t="s">
        <v>1493</v>
      </c>
      <c r="R4" s="193" t="s">
        <v>1494</v>
      </c>
      <c r="S4" s="193" t="s">
        <v>1495</v>
      </c>
      <c r="T4" s="193" t="s">
        <v>1496</v>
      </c>
      <c r="U4" s="193" t="s">
        <v>1497</v>
      </c>
      <c r="V4" s="193" t="s">
        <v>1498</v>
      </c>
      <c r="W4" s="193" t="s">
        <v>1499</v>
      </c>
      <c r="X4" s="193" t="s">
        <v>1500</v>
      </c>
      <c r="Y4" s="193" t="s">
        <v>1501</v>
      </c>
      <c r="Z4" s="193" t="s">
        <v>1502</v>
      </c>
      <c r="AA4" s="193" t="s">
        <v>1503</v>
      </c>
      <c r="AB4" s="193" t="s">
        <v>1504</v>
      </c>
      <c r="AC4" s="193" t="s">
        <v>1505</v>
      </c>
      <c r="AD4" s="193" t="s">
        <v>1506</v>
      </c>
      <c r="AE4" s="193" t="s">
        <v>1507</v>
      </c>
      <c r="AF4" s="193" t="s">
        <v>1508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176</v>
      </c>
      <c r="D5" s="1" t="s">
        <v>177</v>
      </c>
      <c r="E5" s="1" t="s">
        <v>178</v>
      </c>
      <c r="F5" s="1" t="s">
        <v>112</v>
      </c>
      <c r="G5" s="1">
        <v>62455</v>
      </c>
      <c r="K5" s="196" t="s">
        <v>163</v>
      </c>
      <c r="L5" s="194">
        <v>13661.333333333334</v>
      </c>
      <c r="M5" s="194">
        <v>18440.333333333332</v>
      </c>
      <c r="N5" s="194">
        <v>20535.5</v>
      </c>
      <c r="O5" s="194"/>
      <c r="P5" s="194">
        <v>909024.33333333337</v>
      </c>
      <c r="Q5" s="194">
        <v>1665191.6666666667</v>
      </c>
      <c r="R5" s="194"/>
      <c r="S5" s="194">
        <v>13755.666666666666</v>
      </c>
      <c r="T5" s="194">
        <v>18675.5</v>
      </c>
      <c r="U5" s="194">
        <v>97261</v>
      </c>
      <c r="V5" s="194">
        <v>14582.333333333334</v>
      </c>
      <c r="W5" s="194">
        <v>129130.33333333333</v>
      </c>
      <c r="X5" s="194">
        <v>180610.5</v>
      </c>
      <c r="Y5" s="194">
        <v>3066750.3333333335</v>
      </c>
      <c r="Z5" s="194">
        <v>4221483</v>
      </c>
      <c r="AA5" s="194">
        <v>63782</v>
      </c>
      <c r="AB5" s="194">
        <v>955613.66666666663</v>
      </c>
      <c r="AC5" s="194">
        <v>1551804.3333333333</v>
      </c>
      <c r="AD5" s="194">
        <v>2392594</v>
      </c>
      <c r="AE5" s="194">
        <v>2430909.6666666665</v>
      </c>
      <c r="AF5" s="194">
        <v>1534589.6666666667</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179</v>
      </c>
      <c r="D6" s="1" t="s">
        <v>180</v>
      </c>
      <c r="E6" s="1" t="s">
        <v>181</v>
      </c>
      <c r="F6" s="1" t="s">
        <v>112</v>
      </c>
      <c r="G6" s="1">
        <v>45096</v>
      </c>
      <c r="K6" s="196" t="s">
        <v>1509</v>
      </c>
      <c r="L6" s="194">
        <v>38562.333333333336</v>
      </c>
      <c r="M6" s="194">
        <v>641823</v>
      </c>
      <c r="N6" s="194">
        <v>48641.5</v>
      </c>
      <c r="O6" s="194">
        <v>95020.5</v>
      </c>
      <c r="P6" s="194">
        <v>288629</v>
      </c>
      <c r="Q6" s="194">
        <v>2163063</v>
      </c>
      <c r="R6" s="194">
        <v>7890659.666666667</v>
      </c>
      <c r="S6" s="194">
        <v>18084.666666666668</v>
      </c>
      <c r="T6" s="194">
        <v>31760.5</v>
      </c>
      <c r="U6" s="194">
        <v>17381.333333333332</v>
      </c>
      <c r="V6" s="194"/>
      <c r="W6" s="194">
        <v>66348.666666666672</v>
      </c>
      <c r="X6" s="194">
        <v>2857972</v>
      </c>
      <c r="Y6" s="194">
        <v>1708235</v>
      </c>
      <c r="Z6" s="194">
        <v>5468220</v>
      </c>
      <c r="AA6" s="194">
        <v>128267.33333333333</v>
      </c>
      <c r="AB6" s="194">
        <v>2972549.3333333335</v>
      </c>
      <c r="AC6" s="194">
        <v>2715528.3333333335</v>
      </c>
      <c r="AD6" s="194">
        <v>2228672.3333333335</v>
      </c>
      <c r="AE6" s="194">
        <v>1147663</v>
      </c>
      <c r="AF6" s="194">
        <v>1359609.6666666667</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182</v>
      </c>
      <c r="D7" s="1" t="s">
        <v>183</v>
      </c>
      <c r="E7" s="1" t="s">
        <v>184</v>
      </c>
      <c r="F7" s="1" t="s">
        <v>112</v>
      </c>
      <c r="G7" s="1">
        <v>8136</v>
      </c>
      <c r="K7" s="196" t="s">
        <v>1510</v>
      </c>
      <c r="L7" s="194">
        <v>19738</v>
      </c>
      <c r="M7" s="194">
        <v>16039.666666666666</v>
      </c>
      <c r="N7" s="194">
        <v>112336.33333333333</v>
      </c>
      <c r="O7" s="194">
        <v>110110</v>
      </c>
      <c r="P7" s="194">
        <v>958369</v>
      </c>
      <c r="Q7" s="194">
        <v>2674798</v>
      </c>
      <c r="R7" s="194">
        <v>6349058.333333333</v>
      </c>
      <c r="S7" s="194">
        <v>17156.333333333332</v>
      </c>
      <c r="T7" s="194">
        <v>222889</v>
      </c>
      <c r="U7" s="194">
        <v>117956</v>
      </c>
      <c r="V7" s="194">
        <v>182760.66666666666</v>
      </c>
      <c r="W7" s="194">
        <v>146802</v>
      </c>
      <c r="X7" s="194">
        <v>3857789.3333333335</v>
      </c>
      <c r="Y7" s="194"/>
      <c r="Z7" s="194"/>
      <c r="AA7" s="194">
        <v>92703.5</v>
      </c>
      <c r="AB7" s="194">
        <v>3929707</v>
      </c>
      <c r="AC7" s="194">
        <v>3475843.6666666665</v>
      </c>
      <c r="AD7" s="194">
        <v>826766</v>
      </c>
      <c r="AE7" s="194">
        <v>2392449.3333333335</v>
      </c>
      <c r="AF7" s="194">
        <v>2190320.3333333335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185</v>
      </c>
      <c r="D8" s="1" t="s">
        <v>186</v>
      </c>
      <c r="E8" s="1" t="s">
        <v>187</v>
      </c>
      <c r="F8" s="1" t="s">
        <v>112</v>
      </c>
      <c r="G8" s="1">
        <v>11508</v>
      </c>
      <c r="K8" s="196" t="s">
        <v>1511</v>
      </c>
      <c r="L8" s="194">
        <v>66980</v>
      </c>
      <c r="M8" s="194"/>
      <c r="N8" s="194">
        <v>270268.66666666669</v>
      </c>
      <c r="O8" s="194">
        <v>129674.33333333333</v>
      </c>
      <c r="P8" s="194">
        <v>3738404.6666666665</v>
      </c>
      <c r="Q8" s="194">
        <v>2429720.5</v>
      </c>
      <c r="R8" s="194">
        <v>5811754.666666667</v>
      </c>
      <c r="S8" s="194">
        <v>68774.5</v>
      </c>
      <c r="T8" s="194">
        <v>49431.666666666664</v>
      </c>
      <c r="U8" s="194">
        <v>25502.666666666668</v>
      </c>
      <c r="V8" s="194">
        <v>434140</v>
      </c>
      <c r="W8" s="194">
        <v>279231</v>
      </c>
      <c r="X8" s="194">
        <v>1958316.3333333333</v>
      </c>
      <c r="Y8" s="194">
        <v>2630261</v>
      </c>
      <c r="Z8" s="194">
        <v>5785933</v>
      </c>
      <c r="AA8" s="194">
        <v>17388.666666666668</v>
      </c>
      <c r="AB8" s="194">
        <v>2988030.6666666665</v>
      </c>
      <c r="AC8" s="194">
        <v>61077.333333333336</v>
      </c>
      <c r="AD8" s="194">
        <v>193445</v>
      </c>
      <c r="AE8" s="194">
        <v>76443</v>
      </c>
      <c r="AF8" s="194">
        <v>2035375.6666666667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188</v>
      </c>
      <c r="D9" s="1" t="s">
        <v>189</v>
      </c>
      <c r="E9" s="1" t="s">
        <v>190</v>
      </c>
      <c r="F9" s="1" t="s">
        <v>112</v>
      </c>
      <c r="G9" s="1">
        <v>27149</v>
      </c>
      <c r="K9" s="196" t="s">
        <v>1512</v>
      </c>
      <c r="L9" s="194">
        <v>15315</v>
      </c>
      <c r="M9" s="194">
        <v>38815.666666666664</v>
      </c>
      <c r="N9" s="194">
        <v>181078</v>
      </c>
      <c r="O9" s="194">
        <v>13284.333333333334</v>
      </c>
      <c r="P9" s="194">
        <v>378218</v>
      </c>
      <c r="Q9" s="194">
        <v>1476391</v>
      </c>
      <c r="R9" s="194">
        <v>4770540.333333333</v>
      </c>
      <c r="S9" s="194">
        <v>62955.333333333336</v>
      </c>
      <c r="T9" s="194">
        <v>52535.333333333336</v>
      </c>
      <c r="U9" s="194">
        <v>107213</v>
      </c>
      <c r="V9" s="194">
        <v>81772</v>
      </c>
      <c r="W9" s="194">
        <v>22319.5</v>
      </c>
      <c r="X9" s="194">
        <v>2014934.6666666667</v>
      </c>
      <c r="Y9" s="194">
        <v>722805</v>
      </c>
      <c r="Z9" s="194">
        <v>5361691.5</v>
      </c>
      <c r="AA9" s="194">
        <v>18469</v>
      </c>
      <c r="AB9" s="194">
        <v>51165</v>
      </c>
      <c r="AC9" s="194">
        <v>1668371.5</v>
      </c>
      <c r="AD9" s="194">
        <v>139014</v>
      </c>
      <c r="AE9" s="194">
        <v>131001</v>
      </c>
      <c r="AF9" s="194">
        <v>3212790</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191</v>
      </c>
      <c r="D10" s="1" t="s">
        <v>192</v>
      </c>
      <c r="E10" s="1">
        <v>63</v>
      </c>
      <c r="F10" s="1" t="s">
        <v>112</v>
      </c>
      <c r="G10" s="1">
        <v>20557</v>
      </c>
      <c r="K10" s="196" t="s">
        <v>1513</v>
      </c>
      <c r="L10" s="194">
        <v>97805</v>
      </c>
      <c r="M10" s="194">
        <v>13596</v>
      </c>
      <c r="N10" s="194">
        <v>58031.666666666664</v>
      </c>
      <c r="O10" s="194">
        <v>149056.66666666666</v>
      </c>
      <c r="P10" s="194">
        <v>844263.33333333337</v>
      </c>
      <c r="Q10" s="194">
        <v>4128920.6666666665</v>
      </c>
      <c r="R10" s="194">
        <v>6414696.666666667</v>
      </c>
      <c r="S10" s="194">
        <v>70888.333333333328</v>
      </c>
      <c r="T10" s="194">
        <v>54413.666666666664</v>
      </c>
      <c r="U10" s="194">
        <v>100654.66666666667</v>
      </c>
      <c r="V10" s="194">
        <v>46872</v>
      </c>
      <c r="W10" s="194">
        <v>212969.33333333334</v>
      </c>
      <c r="X10" s="194">
        <v>548564.33333333337</v>
      </c>
      <c r="Y10" s="194">
        <v>1621851.3333333333</v>
      </c>
      <c r="Z10" s="194">
        <v>4713168.666666667</v>
      </c>
      <c r="AA10" s="194">
        <v>40897</v>
      </c>
      <c r="AB10" s="194">
        <v>709379</v>
      </c>
      <c r="AC10" s="194"/>
      <c r="AD10" s="194">
        <v>1273812.5</v>
      </c>
      <c r="AE10" s="194">
        <v>1725500.3333333333</v>
      </c>
      <c r="AF10" s="194">
        <v>926264</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193</v>
      </c>
      <c r="D11" s="1" t="s">
        <v>194</v>
      </c>
      <c r="E11" s="1" t="s">
        <v>195</v>
      </c>
      <c r="F11" s="1" t="s">
        <v>112</v>
      </c>
      <c r="G11" s="1">
        <v>76008</v>
      </c>
      <c r="K11" s="196" t="s">
        <v>1514</v>
      </c>
      <c r="L11" s="194">
        <v>24828.333333333332</v>
      </c>
      <c r="M11" s="194">
        <v>26423.666666666668</v>
      </c>
      <c r="N11" s="194">
        <v>17272.5</v>
      </c>
      <c r="O11" s="194">
        <v>156496.33333333334</v>
      </c>
      <c r="P11" s="194">
        <v>234143</v>
      </c>
      <c r="Q11" s="194">
        <v>2408880.3333333335</v>
      </c>
      <c r="R11" s="194">
        <v>3195749.6666666665</v>
      </c>
      <c r="S11" s="194">
        <v>278339.33333333331</v>
      </c>
      <c r="T11" s="194">
        <v>452315</v>
      </c>
      <c r="U11" s="194">
        <v>96470.333333333328</v>
      </c>
      <c r="V11" s="194">
        <v>45911.5</v>
      </c>
      <c r="W11" s="194"/>
      <c r="X11" s="194">
        <v>379465.33333333331</v>
      </c>
      <c r="Y11" s="194">
        <v>2054946.3333333333</v>
      </c>
      <c r="Z11" s="194">
        <v>6739059.666666667</v>
      </c>
      <c r="AA11" s="194">
        <v>80967.5</v>
      </c>
      <c r="AB11" s="194">
        <v>20960</v>
      </c>
      <c r="AC11" s="194">
        <v>718461.33333333337</v>
      </c>
      <c r="AD11" s="194">
        <v>1414668.5</v>
      </c>
      <c r="AE11" s="194">
        <v>1486963.3333333333</v>
      </c>
      <c r="AF11" s="194">
        <v>112387.33333333333</v>
      </c>
      <c r="AG11"/>
    </row>
    <row r="12" spans="1:144" x14ac:dyDescent="0.3">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196</v>
      </c>
      <c r="D12" s="1" t="s">
        <v>197</v>
      </c>
      <c r="E12" s="1" t="s">
        <v>198</v>
      </c>
      <c r="F12" s="1" t="s">
        <v>112</v>
      </c>
      <c r="G12" s="1">
        <v>63913</v>
      </c>
      <c r="K12" s="196" t="s">
        <v>1515</v>
      </c>
      <c r="L12" s="194">
        <v>54551</v>
      </c>
      <c r="M12" s="194">
        <v>11333.666666666666</v>
      </c>
      <c r="N12" s="194"/>
      <c r="O12" s="194">
        <v>128586.66666666667</v>
      </c>
      <c r="P12" s="194">
        <v>1812421.3333333333</v>
      </c>
      <c r="Q12" s="194">
        <v>1650798</v>
      </c>
      <c r="R12" s="194">
        <v>5537578</v>
      </c>
      <c r="S12" s="194">
        <v>49729</v>
      </c>
      <c r="T12" s="194">
        <v>45792</v>
      </c>
      <c r="U12" s="194">
        <v>20571.666666666668</v>
      </c>
      <c r="V12" s="194">
        <v>184645.66666666666</v>
      </c>
      <c r="W12" s="194">
        <v>167047</v>
      </c>
      <c r="X12" s="194">
        <v>2613293</v>
      </c>
      <c r="Y12" s="194">
        <v>1524024.3333333333</v>
      </c>
      <c r="Z12" s="194">
        <v>4751984.666666667</v>
      </c>
      <c r="AA12" s="194">
        <v>302921</v>
      </c>
      <c r="AB12" s="194">
        <v>509893.66666666669</v>
      </c>
      <c r="AC12" s="194">
        <v>2403608.6666666665</v>
      </c>
      <c r="AD12" s="194">
        <v>856782.5</v>
      </c>
      <c r="AE12" s="194">
        <v>244055</v>
      </c>
      <c r="AF12" s="194">
        <v>15634</v>
      </c>
      <c r="AG12"/>
    </row>
    <row r="13" spans="1:144" x14ac:dyDescent="0.3">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199</v>
      </c>
      <c r="D13" s="1" t="s">
        <v>177</v>
      </c>
      <c r="E13" s="1" t="s">
        <v>200</v>
      </c>
      <c r="F13" s="1" t="s">
        <v>112</v>
      </c>
      <c r="G13" s="1">
        <v>61019</v>
      </c>
      <c r="K13"/>
      <c r="L13"/>
      <c r="M13"/>
      <c r="N13"/>
      <c r="O13"/>
      <c r="P13"/>
      <c r="Q13"/>
      <c r="R13"/>
      <c r="S13"/>
      <c r="T13"/>
      <c r="U13"/>
      <c r="V13"/>
      <c r="W13"/>
      <c r="X13"/>
      <c r="Y13"/>
      <c r="Z13"/>
      <c r="AA13"/>
      <c r="AB13"/>
      <c r="AC13"/>
      <c r="AD13"/>
      <c r="AE13"/>
      <c r="AF13"/>
      <c r="AG13"/>
    </row>
    <row r="14" spans="1:144" x14ac:dyDescent="0.3">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201</v>
      </c>
      <c r="D14" s="1" t="s">
        <v>171</v>
      </c>
      <c r="E14" s="1" t="s">
        <v>202</v>
      </c>
      <c r="F14" s="1" t="s">
        <v>112</v>
      </c>
      <c r="G14" s="1">
        <v>18230</v>
      </c>
      <c r="K14"/>
      <c r="L14"/>
      <c r="M14"/>
      <c r="N14"/>
      <c r="O14"/>
      <c r="P14"/>
      <c r="Q14"/>
      <c r="R14"/>
      <c r="S14"/>
      <c r="T14"/>
      <c r="U14"/>
      <c r="V14"/>
      <c r="W14"/>
      <c r="X14"/>
      <c r="Y14"/>
      <c r="Z14"/>
      <c r="AA14"/>
      <c r="AB14"/>
      <c r="AC14"/>
      <c r="AD14"/>
      <c r="AE14"/>
      <c r="AF14"/>
      <c r="AG14"/>
    </row>
    <row r="15" spans="1:144" x14ac:dyDescent="0.3">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203</v>
      </c>
      <c r="D15" s="1" t="s">
        <v>204</v>
      </c>
      <c r="E15" s="1" t="s">
        <v>205</v>
      </c>
      <c r="F15" s="1" t="s">
        <v>112</v>
      </c>
      <c r="G15" s="1">
        <v>12400</v>
      </c>
    </row>
    <row r="16" spans="1:144" x14ac:dyDescent="0.3">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206</v>
      </c>
      <c r="M16"/>
      <c r="N16"/>
      <c r="O16"/>
      <c r="P16"/>
      <c r="Q16"/>
      <c r="R16"/>
      <c r="S16"/>
      <c r="T16"/>
      <c r="U16"/>
      <c r="V16"/>
      <c r="W16"/>
      <c r="X16"/>
      <c r="Y16"/>
      <c r="Z16"/>
      <c r="AA16"/>
      <c r="AB16"/>
      <c r="AC16"/>
      <c r="AD16"/>
      <c r="AE16"/>
      <c r="AF16"/>
      <c r="AG16"/>
      <c r="AH16"/>
    </row>
    <row r="17" spans="1:34" x14ac:dyDescent="0.3">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207</v>
      </c>
      <c r="D17" s="1" t="s">
        <v>208</v>
      </c>
      <c r="E17" s="1" t="s">
        <v>209</v>
      </c>
      <c r="F17" s="1" t="s">
        <v>112</v>
      </c>
      <c r="G17" s="1">
        <v>214623</v>
      </c>
      <c r="M17"/>
      <c r="N17"/>
      <c r="O17"/>
      <c r="P17"/>
      <c r="Q17"/>
      <c r="R17"/>
      <c r="S17"/>
      <c r="T17"/>
      <c r="U17"/>
      <c r="V17"/>
      <c r="W17"/>
      <c r="X17"/>
      <c r="Y17"/>
      <c r="Z17"/>
      <c r="AA17"/>
      <c r="AB17"/>
      <c r="AC17"/>
      <c r="AD17"/>
      <c r="AE17"/>
      <c r="AF17"/>
      <c r="AG17"/>
      <c r="AH17"/>
    </row>
    <row r="18" spans="1:34" x14ac:dyDescent="0.3">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210</v>
      </c>
      <c r="D18" s="1" t="s">
        <v>211</v>
      </c>
      <c r="E18" s="1" t="s">
        <v>212</v>
      </c>
      <c r="F18" s="1" t="s">
        <v>112</v>
      </c>
      <c r="G18" s="1">
        <v>52144</v>
      </c>
      <c r="M18"/>
      <c r="N18"/>
      <c r="O18"/>
      <c r="P18"/>
      <c r="Q18"/>
      <c r="R18"/>
      <c r="S18"/>
      <c r="T18"/>
      <c r="U18"/>
      <c r="V18"/>
      <c r="W18"/>
      <c r="X18"/>
      <c r="Y18"/>
      <c r="Z18"/>
      <c r="AA18"/>
      <c r="AB18"/>
      <c r="AC18"/>
      <c r="AD18"/>
      <c r="AE18"/>
      <c r="AF18"/>
      <c r="AG18"/>
      <c r="AH18"/>
    </row>
    <row r="19" spans="1:34" x14ac:dyDescent="0.3">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213</v>
      </c>
      <c r="D19" s="1" t="s">
        <v>214</v>
      </c>
      <c r="E19" s="1" t="s">
        <v>215</v>
      </c>
      <c r="F19" s="1" t="s">
        <v>112</v>
      </c>
      <c r="G19" s="1">
        <v>26648</v>
      </c>
      <c r="K19"/>
      <c r="L19"/>
      <c r="M19"/>
      <c r="N19"/>
      <c r="O19"/>
      <c r="P19"/>
      <c r="Q19"/>
      <c r="R19"/>
      <c r="S19"/>
      <c r="T19"/>
      <c r="U19"/>
      <c r="V19"/>
      <c r="W19"/>
      <c r="X19"/>
      <c r="Y19"/>
      <c r="Z19"/>
      <c r="AA19"/>
      <c r="AB19"/>
      <c r="AC19"/>
      <c r="AD19"/>
      <c r="AE19"/>
      <c r="AF19"/>
      <c r="AG19"/>
      <c r="AH19"/>
    </row>
    <row r="20" spans="1:34" x14ac:dyDescent="0.3">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216</v>
      </c>
      <c r="D20" s="1" t="s">
        <v>214</v>
      </c>
      <c r="E20" s="1" t="s">
        <v>217</v>
      </c>
      <c r="F20" s="1" t="s">
        <v>112</v>
      </c>
      <c r="G20" s="1">
        <v>26561</v>
      </c>
      <c r="K20"/>
      <c r="L20"/>
      <c r="M20"/>
      <c r="N20"/>
      <c r="O20"/>
      <c r="P20"/>
      <c r="Q20"/>
      <c r="R20"/>
      <c r="S20"/>
      <c r="T20"/>
      <c r="U20"/>
      <c r="V20"/>
      <c r="W20"/>
      <c r="X20"/>
      <c r="Y20"/>
      <c r="Z20"/>
      <c r="AA20"/>
      <c r="AB20"/>
      <c r="AC20"/>
      <c r="AD20"/>
      <c r="AE20"/>
      <c r="AF20"/>
      <c r="AG20"/>
      <c r="AH20"/>
    </row>
    <row r="21" spans="1:34" x14ac:dyDescent="0.3">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218</v>
      </c>
      <c r="D21" s="1" t="s">
        <v>189</v>
      </c>
      <c r="E21" s="1" t="s">
        <v>219</v>
      </c>
      <c r="F21" s="1" t="s">
        <v>112</v>
      </c>
      <c r="G21" s="1">
        <v>27475</v>
      </c>
      <c r="K21"/>
      <c r="L21"/>
      <c r="M21"/>
      <c r="N21"/>
      <c r="O21"/>
      <c r="P21"/>
      <c r="Q21"/>
      <c r="R21"/>
      <c r="S21"/>
      <c r="T21"/>
      <c r="U21"/>
      <c r="V21"/>
      <c r="W21"/>
      <c r="X21"/>
      <c r="Y21"/>
      <c r="Z21"/>
      <c r="AA21"/>
      <c r="AB21"/>
      <c r="AC21"/>
      <c r="AD21"/>
      <c r="AE21"/>
      <c r="AF21"/>
      <c r="AG21"/>
      <c r="AH21"/>
    </row>
    <row r="22" spans="1:34" x14ac:dyDescent="0.3">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220</v>
      </c>
      <c r="D22" s="1" t="s">
        <v>192</v>
      </c>
      <c r="E22" s="1" t="s">
        <v>175</v>
      </c>
      <c r="F22" s="1" t="s">
        <v>112</v>
      </c>
      <c r="G22" s="1">
        <v>20449</v>
      </c>
      <c r="K22"/>
      <c r="L22"/>
      <c r="M22"/>
      <c r="N22"/>
      <c r="O22"/>
      <c r="P22"/>
      <c r="Q22"/>
      <c r="R22"/>
      <c r="S22"/>
      <c r="T22"/>
      <c r="U22"/>
      <c r="V22"/>
      <c r="W22"/>
      <c r="X22"/>
      <c r="Y22"/>
      <c r="Z22"/>
      <c r="AA22"/>
      <c r="AB22"/>
      <c r="AC22"/>
      <c r="AD22"/>
      <c r="AE22"/>
      <c r="AF22"/>
      <c r="AG22"/>
      <c r="AH22"/>
    </row>
    <row r="23" spans="1:34" x14ac:dyDescent="0.3">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221</v>
      </c>
      <c r="D23" s="1" t="s">
        <v>222</v>
      </c>
      <c r="E23" s="1" t="s">
        <v>223</v>
      </c>
      <c r="F23" s="1" t="s">
        <v>112</v>
      </c>
      <c r="G23" s="1">
        <v>15010</v>
      </c>
      <c r="K23"/>
      <c r="L23"/>
      <c r="M23"/>
      <c r="N23"/>
      <c r="O23"/>
      <c r="P23"/>
      <c r="Q23"/>
      <c r="R23"/>
      <c r="S23"/>
      <c r="T23"/>
      <c r="U23"/>
      <c r="V23"/>
      <c r="W23"/>
      <c r="X23"/>
      <c r="Y23"/>
      <c r="Z23"/>
      <c r="AA23"/>
      <c r="AB23"/>
      <c r="AC23"/>
      <c r="AD23"/>
      <c r="AE23"/>
      <c r="AF23"/>
      <c r="AG23"/>
      <c r="AH23"/>
    </row>
    <row r="24" spans="1:34" x14ac:dyDescent="0.3">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224</v>
      </c>
      <c r="D24" s="1" t="s">
        <v>225</v>
      </c>
      <c r="E24" s="1" t="s">
        <v>226</v>
      </c>
      <c r="F24" s="1" t="s">
        <v>112</v>
      </c>
      <c r="G24" s="1">
        <v>122517</v>
      </c>
      <c r="K24"/>
      <c r="L24"/>
      <c r="M24"/>
      <c r="N24"/>
      <c r="O24"/>
      <c r="P24"/>
      <c r="Q24"/>
      <c r="R24"/>
      <c r="S24"/>
      <c r="T24"/>
      <c r="U24"/>
      <c r="V24"/>
      <c r="W24"/>
      <c r="X24"/>
      <c r="Y24"/>
      <c r="Z24"/>
      <c r="AA24"/>
      <c r="AB24"/>
      <c r="AC24"/>
      <c r="AD24"/>
      <c r="AE24"/>
      <c r="AF24"/>
      <c r="AG24"/>
      <c r="AH24"/>
    </row>
    <row r="25" spans="1:34" x14ac:dyDescent="0.3">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227</v>
      </c>
      <c r="D25" s="1" t="s">
        <v>214</v>
      </c>
      <c r="E25" s="1" t="s">
        <v>228</v>
      </c>
      <c r="F25" s="1" t="s">
        <v>112</v>
      </c>
      <c r="G25" s="1">
        <v>26126</v>
      </c>
      <c r="K25"/>
      <c r="L25"/>
      <c r="M25"/>
      <c r="N25"/>
      <c r="O25"/>
      <c r="P25"/>
      <c r="Q25"/>
      <c r="R25"/>
      <c r="S25"/>
      <c r="T25"/>
      <c r="U25"/>
      <c r="V25"/>
      <c r="W25"/>
      <c r="X25"/>
      <c r="Y25"/>
      <c r="Z25"/>
      <c r="AA25"/>
      <c r="AB25"/>
      <c r="AC25"/>
      <c r="AD25"/>
      <c r="AE25"/>
      <c r="AF25"/>
      <c r="AG25"/>
      <c r="AH25"/>
    </row>
    <row r="26" spans="1:34" x14ac:dyDescent="0.3">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3">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229</v>
      </c>
      <c r="D27" s="1" t="s">
        <v>112</v>
      </c>
      <c r="E27" s="1" t="s">
        <v>230</v>
      </c>
      <c r="F27" s="1" t="s">
        <v>231</v>
      </c>
      <c r="G27" s="1" t="s">
        <v>232</v>
      </c>
      <c r="H27" s="1" t="s">
        <v>233</v>
      </c>
      <c r="I27" s="1" t="s">
        <v>234</v>
      </c>
      <c r="J27" s="1" t="s">
        <v>235</v>
      </c>
      <c r="K27"/>
      <c r="L27"/>
      <c r="M27"/>
      <c r="N27"/>
      <c r="O27"/>
      <c r="P27"/>
      <c r="Q27"/>
      <c r="R27"/>
      <c r="S27"/>
      <c r="T27"/>
      <c r="U27"/>
      <c r="V27"/>
      <c r="W27"/>
      <c r="X27"/>
      <c r="Y27"/>
      <c r="Z27"/>
      <c r="AA27"/>
      <c r="AB27"/>
      <c r="AC27"/>
      <c r="AD27"/>
      <c r="AE27"/>
      <c r="AF27"/>
      <c r="AG27"/>
      <c r="AH27"/>
    </row>
    <row r="28" spans="1:34" x14ac:dyDescent="0.3">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236</v>
      </c>
      <c r="D28" s="1" t="s">
        <v>112</v>
      </c>
      <c r="E28" s="1" t="s">
        <v>237</v>
      </c>
      <c r="F28" s="1" t="s">
        <v>238</v>
      </c>
      <c r="G28" s="1" t="s">
        <v>239</v>
      </c>
      <c r="H28" s="1" t="s">
        <v>240</v>
      </c>
      <c r="I28" s="1">
        <v>24</v>
      </c>
      <c r="J28" s="1">
        <v>24</v>
      </c>
      <c r="K28"/>
      <c r="L28"/>
      <c r="M28"/>
      <c r="N28"/>
      <c r="O28"/>
      <c r="P28"/>
      <c r="Q28"/>
      <c r="R28"/>
      <c r="S28"/>
      <c r="T28"/>
      <c r="U28"/>
      <c r="V28"/>
      <c r="W28"/>
      <c r="X28"/>
      <c r="Y28"/>
      <c r="Z28"/>
      <c r="AA28"/>
      <c r="AB28"/>
      <c r="AC28"/>
      <c r="AD28"/>
      <c r="AE28"/>
      <c r="AF28"/>
      <c r="AG28"/>
      <c r="AH28"/>
    </row>
    <row r="29" spans="1:34" x14ac:dyDescent="0.3">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3">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3">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3">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3">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3">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241</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3">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242</v>
      </c>
      <c r="D35" s="1" t="s">
        <v>171</v>
      </c>
      <c r="E35" s="1" t="s">
        <v>243</v>
      </c>
      <c r="F35" s="1" t="s">
        <v>112</v>
      </c>
      <c r="G35" s="1">
        <v>17882</v>
      </c>
      <c r="K35"/>
      <c r="L35"/>
      <c r="M35"/>
      <c r="N35"/>
      <c r="O35"/>
      <c r="P35"/>
      <c r="Q35"/>
      <c r="R35"/>
      <c r="S35"/>
      <c r="T35"/>
      <c r="U35"/>
      <c r="V35"/>
      <c r="W35"/>
      <c r="X35"/>
      <c r="Y35"/>
      <c r="Z35"/>
      <c r="AA35"/>
      <c r="AB35"/>
      <c r="AC35"/>
      <c r="AD35"/>
      <c r="AE35"/>
      <c r="AF35"/>
      <c r="AG35"/>
      <c r="AH35"/>
    </row>
    <row r="36" spans="1:34" x14ac:dyDescent="0.3">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244</v>
      </c>
      <c r="D36" s="1" t="s">
        <v>222</v>
      </c>
      <c r="E36" s="1" t="s">
        <v>245</v>
      </c>
      <c r="F36" s="1" t="s">
        <v>112</v>
      </c>
      <c r="G36" s="1">
        <v>14880</v>
      </c>
      <c r="K36"/>
      <c r="L36"/>
      <c r="M36"/>
      <c r="N36"/>
      <c r="O36"/>
      <c r="P36"/>
      <c r="Q36"/>
      <c r="R36"/>
      <c r="S36"/>
      <c r="T36"/>
      <c r="U36"/>
      <c r="V36"/>
      <c r="W36"/>
      <c r="X36"/>
      <c r="Y36"/>
      <c r="Z36"/>
      <c r="AA36"/>
      <c r="AB36"/>
      <c r="AC36"/>
      <c r="AD36"/>
      <c r="AE36"/>
      <c r="AF36"/>
      <c r="AG36"/>
      <c r="AH36"/>
    </row>
    <row r="37" spans="1:34" x14ac:dyDescent="0.3">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246</v>
      </c>
      <c r="D37" s="1" t="s">
        <v>247</v>
      </c>
      <c r="E37" s="1" t="s">
        <v>248</v>
      </c>
      <c r="F37" s="1" t="s">
        <v>112</v>
      </c>
      <c r="G37" s="1">
        <v>22559</v>
      </c>
      <c r="K37"/>
      <c r="L37"/>
      <c r="M37"/>
      <c r="N37"/>
      <c r="O37"/>
      <c r="P37"/>
      <c r="Q37"/>
      <c r="R37"/>
      <c r="S37"/>
      <c r="T37"/>
      <c r="U37"/>
      <c r="V37"/>
      <c r="W37"/>
      <c r="X37"/>
      <c r="Y37"/>
      <c r="Z37"/>
      <c r="AA37"/>
      <c r="AB37"/>
      <c r="AC37"/>
      <c r="AD37"/>
      <c r="AE37"/>
      <c r="AF37"/>
      <c r="AG37"/>
      <c r="AH37"/>
    </row>
    <row r="38" spans="1:34" x14ac:dyDescent="0.3">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249</v>
      </c>
      <c r="D38" s="1" t="s">
        <v>250</v>
      </c>
      <c r="E38" s="1" t="s">
        <v>251</v>
      </c>
      <c r="F38" s="1" t="s">
        <v>112</v>
      </c>
      <c r="G38" s="1">
        <v>641823</v>
      </c>
      <c r="K38"/>
      <c r="L38"/>
      <c r="M38"/>
      <c r="N38"/>
      <c r="O38"/>
      <c r="P38"/>
      <c r="Q38"/>
      <c r="R38"/>
      <c r="S38"/>
      <c r="T38"/>
      <c r="U38"/>
      <c r="V38"/>
      <c r="W38"/>
      <c r="X38"/>
      <c r="Y38"/>
      <c r="Z38"/>
      <c r="AA38"/>
      <c r="AB38"/>
      <c r="AC38"/>
      <c r="AD38"/>
      <c r="AE38"/>
      <c r="AF38"/>
      <c r="AG38"/>
      <c r="AH38"/>
    </row>
    <row r="39" spans="1:34" x14ac:dyDescent="0.3">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252</v>
      </c>
    </row>
    <row r="40" spans="1:34" x14ac:dyDescent="0.3">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253</v>
      </c>
    </row>
    <row r="41" spans="1:34" x14ac:dyDescent="0.3">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254</v>
      </c>
      <c r="D41" s="1" t="s">
        <v>255</v>
      </c>
      <c r="E41" s="1" t="s">
        <v>256</v>
      </c>
      <c r="F41" s="1" t="s">
        <v>112</v>
      </c>
      <c r="G41" s="1">
        <v>31652</v>
      </c>
    </row>
    <row r="42" spans="1:34" x14ac:dyDescent="0.3">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257</v>
      </c>
      <c r="D42" s="1" t="s">
        <v>186</v>
      </c>
      <c r="E42" s="1" t="s">
        <v>258</v>
      </c>
      <c r="F42" s="1" t="s">
        <v>112</v>
      </c>
      <c r="G42" s="1">
        <v>10855</v>
      </c>
    </row>
    <row r="43" spans="1:34" x14ac:dyDescent="0.3">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259</v>
      </c>
      <c r="D43" s="1" t="s">
        <v>260</v>
      </c>
      <c r="E43" s="1" t="s">
        <v>261</v>
      </c>
      <c r="F43" s="1" t="s">
        <v>112</v>
      </c>
      <c r="G43" s="1">
        <v>5612</v>
      </c>
    </row>
    <row r="44" spans="1:34" x14ac:dyDescent="0.3">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262</v>
      </c>
    </row>
    <row r="45" spans="1:34" x14ac:dyDescent="0.3">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263</v>
      </c>
    </row>
    <row r="46" spans="1:34" x14ac:dyDescent="0.3">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264</v>
      </c>
    </row>
    <row r="47" spans="1:34" x14ac:dyDescent="0.3">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265</v>
      </c>
      <c r="D47" s="1" t="s">
        <v>266</v>
      </c>
      <c r="E47" s="1" t="s">
        <v>267</v>
      </c>
      <c r="F47" s="1" t="s">
        <v>112</v>
      </c>
      <c r="G47" s="1">
        <v>68698</v>
      </c>
    </row>
    <row r="48" spans="1:34" x14ac:dyDescent="0.3">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268</v>
      </c>
      <c r="D48" s="1" t="s">
        <v>269</v>
      </c>
      <c r="E48" s="1" t="s">
        <v>270</v>
      </c>
      <c r="F48" s="1" t="s">
        <v>112</v>
      </c>
      <c r="G48" s="1">
        <v>36829</v>
      </c>
    </row>
    <row r="49" spans="1:10" x14ac:dyDescent="0.3">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271</v>
      </c>
      <c r="D49" s="1" t="s">
        <v>186</v>
      </c>
      <c r="E49" s="1" t="s">
        <v>272</v>
      </c>
      <c r="F49" s="1" t="s">
        <v>112</v>
      </c>
      <c r="G49" s="1">
        <v>10920</v>
      </c>
    </row>
    <row r="50" spans="1:10" x14ac:dyDescent="0.3">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273</v>
      </c>
    </row>
    <row r="51" spans="1:10" x14ac:dyDescent="0.3">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274</v>
      </c>
      <c r="D51" s="1" t="s">
        <v>275</v>
      </c>
      <c r="E51" s="1" t="s">
        <v>276</v>
      </c>
      <c r="F51" s="1" t="s">
        <v>112</v>
      </c>
      <c r="G51" s="1">
        <v>13596</v>
      </c>
    </row>
    <row r="52" spans="1:10" x14ac:dyDescent="0.3">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277</v>
      </c>
    </row>
    <row r="53" spans="1:10" x14ac:dyDescent="0.3">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278</v>
      </c>
      <c r="D53" s="1" t="s">
        <v>279</v>
      </c>
      <c r="E53" s="1" t="s">
        <v>280</v>
      </c>
      <c r="F53" s="1" t="s">
        <v>112</v>
      </c>
      <c r="G53" s="1">
        <v>19535</v>
      </c>
    </row>
    <row r="54" spans="1:10" x14ac:dyDescent="0.3">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281</v>
      </c>
      <c r="D54" s="1" t="s">
        <v>282</v>
      </c>
      <c r="E54" s="1" t="s">
        <v>283</v>
      </c>
      <c r="F54" s="1" t="s">
        <v>112</v>
      </c>
      <c r="G54" s="1">
        <v>43116</v>
      </c>
    </row>
    <row r="55" spans="1:10" x14ac:dyDescent="0.3">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284</v>
      </c>
      <c r="D55" s="1" t="s">
        <v>174</v>
      </c>
      <c r="E55" s="1" t="s">
        <v>285</v>
      </c>
      <c r="F55" s="1" t="s">
        <v>112</v>
      </c>
      <c r="G55" s="1">
        <v>16620</v>
      </c>
    </row>
    <row r="56" spans="1:10" x14ac:dyDescent="0.3">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286</v>
      </c>
      <c r="D56" s="1" t="s">
        <v>186</v>
      </c>
      <c r="E56" s="1" t="s">
        <v>287</v>
      </c>
      <c r="F56" s="1" t="s">
        <v>112</v>
      </c>
      <c r="G56" s="1">
        <v>11029</v>
      </c>
    </row>
    <row r="57" spans="1:10" x14ac:dyDescent="0.3">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288</v>
      </c>
      <c r="D57" s="1" t="s">
        <v>204</v>
      </c>
      <c r="E57" s="1">
        <v>63</v>
      </c>
      <c r="F57" s="1" t="s">
        <v>112</v>
      </c>
      <c r="G57" s="1">
        <v>12334</v>
      </c>
    </row>
    <row r="58" spans="1:10" x14ac:dyDescent="0.3">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289</v>
      </c>
      <c r="D58" s="1" t="s">
        <v>186</v>
      </c>
      <c r="E58" s="1" t="s">
        <v>290</v>
      </c>
      <c r="F58" s="1" t="s">
        <v>112</v>
      </c>
      <c r="G58" s="1">
        <v>10638</v>
      </c>
    </row>
    <row r="59" spans="1:10" x14ac:dyDescent="0.3">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10" x14ac:dyDescent="0.3">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229</v>
      </c>
      <c r="D60" s="1" t="s">
        <v>112</v>
      </c>
      <c r="E60" s="1" t="s">
        <v>230</v>
      </c>
      <c r="F60" s="1" t="s">
        <v>231</v>
      </c>
      <c r="G60" s="1" t="s">
        <v>232</v>
      </c>
      <c r="H60" s="1" t="s">
        <v>233</v>
      </c>
      <c r="I60" s="1" t="s">
        <v>234</v>
      </c>
      <c r="J60" s="1" t="s">
        <v>235</v>
      </c>
    </row>
    <row r="61" spans="1:10" x14ac:dyDescent="0.3">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291</v>
      </c>
      <c r="D61" s="1" t="s">
        <v>112</v>
      </c>
      <c r="E61" s="1" t="s">
        <v>292</v>
      </c>
      <c r="F61" s="1" t="s">
        <v>293</v>
      </c>
      <c r="G61" s="1" t="s">
        <v>294</v>
      </c>
      <c r="H61" s="1" t="s">
        <v>295</v>
      </c>
      <c r="I61" s="1">
        <v>24</v>
      </c>
      <c r="J61" s="1">
        <v>24</v>
      </c>
    </row>
    <row r="62" spans="1:10" x14ac:dyDescent="0.3">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10" x14ac:dyDescent="0.3">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10" x14ac:dyDescent="0.3">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3">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3">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3">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241</v>
      </c>
      <c r="D67" s="1" t="s">
        <v>110</v>
      </c>
      <c r="E67" s="1" t="s">
        <v>111</v>
      </c>
      <c r="F67" s="1" t="s">
        <v>112</v>
      </c>
      <c r="G67" s="1" t="s">
        <v>113</v>
      </c>
    </row>
    <row r="68" spans="1:7" x14ac:dyDescent="0.3">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296</v>
      </c>
      <c r="D68" s="1" t="s">
        <v>214</v>
      </c>
      <c r="E68" s="1" t="s">
        <v>297</v>
      </c>
      <c r="F68" s="1" t="s">
        <v>112</v>
      </c>
      <c r="G68" s="1">
        <v>26148</v>
      </c>
    </row>
    <row r="69" spans="1:7" x14ac:dyDescent="0.3">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298</v>
      </c>
      <c r="D69" s="1" t="s">
        <v>222</v>
      </c>
      <c r="E69" s="1" t="s">
        <v>299</v>
      </c>
      <c r="F69" s="1" t="s">
        <v>112</v>
      </c>
      <c r="G69" s="1">
        <v>14923</v>
      </c>
    </row>
    <row r="70" spans="1:7" x14ac:dyDescent="0.3">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300</v>
      </c>
    </row>
    <row r="71" spans="1:7" x14ac:dyDescent="0.3">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301</v>
      </c>
      <c r="D71" s="1" t="s">
        <v>302</v>
      </c>
      <c r="E71" s="1" t="s">
        <v>303</v>
      </c>
      <c r="F71" s="1" t="s">
        <v>112</v>
      </c>
      <c r="G71" s="1">
        <v>48272</v>
      </c>
    </row>
    <row r="72" spans="1:7" x14ac:dyDescent="0.3">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304</v>
      </c>
    </row>
    <row r="73" spans="1:7" x14ac:dyDescent="0.3">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305</v>
      </c>
      <c r="D73" s="1" t="s">
        <v>306</v>
      </c>
      <c r="E73" s="1" t="s">
        <v>307</v>
      </c>
      <c r="F73" s="1" t="s">
        <v>112</v>
      </c>
      <c r="G73" s="1">
        <v>49011</v>
      </c>
    </row>
    <row r="74" spans="1:7" x14ac:dyDescent="0.3">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308</v>
      </c>
      <c r="D74" s="1" t="s">
        <v>309</v>
      </c>
      <c r="E74" s="1" t="s">
        <v>310</v>
      </c>
      <c r="F74" s="1" t="s">
        <v>112</v>
      </c>
      <c r="G74" s="1">
        <v>133655</v>
      </c>
    </row>
    <row r="75" spans="1:7" x14ac:dyDescent="0.3">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311</v>
      </c>
      <c r="D75" s="1" t="s">
        <v>312</v>
      </c>
      <c r="E75" s="1" t="s">
        <v>313</v>
      </c>
      <c r="F75" s="1" t="s">
        <v>112</v>
      </c>
      <c r="G75" s="1">
        <v>103439</v>
      </c>
    </row>
    <row r="76" spans="1:7" x14ac:dyDescent="0.3">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314</v>
      </c>
      <c r="D76" s="1" t="s">
        <v>315</v>
      </c>
      <c r="E76" s="1" t="s">
        <v>316</v>
      </c>
      <c r="F76" s="1" t="s">
        <v>112</v>
      </c>
      <c r="G76" s="1">
        <v>99915</v>
      </c>
    </row>
    <row r="77" spans="1:7" x14ac:dyDescent="0.3">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317</v>
      </c>
      <c r="D77" s="1" t="s">
        <v>318</v>
      </c>
      <c r="E77" s="1" t="s">
        <v>319</v>
      </c>
      <c r="F77" s="1" t="s">
        <v>112</v>
      </c>
      <c r="G77" s="1">
        <v>411842</v>
      </c>
    </row>
    <row r="78" spans="1:7" x14ac:dyDescent="0.3">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320</v>
      </c>
      <c r="D78" s="1" t="s">
        <v>321</v>
      </c>
      <c r="E78" s="1" t="s">
        <v>322</v>
      </c>
      <c r="F78" s="1" t="s">
        <v>112</v>
      </c>
      <c r="G78" s="1">
        <v>165394</v>
      </c>
    </row>
    <row r="79" spans="1:7" x14ac:dyDescent="0.3">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323</v>
      </c>
      <c r="D79" s="1" t="s">
        <v>324</v>
      </c>
      <c r="E79" s="1" t="s">
        <v>325</v>
      </c>
      <c r="F79" s="1" t="s">
        <v>112</v>
      </c>
      <c r="G79" s="1">
        <v>233570</v>
      </c>
    </row>
    <row r="80" spans="1:7" x14ac:dyDescent="0.3">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326</v>
      </c>
      <c r="D80" s="1" t="s">
        <v>327</v>
      </c>
      <c r="E80" s="1" t="s">
        <v>328</v>
      </c>
      <c r="F80" s="1" t="s">
        <v>112</v>
      </c>
      <c r="G80" s="1">
        <v>181078</v>
      </c>
    </row>
    <row r="81" spans="1:10" x14ac:dyDescent="0.3">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329</v>
      </c>
    </row>
    <row r="82" spans="1:10" x14ac:dyDescent="0.3">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330</v>
      </c>
    </row>
    <row r="83" spans="1:10" x14ac:dyDescent="0.3">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331</v>
      </c>
      <c r="D83" s="1" t="s">
        <v>332</v>
      </c>
      <c r="E83" s="1" t="s">
        <v>333</v>
      </c>
      <c r="F83" s="1" t="s">
        <v>112</v>
      </c>
      <c r="G83" s="1">
        <v>73332</v>
      </c>
    </row>
    <row r="84" spans="1:10" x14ac:dyDescent="0.3">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334</v>
      </c>
      <c r="D84" s="1" t="s">
        <v>335</v>
      </c>
      <c r="E84" s="1" t="s">
        <v>336</v>
      </c>
      <c r="F84" s="1" t="s">
        <v>112</v>
      </c>
      <c r="G84" s="1">
        <v>28454</v>
      </c>
    </row>
    <row r="85" spans="1:10" x14ac:dyDescent="0.3">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337</v>
      </c>
      <c r="D85" s="1" t="s">
        <v>338</v>
      </c>
      <c r="E85" s="1" t="s">
        <v>339</v>
      </c>
      <c r="F85" s="1" t="s">
        <v>112</v>
      </c>
      <c r="G85" s="1">
        <v>72309</v>
      </c>
    </row>
    <row r="86" spans="1:10" x14ac:dyDescent="0.3">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340</v>
      </c>
      <c r="D86" s="1" t="s">
        <v>192</v>
      </c>
      <c r="E86" s="1" t="s">
        <v>341</v>
      </c>
      <c r="F86" s="1" t="s">
        <v>112</v>
      </c>
      <c r="G86" s="1">
        <v>20992</v>
      </c>
    </row>
    <row r="87" spans="1:10" x14ac:dyDescent="0.3">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342</v>
      </c>
    </row>
    <row r="88" spans="1:10" x14ac:dyDescent="0.3">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343</v>
      </c>
      <c r="D88" s="1" t="s">
        <v>275</v>
      </c>
      <c r="E88" s="1" t="s">
        <v>344</v>
      </c>
      <c r="F88" s="1" t="s">
        <v>112</v>
      </c>
      <c r="G88" s="1">
        <v>13553</v>
      </c>
    </row>
    <row r="89" spans="1:10" x14ac:dyDescent="0.3">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345</v>
      </c>
    </row>
    <row r="90" spans="1:10" x14ac:dyDescent="0.3">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346</v>
      </c>
    </row>
    <row r="91" spans="1:10" x14ac:dyDescent="0.3">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347</v>
      </c>
    </row>
    <row r="92" spans="1:10" x14ac:dyDescent="0.3">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10" x14ac:dyDescent="0.3">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229</v>
      </c>
      <c r="D93" s="1" t="s">
        <v>112</v>
      </c>
      <c r="E93" s="1" t="s">
        <v>230</v>
      </c>
      <c r="F93" s="1" t="s">
        <v>231</v>
      </c>
      <c r="G93" s="1" t="s">
        <v>232</v>
      </c>
      <c r="H93" s="1" t="s">
        <v>233</v>
      </c>
      <c r="I93" s="1" t="s">
        <v>234</v>
      </c>
      <c r="J93" s="1" t="s">
        <v>235</v>
      </c>
    </row>
    <row r="94" spans="1:10" x14ac:dyDescent="0.3">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348</v>
      </c>
      <c r="D94" s="1" t="s">
        <v>112</v>
      </c>
      <c r="E94" s="1" t="s">
        <v>349</v>
      </c>
      <c r="F94" s="1" t="s">
        <v>350</v>
      </c>
      <c r="G94" s="1" t="s">
        <v>351</v>
      </c>
      <c r="H94" s="1" t="s">
        <v>352</v>
      </c>
      <c r="I94" s="1">
        <v>24</v>
      </c>
      <c r="J94" s="1">
        <v>24</v>
      </c>
    </row>
    <row r="95" spans="1:10" x14ac:dyDescent="0.3">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10" x14ac:dyDescent="0.3">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3">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3">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3">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3">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241</v>
      </c>
      <c r="D100" s="1" t="s">
        <v>110</v>
      </c>
      <c r="E100" s="1" t="s">
        <v>111</v>
      </c>
      <c r="F100" s="1" t="s">
        <v>112</v>
      </c>
      <c r="G100" s="1" t="s">
        <v>113</v>
      </c>
    </row>
    <row r="101" spans="1:7" x14ac:dyDescent="0.3">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353</v>
      </c>
    </row>
    <row r="102" spans="1:7" x14ac:dyDescent="0.3">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354</v>
      </c>
    </row>
    <row r="103" spans="1:7" x14ac:dyDescent="0.3">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355</v>
      </c>
    </row>
    <row r="104" spans="1:7" x14ac:dyDescent="0.3">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356</v>
      </c>
    </row>
    <row r="105" spans="1:7" x14ac:dyDescent="0.3">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357</v>
      </c>
      <c r="D105" s="1" t="s">
        <v>358</v>
      </c>
      <c r="E105" s="1" t="s">
        <v>359</v>
      </c>
      <c r="F105" s="1" t="s">
        <v>112</v>
      </c>
      <c r="G105" s="1">
        <v>107790</v>
      </c>
    </row>
    <row r="106" spans="1:7" x14ac:dyDescent="0.3">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360</v>
      </c>
      <c r="D106" s="1" t="s">
        <v>361</v>
      </c>
      <c r="E106" s="1" t="s">
        <v>362</v>
      </c>
      <c r="F106" s="1" t="s">
        <v>112</v>
      </c>
      <c r="G106" s="1">
        <v>82251</v>
      </c>
    </row>
    <row r="107" spans="1:7" x14ac:dyDescent="0.3">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363</v>
      </c>
      <c r="D107" s="1" t="s">
        <v>364</v>
      </c>
      <c r="E107" s="1" t="s">
        <v>365</v>
      </c>
      <c r="F107" s="1" t="s">
        <v>112</v>
      </c>
      <c r="G107" s="1">
        <v>118166</v>
      </c>
    </row>
    <row r="108" spans="1:7" x14ac:dyDescent="0.3">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366</v>
      </c>
      <c r="D108" s="1" t="s">
        <v>361</v>
      </c>
      <c r="E108" s="1" t="s">
        <v>367</v>
      </c>
      <c r="F108" s="1" t="s">
        <v>112</v>
      </c>
      <c r="G108" s="1">
        <v>82142</v>
      </c>
    </row>
    <row r="109" spans="1:7" x14ac:dyDescent="0.3">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368</v>
      </c>
      <c r="D109" s="1" t="s">
        <v>309</v>
      </c>
      <c r="E109" s="1" t="s">
        <v>369</v>
      </c>
      <c r="F109" s="1" t="s">
        <v>112</v>
      </c>
      <c r="G109" s="1">
        <v>130022</v>
      </c>
    </row>
    <row r="110" spans="1:7" x14ac:dyDescent="0.3">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370</v>
      </c>
      <c r="D110" s="1" t="s">
        <v>371</v>
      </c>
      <c r="E110" s="1" t="s">
        <v>372</v>
      </c>
      <c r="F110" s="1" t="s">
        <v>112</v>
      </c>
      <c r="G110" s="1">
        <v>130436</v>
      </c>
    </row>
    <row r="111" spans="1:7" x14ac:dyDescent="0.3">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373</v>
      </c>
      <c r="D111" s="1" t="s">
        <v>194</v>
      </c>
      <c r="E111" s="1" t="s">
        <v>374</v>
      </c>
      <c r="F111" s="1" t="s">
        <v>112</v>
      </c>
      <c r="G111" s="1">
        <v>76073</v>
      </c>
    </row>
    <row r="112" spans="1:7" x14ac:dyDescent="0.3">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375</v>
      </c>
      <c r="D112" s="1" t="s">
        <v>376</v>
      </c>
      <c r="E112" s="1" t="s">
        <v>377</v>
      </c>
      <c r="F112" s="1" t="s">
        <v>112</v>
      </c>
      <c r="G112" s="1">
        <v>182514</v>
      </c>
    </row>
    <row r="113" spans="1:10" x14ac:dyDescent="0.3">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378</v>
      </c>
      <c r="D113" s="1" t="s">
        <v>171</v>
      </c>
      <c r="E113" s="1" t="s">
        <v>379</v>
      </c>
      <c r="F113" s="1" t="s">
        <v>112</v>
      </c>
      <c r="G113" s="1">
        <v>17599</v>
      </c>
    </row>
    <row r="114" spans="1:10" x14ac:dyDescent="0.3">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380</v>
      </c>
      <c r="D114" s="1" t="s">
        <v>204</v>
      </c>
      <c r="E114" s="1" t="s">
        <v>381</v>
      </c>
      <c r="F114" s="1" t="s">
        <v>112</v>
      </c>
      <c r="G114" s="1">
        <v>12356</v>
      </c>
    </row>
    <row r="115" spans="1:10" x14ac:dyDescent="0.3">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382</v>
      </c>
      <c r="D115" s="1" t="s">
        <v>383</v>
      </c>
      <c r="E115" s="1">
        <v>65</v>
      </c>
      <c r="F115" s="1" t="s">
        <v>112</v>
      </c>
      <c r="G115" s="1">
        <v>9898</v>
      </c>
    </row>
    <row r="116" spans="1:10" x14ac:dyDescent="0.3">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384</v>
      </c>
      <c r="D116" s="1" t="s">
        <v>385</v>
      </c>
      <c r="E116" s="1" t="s">
        <v>386</v>
      </c>
      <c r="F116" s="1" t="s">
        <v>112</v>
      </c>
      <c r="G116" s="1">
        <v>171920</v>
      </c>
    </row>
    <row r="117" spans="1:10" x14ac:dyDescent="0.3">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387</v>
      </c>
      <c r="D117" s="1" t="s">
        <v>388</v>
      </c>
      <c r="E117" s="1" t="s">
        <v>389</v>
      </c>
      <c r="F117" s="1" t="s">
        <v>112</v>
      </c>
      <c r="G117" s="1">
        <v>92301</v>
      </c>
    </row>
    <row r="118" spans="1:10" x14ac:dyDescent="0.3">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390</v>
      </c>
      <c r="D118" s="1" t="s">
        <v>376</v>
      </c>
      <c r="E118" s="1" t="s">
        <v>391</v>
      </c>
      <c r="F118" s="1" t="s">
        <v>112</v>
      </c>
      <c r="G118" s="1">
        <v>182949</v>
      </c>
    </row>
    <row r="119" spans="1:10" x14ac:dyDescent="0.3">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392</v>
      </c>
      <c r="D119" s="1" t="s">
        <v>393</v>
      </c>
      <c r="E119" s="1" t="s">
        <v>394</v>
      </c>
      <c r="F119" s="1" t="s">
        <v>112</v>
      </c>
      <c r="G119" s="1">
        <v>377732</v>
      </c>
    </row>
    <row r="120" spans="1:10" x14ac:dyDescent="0.3">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395</v>
      </c>
      <c r="D120" s="1" t="s">
        <v>396</v>
      </c>
      <c r="E120" s="1" t="s">
        <v>397</v>
      </c>
      <c r="F120" s="1" t="s">
        <v>112</v>
      </c>
      <c r="G120" s="1">
        <v>65696</v>
      </c>
    </row>
    <row r="121" spans="1:10" x14ac:dyDescent="0.3">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398</v>
      </c>
      <c r="D121" s="1" t="s">
        <v>214</v>
      </c>
      <c r="E121" s="1" t="s">
        <v>399</v>
      </c>
      <c r="F121" s="1" t="s">
        <v>112</v>
      </c>
      <c r="G121" s="1">
        <v>26061</v>
      </c>
    </row>
    <row r="122" spans="1:10" x14ac:dyDescent="0.3">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400</v>
      </c>
      <c r="D122" s="1" t="s">
        <v>401</v>
      </c>
      <c r="E122" s="1" t="s">
        <v>402</v>
      </c>
      <c r="F122" s="1" t="s">
        <v>112</v>
      </c>
      <c r="G122" s="1">
        <v>148013</v>
      </c>
    </row>
    <row r="123" spans="1:10" x14ac:dyDescent="0.3">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403</v>
      </c>
      <c r="D123" s="1" t="s">
        <v>404</v>
      </c>
      <c r="E123" s="1">
        <v>66</v>
      </c>
      <c r="F123" s="1" t="s">
        <v>112</v>
      </c>
      <c r="G123" s="1">
        <v>139268</v>
      </c>
    </row>
    <row r="124" spans="1:10" x14ac:dyDescent="0.3">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405</v>
      </c>
      <c r="D124" s="1" t="s">
        <v>388</v>
      </c>
      <c r="E124" s="1" t="s">
        <v>406</v>
      </c>
      <c r="F124" s="1" t="s">
        <v>112</v>
      </c>
      <c r="G124" s="1">
        <v>98479</v>
      </c>
    </row>
    <row r="125" spans="1:10" x14ac:dyDescent="0.3">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10" x14ac:dyDescent="0.3">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229</v>
      </c>
      <c r="D126" s="1" t="s">
        <v>112</v>
      </c>
      <c r="E126" s="1" t="s">
        <v>230</v>
      </c>
      <c r="F126" s="1" t="s">
        <v>231</v>
      </c>
      <c r="G126" s="1" t="s">
        <v>232</v>
      </c>
      <c r="H126" s="1" t="s">
        <v>233</v>
      </c>
      <c r="I126" s="1" t="s">
        <v>234</v>
      </c>
      <c r="J126" s="1" t="s">
        <v>235</v>
      </c>
    </row>
    <row r="127" spans="1:10" x14ac:dyDescent="0.3">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407</v>
      </c>
      <c r="D127" s="1" t="s">
        <v>112</v>
      </c>
      <c r="E127" s="1" t="s">
        <v>408</v>
      </c>
      <c r="F127" s="1" t="s">
        <v>409</v>
      </c>
      <c r="G127" s="1" t="s">
        <v>410</v>
      </c>
      <c r="H127" s="1" t="s">
        <v>411</v>
      </c>
      <c r="I127" s="1">
        <v>24</v>
      </c>
      <c r="J127" s="1">
        <v>24</v>
      </c>
    </row>
    <row r="128" spans="1:10" x14ac:dyDescent="0.3">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3">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3">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3">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3">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3">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241</v>
      </c>
      <c r="D133" s="1" t="s">
        <v>110</v>
      </c>
      <c r="E133" s="1" t="s">
        <v>111</v>
      </c>
      <c r="F133" s="1" t="s">
        <v>112</v>
      </c>
      <c r="G133" s="1" t="s">
        <v>113</v>
      </c>
    </row>
    <row r="134" spans="1:7" x14ac:dyDescent="0.3">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412</v>
      </c>
      <c r="D134" s="1" t="s">
        <v>413</v>
      </c>
      <c r="E134" s="1" t="s">
        <v>414</v>
      </c>
      <c r="F134" s="1" t="s">
        <v>112</v>
      </c>
      <c r="G134" s="1">
        <v>882311</v>
      </c>
    </row>
    <row r="135" spans="1:7" x14ac:dyDescent="0.3">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415</v>
      </c>
      <c r="D135" s="1" t="s">
        <v>416</v>
      </c>
      <c r="E135" s="1" t="s">
        <v>417</v>
      </c>
      <c r="F135" s="1" t="s">
        <v>112</v>
      </c>
      <c r="G135" s="1">
        <v>842327</v>
      </c>
    </row>
    <row r="136" spans="1:7" x14ac:dyDescent="0.3">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418</v>
      </c>
      <c r="D136" s="1" t="s">
        <v>419</v>
      </c>
      <c r="E136" s="1" t="s">
        <v>420</v>
      </c>
      <c r="F136" s="1" t="s">
        <v>112</v>
      </c>
      <c r="G136" s="1">
        <v>1002435</v>
      </c>
    </row>
    <row r="137" spans="1:7" x14ac:dyDescent="0.3">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421</v>
      </c>
      <c r="D137" s="1" t="s">
        <v>422</v>
      </c>
      <c r="E137" s="1" t="s">
        <v>423</v>
      </c>
      <c r="F137" s="1" t="s">
        <v>112</v>
      </c>
      <c r="G137" s="1">
        <v>278144</v>
      </c>
    </row>
    <row r="138" spans="1:7" x14ac:dyDescent="0.3">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424</v>
      </c>
      <c r="D138" s="1" t="s">
        <v>425</v>
      </c>
      <c r="E138" s="1" t="s">
        <v>426</v>
      </c>
      <c r="F138" s="1" t="s">
        <v>112</v>
      </c>
      <c r="G138" s="1">
        <v>368487</v>
      </c>
    </row>
    <row r="139" spans="1:7" x14ac:dyDescent="0.3">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427</v>
      </c>
      <c r="D139" s="1" t="s">
        <v>428</v>
      </c>
      <c r="E139" s="1" t="s">
        <v>429</v>
      </c>
      <c r="F139" s="1" t="s">
        <v>112</v>
      </c>
      <c r="G139" s="1">
        <v>219256</v>
      </c>
    </row>
    <row r="140" spans="1:7" x14ac:dyDescent="0.3">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430</v>
      </c>
      <c r="D140" s="1" t="s">
        <v>431</v>
      </c>
      <c r="E140" s="1" t="s">
        <v>432</v>
      </c>
      <c r="F140" s="1" t="s">
        <v>112</v>
      </c>
      <c r="G140" s="1">
        <v>937674</v>
      </c>
    </row>
    <row r="141" spans="1:7" x14ac:dyDescent="0.3">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433</v>
      </c>
      <c r="D141" s="1" t="s">
        <v>413</v>
      </c>
      <c r="E141" s="1" t="s">
        <v>434</v>
      </c>
      <c r="F141" s="1" t="s">
        <v>112</v>
      </c>
      <c r="G141" s="1">
        <v>961233</v>
      </c>
    </row>
    <row r="142" spans="1:7" x14ac:dyDescent="0.3">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435</v>
      </c>
      <c r="D142" s="1" t="s">
        <v>436</v>
      </c>
      <c r="E142" s="1" t="s">
        <v>437</v>
      </c>
      <c r="F142" s="1" t="s">
        <v>112</v>
      </c>
      <c r="G142" s="1">
        <v>976200</v>
      </c>
    </row>
    <row r="143" spans="1:7" x14ac:dyDescent="0.3">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438</v>
      </c>
      <c r="D143" s="1" t="s">
        <v>439</v>
      </c>
      <c r="E143" s="1" t="s">
        <v>440</v>
      </c>
      <c r="F143" s="1" t="s">
        <v>112</v>
      </c>
      <c r="G143" s="1">
        <v>3615713</v>
      </c>
    </row>
    <row r="144" spans="1:7" x14ac:dyDescent="0.3">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441</v>
      </c>
      <c r="D144" s="1" t="s">
        <v>442</v>
      </c>
      <c r="E144" s="1" t="s">
        <v>443</v>
      </c>
      <c r="F144" s="1" t="s">
        <v>112</v>
      </c>
      <c r="G144" s="1">
        <v>3359150</v>
      </c>
    </row>
    <row r="145" spans="1:10" x14ac:dyDescent="0.3">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444</v>
      </c>
      <c r="D145" s="1" t="s">
        <v>445</v>
      </c>
      <c r="E145" s="1" t="s">
        <v>446</v>
      </c>
      <c r="F145" s="1" t="s">
        <v>112</v>
      </c>
      <c r="G145" s="1">
        <v>4240351</v>
      </c>
    </row>
    <row r="146" spans="1:10" x14ac:dyDescent="0.3">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447</v>
      </c>
      <c r="D146" s="1" t="s">
        <v>448</v>
      </c>
      <c r="E146" s="1" t="s">
        <v>449</v>
      </c>
      <c r="F146" s="1" t="s">
        <v>112</v>
      </c>
      <c r="G146" s="1">
        <v>382692</v>
      </c>
    </row>
    <row r="147" spans="1:10" x14ac:dyDescent="0.3">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450</v>
      </c>
      <c r="D147" s="1" t="s">
        <v>451</v>
      </c>
      <c r="E147" s="1" t="s">
        <v>452</v>
      </c>
      <c r="F147" s="1" t="s">
        <v>112</v>
      </c>
      <c r="G147" s="1">
        <v>282037</v>
      </c>
    </row>
    <row r="148" spans="1:10" x14ac:dyDescent="0.3">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453</v>
      </c>
      <c r="D148" s="1" t="s">
        <v>454</v>
      </c>
      <c r="E148" s="1" t="s">
        <v>455</v>
      </c>
      <c r="F148" s="1" t="s">
        <v>112</v>
      </c>
      <c r="G148" s="1">
        <v>469925</v>
      </c>
    </row>
    <row r="149" spans="1:10" x14ac:dyDescent="0.3">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456</v>
      </c>
      <c r="D149" s="1" t="s">
        <v>457</v>
      </c>
      <c r="E149" s="1" t="s">
        <v>458</v>
      </c>
      <c r="F149" s="1" t="s">
        <v>112</v>
      </c>
      <c r="G149" s="1">
        <v>1005372</v>
      </c>
    </row>
    <row r="150" spans="1:10" x14ac:dyDescent="0.3">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459</v>
      </c>
      <c r="D150" s="1" t="s">
        <v>460</v>
      </c>
      <c r="E150" s="1" t="s">
        <v>461</v>
      </c>
      <c r="F150" s="1" t="s">
        <v>112</v>
      </c>
      <c r="G150" s="1">
        <v>800690</v>
      </c>
    </row>
    <row r="151" spans="1:10" x14ac:dyDescent="0.3">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462</v>
      </c>
      <c r="D151" s="1" t="s">
        <v>463</v>
      </c>
      <c r="E151" s="1" t="s">
        <v>464</v>
      </c>
      <c r="F151" s="1" t="s">
        <v>112</v>
      </c>
      <c r="G151" s="1">
        <v>726728</v>
      </c>
    </row>
    <row r="152" spans="1:10" x14ac:dyDescent="0.3">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465</v>
      </c>
      <c r="D152" s="1" t="s">
        <v>376</v>
      </c>
      <c r="E152" s="1" t="s">
        <v>466</v>
      </c>
      <c r="F152" s="1" t="s">
        <v>112</v>
      </c>
      <c r="G152" s="1">
        <v>179708</v>
      </c>
    </row>
    <row r="153" spans="1:10" x14ac:dyDescent="0.3">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467</v>
      </c>
      <c r="D153" s="1" t="s">
        <v>468</v>
      </c>
      <c r="E153" s="1" t="s">
        <v>469</v>
      </c>
      <c r="F153" s="1" t="s">
        <v>112</v>
      </c>
      <c r="G153" s="1">
        <v>235049</v>
      </c>
    </row>
    <row r="154" spans="1:10" x14ac:dyDescent="0.3">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470</v>
      </c>
      <c r="D154" s="1" t="s">
        <v>471</v>
      </c>
      <c r="E154" s="1" t="s">
        <v>472</v>
      </c>
      <c r="F154" s="1" t="s">
        <v>112</v>
      </c>
      <c r="G154" s="1">
        <v>287672</v>
      </c>
    </row>
    <row r="155" spans="1:10" x14ac:dyDescent="0.3">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473</v>
      </c>
      <c r="D155" s="1" t="s">
        <v>474</v>
      </c>
      <c r="E155" s="1" t="s">
        <v>475</v>
      </c>
      <c r="F155" s="1" t="s">
        <v>112</v>
      </c>
      <c r="G155" s="1">
        <v>1741758</v>
      </c>
    </row>
    <row r="156" spans="1:10" x14ac:dyDescent="0.3">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476</v>
      </c>
      <c r="D156" s="1" t="s">
        <v>477</v>
      </c>
      <c r="E156" s="1" t="s">
        <v>478</v>
      </c>
      <c r="F156" s="1" t="s">
        <v>112</v>
      </c>
      <c r="G156" s="1">
        <v>1962167</v>
      </c>
    </row>
    <row r="157" spans="1:10" x14ac:dyDescent="0.3">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479</v>
      </c>
      <c r="D157" s="1" t="s">
        <v>480</v>
      </c>
      <c r="E157" s="1" t="s">
        <v>481</v>
      </c>
      <c r="F157" s="1" t="s">
        <v>112</v>
      </c>
      <c r="G157" s="1">
        <v>1733339</v>
      </c>
    </row>
    <row r="158" spans="1:10" x14ac:dyDescent="0.3">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10" x14ac:dyDescent="0.3">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229</v>
      </c>
      <c r="D159" s="1" t="s">
        <v>112</v>
      </c>
      <c r="E159" s="1" t="s">
        <v>230</v>
      </c>
      <c r="F159" s="1" t="s">
        <v>231</v>
      </c>
      <c r="G159" s="1" t="s">
        <v>232</v>
      </c>
      <c r="H159" s="1" t="s">
        <v>233</v>
      </c>
      <c r="I159" s="1" t="s">
        <v>234</v>
      </c>
      <c r="J159" s="1" t="s">
        <v>235</v>
      </c>
    </row>
    <row r="160" spans="1:10" x14ac:dyDescent="0.3">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482</v>
      </c>
      <c r="D160" s="1" t="s">
        <v>112</v>
      </c>
      <c r="E160" s="1" t="s">
        <v>483</v>
      </c>
      <c r="F160" s="1" t="s">
        <v>484</v>
      </c>
      <c r="G160" s="1" t="s">
        <v>485</v>
      </c>
      <c r="H160" s="1" t="s">
        <v>486</v>
      </c>
      <c r="I160" s="1">
        <v>24</v>
      </c>
      <c r="J160" s="1">
        <v>24</v>
      </c>
    </row>
    <row r="161" spans="1:7" x14ac:dyDescent="0.3">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3">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3">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3">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3">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3">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241</v>
      </c>
      <c r="D166" s="1" t="s">
        <v>110</v>
      </c>
      <c r="E166" s="1" t="s">
        <v>111</v>
      </c>
      <c r="F166" s="1" t="s">
        <v>112</v>
      </c>
      <c r="G166" s="1" t="s">
        <v>113</v>
      </c>
    </row>
    <row r="167" spans="1:7" x14ac:dyDescent="0.3">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487</v>
      </c>
      <c r="D167" s="1" t="s">
        <v>488</v>
      </c>
      <c r="E167" s="1" t="s">
        <v>489</v>
      </c>
      <c r="F167" s="1" t="s">
        <v>112</v>
      </c>
      <c r="G167" s="1">
        <v>1941979</v>
      </c>
    </row>
    <row r="168" spans="1:7" x14ac:dyDescent="0.3">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490</v>
      </c>
      <c r="D168" s="1" t="s">
        <v>491</v>
      </c>
      <c r="E168" s="1" t="s">
        <v>492</v>
      </c>
      <c r="F168" s="1" t="s">
        <v>112</v>
      </c>
      <c r="G168" s="1">
        <v>1587741</v>
      </c>
    </row>
    <row r="169" spans="1:7" x14ac:dyDescent="0.3">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493</v>
      </c>
      <c r="D169" s="1" t="s">
        <v>494</v>
      </c>
      <c r="E169" s="1" t="s">
        <v>495</v>
      </c>
      <c r="F169" s="1" t="s">
        <v>112</v>
      </c>
      <c r="G169" s="1">
        <v>1465855</v>
      </c>
    </row>
    <row r="170" spans="1:7" x14ac:dyDescent="0.3">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496</v>
      </c>
      <c r="D170" s="1" t="s">
        <v>497</v>
      </c>
      <c r="E170" s="1" t="s">
        <v>498</v>
      </c>
      <c r="F170" s="1" t="s">
        <v>112</v>
      </c>
      <c r="G170" s="1">
        <v>2729770</v>
      </c>
    </row>
    <row r="171" spans="1:7" x14ac:dyDescent="0.3">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499</v>
      </c>
      <c r="D171" s="1" t="s">
        <v>500</v>
      </c>
      <c r="E171" s="1" t="s">
        <v>501</v>
      </c>
      <c r="F171" s="1" t="s">
        <v>112</v>
      </c>
      <c r="G171" s="1">
        <v>1700404</v>
      </c>
    </row>
    <row r="172" spans="1:7" x14ac:dyDescent="0.3">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502</v>
      </c>
      <c r="D172" s="1" t="s">
        <v>503</v>
      </c>
      <c r="E172" s="1" t="s">
        <v>504</v>
      </c>
      <c r="F172" s="1" t="s">
        <v>112</v>
      </c>
      <c r="G172" s="1">
        <v>2059015</v>
      </c>
    </row>
    <row r="173" spans="1:7" x14ac:dyDescent="0.3">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505</v>
      </c>
      <c r="D173" s="1" t="s">
        <v>506</v>
      </c>
      <c r="E173" s="1" t="s">
        <v>507</v>
      </c>
      <c r="F173" s="1" t="s">
        <v>112</v>
      </c>
      <c r="G173" s="1">
        <v>3116443</v>
      </c>
    </row>
    <row r="174" spans="1:7" x14ac:dyDescent="0.3">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508</v>
      </c>
      <c r="D174" s="1" t="s">
        <v>509</v>
      </c>
      <c r="E174" s="1" t="s">
        <v>510</v>
      </c>
      <c r="F174" s="1" t="s">
        <v>112</v>
      </c>
      <c r="G174" s="1">
        <v>2614083</v>
      </c>
    </row>
    <row r="175" spans="1:7" x14ac:dyDescent="0.3">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511</v>
      </c>
      <c r="D175" s="1" t="s">
        <v>512</v>
      </c>
      <c r="E175" s="1" t="s">
        <v>513</v>
      </c>
      <c r="F175" s="1" t="s">
        <v>112</v>
      </c>
      <c r="G175" s="1">
        <v>2293868</v>
      </c>
    </row>
    <row r="176" spans="1:7" x14ac:dyDescent="0.3">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514</v>
      </c>
    </row>
    <row r="177" spans="1:10" x14ac:dyDescent="0.3">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515</v>
      </c>
      <c r="D177" s="1" t="s">
        <v>516</v>
      </c>
      <c r="E177" s="1" t="s">
        <v>517</v>
      </c>
      <c r="F177" s="1" t="s">
        <v>112</v>
      </c>
      <c r="G177" s="1">
        <v>2736601</v>
      </c>
    </row>
    <row r="178" spans="1:10" x14ac:dyDescent="0.3">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518</v>
      </c>
      <c r="D178" s="1" t="s">
        <v>519</v>
      </c>
      <c r="E178" s="1" t="s">
        <v>520</v>
      </c>
      <c r="F178" s="1" t="s">
        <v>112</v>
      </c>
      <c r="G178" s="1">
        <v>2122840</v>
      </c>
    </row>
    <row r="179" spans="1:10" x14ac:dyDescent="0.3">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521</v>
      </c>
      <c r="D179" s="1" t="s">
        <v>522</v>
      </c>
      <c r="E179" s="1" t="s">
        <v>523</v>
      </c>
      <c r="F179" s="1" t="s">
        <v>112</v>
      </c>
      <c r="G179" s="1">
        <v>1335202</v>
      </c>
    </row>
    <row r="180" spans="1:10" x14ac:dyDescent="0.3">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524</v>
      </c>
      <c r="D180" s="1" t="s">
        <v>525</v>
      </c>
      <c r="E180" s="1" t="s">
        <v>526</v>
      </c>
      <c r="F180" s="1" t="s">
        <v>112</v>
      </c>
      <c r="G180" s="1">
        <v>1660812</v>
      </c>
    </row>
    <row r="181" spans="1:10" x14ac:dyDescent="0.3">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527</v>
      </c>
      <c r="D181" s="1" t="s">
        <v>528</v>
      </c>
      <c r="E181" s="1" t="s">
        <v>529</v>
      </c>
      <c r="F181" s="1" t="s">
        <v>112</v>
      </c>
      <c r="G181" s="1">
        <v>1433159</v>
      </c>
    </row>
    <row r="182" spans="1:10" x14ac:dyDescent="0.3">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530</v>
      </c>
      <c r="D182" s="1" t="s">
        <v>531</v>
      </c>
      <c r="E182" s="1" t="s">
        <v>532</v>
      </c>
      <c r="F182" s="1" t="s">
        <v>112</v>
      </c>
      <c r="G182" s="1">
        <v>3892269</v>
      </c>
    </row>
    <row r="183" spans="1:10" x14ac:dyDescent="0.3">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533</v>
      </c>
      <c r="D183" s="1" t="s">
        <v>534</v>
      </c>
      <c r="E183" s="1" t="s">
        <v>535</v>
      </c>
      <c r="F183" s="1" t="s">
        <v>112</v>
      </c>
      <c r="G183" s="1">
        <v>4288361</v>
      </c>
    </row>
    <row r="184" spans="1:10" x14ac:dyDescent="0.3">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536</v>
      </c>
      <c r="D184" s="1" t="s">
        <v>537</v>
      </c>
      <c r="E184" s="1" t="s">
        <v>538</v>
      </c>
      <c r="F184" s="1" t="s">
        <v>112</v>
      </c>
      <c r="G184" s="1">
        <v>4206132</v>
      </c>
    </row>
    <row r="185" spans="1:10" x14ac:dyDescent="0.3">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539</v>
      </c>
      <c r="D185" s="1" t="s">
        <v>540</v>
      </c>
      <c r="E185" s="1" t="s">
        <v>541</v>
      </c>
      <c r="F185" s="1" t="s">
        <v>112</v>
      </c>
      <c r="G185" s="1">
        <v>2417604</v>
      </c>
    </row>
    <row r="186" spans="1:10" x14ac:dyDescent="0.3">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542</v>
      </c>
      <c r="D186" s="1" t="s">
        <v>543</v>
      </c>
      <c r="E186" s="1" t="s">
        <v>544</v>
      </c>
      <c r="F186" s="1" t="s">
        <v>112</v>
      </c>
      <c r="G186" s="1">
        <v>2346969</v>
      </c>
    </row>
    <row r="187" spans="1:10" x14ac:dyDescent="0.3">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545</v>
      </c>
      <c r="D187" s="1" t="s">
        <v>546</v>
      </c>
      <c r="E187" s="1" t="s">
        <v>547</v>
      </c>
      <c r="F187" s="1" t="s">
        <v>112</v>
      </c>
      <c r="G187" s="1">
        <v>2462068</v>
      </c>
    </row>
    <row r="188" spans="1:10" x14ac:dyDescent="0.3">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548</v>
      </c>
      <c r="D188" s="1" t="s">
        <v>525</v>
      </c>
      <c r="E188" s="1" t="s">
        <v>549</v>
      </c>
      <c r="F188" s="1" t="s">
        <v>112</v>
      </c>
      <c r="G188" s="1">
        <v>1630574</v>
      </c>
    </row>
    <row r="189" spans="1:10" x14ac:dyDescent="0.3">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550</v>
      </c>
      <c r="D189" s="1" t="s">
        <v>551</v>
      </c>
      <c r="E189" s="1" t="s">
        <v>552</v>
      </c>
      <c r="F189" s="1" t="s">
        <v>112</v>
      </c>
      <c r="G189" s="1">
        <v>1662400</v>
      </c>
    </row>
    <row r="190" spans="1:10" x14ac:dyDescent="0.3">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553</v>
      </c>
      <c r="D190" s="1" t="s">
        <v>554</v>
      </c>
      <c r="E190" s="1" t="s">
        <v>555</v>
      </c>
      <c r="F190" s="1" t="s">
        <v>112</v>
      </c>
      <c r="G190" s="1">
        <v>1659420</v>
      </c>
    </row>
    <row r="191" spans="1:10" x14ac:dyDescent="0.3">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10" x14ac:dyDescent="0.3">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229</v>
      </c>
      <c r="D192" s="1" t="s">
        <v>112</v>
      </c>
      <c r="E192" s="1" t="s">
        <v>230</v>
      </c>
      <c r="F192" s="1" t="s">
        <v>231</v>
      </c>
      <c r="G192" s="1" t="s">
        <v>232</v>
      </c>
      <c r="H192" s="1" t="s">
        <v>233</v>
      </c>
      <c r="I192" s="1" t="s">
        <v>234</v>
      </c>
      <c r="J192" s="1" t="s">
        <v>235</v>
      </c>
    </row>
    <row r="193" spans="1:10" x14ac:dyDescent="0.3">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556</v>
      </c>
      <c r="D193" s="1" t="s">
        <v>112</v>
      </c>
      <c r="E193" s="1" t="s">
        <v>557</v>
      </c>
      <c r="F193" s="1" t="s">
        <v>558</v>
      </c>
      <c r="G193" s="1">
        <v>2325286</v>
      </c>
      <c r="H193" s="1" t="s">
        <v>559</v>
      </c>
      <c r="I193" s="1">
        <v>24</v>
      </c>
      <c r="J193" s="1">
        <v>24</v>
      </c>
    </row>
    <row r="194" spans="1:10" x14ac:dyDescent="0.3">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10" x14ac:dyDescent="0.3">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10" x14ac:dyDescent="0.3">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10" x14ac:dyDescent="0.3">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10" x14ac:dyDescent="0.3">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10" x14ac:dyDescent="0.3">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241</v>
      </c>
      <c r="D199" s="1" t="s">
        <v>110</v>
      </c>
      <c r="E199" s="1" t="s">
        <v>111</v>
      </c>
      <c r="F199" s="1" t="s">
        <v>112</v>
      </c>
      <c r="G199" s="1" t="s">
        <v>113</v>
      </c>
    </row>
    <row r="200" spans="1:10" x14ac:dyDescent="0.3">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560</v>
      </c>
    </row>
    <row r="201" spans="1:10" x14ac:dyDescent="0.3">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561</v>
      </c>
    </row>
    <row r="202" spans="1:10" x14ac:dyDescent="0.3">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562</v>
      </c>
    </row>
    <row r="203" spans="1:10" x14ac:dyDescent="0.3">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563</v>
      </c>
      <c r="D203" s="1" t="s">
        <v>564</v>
      </c>
      <c r="E203" s="1" t="s">
        <v>565</v>
      </c>
      <c r="F203" s="1" t="s">
        <v>112</v>
      </c>
      <c r="G203" s="1">
        <v>7858957</v>
      </c>
    </row>
    <row r="204" spans="1:10" x14ac:dyDescent="0.3">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566</v>
      </c>
      <c r="D204" s="1" t="s">
        <v>567</v>
      </c>
      <c r="E204" s="1" t="s">
        <v>568</v>
      </c>
      <c r="F204" s="1" t="s">
        <v>112</v>
      </c>
      <c r="G204" s="1">
        <v>7772269</v>
      </c>
    </row>
    <row r="205" spans="1:10" x14ac:dyDescent="0.3">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569</v>
      </c>
      <c r="D205" s="1" t="s">
        <v>570</v>
      </c>
      <c r="E205" s="1" t="s">
        <v>571</v>
      </c>
      <c r="F205" s="1" t="s">
        <v>112</v>
      </c>
      <c r="G205" s="1">
        <v>8040753</v>
      </c>
    </row>
    <row r="206" spans="1:10" x14ac:dyDescent="0.3">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572</v>
      </c>
      <c r="D206" s="1" t="s">
        <v>573</v>
      </c>
      <c r="E206" s="1" t="s">
        <v>574</v>
      </c>
      <c r="F206" s="1" t="s">
        <v>112</v>
      </c>
      <c r="G206" s="1">
        <v>6437589</v>
      </c>
    </row>
    <row r="207" spans="1:10" x14ac:dyDescent="0.3">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575</v>
      </c>
      <c r="D207" s="1" t="s">
        <v>576</v>
      </c>
      <c r="E207" s="1" t="s">
        <v>577</v>
      </c>
      <c r="F207" s="1" t="s">
        <v>112</v>
      </c>
      <c r="G207" s="1">
        <v>6168691</v>
      </c>
    </row>
    <row r="208" spans="1:10" x14ac:dyDescent="0.3">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578</v>
      </c>
      <c r="D208" s="1" t="s">
        <v>579</v>
      </c>
      <c r="E208" s="1" t="s">
        <v>580</v>
      </c>
      <c r="F208" s="1" t="s">
        <v>112</v>
      </c>
      <c r="G208" s="1">
        <v>6440895</v>
      </c>
    </row>
    <row r="209" spans="1:7" x14ac:dyDescent="0.3">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581</v>
      </c>
      <c r="D209" s="1" t="s">
        <v>582</v>
      </c>
      <c r="E209" s="1" t="s">
        <v>583</v>
      </c>
      <c r="F209" s="1" t="s">
        <v>112</v>
      </c>
      <c r="G209" s="1">
        <v>6060922</v>
      </c>
    </row>
    <row r="210" spans="1:7" x14ac:dyDescent="0.3">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584</v>
      </c>
      <c r="D210" s="1" t="s">
        <v>585</v>
      </c>
      <c r="E210" s="1" t="s">
        <v>586</v>
      </c>
      <c r="F210" s="1" t="s">
        <v>112</v>
      </c>
      <c r="G210" s="1">
        <v>5844168</v>
      </c>
    </row>
    <row r="211" spans="1:7" x14ac:dyDescent="0.3">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587</v>
      </c>
      <c r="D211" s="1" t="s">
        <v>588</v>
      </c>
      <c r="E211" s="1" t="s">
        <v>589</v>
      </c>
      <c r="F211" s="1" t="s">
        <v>112</v>
      </c>
      <c r="G211" s="1">
        <v>5530174</v>
      </c>
    </row>
    <row r="212" spans="1:7" x14ac:dyDescent="0.3">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590</v>
      </c>
      <c r="D212" s="1" t="s">
        <v>591</v>
      </c>
      <c r="E212" s="1" t="s">
        <v>592</v>
      </c>
      <c r="F212" s="1" t="s">
        <v>112</v>
      </c>
      <c r="G212" s="1">
        <v>4497132</v>
      </c>
    </row>
    <row r="213" spans="1:7" x14ac:dyDescent="0.3">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593</v>
      </c>
      <c r="D213" s="1" t="s">
        <v>531</v>
      </c>
      <c r="E213" s="1" t="s">
        <v>594</v>
      </c>
      <c r="F213" s="1" t="s">
        <v>112</v>
      </c>
      <c r="G213" s="1">
        <v>4571573</v>
      </c>
    </row>
    <row r="214" spans="1:7" x14ac:dyDescent="0.3">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595</v>
      </c>
      <c r="D214" s="1" t="s">
        <v>596</v>
      </c>
      <c r="E214" s="1" t="s">
        <v>597</v>
      </c>
      <c r="F214" s="1" t="s">
        <v>112</v>
      </c>
      <c r="G214" s="1">
        <v>5242916</v>
      </c>
    </row>
    <row r="215" spans="1:7" x14ac:dyDescent="0.3">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598</v>
      </c>
      <c r="D215" s="1" t="s">
        <v>599</v>
      </c>
      <c r="E215" s="1" t="s">
        <v>600</v>
      </c>
      <c r="F215" s="1" t="s">
        <v>112</v>
      </c>
      <c r="G215" s="1">
        <v>6536177</v>
      </c>
    </row>
    <row r="216" spans="1:7" x14ac:dyDescent="0.3">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601</v>
      </c>
      <c r="D216" s="1" t="s">
        <v>602</v>
      </c>
      <c r="E216" s="1" t="s">
        <v>603</v>
      </c>
      <c r="F216" s="1" t="s">
        <v>112</v>
      </c>
      <c r="G216" s="1">
        <v>6272369</v>
      </c>
    </row>
    <row r="217" spans="1:7" x14ac:dyDescent="0.3">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604</v>
      </c>
      <c r="D217" s="1" t="s">
        <v>605</v>
      </c>
      <c r="E217" s="1" t="s">
        <v>606</v>
      </c>
      <c r="F217" s="1" t="s">
        <v>112</v>
      </c>
      <c r="G217" s="1">
        <v>6435544</v>
      </c>
    </row>
    <row r="218" spans="1:7" x14ac:dyDescent="0.3">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607</v>
      </c>
      <c r="D218" s="1" t="s">
        <v>608</v>
      </c>
      <c r="E218" s="1" t="s">
        <v>609</v>
      </c>
      <c r="F218" s="1" t="s">
        <v>112</v>
      </c>
      <c r="G218" s="1">
        <v>3014657</v>
      </c>
    </row>
    <row r="219" spans="1:7" x14ac:dyDescent="0.3">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610</v>
      </c>
      <c r="D219" s="1" t="s">
        <v>611</v>
      </c>
      <c r="E219" s="1" t="s">
        <v>612</v>
      </c>
      <c r="F219" s="1" t="s">
        <v>112</v>
      </c>
      <c r="G219" s="1">
        <v>3404658</v>
      </c>
    </row>
    <row r="220" spans="1:7" x14ac:dyDescent="0.3">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613</v>
      </c>
      <c r="D220" s="1" t="s">
        <v>614</v>
      </c>
      <c r="E220" s="1" t="s">
        <v>615</v>
      </c>
      <c r="F220" s="1" t="s">
        <v>112</v>
      </c>
      <c r="G220" s="1">
        <v>3167934</v>
      </c>
    </row>
    <row r="221" spans="1:7" x14ac:dyDescent="0.3">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616</v>
      </c>
      <c r="D221" s="1" t="s">
        <v>617</v>
      </c>
      <c r="E221" s="1" t="s">
        <v>618</v>
      </c>
      <c r="F221" s="1" t="s">
        <v>112</v>
      </c>
      <c r="G221" s="1">
        <v>5679362</v>
      </c>
    </row>
    <row r="222" spans="1:7" x14ac:dyDescent="0.3">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619</v>
      </c>
      <c r="D222" s="1" t="s">
        <v>620</v>
      </c>
      <c r="E222" s="1" t="s">
        <v>621</v>
      </c>
      <c r="F222" s="1" t="s">
        <v>112</v>
      </c>
      <c r="G222" s="1">
        <v>5926854</v>
      </c>
    </row>
    <row r="223" spans="1:7" x14ac:dyDescent="0.3">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622</v>
      </c>
      <c r="D223" s="1" t="s">
        <v>623</v>
      </c>
      <c r="E223" s="1" t="s">
        <v>624</v>
      </c>
      <c r="F223" s="1" t="s">
        <v>112</v>
      </c>
      <c r="G223" s="1">
        <v>5006518</v>
      </c>
    </row>
    <row r="224" spans="1:7" x14ac:dyDescent="0.3">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10" x14ac:dyDescent="0.3">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229</v>
      </c>
      <c r="D225" s="1" t="s">
        <v>112</v>
      </c>
      <c r="E225" s="1" t="s">
        <v>230</v>
      </c>
      <c r="F225" s="1" t="s">
        <v>231</v>
      </c>
      <c r="G225" s="1" t="s">
        <v>232</v>
      </c>
      <c r="H225" s="1" t="s">
        <v>233</v>
      </c>
      <c r="I225" s="1" t="s">
        <v>234</v>
      </c>
      <c r="J225" s="1" t="s">
        <v>235</v>
      </c>
    </row>
    <row r="226" spans="1:10" x14ac:dyDescent="0.3">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625</v>
      </c>
      <c r="D226" s="1" t="s">
        <v>112</v>
      </c>
      <c r="E226" s="1" t="s">
        <v>626</v>
      </c>
      <c r="F226" s="1" t="s">
        <v>627</v>
      </c>
      <c r="G226" s="1" t="s">
        <v>628</v>
      </c>
      <c r="H226" s="1" t="s">
        <v>629</v>
      </c>
      <c r="I226" s="1">
        <v>23</v>
      </c>
      <c r="J226" s="1">
        <v>24</v>
      </c>
    </row>
    <row r="227" spans="1:10" x14ac:dyDescent="0.3">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10" x14ac:dyDescent="0.3">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10" x14ac:dyDescent="0.3">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10" x14ac:dyDescent="0.3">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10" x14ac:dyDescent="0.3">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10" x14ac:dyDescent="0.3">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241</v>
      </c>
      <c r="D232" s="1" t="s">
        <v>110</v>
      </c>
      <c r="E232" s="1" t="s">
        <v>111</v>
      </c>
      <c r="F232" s="1" t="s">
        <v>112</v>
      </c>
      <c r="G232" s="1" t="s">
        <v>113</v>
      </c>
    </row>
    <row r="233" spans="1:10" x14ac:dyDescent="0.3">
      <c r="A233" s="1" t="str">
        <f t="shared" si="3"/>
        <v>08 ARABINOSE 0.01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630</v>
      </c>
      <c r="D233" s="1" t="s">
        <v>204</v>
      </c>
      <c r="E233" s="1" t="s">
        <v>631</v>
      </c>
      <c r="F233" s="1" t="s">
        <v>112</v>
      </c>
      <c r="G233" s="1">
        <v>12160</v>
      </c>
    </row>
    <row r="234" spans="1:10" x14ac:dyDescent="0.3">
      <c r="A234" s="1" t="str">
        <f t="shared" si="3"/>
        <v>08 ARABINOSE 0.01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632</v>
      </c>
      <c r="D234" s="1" t="s">
        <v>183</v>
      </c>
      <c r="E234" s="1" t="s">
        <v>633</v>
      </c>
      <c r="F234" s="1" t="s">
        <v>112</v>
      </c>
      <c r="G234" s="1">
        <v>8571</v>
      </c>
    </row>
    <row r="235" spans="1:10" x14ac:dyDescent="0.3">
      <c r="A235" s="1" t="str">
        <f t="shared" si="3"/>
        <v>08 ARABINOSE 0.01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634</v>
      </c>
      <c r="D235" s="1" t="s">
        <v>192</v>
      </c>
      <c r="E235" s="1" t="s">
        <v>367</v>
      </c>
      <c r="F235" s="1" t="s">
        <v>112</v>
      </c>
      <c r="G235" s="1">
        <v>20536</v>
      </c>
    </row>
    <row r="236" spans="1:10" x14ac:dyDescent="0.3">
      <c r="A236" s="1" t="str">
        <f t="shared" si="3"/>
        <v>08 ARABINOSE 0.01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635</v>
      </c>
      <c r="D236" s="1" t="s">
        <v>275</v>
      </c>
      <c r="E236" s="1">
        <v>65</v>
      </c>
      <c r="F236" s="1" t="s">
        <v>112</v>
      </c>
      <c r="G236" s="1">
        <v>14140</v>
      </c>
    </row>
    <row r="237" spans="1:10" x14ac:dyDescent="0.3">
      <c r="A237" s="1" t="str">
        <f t="shared" si="3"/>
        <v>08 ARABINOSE 0.01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636</v>
      </c>
      <c r="D237" s="1" t="s">
        <v>204</v>
      </c>
      <c r="E237" s="1" t="s">
        <v>637</v>
      </c>
      <c r="F237" s="1" t="s">
        <v>112</v>
      </c>
      <c r="G237" s="1">
        <v>12247</v>
      </c>
    </row>
    <row r="238" spans="1:10" x14ac:dyDescent="0.3">
      <c r="A238" s="1" t="str">
        <f t="shared" si="3"/>
        <v>08 ARABINOSE 0.01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638</v>
      </c>
      <c r="D238" s="1" t="s">
        <v>189</v>
      </c>
      <c r="E238" s="1" t="s">
        <v>639</v>
      </c>
      <c r="F238" s="1" t="s">
        <v>112</v>
      </c>
      <c r="G238" s="1">
        <v>27867</v>
      </c>
    </row>
    <row r="239" spans="1:10" x14ac:dyDescent="0.3">
      <c r="A239" s="1" t="str">
        <f t="shared" si="3"/>
        <v>08 ARABINOSE 0.01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640</v>
      </c>
      <c r="D239" s="1" t="s">
        <v>247</v>
      </c>
      <c r="E239" s="1" t="s">
        <v>641</v>
      </c>
      <c r="F239" s="1" t="s">
        <v>112</v>
      </c>
      <c r="G239" s="1">
        <v>21971</v>
      </c>
    </row>
    <row r="240" spans="1:10" x14ac:dyDescent="0.3">
      <c r="A240" s="1" t="str">
        <f t="shared" si="3"/>
        <v>08 ARABINOSE 0.01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642</v>
      </c>
      <c r="D240" s="1" t="s">
        <v>275</v>
      </c>
      <c r="E240" s="1" t="s">
        <v>643</v>
      </c>
      <c r="F240" s="1" t="s">
        <v>112</v>
      </c>
      <c r="G240" s="1">
        <v>14183</v>
      </c>
    </row>
    <row r="241" spans="1:7" x14ac:dyDescent="0.3">
      <c r="A241" s="1" t="str">
        <f t="shared" si="3"/>
        <v>08 ARABINOSE 0.01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644</v>
      </c>
      <c r="D241" s="1" t="s">
        <v>222</v>
      </c>
      <c r="E241" s="1">
        <v>64</v>
      </c>
      <c r="F241" s="1" t="s">
        <v>112</v>
      </c>
      <c r="G241" s="1">
        <v>15315</v>
      </c>
    </row>
    <row r="242" spans="1:7" x14ac:dyDescent="0.3">
      <c r="A242" s="1" t="str">
        <f t="shared" si="3"/>
        <v>08 ARABINOSE 0.01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645</v>
      </c>
      <c r="D242" s="1" t="s">
        <v>171</v>
      </c>
      <c r="E242" s="1" t="s">
        <v>646</v>
      </c>
      <c r="F242" s="1" t="s">
        <v>112</v>
      </c>
      <c r="G242" s="1">
        <v>17903</v>
      </c>
    </row>
    <row r="243" spans="1:7" x14ac:dyDescent="0.3">
      <c r="A243" s="1" t="str">
        <f t="shared" si="3"/>
        <v>08 ARABINOSE 0.01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647</v>
      </c>
      <c r="D243" s="1" t="s">
        <v>648</v>
      </c>
      <c r="E243" s="1" t="s">
        <v>649</v>
      </c>
      <c r="F243" s="1" t="s">
        <v>112</v>
      </c>
      <c r="G243" s="1">
        <v>119646</v>
      </c>
    </row>
    <row r="244" spans="1:7" x14ac:dyDescent="0.3">
      <c r="A244" s="1" t="str">
        <f t="shared" si="3"/>
        <v>08 ARABINOSE 0.01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650</v>
      </c>
    </row>
    <row r="245" spans="1:7" x14ac:dyDescent="0.3">
      <c r="A245" s="1" t="str">
        <f t="shared" si="3"/>
        <v>08 ARABINOSE 0.01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651</v>
      </c>
      <c r="D245" s="1" t="s">
        <v>652</v>
      </c>
      <c r="E245" s="1" t="s">
        <v>653</v>
      </c>
      <c r="F245" s="1" t="s">
        <v>112</v>
      </c>
      <c r="G245" s="1">
        <v>53993</v>
      </c>
    </row>
    <row r="246" spans="1:7" x14ac:dyDescent="0.3">
      <c r="A246" s="1" t="str">
        <f t="shared" si="3"/>
        <v>08 ARABINOSE 0.01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654</v>
      </c>
      <c r="D246" s="1" t="s">
        <v>315</v>
      </c>
      <c r="E246" s="1" t="s">
        <v>655</v>
      </c>
      <c r="F246" s="1" t="s">
        <v>112</v>
      </c>
      <c r="G246" s="1">
        <v>102482</v>
      </c>
    </row>
    <row r="247" spans="1:7" x14ac:dyDescent="0.3">
      <c r="A247" s="1" t="str">
        <f t="shared" si="3"/>
        <v>08 ARABINOSE 0.01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656</v>
      </c>
      <c r="D247" s="1" t="s">
        <v>657</v>
      </c>
      <c r="E247" s="1" t="s">
        <v>658</v>
      </c>
      <c r="F247" s="1" t="s">
        <v>112</v>
      </c>
      <c r="G247" s="1">
        <v>32391</v>
      </c>
    </row>
    <row r="248" spans="1:7" x14ac:dyDescent="0.3">
      <c r="A248" s="1" t="str">
        <f t="shared" si="3"/>
        <v>08 ARABINOSE 0.01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659</v>
      </c>
      <c r="D248" s="1" t="s">
        <v>660</v>
      </c>
      <c r="E248" s="1" t="s">
        <v>661</v>
      </c>
      <c r="F248" s="1" t="s">
        <v>112</v>
      </c>
      <c r="G248" s="1">
        <v>115382</v>
      </c>
    </row>
    <row r="249" spans="1:7" x14ac:dyDescent="0.3">
      <c r="A249" s="1" t="str">
        <f t="shared" si="3"/>
        <v>08 ARABINOSE 0.01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662</v>
      </c>
      <c r="D249" s="1" t="s">
        <v>663</v>
      </c>
      <c r="E249" s="1">
        <v>63</v>
      </c>
      <c r="F249" s="1" t="s">
        <v>112</v>
      </c>
      <c r="G249" s="1">
        <v>78118</v>
      </c>
    </row>
    <row r="250" spans="1:7" x14ac:dyDescent="0.3">
      <c r="A250" s="1" t="str">
        <f t="shared" si="3"/>
        <v>08 ARABINOSE 0.01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664</v>
      </c>
      <c r="D250" s="1" t="s">
        <v>279</v>
      </c>
      <c r="E250" s="1" t="s">
        <v>665</v>
      </c>
      <c r="F250" s="1" t="s">
        <v>112</v>
      </c>
      <c r="G250" s="1">
        <v>19165</v>
      </c>
    </row>
    <row r="251" spans="1:7" x14ac:dyDescent="0.3">
      <c r="A251" s="1" t="str">
        <f t="shared" si="3"/>
        <v>08 ARABINOSE 0.01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666</v>
      </c>
      <c r="D251" s="1" t="s">
        <v>667</v>
      </c>
      <c r="E251" s="1" t="s">
        <v>668</v>
      </c>
      <c r="F251" s="1" t="s">
        <v>112</v>
      </c>
      <c r="G251" s="1">
        <v>438860</v>
      </c>
    </row>
    <row r="252" spans="1:7" x14ac:dyDescent="0.3">
      <c r="A252" s="1" t="str">
        <f t="shared" si="3"/>
        <v>08 ARABINOSE 0.01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669</v>
      </c>
      <c r="D252" s="1" t="s">
        <v>214</v>
      </c>
      <c r="E252" s="1" t="s">
        <v>670</v>
      </c>
      <c r="F252" s="1" t="s">
        <v>112</v>
      </c>
      <c r="G252" s="1">
        <v>26344</v>
      </c>
    </row>
    <row r="253" spans="1:7" x14ac:dyDescent="0.3">
      <c r="A253" s="1" t="str">
        <f t="shared" si="3"/>
        <v>08 ARABINOSE 0.01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671</v>
      </c>
      <c r="D253" s="1" t="s">
        <v>672</v>
      </c>
      <c r="E253" s="1" t="s">
        <v>673</v>
      </c>
      <c r="F253" s="1" t="s">
        <v>112</v>
      </c>
      <c r="G253" s="1">
        <v>369814</v>
      </c>
    </row>
    <row r="254" spans="1:7" x14ac:dyDescent="0.3">
      <c r="A254" s="1" t="str">
        <f t="shared" si="3"/>
        <v>08 ARABINOSE 0.01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674</v>
      </c>
      <c r="D254" s="1" t="s">
        <v>675</v>
      </c>
      <c r="E254" s="1" t="s">
        <v>676</v>
      </c>
      <c r="F254" s="1" t="s">
        <v>112</v>
      </c>
      <c r="G254" s="1">
        <v>58953</v>
      </c>
    </row>
    <row r="255" spans="1:7" x14ac:dyDescent="0.3">
      <c r="A255" s="1" t="str">
        <f t="shared" si="3"/>
        <v>08 ARABINOSE 0.01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677</v>
      </c>
      <c r="D255" s="1" t="s">
        <v>197</v>
      </c>
      <c r="E255" s="1" t="s">
        <v>678</v>
      </c>
      <c r="F255" s="1" t="s">
        <v>112</v>
      </c>
      <c r="G255" s="1">
        <v>64978</v>
      </c>
    </row>
    <row r="256" spans="1:7" x14ac:dyDescent="0.3">
      <c r="A256" s="1" t="str">
        <f t="shared" si="3"/>
        <v>08 ARABINOSE 0.01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679</v>
      </c>
      <c r="D256" s="1" t="s">
        <v>680</v>
      </c>
      <c r="E256" s="1" t="s">
        <v>261</v>
      </c>
      <c r="F256" s="1" t="s">
        <v>112</v>
      </c>
      <c r="G256" s="1">
        <v>25256</v>
      </c>
    </row>
    <row r="257" spans="1:10" x14ac:dyDescent="0.3">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10" x14ac:dyDescent="0.3">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229</v>
      </c>
      <c r="D258" s="1" t="s">
        <v>112</v>
      </c>
      <c r="E258" s="1" t="s">
        <v>230</v>
      </c>
      <c r="F258" s="1" t="s">
        <v>231</v>
      </c>
      <c r="G258" s="1" t="s">
        <v>232</v>
      </c>
      <c r="H258" s="1" t="s">
        <v>233</v>
      </c>
      <c r="I258" s="1" t="s">
        <v>234</v>
      </c>
      <c r="J258" s="1" t="s">
        <v>235</v>
      </c>
    </row>
    <row r="259" spans="1:10" x14ac:dyDescent="0.3">
      <c r="A259" s="1" t="str">
        <f t="shared" si="4"/>
        <v>08 ARABINOSE 0.01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681</v>
      </c>
      <c r="D259" s="1" t="s">
        <v>112</v>
      </c>
      <c r="E259" s="1" t="s">
        <v>682</v>
      </c>
      <c r="F259" s="1" t="s">
        <v>683</v>
      </c>
      <c r="G259" s="1" t="s">
        <v>684</v>
      </c>
      <c r="H259" s="1" t="s">
        <v>685</v>
      </c>
      <c r="I259" s="1">
        <v>24</v>
      </c>
      <c r="J259" s="1">
        <v>24</v>
      </c>
    </row>
    <row r="260" spans="1:10" x14ac:dyDescent="0.3">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10" x14ac:dyDescent="0.3">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10" x14ac:dyDescent="0.3">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10" x14ac:dyDescent="0.3">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10" x14ac:dyDescent="0.3">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10" x14ac:dyDescent="0.3">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241</v>
      </c>
      <c r="D265" s="1" t="s">
        <v>110</v>
      </c>
      <c r="E265" s="1" t="s">
        <v>111</v>
      </c>
      <c r="F265" s="1" t="s">
        <v>112</v>
      </c>
      <c r="G265" s="1" t="s">
        <v>113</v>
      </c>
    </row>
    <row r="266" spans="1:10" x14ac:dyDescent="0.3">
      <c r="A266" s="1" t="str">
        <f t="shared" si="4"/>
        <v>09 ARABINOSE 0.1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686</v>
      </c>
    </row>
    <row r="267" spans="1:10" x14ac:dyDescent="0.3">
      <c r="A267" s="1" t="str">
        <f t="shared" si="4"/>
        <v>09 ARABINOSE 0.1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687</v>
      </c>
      <c r="D267" s="1" t="s">
        <v>275</v>
      </c>
      <c r="E267" s="1" t="s">
        <v>688</v>
      </c>
      <c r="F267" s="1" t="s">
        <v>112</v>
      </c>
      <c r="G267" s="1">
        <v>13857</v>
      </c>
    </row>
    <row r="268" spans="1:10" x14ac:dyDescent="0.3">
      <c r="A268" s="1" t="str">
        <f t="shared" si="4"/>
        <v>09 ARABINOSE 0.1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689</v>
      </c>
      <c r="D268" s="1" t="s">
        <v>690</v>
      </c>
      <c r="E268" s="1" t="s">
        <v>691</v>
      </c>
      <c r="F268" s="1" t="s">
        <v>112</v>
      </c>
      <c r="G268" s="1">
        <v>23494</v>
      </c>
    </row>
    <row r="269" spans="1:10" x14ac:dyDescent="0.3">
      <c r="A269" s="1" t="str">
        <f t="shared" si="4"/>
        <v>09 ARABINOSE 0.1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692</v>
      </c>
      <c r="D269" s="1" t="s">
        <v>282</v>
      </c>
      <c r="E269" s="1" t="s">
        <v>693</v>
      </c>
      <c r="F269" s="1" t="s">
        <v>112</v>
      </c>
      <c r="G269" s="1">
        <v>44008</v>
      </c>
    </row>
    <row r="270" spans="1:10" x14ac:dyDescent="0.3">
      <c r="A270" s="1" t="str">
        <f t="shared" si="4"/>
        <v>09 ARABINOSE 0.1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694</v>
      </c>
    </row>
    <row r="271" spans="1:10" x14ac:dyDescent="0.3">
      <c r="A271" s="1" t="str">
        <f t="shared" si="4"/>
        <v>09 ARABINOSE 0.1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695</v>
      </c>
      <c r="D271" s="1" t="s">
        <v>279</v>
      </c>
      <c r="E271" s="1" t="s">
        <v>696</v>
      </c>
      <c r="F271" s="1" t="s">
        <v>112</v>
      </c>
      <c r="G271" s="1">
        <v>19513</v>
      </c>
    </row>
    <row r="272" spans="1:10" x14ac:dyDescent="0.3">
      <c r="A272" s="1" t="str">
        <f t="shared" si="4"/>
        <v>09 ARABINOSE 0.1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697</v>
      </c>
    </row>
    <row r="273" spans="1:7" x14ac:dyDescent="0.3">
      <c r="A273" s="1" t="str">
        <f t="shared" si="4"/>
        <v>09 ARABINOSE 0.1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698</v>
      </c>
      <c r="D273" s="1" t="s">
        <v>699</v>
      </c>
      <c r="E273" s="1" t="s">
        <v>700</v>
      </c>
      <c r="F273" s="1" t="s">
        <v>112</v>
      </c>
      <c r="G273" s="1">
        <v>115491</v>
      </c>
    </row>
    <row r="274" spans="1:7" x14ac:dyDescent="0.3">
      <c r="A274" s="1" t="str">
        <f t="shared" si="4"/>
        <v>09 ARABINOSE 0.1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701</v>
      </c>
      <c r="D274" s="1" t="s">
        <v>702</v>
      </c>
      <c r="E274" s="1" t="s">
        <v>703</v>
      </c>
      <c r="F274" s="1" t="s">
        <v>112</v>
      </c>
      <c r="G274" s="1">
        <v>330287</v>
      </c>
    </row>
    <row r="275" spans="1:7" x14ac:dyDescent="0.3">
      <c r="A275" s="1" t="str">
        <f t="shared" si="4"/>
        <v>09 ARABINOSE 0.1</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704</v>
      </c>
      <c r="D275" s="1" t="s">
        <v>211</v>
      </c>
      <c r="E275" s="1" t="s">
        <v>705</v>
      </c>
      <c r="F275" s="1" t="s">
        <v>112</v>
      </c>
      <c r="G275" s="1">
        <v>53536</v>
      </c>
    </row>
    <row r="276" spans="1:7" x14ac:dyDescent="0.3">
      <c r="A276" s="1" t="str">
        <f t="shared" si="4"/>
        <v>09 ARABINOSE 0.1</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706</v>
      </c>
      <c r="D276" s="1" t="s">
        <v>707</v>
      </c>
      <c r="E276" s="1" t="s">
        <v>708</v>
      </c>
      <c r="F276" s="1" t="s">
        <v>112</v>
      </c>
      <c r="G276" s="1">
        <v>55907</v>
      </c>
    </row>
    <row r="277" spans="1:7" x14ac:dyDescent="0.3">
      <c r="A277" s="1" t="str">
        <f t="shared" si="4"/>
        <v>09 ARABINOSE 0.1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709</v>
      </c>
      <c r="D277" s="1" t="s">
        <v>710</v>
      </c>
      <c r="E277" s="1" t="s">
        <v>711</v>
      </c>
      <c r="F277" s="1" t="s">
        <v>112</v>
      </c>
      <c r="G277" s="1">
        <v>38852</v>
      </c>
    </row>
    <row r="278" spans="1:7" x14ac:dyDescent="0.3">
      <c r="A278" s="1" t="str">
        <f t="shared" si="4"/>
        <v>09 ARABINOSE 0.1</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712</v>
      </c>
      <c r="D278" s="1" t="s">
        <v>335</v>
      </c>
      <c r="E278" s="1" t="s">
        <v>713</v>
      </c>
      <c r="F278" s="1" t="s">
        <v>112</v>
      </c>
      <c r="G278" s="1">
        <v>29716</v>
      </c>
    </row>
    <row r="279" spans="1:7" x14ac:dyDescent="0.3">
      <c r="A279" s="1" t="str">
        <f t="shared" si="4"/>
        <v>09 ARABINOSE 0.1</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714</v>
      </c>
      <c r="D279" s="1" t="s">
        <v>715</v>
      </c>
      <c r="E279" s="1" t="s">
        <v>716</v>
      </c>
      <c r="F279" s="1" t="s">
        <v>112</v>
      </c>
      <c r="G279" s="1">
        <v>35306</v>
      </c>
    </row>
    <row r="280" spans="1:7" x14ac:dyDescent="0.3">
      <c r="A280" s="1" t="str">
        <f t="shared" si="4"/>
        <v>09 ARABINOSE 0.1</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717</v>
      </c>
      <c r="D280" s="1" t="s">
        <v>388</v>
      </c>
      <c r="E280" s="1" t="s">
        <v>718</v>
      </c>
      <c r="F280" s="1" t="s">
        <v>112</v>
      </c>
      <c r="G280" s="1">
        <v>92584</v>
      </c>
    </row>
    <row r="281" spans="1:7" x14ac:dyDescent="0.3">
      <c r="A281" s="1" t="str">
        <f t="shared" si="4"/>
        <v>09 ARABINOSE 0.1</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719</v>
      </c>
      <c r="D281" s="1" t="s">
        <v>168</v>
      </c>
      <c r="E281" s="1" t="s">
        <v>643</v>
      </c>
      <c r="F281" s="1" t="s">
        <v>112</v>
      </c>
      <c r="G281" s="1">
        <v>7092</v>
      </c>
    </row>
    <row r="282" spans="1:7" x14ac:dyDescent="0.3">
      <c r="A282" s="1" t="str">
        <f t="shared" si="4"/>
        <v>09 ARABINOSE 0.1</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720</v>
      </c>
      <c r="D282" s="1" t="s">
        <v>690</v>
      </c>
      <c r="E282" s="1" t="s">
        <v>721</v>
      </c>
      <c r="F282" s="1" t="s">
        <v>112</v>
      </c>
      <c r="G282" s="1">
        <v>24125</v>
      </c>
    </row>
    <row r="283" spans="1:7" x14ac:dyDescent="0.3">
      <c r="A283" s="1" t="str">
        <f t="shared" si="4"/>
        <v>09 ARABINOSE 0.1</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722</v>
      </c>
      <c r="D283" s="1" t="s">
        <v>371</v>
      </c>
      <c r="E283" s="1" t="s">
        <v>723</v>
      </c>
      <c r="F283" s="1" t="s">
        <v>112</v>
      </c>
      <c r="G283" s="1">
        <v>132024</v>
      </c>
    </row>
    <row r="284" spans="1:7" x14ac:dyDescent="0.3">
      <c r="A284" s="1" t="str">
        <f t="shared" si="4"/>
        <v>09 ARABINOSE 0.1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724</v>
      </c>
      <c r="D284" s="1" t="s">
        <v>725</v>
      </c>
      <c r="E284" s="1" t="s">
        <v>726</v>
      </c>
      <c r="F284" s="1" t="s">
        <v>112</v>
      </c>
      <c r="G284" s="1">
        <v>506297</v>
      </c>
    </row>
    <row r="285" spans="1:7" x14ac:dyDescent="0.3">
      <c r="A285" s="1" t="str">
        <f t="shared" si="4"/>
        <v>09 ARABINOSE 0.1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727</v>
      </c>
      <c r="D285" s="1" t="s">
        <v>728</v>
      </c>
      <c r="E285" s="1" t="s">
        <v>729</v>
      </c>
      <c r="F285" s="1" t="s">
        <v>112</v>
      </c>
      <c r="G285" s="1">
        <v>398333</v>
      </c>
    </row>
    <row r="286" spans="1:7" x14ac:dyDescent="0.3">
      <c r="A286" s="1" t="str">
        <f t="shared" si="4"/>
        <v>09 ARABINOSE 0.1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730</v>
      </c>
    </row>
    <row r="287" spans="1:7" x14ac:dyDescent="0.3">
      <c r="A287" s="1" t="str">
        <f t="shared" si="4"/>
        <v>09 ARABINOSE 0.1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731</v>
      </c>
      <c r="D287" s="1" t="s">
        <v>732</v>
      </c>
      <c r="E287" s="1" t="s">
        <v>733</v>
      </c>
      <c r="F287" s="1" t="s">
        <v>112</v>
      </c>
      <c r="G287" s="1">
        <v>45792</v>
      </c>
    </row>
    <row r="288" spans="1:7" x14ac:dyDescent="0.3">
      <c r="A288" s="1" t="str">
        <f t="shared" si="4"/>
        <v>09 ARABINOSE 0.1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734</v>
      </c>
    </row>
    <row r="289" spans="1:10" x14ac:dyDescent="0.3">
      <c r="A289" s="1" t="str">
        <f t="shared" si="4"/>
        <v>09 ARABINOSE 0.1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735</v>
      </c>
    </row>
    <row r="290" spans="1:10" x14ac:dyDescent="0.3">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10" x14ac:dyDescent="0.3">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229</v>
      </c>
      <c r="D291" s="1" t="s">
        <v>112</v>
      </c>
      <c r="E291" s="1" t="s">
        <v>230</v>
      </c>
      <c r="F291" s="1" t="s">
        <v>231</v>
      </c>
      <c r="G291" s="1" t="s">
        <v>232</v>
      </c>
      <c r="H291" s="1" t="s">
        <v>233</v>
      </c>
      <c r="I291" s="1" t="s">
        <v>234</v>
      </c>
      <c r="J291" s="1" t="s">
        <v>235</v>
      </c>
    </row>
    <row r="292" spans="1:10" x14ac:dyDescent="0.3">
      <c r="A292" s="1" t="str">
        <f t="shared" si="4"/>
        <v>09 ARABINOSE 0.1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736</v>
      </c>
      <c r="D292" s="1" t="s">
        <v>112</v>
      </c>
      <c r="E292" s="1" t="s">
        <v>737</v>
      </c>
      <c r="F292" s="1" t="s">
        <v>738</v>
      </c>
      <c r="G292" s="1" t="s">
        <v>739</v>
      </c>
      <c r="H292" s="1" t="s">
        <v>740</v>
      </c>
      <c r="I292" s="1">
        <v>24</v>
      </c>
      <c r="J292" s="1">
        <v>24</v>
      </c>
    </row>
    <row r="293" spans="1:10" x14ac:dyDescent="0.3">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10" x14ac:dyDescent="0.3">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10" x14ac:dyDescent="0.3">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10" x14ac:dyDescent="0.3">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10" x14ac:dyDescent="0.3">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10" x14ac:dyDescent="0.3">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241</v>
      </c>
      <c r="D298" s="1" t="s">
        <v>110</v>
      </c>
      <c r="E298" s="1" t="s">
        <v>111</v>
      </c>
      <c r="F298" s="1" t="s">
        <v>112</v>
      </c>
      <c r="G298" s="1" t="s">
        <v>113</v>
      </c>
    </row>
    <row r="299" spans="1:10" x14ac:dyDescent="0.3">
      <c r="A299" s="1" t="str">
        <f t="shared" si="4"/>
        <v>10 ARABINOSE 1</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741</v>
      </c>
    </row>
    <row r="300" spans="1:10" x14ac:dyDescent="0.3">
      <c r="A300" s="1" t="str">
        <f t="shared" si="4"/>
        <v>10 ARABINOSE 1</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742</v>
      </c>
      <c r="D300" s="1" t="s">
        <v>743</v>
      </c>
      <c r="E300" s="1" t="s">
        <v>744</v>
      </c>
      <c r="F300" s="1" t="s">
        <v>112</v>
      </c>
      <c r="G300" s="1">
        <v>39701</v>
      </c>
    </row>
    <row r="301" spans="1:10" x14ac:dyDescent="0.3">
      <c r="A301" s="1" t="str">
        <f t="shared" si="4"/>
        <v>10 ARABINOSE 1</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745</v>
      </c>
      <c r="D301" s="1" t="s">
        <v>746</v>
      </c>
      <c r="E301" s="1" t="s">
        <v>747</v>
      </c>
      <c r="F301" s="1" t="s">
        <v>112</v>
      </c>
      <c r="G301" s="1">
        <v>154821</v>
      </c>
    </row>
    <row r="302" spans="1:10" x14ac:dyDescent="0.3">
      <c r="A302" s="1" t="str">
        <f t="shared" si="4"/>
        <v>10 ARABINOSE 1</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748</v>
      </c>
      <c r="D302" s="1" t="s">
        <v>222</v>
      </c>
      <c r="E302" s="1" t="s">
        <v>749</v>
      </c>
      <c r="F302" s="1" t="s">
        <v>112</v>
      </c>
      <c r="G302" s="1">
        <v>15097</v>
      </c>
    </row>
    <row r="303" spans="1:10" x14ac:dyDescent="0.3">
      <c r="A303" s="1" t="str">
        <f t="shared" si="4"/>
        <v>10 ARABINOSE 1</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750</v>
      </c>
      <c r="D303" s="1" t="s">
        <v>204</v>
      </c>
      <c r="E303" s="1" t="s">
        <v>751</v>
      </c>
      <c r="F303" s="1" t="s">
        <v>112</v>
      </c>
      <c r="G303" s="1">
        <v>12661</v>
      </c>
    </row>
    <row r="304" spans="1:10" x14ac:dyDescent="0.3">
      <c r="A304" s="1" t="str">
        <f t="shared" si="4"/>
        <v>10 ARABINOSE 1</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752</v>
      </c>
      <c r="D304" s="1" t="s">
        <v>690</v>
      </c>
      <c r="E304" s="1" t="s">
        <v>753</v>
      </c>
      <c r="F304" s="1" t="s">
        <v>112</v>
      </c>
      <c r="G304" s="1">
        <v>24386</v>
      </c>
    </row>
    <row r="305" spans="1:7" x14ac:dyDescent="0.3">
      <c r="A305" s="1" t="str">
        <f t="shared" si="4"/>
        <v>10 ARABINOSE 1</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754</v>
      </c>
      <c r="D305" s="1" t="s">
        <v>755</v>
      </c>
      <c r="E305" s="1" t="s">
        <v>756</v>
      </c>
      <c r="F305" s="1" t="s">
        <v>112</v>
      </c>
      <c r="G305" s="1">
        <v>189018</v>
      </c>
    </row>
    <row r="306" spans="1:7" x14ac:dyDescent="0.3">
      <c r="A306" s="1" t="str">
        <f t="shared" si="4"/>
        <v>10 ARABINOSE 1</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757</v>
      </c>
      <c r="D306" s="1" t="s">
        <v>758</v>
      </c>
      <c r="E306" s="1" t="s">
        <v>759</v>
      </c>
      <c r="F306" s="1" t="s">
        <v>112</v>
      </c>
      <c r="G306" s="1">
        <v>104179</v>
      </c>
    </row>
    <row r="307" spans="1:7" x14ac:dyDescent="0.3">
      <c r="A307" s="1" t="str">
        <f t="shared" si="4"/>
        <v>10 ARABINOSE 1</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760</v>
      </c>
      <c r="D307" s="1" t="s">
        <v>675</v>
      </c>
      <c r="E307" s="1" t="s">
        <v>761</v>
      </c>
      <c r="F307" s="1" t="s">
        <v>112</v>
      </c>
      <c r="G307" s="1">
        <v>60671</v>
      </c>
    </row>
    <row r="308" spans="1:7" x14ac:dyDescent="0.3">
      <c r="A308" s="1" t="str">
        <f t="shared" si="4"/>
        <v>10 ARABINOSE 1</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762</v>
      </c>
      <c r="D308" s="1" t="s">
        <v>652</v>
      </c>
      <c r="E308" s="1" t="s">
        <v>763</v>
      </c>
      <c r="F308" s="1" t="s">
        <v>112</v>
      </c>
      <c r="G308" s="1">
        <v>53536</v>
      </c>
    </row>
    <row r="309" spans="1:7" x14ac:dyDescent="0.3">
      <c r="A309" s="1" t="str">
        <f t="shared" si="4"/>
        <v>10 ARABINOSE 1</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764</v>
      </c>
      <c r="D309" s="1" t="s">
        <v>186</v>
      </c>
      <c r="E309" s="1" t="s">
        <v>765</v>
      </c>
      <c r="F309" s="1" t="s">
        <v>112</v>
      </c>
      <c r="G309" s="1">
        <v>11007</v>
      </c>
    </row>
    <row r="310" spans="1:7" x14ac:dyDescent="0.3">
      <c r="A310" s="1" t="str">
        <f t="shared" si="4"/>
        <v>10 ARABINOSE 1</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766</v>
      </c>
      <c r="D310" s="1" t="s">
        <v>204</v>
      </c>
      <c r="E310" s="1" t="s">
        <v>767</v>
      </c>
      <c r="F310" s="1" t="s">
        <v>112</v>
      </c>
      <c r="G310" s="1">
        <v>11965</v>
      </c>
    </row>
    <row r="311" spans="1:7" x14ac:dyDescent="0.3">
      <c r="A311" s="1" t="str">
        <f t="shared" si="4"/>
        <v>10 ARABINOSE 1</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768</v>
      </c>
    </row>
    <row r="312" spans="1:7" x14ac:dyDescent="0.3">
      <c r="A312" s="1" t="str">
        <f t="shared" si="4"/>
        <v>10 ARABINOSE 1</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769</v>
      </c>
      <c r="D312" s="1" t="s">
        <v>309</v>
      </c>
      <c r="E312" s="1" t="s">
        <v>770</v>
      </c>
      <c r="F312" s="1" t="s">
        <v>112</v>
      </c>
      <c r="G312" s="1">
        <v>132654</v>
      </c>
    </row>
    <row r="313" spans="1:7" x14ac:dyDescent="0.3">
      <c r="A313" s="1" t="str">
        <f t="shared" si="4"/>
        <v>10 ARABINOSE 1</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771</v>
      </c>
      <c r="D313" s="1" t="s">
        <v>772</v>
      </c>
      <c r="E313" s="1" t="s">
        <v>773</v>
      </c>
      <c r="F313" s="1" t="s">
        <v>112</v>
      </c>
      <c r="G313" s="1">
        <v>81772</v>
      </c>
    </row>
    <row r="314" spans="1:7" x14ac:dyDescent="0.3">
      <c r="A314" s="1" t="str">
        <f t="shared" si="4"/>
        <v>10 ARABINOSE 1</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774</v>
      </c>
      <c r="D314" s="1" t="s">
        <v>171</v>
      </c>
      <c r="E314" s="1" t="s">
        <v>775</v>
      </c>
      <c r="F314" s="1" t="s">
        <v>112</v>
      </c>
      <c r="G314" s="1">
        <v>17795</v>
      </c>
    </row>
    <row r="315" spans="1:7" x14ac:dyDescent="0.3">
      <c r="A315" s="1" t="str">
        <f t="shared" si="4"/>
        <v>10 ARABINOSE 1</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776</v>
      </c>
      <c r="D315" s="1" t="s">
        <v>777</v>
      </c>
      <c r="E315" s="1" t="s">
        <v>778</v>
      </c>
      <c r="F315" s="1" t="s">
        <v>112</v>
      </c>
      <c r="G315" s="1">
        <v>231199</v>
      </c>
    </row>
    <row r="316" spans="1:7" x14ac:dyDescent="0.3">
      <c r="A316" s="1" t="str">
        <f t="shared" si="4"/>
        <v>10 ARABINOSE 1</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779</v>
      </c>
      <c r="D316" s="1" t="s">
        <v>211</v>
      </c>
      <c r="E316" s="1" t="s">
        <v>780</v>
      </c>
      <c r="F316" s="1" t="s">
        <v>112</v>
      </c>
      <c r="G316" s="1">
        <v>52970</v>
      </c>
    </row>
    <row r="317" spans="1:7" x14ac:dyDescent="0.3">
      <c r="A317" s="1" t="str">
        <f t="shared" si="4"/>
        <v>10 ARABINOSE 1</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781</v>
      </c>
      <c r="D317" s="1" t="s">
        <v>782</v>
      </c>
      <c r="E317" s="1" t="s">
        <v>783</v>
      </c>
      <c r="F317" s="1" t="s">
        <v>112</v>
      </c>
      <c r="G317" s="1">
        <v>162065</v>
      </c>
    </row>
    <row r="318" spans="1:7" x14ac:dyDescent="0.3">
      <c r="A318" s="1" t="str">
        <f t="shared" si="4"/>
        <v>10 ARABINOSE 1</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784</v>
      </c>
      <c r="D318" s="1" t="s">
        <v>675</v>
      </c>
      <c r="E318" s="1" t="s">
        <v>785</v>
      </c>
      <c r="F318" s="1" t="s">
        <v>112</v>
      </c>
      <c r="G318" s="1">
        <v>59235</v>
      </c>
    </row>
    <row r="319" spans="1:7" x14ac:dyDescent="0.3">
      <c r="A319" s="1" t="str">
        <f t="shared" si="4"/>
        <v>10 ARABINOSE 1</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786</v>
      </c>
      <c r="D319" s="1" t="s">
        <v>787</v>
      </c>
      <c r="E319" s="1" t="s">
        <v>788</v>
      </c>
      <c r="F319" s="1" t="s">
        <v>112</v>
      </c>
      <c r="G319" s="1">
        <v>68111</v>
      </c>
    </row>
    <row r="320" spans="1:7" x14ac:dyDescent="0.3">
      <c r="A320" s="1" t="str">
        <f t="shared" si="4"/>
        <v>10 ARABINOSE 1</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789</v>
      </c>
      <c r="D320" s="1" t="s">
        <v>214</v>
      </c>
      <c r="E320" s="1" t="s">
        <v>790</v>
      </c>
      <c r="F320" s="1" t="s">
        <v>112</v>
      </c>
      <c r="G320" s="1">
        <v>26518</v>
      </c>
    </row>
    <row r="321" spans="1:10" x14ac:dyDescent="0.3">
      <c r="A321" s="1" t="str">
        <f t="shared" si="4"/>
        <v>10 ARABINOSE 1</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791</v>
      </c>
      <c r="D321" s="1" t="s">
        <v>222</v>
      </c>
      <c r="E321" s="1" t="s">
        <v>792</v>
      </c>
      <c r="F321" s="1" t="s">
        <v>112</v>
      </c>
      <c r="G321" s="1">
        <v>15358</v>
      </c>
    </row>
    <row r="322" spans="1:10" x14ac:dyDescent="0.3">
      <c r="A322" s="1" t="str">
        <f t="shared" ref="A322:A385" si="5">IFERROR(LEFT(RIGHT(C322,LEN(C322)-SEARCH("@",C322)),SEARCH("/",RIGHT(C322,LEN(C322)-SEARCH("@",C322)-1))),"")</f>
        <v>10 ARABINOSE 1</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793</v>
      </c>
      <c r="D322" s="1" t="s">
        <v>279</v>
      </c>
      <c r="E322" s="1" t="s">
        <v>794</v>
      </c>
      <c r="F322" s="1" t="s">
        <v>112</v>
      </c>
      <c r="G322" s="1">
        <v>19839</v>
      </c>
    </row>
    <row r="323" spans="1:10" x14ac:dyDescent="0.3">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10" x14ac:dyDescent="0.3">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229</v>
      </c>
      <c r="D324" s="1" t="s">
        <v>112</v>
      </c>
      <c r="E324" s="1" t="s">
        <v>230</v>
      </c>
      <c r="F324" s="1" t="s">
        <v>231</v>
      </c>
      <c r="G324" s="1" t="s">
        <v>232</v>
      </c>
      <c r="H324" s="1" t="s">
        <v>233</v>
      </c>
      <c r="I324" s="1" t="s">
        <v>234</v>
      </c>
      <c r="J324" s="1" t="s">
        <v>235</v>
      </c>
    </row>
    <row r="325" spans="1:10" x14ac:dyDescent="0.3">
      <c r="A325" s="1" t="str">
        <f t="shared" si="5"/>
        <v>10 ARABINOSE 1</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795</v>
      </c>
      <c r="D325" s="1" t="s">
        <v>112</v>
      </c>
      <c r="E325" s="1" t="s">
        <v>796</v>
      </c>
      <c r="F325" s="1" t="s">
        <v>797</v>
      </c>
      <c r="G325" s="1" t="s">
        <v>798</v>
      </c>
      <c r="H325" s="1" t="s">
        <v>799</v>
      </c>
      <c r="I325" s="1">
        <v>24</v>
      </c>
      <c r="J325" s="1">
        <v>24</v>
      </c>
    </row>
    <row r="326" spans="1:10" x14ac:dyDescent="0.3">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10" x14ac:dyDescent="0.3">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10" x14ac:dyDescent="0.3">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10" x14ac:dyDescent="0.3">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10" x14ac:dyDescent="0.3">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10" x14ac:dyDescent="0.3">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241</v>
      </c>
      <c r="D331" s="1" t="s">
        <v>110</v>
      </c>
      <c r="E331" s="1" t="s">
        <v>111</v>
      </c>
      <c r="F331" s="1" t="s">
        <v>112</v>
      </c>
      <c r="G331" s="1" t="s">
        <v>113</v>
      </c>
    </row>
    <row r="332" spans="1:10" x14ac:dyDescent="0.3">
      <c r="A332" s="1" t="str">
        <f t="shared" si="5"/>
        <v>11 ARABINOSE 10</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800</v>
      </c>
      <c r="D332" s="1" t="s">
        <v>247</v>
      </c>
      <c r="E332" s="1" t="s">
        <v>801</v>
      </c>
      <c r="F332" s="1" t="s">
        <v>112</v>
      </c>
      <c r="G332" s="1">
        <v>22733</v>
      </c>
    </row>
    <row r="333" spans="1:10" x14ac:dyDescent="0.3">
      <c r="A333" s="1" t="str">
        <f t="shared" si="5"/>
        <v>11 ARABINOSE 10</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802</v>
      </c>
      <c r="D333" s="1" t="s">
        <v>204</v>
      </c>
      <c r="E333" s="1" t="s">
        <v>803</v>
      </c>
      <c r="F333" s="1" t="s">
        <v>112</v>
      </c>
      <c r="G333" s="1">
        <v>12508</v>
      </c>
    </row>
    <row r="334" spans="1:10" x14ac:dyDescent="0.3">
      <c r="A334" s="1" t="str">
        <f t="shared" si="5"/>
        <v>11 ARABINOSE 10</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804</v>
      </c>
      <c r="D334" s="1" t="s">
        <v>183</v>
      </c>
      <c r="E334" s="1" t="s">
        <v>805</v>
      </c>
      <c r="F334" s="1" t="s">
        <v>112</v>
      </c>
      <c r="G334" s="1">
        <v>8506</v>
      </c>
    </row>
    <row r="335" spans="1:10" x14ac:dyDescent="0.3">
      <c r="A335" s="1" t="str">
        <f t="shared" si="5"/>
        <v>11 ARABINOSE 10</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806</v>
      </c>
    </row>
    <row r="336" spans="1:10" x14ac:dyDescent="0.3">
      <c r="A336" s="1" t="str">
        <f t="shared" si="5"/>
        <v>11 ARABINOSE 10</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807</v>
      </c>
    </row>
    <row r="337" spans="1:7" x14ac:dyDescent="0.3">
      <c r="A337" s="1" t="str">
        <f t="shared" si="5"/>
        <v>11 ARABINOSE 10</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808</v>
      </c>
    </row>
    <row r="338" spans="1:7" x14ac:dyDescent="0.3">
      <c r="A338" s="1" t="str">
        <f t="shared" si="5"/>
        <v>11 ARABINOSE 10</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809</v>
      </c>
      <c r="D338" s="1" t="s">
        <v>810</v>
      </c>
      <c r="E338" s="1" t="s">
        <v>811</v>
      </c>
      <c r="F338" s="1" t="s">
        <v>112</v>
      </c>
      <c r="G338" s="1">
        <v>217385</v>
      </c>
    </row>
    <row r="339" spans="1:7" x14ac:dyDescent="0.3">
      <c r="A339" s="1" t="str">
        <f t="shared" si="5"/>
        <v>11 ARABINOSE 10</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812</v>
      </c>
      <c r="D339" s="1" t="s">
        <v>813</v>
      </c>
      <c r="E339" s="1" t="s">
        <v>814</v>
      </c>
      <c r="F339" s="1" t="s">
        <v>112</v>
      </c>
      <c r="G339" s="1">
        <v>179447</v>
      </c>
    </row>
    <row r="340" spans="1:7" x14ac:dyDescent="0.3">
      <c r="A340" s="1" t="str">
        <f t="shared" si="5"/>
        <v>11 ARABINOSE 10</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815</v>
      </c>
      <c r="D340" s="1" t="s">
        <v>816</v>
      </c>
      <c r="E340" s="1" t="s">
        <v>817</v>
      </c>
      <c r="F340" s="1" t="s">
        <v>112</v>
      </c>
      <c r="G340" s="1">
        <v>151450</v>
      </c>
    </row>
    <row r="341" spans="1:7" x14ac:dyDescent="0.3">
      <c r="A341" s="1" t="str">
        <f t="shared" si="5"/>
        <v>11 ARABINOSE 10</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818</v>
      </c>
      <c r="D341" s="1" t="s">
        <v>819</v>
      </c>
      <c r="E341" s="1" t="s">
        <v>820</v>
      </c>
      <c r="F341" s="1" t="s">
        <v>112</v>
      </c>
      <c r="G341" s="1">
        <v>434140</v>
      </c>
    </row>
    <row r="342" spans="1:7" x14ac:dyDescent="0.3">
      <c r="A342" s="1" t="str">
        <f t="shared" si="5"/>
        <v>11 ARABINOSE 10</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821</v>
      </c>
    </row>
    <row r="343" spans="1:7" x14ac:dyDescent="0.3">
      <c r="A343" s="1" t="str">
        <f t="shared" si="5"/>
        <v>11 ARABINOSE 10</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822</v>
      </c>
    </row>
    <row r="344" spans="1:7" x14ac:dyDescent="0.3">
      <c r="A344" s="1" t="str">
        <f t="shared" si="5"/>
        <v>11 ARABINOSE 10</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823</v>
      </c>
      <c r="D344" s="1" t="s">
        <v>321</v>
      </c>
      <c r="E344" s="1" t="s">
        <v>824</v>
      </c>
      <c r="F344" s="1" t="s">
        <v>112</v>
      </c>
      <c r="G344" s="1">
        <v>171006</v>
      </c>
    </row>
    <row r="345" spans="1:7" x14ac:dyDescent="0.3">
      <c r="A345" s="1" t="str">
        <f t="shared" si="5"/>
        <v>11 ARABINOSE 10</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825</v>
      </c>
      <c r="D345" s="1" t="s">
        <v>826</v>
      </c>
      <c r="E345" s="1" t="s">
        <v>827</v>
      </c>
      <c r="F345" s="1" t="s">
        <v>112</v>
      </c>
      <c r="G345" s="1">
        <v>60388</v>
      </c>
    </row>
    <row r="346" spans="1:7" x14ac:dyDescent="0.3">
      <c r="A346" s="1" t="str">
        <f t="shared" si="5"/>
        <v>11 ARABINOSE 10</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828</v>
      </c>
      <c r="D346" s="1" t="s">
        <v>275</v>
      </c>
      <c r="E346" s="1">
        <v>64</v>
      </c>
      <c r="F346" s="1" t="s">
        <v>112</v>
      </c>
      <c r="G346" s="1">
        <v>13922</v>
      </c>
    </row>
    <row r="347" spans="1:7" x14ac:dyDescent="0.3">
      <c r="A347" s="1" t="str">
        <f t="shared" si="5"/>
        <v>11 ARABINOSE 10</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829</v>
      </c>
      <c r="D347" s="1" t="s">
        <v>192</v>
      </c>
      <c r="E347" s="1" t="s">
        <v>830</v>
      </c>
      <c r="F347" s="1" t="s">
        <v>112</v>
      </c>
      <c r="G347" s="1">
        <v>20927</v>
      </c>
    </row>
    <row r="348" spans="1:7" x14ac:dyDescent="0.3">
      <c r="A348" s="1" t="str">
        <f t="shared" si="5"/>
        <v>11 ARABINOSE 10</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831</v>
      </c>
      <c r="D348" s="1" t="s">
        <v>826</v>
      </c>
      <c r="E348" s="1" t="s">
        <v>832</v>
      </c>
      <c r="F348" s="1" t="s">
        <v>112</v>
      </c>
      <c r="G348" s="1">
        <v>57734</v>
      </c>
    </row>
    <row r="349" spans="1:7" x14ac:dyDescent="0.3">
      <c r="A349" s="1" t="str">
        <f t="shared" si="5"/>
        <v>11 ARABINOSE 10</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833</v>
      </c>
      <c r="D349" s="1" t="s">
        <v>177</v>
      </c>
      <c r="E349" s="1" t="s">
        <v>834</v>
      </c>
      <c r="F349" s="1" t="s">
        <v>112</v>
      </c>
      <c r="G349" s="1">
        <v>61955</v>
      </c>
    </row>
    <row r="350" spans="1:7" x14ac:dyDescent="0.3">
      <c r="A350" s="1" t="str">
        <f t="shared" si="5"/>
        <v>11 ARABINOSE 10</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835</v>
      </c>
    </row>
    <row r="351" spans="1:7" x14ac:dyDescent="0.3">
      <c r="A351" s="1" t="str">
        <f t="shared" si="5"/>
        <v>11 ARABINOSE 10</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836</v>
      </c>
      <c r="D351" s="1" t="s">
        <v>772</v>
      </c>
      <c r="E351" s="1" t="s">
        <v>837</v>
      </c>
      <c r="F351" s="1" t="s">
        <v>112</v>
      </c>
      <c r="G351" s="1">
        <v>82077</v>
      </c>
    </row>
    <row r="352" spans="1:7" x14ac:dyDescent="0.3">
      <c r="A352" s="1" t="str">
        <f t="shared" si="5"/>
        <v>11 ARABINOSE 10</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838</v>
      </c>
      <c r="D352" s="1" t="s">
        <v>383</v>
      </c>
      <c r="E352" s="1">
        <v>64</v>
      </c>
      <c r="F352" s="1" t="s">
        <v>112</v>
      </c>
      <c r="G352" s="1">
        <v>9746</v>
      </c>
    </row>
    <row r="353" spans="1:10" x14ac:dyDescent="0.3">
      <c r="A353" s="1" t="str">
        <f t="shared" si="5"/>
        <v>11 ARABINOSE 10</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839</v>
      </c>
      <c r="D353" s="1" t="s">
        <v>840</v>
      </c>
      <c r="E353" s="1" t="s">
        <v>841</v>
      </c>
      <c r="F353" s="1" t="s">
        <v>112</v>
      </c>
      <c r="G353" s="1">
        <v>332876</v>
      </c>
    </row>
    <row r="354" spans="1:10" x14ac:dyDescent="0.3">
      <c r="A354" s="1" t="str">
        <f t="shared" si="5"/>
        <v>11 ARABINOSE 10</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842</v>
      </c>
      <c r="D354" s="1" t="s">
        <v>843</v>
      </c>
      <c r="E354" s="1" t="s">
        <v>844</v>
      </c>
      <c r="F354" s="1" t="s">
        <v>112</v>
      </c>
      <c r="G354" s="1">
        <v>108725</v>
      </c>
    </row>
    <row r="355" spans="1:10" x14ac:dyDescent="0.3">
      <c r="A355" s="1" t="str">
        <f t="shared" si="5"/>
        <v>11 ARABINOSE 10</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845</v>
      </c>
      <c r="D355" s="1" t="s">
        <v>846</v>
      </c>
      <c r="E355" s="1" t="s">
        <v>847</v>
      </c>
      <c r="F355" s="1" t="s">
        <v>112</v>
      </c>
      <c r="G355" s="1">
        <v>112336</v>
      </c>
    </row>
    <row r="356" spans="1:10" x14ac:dyDescent="0.3">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10" x14ac:dyDescent="0.3">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229</v>
      </c>
      <c r="D357" s="1" t="s">
        <v>112</v>
      </c>
      <c r="E357" s="1" t="s">
        <v>230</v>
      </c>
      <c r="F357" s="1" t="s">
        <v>231</v>
      </c>
      <c r="G357" s="1" t="s">
        <v>232</v>
      </c>
      <c r="H357" s="1" t="s">
        <v>233</v>
      </c>
      <c r="I357" s="1" t="s">
        <v>234</v>
      </c>
      <c r="J357" s="1" t="s">
        <v>235</v>
      </c>
    </row>
    <row r="358" spans="1:10" x14ac:dyDescent="0.3">
      <c r="A358" s="1" t="str">
        <f t="shared" si="5"/>
        <v>11 ARABINOSE 10</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848</v>
      </c>
      <c r="D358" s="1" t="s">
        <v>112</v>
      </c>
      <c r="E358" s="1" t="s">
        <v>849</v>
      </c>
      <c r="F358" s="1" t="s">
        <v>850</v>
      </c>
      <c r="G358" s="1" t="s">
        <v>851</v>
      </c>
      <c r="H358" s="1" t="s">
        <v>852</v>
      </c>
      <c r="I358" s="1">
        <v>24</v>
      </c>
      <c r="J358" s="1">
        <v>24</v>
      </c>
    </row>
    <row r="359" spans="1:10" x14ac:dyDescent="0.3">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10" x14ac:dyDescent="0.3">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10" x14ac:dyDescent="0.3">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10" x14ac:dyDescent="0.3">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10" x14ac:dyDescent="0.3">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10" x14ac:dyDescent="0.3">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241</v>
      </c>
      <c r="D364" s="1" t="s">
        <v>110</v>
      </c>
      <c r="E364" s="1" t="s">
        <v>111</v>
      </c>
      <c r="F364" s="1" t="s">
        <v>112</v>
      </c>
      <c r="G364" s="1" t="s">
        <v>113</v>
      </c>
    </row>
    <row r="365" spans="1:10" x14ac:dyDescent="0.3">
      <c r="A365" s="1" t="str">
        <f t="shared" si="5"/>
        <v>12 ARABINOSE 100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853</v>
      </c>
      <c r="D365" s="1" t="s">
        <v>854</v>
      </c>
      <c r="E365" s="1" t="s">
        <v>855</v>
      </c>
      <c r="F365" s="1" t="s">
        <v>112</v>
      </c>
      <c r="G365" s="1">
        <v>208183</v>
      </c>
    </row>
    <row r="366" spans="1:10" x14ac:dyDescent="0.3">
      <c r="A366" s="1" t="str">
        <f t="shared" si="5"/>
        <v>12 ARABINOSE 100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856</v>
      </c>
      <c r="D366" s="1" t="s">
        <v>338</v>
      </c>
      <c r="E366" s="1">
        <v>63</v>
      </c>
      <c r="F366" s="1" t="s">
        <v>112</v>
      </c>
      <c r="G366" s="1">
        <v>69895</v>
      </c>
    </row>
    <row r="367" spans="1:10" x14ac:dyDescent="0.3">
      <c r="A367" s="1" t="str">
        <f t="shared" si="5"/>
        <v>12 ARABINOSE 100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857</v>
      </c>
      <c r="D367" s="1" t="s">
        <v>358</v>
      </c>
      <c r="E367" s="1" t="s">
        <v>858</v>
      </c>
      <c r="F367" s="1" t="s">
        <v>112</v>
      </c>
      <c r="G367" s="1">
        <v>109313</v>
      </c>
    </row>
    <row r="368" spans="1:10" x14ac:dyDescent="0.3">
      <c r="A368" s="1" t="str">
        <f t="shared" si="5"/>
        <v>12 ARABINOSE 100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859</v>
      </c>
      <c r="D368" s="1" t="s">
        <v>192</v>
      </c>
      <c r="E368" s="1" t="s">
        <v>860</v>
      </c>
      <c r="F368" s="1" t="s">
        <v>112</v>
      </c>
      <c r="G368" s="1">
        <v>20731</v>
      </c>
    </row>
    <row r="369" spans="1:7" x14ac:dyDescent="0.3">
      <c r="A369" s="1" t="str">
        <f t="shared" si="5"/>
        <v>12 ARABINOSE 100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861</v>
      </c>
      <c r="D369" s="1" t="s">
        <v>211</v>
      </c>
      <c r="E369" s="1" t="s">
        <v>862</v>
      </c>
      <c r="F369" s="1" t="s">
        <v>112</v>
      </c>
      <c r="G369" s="1">
        <v>50664</v>
      </c>
    </row>
    <row r="370" spans="1:7" x14ac:dyDescent="0.3">
      <c r="A370" s="1" t="str">
        <f t="shared" si="5"/>
        <v>12 ARABINOSE 100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863</v>
      </c>
      <c r="D370" s="1" t="s">
        <v>864</v>
      </c>
      <c r="E370" s="1" t="s">
        <v>865</v>
      </c>
      <c r="F370" s="1" t="s">
        <v>112</v>
      </c>
      <c r="G370" s="1">
        <v>127651</v>
      </c>
    </row>
    <row r="371" spans="1:7" x14ac:dyDescent="0.3">
      <c r="A371" s="1" t="str">
        <f t="shared" si="5"/>
        <v>12 ARABINOSE 100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866</v>
      </c>
      <c r="D371" s="1" t="s">
        <v>772</v>
      </c>
      <c r="E371" s="1" t="s">
        <v>867</v>
      </c>
      <c r="F371" s="1" t="s">
        <v>112</v>
      </c>
      <c r="G371" s="1">
        <v>84318</v>
      </c>
    </row>
    <row r="372" spans="1:7" x14ac:dyDescent="0.3">
      <c r="A372" s="1" t="str">
        <f t="shared" si="5"/>
        <v>12 ARABINOSE 100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868</v>
      </c>
      <c r="D372" s="1" t="s">
        <v>869</v>
      </c>
      <c r="E372" s="1" t="s">
        <v>870</v>
      </c>
      <c r="F372" s="1" t="s">
        <v>112</v>
      </c>
      <c r="G372" s="1">
        <v>163828</v>
      </c>
    </row>
    <row r="373" spans="1:7" x14ac:dyDescent="0.3">
      <c r="A373" s="1" t="str">
        <f t="shared" si="5"/>
        <v>12 ARABINOSE 100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871</v>
      </c>
      <c r="D373" s="1" t="s">
        <v>872</v>
      </c>
      <c r="E373" s="1" t="s">
        <v>873</v>
      </c>
      <c r="F373" s="1" t="s">
        <v>112</v>
      </c>
      <c r="G373" s="1">
        <v>192260</v>
      </c>
    </row>
    <row r="374" spans="1:7" x14ac:dyDescent="0.3">
      <c r="A374" s="1" t="str">
        <f t="shared" si="5"/>
        <v>12 ARABINOSE 100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874</v>
      </c>
      <c r="D374" s="1" t="s">
        <v>875</v>
      </c>
      <c r="E374" s="1" t="s">
        <v>876</v>
      </c>
      <c r="F374" s="1" t="s">
        <v>112</v>
      </c>
      <c r="G374" s="1">
        <v>460483</v>
      </c>
    </row>
    <row r="375" spans="1:7" x14ac:dyDescent="0.3">
      <c r="A375" s="1" t="str">
        <f t="shared" si="5"/>
        <v>12 ARABINOSE 100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877</v>
      </c>
      <c r="D375" s="1" t="s">
        <v>878</v>
      </c>
      <c r="E375" s="1" t="s">
        <v>879</v>
      </c>
      <c r="F375" s="1" t="s">
        <v>112</v>
      </c>
      <c r="G375" s="1">
        <v>351040</v>
      </c>
    </row>
    <row r="376" spans="1:7" x14ac:dyDescent="0.3">
      <c r="A376" s="1" t="str">
        <f t="shared" si="5"/>
        <v>12 ARABINOSE 100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880</v>
      </c>
      <c r="D376" s="1" t="s">
        <v>214</v>
      </c>
      <c r="E376" s="1" t="s">
        <v>881</v>
      </c>
      <c r="F376" s="1" t="s">
        <v>112</v>
      </c>
      <c r="G376" s="1">
        <v>26170</v>
      </c>
    </row>
    <row r="377" spans="1:7" x14ac:dyDescent="0.3">
      <c r="A377" s="1" t="str">
        <f t="shared" si="5"/>
        <v>12 ARABINOSE 100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882</v>
      </c>
    </row>
    <row r="378" spans="1:7" x14ac:dyDescent="0.3">
      <c r="A378" s="1" t="str">
        <f t="shared" si="5"/>
        <v>12 ARABINOSE 100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883</v>
      </c>
      <c r="D378" s="1" t="s">
        <v>214</v>
      </c>
      <c r="E378" s="1" t="s">
        <v>884</v>
      </c>
      <c r="F378" s="1" t="s">
        <v>112</v>
      </c>
      <c r="G378" s="1">
        <v>26757</v>
      </c>
    </row>
    <row r="379" spans="1:7" x14ac:dyDescent="0.3">
      <c r="A379" s="1" t="str">
        <f t="shared" si="5"/>
        <v>12 ARABINOSE 100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885</v>
      </c>
      <c r="D379" s="1" t="s">
        <v>171</v>
      </c>
      <c r="E379" s="1" t="s">
        <v>243</v>
      </c>
      <c r="F379" s="1" t="s">
        <v>112</v>
      </c>
      <c r="G379" s="1">
        <v>17882</v>
      </c>
    </row>
    <row r="380" spans="1:7" x14ac:dyDescent="0.3">
      <c r="A380" s="1" t="str">
        <f t="shared" si="5"/>
        <v>12 ARABINOSE 100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886</v>
      </c>
      <c r="D380" s="1" t="s">
        <v>887</v>
      </c>
      <c r="E380" s="1" t="s">
        <v>888</v>
      </c>
      <c r="F380" s="1" t="s">
        <v>112</v>
      </c>
      <c r="G380" s="1">
        <v>131871</v>
      </c>
    </row>
    <row r="381" spans="1:7" x14ac:dyDescent="0.3">
      <c r="A381" s="1" t="str">
        <f t="shared" si="5"/>
        <v>12 ARABINOSE 100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889</v>
      </c>
      <c r="D381" s="1" t="s">
        <v>675</v>
      </c>
      <c r="E381" s="1" t="s">
        <v>890</v>
      </c>
      <c r="F381" s="1" t="s">
        <v>112</v>
      </c>
      <c r="G381" s="1">
        <v>55777</v>
      </c>
    </row>
    <row r="382" spans="1:7" x14ac:dyDescent="0.3">
      <c r="A382" s="1" t="str">
        <f t="shared" si="5"/>
        <v>12 ARABINOSE 100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891</v>
      </c>
      <c r="D382" s="1" t="s">
        <v>892</v>
      </c>
      <c r="E382" s="1" t="s">
        <v>893</v>
      </c>
      <c r="F382" s="1" t="s">
        <v>112</v>
      </c>
      <c r="G382" s="1">
        <v>451260</v>
      </c>
    </row>
    <row r="383" spans="1:7" x14ac:dyDescent="0.3">
      <c r="A383" s="1" t="str">
        <f t="shared" si="5"/>
        <v>12 ARABINOSE 100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894</v>
      </c>
    </row>
    <row r="384" spans="1:7" x14ac:dyDescent="0.3">
      <c r="A384" s="1" t="str">
        <f t="shared" si="5"/>
        <v>12 ARABINOSE 100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895</v>
      </c>
    </row>
    <row r="385" spans="1:10" x14ac:dyDescent="0.3">
      <c r="A385" s="1" t="str">
        <f t="shared" si="5"/>
        <v>12 ARABINOSE 100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896</v>
      </c>
    </row>
    <row r="386" spans="1:10" x14ac:dyDescent="0.3">
      <c r="A386" s="1" t="str">
        <f t="shared" ref="A386:A449" si="6">IFERROR(LEFT(RIGHT(C386,LEN(C386)-SEARCH("@",C386)),SEARCH("/",RIGHT(C386,LEN(C386)-SEARCH("@",C386)-1))),"")</f>
        <v>12 ARABINOSE 100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897</v>
      </c>
    </row>
    <row r="387" spans="1:10" x14ac:dyDescent="0.3">
      <c r="A387" s="1" t="str">
        <f t="shared" si="6"/>
        <v>12 ARABINOSE 100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898</v>
      </c>
      <c r="D387" s="1" t="s">
        <v>899</v>
      </c>
      <c r="E387" s="1" t="s">
        <v>900</v>
      </c>
      <c r="F387" s="1" t="s">
        <v>112</v>
      </c>
      <c r="G387" s="1">
        <v>127716</v>
      </c>
    </row>
    <row r="388" spans="1:10" x14ac:dyDescent="0.3">
      <c r="A388" s="1" t="str">
        <f t="shared" si="6"/>
        <v>12 ARABINOSE 100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901</v>
      </c>
      <c r="D388" s="1" t="s">
        <v>902</v>
      </c>
      <c r="E388" s="1" t="s">
        <v>903</v>
      </c>
      <c r="F388" s="1" t="s">
        <v>112</v>
      </c>
      <c r="G388" s="1">
        <v>206378</v>
      </c>
    </row>
    <row r="389" spans="1:10" x14ac:dyDescent="0.3">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10" x14ac:dyDescent="0.3">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229</v>
      </c>
      <c r="D390" s="1" t="s">
        <v>112</v>
      </c>
      <c r="E390" s="1" t="s">
        <v>230</v>
      </c>
      <c r="F390" s="1" t="s">
        <v>231</v>
      </c>
      <c r="G390" s="1" t="s">
        <v>232</v>
      </c>
      <c r="H390" s="1" t="s">
        <v>233</v>
      </c>
      <c r="I390" s="1" t="s">
        <v>234</v>
      </c>
      <c r="J390" s="1" t="s">
        <v>235</v>
      </c>
    </row>
    <row r="391" spans="1:10" x14ac:dyDescent="0.3">
      <c r="A391" s="1" t="str">
        <f t="shared" si="6"/>
        <v>12 ARABINOSE 100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904</v>
      </c>
      <c r="D391" s="1" t="s">
        <v>112</v>
      </c>
      <c r="E391" s="1" t="s">
        <v>905</v>
      </c>
      <c r="F391" s="1" t="s">
        <v>906</v>
      </c>
      <c r="G391" s="1" t="s">
        <v>907</v>
      </c>
      <c r="H391" s="1" t="s">
        <v>908</v>
      </c>
      <c r="I391" s="1">
        <v>24</v>
      </c>
      <c r="J391" s="1">
        <v>24</v>
      </c>
    </row>
    <row r="392" spans="1:10" x14ac:dyDescent="0.3">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10" x14ac:dyDescent="0.3">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10" x14ac:dyDescent="0.3">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10" x14ac:dyDescent="0.3">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10" x14ac:dyDescent="0.3">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10" x14ac:dyDescent="0.3">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241</v>
      </c>
      <c r="D397" s="1" t="s">
        <v>110</v>
      </c>
      <c r="E397" s="1" t="s">
        <v>111</v>
      </c>
      <c r="F397" s="1" t="s">
        <v>112</v>
      </c>
      <c r="G397" s="1" t="s">
        <v>113</v>
      </c>
    </row>
    <row r="398" spans="1:10" x14ac:dyDescent="0.3">
      <c r="A398" s="1" t="str">
        <f t="shared" si="6"/>
        <v>13 TESTO 0.2</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909</v>
      </c>
      <c r="D398" s="1" t="s">
        <v>910</v>
      </c>
      <c r="E398" s="1" t="s">
        <v>911</v>
      </c>
      <c r="F398" s="1" t="s">
        <v>112</v>
      </c>
      <c r="G398" s="1">
        <v>240140</v>
      </c>
    </row>
    <row r="399" spans="1:10" x14ac:dyDescent="0.3">
      <c r="A399" s="1" t="str">
        <f t="shared" si="6"/>
        <v>13 TESTO 0.2</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912</v>
      </c>
    </row>
    <row r="400" spans="1:10" x14ac:dyDescent="0.3">
      <c r="A400" s="1" t="str">
        <f t="shared" si="6"/>
        <v>13 TESTO 0.2</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913</v>
      </c>
      <c r="D400" s="1" t="s">
        <v>225</v>
      </c>
      <c r="E400" s="1" t="s">
        <v>914</v>
      </c>
      <c r="F400" s="1" t="s">
        <v>112</v>
      </c>
      <c r="G400" s="1">
        <v>121081</v>
      </c>
    </row>
    <row r="401" spans="1:7" x14ac:dyDescent="0.3">
      <c r="A401" s="1" t="str">
        <f t="shared" si="6"/>
        <v>13 TESTO 0.2</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915</v>
      </c>
      <c r="D401" s="1" t="s">
        <v>916</v>
      </c>
      <c r="E401" s="1" t="s">
        <v>917</v>
      </c>
      <c r="F401" s="1" t="s">
        <v>112</v>
      </c>
      <c r="G401" s="1">
        <v>2986116</v>
      </c>
    </row>
    <row r="402" spans="1:7" x14ac:dyDescent="0.3">
      <c r="A402" s="1" t="str">
        <f t="shared" si="6"/>
        <v>13 TESTO 0.2</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918</v>
      </c>
      <c r="D402" s="1" t="s">
        <v>919</v>
      </c>
      <c r="E402" s="1" t="s">
        <v>920</v>
      </c>
      <c r="F402" s="1" t="s">
        <v>112</v>
      </c>
      <c r="G402" s="1">
        <v>2732032</v>
      </c>
    </row>
    <row r="403" spans="1:7" x14ac:dyDescent="0.3">
      <c r="A403" s="1" t="str">
        <f t="shared" si="6"/>
        <v>13 TESTO 0.2</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921</v>
      </c>
      <c r="D403" s="1" t="s">
        <v>922</v>
      </c>
      <c r="E403" s="1" t="s">
        <v>923</v>
      </c>
      <c r="F403" s="1" t="s">
        <v>112</v>
      </c>
      <c r="G403" s="1">
        <v>2855768</v>
      </c>
    </row>
    <row r="404" spans="1:7" x14ac:dyDescent="0.3">
      <c r="A404" s="1" t="str">
        <f t="shared" si="6"/>
        <v>13 TESTO 0.2</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924</v>
      </c>
      <c r="D404" s="1" t="s">
        <v>925</v>
      </c>
      <c r="E404" s="1" t="s">
        <v>926</v>
      </c>
      <c r="F404" s="1" t="s">
        <v>112</v>
      </c>
      <c r="G404" s="1">
        <v>3881305</v>
      </c>
    </row>
    <row r="405" spans="1:7" x14ac:dyDescent="0.3">
      <c r="A405" s="1" t="str">
        <f t="shared" si="6"/>
        <v>13 TESTO 0.2</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927</v>
      </c>
      <c r="D405" s="1" t="s">
        <v>928</v>
      </c>
      <c r="E405" s="1" t="s">
        <v>929</v>
      </c>
      <c r="F405" s="1" t="s">
        <v>112</v>
      </c>
      <c r="G405" s="1">
        <v>3889115</v>
      </c>
    </row>
    <row r="406" spans="1:7" x14ac:dyDescent="0.3">
      <c r="A406" s="1" t="str">
        <f t="shared" si="6"/>
        <v>13 TESTO 0.2</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930</v>
      </c>
      <c r="D406" s="1" t="s">
        <v>931</v>
      </c>
      <c r="E406" s="1" t="s">
        <v>932</v>
      </c>
      <c r="F406" s="1" t="s">
        <v>112</v>
      </c>
      <c r="G406" s="1">
        <v>3802948</v>
      </c>
    </row>
    <row r="407" spans="1:7" x14ac:dyDescent="0.3">
      <c r="A407" s="1" t="str">
        <f t="shared" si="6"/>
        <v>13 TESTO 0.2</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933</v>
      </c>
      <c r="D407" s="1" t="s">
        <v>934</v>
      </c>
      <c r="E407" s="1" t="s">
        <v>935</v>
      </c>
      <c r="F407" s="1" t="s">
        <v>112</v>
      </c>
      <c r="G407" s="1">
        <v>2083444</v>
      </c>
    </row>
    <row r="408" spans="1:7" x14ac:dyDescent="0.3">
      <c r="A408" s="1" t="str">
        <f t="shared" si="6"/>
        <v>13 TESTO 0.2</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936</v>
      </c>
      <c r="D408" s="1" t="s">
        <v>937</v>
      </c>
      <c r="E408" s="1" t="s">
        <v>938</v>
      </c>
      <c r="F408" s="1" t="s">
        <v>112</v>
      </c>
      <c r="G408" s="1">
        <v>1706212</v>
      </c>
    </row>
    <row r="409" spans="1:7" x14ac:dyDescent="0.3">
      <c r="A409" s="1" t="str">
        <f t="shared" si="6"/>
        <v>13 TESTO 0.2</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939</v>
      </c>
      <c r="D409" s="1" t="s">
        <v>940</v>
      </c>
      <c r="E409" s="1" t="s">
        <v>941</v>
      </c>
      <c r="F409" s="1" t="s">
        <v>112</v>
      </c>
      <c r="G409" s="1">
        <v>2085293</v>
      </c>
    </row>
    <row r="410" spans="1:7" x14ac:dyDescent="0.3">
      <c r="A410" s="1" t="str">
        <f t="shared" si="6"/>
        <v>13 TESTO 0.2</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942</v>
      </c>
      <c r="D410" s="1" t="s">
        <v>943</v>
      </c>
      <c r="E410" s="1" t="s">
        <v>944</v>
      </c>
      <c r="F410" s="1" t="s">
        <v>112</v>
      </c>
      <c r="G410" s="1">
        <v>2186492</v>
      </c>
    </row>
    <row r="411" spans="1:7" x14ac:dyDescent="0.3">
      <c r="A411" s="1" t="str">
        <f t="shared" si="6"/>
        <v>13 TESTO 0.2</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945</v>
      </c>
      <c r="D411" s="1" t="s">
        <v>946</v>
      </c>
      <c r="E411" s="1" t="s">
        <v>947</v>
      </c>
      <c r="F411" s="1" t="s">
        <v>112</v>
      </c>
      <c r="G411" s="1">
        <v>2096127</v>
      </c>
    </row>
    <row r="412" spans="1:7" x14ac:dyDescent="0.3">
      <c r="A412" s="1" t="str">
        <f t="shared" si="6"/>
        <v>13 TESTO 0.2</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948</v>
      </c>
      <c r="D412" s="1" t="s">
        <v>949</v>
      </c>
      <c r="E412" s="1" t="s">
        <v>950</v>
      </c>
      <c r="F412" s="1" t="s">
        <v>112</v>
      </c>
      <c r="G412" s="1">
        <v>1762185</v>
      </c>
    </row>
    <row r="413" spans="1:7" x14ac:dyDescent="0.3">
      <c r="A413" s="1" t="str">
        <f t="shared" si="6"/>
        <v>13 TESTO 0.2</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951</v>
      </c>
      <c r="D413" s="1" t="s">
        <v>952</v>
      </c>
      <c r="E413" s="1" t="s">
        <v>953</v>
      </c>
      <c r="F413" s="1" t="s">
        <v>112</v>
      </c>
      <c r="G413" s="1">
        <v>752484</v>
      </c>
    </row>
    <row r="414" spans="1:7" x14ac:dyDescent="0.3">
      <c r="A414" s="1" t="str">
        <f t="shared" si="6"/>
        <v>13 TESTO 0.2</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954</v>
      </c>
      <c r="D414" s="1" t="s">
        <v>955</v>
      </c>
      <c r="E414" s="1" t="s">
        <v>956</v>
      </c>
      <c r="F414" s="1" t="s">
        <v>112</v>
      </c>
      <c r="G414" s="1">
        <v>426787</v>
      </c>
    </row>
    <row r="415" spans="1:7" x14ac:dyDescent="0.3">
      <c r="A415" s="1" t="str">
        <f t="shared" si="6"/>
        <v>13 TESTO 0.2</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957</v>
      </c>
      <c r="D415" s="1" t="s">
        <v>958</v>
      </c>
      <c r="E415" s="1" t="s">
        <v>959</v>
      </c>
      <c r="F415" s="1" t="s">
        <v>112</v>
      </c>
      <c r="G415" s="1">
        <v>466422</v>
      </c>
    </row>
    <row r="416" spans="1:7" x14ac:dyDescent="0.3">
      <c r="A416" s="1" t="str">
        <f t="shared" si="6"/>
        <v>13 TESTO 0.2</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960</v>
      </c>
      <c r="D416" s="1" t="s">
        <v>961</v>
      </c>
      <c r="E416" s="1" t="s">
        <v>962</v>
      </c>
      <c r="F416" s="1" t="s">
        <v>112</v>
      </c>
      <c r="G416" s="1">
        <v>284235</v>
      </c>
    </row>
    <row r="417" spans="1:10" x14ac:dyDescent="0.3">
      <c r="A417" s="1" t="str">
        <f t="shared" si="6"/>
        <v>13 TESTO 0.2</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963</v>
      </c>
      <c r="D417" s="1" t="s">
        <v>964</v>
      </c>
      <c r="E417" s="1" t="s">
        <v>316</v>
      </c>
      <c r="F417" s="1" t="s">
        <v>112</v>
      </c>
      <c r="G417" s="1">
        <v>233135</v>
      </c>
    </row>
    <row r="418" spans="1:10" x14ac:dyDescent="0.3">
      <c r="A418" s="1" t="str">
        <f t="shared" si="6"/>
        <v>13 TESTO 0.2</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965</v>
      </c>
      <c r="D418" s="1" t="s">
        <v>966</v>
      </c>
      <c r="E418" s="1" t="s">
        <v>967</v>
      </c>
      <c r="F418" s="1" t="s">
        <v>112</v>
      </c>
      <c r="G418" s="1">
        <v>621026</v>
      </c>
    </row>
    <row r="419" spans="1:10" x14ac:dyDescent="0.3">
      <c r="A419" s="1" t="str">
        <f t="shared" si="6"/>
        <v>13 TESTO 0.2</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968</v>
      </c>
      <c r="D419" s="1" t="s">
        <v>969</v>
      </c>
      <c r="E419" s="1" t="s">
        <v>970</v>
      </c>
      <c r="F419" s="1" t="s">
        <v>112</v>
      </c>
      <c r="G419" s="1">
        <v>2840975</v>
      </c>
    </row>
    <row r="420" spans="1:10" x14ac:dyDescent="0.3">
      <c r="A420" s="1" t="str">
        <f t="shared" si="6"/>
        <v>13 TESTO 0.2</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971</v>
      </c>
      <c r="D420" s="1" t="s">
        <v>972</v>
      </c>
      <c r="E420" s="1" t="s">
        <v>973</v>
      </c>
      <c r="F420" s="1" t="s">
        <v>112</v>
      </c>
      <c r="G420" s="1">
        <v>2516474</v>
      </c>
    </row>
    <row r="421" spans="1:10" x14ac:dyDescent="0.3">
      <c r="A421" s="1" t="str">
        <f t="shared" si="6"/>
        <v>13 TESTO 0.2</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974</v>
      </c>
      <c r="D421" s="1" t="s">
        <v>975</v>
      </c>
      <c r="E421" s="1" t="s">
        <v>976</v>
      </c>
      <c r="F421" s="1" t="s">
        <v>112</v>
      </c>
      <c r="G421" s="1">
        <v>2482430</v>
      </c>
    </row>
    <row r="422" spans="1:10" x14ac:dyDescent="0.3">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10" x14ac:dyDescent="0.3">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229</v>
      </c>
      <c r="D423" s="1" t="s">
        <v>112</v>
      </c>
      <c r="E423" s="1" t="s">
        <v>230</v>
      </c>
      <c r="F423" s="1" t="s">
        <v>231</v>
      </c>
      <c r="G423" s="1" t="s">
        <v>232</v>
      </c>
      <c r="H423" s="1" t="s">
        <v>233</v>
      </c>
      <c r="I423" s="1" t="s">
        <v>234</v>
      </c>
      <c r="J423" s="1" t="s">
        <v>235</v>
      </c>
    </row>
    <row r="424" spans="1:10" x14ac:dyDescent="0.3">
      <c r="A424" s="1" t="str">
        <f t="shared" si="6"/>
        <v>13 TESTO 0.2</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977</v>
      </c>
      <c r="D424" s="1" t="s">
        <v>112</v>
      </c>
      <c r="E424" s="1" t="s">
        <v>978</v>
      </c>
      <c r="F424" s="1" t="s">
        <v>979</v>
      </c>
      <c r="G424" s="1" t="s">
        <v>980</v>
      </c>
      <c r="H424" s="1" t="s">
        <v>981</v>
      </c>
      <c r="I424" s="1">
        <v>24</v>
      </c>
      <c r="J424" s="1">
        <v>24</v>
      </c>
    </row>
    <row r="425" spans="1:10" x14ac:dyDescent="0.3">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10" x14ac:dyDescent="0.3">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10" x14ac:dyDescent="0.3">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10" x14ac:dyDescent="0.3">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10" x14ac:dyDescent="0.3">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10" x14ac:dyDescent="0.3">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241</v>
      </c>
      <c r="D430" s="1" t="s">
        <v>110</v>
      </c>
      <c r="E430" s="1" t="s">
        <v>111</v>
      </c>
      <c r="F430" s="1" t="s">
        <v>112</v>
      </c>
      <c r="G430" s="1" t="s">
        <v>113</v>
      </c>
    </row>
    <row r="431" spans="1:10" x14ac:dyDescent="0.3">
      <c r="A431" s="1" t="str">
        <f t="shared" si="6"/>
        <v>14 TESTO 0.2</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982</v>
      </c>
      <c r="D431" s="1" t="s">
        <v>983</v>
      </c>
      <c r="E431" s="1" t="s">
        <v>984</v>
      </c>
      <c r="F431" s="1" t="s">
        <v>112</v>
      </c>
      <c r="G431" s="1">
        <v>3254558</v>
      </c>
    </row>
    <row r="432" spans="1:10" x14ac:dyDescent="0.3">
      <c r="A432" s="1" t="str">
        <f t="shared" si="6"/>
        <v>14 TESTO 0.2</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985</v>
      </c>
      <c r="D432" s="1" t="s">
        <v>986</v>
      </c>
      <c r="E432" s="1" t="s">
        <v>987</v>
      </c>
      <c r="F432" s="1" t="s">
        <v>112</v>
      </c>
      <c r="G432" s="1">
        <v>2964558</v>
      </c>
    </row>
    <row r="433" spans="1:7" x14ac:dyDescent="0.3">
      <c r="A433" s="1" t="str">
        <f t="shared" si="6"/>
        <v>14 TESTO 0.2</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988</v>
      </c>
      <c r="D433" s="1" t="s">
        <v>989</v>
      </c>
      <c r="E433" s="1" t="s">
        <v>990</v>
      </c>
      <c r="F433" s="1" t="s">
        <v>112</v>
      </c>
      <c r="G433" s="1">
        <v>2981135</v>
      </c>
    </row>
    <row r="434" spans="1:7" x14ac:dyDescent="0.3">
      <c r="A434" s="1" t="str">
        <f t="shared" si="6"/>
        <v>14 TESTO 0.2</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991</v>
      </c>
      <c r="D434" s="1" t="s">
        <v>992</v>
      </c>
      <c r="E434" s="1" t="s">
        <v>993</v>
      </c>
      <c r="F434" s="1" t="s">
        <v>112</v>
      </c>
      <c r="G434" s="1">
        <v>1708235</v>
      </c>
    </row>
    <row r="435" spans="1:7" x14ac:dyDescent="0.3">
      <c r="A435" s="1" t="str">
        <f t="shared" si="6"/>
        <v>14 TESTO 0.2</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994</v>
      </c>
    </row>
    <row r="436" spans="1:7" x14ac:dyDescent="0.3">
      <c r="A436" s="1" t="str">
        <f t="shared" si="6"/>
        <v>14 TESTO 0.2</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995</v>
      </c>
    </row>
    <row r="437" spans="1:7" x14ac:dyDescent="0.3">
      <c r="A437" s="1" t="str">
        <f t="shared" si="6"/>
        <v>14 TESTO 0.2</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996</v>
      </c>
    </row>
    <row r="438" spans="1:7" x14ac:dyDescent="0.3">
      <c r="A438" s="1" t="str">
        <f t="shared" si="6"/>
        <v>14 TESTO 0.2</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997</v>
      </c>
    </row>
    <row r="439" spans="1:7" x14ac:dyDescent="0.3">
      <c r="A439" s="1" t="str">
        <f t="shared" si="6"/>
        <v>14 TESTO 0.2</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998</v>
      </c>
    </row>
    <row r="440" spans="1:7" x14ac:dyDescent="0.3">
      <c r="A440" s="1" t="str">
        <f t="shared" si="6"/>
        <v>14 TESTO 0.2</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999</v>
      </c>
      <c r="D440" s="1" t="s">
        <v>1000</v>
      </c>
      <c r="E440" s="1" t="s">
        <v>1001</v>
      </c>
      <c r="F440" s="1" t="s">
        <v>112</v>
      </c>
      <c r="G440" s="1">
        <v>2280381</v>
      </c>
    </row>
    <row r="441" spans="1:7" x14ac:dyDescent="0.3">
      <c r="A441" s="1" t="str">
        <f t="shared" si="6"/>
        <v>14 TESTO 0.2</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1002</v>
      </c>
      <c r="D441" s="1" t="s">
        <v>1003</v>
      </c>
      <c r="E441" s="1" t="s">
        <v>1004</v>
      </c>
      <c r="F441" s="1" t="s">
        <v>112</v>
      </c>
      <c r="G441" s="1">
        <v>2664443</v>
      </c>
    </row>
    <row r="442" spans="1:7" x14ac:dyDescent="0.3">
      <c r="A442" s="1" t="str">
        <f t="shared" si="6"/>
        <v>14 TESTO 0.2</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1005</v>
      </c>
      <c r="D442" s="1" t="s">
        <v>1006</v>
      </c>
      <c r="E442" s="1" t="s">
        <v>1007</v>
      </c>
      <c r="F442" s="1" t="s">
        <v>112</v>
      </c>
      <c r="G442" s="1">
        <v>2945959</v>
      </c>
    </row>
    <row r="443" spans="1:7" x14ac:dyDescent="0.3">
      <c r="A443" s="1" t="str">
        <f t="shared" si="6"/>
        <v>14 TESTO 0.2</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1008</v>
      </c>
      <c r="D443" s="1" t="s">
        <v>1009</v>
      </c>
      <c r="E443" s="1" t="s">
        <v>1010</v>
      </c>
      <c r="F443" s="1" t="s">
        <v>112</v>
      </c>
      <c r="G443" s="1">
        <v>700058</v>
      </c>
    </row>
    <row r="444" spans="1:7" x14ac:dyDescent="0.3">
      <c r="A444" s="1" t="str">
        <f t="shared" si="6"/>
        <v>14 TESTO 0.2</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1011</v>
      </c>
      <c r="D444" s="1" t="s">
        <v>1012</v>
      </c>
      <c r="E444" s="1" t="s">
        <v>1013</v>
      </c>
      <c r="F444" s="1" t="s">
        <v>112</v>
      </c>
      <c r="G444" s="1">
        <v>731992</v>
      </c>
    </row>
    <row r="445" spans="1:7" x14ac:dyDescent="0.3">
      <c r="A445" s="1" t="str">
        <f t="shared" si="6"/>
        <v>14 TESTO 0.2</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1014</v>
      </c>
      <c r="D445" s="1" t="s">
        <v>1015</v>
      </c>
      <c r="E445" s="1" t="s">
        <v>1016</v>
      </c>
      <c r="F445" s="1" t="s">
        <v>112</v>
      </c>
      <c r="G445" s="1">
        <v>736365</v>
      </c>
    </row>
    <row r="446" spans="1:7" x14ac:dyDescent="0.3">
      <c r="A446" s="1" t="str">
        <f t="shared" si="6"/>
        <v>14 TESTO 0.2</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1017</v>
      </c>
      <c r="D446" s="1" t="s">
        <v>1018</v>
      </c>
      <c r="E446" s="1" t="s">
        <v>1019</v>
      </c>
      <c r="F446" s="1" t="s">
        <v>112</v>
      </c>
      <c r="G446" s="1">
        <v>1590178</v>
      </c>
    </row>
    <row r="447" spans="1:7" x14ac:dyDescent="0.3">
      <c r="A447" s="1" t="str">
        <f t="shared" si="6"/>
        <v>14 TESTO 0.2</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1020</v>
      </c>
      <c r="D447" s="1" t="s">
        <v>1021</v>
      </c>
      <c r="E447" s="1" t="s">
        <v>1022</v>
      </c>
      <c r="F447" s="1" t="s">
        <v>112</v>
      </c>
      <c r="G447" s="1">
        <v>1857249</v>
      </c>
    </row>
    <row r="448" spans="1:7" x14ac:dyDescent="0.3">
      <c r="A448" s="1" t="str">
        <f t="shared" si="6"/>
        <v>14 TESTO 0.2</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1023</v>
      </c>
      <c r="D448" s="1" t="s">
        <v>1024</v>
      </c>
      <c r="E448" s="1" t="s">
        <v>1025</v>
      </c>
      <c r="F448" s="1" t="s">
        <v>112</v>
      </c>
      <c r="G448" s="1">
        <v>1418127</v>
      </c>
    </row>
    <row r="449" spans="1:10" x14ac:dyDescent="0.3">
      <c r="A449" s="1" t="str">
        <f t="shared" si="6"/>
        <v>14 TESTO 0.2</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1026</v>
      </c>
      <c r="D449" s="1" t="s">
        <v>1027</v>
      </c>
      <c r="E449" s="1" t="s">
        <v>1028</v>
      </c>
      <c r="F449" s="1" t="s">
        <v>112</v>
      </c>
      <c r="G449" s="1">
        <v>1910001</v>
      </c>
    </row>
    <row r="450" spans="1:10" x14ac:dyDescent="0.3">
      <c r="A450" s="1" t="str">
        <f t="shared" ref="A450:A513" si="7">IFERROR(LEFT(RIGHT(C450,LEN(C450)-SEARCH("@",C450)),SEARCH("/",RIGHT(C450,LEN(C450)-SEARCH("@",C450)-1))),"")</f>
        <v>14 TESTO 0.2</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1029</v>
      </c>
      <c r="D450" s="1" t="s">
        <v>1030</v>
      </c>
      <c r="E450" s="1" t="s">
        <v>1031</v>
      </c>
      <c r="F450" s="1" t="s">
        <v>112</v>
      </c>
      <c r="G450" s="1">
        <v>2206483</v>
      </c>
    </row>
    <row r="451" spans="1:10" x14ac:dyDescent="0.3">
      <c r="A451" s="1" t="str">
        <f t="shared" si="7"/>
        <v>14 TESTO 0.2</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1032</v>
      </c>
      <c r="D451" s="1" t="s">
        <v>1033</v>
      </c>
      <c r="E451" s="1" t="s">
        <v>1034</v>
      </c>
      <c r="F451" s="1" t="s">
        <v>112</v>
      </c>
      <c r="G451" s="1">
        <v>2048355</v>
      </c>
    </row>
    <row r="452" spans="1:10" x14ac:dyDescent="0.3">
      <c r="A452" s="1" t="str">
        <f t="shared" si="7"/>
        <v>14 TESTO 0.2</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1035</v>
      </c>
      <c r="D452" s="1" t="s">
        <v>1036</v>
      </c>
      <c r="E452" s="1" t="s">
        <v>1037</v>
      </c>
      <c r="F452" s="1" t="s">
        <v>112</v>
      </c>
      <c r="G452" s="1">
        <v>1634294</v>
      </c>
    </row>
    <row r="453" spans="1:10" x14ac:dyDescent="0.3">
      <c r="A453" s="1" t="str">
        <f t="shared" si="7"/>
        <v>14 TESTO 0.2</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1038</v>
      </c>
      <c r="D453" s="1" t="s">
        <v>1039</v>
      </c>
      <c r="E453" s="1" t="s">
        <v>1040</v>
      </c>
      <c r="F453" s="1" t="s">
        <v>112</v>
      </c>
      <c r="G453" s="1">
        <v>1506382</v>
      </c>
    </row>
    <row r="454" spans="1:10" x14ac:dyDescent="0.3">
      <c r="A454" s="1" t="str">
        <f t="shared" si="7"/>
        <v>14 TESTO 0.2</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1041</v>
      </c>
      <c r="D454" s="1" t="s">
        <v>1024</v>
      </c>
      <c r="E454" s="1" t="s">
        <v>1042</v>
      </c>
      <c r="F454" s="1" t="s">
        <v>112</v>
      </c>
      <c r="G454" s="1">
        <v>1431397</v>
      </c>
    </row>
    <row r="455" spans="1:10" x14ac:dyDescent="0.3">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10" x14ac:dyDescent="0.3">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229</v>
      </c>
      <c r="D456" s="1" t="s">
        <v>112</v>
      </c>
      <c r="E456" s="1" t="s">
        <v>230</v>
      </c>
      <c r="F456" s="1" t="s">
        <v>231</v>
      </c>
      <c r="G456" s="1" t="s">
        <v>232</v>
      </c>
      <c r="H456" s="1" t="s">
        <v>233</v>
      </c>
      <c r="I456" s="1" t="s">
        <v>234</v>
      </c>
      <c r="J456" s="1" t="s">
        <v>235</v>
      </c>
    </row>
    <row r="457" spans="1:10" x14ac:dyDescent="0.3">
      <c r="A457" s="1" t="str">
        <f t="shared" si="7"/>
        <v>14 TESTO 0.2</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1043</v>
      </c>
      <c r="D457" s="1" t="s">
        <v>112</v>
      </c>
      <c r="E457" s="1" t="s">
        <v>1044</v>
      </c>
      <c r="F457" s="1" t="s">
        <v>1045</v>
      </c>
      <c r="G457" s="1" t="s">
        <v>1046</v>
      </c>
      <c r="H457" s="1" t="s">
        <v>1047</v>
      </c>
      <c r="I457" s="1">
        <v>24</v>
      </c>
      <c r="J457" s="1">
        <v>24</v>
      </c>
    </row>
    <row r="458" spans="1:10" x14ac:dyDescent="0.3">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10" x14ac:dyDescent="0.3">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10" x14ac:dyDescent="0.3">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10" x14ac:dyDescent="0.3">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10" x14ac:dyDescent="0.3">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10" x14ac:dyDescent="0.3">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241</v>
      </c>
      <c r="D463" s="1" t="s">
        <v>110</v>
      </c>
      <c r="E463" s="1" t="s">
        <v>111</v>
      </c>
      <c r="F463" s="1" t="s">
        <v>112</v>
      </c>
      <c r="G463" s="1" t="s">
        <v>113</v>
      </c>
    </row>
    <row r="464" spans="1:10" x14ac:dyDescent="0.3">
      <c r="A464" s="1" t="str">
        <f t="shared" si="7"/>
        <v>15 TESTO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1048</v>
      </c>
      <c r="D464" s="1" t="s">
        <v>1049</v>
      </c>
      <c r="E464" s="1" t="s">
        <v>1050</v>
      </c>
      <c r="F464" s="1" t="s">
        <v>112</v>
      </c>
      <c r="G464" s="1">
        <v>4192623</v>
      </c>
    </row>
    <row r="465" spans="1:7" x14ac:dyDescent="0.3">
      <c r="A465" s="1" t="str">
        <f t="shared" si="7"/>
        <v>15 TESTO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1051</v>
      </c>
      <c r="D465" s="1" t="s">
        <v>1052</v>
      </c>
      <c r="E465" s="1" t="s">
        <v>1053</v>
      </c>
      <c r="F465" s="1" t="s">
        <v>112</v>
      </c>
      <c r="G465" s="1">
        <v>3978544</v>
      </c>
    </row>
    <row r="466" spans="1:7" x14ac:dyDescent="0.3">
      <c r="A466" s="1" t="str">
        <f t="shared" si="7"/>
        <v>15 TESTO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1054</v>
      </c>
      <c r="D466" s="1" t="s">
        <v>1055</v>
      </c>
      <c r="E466" s="1" t="s">
        <v>1056</v>
      </c>
      <c r="F466" s="1" t="s">
        <v>112</v>
      </c>
      <c r="G466" s="1">
        <v>4493282</v>
      </c>
    </row>
    <row r="467" spans="1:7" x14ac:dyDescent="0.3">
      <c r="A467" s="1" t="str">
        <f t="shared" si="7"/>
        <v>15 TESTO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1057</v>
      </c>
      <c r="D467" s="1" t="s">
        <v>1058</v>
      </c>
      <c r="E467" s="1" t="s">
        <v>1059</v>
      </c>
      <c r="F467" s="1" t="s">
        <v>112</v>
      </c>
      <c r="G467" s="1">
        <v>5322361</v>
      </c>
    </row>
    <row r="468" spans="1:7" x14ac:dyDescent="0.3">
      <c r="A468" s="1" t="str">
        <f t="shared" si="7"/>
        <v>15 TESTO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1060</v>
      </c>
      <c r="D468" s="1" t="s">
        <v>1061</v>
      </c>
      <c r="E468" s="1" t="s">
        <v>1062</v>
      </c>
      <c r="F468" s="1" t="s">
        <v>112</v>
      </c>
      <c r="G468" s="1">
        <v>5614079</v>
      </c>
    </row>
    <row r="469" spans="1:7" x14ac:dyDescent="0.3">
      <c r="A469" s="1" t="str">
        <f t="shared" si="7"/>
        <v>15 TESTO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1063</v>
      </c>
    </row>
    <row r="470" spans="1:7" x14ac:dyDescent="0.3">
      <c r="A470" s="1" t="str">
        <f t="shared" si="7"/>
        <v>15 TESTO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1064</v>
      </c>
    </row>
    <row r="471" spans="1:7" x14ac:dyDescent="0.3">
      <c r="A471" s="1" t="str">
        <f t="shared" si="7"/>
        <v>15 TESTO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1065</v>
      </c>
    </row>
    <row r="472" spans="1:7" x14ac:dyDescent="0.3">
      <c r="A472" s="1" t="str">
        <f t="shared" si="7"/>
        <v>15 TESTO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1066</v>
      </c>
    </row>
    <row r="473" spans="1:7" x14ac:dyDescent="0.3">
      <c r="A473" s="1" t="str">
        <f t="shared" si="7"/>
        <v>15 TESTO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1067</v>
      </c>
    </row>
    <row r="474" spans="1:7" x14ac:dyDescent="0.3">
      <c r="A474" s="1" t="str">
        <f t="shared" si="7"/>
        <v>15 TESTO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1068</v>
      </c>
      <c r="D474" s="1" t="s">
        <v>1069</v>
      </c>
      <c r="E474" s="1" t="s">
        <v>1070</v>
      </c>
      <c r="F474" s="1" t="s">
        <v>112</v>
      </c>
      <c r="G474" s="1">
        <v>5692370</v>
      </c>
    </row>
    <row r="475" spans="1:7" x14ac:dyDescent="0.3">
      <c r="A475" s="1" t="str">
        <f t="shared" si="7"/>
        <v>15 TESTO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1071</v>
      </c>
      <c r="D475" s="1" t="s">
        <v>1072</v>
      </c>
      <c r="E475" s="1" t="s">
        <v>1073</v>
      </c>
      <c r="F475" s="1" t="s">
        <v>112</v>
      </c>
      <c r="G475" s="1">
        <v>5879496</v>
      </c>
    </row>
    <row r="476" spans="1:7" x14ac:dyDescent="0.3">
      <c r="A476" s="1" t="str">
        <f t="shared" si="7"/>
        <v>15 TESTO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1074</v>
      </c>
      <c r="D476" s="1" t="s">
        <v>1075</v>
      </c>
      <c r="E476" s="1" t="s">
        <v>1076</v>
      </c>
      <c r="F476" s="1" t="s">
        <v>112</v>
      </c>
      <c r="G476" s="1">
        <v>5496761</v>
      </c>
    </row>
    <row r="477" spans="1:7" x14ac:dyDescent="0.3">
      <c r="A477" s="1" t="str">
        <f t="shared" si="7"/>
        <v>15 TESTO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1077</v>
      </c>
    </row>
    <row r="478" spans="1:7" x14ac:dyDescent="0.3">
      <c r="A478" s="1" t="str">
        <f t="shared" si="7"/>
        <v>15 TESTO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1078</v>
      </c>
      <c r="D478" s="1" t="s">
        <v>1079</v>
      </c>
      <c r="E478" s="1" t="s">
        <v>1080</v>
      </c>
      <c r="F478" s="1" t="s">
        <v>112</v>
      </c>
      <c r="G478" s="1">
        <v>5226622</v>
      </c>
    </row>
    <row r="479" spans="1:7" x14ac:dyDescent="0.3">
      <c r="A479" s="1" t="str">
        <f t="shared" si="7"/>
        <v>15 TESTO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1081</v>
      </c>
      <c r="D479" s="1" t="s">
        <v>1082</v>
      </c>
      <c r="E479" s="1" t="s">
        <v>1083</v>
      </c>
      <c r="F479" s="1" t="s">
        <v>112</v>
      </c>
      <c r="G479" s="1">
        <v>4632049</v>
      </c>
    </row>
    <row r="480" spans="1:7" x14ac:dyDescent="0.3">
      <c r="A480" s="1" t="str">
        <f t="shared" si="7"/>
        <v>15 TESTO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1084</v>
      </c>
      <c r="D480" s="1" t="s">
        <v>1085</v>
      </c>
      <c r="E480" s="1" t="s">
        <v>1086</v>
      </c>
      <c r="F480" s="1" t="s">
        <v>112</v>
      </c>
      <c r="G480" s="1">
        <v>4728679</v>
      </c>
    </row>
    <row r="481" spans="1:10" x14ac:dyDescent="0.3">
      <c r="A481" s="1" t="str">
        <f t="shared" si="7"/>
        <v>15 TESTO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1087</v>
      </c>
      <c r="D481" s="1" t="s">
        <v>1088</v>
      </c>
      <c r="E481" s="1" t="s">
        <v>1089</v>
      </c>
      <c r="F481" s="1" t="s">
        <v>112</v>
      </c>
      <c r="G481" s="1">
        <v>4778778</v>
      </c>
    </row>
    <row r="482" spans="1:10" x14ac:dyDescent="0.3">
      <c r="A482" s="1" t="str">
        <f t="shared" si="7"/>
        <v>15 TESTO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1090</v>
      </c>
      <c r="D482" s="1" t="s">
        <v>1091</v>
      </c>
      <c r="E482" s="1" t="s">
        <v>1092</v>
      </c>
      <c r="F482" s="1" t="s">
        <v>112</v>
      </c>
      <c r="G482" s="1">
        <v>6996987</v>
      </c>
    </row>
    <row r="483" spans="1:10" x14ac:dyDescent="0.3">
      <c r="A483" s="1" t="str">
        <f t="shared" si="7"/>
        <v>15 TESTO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1093</v>
      </c>
      <c r="D483" s="1" t="s">
        <v>1094</v>
      </c>
      <c r="E483" s="1" t="s">
        <v>1095</v>
      </c>
      <c r="F483" s="1" t="s">
        <v>112</v>
      </c>
      <c r="G483" s="1">
        <v>7111564</v>
      </c>
    </row>
    <row r="484" spans="1:10" x14ac:dyDescent="0.3">
      <c r="A484" s="1" t="str">
        <f t="shared" si="7"/>
        <v>15 TESTO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1096</v>
      </c>
      <c r="D484" s="1" t="s">
        <v>1097</v>
      </c>
      <c r="E484" s="1" t="s">
        <v>1098</v>
      </c>
      <c r="F484" s="1" t="s">
        <v>112</v>
      </c>
      <c r="G484" s="1">
        <v>6108628</v>
      </c>
    </row>
    <row r="485" spans="1:10" x14ac:dyDescent="0.3">
      <c r="A485" s="1" t="str">
        <f t="shared" si="7"/>
        <v>15 TESTO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1099</v>
      </c>
      <c r="D485" s="1" t="s">
        <v>1100</v>
      </c>
      <c r="E485" s="1" t="s">
        <v>1101</v>
      </c>
      <c r="F485" s="1" t="s">
        <v>112</v>
      </c>
      <c r="G485" s="1">
        <v>3883676</v>
      </c>
    </row>
    <row r="486" spans="1:10" x14ac:dyDescent="0.3">
      <c r="A486" s="1" t="str">
        <f t="shared" si="7"/>
        <v>15 TESTO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1102</v>
      </c>
      <c r="D486" s="1" t="s">
        <v>1103</v>
      </c>
      <c r="E486" s="1" t="s">
        <v>1104</v>
      </c>
      <c r="F486" s="1" t="s">
        <v>112</v>
      </c>
      <c r="G486" s="1">
        <v>5087116</v>
      </c>
    </row>
    <row r="487" spans="1:10" x14ac:dyDescent="0.3">
      <c r="A487" s="1" t="str">
        <f t="shared" si="7"/>
        <v>15 TESTO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1105</v>
      </c>
      <c r="D487" s="1" t="s">
        <v>1106</v>
      </c>
      <c r="E487" s="1" t="s">
        <v>1107</v>
      </c>
      <c r="F487" s="1" t="s">
        <v>112</v>
      </c>
      <c r="G487" s="1">
        <v>5285162</v>
      </c>
    </row>
    <row r="488" spans="1:10" x14ac:dyDescent="0.3">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10" x14ac:dyDescent="0.3">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229</v>
      </c>
      <c r="D489" s="1" t="s">
        <v>112</v>
      </c>
      <c r="E489" s="1" t="s">
        <v>230</v>
      </c>
      <c r="F489" s="1" t="s">
        <v>231</v>
      </c>
      <c r="G489" s="1" t="s">
        <v>232</v>
      </c>
      <c r="H489" s="1" t="s">
        <v>233</v>
      </c>
      <c r="I489" s="1" t="s">
        <v>234</v>
      </c>
      <c r="J489" s="1" t="s">
        <v>235</v>
      </c>
    </row>
    <row r="490" spans="1:10" x14ac:dyDescent="0.3">
      <c r="A490" s="1" t="str">
        <f t="shared" si="7"/>
        <v>15 TESTO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1108</v>
      </c>
      <c r="D490" s="1" t="s">
        <v>112</v>
      </c>
      <c r="E490" s="1" t="s">
        <v>1109</v>
      </c>
      <c r="F490" s="1" t="s">
        <v>1110</v>
      </c>
      <c r="G490" s="1" t="s">
        <v>1111</v>
      </c>
      <c r="H490" s="1" t="s">
        <v>1112</v>
      </c>
      <c r="I490" s="1">
        <v>24</v>
      </c>
      <c r="J490" s="1">
        <v>24</v>
      </c>
    </row>
    <row r="491" spans="1:10" x14ac:dyDescent="0.3">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10" x14ac:dyDescent="0.3">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10" x14ac:dyDescent="0.3">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10" x14ac:dyDescent="0.3">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10" x14ac:dyDescent="0.3">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10" x14ac:dyDescent="0.3">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241</v>
      </c>
      <c r="D496" s="1" t="s">
        <v>110</v>
      </c>
      <c r="E496" s="1" t="s">
        <v>111</v>
      </c>
      <c r="F496" s="1" t="s">
        <v>112</v>
      </c>
      <c r="G496" s="1" t="s">
        <v>113</v>
      </c>
    </row>
    <row r="497" spans="1:7" x14ac:dyDescent="0.3">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1113</v>
      </c>
      <c r="D497" s="1" t="s">
        <v>1114</v>
      </c>
      <c r="E497" s="1" t="s">
        <v>1115</v>
      </c>
      <c r="F497" s="1" t="s">
        <v>112</v>
      </c>
      <c r="G497" s="1">
        <v>105571</v>
      </c>
    </row>
    <row r="498" spans="1:7" x14ac:dyDescent="0.3">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1116</v>
      </c>
      <c r="D498" s="1" t="s">
        <v>247</v>
      </c>
      <c r="E498" s="1" t="s">
        <v>1117</v>
      </c>
      <c r="F498" s="1" t="s">
        <v>112</v>
      </c>
      <c r="G498" s="1">
        <v>21993</v>
      </c>
    </row>
    <row r="499" spans="1:7" x14ac:dyDescent="0.3">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1118</v>
      </c>
    </row>
    <row r="500" spans="1:7" x14ac:dyDescent="0.3">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1119</v>
      </c>
      <c r="D500" s="1" t="s">
        <v>854</v>
      </c>
      <c r="E500" s="1" t="s">
        <v>1120</v>
      </c>
      <c r="F500" s="1" t="s">
        <v>112</v>
      </c>
      <c r="G500" s="1">
        <v>206813</v>
      </c>
    </row>
    <row r="501" spans="1:7" x14ac:dyDescent="0.3">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1121</v>
      </c>
      <c r="D501" s="1" t="s">
        <v>1122</v>
      </c>
      <c r="E501" s="1" t="s">
        <v>1123</v>
      </c>
      <c r="F501" s="1" t="s">
        <v>112</v>
      </c>
      <c r="G501" s="1">
        <v>88581</v>
      </c>
    </row>
    <row r="502" spans="1:7" x14ac:dyDescent="0.3">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1124</v>
      </c>
      <c r="D502" s="1" t="s">
        <v>1122</v>
      </c>
      <c r="E502" s="1" t="s">
        <v>1125</v>
      </c>
      <c r="F502" s="1" t="s">
        <v>112</v>
      </c>
      <c r="G502" s="1">
        <v>89408</v>
      </c>
    </row>
    <row r="503" spans="1:7" x14ac:dyDescent="0.3">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1126</v>
      </c>
      <c r="D503" s="1" t="s">
        <v>1127</v>
      </c>
      <c r="E503" s="1" t="s">
        <v>1128</v>
      </c>
      <c r="F503" s="1" t="s">
        <v>112</v>
      </c>
      <c r="G503" s="1">
        <v>116165</v>
      </c>
    </row>
    <row r="504" spans="1:7" x14ac:dyDescent="0.3">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1129</v>
      </c>
    </row>
    <row r="505" spans="1:7" x14ac:dyDescent="0.3">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1130</v>
      </c>
      <c r="D505" s="1" t="s">
        <v>266</v>
      </c>
      <c r="E505" s="1" t="s">
        <v>1131</v>
      </c>
      <c r="F505" s="1" t="s">
        <v>112</v>
      </c>
      <c r="G505" s="1">
        <v>69242</v>
      </c>
    </row>
    <row r="506" spans="1:7" x14ac:dyDescent="0.3">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1132</v>
      </c>
      <c r="D506" s="1" t="s">
        <v>171</v>
      </c>
      <c r="E506" s="1" t="s">
        <v>243</v>
      </c>
      <c r="F506" s="1" t="s">
        <v>112</v>
      </c>
      <c r="G506" s="1">
        <v>17882</v>
      </c>
    </row>
    <row r="507" spans="1:7" x14ac:dyDescent="0.3">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1133</v>
      </c>
      <c r="D507" s="1" t="s">
        <v>279</v>
      </c>
      <c r="E507" s="1" t="s">
        <v>1134</v>
      </c>
      <c r="F507" s="1" t="s">
        <v>112</v>
      </c>
      <c r="G507" s="1">
        <v>19122</v>
      </c>
    </row>
    <row r="508" spans="1:7" x14ac:dyDescent="0.3">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1135</v>
      </c>
      <c r="D508" s="1" t="s">
        <v>222</v>
      </c>
      <c r="E508" s="1" t="s">
        <v>1136</v>
      </c>
      <c r="F508" s="1" t="s">
        <v>112</v>
      </c>
      <c r="G508" s="1">
        <v>15162</v>
      </c>
    </row>
    <row r="509" spans="1:7" x14ac:dyDescent="0.3">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1137</v>
      </c>
      <c r="D509" s="1" t="s">
        <v>383</v>
      </c>
      <c r="E509" s="1" t="s">
        <v>1138</v>
      </c>
      <c r="F509" s="1" t="s">
        <v>112</v>
      </c>
      <c r="G509" s="1">
        <v>9354</v>
      </c>
    </row>
    <row r="510" spans="1:7" x14ac:dyDescent="0.3">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1139</v>
      </c>
    </row>
    <row r="511" spans="1:7" x14ac:dyDescent="0.3">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1140</v>
      </c>
      <c r="D511" s="1" t="s">
        <v>189</v>
      </c>
      <c r="E511" s="1" t="s">
        <v>1141</v>
      </c>
      <c r="F511" s="1" t="s">
        <v>112</v>
      </c>
      <c r="G511" s="1">
        <v>27584</v>
      </c>
    </row>
    <row r="512" spans="1:7" x14ac:dyDescent="0.3">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1142</v>
      </c>
      <c r="D512" s="1" t="s">
        <v>306</v>
      </c>
      <c r="E512" s="1" t="s">
        <v>1143</v>
      </c>
      <c r="F512" s="1" t="s">
        <v>112</v>
      </c>
      <c r="G512" s="1">
        <v>48011</v>
      </c>
    </row>
    <row r="513" spans="1:10" x14ac:dyDescent="0.3">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1144</v>
      </c>
      <c r="D513" s="1" t="s">
        <v>710</v>
      </c>
      <c r="E513" s="1" t="s">
        <v>1145</v>
      </c>
      <c r="F513" s="1" t="s">
        <v>112</v>
      </c>
      <c r="G513" s="1">
        <v>38939</v>
      </c>
    </row>
    <row r="514" spans="1:10" x14ac:dyDescent="0.3">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1146</v>
      </c>
      <c r="D514" s="1" t="s">
        <v>269</v>
      </c>
      <c r="E514" s="1" t="s">
        <v>1147</v>
      </c>
      <c r="F514" s="1" t="s">
        <v>112</v>
      </c>
      <c r="G514" s="1">
        <v>35741</v>
      </c>
    </row>
    <row r="515" spans="1:10" x14ac:dyDescent="0.3">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1148</v>
      </c>
      <c r="D515" s="1" t="s">
        <v>758</v>
      </c>
      <c r="E515" s="1" t="s">
        <v>1149</v>
      </c>
      <c r="F515" s="1" t="s">
        <v>112</v>
      </c>
      <c r="G515" s="1">
        <v>97935</v>
      </c>
    </row>
    <row r="516" spans="1:10" x14ac:dyDescent="0.3">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1150</v>
      </c>
    </row>
    <row r="517" spans="1:10" x14ac:dyDescent="0.3">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1151</v>
      </c>
      <c r="D517" s="1" t="s">
        <v>197</v>
      </c>
      <c r="E517" s="1" t="s">
        <v>1152</v>
      </c>
      <c r="F517" s="1" t="s">
        <v>112</v>
      </c>
      <c r="G517" s="1">
        <v>64000</v>
      </c>
    </row>
    <row r="518" spans="1:10" x14ac:dyDescent="0.3">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1153</v>
      </c>
      <c r="D518" s="1" t="s">
        <v>1154</v>
      </c>
      <c r="E518" s="1" t="s">
        <v>1155</v>
      </c>
      <c r="F518" s="1" t="s">
        <v>112</v>
      </c>
      <c r="G518" s="1">
        <v>328264</v>
      </c>
    </row>
    <row r="519" spans="1:10" x14ac:dyDescent="0.3">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1156</v>
      </c>
      <c r="D519" s="1" t="s">
        <v>1157</v>
      </c>
      <c r="E519" s="1" t="s">
        <v>1158</v>
      </c>
      <c r="F519" s="1" t="s">
        <v>112</v>
      </c>
      <c r="G519" s="1">
        <v>277578</v>
      </c>
    </row>
    <row r="520" spans="1:10" x14ac:dyDescent="0.3">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1159</v>
      </c>
    </row>
    <row r="521" spans="1:10" x14ac:dyDescent="0.3">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10" x14ac:dyDescent="0.3">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229</v>
      </c>
      <c r="D522" s="1" t="s">
        <v>112</v>
      </c>
      <c r="E522" s="1" t="s">
        <v>230</v>
      </c>
      <c r="F522" s="1" t="s">
        <v>231</v>
      </c>
      <c r="G522" s="1" t="s">
        <v>232</v>
      </c>
      <c r="H522" s="1" t="s">
        <v>233</v>
      </c>
      <c r="I522" s="1" t="s">
        <v>234</v>
      </c>
      <c r="J522" s="1" t="s">
        <v>235</v>
      </c>
    </row>
    <row r="523" spans="1:10" x14ac:dyDescent="0.3">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1160</v>
      </c>
      <c r="D523" s="1" t="s">
        <v>112</v>
      </c>
      <c r="E523" s="1" t="s">
        <v>1161</v>
      </c>
      <c r="F523" s="1" t="s">
        <v>1162</v>
      </c>
      <c r="G523" s="1" t="s">
        <v>1163</v>
      </c>
      <c r="H523" s="1" t="s">
        <v>1164</v>
      </c>
      <c r="I523" s="1">
        <v>24</v>
      </c>
      <c r="J523" s="1">
        <v>24</v>
      </c>
    </row>
    <row r="524" spans="1:10" x14ac:dyDescent="0.3">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10" x14ac:dyDescent="0.3">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10" x14ac:dyDescent="0.3">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10" x14ac:dyDescent="0.3">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10" x14ac:dyDescent="0.3">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3">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241</v>
      </c>
      <c r="D529" s="1" t="s">
        <v>110</v>
      </c>
      <c r="E529" s="1" t="s">
        <v>111</v>
      </c>
      <c r="F529" s="1" t="s">
        <v>112</v>
      </c>
      <c r="G529" s="1" t="s">
        <v>113</v>
      </c>
    </row>
    <row r="530" spans="1:7" x14ac:dyDescent="0.3">
      <c r="A530" s="1" t="str">
        <f t="shared" si="8"/>
        <v>17 ARABINOSE 0.01 + TESTO</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1165</v>
      </c>
      <c r="D530" s="1" t="s">
        <v>1166</v>
      </c>
      <c r="E530" s="1" t="s">
        <v>1167</v>
      </c>
      <c r="F530" s="1" t="s">
        <v>112</v>
      </c>
      <c r="G530" s="1">
        <v>889555</v>
      </c>
    </row>
    <row r="531" spans="1:7" x14ac:dyDescent="0.3">
      <c r="A531" s="1" t="str">
        <f t="shared" si="8"/>
        <v>17 ARABINOSE 0.01 + TESTO</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1168</v>
      </c>
      <c r="D531" s="1" t="s">
        <v>1169</v>
      </c>
      <c r="E531" s="1" t="s">
        <v>1170</v>
      </c>
      <c r="F531" s="1" t="s">
        <v>112</v>
      </c>
      <c r="G531" s="1">
        <v>1070067</v>
      </c>
    </row>
    <row r="532" spans="1:7" x14ac:dyDescent="0.3">
      <c r="A532" s="1" t="str">
        <f t="shared" si="8"/>
        <v>17 ARABINOSE 0.01 + TESTO</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1171</v>
      </c>
      <c r="D532" s="1" t="s">
        <v>1172</v>
      </c>
      <c r="E532" s="1" t="s">
        <v>1173</v>
      </c>
      <c r="F532" s="1" t="s">
        <v>112</v>
      </c>
      <c r="G532" s="1">
        <v>907219</v>
      </c>
    </row>
    <row r="533" spans="1:7" x14ac:dyDescent="0.3">
      <c r="A533" s="1" t="str">
        <f t="shared" si="8"/>
        <v>17 ARABINOSE 0.01 + TESTO</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1174</v>
      </c>
      <c r="D533" s="1" t="s">
        <v>1175</v>
      </c>
      <c r="E533" s="1" t="s">
        <v>1176</v>
      </c>
      <c r="F533" s="1" t="s">
        <v>112</v>
      </c>
      <c r="G533" s="1">
        <v>3301633</v>
      </c>
    </row>
    <row r="534" spans="1:7" x14ac:dyDescent="0.3">
      <c r="A534" s="1" t="str">
        <f t="shared" si="8"/>
        <v>17 ARABINOSE 0.01 + TESTO</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1177</v>
      </c>
      <c r="D534" s="1" t="s">
        <v>1178</v>
      </c>
      <c r="E534" s="1" t="s">
        <v>1179</v>
      </c>
      <c r="F534" s="1" t="s">
        <v>112</v>
      </c>
      <c r="G534" s="1">
        <v>2867319</v>
      </c>
    </row>
    <row r="535" spans="1:7" x14ac:dyDescent="0.3">
      <c r="A535" s="1" t="str">
        <f t="shared" si="8"/>
        <v>17 ARABINOSE 0.01 + TESTO</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1180</v>
      </c>
      <c r="D535" s="1" t="s">
        <v>1181</v>
      </c>
      <c r="E535" s="1" t="s">
        <v>1182</v>
      </c>
      <c r="F535" s="1" t="s">
        <v>112</v>
      </c>
      <c r="G535" s="1">
        <v>2748696</v>
      </c>
    </row>
    <row r="536" spans="1:7" x14ac:dyDescent="0.3">
      <c r="A536" s="1" t="str">
        <f t="shared" si="8"/>
        <v>17 ARABINOSE 0.01 + TESTO</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1183</v>
      </c>
      <c r="D536" s="1" t="s">
        <v>1184</v>
      </c>
      <c r="E536" s="1" t="s">
        <v>1185</v>
      </c>
      <c r="F536" s="1" t="s">
        <v>112</v>
      </c>
      <c r="G536" s="1">
        <v>3836753</v>
      </c>
    </row>
    <row r="537" spans="1:7" x14ac:dyDescent="0.3">
      <c r="A537" s="1" t="str">
        <f t="shared" si="8"/>
        <v>17 ARABINOSE 0.01 + TESTO</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1186</v>
      </c>
      <c r="D537" s="1" t="s">
        <v>1187</v>
      </c>
      <c r="E537" s="1" t="s">
        <v>1188</v>
      </c>
      <c r="F537" s="1" t="s">
        <v>112</v>
      </c>
      <c r="G537" s="1">
        <v>4380619</v>
      </c>
    </row>
    <row r="538" spans="1:7" x14ac:dyDescent="0.3">
      <c r="A538" s="1" t="str">
        <f t="shared" si="8"/>
        <v>17 ARABINOSE 0.01 + TESTO</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1189</v>
      </c>
      <c r="D538" s="1" t="s">
        <v>1190</v>
      </c>
      <c r="E538" s="1" t="s">
        <v>1191</v>
      </c>
      <c r="F538" s="1" t="s">
        <v>112</v>
      </c>
      <c r="G538" s="1">
        <v>3571749</v>
      </c>
    </row>
    <row r="539" spans="1:7" x14ac:dyDescent="0.3">
      <c r="A539" s="1" t="str">
        <f t="shared" si="8"/>
        <v>17 ARABINOSE 0.01 + TESTO</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1192</v>
      </c>
      <c r="D539" s="1" t="s">
        <v>1193</v>
      </c>
      <c r="E539" s="1" t="s">
        <v>1194</v>
      </c>
      <c r="F539" s="1" t="s">
        <v>112</v>
      </c>
      <c r="G539" s="1">
        <v>3008501</v>
      </c>
    </row>
    <row r="540" spans="1:7" x14ac:dyDescent="0.3">
      <c r="A540" s="1" t="str">
        <f t="shared" si="8"/>
        <v>17 ARABINOSE 0.01 + TESTO</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1195</v>
      </c>
      <c r="D540" s="1" t="s">
        <v>1196</v>
      </c>
      <c r="E540" s="1" t="s">
        <v>1197</v>
      </c>
      <c r="F540" s="1" t="s">
        <v>112</v>
      </c>
      <c r="G540" s="1">
        <v>2911131</v>
      </c>
    </row>
    <row r="541" spans="1:7" x14ac:dyDescent="0.3">
      <c r="A541" s="1" t="str">
        <f t="shared" si="8"/>
        <v>17 ARABINOSE 0.01 + TESTO</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1198</v>
      </c>
      <c r="D541" s="1" t="s">
        <v>1193</v>
      </c>
      <c r="E541" s="1" t="s">
        <v>1199</v>
      </c>
      <c r="F541" s="1" t="s">
        <v>112</v>
      </c>
      <c r="G541" s="1">
        <v>3044460</v>
      </c>
    </row>
    <row r="542" spans="1:7" x14ac:dyDescent="0.3">
      <c r="A542" s="1" t="str">
        <f t="shared" si="8"/>
        <v>17 ARABINOSE 0.01 + TESTO</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1200</v>
      </c>
    </row>
    <row r="543" spans="1:7" x14ac:dyDescent="0.3">
      <c r="A543" s="1" t="str">
        <f t="shared" si="8"/>
        <v>17 ARABINOSE 0.01 + TESTO</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1201</v>
      </c>
      <c r="D543" s="1" t="s">
        <v>732</v>
      </c>
      <c r="E543" s="1" t="s">
        <v>1202</v>
      </c>
      <c r="F543" s="1" t="s">
        <v>112</v>
      </c>
      <c r="G543" s="1">
        <v>45770</v>
      </c>
    </row>
    <row r="544" spans="1:7" x14ac:dyDescent="0.3">
      <c r="A544" s="1" t="str">
        <f t="shared" si="8"/>
        <v>17 ARABINOSE 0.01 + TESTO</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1203</v>
      </c>
      <c r="D544" s="1" t="s">
        <v>675</v>
      </c>
      <c r="E544" s="1" t="s">
        <v>1204</v>
      </c>
      <c r="F544" s="1" t="s">
        <v>112</v>
      </c>
      <c r="G544" s="1">
        <v>56560</v>
      </c>
    </row>
    <row r="545" spans="1:10" x14ac:dyDescent="0.3">
      <c r="A545" s="1" t="str">
        <f t="shared" si="8"/>
        <v>17 ARABINOSE 0.01 + TESTO</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1205</v>
      </c>
      <c r="D545" s="1" t="s">
        <v>1206</v>
      </c>
      <c r="E545" s="1" t="s">
        <v>1207</v>
      </c>
      <c r="F545" s="1" t="s">
        <v>112</v>
      </c>
      <c r="G545" s="1">
        <v>998628</v>
      </c>
    </row>
    <row r="546" spans="1:10" x14ac:dyDescent="0.3">
      <c r="A546" s="1" t="str">
        <f t="shared" si="8"/>
        <v>17 ARABINOSE 0.01 + TESTO</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1208</v>
      </c>
      <c r="D546" s="1" t="s">
        <v>955</v>
      </c>
      <c r="E546" s="1" t="s">
        <v>1209</v>
      </c>
      <c r="F546" s="1" t="s">
        <v>112</v>
      </c>
      <c r="G546" s="1">
        <v>420130</v>
      </c>
    </row>
    <row r="547" spans="1:10" x14ac:dyDescent="0.3">
      <c r="A547" s="1" t="str">
        <f t="shared" si="8"/>
        <v>17 ARABINOSE 0.01 + TESTO</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1210</v>
      </c>
    </row>
    <row r="548" spans="1:10" x14ac:dyDescent="0.3">
      <c r="A548" s="1" t="str">
        <f t="shared" si="8"/>
        <v>17 ARABINOSE 0.01 + TESTO</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1211</v>
      </c>
      <c r="D548" s="1" t="s">
        <v>204</v>
      </c>
      <c r="E548" s="1" t="s">
        <v>1212</v>
      </c>
      <c r="F548" s="1" t="s">
        <v>112</v>
      </c>
      <c r="G548" s="1">
        <v>12378</v>
      </c>
    </row>
    <row r="549" spans="1:10" x14ac:dyDescent="0.3">
      <c r="A549" s="1" t="str">
        <f t="shared" si="8"/>
        <v>17 ARABINOSE 0.01 + TESTO</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1213</v>
      </c>
      <c r="D549" s="1" t="s">
        <v>335</v>
      </c>
      <c r="E549" s="1" t="s">
        <v>751</v>
      </c>
      <c r="F549" s="1" t="s">
        <v>112</v>
      </c>
      <c r="G549" s="1">
        <v>29542</v>
      </c>
    </row>
    <row r="550" spans="1:10" x14ac:dyDescent="0.3">
      <c r="A550" s="1" t="str">
        <f t="shared" si="8"/>
        <v>17 ARABINOSE 0.01 + TESTO</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1214</v>
      </c>
    </row>
    <row r="551" spans="1:10" x14ac:dyDescent="0.3">
      <c r="A551" s="1" t="str">
        <f t="shared" si="8"/>
        <v>17 ARABINOSE 0.01 + TESTO</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1215</v>
      </c>
      <c r="D551" s="1" t="s">
        <v>1216</v>
      </c>
      <c r="E551" s="1" t="s">
        <v>1217</v>
      </c>
      <c r="F551" s="1" t="s">
        <v>112</v>
      </c>
      <c r="G551" s="1">
        <v>410276</v>
      </c>
    </row>
    <row r="552" spans="1:10" x14ac:dyDescent="0.3">
      <c r="A552" s="1" t="str">
        <f t="shared" si="8"/>
        <v>17 ARABINOSE 0.01 + TESTO</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1218</v>
      </c>
      <c r="D552" s="1" t="s">
        <v>1219</v>
      </c>
      <c r="E552" s="1" t="s">
        <v>1220</v>
      </c>
      <c r="F552" s="1" t="s">
        <v>112</v>
      </c>
      <c r="G552" s="1">
        <v>428179</v>
      </c>
    </row>
    <row r="553" spans="1:10" x14ac:dyDescent="0.3">
      <c r="A553" s="1" t="str">
        <f t="shared" si="8"/>
        <v>17 ARABINOSE 0.01 + TESTO</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1221</v>
      </c>
      <c r="D553" s="1" t="s">
        <v>1222</v>
      </c>
      <c r="E553" s="1" t="s">
        <v>1223</v>
      </c>
      <c r="F553" s="1" t="s">
        <v>112</v>
      </c>
      <c r="G553" s="1">
        <v>691226</v>
      </c>
    </row>
    <row r="554" spans="1:10" x14ac:dyDescent="0.3">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10" x14ac:dyDescent="0.3">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229</v>
      </c>
      <c r="D555" s="1" t="s">
        <v>112</v>
      </c>
      <c r="E555" s="1" t="s">
        <v>230</v>
      </c>
      <c r="F555" s="1" t="s">
        <v>231</v>
      </c>
      <c r="G555" s="1" t="s">
        <v>232</v>
      </c>
      <c r="H555" s="1" t="s">
        <v>233</v>
      </c>
      <c r="I555" s="1" t="s">
        <v>234</v>
      </c>
      <c r="J555" s="1" t="s">
        <v>235</v>
      </c>
    </row>
    <row r="556" spans="1:10" x14ac:dyDescent="0.3">
      <c r="A556" s="1" t="str">
        <f t="shared" si="8"/>
        <v>17 ARABINOSE 0.01 + TESTO</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1224</v>
      </c>
      <c r="D556" s="1" t="s">
        <v>112</v>
      </c>
      <c r="E556" s="1" t="s">
        <v>1225</v>
      </c>
      <c r="F556" s="1" t="s">
        <v>1226</v>
      </c>
      <c r="G556" s="1" t="s">
        <v>1227</v>
      </c>
      <c r="H556" s="1" t="s">
        <v>1228</v>
      </c>
      <c r="I556" s="1">
        <v>24</v>
      </c>
      <c r="J556" s="1">
        <v>24</v>
      </c>
    </row>
    <row r="557" spans="1:10" x14ac:dyDescent="0.3">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10" x14ac:dyDescent="0.3">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10" x14ac:dyDescent="0.3">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10" x14ac:dyDescent="0.3">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3">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3">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241</v>
      </c>
      <c r="D562" s="1" t="s">
        <v>110</v>
      </c>
      <c r="E562" s="1" t="s">
        <v>111</v>
      </c>
      <c r="F562" s="1" t="s">
        <v>112</v>
      </c>
      <c r="G562" s="1" t="s">
        <v>113</v>
      </c>
    </row>
    <row r="563" spans="1:7" x14ac:dyDescent="0.3">
      <c r="A563" s="1" t="str">
        <f t="shared" si="8"/>
        <v>18 ARABINOSE 0.1 + TESTO</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1229</v>
      </c>
      <c r="D563" s="1" t="s">
        <v>1230</v>
      </c>
      <c r="E563" s="1" t="s">
        <v>1231</v>
      </c>
      <c r="F563" s="1" t="s">
        <v>112</v>
      </c>
      <c r="G563" s="1">
        <v>1479386</v>
      </c>
    </row>
    <row r="564" spans="1:7" x14ac:dyDescent="0.3">
      <c r="A564" s="1" t="str">
        <f t="shared" si="8"/>
        <v>18 ARABINOSE 0.1 + TESTO</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1232</v>
      </c>
      <c r="D564" s="1" t="s">
        <v>1233</v>
      </c>
      <c r="E564" s="1" t="s">
        <v>1234</v>
      </c>
      <c r="F564" s="1" t="s">
        <v>112</v>
      </c>
      <c r="G564" s="1">
        <v>1534597</v>
      </c>
    </row>
    <row r="565" spans="1:7" x14ac:dyDescent="0.3">
      <c r="A565" s="1" t="str">
        <f t="shared" si="8"/>
        <v>18 ARABINOSE 0.1 + TESTO</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1235</v>
      </c>
      <c r="D565" s="1" t="s">
        <v>1236</v>
      </c>
      <c r="E565" s="1" t="s">
        <v>1237</v>
      </c>
      <c r="F565" s="1" t="s">
        <v>112</v>
      </c>
      <c r="G565" s="1">
        <v>1641430</v>
      </c>
    </row>
    <row r="566" spans="1:7" x14ac:dyDescent="0.3">
      <c r="A566" s="1" t="str">
        <f t="shared" si="8"/>
        <v>18 ARABINOSE 0.1 + TESTO</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1238</v>
      </c>
      <c r="D566" s="1" t="s">
        <v>1239</v>
      </c>
      <c r="E566" s="1" t="s">
        <v>1240</v>
      </c>
      <c r="F566" s="1" t="s">
        <v>112</v>
      </c>
      <c r="G566" s="1">
        <v>2941934</v>
      </c>
    </row>
    <row r="567" spans="1:7" x14ac:dyDescent="0.3">
      <c r="A567" s="1" t="str">
        <f t="shared" si="8"/>
        <v>18 ARABINOSE 0.1 + TESTO</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1241</v>
      </c>
      <c r="D567" s="1" t="s">
        <v>1242</v>
      </c>
      <c r="E567" s="1" t="s">
        <v>1243</v>
      </c>
      <c r="F567" s="1" t="s">
        <v>112</v>
      </c>
      <c r="G567" s="1">
        <v>2677757</v>
      </c>
    </row>
    <row r="568" spans="1:7" x14ac:dyDescent="0.3">
      <c r="A568" s="1" t="str">
        <f t="shared" si="8"/>
        <v>18 ARABINOSE 0.1 + TESTO</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1244</v>
      </c>
      <c r="D568" s="1" t="s">
        <v>1245</v>
      </c>
      <c r="E568" s="1" t="s">
        <v>1246</v>
      </c>
      <c r="F568" s="1" t="s">
        <v>112</v>
      </c>
      <c r="G568" s="1">
        <v>2526894</v>
      </c>
    </row>
    <row r="569" spans="1:7" x14ac:dyDescent="0.3">
      <c r="A569" s="1" t="str">
        <f t="shared" si="8"/>
        <v>18 ARABINOSE 0.1 + TESTO</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1247</v>
      </c>
      <c r="D569" s="1" t="s">
        <v>1248</v>
      </c>
      <c r="E569" s="1" t="s">
        <v>1249</v>
      </c>
      <c r="F569" s="1" t="s">
        <v>112</v>
      </c>
      <c r="G569" s="1">
        <v>3615909</v>
      </c>
    </row>
    <row r="570" spans="1:7" x14ac:dyDescent="0.3">
      <c r="A570" s="1" t="str">
        <f t="shared" si="8"/>
        <v>18 ARABINOSE 0.1 + TESTO</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1250</v>
      </c>
      <c r="D570" s="1" t="s">
        <v>1251</v>
      </c>
      <c r="E570" s="1" t="s">
        <v>1252</v>
      </c>
      <c r="F570" s="1" t="s">
        <v>112</v>
      </c>
      <c r="G570" s="1">
        <v>3595569</v>
      </c>
    </row>
    <row r="571" spans="1:7" x14ac:dyDescent="0.3">
      <c r="A571" s="1" t="str">
        <f t="shared" si="8"/>
        <v>18 ARABINOSE 0.1 + TESTO</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1253</v>
      </c>
      <c r="D571" s="1" t="s">
        <v>1254</v>
      </c>
      <c r="E571" s="1" t="s">
        <v>1255</v>
      </c>
      <c r="F571" s="1" t="s">
        <v>112</v>
      </c>
      <c r="G571" s="1">
        <v>3216053</v>
      </c>
    </row>
    <row r="572" spans="1:7" x14ac:dyDescent="0.3">
      <c r="A572" s="1" t="str">
        <f t="shared" si="8"/>
        <v>18 ARABINOSE 0.1 + TESTO</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1256</v>
      </c>
      <c r="D572" s="1" t="s">
        <v>269</v>
      </c>
      <c r="E572" s="1" t="s">
        <v>646</v>
      </c>
      <c r="F572" s="1" t="s">
        <v>112</v>
      </c>
      <c r="G572" s="1">
        <v>35807</v>
      </c>
    </row>
    <row r="573" spans="1:7" x14ac:dyDescent="0.3">
      <c r="A573" s="1" t="str">
        <f t="shared" si="8"/>
        <v>18 ARABINOSE 0.1 + TESTO</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1257</v>
      </c>
      <c r="D573" s="1" t="s">
        <v>1258</v>
      </c>
      <c r="E573" s="1" t="s">
        <v>205</v>
      </c>
      <c r="F573" s="1" t="s">
        <v>112</v>
      </c>
      <c r="G573" s="1">
        <v>74398</v>
      </c>
    </row>
    <row r="574" spans="1:7" x14ac:dyDescent="0.3">
      <c r="A574" s="1" t="str">
        <f t="shared" si="8"/>
        <v>18 ARABINOSE 0.1 + TESTO</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1259</v>
      </c>
      <c r="D574" s="1" t="s">
        <v>332</v>
      </c>
      <c r="E574" s="1" t="s">
        <v>1260</v>
      </c>
      <c r="F574" s="1" t="s">
        <v>112</v>
      </c>
      <c r="G574" s="1">
        <v>73027</v>
      </c>
    </row>
    <row r="575" spans="1:7" x14ac:dyDescent="0.3">
      <c r="A575" s="1" t="str">
        <f t="shared" si="8"/>
        <v>18 ARABINOSE 0.1 + TESTO</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1261</v>
      </c>
    </row>
    <row r="576" spans="1:7" x14ac:dyDescent="0.3">
      <c r="A576" s="1" t="str">
        <f t="shared" si="8"/>
        <v>18 ARABINOSE 0.1 + TESTO</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1262</v>
      </c>
      <c r="D576" s="1" t="s">
        <v>1263</v>
      </c>
      <c r="E576" s="1" t="s">
        <v>1264</v>
      </c>
      <c r="F576" s="1" t="s">
        <v>112</v>
      </c>
      <c r="G576" s="1">
        <v>1480278</v>
      </c>
    </row>
    <row r="577" spans="1:10" x14ac:dyDescent="0.3">
      <c r="A577" s="1" t="str">
        <f t="shared" si="8"/>
        <v>18 ARABINOSE 0.1 + TESTO</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1265</v>
      </c>
      <c r="D577" s="1" t="s">
        <v>1266</v>
      </c>
      <c r="E577" s="1" t="s">
        <v>1267</v>
      </c>
      <c r="F577" s="1" t="s">
        <v>112</v>
      </c>
      <c r="G577" s="1">
        <v>1856465</v>
      </c>
    </row>
    <row r="578" spans="1:10" x14ac:dyDescent="0.3">
      <c r="A578" s="1" t="str">
        <f t="shared" ref="A578:A641" si="9">IFERROR(LEFT(RIGHT(C578,LEN(C578)-SEARCH("@",C578)),SEARCH("/",RIGHT(C578,LEN(C578)-SEARCH("@",C578)-1))),"")</f>
        <v>18 ARABINOSE 0.1 + TESTO</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1268</v>
      </c>
    </row>
    <row r="579" spans="1:10" x14ac:dyDescent="0.3">
      <c r="A579" s="1" t="str">
        <f t="shared" si="9"/>
        <v>18 ARABINOSE 0.1 + TESTO</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1269</v>
      </c>
    </row>
    <row r="580" spans="1:10" x14ac:dyDescent="0.3">
      <c r="A580" s="1" t="str">
        <f t="shared" si="9"/>
        <v>18 ARABINOSE 0.1 + TESTO</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1270</v>
      </c>
    </row>
    <row r="581" spans="1:10" x14ac:dyDescent="0.3">
      <c r="A581" s="1" t="str">
        <f t="shared" si="9"/>
        <v>18 ARABINOSE 0.1 + TESTO</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1271</v>
      </c>
      <c r="D581" s="1" t="s">
        <v>1272</v>
      </c>
      <c r="E581" s="1" t="s">
        <v>1273</v>
      </c>
      <c r="F581" s="1" t="s">
        <v>112</v>
      </c>
      <c r="G581" s="1">
        <v>646174</v>
      </c>
    </row>
    <row r="582" spans="1:10" x14ac:dyDescent="0.3">
      <c r="A582" s="1" t="str">
        <f t="shared" si="9"/>
        <v>18 ARABINOSE 0.1 + TESTO</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1274</v>
      </c>
      <c r="D582" s="1" t="s">
        <v>1275</v>
      </c>
      <c r="E582" s="1" t="s">
        <v>1276</v>
      </c>
      <c r="F582" s="1" t="s">
        <v>112</v>
      </c>
      <c r="G582" s="1">
        <v>561551</v>
      </c>
    </row>
    <row r="583" spans="1:10" x14ac:dyDescent="0.3">
      <c r="A583" s="1" t="str">
        <f t="shared" si="9"/>
        <v>18 ARABINOSE 0.1 + TESTO</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1277</v>
      </c>
      <c r="D583" s="1" t="s">
        <v>1278</v>
      </c>
      <c r="E583" s="1" t="s">
        <v>1279</v>
      </c>
      <c r="F583" s="1" t="s">
        <v>112</v>
      </c>
      <c r="G583" s="1">
        <v>947659</v>
      </c>
    </row>
    <row r="584" spans="1:10" x14ac:dyDescent="0.3">
      <c r="A584" s="1" t="str">
        <f t="shared" si="9"/>
        <v>18 ARABINOSE 0.1 + TESTO</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1280</v>
      </c>
      <c r="D584" s="1" t="s">
        <v>1281</v>
      </c>
      <c r="E584" s="1" t="s">
        <v>1282</v>
      </c>
      <c r="F584" s="1" t="s">
        <v>112</v>
      </c>
      <c r="G584" s="1">
        <v>2654002</v>
      </c>
    </row>
    <row r="585" spans="1:10" x14ac:dyDescent="0.3">
      <c r="A585" s="1" t="str">
        <f t="shared" si="9"/>
        <v>18 ARABINOSE 0.1 + TESTO</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1283</v>
      </c>
      <c r="D585" s="1" t="s">
        <v>1284</v>
      </c>
      <c r="E585" s="1" t="s">
        <v>1285</v>
      </c>
      <c r="F585" s="1" t="s">
        <v>112</v>
      </c>
      <c r="G585" s="1">
        <v>1989272</v>
      </c>
    </row>
    <row r="586" spans="1:10" x14ac:dyDescent="0.3">
      <c r="A586" s="1" t="str">
        <f t="shared" si="9"/>
        <v>18 ARABINOSE 0.1 + TESTO</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1286</v>
      </c>
      <c r="D586" s="1" t="s">
        <v>1287</v>
      </c>
      <c r="E586" s="1" t="s">
        <v>1288</v>
      </c>
      <c r="F586" s="1" t="s">
        <v>112</v>
      </c>
      <c r="G586" s="1">
        <v>2567552</v>
      </c>
    </row>
    <row r="587" spans="1:10" x14ac:dyDescent="0.3">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10" x14ac:dyDescent="0.3">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229</v>
      </c>
      <c r="D588" s="1" t="s">
        <v>112</v>
      </c>
      <c r="E588" s="1" t="s">
        <v>230</v>
      </c>
      <c r="F588" s="1" t="s">
        <v>231</v>
      </c>
      <c r="G588" s="1" t="s">
        <v>232</v>
      </c>
      <c r="H588" s="1" t="s">
        <v>233</v>
      </c>
      <c r="I588" s="1" t="s">
        <v>234</v>
      </c>
      <c r="J588" s="1" t="s">
        <v>235</v>
      </c>
    </row>
    <row r="589" spans="1:10" x14ac:dyDescent="0.3">
      <c r="A589" s="1" t="str">
        <f t="shared" si="9"/>
        <v>18 ARABINOSE 0.1 + TESTO</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1289</v>
      </c>
      <c r="D589" s="1" t="s">
        <v>112</v>
      </c>
      <c r="E589" s="1" t="s">
        <v>1290</v>
      </c>
      <c r="F589" s="1" t="s">
        <v>1291</v>
      </c>
      <c r="G589" s="1" t="s">
        <v>1292</v>
      </c>
      <c r="H589" s="1" t="s">
        <v>1293</v>
      </c>
      <c r="I589" s="1">
        <v>24</v>
      </c>
      <c r="J589" s="1">
        <v>24</v>
      </c>
    </row>
    <row r="590" spans="1:10" x14ac:dyDescent="0.3">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10" x14ac:dyDescent="0.3">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10" x14ac:dyDescent="0.3">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3">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3">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3">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241</v>
      </c>
      <c r="D595" s="1" t="s">
        <v>110</v>
      </c>
      <c r="E595" s="1" t="s">
        <v>111</v>
      </c>
      <c r="F595" s="1" t="s">
        <v>112</v>
      </c>
      <c r="G595" s="1" t="s">
        <v>113</v>
      </c>
    </row>
    <row r="596" spans="1:7" x14ac:dyDescent="0.3">
      <c r="A596" s="1" t="str">
        <f t="shared" si="9"/>
        <v>19 ARABINOSE 1 + TESTO</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1294</v>
      </c>
      <c r="D596" s="1" t="s">
        <v>1295</v>
      </c>
      <c r="E596" s="1" t="s">
        <v>1296</v>
      </c>
      <c r="F596" s="1" t="s">
        <v>112</v>
      </c>
      <c r="G596" s="1">
        <v>2547604</v>
      </c>
    </row>
    <row r="597" spans="1:7" x14ac:dyDescent="0.3">
      <c r="A597" s="1" t="str">
        <f t="shared" si="9"/>
        <v>19 ARABINOSE 1 + TESTO</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1297</v>
      </c>
      <c r="D597" s="1" t="s">
        <v>1298</v>
      </c>
      <c r="E597" s="1" t="s">
        <v>1299</v>
      </c>
      <c r="F597" s="1" t="s">
        <v>112</v>
      </c>
      <c r="G597" s="1">
        <v>2006566</v>
      </c>
    </row>
    <row r="598" spans="1:7" x14ac:dyDescent="0.3">
      <c r="A598" s="1" t="str">
        <f t="shared" si="9"/>
        <v>19 ARABINOSE 1 + TESTO</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1300</v>
      </c>
      <c r="D598" s="1" t="s">
        <v>1301</v>
      </c>
      <c r="E598" s="1" t="s">
        <v>1302</v>
      </c>
      <c r="F598" s="1" t="s">
        <v>112</v>
      </c>
      <c r="G598" s="1">
        <v>2623612</v>
      </c>
    </row>
    <row r="599" spans="1:7" x14ac:dyDescent="0.3">
      <c r="A599" s="1" t="str">
        <f t="shared" si="9"/>
        <v>19 ARABINOSE 1 + TESTO</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1303</v>
      </c>
      <c r="D599" s="1" t="s">
        <v>1304</v>
      </c>
      <c r="E599" s="1" t="s">
        <v>1305</v>
      </c>
      <c r="F599" s="1" t="s">
        <v>112</v>
      </c>
      <c r="G599" s="1">
        <v>2570032</v>
      </c>
    </row>
    <row r="600" spans="1:7" x14ac:dyDescent="0.3">
      <c r="A600" s="1" t="str">
        <f t="shared" si="9"/>
        <v>19 ARABINOSE 1 + TESTO</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1306</v>
      </c>
      <c r="D600" s="1" t="s">
        <v>1307</v>
      </c>
      <c r="E600" s="1" t="s">
        <v>1308</v>
      </c>
      <c r="F600" s="1" t="s">
        <v>112</v>
      </c>
      <c r="G600" s="1">
        <v>2065367</v>
      </c>
    </row>
    <row r="601" spans="1:7" x14ac:dyDescent="0.3">
      <c r="A601" s="1" t="str">
        <f t="shared" si="9"/>
        <v>19 ARABINOSE 1 + TESTO</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1309</v>
      </c>
      <c r="D601" s="1" t="s">
        <v>1310</v>
      </c>
      <c r="E601" s="1" t="s">
        <v>1311</v>
      </c>
      <c r="F601" s="1" t="s">
        <v>112</v>
      </c>
      <c r="G601" s="1">
        <v>2050618</v>
      </c>
    </row>
    <row r="602" spans="1:7" x14ac:dyDescent="0.3">
      <c r="A602" s="1" t="str">
        <f t="shared" si="9"/>
        <v>19 ARABINOSE 1 + TESTO</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1312</v>
      </c>
      <c r="D602" s="1" t="s">
        <v>419</v>
      </c>
      <c r="E602" s="1" t="s">
        <v>1313</v>
      </c>
      <c r="F602" s="1" t="s">
        <v>112</v>
      </c>
      <c r="G602" s="1">
        <v>986228</v>
      </c>
    </row>
    <row r="603" spans="1:7" x14ac:dyDescent="0.3">
      <c r="A603" s="1" t="str">
        <f t="shared" si="9"/>
        <v>19 ARABINOSE 1 + TESTO</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1314</v>
      </c>
      <c r="D603" s="1" t="s">
        <v>1315</v>
      </c>
      <c r="E603" s="1" t="s">
        <v>1316</v>
      </c>
      <c r="F603" s="1" t="s">
        <v>112</v>
      </c>
      <c r="G603" s="1">
        <v>552306</v>
      </c>
    </row>
    <row r="604" spans="1:7" x14ac:dyDescent="0.3">
      <c r="A604" s="1" t="str">
        <f t="shared" si="9"/>
        <v>19 ARABINOSE 1 + TESTO</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1317</v>
      </c>
      <c r="D604" s="1" t="s">
        <v>1318</v>
      </c>
      <c r="E604" s="1" t="s">
        <v>1319</v>
      </c>
      <c r="F604" s="1" t="s">
        <v>112</v>
      </c>
      <c r="G604" s="1">
        <v>941764</v>
      </c>
    </row>
    <row r="605" spans="1:7" x14ac:dyDescent="0.3">
      <c r="A605" s="1" t="str">
        <f t="shared" si="9"/>
        <v>19 ARABINOSE 1 + TESTO</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1320</v>
      </c>
    </row>
    <row r="606" spans="1:7" x14ac:dyDescent="0.3">
      <c r="A606" s="1" t="str">
        <f t="shared" si="9"/>
        <v>19 ARABINOSE 1 + TESTO</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1321</v>
      </c>
      <c r="D606" s="1" t="s">
        <v>1322</v>
      </c>
      <c r="E606" s="1" t="s">
        <v>1323</v>
      </c>
      <c r="F606" s="1" t="s">
        <v>112</v>
      </c>
      <c r="G606" s="1">
        <v>264569</v>
      </c>
    </row>
    <row r="607" spans="1:7" x14ac:dyDescent="0.3">
      <c r="A607" s="1" t="str">
        <f t="shared" si="9"/>
        <v>19 ARABINOSE 1 + TESTO</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1324</v>
      </c>
      <c r="D607" s="1" t="s">
        <v>899</v>
      </c>
      <c r="E607" s="1" t="s">
        <v>1325</v>
      </c>
      <c r="F607" s="1" t="s">
        <v>112</v>
      </c>
      <c r="G607" s="1">
        <v>122321</v>
      </c>
    </row>
    <row r="608" spans="1:7" x14ac:dyDescent="0.3">
      <c r="A608" s="1" t="str">
        <f t="shared" si="9"/>
        <v>19 ARABINOSE 1 + TESTO</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1326</v>
      </c>
      <c r="D608" s="1" t="s">
        <v>1327</v>
      </c>
      <c r="E608" s="1" t="s">
        <v>1328</v>
      </c>
      <c r="F608" s="1" t="s">
        <v>112</v>
      </c>
      <c r="G608" s="1">
        <v>133264</v>
      </c>
    </row>
    <row r="609" spans="1:10" x14ac:dyDescent="0.3">
      <c r="A609" s="1" t="str">
        <f t="shared" si="9"/>
        <v>19 ARABINOSE 1 + TESTO</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1329</v>
      </c>
      <c r="D609" s="1" t="s">
        <v>746</v>
      </c>
      <c r="E609" s="1" t="s">
        <v>1330</v>
      </c>
      <c r="F609" s="1" t="s">
        <v>112</v>
      </c>
      <c r="G609" s="1">
        <v>148513</v>
      </c>
    </row>
    <row r="610" spans="1:10" x14ac:dyDescent="0.3">
      <c r="A610" s="1" t="str">
        <f t="shared" si="9"/>
        <v>19 ARABINOSE 1 + TESTO</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1331</v>
      </c>
      <c r="D610" s="1" t="s">
        <v>1327</v>
      </c>
      <c r="E610" s="1" t="s">
        <v>1332</v>
      </c>
      <c r="F610" s="1" t="s">
        <v>112</v>
      </c>
      <c r="G610" s="1">
        <v>135265</v>
      </c>
    </row>
    <row r="611" spans="1:10" x14ac:dyDescent="0.3">
      <c r="A611" s="1" t="str">
        <f t="shared" si="9"/>
        <v>19 ARABINOSE 1 + TESTO</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1333</v>
      </c>
    </row>
    <row r="612" spans="1:10" x14ac:dyDescent="0.3">
      <c r="A612" s="1" t="str">
        <f t="shared" si="9"/>
        <v>19 ARABINOSE 1 + TESTO</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1334</v>
      </c>
      <c r="D612" s="1" t="s">
        <v>1335</v>
      </c>
      <c r="E612" s="1" t="s">
        <v>1336</v>
      </c>
      <c r="F612" s="1" t="s">
        <v>112</v>
      </c>
      <c r="G612" s="1">
        <v>1288083</v>
      </c>
    </row>
    <row r="613" spans="1:10" x14ac:dyDescent="0.3">
      <c r="A613" s="1" t="str">
        <f t="shared" si="9"/>
        <v>19 ARABINOSE 1 + TESTO</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1337</v>
      </c>
      <c r="D613" s="1" t="s">
        <v>1338</v>
      </c>
      <c r="E613" s="1" t="s">
        <v>1339</v>
      </c>
      <c r="F613" s="1" t="s">
        <v>112</v>
      </c>
      <c r="G613" s="1">
        <v>1259542</v>
      </c>
    </row>
    <row r="614" spans="1:10" x14ac:dyDescent="0.3">
      <c r="A614" s="1" t="str">
        <f t="shared" si="9"/>
        <v>19 ARABINOSE 1 + TESTO</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1340</v>
      </c>
      <c r="D614" s="1" t="s">
        <v>1341</v>
      </c>
      <c r="E614" s="1" t="s">
        <v>1342</v>
      </c>
      <c r="F614" s="1" t="s">
        <v>112</v>
      </c>
      <c r="G614" s="1">
        <v>1586284</v>
      </c>
    </row>
    <row r="615" spans="1:10" x14ac:dyDescent="0.3">
      <c r="A615" s="1" t="str">
        <f t="shared" si="9"/>
        <v>19 ARABINOSE 1 + TESTO</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1343</v>
      </c>
    </row>
    <row r="616" spans="1:10" x14ac:dyDescent="0.3">
      <c r="A616" s="1" t="str">
        <f t="shared" si="9"/>
        <v>19 ARABINOSE 1 + TESTO</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1344</v>
      </c>
      <c r="D616" s="1" t="s">
        <v>1345</v>
      </c>
      <c r="E616" s="1" t="s">
        <v>1346</v>
      </c>
      <c r="F616" s="1" t="s">
        <v>112</v>
      </c>
      <c r="G616" s="1">
        <v>1243053</v>
      </c>
    </row>
    <row r="617" spans="1:10" x14ac:dyDescent="0.3">
      <c r="A617" s="1" t="str">
        <f t="shared" si="9"/>
        <v>19 ARABINOSE 1 + TESTO</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1347</v>
      </c>
      <c r="D617" s="1" t="s">
        <v>1348</v>
      </c>
      <c r="E617" s="1" t="s">
        <v>1349</v>
      </c>
      <c r="F617" s="1" t="s">
        <v>112</v>
      </c>
      <c r="G617" s="1">
        <v>1021904</v>
      </c>
    </row>
    <row r="618" spans="1:10" x14ac:dyDescent="0.3">
      <c r="A618" s="1" t="str">
        <f t="shared" si="9"/>
        <v>19 ARABINOSE 1 + TESTO</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1350</v>
      </c>
      <c r="D618" s="1" t="s">
        <v>1351</v>
      </c>
      <c r="E618" s="1" t="s">
        <v>1352</v>
      </c>
      <c r="F618" s="1" t="s">
        <v>112</v>
      </c>
      <c r="G618" s="1">
        <v>691661</v>
      </c>
    </row>
    <row r="619" spans="1:10" x14ac:dyDescent="0.3">
      <c r="A619" s="1" t="str">
        <f t="shared" si="9"/>
        <v>19 ARABINOSE 1 + TESTO</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1353</v>
      </c>
    </row>
    <row r="620" spans="1:10" x14ac:dyDescent="0.3">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10" x14ac:dyDescent="0.3">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229</v>
      </c>
      <c r="D621" s="1" t="s">
        <v>112</v>
      </c>
      <c r="E621" s="1" t="s">
        <v>230</v>
      </c>
      <c r="F621" s="1" t="s">
        <v>231</v>
      </c>
      <c r="G621" s="1" t="s">
        <v>232</v>
      </c>
      <c r="H621" s="1" t="s">
        <v>233</v>
      </c>
      <c r="I621" s="1" t="s">
        <v>234</v>
      </c>
      <c r="J621" s="1" t="s">
        <v>235</v>
      </c>
    </row>
    <row r="622" spans="1:10" x14ac:dyDescent="0.3">
      <c r="A622" s="1" t="str">
        <f t="shared" si="9"/>
        <v>19 ARABINOSE 1 + TESTO</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1354</v>
      </c>
      <c r="D622" s="1" t="s">
        <v>112</v>
      </c>
      <c r="E622" s="1" t="s">
        <v>1355</v>
      </c>
      <c r="F622" s="1" t="s">
        <v>1356</v>
      </c>
      <c r="G622" s="1" t="s">
        <v>1357</v>
      </c>
      <c r="H622" s="1" t="s">
        <v>1358</v>
      </c>
      <c r="I622" s="1">
        <v>24</v>
      </c>
      <c r="J622" s="1">
        <v>24</v>
      </c>
    </row>
    <row r="623" spans="1:10" x14ac:dyDescent="0.3">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10" x14ac:dyDescent="0.3">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3">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3">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3">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3">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241</v>
      </c>
      <c r="D628" s="1" t="s">
        <v>110</v>
      </c>
      <c r="E628" s="1" t="s">
        <v>111</v>
      </c>
      <c r="F628" s="1" t="s">
        <v>112</v>
      </c>
      <c r="G628" s="1" t="s">
        <v>113</v>
      </c>
    </row>
    <row r="629" spans="1:7" x14ac:dyDescent="0.3">
      <c r="A629" s="1" t="str">
        <f t="shared" si="9"/>
        <v>20 ARABINOSE 10 + TESTO</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1359</v>
      </c>
      <c r="D629" s="1" t="s">
        <v>1360</v>
      </c>
      <c r="E629" s="1" t="s">
        <v>1361</v>
      </c>
      <c r="F629" s="1" t="s">
        <v>112</v>
      </c>
      <c r="G629" s="1">
        <v>2402789</v>
      </c>
    </row>
    <row r="630" spans="1:7" x14ac:dyDescent="0.3">
      <c r="A630" s="1" t="str">
        <f t="shared" si="9"/>
        <v>20 ARABINOSE 10 + TESTO</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1362</v>
      </c>
      <c r="D630" s="1" t="s">
        <v>1363</v>
      </c>
      <c r="E630" s="1" t="s">
        <v>1364</v>
      </c>
      <c r="F630" s="1" t="s">
        <v>112</v>
      </c>
      <c r="G630" s="1">
        <v>2416777</v>
      </c>
    </row>
    <row r="631" spans="1:7" x14ac:dyDescent="0.3">
      <c r="A631" s="1" t="str">
        <f t="shared" si="9"/>
        <v>20 ARABINOSE 10 + TESTO</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1365</v>
      </c>
      <c r="D631" s="1" t="s">
        <v>1366</v>
      </c>
      <c r="E631" s="1" t="s">
        <v>1367</v>
      </c>
      <c r="F631" s="1" t="s">
        <v>112</v>
      </c>
      <c r="G631" s="1">
        <v>2473163</v>
      </c>
    </row>
    <row r="632" spans="1:7" x14ac:dyDescent="0.3">
      <c r="A632" s="1" t="str">
        <f t="shared" si="9"/>
        <v>20 ARABINOSE 10 + TESTO</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1368</v>
      </c>
      <c r="D632" s="1" t="s">
        <v>1369</v>
      </c>
      <c r="E632" s="1" t="s">
        <v>1370</v>
      </c>
      <c r="F632" s="1" t="s">
        <v>112</v>
      </c>
      <c r="G632" s="1">
        <v>1070546</v>
      </c>
    </row>
    <row r="633" spans="1:7" x14ac:dyDescent="0.3">
      <c r="A633" s="1" t="str">
        <f t="shared" si="9"/>
        <v>20 ARABINOSE 10 + TESTO</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1371</v>
      </c>
      <c r="D633" s="1" t="s">
        <v>1372</v>
      </c>
      <c r="E633" s="1" t="s">
        <v>1373</v>
      </c>
      <c r="F633" s="1" t="s">
        <v>112</v>
      </c>
      <c r="G633" s="1">
        <v>1224780</v>
      </c>
    </row>
    <row r="634" spans="1:7" x14ac:dyDescent="0.3">
      <c r="A634" s="1" t="str">
        <f t="shared" si="9"/>
        <v>20 ARABINOSE 10 + TESTO</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1374</v>
      </c>
    </row>
    <row r="635" spans="1:7" x14ac:dyDescent="0.3">
      <c r="A635" s="1" t="str">
        <f t="shared" si="9"/>
        <v>20 ARABINOSE 10 + TESTO</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1375</v>
      </c>
      <c r="D635" s="1" t="s">
        <v>1376</v>
      </c>
      <c r="E635" s="1" t="s">
        <v>1377</v>
      </c>
      <c r="F635" s="1" t="s">
        <v>112</v>
      </c>
      <c r="G635" s="1">
        <v>2495874</v>
      </c>
    </row>
    <row r="636" spans="1:7" x14ac:dyDescent="0.3">
      <c r="A636" s="1" t="str">
        <f t="shared" si="9"/>
        <v>20 ARABINOSE 10 + TESTO</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1378</v>
      </c>
      <c r="D636" s="1" t="s">
        <v>1242</v>
      </c>
      <c r="E636" s="1" t="s">
        <v>1379</v>
      </c>
      <c r="F636" s="1" t="s">
        <v>112</v>
      </c>
      <c r="G636" s="1">
        <v>2290279</v>
      </c>
    </row>
    <row r="637" spans="1:7" x14ac:dyDescent="0.3">
      <c r="A637" s="1" t="str">
        <f t="shared" si="9"/>
        <v>20 ARABINOSE 10 + TESTO</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1380</v>
      </c>
      <c r="D637" s="1" t="s">
        <v>1381</v>
      </c>
      <c r="E637" s="1" t="s">
        <v>1382</v>
      </c>
      <c r="F637" s="1" t="s">
        <v>112</v>
      </c>
      <c r="G637" s="1">
        <v>2391195</v>
      </c>
    </row>
    <row r="638" spans="1:7" x14ac:dyDescent="0.3">
      <c r="A638" s="1" t="str">
        <f t="shared" si="9"/>
        <v>20 ARABINOSE 10 + TESTO</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1383</v>
      </c>
    </row>
    <row r="639" spans="1:7" x14ac:dyDescent="0.3">
      <c r="A639" s="1" t="str">
        <f t="shared" si="9"/>
        <v>20 ARABINOSE 10 + TESTO</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1384</v>
      </c>
      <c r="D639" s="1" t="s">
        <v>1385</v>
      </c>
      <c r="E639" s="1" t="s">
        <v>272</v>
      </c>
      <c r="F639" s="1" t="s">
        <v>112</v>
      </c>
      <c r="G639" s="1">
        <v>76443</v>
      </c>
    </row>
    <row r="640" spans="1:7" x14ac:dyDescent="0.3">
      <c r="A640" s="1" t="str">
        <f t="shared" si="9"/>
        <v>20 ARABINOSE 10 + TESTO</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1386</v>
      </c>
    </row>
    <row r="641" spans="1:10" x14ac:dyDescent="0.3">
      <c r="A641" s="1" t="str">
        <f t="shared" si="9"/>
        <v>20 ARABINOSE 10 + TESTO</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1387</v>
      </c>
      <c r="D641" s="1" t="s">
        <v>1388</v>
      </c>
      <c r="E641" s="1" t="s">
        <v>1389</v>
      </c>
      <c r="F641" s="1" t="s">
        <v>112</v>
      </c>
      <c r="G641" s="1">
        <v>149035</v>
      </c>
    </row>
    <row r="642" spans="1:10" x14ac:dyDescent="0.3">
      <c r="A642" s="1" t="str">
        <f t="shared" ref="A642:A705" si="10">IFERROR(LEFT(RIGHT(C642,LEN(C642)-SEARCH("@",C642)),SEARCH("/",RIGHT(C642,LEN(C642)-SEARCH("@",C642)-1))),"")</f>
        <v>20 ARABINOSE 10 + TESTO</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1390</v>
      </c>
      <c r="D642" s="1" t="s">
        <v>1391</v>
      </c>
      <c r="E642" s="1" t="s">
        <v>1392</v>
      </c>
      <c r="F642" s="1" t="s">
        <v>112</v>
      </c>
      <c r="G642" s="1">
        <v>112967</v>
      </c>
    </row>
    <row r="643" spans="1:10" x14ac:dyDescent="0.3">
      <c r="A643" s="1" t="str">
        <f t="shared" si="10"/>
        <v>20 ARABINOSE 10 + TESTO</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1393</v>
      </c>
    </row>
    <row r="644" spans="1:10" x14ac:dyDescent="0.3">
      <c r="A644" s="1" t="str">
        <f t="shared" si="10"/>
        <v>20 ARABINOSE 10 + TESTO</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1394</v>
      </c>
      <c r="D644" s="1" t="s">
        <v>1395</v>
      </c>
      <c r="E644" s="1" t="s">
        <v>1396</v>
      </c>
      <c r="F644" s="1" t="s">
        <v>112</v>
      </c>
      <c r="G644" s="1">
        <v>1824770</v>
      </c>
    </row>
    <row r="645" spans="1:10" x14ac:dyDescent="0.3">
      <c r="A645" s="1" t="str">
        <f t="shared" si="10"/>
        <v>20 ARABINOSE 10 + TESTO</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1397</v>
      </c>
      <c r="D645" s="1" t="s">
        <v>1398</v>
      </c>
      <c r="E645" s="1" t="s">
        <v>1399</v>
      </c>
      <c r="F645" s="1" t="s">
        <v>112</v>
      </c>
      <c r="G645" s="1">
        <v>1860011</v>
      </c>
    </row>
    <row r="646" spans="1:10" x14ac:dyDescent="0.3">
      <c r="A646" s="1" t="str">
        <f t="shared" si="10"/>
        <v>20 ARABINOSE 10 + TESTO</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1400</v>
      </c>
      <c r="D646" s="1" t="s">
        <v>1401</v>
      </c>
      <c r="E646" s="1" t="s">
        <v>1402</v>
      </c>
      <c r="F646" s="1" t="s">
        <v>112</v>
      </c>
      <c r="G646" s="1">
        <v>1491720</v>
      </c>
    </row>
    <row r="647" spans="1:10" x14ac:dyDescent="0.3">
      <c r="A647" s="1" t="str">
        <f t="shared" si="10"/>
        <v>20 ARABINOSE 10 + TESTO</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1403</v>
      </c>
      <c r="D647" s="1" t="s">
        <v>1404</v>
      </c>
      <c r="E647" s="1" t="s">
        <v>1405</v>
      </c>
      <c r="F647" s="1" t="s">
        <v>112</v>
      </c>
      <c r="G647" s="1">
        <v>1098586</v>
      </c>
    </row>
    <row r="648" spans="1:10" x14ac:dyDescent="0.3">
      <c r="A648" s="1" t="str">
        <f t="shared" si="10"/>
        <v>20 ARABINOSE 10 + TESTO</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1406</v>
      </c>
      <c r="D648" s="1" t="s">
        <v>1407</v>
      </c>
      <c r="E648" s="1" t="s">
        <v>1408</v>
      </c>
      <c r="F648" s="1" t="s">
        <v>112</v>
      </c>
      <c r="G648" s="1">
        <v>1613976</v>
      </c>
    </row>
    <row r="649" spans="1:10" x14ac:dyDescent="0.3">
      <c r="A649" s="1" t="str">
        <f t="shared" si="10"/>
        <v>20 ARABINOSE 10 + TESTO</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1409</v>
      </c>
      <c r="D649" s="1" t="s">
        <v>1410</v>
      </c>
      <c r="E649" s="1" t="s">
        <v>1411</v>
      </c>
      <c r="F649" s="1" t="s">
        <v>112</v>
      </c>
      <c r="G649" s="1">
        <v>1748328</v>
      </c>
    </row>
    <row r="650" spans="1:10" x14ac:dyDescent="0.3">
      <c r="A650" s="1" t="str">
        <f t="shared" si="10"/>
        <v>20 ARABINOSE 10 + TESTO</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1412</v>
      </c>
    </row>
    <row r="651" spans="1:10" x14ac:dyDescent="0.3">
      <c r="A651" s="1" t="str">
        <f t="shared" si="10"/>
        <v>20 ARABINOSE 10 + TESTO</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1413</v>
      </c>
      <c r="D651" s="1" t="s">
        <v>1414</v>
      </c>
      <c r="E651" s="1" t="s">
        <v>1415</v>
      </c>
      <c r="F651" s="1" t="s">
        <v>112</v>
      </c>
      <c r="G651" s="1">
        <v>244055</v>
      </c>
    </row>
    <row r="652" spans="1:10" x14ac:dyDescent="0.3">
      <c r="A652" s="1" t="str">
        <f t="shared" si="10"/>
        <v>20 ARABINOSE 10 + TESTO</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1416</v>
      </c>
    </row>
    <row r="653" spans="1:10" x14ac:dyDescent="0.3">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10" x14ac:dyDescent="0.3">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229</v>
      </c>
      <c r="D654" s="1" t="s">
        <v>112</v>
      </c>
      <c r="E654" s="1" t="s">
        <v>230</v>
      </c>
      <c r="F654" s="1" t="s">
        <v>231</v>
      </c>
      <c r="G654" s="1" t="s">
        <v>232</v>
      </c>
      <c r="H654" s="1" t="s">
        <v>233</v>
      </c>
      <c r="I654" s="1" t="s">
        <v>234</v>
      </c>
      <c r="J654" s="1" t="s">
        <v>235</v>
      </c>
    </row>
    <row r="655" spans="1:10" x14ac:dyDescent="0.3">
      <c r="A655" s="1" t="str">
        <f t="shared" si="10"/>
        <v>20 ARABINOSE 10 + TESTO</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1417</v>
      </c>
      <c r="D655" s="1" t="s">
        <v>112</v>
      </c>
      <c r="E655" s="1" t="s">
        <v>1418</v>
      </c>
      <c r="F655" s="1" t="s">
        <v>1419</v>
      </c>
      <c r="G655" s="1" t="s">
        <v>1420</v>
      </c>
      <c r="H655" s="1" t="s">
        <v>1421</v>
      </c>
      <c r="I655" s="1">
        <v>24</v>
      </c>
      <c r="J655" s="1">
        <v>24</v>
      </c>
    </row>
    <row r="656" spans="1:10" x14ac:dyDescent="0.3">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3">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3">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3">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3">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3">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241</v>
      </c>
      <c r="D661" s="1" t="s">
        <v>110</v>
      </c>
      <c r="E661" s="1" t="s">
        <v>111</v>
      </c>
      <c r="F661" s="1" t="s">
        <v>112</v>
      </c>
      <c r="G661" s="1" t="s">
        <v>113</v>
      </c>
    </row>
    <row r="662" spans="1:7" x14ac:dyDescent="0.3">
      <c r="A662" s="1" t="str">
        <f t="shared" si="10"/>
        <v>21 ARABINOSE 100 + TESTO</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1422</v>
      </c>
      <c r="D662" s="1" t="s">
        <v>1018</v>
      </c>
      <c r="E662" s="1" t="s">
        <v>1423</v>
      </c>
      <c r="F662" s="1" t="s">
        <v>112</v>
      </c>
      <c r="G662" s="1">
        <v>1640385</v>
      </c>
    </row>
    <row r="663" spans="1:7" x14ac:dyDescent="0.3">
      <c r="A663" s="1" t="str">
        <f t="shared" si="10"/>
        <v>21 ARABINOSE 100 + TESTO</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1424</v>
      </c>
      <c r="D663" s="1" t="s">
        <v>1425</v>
      </c>
      <c r="E663" s="1" t="s">
        <v>1426</v>
      </c>
      <c r="F663" s="1" t="s">
        <v>112</v>
      </c>
      <c r="G663" s="1">
        <v>1596813</v>
      </c>
    </row>
    <row r="664" spans="1:7" x14ac:dyDescent="0.3">
      <c r="A664" s="1" t="str">
        <f t="shared" si="10"/>
        <v>21 ARABINOSE 100 + TESTO</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1427</v>
      </c>
      <c r="D664" s="1" t="s">
        <v>1428</v>
      </c>
      <c r="E664" s="1" t="s">
        <v>1429</v>
      </c>
      <c r="F664" s="1" t="s">
        <v>112</v>
      </c>
      <c r="G664" s="1">
        <v>1366571</v>
      </c>
    </row>
    <row r="665" spans="1:7" x14ac:dyDescent="0.3">
      <c r="A665" s="1" t="str">
        <f t="shared" si="10"/>
        <v>21 ARABINOSE 100 + TESTO</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1430</v>
      </c>
      <c r="D665" s="1" t="s">
        <v>1431</v>
      </c>
      <c r="E665" s="1" t="s">
        <v>1432</v>
      </c>
      <c r="F665" s="1" t="s">
        <v>112</v>
      </c>
      <c r="G665" s="1">
        <v>1392371</v>
      </c>
    </row>
    <row r="666" spans="1:7" x14ac:dyDescent="0.3">
      <c r="A666" s="1" t="str">
        <f t="shared" si="10"/>
        <v>21 ARABINOSE 100 + TESTO</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1433</v>
      </c>
      <c r="D666" s="1" t="s">
        <v>1434</v>
      </c>
      <c r="E666" s="1" t="s">
        <v>1435</v>
      </c>
      <c r="F666" s="1" t="s">
        <v>112</v>
      </c>
      <c r="G666" s="1">
        <v>1323150</v>
      </c>
    </row>
    <row r="667" spans="1:7" x14ac:dyDescent="0.3">
      <c r="A667" s="1" t="str">
        <f t="shared" si="10"/>
        <v>21 ARABINOSE 100 + TESTO</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1436</v>
      </c>
      <c r="D667" s="1" t="s">
        <v>1437</v>
      </c>
      <c r="E667" s="1" t="s">
        <v>1438</v>
      </c>
      <c r="F667" s="1" t="s">
        <v>112</v>
      </c>
      <c r="G667" s="1">
        <v>1363308</v>
      </c>
    </row>
    <row r="668" spans="1:7" x14ac:dyDescent="0.3">
      <c r="A668" s="1" t="str">
        <f t="shared" si="10"/>
        <v>21 ARABINOSE 100 + TESTO</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1439</v>
      </c>
      <c r="D668" s="1" t="s">
        <v>1440</v>
      </c>
      <c r="E668" s="1" t="s">
        <v>1441</v>
      </c>
      <c r="F668" s="1" t="s">
        <v>112</v>
      </c>
      <c r="G668" s="1">
        <v>2188254</v>
      </c>
    </row>
    <row r="669" spans="1:7" x14ac:dyDescent="0.3">
      <c r="A669" s="1" t="str">
        <f t="shared" si="10"/>
        <v>21 ARABINOSE 100 + TESTO</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1442</v>
      </c>
      <c r="D669" s="1" t="s">
        <v>1443</v>
      </c>
      <c r="E669" s="1" t="s">
        <v>1444</v>
      </c>
      <c r="F669" s="1" t="s">
        <v>112</v>
      </c>
      <c r="G669" s="1">
        <v>2277422</v>
      </c>
    </row>
    <row r="670" spans="1:7" x14ac:dyDescent="0.3">
      <c r="A670" s="1" t="str">
        <f t="shared" si="10"/>
        <v>21 ARABINOSE 100 + TESTO</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1445</v>
      </c>
      <c r="D670" s="1" t="s">
        <v>1446</v>
      </c>
      <c r="E670" s="1" t="s">
        <v>1447</v>
      </c>
      <c r="F670" s="1" t="s">
        <v>112</v>
      </c>
      <c r="G670" s="1">
        <v>2105285</v>
      </c>
    </row>
    <row r="671" spans="1:7" x14ac:dyDescent="0.3">
      <c r="A671" s="1" t="str">
        <f t="shared" si="10"/>
        <v>21 ARABINOSE 100 + TESTO</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1448</v>
      </c>
      <c r="D671" s="1" t="s">
        <v>1449</v>
      </c>
      <c r="E671" s="1" t="s">
        <v>1450</v>
      </c>
      <c r="F671" s="1" t="s">
        <v>112</v>
      </c>
      <c r="G671" s="1">
        <v>2172787</v>
      </c>
    </row>
    <row r="672" spans="1:7" x14ac:dyDescent="0.3">
      <c r="A672" s="1" t="str">
        <f t="shared" si="10"/>
        <v>21 ARABINOSE 100 + TESTO</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1451</v>
      </c>
      <c r="D672" s="1" t="s">
        <v>1452</v>
      </c>
      <c r="E672" s="1" t="s">
        <v>1453</v>
      </c>
      <c r="F672" s="1" t="s">
        <v>112</v>
      </c>
      <c r="G672" s="1">
        <v>1938716</v>
      </c>
    </row>
    <row r="673" spans="1:10" x14ac:dyDescent="0.3">
      <c r="A673" s="1" t="str">
        <f t="shared" si="10"/>
        <v>21 ARABINOSE 100 + TESTO</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1454</v>
      </c>
      <c r="D673" s="1" t="s">
        <v>1455</v>
      </c>
      <c r="E673" s="1" t="s">
        <v>1456</v>
      </c>
      <c r="F673" s="1" t="s">
        <v>112</v>
      </c>
      <c r="G673" s="1">
        <v>1994624</v>
      </c>
    </row>
    <row r="674" spans="1:10" x14ac:dyDescent="0.3">
      <c r="A674" s="1" t="str">
        <f t="shared" si="10"/>
        <v>21 ARABINOSE 100 + TESTO</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1457</v>
      </c>
      <c r="D674" s="1" t="s">
        <v>1458</v>
      </c>
      <c r="E674" s="1" t="s">
        <v>1459</v>
      </c>
      <c r="F674" s="1" t="s">
        <v>112</v>
      </c>
      <c r="G674" s="1">
        <v>3212790</v>
      </c>
    </row>
    <row r="675" spans="1:10" x14ac:dyDescent="0.3">
      <c r="A675" s="1" t="str">
        <f t="shared" si="10"/>
        <v>21 ARABINOSE 100 + TESTO</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1460</v>
      </c>
    </row>
    <row r="676" spans="1:10" x14ac:dyDescent="0.3">
      <c r="A676" s="1" t="str">
        <f t="shared" si="10"/>
        <v>21 ARABINOSE 100 + TESTO</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1461</v>
      </c>
    </row>
    <row r="677" spans="1:10" x14ac:dyDescent="0.3">
      <c r="A677" s="1" t="str">
        <f t="shared" si="10"/>
        <v>21 ARABINOSE 100 + TESTO</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1462</v>
      </c>
    </row>
    <row r="678" spans="1:10" x14ac:dyDescent="0.3">
      <c r="A678" s="1" t="str">
        <f t="shared" si="10"/>
        <v>21 ARABINOSE 100 + TESTO</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1463</v>
      </c>
      <c r="D678" s="1" t="s">
        <v>1464</v>
      </c>
      <c r="E678" s="1" t="s">
        <v>1465</v>
      </c>
      <c r="F678" s="1" t="s">
        <v>112</v>
      </c>
      <c r="G678" s="1">
        <v>895406</v>
      </c>
    </row>
    <row r="679" spans="1:10" x14ac:dyDescent="0.3">
      <c r="A679" s="1" t="str">
        <f t="shared" si="10"/>
        <v>21 ARABINOSE 100 + TESTO</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1466</v>
      </c>
      <c r="D679" s="1" t="s">
        <v>1467</v>
      </c>
      <c r="E679" s="1" t="s">
        <v>1468</v>
      </c>
      <c r="F679" s="1" t="s">
        <v>112</v>
      </c>
      <c r="G679" s="1">
        <v>957122</v>
      </c>
    </row>
    <row r="680" spans="1:10" x14ac:dyDescent="0.3">
      <c r="A680" s="1" t="str">
        <f t="shared" si="10"/>
        <v>21 ARABINOSE 100 + TESTO</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1469</v>
      </c>
      <c r="D680" s="1" t="s">
        <v>315</v>
      </c>
      <c r="E680" s="1" t="s">
        <v>1470</v>
      </c>
      <c r="F680" s="1" t="s">
        <v>112</v>
      </c>
      <c r="G680" s="1">
        <v>100394</v>
      </c>
    </row>
    <row r="681" spans="1:10" x14ac:dyDescent="0.3">
      <c r="A681" s="1" t="str">
        <f t="shared" si="10"/>
        <v>21 ARABINOSE 100 + TESTO</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1471</v>
      </c>
      <c r="D681" s="1" t="s">
        <v>1472</v>
      </c>
      <c r="E681" s="1" t="s">
        <v>1473</v>
      </c>
      <c r="F681" s="1" t="s">
        <v>112</v>
      </c>
      <c r="G681" s="1">
        <v>141421</v>
      </c>
    </row>
    <row r="682" spans="1:10" x14ac:dyDescent="0.3">
      <c r="A682" s="1" t="str">
        <f t="shared" si="10"/>
        <v>21 ARABINOSE 100 + TESTO</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1474</v>
      </c>
      <c r="D682" s="1" t="s">
        <v>1475</v>
      </c>
      <c r="E682" s="1" t="s">
        <v>1476</v>
      </c>
      <c r="F682" s="1" t="s">
        <v>112</v>
      </c>
      <c r="G682" s="1">
        <v>95347</v>
      </c>
    </row>
    <row r="683" spans="1:10" x14ac:dyDescent="0.3">
      <c r="A683" s="1" t="str">
        <f t="shared" si="10"/>
        <v>21 ARABINOSE 100 + TESTO</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1477</v>
      </c>
      <c r="D683" s="1" t="s">
        <v>383</v>
      </c>
      <c r="E683" s="1">
        <v>64</v>
      </c>
      <c r="F683" s="1" t="s">
        <v>112</v>
      </c>
      <c r="G683" s="1">
        <v>9746</v>
      </c>
    </row>
    <row r="684" spans="1:10" x14ac:dyDescent="0.3">
      <c r="A684" s="1" t="str">
        <f t="shared" si="10"/>
        <v>21 ARABINOSE 100 + TESTO</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1478</v>
      </c>
      <c r="D684" s="1" t="s">
        <v>171</v>
      </c>
      <c r="E684" s="1" t="s">
        <v>775</v>
      </c>
      <c r="F684" s="1" t="s">
        <v>112</v>
      </c>
      <c r="G684" s="1">
        <v>17795</v>
      </c>
    </row>
    <row r="685" spans="1:10" x14ac:dyDescent="0.3">
      <c r="A685" s="1" t="str">
        <f t="shared" si="10"/>
        <v>21 ARABINOSE 100 + TESTO</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1479</v>
      </c>
      <c r="D685" s="1" t="s">
        <v>279</v>
      </c>
      <c r="E685" s="1" t="s">
        <v>1480</v>
      </c>
      <c r="F685" s="1" t="s">
        <v>112</v>
      </c>
      <c r="G685" s="1">
        <v>19361</v>
      </c>
    </row>
    <row r="686" spans="1:10" x14ac:dyDescent="0.3">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10" x14ac:dyDescent="0.3">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229</v>
      </c>
      <c r="D687" s="1" t="s">
        <v>112</v>
      </c>
      <c r="E687" s="1" t="s">
        <v>230</v>
      </c>
      <c r="F687" s="1" t="s">
        <v>231</v>
      </c>
      <c r="G687" s="1" t="s">
        <v>232</v>
      </c>
      <c r="H687" s="1" t="s">
        <v>233</v>
      </c>
      <c r="I687" s="1" t="s">
        <v>234</v>
      </c>
      <c r="J687" s="1" t="s">
        <v>235</v>
      </c>
    </row>
    <row r="688" spans="1:10" x14ac:dyDescent="0.3">
      <c r="A688" s="1" t="str">
        <f t="shared" si="10"/>
        <v>21 ARABINOSE 100 + TESTO</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1481</v>
      </c>
      <c r="D688" s="1" t="s">
        <v>112</v>
      </c>
      <c r="E688" s="1" t="s">
        <v>1482</v>
      </c>
      <c r="F688" s="1" t="s">
        <v>1483</v>
      </c>
      <c r="G688" s="1" t="s">
        <v>1484</v>
      </c>
      <c r="H688" s="1" t="s">
        <v>1485</v>
      </c>
      <c r="I688" s="1">
        <v>24</v>
      </c>
      <c r="J688" s="1">
        <v>24</v>
      </c>
    </row>
    <row r="689" spans="1:4" x14ac:dyDescent="0.3">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4" x14ac:dyDescent="0.3">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4" x14ac:dyDescent="0.3">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4" x14ac:dyDescent="0.3">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112</v>
      </c>
    </row>
    <row r="693" spans="1:4" x14ac:dyDescent="0.3">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112</v>
      </c>
    </row>
    <row r="694" spans="1:4" x14ac:dyDescent="0.3">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4" x14ac:dyDescent="0.3">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1486</v>
      </c>
    </row>
    <row r="696" spans="1:4" x14ac:dyDescent="0.3">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3">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3">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3">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3">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3">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3">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3">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3">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3">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3">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3">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3">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3">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3">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3">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3">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3">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3">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3">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3">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3">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3">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3">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3">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3">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3">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3">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3">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3">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3">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3">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3">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3">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3">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3">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3">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3">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3">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3">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3">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3">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3">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3">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3">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3">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3">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3">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3">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3">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3">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3">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3">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3">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3">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3">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3">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3">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3">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3">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3">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3">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3">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3">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3">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3">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3">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3">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3">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3">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3">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3">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3">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3">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3">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3">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3">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3">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3">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3">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3">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3">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3">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3">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3">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3">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3">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3">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3">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3">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3">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3">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3">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3">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3">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3">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3">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3">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3">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3">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3">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3">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3">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3">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3">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3">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3">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3">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3">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3">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3">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3">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3">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3">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3">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3">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3">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3">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3">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3">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3">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3">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3">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3">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3">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3">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3">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3">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3">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3">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3">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3">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3">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3">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3">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3">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3">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3">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3">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3">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3">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3">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3">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3">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3">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3">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3">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3">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3">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3">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3">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3">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3">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3">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3">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3">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3">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3">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3">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3">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3">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3">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3">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3">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3">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3">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3">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3">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3">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3">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3">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3">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3">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3">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3">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3">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3">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3">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3">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3">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3">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3">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3">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3">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3">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3">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3">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3">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3">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3">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3">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3">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3">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3">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3">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3">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3">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3">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3">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3">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3">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3">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3">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3">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3">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3">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3">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3">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3">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3">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3">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3">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3">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3">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3">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3">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3">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3">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3">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3">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3">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3">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3">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3">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3">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3">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3">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3">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3">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3">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3">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3">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3">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3">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3">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3">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3">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3">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3">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3">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3">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3">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3">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3">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3">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3">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3">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3">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3">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3">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3">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3">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3">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3">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3">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3">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3">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3">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3">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3">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3">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3">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3">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3">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3">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3">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3">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3">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3">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3">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3">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3">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3">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3">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3">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3">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3">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3">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3">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3">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3">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3">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3">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3">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3">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3">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3">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3">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3">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3">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3">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3">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3">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3">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3">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3">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3">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3">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3">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3">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3">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3">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3">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3">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3">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3">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3">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3">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3">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3">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3">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3">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3">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3">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3">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3">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3">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3">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3">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3">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3">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3">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3">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3">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3">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3">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3">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3">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3">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3">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3">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3">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3">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3">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3">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3">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3">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3">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3">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3">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3">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3">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3">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3">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3">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3">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3">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3">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3">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3">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3">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3">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3">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3">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3">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3">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3">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3">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3">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3">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3">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3">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3">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3">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3">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3">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3">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3">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3">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3">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3">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3">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3">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3">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3">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3">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3">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3">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3">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3">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3">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3">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3">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3">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3">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3">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3">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3">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3">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3">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3">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3">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3">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3">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3">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3">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3">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3">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3">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3">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3">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3">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3">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3">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3">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3">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3">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3">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3">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3">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3">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3">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3">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3">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3">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3">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3">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3">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3">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3">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3">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3">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3">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3">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3">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3">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3">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3">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3">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3">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3">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3">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3">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3">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3">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3">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3">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3">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3">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3">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3">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3">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3">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3">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3">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3">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3">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3">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3">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3">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3">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3">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3">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3">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3">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3">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3">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3">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3">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3">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3">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3">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3">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3">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3">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3">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3">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3">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3">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3">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3">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3">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3">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3">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3">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3">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3">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3">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3">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3">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3">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3">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3">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3">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3">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3">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3">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3">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3">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3">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3">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3">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3">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3">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3">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3">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3">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3">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3">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3">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3">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3">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3">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3">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3">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3">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3">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3">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3">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3">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3">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3">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3">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3">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3">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3">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3">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3">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3">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3">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3">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3">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3">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3">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3">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3">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3">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3">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3">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3">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3">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3">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3">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3">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3">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3">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3">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3">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3">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3">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3">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3">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3">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3">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3">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3">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3">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3">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3">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3">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3">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3">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3">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3">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3">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3">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3">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3">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3">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3">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3">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3">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3">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3">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3">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3">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3">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3">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3">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3">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3">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3">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3">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3">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3">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3">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3">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3">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3">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3">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3">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3">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3">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3">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3">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3">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3">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3">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3">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3">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3">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3">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3">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3">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3">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3">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3">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3">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3">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3">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3">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3">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3">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3">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3">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3">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3">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3">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3">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3">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3">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3">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3">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3">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3">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3">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3">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3">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3">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3">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3">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3">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3">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3">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3">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3">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3">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3">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3">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3">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3">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3">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3">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3">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3">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3">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3">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3">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3">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3">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3">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3">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3">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3">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3">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3">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3">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3">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3">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3">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3">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3">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3">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3">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3">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3">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3">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3">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3">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3">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3">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3">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3">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3">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3">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3">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3">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3">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3">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3">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3">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3">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3">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3">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3">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3">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3">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3">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3">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3">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3">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3">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3">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3">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3">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3">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3">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3">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3">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3">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3">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3">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3">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3">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3">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3">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3">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3">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3">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3">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3">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3">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3">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3">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3">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3">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3">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3">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3">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3">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3">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3">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3">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3">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3">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3">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3">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3">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3">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3">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3">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3">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3">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3">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3">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3">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3">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3">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3">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3">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3">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3">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3">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3">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3">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3">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3">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3">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3">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3">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3">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3">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3">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3">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3">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3">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3">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3">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3">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3">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3">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3">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3">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3">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3">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3">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3">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3">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3">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3">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3">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3">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3">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3">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3">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3">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3">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3">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3">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3">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3">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3">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3">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3">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3">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3">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3">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3">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3">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3">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3">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3">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3">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3">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3">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3">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3">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3">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3">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3">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3">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3">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3">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3">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3">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3">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3">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3">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3">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3">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3">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3">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3">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3">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3">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3">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3">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3">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3">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3">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3">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3">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3">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3">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3">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3">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3">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3">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3">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3">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3">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3">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3">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3">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3">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3">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3">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3">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3">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3">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3">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3">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3">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3">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3">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3">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3">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3">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3">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3">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3">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3">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3">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3">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3">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3">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3">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3">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3">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3">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3">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3">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3">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3">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3">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3">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3">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3">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3">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3">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3">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3">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32" priority="1" operator="containsText" text="ERREUR">
      <formula>NOT(ISERROR(SEARCH("ERREUR",A1)))</formula>
    </cfRule>
    <cfRule type="containsText" dxfId="31"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60" zoomScaleNormal="60" zoomScaleSheetLayoutView="40" zoomScalePageLayoutView="30" workbookViewId="0">
      <pane xSplit="1" topLeftCell="H1" activePane="topRight" state="frozen"/>
      <selection pane="topRight" activeCell="R18" sqref="R18"/>
    </sheetView>
  </sheetViews>
  <sheetFormatPr defaultColWidth="9.21875" defaultRowHeight="14.4" x14ac:dyDescent="0.3"/>
  <cols>
    <col min="1" max="1" width="29.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8.21875" bestFit="1" customWidth="1"/>
    <col min="15" max="15" width="14.77734375" customWidth="1"/>
    <col min="16" max="16" width="17.77734375" customWidth="1"/>
    <col min="17" max="18" width="25.77734375" bestFit="1" customWidth="1"/>
    <col min="19" max="22" width="25.77734375" style="1" customWidth="1"/>
  </cols>
  <sheetData>
    <row r="1" spans="1:22" s="1" customFormat="1" ht="26.4" thickBot="1" x14ac:dyDescent="0.55000000000000004">
      <c r="A1" s="216" t="s">
        <v>40</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35">
      <c r="A2"/>
      <c r="B2"/>
      <c r="C2"/>
      <c r="D2"/>
      <c r="E2"/>
      <c r="F2"/>
      <c r="G2"/>
      <c r="H2"/>
      <c r="I2"/>
      <c r="J2"/>
      <c r="K2"/>
      <c r="L2"/>
      <c r="M2"/>
      <c r="S2"/>
      <c r="T2"/>
      <c r="U2"/>
      <c r="V2"/>
    </row>
    <row r="3" spans="1:22" ht="15" thickBot="1" x14ac:dyDescent="0.35">
      <c r="A3" s="51" t="s">
        <v>17</v>
      </c>
      <c r="B3" s="224" t="s">
        <v>6</v>
      </c>
      <c r="C3" s="225"/>
      <c r="D3" s="225"/>
      <c r="E3" s="225"/>
      <c r="F3" s="225"/>
      <c r="G3" s="225"/>
      <c r="H3" s="225"/>
      <c r="I3" s="225"/>
      <c r="J3" s="225"/>
      <c r="K3" s="225"/>
      <c r="L3" s="225"/>
      <c r="M3" s="225"/>
      <c r="O3" s="224" t="s">
        <v>3</v>
      </c>
      <c r="P3" s="225"/>
      <c r="Q3" s="225"/>
      <c r="R3" s="225"/>
      <c r="S3" s="225"/>
      <c r="T3" s="225"/>
      <c r="U3" s="225"/>
      <c r="V3" s="225"/>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20" t="s">
        <v>33</v>
      </c>
      <c r="B5" s="192">
        <v>13661.333333333334</v>
      </c>
      <c r="C5" s="192">
        <v>18440.333333333332</v>
      </c>
      <c r="D5" s="192">
        <v>20535.5</v>
      </c>
      <c r="E5" s="192"/>
      <c r="F5" s="192">
        <v>909024.33333333337</v>
      </c>
      <c r="G5" s="192">
        <v>1665191.6666666667</v>
      </c>
      <c r="H5" s="192"/>
      <c r="I5" s="192">
        <v>13755.666666666666</v>
      </c>
      <c r="J5" s="192">
        <v>18675.5</v>
      </c>
      <c r="K5" s="192">
        <v>97261</v>
      </c>
      <c r="L5" s="192">
        <v>14582.333333333334</v>
      </c>
      <c r="M5" s="192">
        <v>129130.33333333333</v>
      </c>
      <c r="N5" s="3"/>
      <c r="O5" s="192">
        <v>3066750.3333333335</v>
      </c>
      <c r="P5" s="192">
        <v>4221483</v>
      </c>
      <c r="Q5" s="192">
        <v>63782</v>
      </c>
      <c r="R5" s="192">
        <v>955613.66666666663</v>
      </c>
      <c r="S5" s="192">
        <v>1551804.3333333333</v>
      </c>
      <c r="T5" s="192">
        <v>2392594</v>
      </c>
      <c r="U5" s="192">
        <v>2430909.6666666665</v>
      </c>
      <c r="V5" s="192">
        <v>1534589.6666666667</v>
      </c>
    </row>
    <row r="6" spans="1:22" x14ac:dyDescent="0.3">
      <c r="A6" s="221"/>
      <c r="B6" s="192">
        <v>38562.333333333336</v>
      </c>
      <c r="C6" s="192">
        <v>641823</v>
      </c>
      <c r="D6" s="192">
        <v>48641.5</v>
      </c>
      <c r="E6" s="192">
        <v>95020.5</v>
      </c>
      <c r="F6" s="192">
        <v>288629</v>
      </c>
      <c r="G6" s="192">
        <v>2163063</v>
      </c>
      <c r="H6" s="192">
        <v>7890659.666666667</v>
      </c>
      <c r="I6" s="192">
        <v>18084.666666666668</v>
      </c>
      <c r="J6" s="192">
        <v>31760.5</v>
      </c>
      <c r="K6" s="192">
        <v>17381.333333333332</v>
      </c>
      <c r="L6" s="192"/>
      <c r="M6" s="192">
        <v>66348.666666666672</v>
      </c>
      <c r="N6" s="3"/>
      <c r="O6" s="192">
        <v>1708235</v>
      </c>
      <c r="P6" s="192">
        <v>5468220</v>
      </c>
      <c r="Q6" s="192">
        <v>128267.33333333333</v>
      </c>
      <c r="R6" s="192">
        <v>2972549.3333333335</v>
      </c>
      <c r="S6" s="192">
        <v>2715528.3333333335</v>
      </c>
      <c r="T6" s="192">
        <v>2228672.3333333335</v>
      </c>
      <c r="U6" s="192">
        <v>1147663</v>
      </c>
      <c r="V6" s="192">
        <v>1359609.6666666667</v>
      </c>
    </row>
    <row r="7" spans="1:22" x14ac:dyDescent="0.3">
      <c r="A7" s="221"/>
      <c r="B7" s="192">
        <v>19738</v>
      </c>
      <c r="C7" s="192">
        <v>16039.666666666666</v>
      </c>
      <c r="D7" s="192">
        <v>112336.33333333333</v>
      </c>
      <c r="E7" s="192">
        <v>110110</v>
      </c>
      <c r="F7" s="192">
        <v>958369</v>
      </c>
      <c r="G7" s="192">
        <v>2674798</v>
      </c>
      <c r="H7" s="192">
        <v>6349058.333333333</v>
      </c>
      <c r="I7" s="192">
        <v>17156.333333333332</v>
      </c>
      <c r="J7" s="192">
        <v>222889</v>
      </c>
      <c r="K7" s="192">
        <v>117956</v>
      </c>
      <c r="L7" s="192">
        <v>182760.66666666666</v>
      </c>
      <c r="M7" s="192">
        <v>146802</v>
      </c>
      <c r="N7" s="3"/>
      <c r="O7" s="192"/>
      <c r="P7" s="192"/>
      <c r="Q7" s="192">
        <v>92703.5</v>
      </c>
      <c r="R7" s="192">
        <v>3929707</v>
      </c>
      <c r="S7" s="192">
        <v>3475843.6666666665</v>
      </c>
      <c r="T7" s="192">
        <v>826766</v>
      </c>
      <c r="U7" s="192">
        <v>2392449.3333333335</v>
      </c>
      <c r="V7" s="192">
        <v>2190320.3333333335</v>
      </c>
    </row>
    <row r="8" spans="1:22" x14ac:dyDescent="0.3">
      <c r="A8" s="221"/>
      <c r="B8" s="192">
        <v>66980</v>
      </c>
      <c r="C8" s="192"/>
      <c r="D8" s="192">
        <v>270268.66666666669</v>
      </c>
      <c r="E8" s="192">
        <v>129674.33333333333</v>
      </c>
      <c r="F8" s="192">
        <v>3738404.6666666665</v>
      </c>
      <c r="G8" s="192">
        <v>2429720.5</v>
      </c>
      <c r="H8" s="192">
        <v>5811754.666666667</v>
      </c>
      <c r="I8" s="192">
        <v>68774.5</v>
      </c>
      <c r="J8" s="192">
        <v>49431.666666666664</v>
      </c>
      <c r="K8" s="192">
        <v>25502.666666666668</v>
      </c>
      <c r="L8" s="192">
        <v>434140</v>
      </c>
      <c r="M8" s="192">
        <v>279231</v>
      </c>
      <c r="N8" s="3"/>
      <c r="O8" s="192">
        <v>2630261</v>
      </c>
      <c r="P8" s="192">
        <v>5785933</v>
      </c>
      <c r="Q8" s="192">
        <v>17388.666666666668</v>
      </c>
      <c r="R8" s="192">
        <v>2988030.6666666665</v>
      </c>
      <c r="S8" s="192">
        <v>61077.333333333336</v>
      </c>
      <c r="T8" s="192">
        <v>193445</v>
      </c>
      <c r="U8" s="192">
        <v>76443</v>
      </c>
      <c r="V8" s="192">
        <v>2035375.6666666667</v>
      </c>
    </row>
    <row r="9" spans="1:22" x14ac:dyDescent="0.3">
      <c r="A9" s="221"/>
      <c r="B9" s="192">
        <v>15315</v>
      </c>
      <c r="C9" s="192">
        <v>38815.666666666664</v>
      </c>
      <c r="D9" s="192">
        <v>181078</v>
      </c>
      <c r="E9" s="192">
        <v>13284.333333333334</v>
      </c>
      <c r="F9" s="192">
        <v>378218</v>
      </c>
      <c r="G9" s="192">
        <v>1476391</v>
      </c>
      <c r="H9" s="192">
        <v>4770540.333333333</v>
      </c>
      <c r="I9" s="192">
        <v>62955.333333333336</v>
      </c>
      <c r="J9" s="192">
        <v>52535.333333333336</v>
      </c>
      <c r="K9" s="192">
        <v>107213</v>
      </c>
      <c r="L9" s="192">
        <v>81772</v>
      </c>
      <c r="M9" s="192">
        <v>22319.5</v>
      </c>
      <c r="N9" s="3"/>
      <c r="O9" s="192">
        <v>722805</v>
      </c>
      <c r="P9" s="192">
        <v>5361691.5</v>
      </c>
      <c r="Q9" s="192">
        <v>18469</v>
      </c>
      <c r="R9" s="192">
        <v>51165</v>
      </c>
      <c r="S9" s="192">
        <v>1668371.5</v>
      </c>
      <c r="T9" s="192">
        <v>139014</v>
      </c>
      <c r="U9" s="192">
        <v>131001</v>
      </c>
      <c r="V9" s="192">
        <v>3212790</v>
      </c>
    </row>
    <row r="10" spans="1:22" x14ac:dyDescent="0.3">
      <c r="A10" s="221"/>
      <c r="B10" s="192">
        <v>97805</v>
      </c>
      <c r="C10" s="192">
        <v>13596</v>
      </c>
      <c r="D10" s="192">
        <v>58031.666666666664</v>
      </c>
      <c r="E10" s="192">
        <v>149056.66666666666</v>
      </c>
      <c r="F10" s="192">
        <v>844263.33333333337</v>
      </c>
      <c r="G10" s="192">
        <v>4128920.6666666665</v>
      </c>
      <c r="H10" s="192">
        <v>6414696.666666667</v>
      </c>
      <c r="I10" s="192">
        <v>70888.333333333328</v>
      </c>
      <c r="J10" s="192">
        <v>54413.666666666664</v>
      </c>
      <c r="K10" s="192">
        <v>100654.66666666667</v>
      </c>
      <c r="L10" s="192">
        <v>46872</v>
      </c>
      <c r="M10" s="192">
        <v>212969.33333333334</v>
      </c>
      <c r="N10" s="3"/>
      <c r="O10" s="192">
        <v>1621851.3333333333</v>
      </c>
      <c r="P10" s="192">
        <v>4713168.666666667</v>
      </c>
      <c r="Q10" s="192">
        <v>40897</v>
      </c>
      <c r="R10" s="192">
        <v>709379</v>
      </c>
      <c r="S10" s="192"/>
      <c r="T10" s="192">
        <v>1273812.5</v>
      </c>
      <c r="U10" s="192">
        <v>1725500.3333333333</v>
      </c>
      <c r="V10" s="192">
        <v>926264</v>
      </c>
    </row>
    <row r="11" spans="1:22" x14ac:dyDescent="0.3">
      <c r="A11" s="221"/>
      <c r="B11" s="192">
        <v>24828.333333333332</v>
      </c>
      <c r="C11" s="192">
        <v>26423.666666666668</v>
      </c>
      <c r="D11" s="192">
        <v>17272.5</v>
      </c>
      <c r="E11" s="192">
        <v>156496.33333333334</v>
      </c>
      <c r="F11" s="192">
        <v>234143</v>
      </c>
      <c r="G11" s="192">
        <v>2408880.3333333335</v>
      </c>
      <c r="H11" s="192">
        <v>3195749.6666666665</v>
      </c>
      <c r="I11" s="192">
        <v>278339.33333333331</v>
      </c>
      <c r="J11" s="192">
        <v>452315</v>
      </c>
      <c r="K11" s="192">
        <v>96470.333333333328</v>
      </c>
      <c r="L11" s="192">
        <v>45911.5</v>
      </c>
      <c r="M11" s="192"/>
      <c r="N11" s="3"/>
      <c r="O11" s="192">
        <v>2054946.3333333333</v>
      </c>
      <c r="P11" s="192">
        <v>6739059.666666667</v>
      </c>
      <c r="Q11" s="192">
        <v>80967.5</v>
      </c>
      <c r="R11" s="192">
        <v>20960</v>
      </c>
      <c r="S11" s="192">
        <v>718461.33333333337</v>
      </c>
      <c r="T11" s="192">
        <v>1414668.5</v>
      </c>
      <c r="U11" s="192">
        <v>1486963.3333333333</v>
      </c>
      <c r="V11" s="192">
        <v>112387.33333333333</v>
      </c>
    </row>
    <row r="12" spans="1:22" x14ac:dyDescent="0.3">
      <c r="A12" s="221"/>
      <c r="B12" s="192">
        <v>54551</v>
      </c>
      <c r="C12" s="192">
        <v>11333.666666666666</v>
      </c>
      <c r="D12" s="192"/>
      <c r="E12" s="192">
        <v>128586.66666666667</v>
      </c>
      <c r="F12" s="192">
        <v>1812421.3333333333</v>
      </c>
      <c r="G12" s="192">
        <v>1650798</v>
      </c>
      <c r="H12" s="192">
        <v>5537578</v>
      </c>
      <c r="I12" s="192">
        <v>49729</v>
      </c>
      <c r="J12" s="192">
        <v>45792</v>
      </c>
      <c r="K12" s="192">
        <v>20571.666666666668</v>
      </c>
      <c r="L12" s="192">
        <v>184645.66666666666</v>
      </c>
      <c r="M12" s="192">
        <v>167047</v>
      </c>
      <c r="N12" s="3"/>
      <c r="O12" s="192">
        <v>1524024.3333333333</v>
      </c>
      <c r="P12" s="192">
        <v>4751984.666666667</v>
      </c>
      <c r="Q12" s="192">
        <v>302921</v>
      </c>
      <c r="R12" s="192">
        <v>509893.66666666669</v>
      </c>
      <c r="S12" s="192">
        <v>2403608.6666666665</v>
      </c>
      <c r="T12" s="192">
        <v>856782.5</v>
      </c>
      <c r="U12" s="192">
        <v>244055</v>
      </c>
      <c r="V12" s="192">
        <v>15634</v>
      </c>
    </row>
    <row r="13" spans="1:22" ht="16.8" x14ac:dyDescent="0.3">
      <c r="A13" s="221"/>
      <c r="B13" s="14"/>
      <c r="C13" s="13"/>
      <c r="D13" s="16"/>
      <c r="E13" s="16"/>
      <c r="F13" s="16"/>
      <c r="G13" s="16"/>
      <c r="H13" s="16"/>
      <c r="I13" s="32"/>
      <c r="J13" s="16"/>
      <c r="K13" s="13"/>
      <c r="L13" s="13"/>
      <c r="M13" s="13"/>
      <c r="N13" s="3"/>
      <c r="O13" s="192">
        <v>180610.5</v>
      </c>
      <c r="P13" s="13"/>
      <c r="Q13" s="13"/>
      <c r="R13" s="4"/>
      <c r="S13" s="32"/>
      <c r="T13" s="32"/>
      <c r="U13" s="32"/>
      <c r="V13" s="32"/>
    </row>
    <row r="14" spans="1:22" ht="16.8" x14ac:dyDescent="0.3">
      <c r="A14" s="221"/>
      <c r="B14" s="14"/>
      <c r="C14" s="16"/>
      <c r="D14" s="16"/>
      <c r="E14" s="16"/>
      <c r="F14" s="16"/>
      <c r="G14" s="16"/>
      <c r="H14" s="16"/>
      <c r="I14" s="32"/>
      <c r="J14" s="16"/>
      <c r="K14" s="13"/>
      <c r="L14" s="13"/>
      <c r="M14" s="13"/>
      <c r="N14" s="3"/>
      <c r="O14" s="192">
        <v>2857972</v>
      </c>
      <c r="P14" s="13"/>
      <c r="Q14" s="13"/>
      <c r="R14" s="4"/>
      <c r="S14" s="32"/>
      <c r="T14" s="32"/>
      <c r="U14" s="32"/>
      <c r="V14" s="32"/>
    </row>
    <row r="15" spans="1:22" ht="16.8" x14ac:dyDescent="0.3">
      <c r="A15" s="221"/>
      <c r="B15" s="14"/>
      <c r="C15" s="16"/>
      <c r="D15" s="16"/>
      <c r="E15" s="16"/>
      <c r="F15" s="16"/>
      <c r="G15" s="16"/>
      <c r="H15" s="16"/>
      <c r="I15" s="32"/>
      <c r="J15" s="16"/>
      <c r="K15" s="13"/>
      <c r="L15" s="13"/>
      <c r="M15" s="13"/>
      <c r="N15" s="3"/>
      <c r="O15" s="192">
        <v>3857789.3333333335</v>
      </c>
      <c r="P15" s="13"/>
      <c r="Q15" s="13"/>
      <c r="R15" s="4"/>
      <c r="S15" s="32"/>
      <c r="T15" s="32"/>
      <c r="U15" s="32"/>
      <c r="V15" s="32"/>
    </row>
    <row r="16" spans="1:22" ht="16.8" x14ac:dyDescent="0.3">
      <c r="A16" s="221"/>
      <c r="B16" s="14"/>
      <c r="C16" s="16"/>
      <c r="D16" s="16"/>
      <c r="E16" s="16"/>
      <c r="F16" s="16"/>
      <c r="G16" s="16"/>
      <c r="H16" s="16"/>
      <c r="I16" s="32"/>
      <c r="J16" s="16"/>
      <c r="K16" s="13"/>
      <c r="L16" s="13"/>
      <c r="M16" s="13"/>
      <c r="N16" s="3"/>
      <c r="O16" s="192">
        <v>1958316.3333333333</v>
      </c>
      <c r="P16" s="13"/>
      <c r="Q16" s="13"/>
      <c r="R16" s="4"/>
      <c r="S16" s="32"/>
      <c r="T16" s="32"/>
      <c r="U16" s="32"/>
      <c r="V16" s="32"/>
    </row>
    <row r="17" spans="1:22" s="1" customFormat="1" ht="16.8" x14ac:dyDescent="0.3">
      <c r="A17" s="221"/>
      <c r="B17" s="14"/>
      <c r="C17" s="32"/>
      <c r="D17" s="32"/>
      <c r="E17" s="32"/>
      <c r="F17" s="32"/>
      <c r="G17" s="32"/>
      <c r="H17" s="32"/>
      <c r="I17" s="32"/>
      <c r="J17" s="32"/>
      <c r="K17" s="13"/>
      <c r="L17" s="13"/>
      <c r="M17" s="13"/>
      <c r="N17" s="3"/>
      <c r="O17" s="192">
        <v>2014934.6666666667</v>
      </c>
      <c r="P17" s="13"/>
      <c r="Q17" s="13"/>
      <c r="R17" s="32"/>
      <c r="S17" s="32"/>
      <c r="T17" s="32"/>
      <c r="U17" s="32"/>
      <c r="V17" s="32"/>
    </row>
    <row r="18" spans="1:22" s="1" customFormat="1" ht="16.8" x14ac:dyDescent="0.3">
      <c r="A18" s="221"/>
      <c r="B18" s="14"/>
      <c r="C18" s="32"/>
      <c r="D18" s="32"/>
      <c r="E18" s="32"/>
      <c r="F18" s="32"/>
      <c r="G18" s="32"/>
      <c r="H18" s="32"/>
      <c r="I18" s="32"/>
      <c r="J18" s="32"/>
      <c r="K18" s="13"/>
      <c r="L18" s="13"/>
      <c r="M18" s="13"/>
      <c r="N18" s="3"/>
      <c r="O18" s="192">
        <v>548564.33333333337</v>
      </c>
      <c r="P18" s="13"/>
      <c r="Q18" s="13"/>
      <c r="R18" s="32"/>
      <c r="S18" s="32"/>
      <c r="T18" s="32"/>
      <c r="U18" s="32"/>
      <c r="V18" s="32"/>
    </row>
    <row r="19" spans="1:22" s="1" customFormat="1" ht="16.8" x14ac:dyDescent="0.3">
      <c r="A19" s="221"/>
      <c r="B19" s="14"/>
      <c r="C19" s="32"/>
      <c r="D19" s="32"/>
      <c r="E19" s="32"/>
      <c r="F19" s="32"/>
      <c r="G19" s="32"/>
      <c r="H19" s="32"/>
      <c r="I19" s="32"/>
      <c r="J19" s="32"/>
      <c r="K19" s="13"/>
      <c r="L19" s="13"/>
      <c r="M19" s="13"/>
      <c r="N19" s="3"/>
      <c r="O19" s="192">
        <v>379465.33333333331</v>
      </c>
      <c r="P19" s="13"/>
      <c r="Q19" s="13"/>
      <c r="R19" s="32"/>
      <c r="S19" s="32"/>
      <c r="T19" s="32"/>
      <c r="U19" s="32"/>
      <c r="V19" s="32"/>
    </row>
    <row r="20" spans="1:22" ht="16.8" x14ac:dyDescent="0.3">
      <c r="A20" s="221"/>
      <c r="B20" s="14"/>
      <c r="C20" s="16"/>
      <c r="D20" s="16"/>
      <c r="E20" s="16"/>
      <c r="F20" s="16"/>
      <c r="G20" s="16"/>
      <c r="H20" s="16"/>
      <c r="I20" s="32"/>
      <c r="J20" s="16"/>
      <c r="K20" s="13"/>
      <c r="L20" s="13"/>
      <c r="M20" s="13"/>
      <c r="N20" s="3"/>
      <c r="O20" s="192">
        <v>2613293</v>
      </c>
      <c r="P20" s="13"/>
      <c r="Q20" s="13"/>
      <c r="R20" s="4"/>
      <c r="S20" s="32"/>
      <c r="T20" s="32"/>
      <c r="U20" s="32"/>
      <c r="V20" s="32"/>
    </row>
    <row r="21" spans="1:22" s="1" customFormat="1" ht="16.8" x14ac:dyDescent="0.3">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3">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Arabinose-0.01mg/L</v>
      </c>
      <c r="J22" s="68" t="str">
        <f t="shared" si="0"/>
        <v>Arabinose-0.1mg/L</v>
      </c>
      <c r="K22" s="68" t="str">
        <f t="shared" si="0"/>
        <v>Arabinose-1mg/L</v>
      </c>
      <c r="L22" s="68" t="str">
        <f t="shared" si="0"/>
        <v>Arabinose-10mg/L</v>
      </c>
      <c r="M22" s="68" t="str">
        <f t="shared" si="0"/>
        <v>Arabinose-100mg/L</v>
      </c>
      <c r="N22" s="68" t="s">
        <v>47</v>
      </c>
      <c r="O22" s="68" t="str">
        <f t="shared" ref="O22:V22" si="1">O4</f>
        <v>Testo -30µg/L</v>
      </c>
      <c r="P22" s="68" t="str">
        <f t="shared" si="1"/>
        <v>Testo 30µg/L + EE2 -64ng/L</v>
      </c>
      <c r="Q22" s="68" t="str">
        <f t="shared" si="1"/>
        <v>Testo 30µg/L + FAD-10µg/L</v>
      </c>
      <c r="R22" s="68" t="str">
        <f t="shared" si="1"/>
        <v>Arabinose-0.01mg/L + Testostérone</v>
      </c>
      <c r="S22" s="68" t="str">
        <f t="shared" si="1"/>
        <v>Arabinose-0.1mg/L + Testostérone</v>
      </c>
      <c r="T22" s="68" t="str">
        <f t="shared" si="1"/>
        <v>Arabinose-1mg/L + Testostérone</v>
      </c>
      <c r="U22" s="68" t="str">
        <f t="shared" si="1"/>
        <v>Arabinose-10mg/L + Testostérone</v>
      </c>
      <c r="V22" s="68" t="str">
        <f t="shared" si="1"/>
        <v>Arabinose-100mg/L + Testostérone</v>
      </c>
    </row>
    <row r="23" spans="1:22" x14ac:dyDescent="0.3">
      <c r="A23" s="5" t="s">
        <v>0</v>
      </c>
      <c r="B23" s="5">
        <f t="shared" ref="B23:M23" si="2">AVERAGE(B5:B20)</f>
        <v>41430.125</v>
      </c>
      <c r="C23" s="5">
        <f t="shared" si="2"/>
        <v>109495.99999999999</v>
      </c>
      <c r="D23" s="5">
        <f t="shared" si="2"/>
        <v>101166.30952380951</v>
      </c>
      <c r="E23" s="5">
        <f t="shared" si="2"/>
        <v>111746.97619047618</v>
      </c>
      <c r="F23" s="5">
        <f t="shared" si="2"/>
        <v>1145434.0833333333</v>
      </c>
      <c r="G23" s="5">
        <f t="shared" si="2"/>
        <v>2324720.3958333335</v>
      </c>
      <c r="H23" s="5">
        <f t="shared" si="2"/>
        <v>5710005.333333334</v>
      </c>
      <c r="I23" s="5">
        <f t="shared" si="2"/>
        <v>72460.395833333328</v>
      </c>
      <c r="J23" s="5">
        <f t="shared" si="2"/>
        <v>115976.58333333334</v>
      </c>
      <c r="K23" s="5">
        <f t="shared" si="2"/>
        <v>72876.333333333328</v>
      </c>
      <c r="L23" s="5">
        <f t="shared" si="2"/>
        <v>141526.30952380953</v>
      </c>
      <c r="M23" s="5">
        <f t="shared" si="2"/>
        <v>146263.97619047618</v>
      </c>
      <c r="N23" s="5" t="s">
        <v>0</v>
      </c>
      <c r="O23" s="5">
        <f t="shared" ref="O23:V23" si="3">AVERAGE(O5:O20)</f>
        <v>1849321.2555555555</v>
      </c>
      <c r="P23" s="5">
        <f t="shared" si="3"/>
        <v>5291648.6428571427</v>
      </c>
      <c r="Q23" s="5">
        <f t="shared" si="3"/>
        <v>93174.5</v>
      </c>
      <c r="R23" s="5">
        <f t="shared" si="3"/>
        <v>1517162.2916666665</v>
      </c>
      <c r="S23" s="5">
        <f t="shared" si="3"/>
        <v>1799242.1666666667</v>
      </c>
      <c r="T23" s="5">
        <f t="shared" si="3"/>
        <v>1165719.3541666667</v>
      </c>
      <c r="U23" s="5">
        <f t="shared" si="3"/>
        <v>1204373.0833333333</v>
      </c>
      <c r="V23" s="5">
        <f t="shared" si="3"/>
        <v>1423371.3333333335</v>
      </c>
    </row>
    <row r="24" spans="1:22" x14ac:dyDescent="0.3">
      <c r="A24" s="3" t="s">
        <v>1</v>
      </c>
      <c r="B24" s="3">
        <f t="shared" ref="B24:M24" si="4">STDEV(B5:B20)</f>
        <v>29786.328483147299</v>
      </c>
      <c r="C24" s="3">
        <f t="shared" si="4"/>
        <v>234920.77791325815</v>
      </c>
      <c r="D24" s="3">
        <f t="shared" si="4"/>
        <v>94220.668865475978</v>
      </c>
      <c r="E24" s="3">
        <f t="shared" si="4"/>
        <v>48264.600576408666</v>
      </c>
      <c r="F24" s="3">
        <f t="shared" si="4"/>
        <v>1165157.3824755989</v>
      </c>
      <c r="G24" s="3">
        <f t="shared" si="4"/>
        <v>847748.8072059392</v>
      </c>
      <c r="H24" s="3">
        <f t="shared" si="4"/>
        <v>1466537.423620356</v>
      </c>
      <c r="I24" s="3">
        <f t="shared" si="4"/>
        <v>86578.421232949142</v>
      </c>
      <c r="J24" s="3">
        <f t="shared" si="4"/>
        <v>150372.17231879378</v>
      </c>
      <c r="K24" s="3">
        <f t="shared" si="4"/>
        <v>43414.686628462718</v>
      </c>
      <c r="L24" s="3">
        <f t="shared" si="4"/>
        <v>145470.10215900763</v>
      </c>
      <c r="M24" s="3">
        <f t="shared" si="4"/>
        <v>86220.946055835113</v>
      </c>
      <c r="N24" s="3" t="s">
        <v>1</v>
      </c>
      <c r="O24" s="3">
        <f t="shared" ref="O24:V24" si="5">STDEV(O5:O20)</f>
        <v>1065434.4674692552</v>
      </c>
      <c r="P24" s="3">
        <f t="shared" si="5"/>
        <v>831317.22151899547</v>
      </c>
      <c r="Q24" s="3">
        <f t="shared" si="5"/>
        <v>92809.785683552705</v>
      </c>
      <c r="R24" s="3">
        <f t="shared" si="5"/>
        <v>1534004.4389738701</v>
      </c>
      <c r="S24" s="3">
        <f t="shared" si="5"/>
        <v>1174981.4612470167</v>
      </c>
      <c r="T24" s="3">
        <f t="shared" si="5"/>
        <v>838239.89901486773</v>
      </c>
      <c r="U24" s="3">
        <f t="shared" si="5"/>
        <v>972267.51044387079</v>
      </c>
      <c r="V24" s="3">
        <f t="shared" si="5"/>
        <v>1077612.0063634526</v>
      </c>
    </row>
    <row r="25" spans="1:22" ht="15" thickBot="1" x14ac:dyDescent="0.35"/>
    <row r="26" spans="1:22" ht="15" thickBot="1" x14ac:dyDescent="0.35">
      <c r="B26" s="224" t="s">
        <v>6</v>
      </c>
      <c r="C26" s="225"/>
      <c r="D26" s="225"/>
      <c r="E26" s="225"/>
      <c r="F26" s="225"/>
      <c r="G26" s="225"/>
      <c r="H26" s="225"/>
      <c r="I26" s="225"/>
      <c r="J26" s="225"/>
      <c r="K26" s="225"/>
      <c r="L26" s="225"/>
      <c r="M26" s="225"/>
      <c r="N26" s="1"/>
      <c r="O26" s="224" t="s">
        <v>3</v>
      </c>
      <c r="P26" s="225"/>
      <c r="Q26" s="225"/>
      <c r="R26" s="225"/>
      <c r="S26" s="225"/>
      <c r="T26" s="225"/>
      <c r="U26" s="225"/>
      <c r="V26" s="225"/>
    </row>
    <row r="27" spans="1:22" s="1" customFormat="1" x14ac:dyDescent="0.3">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Arabinose-0.01mg/L</v>
      </c>
      <c r="J27" s="35" t="str">
        <f t="shared" si="6"/>
        <v>Arabinose-0.1mg/L</v>
      </c>
      <c r="K27" s="35" t="str">
        <f t="shared" si="6"/>
        <v>Arabinose-1mg/L</v>
      </c>
      <c r="L27" s="35" t="str">
        <f t="shared" si="6"/>
        <v>Arabinose-10mg/L</v>
      </c>
      <c r="M27" s="35" t="str">
        <f t="shared" si="6"/>
        <v>Arabinose-100mg/L</v>
      </c>
      <c r="N27" s="3"/>
      <c r="O27" s="36" t="str">
        <f t="shared" ref="O27:V27" si="7">O4</f>
        <v>Testo -30µg/L</v>
      </c>
      <c r="P27" s="36" t="str">
        <f t="shared" si="7"/>
        <v>Testo 30µg/L + EE2 -64ng/L</v>
      </c>
      <c r="Q27" s="36" t="str">
        <f t="shared" si="7"/>
        <v>Testo 30µg/L + FAD-10µg/L</v>
      </c>
      <c r="R27" s="36" t="str">
        <f t="shared" si="7"/>
        <v>Arabinose-0.01mg/L + Testostérone</v>
      </c>
      <c r="S27" s="36" t="str">
        <f t="shared" si="7"/>
        <v>Arabinose-0.1mg/L + Testostérone</v>
      </c>
      <c r="T27" s="36" t="str">
        <f t="shared" si="7"/>
        <v>Arabinose-1mg/L + Testostérone</v>
      </c>
      <c r="U27" s="36" t="str">
        <f t="shared" si="7"/>
        <v>Arabinose-10mg/L + Testostérone</v>
      </c>
      <c r="V27" s="36" t="str">
        <f t="shared" si="7"/>
        <v>Arabinose-100mg/L + Testostérone</v>
      </c>
    </row>
    <row r="28" spans="1:22" x14ac:dyDescent="0.3">
      <c r="A28" s="222" t="s">
        <v>34</v>
      </c>
      <c r="B28" s="11">
        <f t="shared" ref="B28:M28" si="8">IF(B5="","",(B5/$O$23))</f>
        <v>7.3872147915313539E-3</v>
      </c>
      <c r="C28" s="11">
        <f t="shared" si="8"/>
        <v>9.971406145869265E-3</v>
      </c>
      <c r="D28" s="11">
        <f t="shared" si="8"/>
        <v>1.1104344330823647E-2</v>
      </c>
      <c r="E28" s="11" t="str">
        <f t="shared" si="8"/>
        <v/>
      </c>
      <c r="F28" s="11">
        <f t="shared" si="8"/>
        <v>0.4915448468472034</v>
      </c>
      <c r="G28" s="11">
        <f t="shared" si="8"/>
        <v>0.90043396281974042</v>
      </c>
      <c r="H28" s="11" t="str">
        <f t="shared" si="8"/>
        <v/>
      </c>
      <c r="I28" s="11">
        <f t="shared" si="8"/>
        <v>7.4382244974166593E-3</v>
      </c>
      <c r="J28" s="11">
        <f t="shared" si="8"/>
        <v>1.0098569917961433E-2</v>
      </c>
      <c r="K28" s="11">
        <f t="shared" si="8"/>
        <v>5.2592809230855769E-2</v>
      </c>
      <c r="L28" s="11">
        <f t="shared" si="8"/>
        <v>7.8852353475776429E-3</v>
      </c>
      <c r="M28" s="11">
        <f t="shared" si="8"/>
        <v>6.9825798489803886E-2</v>
      </c>
      <c r="N28" s="6"/>
      <c r="O28" s="11">
        <f t="shared" ref="O28:V37" si="9">IF(O5="","",(O5/$O$23))</f>
        <v>1.6583112988727584</v>
      </c>
      <c r="P28" s="11">
        <f t="shared" si="9"/>
        <v>2.282720207383234</v>
      </c>
      <c r="Q28" s="11">
        <f t="shared" si="9"/>
        <v>3.4489410538267574E-2</v>
      </c>
      <c r="R28" s="11">
        <f t="shared" si="9"/>
        <v>0.51673751317998573</v>
      </c>
      <c r="S28" s="11">
        <f t="shared" si="9"/>
        <v>0.83912101733084499</v>
      </c>
      <c r="T28" s="11">
        <f t="shared" si="9"/>
        <v>1.29376872342347</v>
      </c>
      <c r="U28" s="11">
        <f t="shared" si="9"/>
        <v>1.3144874960821211</v>
      </c>
      <c r="V28" s="11">
        <f t="shared" si="9"/>
        <v>0.82981237686886367</v>
      </c>
    </row>
    <row r="29" spans="1:22" x14ac:dyDescent="0.3">
      <c r="A29" s="223"/>
      <c r="B29" s="11">
        <f t="shared" ref="B29:M29" si="10">IF(B6="","",(B6/$O$23))</f>
        <v>2.0852154928457149E-2</v>
      </c>
      <c r="C29" s="11">
        <f t="shared" si="10"/>
        <v>0.34705868332605611</v>
      </c>
      <c r="D29" s="11">
        <f t="shared" si="10"/>
        <v>2.6302352743675993E-2</v>
      </c>
      <c r="E29" s="11">
        <f t="shared" si="10"/>
        <v>5.1381283654502119E-2</v>
      </c>
      <c r="F29" s="11">
        <f t="shared" si="10"/>
        <v>0.15607293710215472</v>
      </c>
      <c r="G29" s="11">
        <f t="shared" si="10"/>
        <v>1.1696523757037516</v>
      </c>
      <c r="H29" s="11">
        <f t="shared" si="10"/>
        <v>4.2667868781382881</v>
      </c>
      <c r="I29" s="11">
        <f t="shared" si="10"/>
        <v>9.7790833325137137E-3</v>
      </c>
      <c r="J29" s="11">
        <f t="shared" si="10"/>
        <v>1.717413883855394E-2</v>
      </c>
      <c r="K29" s="11">
        <f t="shared" si="10"/>
        <v>9.3987636172557787E-3</v>
      </c>
      <c r="L29" s="11" t="str">
        <f t="shared" si="10"/>
        <v/>
      </c>
      <c r="M29" s="11">
        <f t="shared" si="10"/>
        <v>3.5877307129493212E-2</v>
      </c>
      <c r="N29" s="6"/>
      <c r="O29" s="11">
        <f t="shared" si="9"/>
        <v>0.92370916890090482</v>
      </c>
      <c r="P29" s="11">
        <f t="shared" si="9"/>
        <v>2.956879440807211</v>
      </c>
      <c r="Q29" s="11">
        <f t="shared" si="9"/>
        <v>6.9359140791793089E-2</v>
      </c>
      <c r="R29" s="11">
        <f t="shared" si="9"/>
        <v>1.6073731507727405</v>
      </c>
      <c r="S29" s="11">
        <f t="shared" si="9"/>
        <v>1.4683918898220636</v>
      </c>
      <c r="T29" s="11">
        <f t="shared" si="9"/>
        <v>1.2051298965164476</v>
      </c>
      <c r="U29" s="11">
        <f t="shared" si="9"/>
        <v>0.62058606451004639</v>
      </c>
      <c r="V29" s="11">
        <f t="shared" si="9"/>
        <v>0.73519387860938512</v>
      </c>
    </row>
    <row r="30" spans="1:22" x14ac:dyDescent="0.3">
      <c r="A30" s="223"/>
      <c r="B30" s="11">
        <f t="shared" ref="B30:M30" si="11">IF(B7="","",(B7/$O$23))</f>
        <v>1.0673105032835681E-2</v>
      </c>
      <c r="C30" s="11">
        <f t="shared" si="11"/>
        <v>8.6732722172969245E-3</v>
      </c>
      <c r="D30" s="11">
        <f t="shared" si="11"/>
        <v>6.0744628871735061E-2</v>
      </c>
      <c r="E30" s="11">
        <f t="shared" si="11"/>
        <v>5.9540763763579738E-2</v>
      </c>
      <c r="F30" s="11">
        <f t="shared" si="11"/>
        <v>0.51822742918298204</v>
      </c>
      <c r="G30" s="11">
        <f t="shared" si="11"/>
        <v>1.446367412889797</v>
      </c>
      <c r="H30" s="11">
        <f t="shared" si="11"/>
        <v>3.4331830201270299</v>
      </c>
      <c r="I30" s="11">
        <f t="shared" si="11"/>
        <v>9.2770973576353499E-3</v>
      </c>
      <c r="J30" s="11">
        <f t="shared" si="11"/>
        <v>0.12052475973572359</v>
      </c>
      <c r="K30" s="11">
        <f t="shared" si="11"/>
        <v>6.3783401421277003E-2</v>
      </c>
      <c r="L30" s="11">
        <f t="shared" si="11"/>
        <v>9.8825807640308252E-2</v>
      </c>
      <c r="M30" s="11">
        <f t="shared" si="11"/>
        <v>7.9381556643547652E-2</v>
      </c>
      <c r="N30" s="6"/>
      <c r="O30" s="11" t="str">
        <f t="shared" si="9"/>
        <v/>
      </c>
      <c r="P30" s="11" t="str">
        <f t="shared" si="9"/>
        <v/>
      </c>
      <c r="Q30" s="11">
        <f t="shared" si="9"/>
        <v>5.0128391549877527E-2</v>
      </c>
      <c r="R30" s="11">
        <f t="shared" si="9"/>
        <v>2.1249455648631881</v>
      </c>
      <c r="S30" s="11">
        <f t="shared" si="9"/>
        <v>1.8795239908830694</v>
      </c>
      <c r="T30" s="11">
        <f t="shared" si="9"/>
        <v>0.44706456356152724</v>
      </c>
      <c r="U30" s="11">
        <f t="shared" si="9"/>
        <v>1.293690496524692</v>
      </c>
      <c r="V30" s="11">
        <f t="shared" si="9"/>
        <v>1.1843914770099466</v>
      </c>
    </row>
    <row r="31" spans="1:22" x14ac:dyDescent="0.3">
      <c r="A31" s="223"/>
      <c r="B31" s="11">
        <f t="shared" ref="B31:M31" si="12">IF(B8="","",(B8/$O$23))</f>
        <v>3.6218693641672607E-2</v>
      </c>
      <c r="C31" s="11" t="str">
        <f t="shared" si="12"/>
        <v/>
      </c>
      <c r="D31" s="11">
        <f t="shared" si="12"/>
        <v>0.14614479007081718</v>
      </c>
      <c r="E31" s="11">
        <f t="shared" si="12"/>
        <v>7.0119960468619499E-2</v>
      </c>
      <c r="F31" s="11">
        <f t="shared" si="12"/>
        <v>2.0215009455150672</v>
      </c>
      <c r="G31" s="11">
        <f t="shared" si="12"/>
        <v>1.3138444673692384</v>
      </c>
      <c r="H31" s="11">
        <f t="shared" si="12"/>
        <v>3.1426420094440299</v>
      </c>
      <c r="I31" s="11">
        <f t="shared" si="12"/>
        <v>3.7189049654511988E-2</v>
      </c>
      <c r="J31" s="11">
        <f t="shared" si="12"/>
        <v>2.6729626622831886E-2</v>
      </c>
      <c r="K31" s="11">
        <f t="shared" si="12"/>
        <v>1.3790284727466347E-2</v>
      </c>
      <c r="L31" s="11">
        <f t="shared" si="12"/>
        <v>0.23475639978494695</v>
      </c>
      <c r="M31" s="11">
        <f t="shared" si="12"/>
        <v>0.1509910726225423</v>
      </c>
      <c r="N31" s="6"/>
      <c r="O31" s="11">
        <f t="shared" si="9"/>
        <v>1.4222845230910635</v>
      </c>
      <c r="P31" s="11">
        <f t="shared" si="9"/>
        <v>3.1286792289973682</v>
      </c>
      <c r="Q31" s="11">
        <f t="shared" si="9"/>
        <v>9.4027290360878535E-3</v>
      </c>
      <c r="R31" s="11">
        <f t="shared" si="9"/>
        <v>1.615744510419868</v>
      </c>
      <c r="S31" s="11">
        <f t="shared" si="9"/>
        <v>3.3026891974474747E-2</v>
      </c>
      <c r="T31" s="11">
        <f t="shared" si="9"/>
        <v>0.10460324263232842</v>
      </c>
      <c r="U31" s="11">
        <f t="shared" si="9"/>
        <v>4.1335706151842032E-2</v>
      </c>
      <c r="V31" s="11">
        <f t="shared" si="9"/>
        <v>1.1006068634923134</v>
      </c>
    </row>
    <row r="32" spans="1:22" x14ac:dyDescent="0.3">
      <c r="A32" s="223"/>
      <c r="B32" s="11">
        <f t="shared" ref="B32:M32" si="13">IF(B9="","",(B9/$O$23))</f>
        <v>8.2814167381638701E-3</v>
      </c>
      <c r="C32" s="11">
        <f t="shared" si="13"/>
        <v>2.0989142124474221E-2</v>
      </c>
      <c r="D32" s="11">
        <f t="shared" si="13"/>
        <v>9.7915924264657991E-2</v>
      </c>
      <c r="E32" s="11">
        <f t="shared" si="13"/>
        <v>7.1833562143006789E-3</v>
      </c>
      <c r="F32" s="11">
        <f t="shared" si="13"/>
        <v>0.20451719724941969</v>
      </c>
      <c r="G32" s="11">
        <f t="shared" si="13"/>
        <v>0.79834209203228823</v>
      </c>
      <c r="H32" s="11">
        <f t="shared" si="13"/>
        <v>2.5796168832224948</v>
      </c>
      <c r="I32" s="11">
        <f t="shared" si="13"/>
        <v>3.4042399688106594E-2</v>
      </c>
      <c r="J32" s="11">
        <f t="shared" si="13"/>
        <v>2.8407900020351613E-2</v>
      </c>
      <c r="K32" s="11">
        <f t="shared" si="13"/>
        <v>5.797424307860026E-2</v>
      </c>
      <c r="L32" s="11">
        <f t="shared" si="13"/>
        <v>4.4217303918585436E-2</v>
      </c>
      <c r="M32" s="11">
        <f t="shared" si="13"/>
        <v>1.2069022584880736E-2</v>
      </c>
      <c r="N32" s="6"/>
      <c r="O32" s="11">
        <f t="shared" si="9"/>
        <v>0.39084880348864093</v>
      </c>
      <c r="P32" s="11">
        <f t="shared" si="9"/>
        <v>2.8992753335273225</v>
      </c>
      <c r="Q32" s="11">
        <f t="shared" si="9"/>
        <v>9.9869073285764609E-3</v>
      </c>
      <c r="R32" s="11">
        <f t="shared" si="9"/>
        <v>2.7666907437685562E-2</v>
      </c>
      <c r="S32" s="11">
        <f t="shared" si="9"/>
        <v>0.90215342249922048</v>
      </c>
      <c r="T32" s="11">
        <f t="shared" si="9"/>
        <v>7.5170281843885869E-2</v>
      </c>
      <c r="U32" s="11">
        <f t="shared" si="9"/>
        <v>7.0837340784603658E-2</v>
      </c>
      <c r="V32" s="11">
        <f t="shared" si="9"/>
        <v>1.7372806322040808</v>
      </c>
    </row>
    <row r="33" spans="1:22" x14ac:dyDescent="0.3">
      <c r="A33" s="223"/>
      <c r="B33" s="11">
        <f t="shared" ref="B33:M33" si="14">IF(B10="","",(B10/$O$23))</f>
        <v>5.2886971209671382E-2</v>
      </c>
      <c r="C33" s="11">
        <f t="shared" si="14"/>
        <v>7.3518865146637918E-3</v>
      </c>
      <c r="D33" s="11">
        <f t="shared" si="14"/>
        <v>3.1379981434990503E-2</v>
      </c>
      <c r="E33" s="11">
        <f t="shared" si="14"/>
        <v>8.0600742688099622E-2</v>
      </c>
      <c r="F33" s="11">
        <f t="shared" si="14"/>
        <v>0.45652605289485404</v>
      </c>
      <c r="G33" s="11">
        <f t="shared" si="14"/>
        <v>2.2326681501458738</v>
      </c>
      <c r="H33" s="11">
        <f t="shared" si="14"/>
        <v>3.4686762223687442</v>
      </c>
      <c r="I33" s="11">
        <f t="shared" si="14"/>
        <v>3.8332081632857097E-2</v>
      </c>
      <c r="J33" s="11">
        <f t="shared" si="14"/>
        <v>2.9423587980294007E-2</v>
      </c>
      <c r="K33" s="11">
        <f t="shared" si="14"/>
        <v>5.4427896918552938E-2</v>
      </c>
      <c r="L33" s="11">
        <f t="shared" si="14"/>
        <v>2.5345515204127776E-2</v>
      </c>
      <c r="M33" s="11">
        <f t="shared" si="14"/>
        <v>0.11516080978010233</v>
      </c>
      <c r="N33" s="6"/>
      <c r="O33" s="11">
        <f t="shared" si="9"/>
        <v>0.87699815727587693</v>
      </c>
      <c r="P33" s="11">
        <f t="shared" si="9"/>
        <v>2.5485937894823913</v>
      </c>
      <c r="Q33" s="11">
        <f t="shared" si="9"/>
        <v>2.2114600087540827E-2</v>
      </c>
      <c r="R33" s="11">
        <f t="shared" si="9"/>
        <v>0.38358884259235704</v>
      </c>
      <c r="S33" s="11" t="str">
        <f t="shared" si="9"/>
        <v/>
      </c>
      <c r="T33" s="11">
        <f t="shared" si="9"/>
        <v>0.68880001036776783</v>
      </c>
      <c r="U33" s="11">
        <f t="shared" si="9"/>
        <v>0.93304520680208958</v>
      </c>
      <c r="V33" s="11">
        <f t="shared" si="9"/>
        <v>0.50086700578247589</v>
      </c>
    </row>
    <row r="34" spans="1:22" x14ac:dyDescent="0.3">
      <c r="A34" s="223"/>
      <c r="B34" s="11">
        <f t="shared" ref="B34:M34" si="15">IF(B11="","",(B11/$O$23))</f>
        <v>1.3425646441226157E-2</v>
      </c>
      <c r="C34" s="11">
        <f t="shared" si="15"/>
        <v>1.4288305283512638E-2</v>
      </c>
      <c r="D34" s="11">
        <f t="shared" si="15"/>
        <v>9.3399131968616017E-3</v>
      </c>
      <c r="E34" s="11">
        <f t="shared" si="15"/>
        <v>8.4623660093237935E-2</v>
      </c>
      <c r="F34" s="11">
        <f t="shared" si="15"/>
        <v>0.12661023567247162</v>
      </c>
      <c r="G34" s="11">
        <f t="shared" si="15"/>
        <v>1.3025753779105733</v>
      </c>
      <c r="H34" s="11">
        <f t="shared" si="15"/>
        <v>1.7280662605625163</v>
      </c>
      <c r="I34" s="11">
        <f t="shared" si="15"/>
        <v>0.15050891374182429</v>
      </c>
      <c r="J34" s="11">
        <f t="shared" si="15"/>
        <v>0.24458432986761938</v>
      </c>
      <c r="K34" s="11">
        <f t="shared" si="15"/>
        <v>5.2165264982234054E-2</v>
      </c>
      <c r="L34" s="11">
        <f t="shared" si="15"/>
        <v>2.4826135460281454E-2</v>
      </c>
      <c r="M34" s="11" t="str">
        <f t="shared" si="15"/>
        <v/>
      </c>
      <c r="N34" s="6"/>
      <c r="O34" s="11">
        <f t="shared" si="9"/>
        <v>1.1111894848772534</v>
      </c>
      <c r="P34" s="11">
        <f t="shared" si="9"/>
        <v>3.6440719244543494</v>
      </c>
      <c r="Q34" s="11">
        <f t="shared" si="9"/>
        <v>4.3782279448075945E-2</v>
      </c>
      <c r="R34" s="11">
        <f t="shared" si="9"/>
        <v>1.1333888007307523E-2</v>
      </c>
      <c r="S34" s="11">
        <f t="shared" si="9"/>
        <v>0.38850001381587973</v>
      </c>
      <c r="T34" s="11">
        <f t="shared" si="9"/>
        <v>0.76496633332374631</v>
      </c>
      <c r="U34" s="11">
        <f t="shared" si="9"/>
        <v>0.80405896426396395</v>
      </c>
      <c r="V34" s="11">
        <f t="shared" si="9"/>
        <v>6.0772206557249027E-2</v>
      </c>
    </row>
    <row r="35" spans="1:22" x14ac:dyDescent="0.3">
      <c r="A35" s="223"/>
      <c r="B35" s="11">
        <f t="shared" ref="B35:M35" si="16">IF(B12="","",(B12/$O$23))</f>
        <v>2.949784946024011E-2</v>
      </c>
      <c r="C35" s="11">
        <f t="shared" si="16"/>
        <v>6.1285548049691959E-3</v>
      </c>
      <c r="D35" s="11" t="str">
        <f t="shared" si="16"/>
        <v/>
      </c>
      <c r="E35" s="11">
        <f t="shared" si="16"/>
        <v>6.9531816757298817E-2</v>
      </c>
      <c r="F35" s="11">
        <f t="shared" si="16"/>
        <v>0.98004677547972208</v>
      </c>
      <c r="G35" s="11">
        <f t="shared" si="16"/>
        <v>0.89265074688393342</v>
      </c>
      <c r="H35" s="11">
        <f t="shared" si="16"/>
        <v>2.9943840116283384</v>
      </c>
      <c r="I35" s="11">
        <f t="shared" si="16"/>
        <v>2.6890406331841404E-2</v>
      </c>
      <c r="J35" s="11">
        <f t="shared" si="16"/>
        <v>2.4761517157949716E-2</v>
      </c>
      <c r="K35" s="11">
        <f t="shared" si="16"/>
        <v>1.1123901055518189E-2</v>
      </c>
      <c r="L35" s="11">
        <f t="shared" si="16"/>
        <v>9.9845100526461616E-2</v>
      </c>
      <c r="M35" s="11">
        <f t="shared" si="16"/>
        <v>9.0328816314728042E-2</v>
      </c>
      <c r="N35" s="6"/>
      <c r="O35" s="11">
        <f t="shared" si="9"/>
        <v>0.82409928980970937</v>
      </c>
      <c r="P35" s="11">
        <f t="shared" si="9"/>
        <v>2.5695831118531762</v>
      </c>
      <c r="Q35" s="11">
        <f t="shared" si="9"/>
        <v>0.16380117791324436</v>
      </c>
      <c r="R35" s="11">
        <f t="shared" si="9"/>
        <v>0.27571935656657409</v>
      </c>
      <c r="S35" s="11">
        <f t="shared" si="9"/>
        <v>1.2997247825092442</v>
      </c>
      <c r="T35" s="11">
        <f t="shared" si="9"/>
        <v>0.46329565370328996</v>
      </c>
      <c r="U35" s="11">
        <f t="shared" si="9"/>
        <v>0.13197003996295026</v>
      </c>
      <c r="V35" s="11">
        <f t="shared" si="9"/>
        <v>8.4539124573590561E-3</v>
      </c>
    </row>
    <row r="36" spans="1:22" s="1" customFormat="1" x14ac:dyDescent="0.3">
      <c r="A36" s="223"/>
      <c r="B36" s="11" t="str">
        <f t="shared" ref="B36:M36" si="17">IF(B13="","",(B13/$O$23))</f>
        <v/>
      </c>
      <c r="C36" s="11" t="str">
        <f t="shared" si="17"/>
        <v/>
      </c>
      <c r="D36" s="11" t="str">
        <f t="shared" si="17"/>
        <v/>
      </c>
      <c r="E36" s="11" t="str">
        <f t="shared" si="17"/>
        <v/>
      </c>
      <c r="F36" s="11" t="str">
        <f t="shared" si="17"/>
        <v/>
      </c>
      <c r="G36" s="11" t="str">
        <f t="shared" si="17"/>
        <v/>
      </c>
      <c r="H36" s="11" t="str">
        <f t="shared" si="17"/>
        <v/>
      </c>
      <c r="I36" s="11" t="str">
        <f t="shared" si="17"/>
        <v/>
      </c>
      <c r="J36" s="11" t="str">
        <f t="shared" si="17"/>
        <v/>
      </c>
      <c r="K36" s="11" t="str">
        <f t="shared" si="17"/>
        <v/>
      </c>
      <c r="L36" s="11" t="str">
        <f t="shared" si="17"/>
        <v/>
      </c>
      <c r="M36" s="11" t="str">
        <f t="shared" si="17"/>
        <v/>
      </c>
      <c r="N36" s="6"/>
      <c r="O36" s="11">
        <f t="shared" si="9"/>
        <v>9.766312881411332E-2</v>
      </c>
      <c r="P36" s="11" t="str">
        <f t="shared" si="9"/>
        <v/>
      </c>
      <c r="Q36" s="11" t="str">
        <f t="shared" si="9"/>
        <v/>
      </c>
      <c r="R36" s="11" t="str">
        <f t="shared" si="9"/>
        <v/>
      </c>
      <c r="S36" s="11" t="str">
        <f t="shared" si="9"/>
        <v/>
      </c>
      <c r="T36" s="11" t="str">
        <f t="shared" si="9"/>
        <v/>
      </c>
      <c r="U36" s="11" t="str">
        <f t="shared" si="9"/>
        <v/>
      </c>
      <c r="V36" s="11" t="str">
        <f t="shared" si="9"/>
        <v/>
      </c>
    </row>
    <row r="37" spans="1:22" s="1" customFormat="1" x14ac:dyDescent="0.3">
      <c r="A37" s="223"/>
      <c r="B37" s="11" t="str">
        <f t="shared" ref="B37:M37" si="18">IF(B14="","",(B14/$O$23))</f>
        <v/>
      </c>
      <c r="C37" s="11" t="str">
        <f t="shared" si="18"/>
        <v/>
      </c>
      <c r="D37" s="11" t="str">
        <f t="shared" si="18"/>
        <v/>
      </c>
      <c r="E37" s="11" t="str">
        <f t="shared" si="18"/>
        <v/>
      </c>
      <c r="F37" s="11" t="str">
        <f t="shared" si="18"/>
        <v/>
      </c>
      <c r="G37" s="11" t="str">
        <f t="shared" si="18"/>
        <v/>
      </c>
      <c r="H37" s="11" t="str">
        <f t="shared" si="18"/>
        <v/>
      </c>
      <c r="I37" s="11" t="str">
        <f t="shared" si="18"/>
        <v/>
      </c>
      <c r="J37" s="11" t="str">
        <f t="shared" si="18"/>
        <v/>
      </c>
      <c r="K37" s="11" t="str">
        <f t="shared" si="18"/>
        <v/>
      </c>
      <c r="L37" s="11" t="str">
        <f t="shared" si="18"/>
        <v/>
      </c>
      <c r="M37" s="11" t="str">
        <f t="shared" si="18"/>
        <v/>
      </c>
      <c r="N37" s="6"/>
      <c r="O37" s="11">
        <f t="shared" si="9"/>
        <v>1.5454167259551859</v>
      </c>
      <c r="P37" s="11" t="str">
        <f t="shared" si="9"/>
        <v/>
      </c>
      <c r="Q37" s="11" t="str">
        <f t="shared" si="9"/>
        <v/>
      </c>
      <c r="R37" s="11" t="str">
        <f t="shared" si="9"/>
        <v/>
      </c>
      <c r="S37" s="11" t="str">
        <f t="shared" si="9"/>
        <v/>
      </c>
      <c r="T37" s="11" t="str">
        <f t="shared" si="9"/>
        <v/>
      </c>
      <c r="U37" s="11" t="str">
        <f t="shared" si="9"/>
        <v/>
      </c>
      <c r="V37" s="11" t="str">
        <f t="shared" si="9"/>
        <v/>
      </c>
    </row>
    <row r="38" spans="1:22" s="1" customFormat="1" x14ac:dyDescent="0.3">
      <c r="A38" s="223"/>
      <c r="B38" s="11" t="str">
        <f t="shared" ref="B38:M38" si="19">IF(B15="","",(B15/$O$23))</f>
        <v/>
      </c>
      <c r="C38" s="11" t="str">
        <f t="shared" si="19"/>
        <v/>
      </c>
      <c r="D38" s="11" t="str">
        <f t="shared" si="19"/>
        <v/>
      </c>
      <c r="E38" s="11" t="str">
        <f t="shared" si="19"/>
        <v/>
      </c>
      <c r="F38" s="11" t="str">
        <f t="shared" si="19"/>
        <v/>
      </c>
      <c r="G38" s="11" t="str">
        <f t="shared" si="19"/>
        <v/>
      </c>
      <c r="H38" s="11" t="str">
        <f t="shared" si="19"/>
        <v/>
      </c>
      <c r="I38" s="11" t="str">
        <f t="shared" si="19"/>
        <v/>
      </c>
      <c r="J38" s="11" t="str">
        <f t="shared" si="19"/>
        <v/>
      </c>
      <c r="K38" s="11" t="str">
        <f t="shared" si="19"/>
        <v/>
      </c>
      <c r="L38" s="11" t="str">
        <f t="shared" si="19"/>
        <v/>
      </c>
      <c r="M38" s="11" t="str">
        <f t="shared" si="19"/>
        <v/>
      </c>
      <c r="N38" s="6"/>
      <c r="O38" s="11">
        <f t="shared" ref="O38:R38" si="20">IF(O15="","",(O15/$O$23))</f>
        <v>2.0860568826233563</v>
      </c>
      <c r="P38" s="11" t="str">
        <f t="shared" si="20"/>
        <v/>
      </c>
      <c r="Q38" s="11" t="str">
        <f t="shared" si="20"/>
        <v/>
      </c>
      <c r="R38" s="11" t="str">
        <f t="shared" si="20"/>
        <v/>
      </c>
      <c r="S38" s="11" t="str">
        <f t="shared" ref="S38:V43" si="21">IF(S15="","",(S15/$O$23))</f>
        <v/>
      </c>
      <c r="T38" s="11" t="str">
        <f t="shared" si="21"/>
        <v/>
      </c>
      <c r="U38" s="11" t="str">
        <f t="shared" si="21"/>
        <v/>
      </c>
      <c r="V38" s="11" t="str">
        <f t="shared" si="21"/>
        <v/>
      </c>
    </row>
    <row r="39" spans="1:22" s="1" customFormat="1" x14ac:dyDescent="0.3">
      <c r="A39" s="223"/>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ref="O39:R39" si="23">IF(O16="","",(O16/$O$23))</f>
        <v>1.0589378819122666</v>
      </c>
      <c r="P39" s="11" t="str">
        <f t="shared" si="23"/>
        <v/>
      </c>
      <c r="Q39" s="11" t="str">
        <f t="shared" si="23"/>
        <v/>
      </c>
      <c r="R39" s="11" t="str">
        <f t="shared" si="23"/>
        <v/>
      </c>
      <c r="S39" s="11" t="str">
        <f t="shared" si="21"/>
        <v/>
      </c>
      <c r="T39" s="11" t="str">
        <f t="shared" si="21"/>
        <v/>
      </c>
      <c r="U39" s="11" t="str">
        <f t="shared" si="21"/>
        <v/>
      </c>
      <c r="V39" s="11" t="str">
        <f t="shared" si="21"/>
        <v/>
      </c>
    </row>
    <row r="40" spans="1:22" s="1" customFormat="1" x14ac:dyDescent="0.3">
      <c r="A40" s="223"/>
      <c r="B40" s="11" t="str">
        <f t="shared" ref="B40:M40" si="24">IF(B17="","",(B17/$O$23))</f>
        <v/>
      </c>
      <c r="C40" s="11" t="str">
        <f t="shared" si="24"/>
        <v/>
      </c>
      <c r="D40" s="11" t="str">
        <f t="shared" si="24"/>
        <v/>
      </c>
      <c r="E40" s="11" t="str">
        <f t="shared" si="24"/>
        <v/>
      </c>
      <c r="F40" s="11" t="str">
        <f t="shared" si="24"/>
        <v/>
      </c>
      <c r="G40" s="11" t="str">
        <f t="shared" si="24"/>
        <v/>
      </c>
      <c r="H40" s="11" t="str">
        <f t="shared" si="24"/>
        <v/>
      </c>
      <c r="I40" s="11" t="str">
        <f t="shared" si="24"/>
        <v/>
      </c>
      <c r="J40" s="11" t="str">
        <f t="shared" si="24"/>
        <v/>
      </c>
      <c r="K40" s="11" t="str">
        <f t="shared" si="24"/>
        <v/>
      </c>
      <c r="L40" s="11" t="str">
        <f t="shared" si="24"/>
        <v/>
      </c>
      <c r="M40" s="11" t="str">
        <f t="shared" si="24"/>
        <v/>
      </c>
      <c r="N40" s="6"/>
      <c r="O40" s="11">
        <f t="shared" ref="O40:R40" si="25">IF(O17="","",(O17/$O$23))</f>
        <v>1.0895536189905304</v>
      </c>
      <c r="P40" s="11" t="str">
        <f t="shared" si="25"/>
        <v/>
      </c>
      <c r="Q40" s="11" t="str">
        <f t="shared" si="25"/>
        <v/>
      </c>
      <c r="R40" s="11" t="str">
        <f t="shared" si="25"/>
        <v/>
      </c>
      <c r="S40" s="11" t="str">
        <f t="shared" si="21"/>
        <v/>
      </c>
      <c r="T40" s="11" t="str">
        <f t="shared" si="21"/>
        <v/>
      </c>
      <c r="U40" s="11" t="str">
        <f t="shared" si="21"/>
        <v/>
      </c>
      <c r="V40" s="11" t="str">
        <f t="shared" si="21"/>
        <v/>
      </c>
    </row>
    <row r="41" spans="1:22" s="1" customFormat="1" x14ac:dyDescent="0.3">
      <c r="A41" s="223"/>
      <c r="B41" s="11" t="str">
        <f t="shared" ref="B41:M41" si="26">IF(B18="","",(B18/$O$23))</f>
        <v/>
      </c>
      <c r="C41" s="11" t="str">
        <f t="shared" si="26"/>
        <v/>
      </c>
      <c r="D41" s="11" t="str">
        <f t="shared" si="26"/>
        <v/>
      </c>
      <c r="E41" s="11" t="str">
        <f t="shared" si="26"/>
        <v/>
      </c>
      <c r="F41" s="11" t="str">
        <f t="shared" si="26"/>
        <v/>
      </c>
      <c r="G41" s="11" t="str">
        <f t="shared" si="26"/>
        <v/>
      </c>
      <c r="H41" s="11" t="str">
        <f t="shared" si="26"/>
        <v/>
      </c>
      <c r="I41" s="11" t="str">
        <f t="shared" si="26"/>
        <v/>
      </c>
      <c r="J41" s="11" t="str">
        <f t="shared" si="26"/>
        <v/>
      </c>
      <c r="K41" s="11" t="str">
        <f t="shared" si="26"/>
        <v/>
      </c>
      <c r="L41" s="11" t="str">
        <f t="shared" si="26"/>
        <v/>
      </c>
      <c r="M41" s="11" t="str">
        <f t="shared" si="26"/>
        <v/>
      </c>
      <c r="N41" s="6"/>
      <c r="O41" s="11">
        <f t="shared" ref="O41:R41" si="27">IF(O18="","",(O18/$O$23))</f>
        <v>0.2966300915459596</v>
      </c>
      <c r="P41" s="11" t="str">
        <f t="shared" si="27"/>
        <v/>
      </c>
      <c r="Q41" s="11" t="str">
        <f t="shared" si="27"/>
        <v/>
      </c>
      <c r="R41" s="11" t="str">
        <f t="shared" si="27"/>
        <v/>
      </c>
      <c r="S41" s="11" t="str">
        <f t="shared" si="21"/>
        <v/>
      </c>
      <c r="T41" s="11" t="str">
        <f t="shared" si="21"/>
        <v/>
      </c>
      <c r="U41" s="11" t="str">
        <f t="shared" si="21"/>
        <v/>
      </c>
      <c r="V41" s="11" t="str">
        <f t="shared" si="21"/>
        <v/>
      </c>
    </row>
    <row r="42" spans="1:22" s="1" customFormat="1" x14ac:dyDescent="0.3">
      <c r="A42" s="223"/>
      <c r="B42" s="11" t="str">
        <f t="shared" ref="B42:M42" si="28">IF(B19="","",(B19/$O$23))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6"/>
      <c r="O42" s="11">
        <f t="shared" ref="O42:R42" si="29">IF(O19="","",(O19/$O$23))</f>
        <v>0.20519167894349322</v>
      </c>
      <c r="P42" s="11" t="str">
        <f t="shared" si="29"/>
        <v/>
      </c>
      <c r="Q42" s="11" t="str">
        <f t="shared" si="29"/>
        <v/>
      </c>
      <c r="R42" s="11" t="str">
        <f t="shared" si="29"/>
        <v/>
      </c>
      <c r="S42" s="11" t="str">
        <f t="shared" si="21"/>
        <v/>
      </c>
      <c r="T42" s="11" t="str">
        <f t="shared" si="21"/>
        <v/>
      </c>
      <c r="U42" s="11" t="str">
        <f t="shared" si="21"/>
        <v/>
      </c>
      <c r="V42" s="11" t="str">
        <f t="shared" si="21"/>
        <v/>
      </c>
    </row>
    <row r="43" spans="1:22" s="1" customFormat="1" x14ac:dyDescent="0.3">
      <c r="A43" s="223"/>
      <c r="B43" s="11" t="str">
        <f t="shared" ref="B43:M43" si="30">IF(B20="","",(B20/$O$23))</f>
        <v/>
      </c>
      <c r="C43" s="11" t="str">
        <f t="shared" si="30"/>
        <v/>
      </c>
      <c r="D43" s="11" t="str">
        <f t="shared" si="30"/>
        <v/>
      </c>
      <c r="E43" s="11" t="str">
        <f t="shared" si="30"/>
        <v/>
      </c>
      <c r="F43" s="11" t="str">
        <f t="shared" si="30"/>
        <v/>
      </c>
      <c r="G43" s="11" t="str">
        <f t="shared" si="30"/>
        <v/>
      </c>
      <c r="H43" s="11" t="str">
        <f t="shared" si="30"/>
        <v/>
      </c>
      <c r="I43" s="11" t="str">
        <f t="shared" si="30"/>
        <v/>
      </c>
      <c r="J43" s="11" t="str">
        <f t="shared" si="30"/>
        <v/>
      </c>
      <c r="K43" s="11" t="str">
        <f t="shared" si="30"/>
        <v/>
      </c>
      <c r="L43" s="11" t="str">
        <f t="shared" si="30"/>
        <v/>
      </c>
      <c r="M43" s="11" t="str">
        <f t="shared" si="30"/>
        <v/>
      </c>
      <c r="N43" s="6"/>
      <c r="O43" s="11">
        <f t="shared" ref="O43:R43" si="31">IF(O20="","",(O20/$O$23))</f>
        <v>1.4131092648988883</v>
      </c>
      <c r="P43" s="11" t="str">
        <f t="shared" si="31"/>
        <v/>
      </c>
      <c r="Q43" s="11" t="str">
        <f t="shared" si="31"/>
        <v/>
      </c>
      <c r="R43" s="11" t="str">
        <f t="shared" si="31"/>
        <v/>
      </c>
      <c r="S43" s="11" t="str">
        <f t="shared" si="21"/>
        <v/>
      </c>
      <c r="T43" s="11" t="str">
        <f t="shared" si="21"/>
        <v/>
      </c>
      <c r="U43" s="11" t="str">
        <f t="shared" si="21"/>
        <v/>
      </c>
      <c r="V43" s="11" t="str">
        <f t="shared" si="21"/>
        <v/>
      </c>
    </row>
    <row r="44" spans="1:22" x14ac:dyDescent="0.3">
      <c r="A44" s="7"/>
      <c r="B44" s="3"/>
      <c r="C44" s="3"/>
      <c r="D44" s="3"/>
      <c r="E44" s="3"/>
      <c r="F44" s="3"/>
      <c r="G44" s="3"/>
      <c r="H44" s="3"/>
      <c r="I44" s="3"/>
      <c r="J44" s="3"/>
      <c r="N44" s="7"/>
      <c r="O44" s="3"/>
      <c r="P44" s="3"/>
      <c r="Q44" s="3"/>
      <c r="R44" s="3"/>
      <c r="S44" s="3"/>
      <c r="T44" s="3"/>
      <c r="U44" s="3"/>
      <c r="V44" s="3"/>
    </row>
    <row r="45" spans="1:22" s="69" customFormat="1" x14ac:dyDescent="0.3">
      <c r="A45" s="70" t="str">
        <f t="shared" ref="A45:M45" si="32">A4</f>
        <v>Noms des groupes</v>
      </c>
      <c r="B45" s="70" t="str">
        <f t="shared" si="32"/>
        <v>Témoin solvant</v>
      </c>
      <c r="C45" s="70" t="str">
        <f t="shared" si="32"/>
        <v>EE2-33.8ng/L</v>
      </c>
      <c r="D45" s="70" t="str">
        <f t="shared" si="32"/>
        <v>EE2-50.6ng/L</v>
      </c>
      <c r="E45" s="70" t="str">
        <f t="shared" si="32"/>
        <v>EE2-76ng/L</v>
      </c>
      <c r="F45" s="70" t="str">
        <f t="shared" si="32"/>
        <v>EE2-114ng/L</v>
      </c>
      <c r="G45" s="70" t="str">
        <f t="shared" si="32"/>
        <v>EE2-170.9ng/L</v>
      </c>
      <c r="H45" s="70" t="str">
        <f t="shared" si="32"/>
        <v>EE2-488ng/L</v>
      </c>
      <c r="I45" s="70" t="str">
        <f t="shared" si="32"/>
        <v>Arabinose-0.01mg/L</v>
      </c>
      <c r="J45" s="70" t="str">
        <f t="shared" si="32"/>
        <v>Arabinose-0.1mg/L</v>
      </c>
      <c r="K45" s="70" t="str">
        <f t="shared" si="32"/>
        <v>Arabinose-1mg/L</v>
      </c>
      <c r="L45" s="70" t="str">
        <f t="shared" si="32"/>
        <v>Arabinose-10mg/L</v>
      </c>
      <c r="M45" s="70" t="str">
        <f t="shared" si="32"/>
        <v>Arabinose-100mg/L</v>
      </c>
      <c r="N45" s="70" t="str">
        <f>N22</f>
        <v>Nom des groupes</v>
      </c>
      <c r="O45" s="70" t="str">
        <f t="shared" ref="O45:V45" si="33">O4</f>
        <v>Testo -30µg/L</v>
      </c>
      <c r="P45" s="70" t="str">
        <f t="shared" si="33"/>
        <v>Testo 30µg/L + EE2 -64ng/L</v>
      </c>
      <c r="Q45" s="70" t="str">
        <f t="shared" si="33"/>
        <v>Testo 30µg/L + FAD-10µg/L</v>
      </c>
      <c r="R45" s="70" t="str">
        <f t="shared" si="33"/>
        <v>Arabinose-0.01mg/L + Testostérone</v>
      </c>
      <c r="S45" s="70" t="str">
        <f t="shared" si="33"/>
        <v>Arabinose-0.1mg/L + Testostérone</v>
      </c>
      <c r="T45" s="70" t="str">
        <f t="shared" si="33"/>
        <v>Arabinose-1mg/L + Testostérone</v>
      </c>
      <c r="U45" s="70" t="str">
        <f t="shared" si="33"/>
        <v>Arabinose-10mg/L + Testostérone</v>
      </c>
      <c r="V45" s="70" t="str">
        <f t="shared" si="33"/>
        <v>Arabinose-100mg/L + Testostérone</v>
      </c>
    </row>
    <row r="46" spans="1:22" x14ac:dyDescent="0.3">
      <c r="A46" s="8" t="s">
        <v>0</v>
      </c>
      <c r="B46" s="10">
        <f t="shared" ref="B46:H46" si="34">AVERAGE(B28:B43)</f>
        <v>2.2402881530474789E-2</v>
      </c>
      <c r="C46" s="10">
        <f t="shared" si="34"/>
        <v>5.9208750059548884E-2</v>
      </c>
      <c r="D46" s="10">
        <f t="shared" si="34"/>
        <v>5.4704562130508852E-2</v>
      </c>
      <c r="E46" s="10">
        <f t="shared" si="34"/>
        <v>6.0425940519948353E-2</v>
      </c>
      <c r="F46" s="10">
        <f t="shared" si="34"/>
        <v>0.61938080249298433</v>
      </c>
      <c r="G46" s="10">
        <f t="shared" si="34"/>
        <v>1.2570668232193996</v>
      </c>
      <c r="H46" s="10">
        <f t="shared" si="34"/>
        <v>3.0876221836416349</v>
      </c>
      <c r="I46" s="10">
        <f>AVERAGE(I28:I43)</f>
        <v>3.9182157029588389E-2</v>
      </c>
      <c r="J46" s="9">
        <f>AVERAGE(J28:J43)</f>
        <v>6.271305376766069E-2</v>
      </c>
      <c r="K46" s="9">
        <f>AVERAGE(K28:K43)</f>
        <v>3.9407070628970045E-2</v>
      </c>
      <c r="L46" s="9">
        <f t="shared" ref="L46:M46" si="35">AVERAGE(L28:L43)</f>
        <v>7.6528785411755576E-2</v>
      </c>
      <c r="M46" s="9">
        <f t="shared" si="35"/>
        <v>7.9090626223585453E-2</v>
      </c>
      <c r="N46" s="8" t="s">
        <v>0</v>
      </c>
      <c r="O46" s="10">
        <f>AVERAGE(O28:O43)</f>
        <v>1</v>
      </c>
      <c r="P46" s="10">
        <f>AVERAGE(P28:P43)</f>
        <v>2.8614004337864363</v>
      </c>
      <c r="Q46" s="10">
        <f>AVERAGE(Q28:Q43)</f>
        <v>5.038307958668295E-2</v>
      </c>
      <c r="R46" s="10">
        <f>AVERAGE(R28:R43)</f>
        <v>0.82038871672996339</v>
      </c>
      <c r="S46" s="10">
        <f t="shared" ref="S46:V46" si="36">AVERAGE(S28:S43)</f>
        <v>0.97292028697639965</v>
      </c>
      <c r="T46" s="10">
        <f t="shared" si="36"/>
        <v>0.63034983817155799</v>
      </c>
      <c r="U46" s="10">
        <f t="shared" si="36"/>
        <v>0.65125141438528866</v>
      </c>
      <c r="V46" s="10">
        <f t="shared" si="36"/>
        <v>0.7696722941227091</v>
      </c>
    </row>
    <row r="47" spans="1:22" x14ac:dyDescent="0.3">
      <c r="A47" s="8" t="s">
        <v>1</v>
      </c>
      <c r="B47" s="8">
        <f t="shared" ref="B47:K47" si="37">STDEV(B28:B43)</f>
        <v>1.6106627441644358E-2</v>
      </c>
      <c r="C47" s="8">
        <f t="shared" si="37"/>
        <v>0.12703081047034498</v>
      </c>
      <c r="D47" s="8">
        <f t="shared" si="37"/>
        <v>5.0948783821322119E-2</v>
      </c>
      <c r="E47" s="8">
        <f t="shared" si="37"/>
        <v>2.6098548552025057E-2</v>
      </c>
      <c r="F47" s="8">
        <f t="shared" si="37"/>
        <v>0.63004595819971432</v>
      </c>
      <c r="G47" s="8">
        <f t="shared" si="37"/>
        <v>0.45841078431300891</v>
      </c>
      <c r="H47" s="8">
        <f t="shared" si="37"/>
        <v>0.79301387966786363</v>
      </c>
      <c r="I47" s="8">
        <f>STDEV(I28:I43)</f>
        <v>4.6816323001132684E-2</v>
      </c>
      <c r="J47" s="8">
        <f t="shared" si="37"/>
        <v>8.131208780900559E-2</v>
      </c>
      <c r="K47" s="8">
        <f t="shared" si="37"/>
        <v>2.3476011265236057E-2</v>
      </c>
      <c r="L47" s="8">
        <f t="shared" ref="L47:M47" si="38">STDEV(L28:L43)</f>
        <v>7.8661347627947367E-2</v>
      </c>
      <c r="M47" s="8">
        <f t="shared" si="38"/>
        <v>4.6623022255769954E-2</v>
      </c>
      <c r="N47" s="8" t="s">
        <v>1</v>
      </c>
      <c r="O47" s="8">
        <f>STDEV(O28:O43)</f>
        <v>0.57612189567852468</v>
      </c>
      <c r="P47" s="8">
        <f>STDEV(P28:P43)</f>
        <v>0.44952558622339106</v>
      </c>
      <c r="Q47" s="8">
        <f>STDEV(Q28:Q43)</f>
        <v>5.0185864356851115E-2</v>
      </c>
      <c r="R47" s="8">
        <f>STDEV(R28:R43)</f>
        <v>0.82949592147149098</v>
      </c>
      <c r="S47" s="8">
        <f t="shared" ref="S47:V47" si="39">STDEV(S28:S43)</f>
        <v>0.63535822005898057</v>
      </c>
      <c r="T47" s="8">
        <f t="shared" si="39"/>
        <v>0.45326894745664481</v>
      </c>
      <c r="U47" s="8">
        <f t="shared" si="39"/>
        <v>0.5257428948718762</v>
      </c>
      <c r="V47" s="8">
        <f t="shared" si="39"/>
        <v>0.58270676505025487</v>
      </c>
    </row>
    <row r="48" spans="1:22" x14ac:dyDescent="0.3">
      <c r="A48" s="8" t="s">
        <v>2</v>
      </c>
      <c r="B48" s="8">
        <f t="shared" ref="B48:K48" si="40" xml:space="preserve"> B47/SQRT(COUNT(B28:B43))</f>
        <v>5.6945527430160292E-3</v>
      </c>
      <c r="C48" s="8">
        <f t="shared" si="40"/>
        <v>4.8013133335358962E-2</v>
      </c>
      <c r="D48" s="8">
        <f t="shared" si="40"/>
        <v>1.9256830227487056E-2</v>
      </c>
      <c r="E48" s="8">
        <f t="shared" si="40"/>
        <v>9.8643241497718796E-3</v>
      </c>
      <c r="F48" s="8">
        <f t="shared" si="40"/>
        <v>0.222754884751097</v>
      </c>
      <c r="G48" s="8">
        <f t="shared" si="40"/>
        <v>0.16207268707838621</v>
      </c>
      <c r="H48" s="8">
        <f t="shared" si="40"/>
        <v>0.29973107311766678</v>
      </c>
      <c r="I48" s="8">
        <f xml:space="preserve"> I47/SQRT(COUNT(I28:I43))</f>
        <v>1.6552069732160328E-2</v>
      </c>
      <c r="J48" s="8">
        <f t="shared" si="40"/>
        <v>2.8748164341091925E-2</v>
      </c>
      <c r="K48" s="8">
        <f t="shared" si="40"/>
        <v>8.3000233804300973E-3</v>
      </c>
      <c r="L48" s="8">
        <f t="shared" ref="L48:M48" si="41" xml:space="preserve"> L47/SQRT(COUNT(L28:L43))</f>
        <v>2.9731194802392752E-2</v>
      </c>
      <c r="M48" s="8">
        <f t="shared" si="41"/>
        <v>1.7621846036999563E-2</v>
      </c>
      <c r="N48" s="8" t="s">
        <v>2</v>
      </c>
      <c r="O48" s="8">
        <f xml:space="preserve"> O47/SQRT(COUNT(O28:O43))</f>
        <v>0.14875403382322486</v>
      </c>
      <c r="P48" s="8">
        <f xml:space="preserve"> P47/SQRT(COUNT(P28:P43))</f>
        <v>0.16990470130108792</v>
      </c>
      <c r="Q48" s="8">
        <f xml:space="preserve"> Q47/SQRT(COUNT(Q28:Q43))</f>
        <v>1.7743382503218837E-2</v>
      </c>
      <c r="R48" s="8">
        <f xml:space="preserve"> R47/SQRT(COUNT(R28:R43))</f>
        <v>0.29327109551953756</v>
      </c>
      <c r="S48" s="8">
        <f t="shared" ref="S48:V48" si="42" xml:space="preserve"> S47/SQRT(COUNT(S28:S43))</f>
        <v>0.2401428348166732</v>
      </c>
      <c r="T48" s="8">
        <f t="shared" si="42"/>
        <v>0.16025477322394122</v>
      </c>
      <c r="U48" s="8">
        <f t="shared" si="42"/>
        <v>0.18587818306227491</v>
      </c>
      <c r="V48" s="8">
        <f t="shared" si="42"/>
        <v>0.20601795250515575</v>
      </c>
    </row>
    <row r="49" spans="1:22" s="1" customFormat="1"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8" t="s">
        <v>38</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35">
      <c r="A51"/>
      <c r="B51"/>
      <c r="C51"/>
      <c r="D51"/>
      <c r="E51"/>
      <c r="F51"/>
      <c r="G51"/>
      <c r="H51"/>
      <c r="I51"/>
      <c r="J51"/>
      <c r="K51"/>
      <c r="L51"/>
      <c r="M51"/>
      <c r="S51"/>
      <c r="T51"/>
      <c r="U51"/>
      <c r="V51"/>
    </row>
    <row r="52" spans="1:22" x14ac:dyDescent="0.3">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Arabinose-0.01mg/L</v>
      </c>
      <c r="J52" s="46" t="str">
        <f>J4</f>
        <v>Arabinose-0.1mg/L</v>
      </c>
      <c r="K52" s="46" t="str">
        <f>K27</f>
        <v>Arabinose-1mg/L</v>
      </c>
      <c r="L52" s="46" t="str">
        <f t="shared" ref="L52:M52" si="44">L27</f>
        <v>Arabinose-10mg/L</v>
      </c>
      <c r="M52" s="46" t="str">
        <f t="shared" si="44"/>
        <v>Arabinose-100mg/L</v>
      </c>
      <c r="N52" s="47"/>
      <c r="O52" s="46" t="str">
        <f>O27</f>
        <v>Testo -30µg/L</v>
      </c>
      <c r="P52" s="46" t="str">
        <f>P27</f>
        <v>Testo 30µg/L + EE2 -64ng/L</v>
      </c>
      <c r="Q52" s="46" t="str">
        <f>Q27</f>
        <v>Testo 30µg/L + FAD-10µg/L</v>
      </c>
      <c r="R52" s="46" t="str">
        <f>R27</f>
        <v>Arabinose-0.01mg/L + Testostérone</v>
      </c>
      <c r="S52" s="46" t="str">
        <f t="shared" ref="S52:V52" si="45">S27</f>
        <v>Arabinose-0.1mg/L + Testostérone</v>
      </c>
      <c r="T52" s="46" t="str">
        <f t="shared" si="45"/>
        <v>Arabinose-1mg/L + Testostérone</v>
      </c>
      <c r="U52" s="46" t="str">
        <f t="shared" si="45"/>
        <v>Arabinose-10mg/L + Testostérone</v>
      </c>
      <c r="V52" s="46" t="str">
        <f t="shared" si="45"/>
        <v>Arabinose-100mg/L + Testostérone</v>
      </c>
    </row>
    <row r="53" spans="1:22" s="3" customFormat="1" x14ac:dyDescent="0.3">
      <c r="A53" s="61" t="s">
        <v>32</v>
      </c>
      <c r="B53" s="140">
        <f t="shared" ref="B53:M53" si="46">B46</f>
        <v>2.2402881530474789E-2</v>
      </c>
      <c r="C53" s="140">
        <f t="shared" si="46"/>
        <v>5.9208750059548884E-2</v>
      </c>
      <c r="D53" s="140">
        <f t="shared" si="46"/>
        <v>5.4704562130508852E-2</v>
      </c>
      <c r="E53" s="140">
        <f t="shared" si="46"/>
        <v>6.0425940519948353E-2</v>
      </c>
      <c r="F53" s="140">
        <f t="shared" si="46"/>
        <v>0.61938080249298433</v>
      </c>
      <c r="G53" s="140">
        <f t="shared" si="46"/>
        <v>1.2570668232193996</v>
      </c>
      <c r="H53" s="140">
        <f t="shared" si="46"/>
        <v>3.0876221836416349</v>
      </c>
      <c r="I53" s="140">
        <f t="shared" si="46"/>
        <v>3.9182157029588389E-2</v>
      </c>
      <c r="J53" s="140">
        <f t="shared" si="46"/>
        <v>6.271305376766069E-2</v>
      </c>
      <c r="K53" s="140">
        <f t="shared" si="46"/>
        <v>3.9407070628970045E-2</v>
      </c>
      <c r="L53" s="140">
        <f t="shared" si="46"/>
        <v>7.6528785411755576E-2</v>
      </c>
      <c r="M53" s="140">
        <f t="shared" si="46"/>
        <v>7.9090626223585453E-2</v>
      </c>
      <c r="N53" s="140"/>
      <c r="O53" s="140">
        <f t="shared" ref="O53:V53" si="47">O46</f>
        <v>1</v>
      </c>
      <c r="P53" s="140">
        <f t="shared" si="47"/>
        <v>2.8614004337864363</v>
      </c>
      <c r="Q53" s="140">
        <f t="shared" si="47"/>
        <v>5.038307958668295E-2</v>
      </c>
      <c r="R53" s="140">
        <f t="shared" si="47"/>
        <v>0.82038871672996339</v>
      </c>
      <c r="S53" s="140">
        <f t="shared" si="47"/>
        <v>0.97292028697639965</v>
      </c>
      <c r="T53" s="140">
        <f t="shared" si="47"/>
        <v>0.63034983817155799</v>
      </c>
      <c r="U53" s="140">
        <f t="shared" si="47"/>
        <v>0.65125141438528866</v>
      </c>
      <c r="V53" s="140">
        <f t="shared" si="47"/>
        <v>0.7696722941227091</v>
      </c>
    </row>
    <row r="54" spans="1:22" s="3" customFormat="1" x14ac:dyDescent="0.3">
      <c r="A54" s="61" t="s">
        <v>2</v>
      </c>
      <c r="B54" s="140">
        <f t="shared" ref="B54:M54" si="48">B48</f>
        <v>5.6945527430160292E-3</v>
      </c>
      <c r="C54" s="140">
        <f t="shared" si="48"/>
        <v>4.8013133335358962E-2</v>
      </c>
      <c r="D54" s="140">
        <f t="shared" si="48"/>
        <v>1.9256830227487056E-2</v>
      </c>
      <c r="E54" s="140">
        <f t="shared" si="48"/>
        <v>9.8643241497718796E-3</v>
      </c>
      <c r="F54" s="140">
        <f t="shared" si="48"/>
        <v>0.222754884751097</v>
      </c>
      <c r="G54" s="140">
        <f t="shared" si="48"/>
        <v>0.16207268707838621</v>
      </c>
      <c r="H54" s="140">
        <f t="shared" si="48"/>
        <v>0.29973107311766678</v>
      </c>
      <c r="I54" s="140">
        <f t="shared" si="48"/>
        <v>1.6552069732160328E-2</v>
      </c>
      <c r="J54" s="140">
        <f t="shared" si="48"/>
        <v>2.8748164341091925E-2</v>
      </c>
      <c r="K54" s="140">
        <f t="shared" si="48"/>
        <v>8.3000233804300973E-3</v>
      </c>
      <c r="L54" s="140">
        <f t="shared" si="48"/>
        <v>2.9731194802392752E-2</v>
      </c>
      <c r="M54" s="140">
        <f t="shared" si="48"/>
        <v>1.7621846036999563E-2</v>
      </c>
      <c r="N54" s="140"/>
      <c r="O54" s="140">
        <f t="shared" ref="O54:V54" si="49">O48</f>
        <v>0.14875403382322486</v>
      </c>
      <c r="P54" s="140">
        <f t="shared" si="49"/>
        <v>0.16990470130108792</v>
      </c>
      <c r="Q54" s="140">
        <f t="shared" si="49"/>
        <v>1.7743382503218837E-2</v>
      </c>
      <c r="R54" s="140">
        <f t="shared" si="49"/>
        <v>0.29327109551953756</v>
      </c>
      <c r="S54" s="140">
        <f t="shared" si="49"/>
        <v>0.2401428348166732</v>
      </c>
      <c r="T54" s="140">
        <f t="shared" si="49"/>
        <v>0.16025477322394122</v>
      </c>
      <c r="U54" s="140">
        <f t="shared" si="49"/>
        <v>0.18587818306227491</v>
      </c>
      <c r="V54" s="140">
        <f t="shared" si="49"/>
        <v>0.20601795250515575</v>
      </c>
    </row>
    <row r="55" spans="1:22" s="3" customFormat="1" x14ac:dyDescent="0.3">
      <c r="A55" s="61" t="s">
        <v>79</v>
      </c>
      <c r="B55" s="140">
        <f t="shared" ref="B55:M55" si="50">(B53*100/$B$53)-100</f>
        <v>0</v>
      </c>
      <c r="C55" s="140">
        <f t="shared" si="50"/>
        <v>164.29077875096931</v>
      </c>
      <c r="D55" s="140">
        <f t="shared" si="50"/>
        <v>144.18538327801213</v>
      </c>
      <c r="E55" s="140">
        <f t="shared" si="50"/>
        <v>169.72396581105221</v>
      </c>
      <c r="F55" s="140">
        <f t="shared" si="50"/>
        <v>2664.7372131591042</v>
      </c>
      <c r="G55" s="140">
        <f t="shared" si="50"/>
        <v>5511.1836395215641</v>
      </c>
      <c r="H55" s="140">
        <f t="shared" si="50"/>
        <v>13682.254659703136</v>
      </c>
      <c r="I55" s="140">
        <f t="shared" si="50"/>
        <v>74.897845066442216</v>
      </c>
      <c r="J55" s="140">
        <f t="shared" si="50"/>
        <v>179.93297952476206</v>
      </c>
      <c r="K55" s="140">
        <f t="shared" si="50"/>
        <v>75.901794487304443</v>
      </c>
      <c r="L55" s="140">
        <f t="shared" si="50"/>
        <v>241.60241979431515</v>
      </c>
      <c r="M55" s="140">
        <f t="shared" si="50"/>
        <v>253.03773809631565</v>
      </c>
      <c r="N55" s="140"/>
      <c r="O55" s="140">
        <f t="shared" ref="O55:V55" si="51">(O53*100/$O$53)-100</f>
        <v>0</v>
      </c>
      <c r="P55" s="140">
        <f t="shared" si="51"/>
        <v>186.14004337864361</v>
      </c>
      <c r="Q55" s="140">
        <f t="shared" si="51"/>
        <v>-94.961692041331702</v>
      </c>
      <c r="R55" s="140">
        <f t="shared" si="51"/>
        <v>-17.961128327003664</v>
      </c>
      <c r="S55" s="140">
        <f t="shared" si="51"/>
        <v>-2.7079713023600362</v>
      </c>
      <c r="T55" s="140">
        <f t="shared" si="51"/>
        <v>-36.965016182844202</v>
      </c>
      <c r="U55" s="140">
        <f t="shared" si="51"/>
        <v>-34.874858561471129</v>
      </c>
      <c r="V55" s="140">
        <f t="shared" si="51"/>
        <v>-23.03277058772909</v>
      </c>
    </row>
    <row r="56" spans="1:22" s="3" customFormat="1" x14ac:dyDescent="0.3">
      <c r="A56" s="61"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1" t="s">
        <v>85</v>
      </c>
      <c r="B57" s="140" t="e">
        <f t="shared" ref="B57:M57" ca="1" si="52">IF(B56&gt;0.05,"Oui","Non")</f>
        <v>#NAME?</v>
      </c>
      <c r="C57" s="140" t="e">
        <f t="shared" ca="1" si="52"/>
        <v>#NAME?</v>
      </c>
      <c r="D57" s="140" t="e">
        <f t="shared" ca="1" si="52"/>
        <v>#NAME?</v>
      </c>
      <c r="E57" s="140" t="e">
        <f t="shared" ca="1" si="52"/>
        <v>#NAME?</v>
      </c>
      <c r="F57" s="140" t="e">
        <f t="shared" ca="1" si="52"/>
        <v>#NAME?</v>
      </c>
      <c r="G57" s="140" t="e">
        <f t="shared" ca="1" si="52"/>
        <v>#NAME?</v>
      </c>
      <c r="H57" s="140" t="e">
        <f t="shared" ca="1" si="52"/>
        <v>#NAME?</v>
      </c>
      <c r="I57" s="140" t="e">
        <f t="shared" ca="1" si="52"/>
        <v>#NAME?</v>
      </c>
      <c r="J57" s="140" t="e">
        <f t="shared" ca="1" si="52"/>
        <v>#NAME?</v>
      </c>
      <c r="K57" s="140" t="e">
        <f t="shared" ca="1" si="52"/>
        <v>#NAME?</v>
      </c>
      <c r="L57" s="140" t="e">
        <f t="shared" ca="1" si="52"/>
        <v>#NAME?</v>
      </c>
      <c r="M57" s="140" t="e">
        <f t="shared" ca="1" si="52"/>
        <v>#NAME?</v>
      </c>
      <c r="N57" s="140"/>
      <c r="O57" s="140" t="e">
        <f t="shared" ref="O57:V57" ca="1" si="53">IF(O56&gt;0.05,"Oui","Non")</f>
        <v>#NAME?</v>
      </c>
      <c r="P57" s="140" t="e">
        <f t="shared" ca="1" si="53"/>
        <v>#NAME?</v>
      </c>
      <c r="Q57" s="140" t="e">
        <f t="shared" ca="1" si="53"/>
        <v>#NAME?</v>
      </c>
      <c r="R57" s="140" t="e">
        <f t="shared" ca="1" si="53"/>
        <v>#NAME?</v>
      </c>
      <c r="S57" s="140" t="e">
        <f t="shared" ca="1" si="53"/>
        <v>#NAME?</v>
      </c>
      <c r="T57" s="140" t="e">
        <f t="shared" ca="1" si="53"/>
        <v>#NAME?</v>
      </c>
      <c r="U57" s="140" t="e">
        <f t="shared" ca="1" si="53"/>
        <v>#NAME?</v>
      </c>
      <c r="V57" s="140" t="e">
        <f t="shared" ca="1" si="53"/>
        <v>#NAME?</v>
      </c>
    </row>
    <row r="58" spans="1:22" s="3" customFormat="1" x14ac:dyDescent="0.3">
      <c r="A58" s="61"/>
      <c r="B58" s="140"/>
      <c r="C58" s="140"/>
      <c r="D58" s="140"/>
      <c r="E58" s="140"/>
      <c r="F58" s="140"/>
      <c r="G58" s="140"/>
      <c r="H58" s="140"/>
      <c r="I58" s="140"/>
      <c r="J58" s="140"/>
      <c r="K58" s="140"/>
      <c r="L58" s="140"/>
      <c r="M58" s="140"/>
      <c r="N58" s="146"/>
      <c r="O58" s="147"/>
      <c r="P58" s="140"/>
      <c r="Q58" s="140"/>
      <c r="R58" s="140"/>
      <c r="S58" s="140"/>
      <c r="T58" s="140"/>
      <c r="U58" s="140"/>
      <c r="V58" s="140"/>
    </row>
    <row r="59" spans="1:22" s="3" customFormat="1" x14ac:dyDescent="0.3">
      <c r="A59" s="61" t="s">
        <v>82</v>
      </c>
      <c r="B59" s="148"/>
      <c r="C59" s="148" t="e">
        <f t="shared" ref="C59:M59" ca="1" si="54">IF($B57="Non",IF(C$57="Non","Mann Withney",IF(C$57="Oui","Mann Withney","")),IF($B$57="Oui",IF(C$57="Oui","T-Test Welch",IF(C$57="Non","Mann Withney",""))))</f>
        <v>#NAME?</v>
      </c>
      <c r="D59" s="148" t="e">
        <f t="shared" ca="1" si="54"/>
        <v>#NAME?</v>
      </c>
      <c r="E59" s="148" t="e">
        <f t="shared" ca="1" si="54"/>
        <v>#NAME?</v>
      </c>
      <c r="F59" s="148" t="e">
        <f t="shared" ca="1" si="54"/>
        <v>#NAME?</v>
      </c>
      <c r="G59" s="148" t="e">
        <f t="shared" ca="1" si="54"/>
        <v>#NAME?</v>
      </c>
      <c r="H59" s="148" t="e">
        <f t="shared" ca="1" si="54"/>
        <v>#NAME?</v>
      </c>
      <c r="I59" s="148" t="e">
        <f t="shared" ca="1" si="54"/>
        <v>#NAME?</v>
      </c>
      <c r="J59" s="148" t="e">
        <f t="shared" ca="1" si="54"/>
        <v>#NAME?</v>
      </c>
      <c r="K59" s="148" t="e">
        <f t="shared" ca="1" si="54"/>
        <v>#NAME?</v>
      </c>
      <c r="L59" s="148" t="e">
        <f t="shared" ca="1" si="54"/>
        <v>#NAME?</v>
      </c>
      <c r="M59" s="148" t="e">
        <f t="shared" ca="1" si="54"/>
        <v>#NAME?</v>
      </c>
      <c r="N59" s="148"/>
      <c r="O59" s="148" t="e">
        <f ca="1">IF($B57="Non",IF(O$57="Non","Mann Withney",IF(O$57="Oui","Mann Withney","")),IF($B$57="Oui",IF(O$57="Oui","T-Test Welch",IF(O$57="Non","Mann Withney",""))))</f>
        <v>#NAME?</v>
      </c>
      <c r="P59" s="148" t="e">
        <f t="shared" ref="P59:V59" ca="1" si="55">IF($O57="Non",IF(P$57="Non","Mann Withney",IF(P$57="Oui","Mann Withney","")),IF($O$57="Oui",IF(P$57="Oui","T-Test Welch",IF(P$57="Non","Mann Withney",""))))</f>
        <v>#NAME?</v>
      </c>
      <c r="Q59" s="148" t="e">
        <f t="shared" ca="1" si="55"/>
        <v>#NAME?</v>
      </c>
      <c r="R59" s="148" t="e">
        <f t="shared" ca="1" si="55"/>
        <v>#NAME?</v>
      </c>
      <c r="S59" s="148" t="e">
        <f t="shared" ca="1" si="55"/>
        <v>#NAME?</v>
      </c>
      <c r="T59" s="148" t="e">
        <f t="shared" ca="1" si="55"/>
        <v>#NAME?</v>
      </c>
      <c r="U59" s="148" t="e">
        <f t="shared" ca="1" si="55"/>
        <v>#NAME?</v>
      </c>
      <c r="V59" s="148" t="e">
        <f t="shared" ca="1" si="55"/>
        <v>#NAME?</v>
      </c>
    </row>
    <row r="60" spans="1:22" s="3" customFormat="1" x14ac:dyDescent="0.3">
      <c r="A60" s="61" t="s">
        <v>83</v>
      </c>
      <c r="B60" s="149"/>
      <c r="C60" s="149" t="e">
        <f ca="1">IF(C59="Mann Withney",[1]!MTEST($B28:$B43,C28:C43,2), IF(C59="T-Test Welch",_xlfn.T.TEST($B28:$B43,C28:C43,2,3),""))</f>
        <v>#NAME?</v>
      </c>
      <c r="D60" s="149" t="e">
        <f ca="1">IF(D59="Mann Withney",[1]!MTEST($B28:$B43,D28:D43,2), IF(D59="T-Test Welch",_xlfn.T.TEST($B28:$B43,D28:D43,2,3),""))</f>
        <v>#NAME?</v>
      </c>
      <c r="E60" s="149" t="e">
        <f ca="1">IF(E59="Mann Withney",[1]!MTEST($B28:$B43,E28:E43,2), IF(E59="T-Test Welch",_xlfn.T.TEST($B28:$B43,E28:E43,2,3),""))</f>
        <v>#NAME?</v>
      </c>
      <c r="F60" s="149" t="e">
        <f ca="1">IF(F59="Mann Withney",[1]!MTEST($B28:$B43,F28:F43,2), IF(F59="T-Test Welch",_xlfn.T.TEST($B28:$B43,F28:F43,2,3),""))</f>
        <v>#NAME?</v>
      </c>
      <c r="G60" s="149" t="e">
        <f ca="1">IF(G59="Mann Withney",[1]!MTEST($B28:$B43,G28:G43,2), IF(G59="T-Test Welch",_xlfn.T.TEST($B28:$B43,G28:G43,2,3),""))</f>
        <v>#NAME?</v>
      </c>
      <c r="H60" s="149" t="e">
        <f ca="1">IF(H59="Mann Withney",[1]!MTEST($B28:$B43,H28:H43,2), IF(H59="T-Test Welch",_xlfn.T.TEST($B28:$B43,H28:H43,2,3),""))</f>
        <v>#NAME?</v>
      </c>
      <c r="I60" s="149" t="e">
        <f ca="1">IF(I59="Mann Withney",[1]!MTEST($B28:$B43,I28:I43,2), IF(I59="T-Test Welch",_xlfn.T.TEST($B28:$B43,I28:I43,2,3),""))</f>
        <v>#NAME?</v>
      </c>
      <c r="J60" s="149" t="e">
        <f ca="1">IF(J59="Mann Withney",[1]!MTEST($B28:$B43,J28:J43,2), IF(J59="T-Test Welch",_xlfn.T.TEST($B28:$B43,J28:J43,2,3),""))</f>
        <v>#NAME?</v>
      </c>
      <c r="K60" s="149" t="e">
        <f ca="1">IF(K59="Mann Withney",[1]!MTEST($B28:$B43,K28:K43,2), IF(K59="T-Test Welch",_xlfn.T.TEST($B28:$B43,K28:K43,2,3),""))</f>
        <v>#NAME?</v>
      </c>
      <c r="L60" s="149" t="e">
        <f ca="1">IF(L59="Mann Withney",[1]!MTEST($B28:$B43,L28:L43,2), IF(L59="T-Test Welch",_xlfn.T.TEST($B28:$B43,L28:L43,2,3),""))</f>
        <v>#NAME?</v>
      </c>
      <c r="M60" s="149" t="e">
        <f ca="1">IF(M59="Mann Withney",[1]!MTEST($B28:$B43,M28:M43,2), IF(M59="T-Test Welch",_xlfn.T.TEST($B28:$B43,M28:M43,2,3),""))</f>
        <v>#NAME?</v>
      </c>
      <c r="N60" s="149"/>
      <c r="O60" s="149" t="e">
        <f ca="1">IF(O59="Mann Withney",[1]!MTEST($B28:$B43,O28:O43,2), IF(O59="T-Test Welch",_xlfn.T.TEST($B28:$B43,O28:O43,2,3),""))</f>
        <v>#NAME?</v>
      </c>
      <c r="P60" s="149" t="e">
        <f ca="1">IF(P59="Mann Withney",[1]!MTEST($O28:$O43,P28:P43,2), IF(P59="T-Test Welch",_xlfn.T.TEST($O28:$O43,P28:P43,2,3),""))</f>
        <v>#NAME?</v>
      </c>
      <c r="Q60" s="149" t="e">
        <f ca="1">IF(Q59="Mann Withney",[1]!MTEST($O28:$O43,Q28:Q43,2), IF(Q59="T-Test Welch",_xlfn.T.TEST($O28:$O43,Q28:Q43,2,3),""))</f>
        <v>#NAME?</v>
      </c>
      <c r="R60" s="149" t="e">
        <f ca="1">IF(R59="Mann Withney",[1]!MTEST($O28:$O43,R28:R43,2), IF(R59="T-Test Welch",_xlfn.T.TEST($O28:$O43,R28:R43,2,3),""))</f>
        <v>#NAME?</v>
      </c>
      <c r="S60" s="149" t="e">
        <f ca="1">IF(S59="Mann Withney",[1]!MTEST($O28:$O43,S28:S43,2), IF(S59="T-Test Welch",_xlfn.T.TEST($O28:$O43,S28:S43,2,3),""))</f>
        <v>#NAME?</v>
      </c>
      <c r="T60" s="149" t="e">
        <f ca="1">IF(T59="Mann Withney",[1]!MTEST($O28:$O43,T28:T43,2), IF(T59="T-Test Welch",_xlfn.T.TEST($O28:$O43,T28:T43,2,3),""))</f>
        <v>#NAME?</v>
      </c>
      <c r="U60" s="149" t="e">
        <f ca="1">IF(U59="Mann Withney",[1]!MTEST($O28:$O43,U28:U43,2), IF(U59="T-Test Welch",_xlfn.T.TEST($O28:$O43,U28:U43,2,3),""))</f>
        <v>#NAME?</v>
      </c>
      <c r="V60" s="149" t="e">
        <f ca="1">IF(V59="Mann Withney",[1]!MTEST($O28:$O43,V28:V43,2), IF(V59="T-Test Welch",_xlfn.T.TEST($O28:$O43,V28:V43,2,3),""))</f>
        <v>#NAME?</v>
      </c>
    </row>
    <row r="61" spans="1:22" s="3" customFormat="1" ht="15" thickBot="1" x14ac:dyDescent="0.35">
      <c r="A61" s="62" t="s">
        <v>84</v>
      </c>
      <c r="B61" s="141"/>
      <c r="C61" s="141" t="e">
        <f t="shared" ref="C61:M61" ca="1" si="56">IF(C60&gt;0.05,"NS",IF(C60&gt;0.01,"*",IF(C60&gt;0.001,"**","***")))</f>
        <v>#NAME?</v>
      </c>
      <c r="D61" s="141" t="e">
        <f t="shared" ca="1" si="56"/>
        <v>#NAME?</v>
      </c>
      <c r="E61" s="141" t="e">
        <f t="shared" ca="1" si="56"/>
        <v>#NAME?</v>
      </c>
      <c r="F61" s="141" t="e">
        <f t="shared" ca="1" si="56"/>
        <v>#NAME?</v>
      </c>
      <c r="G61" s="141" t="e">
        <f t="shared" ca="1" si="56"/>
        <v>#NAME?</v>
      </c>
      <c r="H61" s="141" t="e">
        <f t="shared" ca="1" si="56"/>
        <v>#NAME?</v>
      </c>
      <c r="I61" s="141" t="e">
        <f t="shared" ca="1" si="56"/>
        <v>#NAME?</v>
      </c>
      <c r="J61" s="141" t="e">
        <f t="shared" ca="1" si="56"/>
        <v>#NAME?</v>
      </c>
      <c r="K61" s="141" t="e">
        <f t="shared" ca="1" si="56"/>
        <v>#NAME?</v>
      </c>
      <c r="L61" s="141" t="e">
        <f t="shared" ca="1" si="56"/>
        <v>#NAME?</v>
      </c>
      <c r="M61" s="141" t="e">
        <f t="shared" ca="1" si="56"/>
        <v>#NAME?</v>
      </c>
      <c r="N61" s="141"/>
      <c r="O61" s="141" t="e">
        <f ca="1">IF(O60&gt;0.05,"NS",IF(O60&gt;0.01,"*",IF(O60&gt;0.001,"**","***")))</f>
        <v>#NAME?</v>
      </c>
      <c r="P61" s="141" t="e">
        <f ca="1">IF(P60&gt;0.05,"NS",IF(P60&gt;0.01,"*",IF(P60&gt;0.001,"**","***")))</f>
        <v>#NAME?</v>
      </c>
      <c r="Q61" s="141" t="e">
        <f t="shared" ref="Q61" ca="1" si="57">IF(Q60&gt;0.05,"NS",IF(Q60&gt;0.01,"*",IF(Q60&gt;0.001,"**","***")))</f>
        <v>#NAME?</v>
      </c>
      <c r="R61" s="141" t="e">
        <f t="shared" ref="R61" ca="1" si="58">IF(R60&gt;0.05,"NS",IF(R60&gt;0.01,"*",IF(R60&gt;0.001,"**","***")))</f>
        <v>#NAME?</v>
      </c>
      <c r="S61" s="141" t="e">
        <f t="shared" ref="S61" ca="1" si="59">IF(S60&gt;0.05,"NS",IF(S60&gt;0.01,"*",IF(S60&gt;0.001,"**","***")))</f>
        <v>#NAME?</v>
      </c>
      <c r="T61" s="141" t="e">
        <f t="shared" ref="T61" ca="1" si="60">IF(T60&gt;0.05,"NS",IF(T60&gt;0.01,"*",IF(T60&gt;0.001,"**","***")))</f>
        <v>#NAME?</v>
      </c>
      <c r="U61" s="141" t="e">
        <f t="shared" ref="U61" ca="1" si="61">IF(U60&gt;0.05,"NS",IF(U60&gt;0.01,"*",IF(U60&gt;0.001,"**","***")))</f>
        <v>#NAME?</v>
      </c>
      <c r="V61" s="141" t="e">
        <f t="shared" ref="V61" ca="1" si="62">IF(V60&gt;0.05,"NS",IF(V60&gt;0.01,"*",IF(V60&gt;0.001,"**","***")))</f>
        <v>#NAME?</v>
      </c>
    </row>
    <row r="63" spans="1:22" x14ac:dyDescent="0.3">
      <c r="A63" s="2" t="s">
        <v>39</v>
      </c>
    </row>
    <row r="64" spans="1:22" x14ac:dyDescent="0.3">
      <c r="A64" s="1" t="s">
        <v>23</v>
      </c>
      <c r="B64" s="1">
        <f>B46+(3*B47)</f>
        <v>7.0722763855407864E-2</v>
      </c>
    </row>
    <row r="65" spans="1:22" x14ac:dyDescent="0.3">
      <c r="A65" s="1" t="s">
        <v>24</v>
      </c>
      <c r="B65" s="1">
        <f>B46+(10*B47)</f>
        <v>0.18346915594691837</v>
      </c>
    </row>
    <row r="66" spans="1:22" ht="15" thickBot="1" x14ac:dyDescent="0.35"/>
    <row r="67" spans="1:22" s="1" customFormat="1" ht="26.4" thickBot="1" x14ac:dyDescent="0.55000000000000004">
      <c r="A67" s="218" t="s">
        <v>52</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H1" zoomScale="70" zoomScaleNormal="70" workbookViewId="0">
      <selection activeCell="X5" sqref="X5:X12"/>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J1" s="1" t="s">
        <v>1487</v>
      </c>
      <c r="K1" s="195" t="s">
        <v>112</v>
      </c>
      <c r="L1" s="193"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Evian + 0.2% DMSO</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93" t="s">
        <v>1516</v>
      </c>
      <c r="D2" s="193" t="s">
        <v>1517</v>
      </c>
      <c r="E2" s="193" t="s">
        <v>1518</v>
      </c>
      <c r="F2" s="193" t="s">
        <v>112</v>
      </c>
      <c r="G2" s="193">
        <v>824813</v>
      </c>
      <c r="H2" s="193"/>
      <c r="I2" s="193"/>
      <c r="J2" s="193"/>
      <c r="K2" s="153" t="s">
        <v>120</v>
      </c>
      <c r="L2" s="153"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Evian + 0.2% DMSO</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93" t="s">
        <v>1519</v>
      </c>
      <c r="D3" s="193" t="s">
        <v>1520</v>
      </c>
      <c r="E3" s="193" t="s">
        <v>1521</v>
      </c>
      <c r="F3" s="193" t="s">
        <v>112</v>
      </c>
      <c r="G3" s="193">
        <v>134257</v>
      </c>
      <c r="H3" s="193"/>
      <c r="I3" s="193"/>
      <c r="J3" s="193"/>
      <c r="K3" s="195" t="s">
        <v>153</v>
      </c>
      <c r="L3" s="195"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Evian + 0.2% DMSO</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93" t="s">
        <v>1522</v>
      </c>
      <c r="D4" s="193" t="s">
        <v>1523</v>
      </c>
      <c r="E4" s="193" t="s">
        <v>1524</v>
      </c>
      <c r="F4" s="193" t="s">
        <v>112</v>
      </c>
      <c r="G4" s="193">
        <v>233603</v>
      </c>
      <c r="H4" s="193"/>
      <c r="I4" s="193"/>
      <c r="J4" s="193"/>
      <c r="K4" s="195" t="s">
        <v>100</v>
      </c>
      <c r="L4" s="193" t="s">
        <v>2983</v>
      </c>
      <c r="M4" s="193" t="s">
        <v>2984</v>
      </c>
      <c r="N4" s="193" t="s">
        <v>2985</v>
      </c>
      <c r="O4" s="193" t="s">
        <v>1491</v>
      </c>
      <c r="P4" s="193" t="s">
        <v>1492</v>
      </c>
      <c r="Q4" s="193" t="s">
        <v>2986</v>
      </c>
      <c r="R4" s="193" t="s">
        <v>1494</v>
      </c>
      <c r="S4" s="193" t="s">
        <v>2987</v>
      </c>
      <c r="T4" s="193" t="s">
        <v>2988</v>
      </c>
      <c r="U4" s="193" t="s">
        <v>2989</v>
      </c>
      <c r="V4" s="193" t="s">
        <v>2990</v>
      </c>
      <c r="W4" s="193" t="s">
        <v>2991</v>
      </c>
      <c r="X4" s="193" t="s">
        <v>2992</v>
      </c>
      <c r="Y4" s="193" t="s">
        <v>2993</v>
      </c>
      <c r="Z4" s="193" t="s">
        <v>2994</v>
      </c>
      <c r="AA4" s="193" t="s">
        <v>2995</v>
      </c>
      <c r="AB4" s="193" t="s">
        <v>2996</v>
      </c>
      <c r="AC4" s="193" t="s">
        <v>2997</v>
      </c>
      <c r="AD4" s="193" t="s">
        <v>2998</v>
      </c>
      <c r="AE4" s="193" t="s">
        <v>2999</v>
      </c>
      <c r="AF4" s="193" t="s">
        <v>3000</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Evian + 0.2% DMSO</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93" t="s">
        <v>1525</v>
      </c>
      <c r="D5" s="193" t="s">
        <v>1526</v>
      </c>
      <c r="E5" s="193" t="s">
        <v>1527</v>
      </c>
      <c r="F5" s="193" t="s">
        <v>112</v>
      </c>
      <c r="G5" s="193">
        <v>621838</v>
      </c>
      <c r="H5" s="193"/>
      <c r="I5" s="193"/>
      <c r="J5" s="193"/>
      <c r="K5" s="196" t="s">
        <v>163</v>
      </c>
      <c r="L5" s="194">
        <v>397557.66666666669</v>
      </c>
      <c r="M5" s="194">
        <v>467595</v>
      </c>
      <c r="N5" s="194">
        <v>391522.66666666669</v>
      </c>
      <c r="O5" s="194">
        <v>361017.33333333331</v>
      </c>
      <c r="P5" s="194">
        <v>1386007.6666666667</v>
      </c>
      <c r="Q5" s="194">
        <v>5394308</v>
      </c>
      <c r="R5" s="194">
        <v>7071461.333333333</v>
      </c>
      <c r="S5" s="194">
        <v>188165.66666666666</v>
      </c>
      <c r="T5" s="194">
        <v>635364</v>
      </c>
      <c r="U5" s="194">
        <v>232542.66666666666</v>
      </c>
      <c r="V5" s="194">
        <v>234562</v>
      </c>
      <c r="W5" s="194">
        <v>563278.66666666663</v>
      </c>
      <c r="X5" s="194">
        <v>3159284</v>
      </c>
      <c r="Y5" s="194">
        <v>578354.33333333337</v>
      </c>
      <c r="Z5" s="194">
        <v>4646382.333333333</v>
      </c>
      <c r="AA5" s="194">
        <v>564864.66666666663</v>
      </c>
      <c r="AB5" s="194">
        <v>3052727.6666666665</v>
      </c>
      <c r="AC5" s="194">
        <v>1833039.6666666667</v>
      </c>
      <c r="AD5" s="194">
        <v>2678956</v>
      </c>
      <c r="AE5" s="194">
        <v>3954954.3333333335</v>
      </c>
      <c r="AF5" s="194">
        <v>2888225.3333333335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Evian + 0.2% DMSO</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93" t="s">
        <v>1528</v>
      </c>
      <c r="D6" s="193" t="s">
        <v>1529</v>
      </c>
      <c r="E6" s="193" t="s">
        <v>1530</v>
      </c>
      <c r="F6" s="193" t="s">
        <v>112</v>
      </c>
      <c r="G6" s="193">
        <v>31169</v>
      </c>
      <c r="H6" s="193"/>
      <c r="I6" s="193"/>
      <c r="J6" s="193"/>
      <c r="K6" s="196" t="s">
        <v>1509</v>
      </c>
      <c r="L6" s="194">
        <v>223574</v>
      </c>
      <c r="M6" s="194">
        <v>322862</v>
      </c>
      <c r="N6" s="194">
        <v>420983</v>
      </c>
      <c r="O6" s="194">
        <v>263409</v>
      </c>
      <c r="P6" s="194">
        <v>1387665.6666666667</v>
      </c>
      <c r="Q6" s="194">
        <v>285803</v>
      </c>
      <c r="R6" s="194">
        <v>5408057.333333333</v>
      </c>
      <c r="S6" s="194">
        <v>194568</v>
      </c>
      <c r="T6" s="194">
        <v>347131</v>
      </c>
      <c r="U6" s="194">
        <v>124862.33333333333</v>
      </c>
      <c r="V6" s="194">
        <v>9271.6666666666661</v>
      </c>
      <c r="W6" s="194">
        <v>497531</v>
      </c>
      <c r="X6" s="194">
        <v>1188065</v>
      </c>
      <c r="Y6" s="194">
        <v>985191.33333333337</v>
      </c>
      <c r="Z6" s="194">
        <v>558750.66666666663</v>
      </c>
      <c r="AA6" s="194">
        <v>519117.33333333331</v>
      </c>
      <c r="AB6" s="194">
        <v>2917959.3333333335</v>
      </c>
      <c r="AC6" s="194">
        <v>1827336.6666666667</v>
      </c>
      <c r="AD6" s="194">
        <v>2541339.6666666665</v>
      </c>
      <c r="AE6" s="194">
        <v>1398834.3333333333</v>
      </c>
      <c r="AF6" s="194">
        <v>2431632.6666666665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Evian + 0.2% DMSO</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93" t="s">
        <v>1531</v>
      </c>
      <c r="D7" s="193" t="s">
        <v>1532</v>
      </c>
      <c r="E7" s="193">
        <v>63</v>
      </c>
      <c r="F7" s="193" t="s">
        <v>112</v>
      </c>
      <c r="G7" s="193">
        <v>17715</v>
      </c>
      <c r="H7" s="193"/>
      <c r="I7" s="193"/>
      <c r="J7" s="193"/>
      <c r="K7" s="196" t="s">
        <v>1510</v>
      </c>
      <c r="L7" s="194">
        <v>103340.33333333333</v>
      </c>
      <c r="M7" s="194">
        <v>124033</v>
      </c>
      <c r="N7" s="194">
        <v>72416.666666666672</v>
      </c>
      <c r="O7" s="194">
        <v>83686.333333333328</v>
      </c>
      <c r="P7" s="194">
        <v>1126268.6666666667</v>
      </c>
      <c r="Q7" s="194">
        <v>2564974</v>
      </c>
      <c r="R7" s="194">
        <v>5385202.333333333</v>
      </c>
      <c r="S7" s="194">
        <v>87471.333333333328</v>
      </c>
      <c r="T7" s="194">
        <v>117695.33333333333</v>
      </c>
      <c r="U7" s="194">
        <v>1222492.6666666667</v>
      </c>
      <c r="V7" s="194">
        <v>180371.66666666666</v>
      </c>
      <c r="W7" s="194">
        <v>114645.66666666667</v>
      </c>
      <c r="X7" s="194"/>
      <c r="Y7" s="194">
        <v>3794280</v>
      </c>
      <c r="Z7" s="194">
        <v>2293223.3333333335</v>
      </c>
      <c r="AA7" s="194">
        <v>163219</v>
      </c>
      <c r="AB7" s="194">
        <v>1392143.3333333333</v>
      </c>
      <c r="AC7" s="194">
        <v>467321.33333333331</v>
      </c>
      <c r="AD7" s="194">
        <v>3745634.3333333335</v>
      </c>
      <c r="AE7" s="194">
        <v>222824</v>
      </c>
      <c r="AF7" s="194">
        <v>3191310.6666666665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Evian + 0.2% DMSO</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93" t="s">
        <v>1533</v>
      </c>
      <c r="D8" s="193" t="s">
        <v>1534</v>
      </c>
      <c r="E8" s="193" t="s">
        <v>1535</v>
      </c>
      <c r="F8" s="193" t="s">
        <v>112</v>
      </c>
      <c r="G8" s="193">
        <v>212795</v>
      </c>
      <c r="H8" s="193"/>
      <c r="I8" s="193"/>
      <c r="J8" s="193"/>
      <c r="K8" s="196" t="s">
        <v>1511</v>
      </c>
      <c r="L8" s="194">
        <v>42517</v>
      </c>
      <c r="M8" s="194">
        <v>304470</v>
      </c>
      <c r="N8" s="194">
        <v>320713.66666666669</v>
      </c>
      <c r="O8" s="194">
        <v>352747.66666666669</v>
      </c>
      <c r="P8" s="194">
        <v>1252962</v>
      </c>
      <c r="Q8" s="194">
        <v>3276381</v>
      </c>
      <c r="R8" s="194">
        <v>5425736.666666667</v>
      </c>
      <c r="S8" s="194">
        <v>60556.333333333336</v>
      </c>
      <c r="T8" s="194">
        <v>724709.66666666663</v>
      </c>
      <c r="U8" s="194">
        <v>177213.66666666666</v>
      </c>
      <c r="V8" s="194">
        <v>100788.33333333333</v>
      </c>
      <c r="W8" s="194">
        <v>285774.33333333331</v>
      </c>
      <c r="X8" s="194">
        <v>1520444.6666666667</v>
      </c>
      <c r="Y8" s="194"/>
      <c r="Z8" s="194">
        <v>4915069.333333333</v>
      </c>
      <c r="AA8" s="194">
        <v>55942.333333333336</v>
      </c>
      <c r="AB8" s="194">
        <v>1948997.6666666667</v>
      </c>
      <c r="AC8" s="194">
        <v>1079418.5</v>
      </c>
      <c r="AD8" s="194">
        <v>4017918.6666666665</v>
      </c>
      <c r="AE8" s="194">
        <v>2826652.3333333335</v>
      </c>
      <c r="AF8" s="194">
        <v>1496897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Evian + 0.2% DMSO</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93" t="s">
        <v>1536</v>
      </c>
      <c r="D9" s="193" t="s">
        <v>1537</v>
      </c>
      <c r="E9" s="193">
        <v>63</v>
      </c>
      <c r="F9" s="193" t="s">
        <v>112</v>
      </c>
      <c r="G9" s="193">
        <v>20440</v>
      </c>
      <c r="H9" s="193"/>
      <c r="I9" s="193"/>
      <c r="J9" s="193"/>
      <c r="K9" s="196" t="s">
        <v>1512</v>
      </c>
      <c r="L9" s="194">
        <v>174870.66666666666</v>
      </c>
      <c r="M9" s="194">
        <v>17855</v>
      </c>
      <c r="N9" s="194">
        <v>197683</v>
      </c>
      <c r="O9" s="194">
        <v>334733.5</v>
      </c>
      <c r="P9" s="194">
        <v>1024889.3333333334</v>
      </c>
      <c r="Q9" s="194">
        <v>2371220.6666666665</v>
      </c>
      <c r="R9" s="194">
        <v>6310010</v>
      </c>
      <c r="S9" s="194">
        <v>133593.33333333334</v>
      </c>
      <c r="T9" s="194">
        <v>282969.33333333331</v>
      </c>
      <c r="U9" s="194">
        <v>999899.33333333337</v>
      </c>
      <c r="V9" s="194">
        <v>341146.66666666669</v>
      </c>
      <c r="W9" s="194">
        <v>98848.666666666672</v>
      </c>
      <c r="X9" s="194">
        <v>1193797.3333333333</v>
      </c>
      <c r="Y9" s="194">
        <v>2083377</v>
      </c>
      <c r="Z9" s="194">
        <v>3614665.3333333335</v>
      </c>
      <c r="AA9" s="194">
        <v>490869</v>
      </c>
      <c r="AB9" s="194">
        <v>1802743.3333333333</v>
      </c>
      <c r="AC9" s="194">
        <v>1229335</v>
      </c>
      <c r="AD9" s="194">
        <v>1121056</v>
      </c>
      <c r="AE9" s="194">
        <v>2800718</v>
      </c>
      <c r="AF9" s="194">
        <v>613965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Evian + 0.2% DMSO</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93" t="s">
        <v>1538</v>
      </c>
      <c r="D10" s="193" t="s">
        <v>1539</v>
      </c>
      <c r="E10" s="193" t="s">
        <v>1540</v>
      </c>
      <c r="F10" s="193" t="s">
        <v>112</v>
      </c>
      <c r="G10" s="193">
        <v>76786</v>
      </c>
      <c r="H10" s="193"/>
      <c r="I10" s="193"/>
      <c r="J10" s="193"/>
      <c r="K10" s="196" t="s">
        <v>1513</v>
      </c>
      <c r="L10" s="194">
        <v>18695.333333333332</v>
      </c>
      <c r="M10" s="194">
        <v>768063.33333333337</v>
      </c>
      <c r="N10" s="194">
        <v>79634.333333333328</v>
      </c>
      <c r="O10" s="194">
        <v>408458.66666666669</v>
      </c>
      <c r="P10" s="194">
        <v>50693.333333333336</v>
      </c>
      <c r="Q10" s="194">
        <v>3463090.3333333335</v>
      </c>
      <c r="R10" s="194">
        <v>6732456</v>
      </c>
      <c r="S10" s="194">
        <v>165137</v>
      </c>
      <c r="T10" s="194">
        <v>214597</v>
      </c>
      <c r="U10" s="194">
        <v>307555.33333333331</v>
      </c>
      <c r="V10" s="194">
        <v>132187.33333333334</v>
      </c>
      <c r="W10" s="194">
        <v>308860.33333333331</v>
      </c>
      <c r="X10" s="194">
        <v>1633129.3333333333</v>
      </c>
      <c r="Y10" s="194">
        <v>1351356.6666666667</v>
      </c>
      <c r="Z10" s="194">
        <v>3346130</v>
      </c>
      <c r="AA10" s="194">
        <v>453499.66666666669</v>
      </c>
      <c r="AB10" s="194">
        <v>4203229.333333333</v>
      </c>
      <c r="AC10" s="194">
        <v>1133723.6666666667</v>
      </c>
      <c r="AD10" s="194">
        <v>2555716</v>
      </c>
      <c r="AE10" s="194">
        <v>2925681.3333333335</v>
      </c>
      <c r="AF10" s="194">
        <v>2037197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Evian + 0.2% DMSO</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93" t="s">
        <v>1541</v>
      </c>
      <c r="D11" s="193" t="s">
        <v>1532</v>
      </c>
      <c r="E11" s="193" t="s">
        <v>172</v>
      </c>
      <c r="F11" s="193" t="s">
        <v>112</v>
      </c>
      <c r="G11" s="193">
        <v>17758</v>
      </c>
      <c r="H11" s="193"/>
      <c r="I11" s="193"/>
      <c r="J11" s="193"/>
      <c r="K11" s="196" t="s">
        <v>1514</v>
      </c>
      <c r="L11" s="194">
        <v>78473.333333333328</v>
      </c>
      <c r="M11" s="194">
        <v>368732</v>
      </c>
      <c r="N11" s="194">
        <v>233516.33333333334</v>
      </c>
      <c r="O11" s="194">
        <v>153298.33333333334</v>
      </c>
      <c r="P11" s="194">
        <v>1364760</v>
      </c>
      <c r="Q11" s="194">
        <v>2073809.3333333333</v>
      </c>
      <c r="R11" s="194">
        <v>2846321.5</v>
      </c>
      <c r="S11" s="194">
        <v>292285</v>
      </c>
      <c r="T11" s="194">
        <v>288132</v>
      </c>
      <c r="U11" s="194">
        <v>26179.333333333332</v>
      </c>
      <c r="V11" s="194">
        <v>1092951.3333333333</v>
      </c>
      <c r="W11" s="194">
        <v>22574.333333333332</v>
      </c>
      <c r="X11" s="194">
        <v>1429541.3333333333</v>
      </c>
      <c r="Y11" s="194">
        <v>3889761.6666666665</v>
      </c>
      <c r="Z11" s="194">
        <v>4327579.333333333</v>
      </c>
      <c r="AA11" s="194">
        <v>224071.33333333334</v>
      </c>
      <c r="AB11" s="194">
        <v>2279704.3333333335</v>
      </c>
      <c r="AC11" s="194">
        <v>2635639</v>
      </c>
      <c r="AD11" s="194">
        <v>3720190.3333333335</v>
      </c>
      <c r="AE11" s="194">
        <v>2694032.3333333335</v>
      </c>
      <c r="AF11" s="194">
        <v>2732785.6666666665</v>
      </c>
      <c r="AG11"/>
    </row>
    <row r="12" spans="1:144" x14ac:dyDescent="0.3">
      <c r="A12" s="1" t="str">
        <f t="shared" si="0"/>
        <v>01 Evian + 0.2% DMSO</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93" t="s">
        <v>1542</v>
      </c>
      <c r="D12" s="193" t="s">
        <v>1543</v>
      </c>
      <c r="E12" s="193" t="s">
        <v>1544</v>
      </c>
      <c r="F12" s="193" t="s">
        <v>112</v>
      </c>
      <c r="G12" s="193">
        <v>93138</v>
      </c>
      <c r="H12" s="193"/>
      <c r="I12" s="193"/>
      <c r="J12" s="193"/>
      <c r="K12" s="196" t="s">
        <v>1515</v>
      </c>
      <c r="L12" s="194">
        <v>37917.333333333336</v>
      </c>
      <c r="M12" s="194">
        <v>7578</v>
      </c>
      <c r="N12" s="194">
        <v>133124.66666666666</v>
      </c>
      <c r="O12" s="194">
        <v>604678</v>
      </c>
      <c r="P12" s="194">
        <v>1421495</v>
      </c>
      <c r="Q12" s="194">
        <v>2132080.3333333335</v>
      </c>
      <c r="R12" s="194">
        <v>1256415.6666666667</v>
      </c>
      <c r="S12" s="194">
        <v>12112.666666666666</v>
      </c>
      <c r="T12" s="194">
        <v>184892</v>
      </c>
      <c r="U12" s="194">
        <v>102929.66666666667</v>
      </c>
      <c r="V12" s="194">
        <v>481405.5</v>
      </c>
      <c r="W12" s="194">
        <v>52741</v>
      </c>
      <c r="X12" s="194">
        <v>3315646.3333333335</v>
      </c>
      <c r="Y12" s="194">
        <v>2658343.3333333335</v>
      </c>
      <c r="Z12" s="194">
        <v>170587.66666666666</v>
      </c>
      <c r="AA12" s="194">
        <v>113636.33333333333</v>
      </c>
      <c r="AB12" s="194">
        <v>2559580.6666666665</v>
      </c>
      <c r="AC12" s="194">
        <v>344924.66666666669</v>
      </c>
      <c r="AD12" s="194">
        <v>625861.33333333337</v>
      </c>
      <c r="AE12" s="194">
        <v>2175989.3333333335</v>
      </c>
      <c r="AF12" s="194">
        <v>2257137</v>
      </c>
      <c r="AG12"/>
    </row>
    <row r="13" spans="1:144" x14ac:dyDescent="0.3">
      <c r="A13" s="1" t="str">
        <f t="shared" si="0"/>
        <v>01 Evian + 0.2% DMSO</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93" t="s">
        <v>1545</v>
      </c>
      <c r="D13" s="193" t="s">
        <v>1546</v>
      </c>
      <c r="E13" s="193" t="s">
        <v>1547</v>
      </c>
      <c r="F13" s="193" t="s">
        <v>112</v>
      </c>
      <c r="G13" s="193">
        <v>16655</v>
      </c>
      <c r="H13" s="193"/>
      <c r="I13" s="193"/>
      <c r="J13" s="193"/>
      <c r="K13"/>
      <c r="L13"/>
      <c r="M13"/>
      <c r="N13"/>
      <c r="O13"/>
      <c r="P13"/>
      <c r="Q13"/>
      <c r="R13"/>
      <c r="S13"/>
      <c r="T13"/>
      <c r="U13"/>
      <c r="V13"/>
      <c r="W13"/>
      <c r="X13"/>
      <c r="Y13"/>
      <c r="Z13"/>
      <c r="AA13"/>
      <c r="AB13"/>
      <c r="AC13"/>
      <c r="AD13"/>
      <c r="AE13"/>
      <c r="AF13"/>
      <c r="AG13"/>
    </row>
    <row r="14" spans="1:144" x14ac:dyDescent="0.3">
      <c r="A14" s="1" t="str">
        <f t="shared" si="0"/>
        <v>01 Evian + 0.2% DMSO</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93" t="s">
        <v>1548</v>
      </c>
      <c r="D14" s="193" t="s">
        <v>1549</v>
      </c>
      <c r="E14" s="193" t="s">
        <v>1550</v>
      </c>
      <c r="F14" s="193" t="s">
        <v>112</v>
      </c>
      <c r="G14" s="193">
        <v>160667</v>
      </c>
      <c r="H14" s="193"/>
      <c r="I14" s="193"/>
      <c r="J14" s="193"/>
      <c r="K14"/>
      <c r="L14"/>
      <c r="M14"/>
      <c r="N14"/>
      <c r="O14"/>
      <c r="P14"/>
      <c r="Q14"/>
      <c r="R14"/>
      <c r="S14"/>
      <c r="T14"/>
      <c r="U14"/>
      <c r="V14"/>
      <c r="W14"/>
      <c r="X14"/>
      <c r="Y14"/>
      <c r="Z14"/>
      <c r="AA14"/>
      <c r="AB14"/>
      <c r="AC14"/>
      <c r="AD14"/>
      <c r="AE14"/>
      <c r="AF14"/>
      <c r="AG14"/>
    </row>
    <row r="15" spans="1:144" x14ac:dyDescent="0.3">
      <c r="A15" s="1" t="str">
        <f t="shared" si="0"/>
        <v>01 Evian + 0.2% DMSO</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93" t="s">
        <v>1551</v>
      </c>
      <c r="D15" s="193" t="s">
        <v>1552</v>
      </c>
      <c r="E15" s="193" t="s">
        <v>1553</v>
      </c>
      <c r="F15" s="193" t="s">
        <v>112</v>
      </c>
      <c r="G15" s="193">
        <v>91473</v>
      </c>
      <c r="H15" s="193"/>
      <c r="I15" s="193"/>
      <c r="J15" s="193"/>
    </row>
    <row r="16" spans="1:144" x14ac:dyDescent="0.3">
      <c r="A16" s="1" t="str">
        <f t="shared" si="0"/>
        <v>01 Evian + 0.2% DMSO</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93" t="s">
        <v>1554</v>
      </c>
      <c r="D16" s="193" t="s">
        <v>1555</v>
      </c>
      <c r="E16" s="193" t="s">
        <v>1556</v>
      </c>
      <c r="F16" s="193" t="s">
        <v>112</v>
      </c>
      <c r="G16" s="193">
        <v>272472</v>
      </c>
      <c r="H16" s="193"/>
      <c r="I16" s="193"/>
      <c r="J16" s="193"/>
    </row>
    <row r="17" spans="1:10" x14ac:dyDescent="0.3">
      <c r="A17" s="1" t="str">
        <f t="shared" si="0"/>
        <v>01 Evian + 0.2% DMSO</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93" t="s">
        <v>1557</v>
      </c>
      <c r="D17" s="193" t="s">
        <v>1558</v>
      </c>
      <c r="E17" s="193" t="s">
        <v>765</v>
      </c>
      <c r="F17" s="193" t="s">
        <v>112</v>
      </c>
      <c r="G17" s="193">
        <v>21889</v>
      </c>
      <c r="H17" s="193"/>
      <c r="I17" s="193"/>
      <c r="J17" s="193"/>
    </row>
    <row r="18" spans="1:10" x14ac:dyDescent="0.3">
      <c r="A18" s="1" t="str">
        <f t="shared" si="0"/>
        <v>01 Evian + 0.2% DMSO</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93" t="s">
        <v>1559</v>
      </c>
      <c r="D18" s="193" t="s">
        <v>1560</v>
      </c>
      <c r="E18" s="193" t="s">
        <v>1561</v>
      </c>
      <c r="F18" s="193" t="s">
        <v>112</v>
      </c>
      <c r="G18" s="193">
        <v>24507</v>
      </c>
      <c r="H18" s="193"/>
      <c r="I18" s="193"/>
      <c r="J18" s="193"/>
    </row>
    <row r="19" spans="1:10" x14ac:dyDescent="0.3">
      <c r="A19" s="1" t="str">
        <f t="shared" si="0"/>
        <v>01 Evian + 0.2% DMSO</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93" t="s">
        <v>1562</v>
      </c>
      <c r="D19" s="193" t="s">
        <v>1563</v>
      </c>
      <c r="E19" s="193">
        <v>64</v>
      </c>
      <c r="F19" s="193" t="s">
        <v>112</v>
      </c>
      <c r="G19" s="193">
        <v>9690</v>
      </c>
      <c r="H19" s="193"/>
      <c r="I19" s="193"/>
      <c r="J19" s="193"/>
    </row>
    <row r="20" spans="1:10" x14ac:dyDescent="0.3">
      <c r="A20" s="1" t="str">
        <f t="shared" si="0"/>
        <v>01 Evian + 0.2% DMSO</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93" t="s">
        <v>1564</v>
      </c>
      <c r="D20" s="193" t="s">
        <v>1565</v>
      </c>
      <c r="E20" s="193" t="s">
        <v>1566</v>
      </c>
      <c r="F20" s="193" t="s">
        <v>112</v>
      </c>
      <c r="G20" s="193">
        <v>149095</v>
      </c>
      <c r="H20" s="193"/>
      <c r="I20" s="193"/>
      <c r="J20" s="193"/>
    </row>
    <row r="21" spans="1:10" x14ac:dyDescent="0.3">
      <c r="A21" s="1" t="str">
        <f t="shared" si="0"/>
        <v>01 Evian + 0.2% DMSO</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93" t="s">
        <v>1567</v>
      </c>
      <c r="D21" s="193" t="s">
        <v>1568</v>
      </c>
      <c r="E21" s="193" t="s">
        <v>1569</v>
      </c>
      <c r="F21" s="193" t="s">
        <v>112</v>
      </c>
      <c r="G21" s="193">
        <v>54940</v>
      </c>
      <c r="H21" s="193"/>
      <c r="I21" s="193"/>
      <c r="J21" s="193"/>
    </row>
    <row r="22" spans="1:10" x14ac:dyDescent="0.3">
      <c r="A22" s="1" t="str">
        <f t="shared" si="0"/>
        <v>01 Evian + 0.2% DMSO</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93" t="s">
        <v>1570</v>
      </c>
      <c r="D22" s="193" t="s">
        <v>1529</v>
      </c>
      <c r="E22" s="193" t="s">
        <v>1571</v>
      </c>
      <c r="F22" s="193" t="s">
        <v>112</v>
      </c>
      <c r="G22" s="193">
        <v>31385</v>
      </c>
      <c r="H22" s="193"/>
      <c r="I22" s="193"/>
      <c r="J22" s="193"/>
    </row>
    <row r="23" spans="1:10" x14ac:dyDescent="0.3">
      <c r="A23" s="1" t="str">
        <f t="shared" si="0"/>
        <v>01 Evian + 0.2% DMSO</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93" t="s">
        <v>1572</v>
      </c>
      <c r="D23" s="193" t="s">
        <v>1573</v>
      </c>
      <c r="E23" s="193" t="s">
        <v>1574</v>
      </c>
      <c r="F23" s="193" t="s">
        <v>112</v>
      </c>
      <c r="G23" s="193">
        <v>6943</v>
      </c>
      <c r="H23" s="193"/>
      <c r="I23" s="193"/>
      <c r="J23" s="193"/>
    </row>
    <row r="24" spans="1:10" x14ac:dyDescent="0.3">
      <c r="A24" s="1" t="str">
        <f t="shared" si="0"/>
        <v>01 Evian + 0.2% DMSO</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93" t="s">
        <v>1575</v>
      </c>
      <c r="D24" s="193" t="s">
        <v>1576</v>
      </c>
      <c r="E24" s="193" t="s">
        <v>1577</v>
      </c>
      <c r="F24" s="193" t="s">
        <v>112</v>
      </c>
      <c r="G24" s="193">
        <v>97313</v>
      </c>
      <c r="H24" s="193"/>
      <c r="I24" s="193"/>
      <c r="J24" s="193"/>
    </row>
    <row r="25" spans="1:10" x14ac:dyDescent="0.3">
      <c r="A25" s="1" t="str">
        <f t="shared" si="0"/>
        <v>01 Evian + 0.2% DMSO</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93" t="s">
        <v>1578</v>
      </c>
      <c r="D25" s="193" t="s">
        <v>1563</v>
      </c>
      <c r="E25" s="193" t="s">
        <v>1579</v>
      </c>
      <c r="F25" s="193" t="s">
        <v>112</v>
      </c>
      <c r="G25" s="193">
        <v>9496</v>
      </c>
      <c r="H25" s="193"/>
      <c r="I25" s="193"/>
      <c r="J25" s="193"/>
    </row>
    <row r="26" spans="1:10" x14ac:dyDescent="0.3">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93" t="s">
        <v>112</v>
      </c>
      <c r="D26" s="193"/>
      <c r="E26" s="193"/>
      <c r="F26" s="193"/>
      <c r="G26" s="193"/>
      <c r="H26" s="193"/>
      <c r="I26" s="193"/>
      <c r="J26" s="193"/>
    </row>
    <row r="27" spans="1:10" x14ac:dyDescent="0.3">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93" t="s">
        <v>229</v>
      </c>
      <c r="D27" s="193" t="s">
        <v>112</v>
      </c>
      <c r="E27" s="193" t="s">
        <v>230</v>
      </c>
      <c r="F27" s="193" t="s">
        <v>231</v>
      </c>
      <c r="G27" s="193" t="s">
        <v>232</v>
      </c>
      <c r="H27" s="193" t="s">
        <v>233</v>
      </c>
      <c r="I27" s="193" t="s">
        <v>234</v>
      </c>
      <c r="J27" s="193" t="s">
        <v>235</v>
      </c>
    </row>
    <row r="28" spans="1:10" x14ac:dyDescent="0.3">
      <c r="A28" s="1" t="str">
        <f t="shared" si="0"/>
        <v>01 Evian + 0.2% DMSO</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93" t="s">
        <v>1580</v>
      </c>
      <c r="D28" s="193" t="s">
        <v>112</v>
      </c>
      <c r="E28" s="193" t="s">
        <v>1581</v>
      </c>
      <c r="F28" s="193" t="s">
        <v>1582</v>
      </c>
      <c r="G28" s="193" t="s">
        <v>1583</v>
      </c>
      <c r="H28" s="193" t="s">
        <v>1584</v>
      </c>
      <c r="I28" s="193">
        <v>24</v>
      </c>
      <c r="J28" s="193">
        <v>24</v>
      </c>
    </row>
    <row r="29" spans="1:10" x14ac:dyDescent="0.3">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93" t="s">
        <v>112</v>
      </c>
      <c r="D29" s="193"/>
      <c r="E29" s="193"/>
      <c r="F29" s="193"/>
      <c r="G29" s="193"/>
      <c r="H29" s="193"/>
      <c r="I29" s="193"/>
      <c r="J29" s="193"/>
    </row>
    <row r="30" spans="1:10" x14ac:dyDescent="0.3">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93" t="s">
        <v>112</v>
      </c>
      <c r="D30" s="193"/>
      <c r="E30" s="193"/>
      <c r="F30" s="193"/>
      <c r="G30" s="193"/>
      <c r="H30" s="193"/>
      <c r="I30" s="193"/>
      <c r="J30" s="193"/>
    </row>
    <row r="31" spans="1:10" x14ac:dyDescent="0.3">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93" t="s">
        <v>112</v>
      </c>
      <c r="D31" s="193"/>
      <c r="E31" s="193"/>
      <c r="F31" s="193"/>
      <c r="G31" s="193"/>
      <c r="H31" s="193"/>
      <c r="I31" s="193"/>
      <c r="J31" s="193"/>
    </row>
    <row r="32" spans="1:10" x14ac:dyDescent="0.3">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93" t="s">
        <v>112</v>
      </c>
      <c r="D32" s="193"/>
      <c r="E32" s="193"/>
      <c r="F32" s="193"/>
      <c r="G32" s="193"/>
      <c r="H32" s="193"/>
      <c r="I32" s="193"/>
      <c r="J32" s="193"/>
    </row>
    <row r="33" spans="1:7" x14ac:dyDescent="0.3">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93" t="s">
        <v>112</v>
      </c>
      <c r="D33" s="193"/>
      <c r="E33" s="193"/>
      <c r="F33" s="193"/>
      <c r="G33" s="193"/>
    </row>
    <row r="34" spans="1:7" x14ac:dyDescent="0.3">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93" t="s">
        <v>241</v>
      </c>
      <c r="D34" s="193" t="s">
        <v>110</v>
      </c>
      <c r="E34" s="193" t="s">
        <v>111</v>
      </c>
      <c r="F34" s="193" t="s">
        <v>112</v>
      </c>
      <c r="G34" s="193" t="s">
        <v>113</v>
      </c>
    </row>
    <row r="35" spans="1:7" x14ac:dyDescent="0.3">
      <c r="A35" s="1" t="str">
        <f t="shared" si="0"/>
        <v>02 EE2 33.8</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93" t="s">
        <v>1585</v>
      </c>
      <c r="D35" s="193" t="s">
        <v>1586</v>
      </c>
      <c r="E35" s="193" t="s">
        <v>1587</v>
      </c>
      <c r="F35" s="193" t="s">
        <v>112</v>
      </c>
      <c r="G35" s="193">
        <v>606524</v>
      </c>
    </row>
    <row r="36" spans="1:7" x14ac:dyDescent="0.3">
      <c r="A36" s="1" t="str">
        <f t="shared" si="0"/>
        <v>02 EE2 33.8</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93" t="s">
        <v>1588</v>
      </c>
      <c r="D36" s="193" t="s">
        <v>1589</v>
      </c>
      <c r="E36" s="193" t="s">
        <v>1590</v>
      </c>
      <c r="F36" s="193" t="s">
        <v>112</v>
      </c>
      <c r="G36" s="193">
        <v>339070</v>
      </c>
    </row>
    <row r="37" spans="1:7" x14ac:dyDescent="0.3">
      <c r="A37" s="1" t="str">
        <f t="shared" si="0"/>
        <v>02 EE2 33.8</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93" t="s">
        <v>1591</v>
      </c>
      <c r="D37" s="193" t="s">
        <v>1592</v>
      </c>
      <c r="E37" s="193" t="s">
        <v>1593</v>
      </c>
      <c r="F37" s="193" t="s">
        <v>112</v>
      </c>
      <c r="G37" s="193">
        <v>457191</v>
      </c>
    </row>
    <row r="38" spans="1:7" x14ac:dyDescent="0.3">
      <c r="A38" s="1" t="str">
        <f t="shared" si="0"/>
        <v>02 EE2 33.8</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93" t="s">
        <v>1594</v>
      </c>
      <c r="D38" s="193" t="s">
        <v>1592</v>
      </c>
      <c r="E38" s="193" t="s">
        <v>1595</v>
      </c>
      <c r="F38" s="193" t="s">
        <v>112</v>
      </c>
      <c r="G38" s="193">
        <v>452411</v>
      </c>
    </row>
    <row r="39" spans="1:7" x14ac:dyDescent="0.3">
      <c r="A39" s="1" t="str">
        <f t="shared" si="0"/>
        <v>02 EE2 33.8</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93" t="s">
        <v>1596</v>
      </c>
      <c r="D39" s="193" t="s">
        <v>148</v>
      </c>
      <c r="E39" s="193" t="s">
        <v>1597</v>
      </c>
      <c r="F39" s="193" t="s">
        <v>112</v>
      </c>
      <c r="G39" s="193">
        <v>368227</v>
      </c>
    </row>
    <row r="40" spans="1:7" x14ac:dyDescent="0.3">
      <c r="A40" s="1" t="str">
        <f t="shared" si="0"/>
        <v>02 EE2 33.8</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93" t="s">
        <v>1598</v>
      </c>
      <c r="D40" s="193" t="s">
        <v>1599</v>
      </c>
      <c r="E40" s="193" t="s">
        <v>1600</v>
      </c>
      <c r="F40" s="193" t="s">
        <v>112</v>
      </c>
      <c r="G40" s="193">
        <v>147948</v>
      </c>
    </row>
    <row r="41" spans="1:7" x14ac:dyDescent="0.3">
      <c r="A41" s="1" t="str">
        <f t="shared" si="0"/>
        <v>02 EE2 33.8</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93" t="s">
        <v>1601</v>
      </c>
      <c r="D41" s="193" t="s">
        <v>1602</v>
      </c>
      <c r="E41" s="193" t="s">
        <v>1603</v>
      </c>
      <c r="F41" s="193" t="s">
        <v>112</v>
      </c>
      <c r="G41" s="193">
        <v>197221</v>
      </c>
    </row>
    <row r="42" spans="1:7" x14ac:dyDescent="0.3">
      <c r="A42" s="1" t="str">
        <f t="shared" si="0"/>
        <v>02 EE2 33.8</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93" t="s">
        <v>1604</v>
      </c>
      <c r="D42" s="193" t="s">
        <v>1605</v>
      </c>
      <c r="E42" s="193" t="s">
        <v>1606</v>
      </c>
      <c r="F42" s="193" t="s">
        <v>112</v>
      </c>
      <c r="G42" s="193">
        <v>153313</v>
      </c>
    </row>
    <row r="43" spans="1:7" x14ac:dyDescent="0.3">
      <c r="A43" s="1" t="str">
        <f t="shared" si="0"/>
        <v>02 EE2 33.8</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93" t="s">
        <v>1607</v>
      </c>
      <c r="D43" s="193" t="s">
        <v>1558</v>
      </c>
      <c r="E43" s="193" t="s">
        <v>1608</v>
      </c>
      <c r="F43" s="193" t="s">
        <v>112</v>
      </c>
      <c r="G43" s="193">
        <v>21565</v>
      </c>
    </row>
    <row r="44" spans="1:7" x14ac:dyDescent="0.3">
      <c r="A44" s="1" t="str">
        <f t="shared" si="0"/>
        <v>02 EE2 33.8</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93" t="s">
        <v>1609</v>
      </c>
      <c r="D44" s="193" t="s">
        <v>1610</v>
      </c>
      <c r="E44" s="193" t="s">
        <v>1611</v>
      </c>
      <c r="F44" s="193" t="s">
        <v>112</v>
      </c>
      <c r="G44" s="193">
        <v>683981</v>
      </c>
    </row>
    <row r="45" spans="1:7" x14ac:dyDescent="0.3">
      <c r="A45" s="1" t="str">
        <f t="shared" si="0"/>
        <v>02 EE2 33.8</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93" t="s">
        <v>1612</v>
      </c>
      <c r="D45" s="193" t="s">
        <v>1613</v>
      </c>
      <c r="E45" s="193" t="s">
        <v>1614</v>
      </c>
      <c r="F45" s="193" t="s">
        <v>112</v>
      </c>
      <c r="G45" s="193">
        <v>56476</v>
      </c>
    </row>
    <row r="46" spans="1:7" x14ac:dyDescent="0.3">
      <c r="A46" s="1" t="str">
        <f t="shared" si="0"/>
        <v>02 EE2 33.8</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93" t="s">
        <v>1615</v>
      </c>
      <c r="D46" s="193" t="s">
        <v>1616</v>
      </c>
      <c r="E46" s="193" t="s">
        <v>1617</v>
      </c>
      <c r="F46" s="193" t="s">
        <v>112</v>
      </c>
      <c r="G46" s="193">
        <v>172953</v>
      </c>
    </row>
    <row r="47" spans="1:7" x14ac:dyDescent="0.3">
      <c r="A47" s="1" t="str">
        <f t="shared" si="0"/>
        <v>02 EE2 33.8</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93" t="s">
        <v>1618</v>
      </c>
      <c r="D47" s="193" t="s">
        <v>1537</v>
      </c>
      <c r="E47" s="193" t="s">
        <v>1619</v>
      </c>
      <c r="F47" s="193" t="s">
        <v>112</v>
      </c>
      <c r="G47" s="193">
        <v>20894</v>
      </c>
    </row>
    <row r="48" spans="1:7" x14ac:dyDescent="0.3">
      <c r="A48" s="1" t="str">
        <f t="shared" si="0"/>
        <v>02 EE2 33.8</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93" t="s">
        <v>1620</v>
      </c>
      <c r="D48" s="193"/>
      <c r="E48" s="193"/>
      <c r="F48" s="193"/>
      <c r="G48" s="193"/>
    </row>
    <row r="49" spans="1:10" x14ac:dyDescent="0.3">
      <c r="A49" s="1" t="str">
        <f t="shared" si="0"/>
        <v>02 EE2 33.8</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93" t="s">
        <v>1621</v>
      </c>
      <c r="D49" s="193" t="s">
        <v>1622</v>
      </c>
      <c r="E49" s="193" t="s">
        <v>1623</v>
      </c>
      <c r="F49" s="193" t="s">
        <v>112</v>
      </c>
      <c r="G49" s="193">
        <v>14816</v>
      </c>
      <c r="H49" s="193"/>
      <c r="I49" s="193"/>
      <c r="J49" s="193"/>
    </row>
    <row r="50" spans="1:10" x14ac:dyDescent="0.3">
      <c r="A50" s="1" t="str">
        <f t="shared" si="0"/>
        <v>02 EE2 33.8</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93" t="s">
        <v>1624</v>
      </c>
      <c r="D50" s="193" t="s">
        <v>1625</v>
      </c>
      <c r="E50" s="193" t="s">
        <v>1626</v>
      </c>
      <c r="F50" s="193" t="s">
        <v>112</v>
      </c>
      <c r="G50" s="193">
        <v>925457</v>
      </c>
      <c r="H50" s="193"/>
      <c r="I50" s="193"/>
      <c r="J50" s="193"/>
    </row>
    <row r="51" spans="1:10" x14ac:dyDescent="0.3">
      <c r="A51" s="1" t="str">
        <f t="shared" si="0"/>
        <v>02 EE2 33.8</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93" t="s">
        <v>1627</v>
      </c>
      <c r="D51" s="193" t="s">
        <v>1628</v>
      </c>
      <c r="E51" s="193" t="s">
        <v>1629</v>
      </c>
      <c r="F51" s="193" t="s">
        <v>112</v>
      </c>
      <c r="G51" s="193">
        <v>886350</v>
      </c>
      <c r="H51" s="193"/>
      <c r="I51" s="193"/>
      <c r="J51" s="193"/>
    </row>
    <row r="52" spans="1:10" x14ac:dyDescent="0.3">
      <c r="A52" s="1" t="str">
        <f t="shared" si="0"/>
        <v>02 EE2 33.8</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93" t="s">
        <v>1630</v>
      </c>
      <c r="D52" s="193" t="s">
        <v>1631</v>
      </c>
      <c r="E52" s="193" t="s">
        <v>1632</v>
      </c>
      <c r="F52" s="193" t="s">
        <v>112</v>
      </c>
      <c r="G52" s="193">
        <v>492383</v>
      </c>
      <c r="H52" s="193"/>
      <c r="I52" s="193"/>
      <c r="J52" s="193"/>
    </row>
    <row r="53" spans="1:10" x14ac:dyDescent="0.3">
      <c r="A53" s="1" t="str">
        <f t="shared" si="0"/>
        <v>02 EE2 33.8</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93" t="s">
        <v>1633</v>
      </c>
      <c r="D53" s="193" t="s">
        <v>1634</v>
      </c>
      <c r="E53" s="193" t="s">
        <v>1635</v>
      </c>
      <c r="F53" s="193" t="s">
        <v>112</v>
      </c>
      <c r="G53" s="193">
        <v>400261</v>
      </c>
      <c r="H53" s="193"/>
      <c r="I53" s="193"/>
      <c r="J53" s="193"/>
    </row>
    <row r="54" spans="1:10" x14ac:dyDescent="0.3">
      <c r="A54" s="1" t="str">
        <f t="shared" si="0"/>
        <v>02 EE2 33.8</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93" t="s">
        <v>1636</v>
      </c>
      <c r="D54" s="193" t="s">
        <v>1637</v>
      </c>
      <c r="E54" s="193" t="s">
        <v>1638</v>
      </c>
      <c r="F54" s="193" t="s">
        <v>112</v>
      </c>
      <c r="G54" s="193">
        <v>351551</v>
      </c>
      <c r="H54" s="193"/>
      <c r="I54" s="193"/>
      <c r="J54" s="193"/>
    </row>
    <row r="55" spans="1:10" x14ac:dyDescent="0.3">
      <c r="A55" s="1" t="str">
        <f t="shared" si="0"/>
        <v>02 EE2 33.8</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93" t="s">
        <v>1639</v>
      </c>
      <c r="D55" s="193" t="s">
        <v>1640</v>
      </c>
      <c r="E55" s="193">
        <v>64</v>
      </c>
      <c r="F55" s="193" t="s">
        <v>112</v>
      </c>
      <c r="G55" s="193">
        <v>354384</v>
      </c>
      <c r="H55" s="193"/>
      <c r="I55" s="193"/>
      <c r="J55" s="193"/>
    </row>
    <row r="56" spans="1:10" x14ac:dyDescent="0.3">
      <c r="A56" s="1" t="str">
        <f t="shared" si="0"/>
        <v>02 EE2 33.8</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93" t="s">
        <v>1641</v>
      </c>
      <c r="D56" s="193" t="s">
        <v>1642</v>
      </c>
      <c r="E56" s="193" t="s">
        <v>1643</v>
      </c>
      <c r="F56" s="193" t="s">
        <v>112</v>
      </c>
      <c r="G56" s="193">
        <v>6035</v>
      </c>
      <c r="H56" s="193"/>
      <c r="I56" s="193"/>
      <c r="J56" s="193"/>
    </row>
    <row r="57" spans="1:10" x14ac:dyDescent="0.3">
      <c r="A57" s="1" t="str">
        <f t="shared" si="0"/>
        <v>02 EE2 33.8</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93" t="s">
        <v>1644</v>
      </c>
      <c r="D57" s="193" t="s">
        <v>1573</v>
      </c>
      <c r="E57" s="193" t="s">
        <v>1141</v>
      </c>
      <c r="F57" s="193" t="s">
        <v>112</v>
      </c>
      <c r="G57" s="193">
        <v>6857</v>
      </c>
      <c r="H57" s="193"/>
      <c r="I57" s="193"/>
      <c r="J57" s="193"/>
    </row>
    <row r="58" spans="1:10" x14ac:dyDescent="0.3">
      <c r="A58" s="1" t="str">
        <f t="shared" si="0"/>
        <v>02 EE2 33.8</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93" t="s">
        <v>1645</v>
      </c>
      <c r="D58" s="193" t="s">
        <v>1563</v>
      </c>
      <c r="E58" s="193">
        <v>65</v>
      </c>
      <c r="F58" s="193" t="s">
        <v>112</v>
      </c>
      <c r="G58" s="193">
        <v>9842</v>
      </c>
      <c r="H58" s="193"/>
      <c r="I58" s="193"/>
      <c r="J58" s="193"/>
    </row>
    <row r="59" spans="1:10" x14ac:dyDescent="0.3">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93" t="s">
        <v>112</v>
      </c>
      <c r="D59" s="193"/>
      <c r="E59" s="193"/>
      <c r="F59" s="193"/>
      <c r="G59" s="193"/>
      <c r="H59" s="193"/>
      <c r="I59" s="193"/>
      <c r="J59" s="193"/>
    </row>
    <row r="60" spans="1:10" x14ac:dyDescent="0.3">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93" t="s">
        <v>229</v>
      </c>
      <c r="D60" s="193" t="s">
        <v>112</v>
      </c>
      <c r="E60" s="193" t="s">
        <v>230</v>
      </c>
      <c r="F60" s="193" t="s">
        <v>231</v>
      </c>
      <c r="G60" s="193" t="s">
        <v>232</v>
      </c>
      <c r="H60" s="193" t="s">
        <v>233</v>
      </c>
      <c r="I60" s="193" t="s">
        <v>234</v>
      </c>
      <c r="J60" s="193" t="s">
        <v>235</v>
      </c>
    </row>
    <row r="61" spans="1:10" x14ac:dyDescent="0.3">
      <c r="A61" s="1" t="str">
        <f t="shared" si="0"/>
        <v>02 EE2 33.8</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93" t="s">
        <v>1646</v>
      </c>
      <c r="D61" s="193" t="s">
        <v>112</v>
      </c>
      <c r="E61" s="193" t="s">
        <v>1647</v>
      </c>
      <c r="F61" s="193" t="s">
        <v>1648</v>
      </c>
      <c r="G61" s="193" t="s">
        <v>1649</v>
      </c>
      <c r="H61" s="193" t="s">
        <v>1650</v>
      </c>
      <c r="I61" s="193">
        <v>24</v>
      </c>
      <c r="J61" s="193">
        <v>24</v>
      </c>
    </row>
    <row r="62" spans="1:10" x14ac:dyDescent="0.3">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93" t="s">
        <v>112</v>
      </c>
      <c r="D62" s="193"/>
      <c r="E62" s="193"/>
      <c r="F62" s="193"/>
      <c r="G62" s="193"/>
      <c r="H62" s="193"/>
      <c r="I62" s="193"/>
      <c r="J62" s="193"/>
    </row>
    <row r="63" spans="1:10" x14ac:dyDescent="0.3">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93" t="s">
        <v>112</v>
      </c>
      <c r="D63" s="193"/>
      <c r="E63" s="193"/>
      <c r="F63" s="193"/>
      <c r="G63" s="193"/>
      <c r="H63" s="193"/>
      <c r="I63" s="193"/>
      <c r="J63" s="193"/>
    </row>
    <row r="64" spans="1:10" x14ac:dyDescent="0.3">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93" t="s">
        <v>112</v>
      </c>
      <c r="D64" s="193"/>
      <c r="E64" s="193"/>
      <c r="F64" s="193"/>
      <c r="G64" s="193"/>
      <c r="H64" s="193"/>
      <c r="I64" s="193"/>
      <c r="J64" s="193"/>
    </row>
    <row r="65" spans="1:7" x14ac:dyDescent="0.3">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93" t="s">
        <v>112</v>
      </c>
      <c r="D65" s="193"/>
      <c r="E65" s="193"/>
      <c r="F65" s="193"/>
      <c r="G65" s="193"/>
    </row>
    <row r="66" spans="1:7" x14ac:dyDescent="0.3">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93" t="s">
        <v>112</v>
      </c>
      <c r="D66" s="193"/>
      <c r="E66" s="193"/>
      <c r="F66" s="193"/>
      <c r="G66" s="193"/>
    </row>
    <row r="67" spans="1:7" x14ac:dyDescent="0.3">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93" t="s">
        <v>241</v>
      </c>
      <c r="D67" s="193" t="s">
        <v>110</v>
      </c>
      <c r="E67" s="193" t="s">
        <v>111</v>
      </c>
      <c r="F67" s="193" t="s">
        <v>112</v>
      </c>
      <c r="G67" s="193" t="s">
        <v>113</v>
      </c>
    </row>
    <row r="68" spans="1:7" x14ac:dyDescent="0.3">
      <c r="A68" s="1" t="str">
        <f t="shared" si="1"/>
        <v>03 EE2 50.6</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93" t="s">
        <v>1651</v>
      </c>
      <c r="D68" s="193" t="s">
        <v>1652</v>
      </c>
      <c r="E68" s="193" t="s">
        <v>1653</v>
      </c>
      <c r="F68" s="193" t="s">
        <v>112</v>
      </c>
      <c r="G68" s="193">
        <v>447955</v>
      </c>
    </row>
    <row r="69" spans="1:7" x14ac:dyDescent="0.3">
      <c r="A69" s="1" t="str">
        <f t="shared" si="1"/>
        <v>03 EE2 50.6</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93" t="s">
        <v>1654</v>
      </c>
      <c r="D69" s="193" t="s">
        <v>1655</v>
      </c>
      <c r="E69" s="193" t="s">
        <v>1656</v>
      </c>
      <c r="F69" s="193" t="s">
        <v>112</v>
      </c>
      <c r="G69" s="193">
        <v>381638</v>
      </c>
    </row>
    <row r="70" spans="1:7" x14ac:dyDescent="0.3">
      <c r="A70" s="1" t="str">
        <f t="shared" si="1"/>
        <v>03 EE2 50.6</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93" t="s">
        <v>1657</v>
      </c>
      <c r="D70" s="193" t="s">
        <v>1658</v>
      </c>
      <c r="E70" s="193" t="s">
        <v>1659</v>
      </c>
      <c r="F70" s="193" t="s">
        <v>112</v>
      </c>
      <c r="G70" s="193">
        <v>344975</v>
      </c>
    </row>
    <row r="71" spans="1:7" x14ac:dyDescent="0.3">
      <c r="A71" s="1" t="str">
        <f t="shared" si="1"/>
        <v>03 EE2 50.6</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93" t="s">
        <v>1660</v>
      </c>
      <c r="D71" s="193" t="s">
        <v>1661</v>
      </c>
      <c r="E71" s="193" t="s">
        <v>1662</v>
      </c>
      <c r="F71" s="193" t="s">
        <v>112</v>
      </c>
      <c r="G71" s="193">
        <v>665336</v>
      </c>
    </row>
    <row r="72" spans="1:7" x14ac:dyDescent="0.3">
      <c r="A72" s="1" t="str">
        <f t="shared" si="1"/>
        <v>03 EE2 50.6</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93" t="s">
        <v>1663</v>
      </c>
      <c r="D72" s="193" t="s">
        <v>1664</v>
      </c>
      <c r="E72" s="193" t="s">
        <v>1665</v>
      </c>
      <c r="F72" s="193" t="s">
        <v>112</v>
      </c>
      <c r="G72" s="193">
        <v>90889</v>
      </c>
    </row>
    <row r="73" spans="1:7" x14ac:dyDescent="0.3">
      <c r="A73" s="1" t="str">
        <f t="shared" si="1"/>
        <v>03 EE2 50.6</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93" t="s">
        <v>1666</v>
      </c>
      <c r="D73" s="193" t="s">
        <v>1667</v>
      </c>
      <c r="E73" s="193" t="s">
        <v>1668</v>
      </c>
      <c r="F73" s="193" t="s">
        <v>112</v>
      </c>
      <c r="G73" s="193">
        <v>506724</v>
      </c>
    </row>
    <row r="74" spans="1:7" x14ac:dyDescent="0.3">
      <c r="A74" s="1" t="str">
        <f t="shared" si="1"/>
        <v>03 EE2 50.6</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93" t="s">
        <v>1669</v>
      </c>
      <c r="D74" s="193" t="s">
        <v>1565</v>
      </c>
      <c r="E74" s="193" t="s">
        <v>1670</v>
      </c>
      <c r="F74" s="193" t="s">
        <v>112</v>
      </c>
      <c r="G74" s="193">
        <v>152685</v>
      </c>
    </row>
    <row r="75" spans="1:7" x14ac:dyDescent="0.3">
      <c r="A75" s="1" t="str">
        <f t="shared" si="1"/>
        <v>03 EE2 50.6</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93" t="s">
        <v>1671</v>
      </c>
      <c r="D75" s="193" t="s">
        <v>1672</v>
      </c>
      <c r="E75" s="193">
        <v>63</v>
      </c>
      <c r="F75" s="193" t="s">
        <v>112</v>
      </c>
      <c r="G75" s="193">
        <v>29979</v>
      </c>
    </row>
    <row r="76" spans="1:7" x14ac:dyDescent="0.3">
      <c r="A76" s="1" t="str">
        <f t="shared" si="1"/>
        <v>03 EE2 50.6</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93" t="s">
        <v>1673</v>
      </c>
      <c r="D76" s="193" t="s">
        <v>1674</v>
      </c>
      <c r="E76" s="193" t="s">
        <v>1675</v>
      </c>
      <c r="F76" s="193" t="s">
        <v>112</v>
      </c>
      <c r="G76" s="193">
        <v>34586</v>
      </c>
    </row>
    <row r="77" spans="1:7" x14ac:dyDescent="0.3">
      <c r="A77" s="1" t="str">
        <f t="shared" si="1"/>
        <v>03 EE2 50.6</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93" t="s">
        <v>1676</v>
      </c>
      <c r="D77" s="193" t="s">
        <v>1667</v>
      </c>
      <c r="E77" s="193" t="s">
        <v>1677</v>
      </c>
      <c r="F77" s="193" t="s">
        <v>112</v>
      </c>
      <c r="G77" s="193">
        <v>564778</v>
      </c>
    </row>
    <row r="78" spans="1:7" x14ac:dyDescent="0.3">
      <c r="A78" s="1" t="str">
        <f t="shared" si="1"/>
        <v>03 EE2 50.6</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93" t="s">
        <v>1678</v>
      </c>
      <c r="D78" s="193" t="s">
        <v>1679</v>
      </c>
      <c r="E78" s="193" t="s">
        <v>1680</v>
      </c>
      <c r="F78" s="193" t="s">
        <v>112</v>
      </c>
      <c r="G78" s="193">
        <v>265702</v>
      </c>
    </row>
    <row r="79" spans="1:7" x14ac:dyDescent="0.3">
      <c r="A79" s="1" t="str">
        <f t="shared" si="1"/>
        <v>03 EE2 50.6</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93" t="s">
        <v>1681</v>
      </c>
      <c r="D79" s="193" t="s">
        <v>1682</v>
      </c>
      <c r="E79" s="193" t="s">
        <v>1683</v>
      </c>
      <c r="F79" s="193" t="s">
        <v>112</v>
      </c>
      <c r="G79" s="193">
        <v>131661</v>
      </c>
    </row>
    <row r="80" spans="1:7" x14ac:dyDescent="0.3">
      <c r="A80" s="1" t="str">
        <f t="shared" si="1"/>
        <v>03 EE2 50.6</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93" t="s">
        <v>1684</v>
      </c>
      <c r="D80" s="193" t="s">
        <v>1685</v>
      </c>
      <c r="E80" s="193" t="s">
        <v>1686</v>
      </c>
      <c r="F80" s="193" t="s">
        <v>112</v>
      </c>
      <c r="G80" s="193">
        <v>357045</v>
      </c>
    </row>
    <row r="81" spans="1:10" x14ac:dyDescent="0.3">
      <c r="A81" s="1" t="str">
        <f t="shared" si="1"/>
        <v>03 EE2 50.6</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93" t="s">
        <v>1687</v>
      </c>
      <c r="D81" s="193" t="s">
        <v>1688</v>
      </c>
      <c r="E81" s="193" t="s">
        <v>1689</v>
      </c>
      <c r="F81" s="193" t="s">
        <v>112</v>
      </c>
      <c r="G81" s="193">
        <v>109988</v>
      </c>
      <c r="H81" s="193"/>
      <c r="I81" s="193"/>
      <c r="J81" s="193"/>
    </row>
    <row r="82" spans="1:10" x14ac:dyDescent="0.3">
      <c r="A82" s="1" t="str">
        <f t="shared" si="1"/>
        <v>03 EE2 50.6</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93" t="s">
        <v>1690</v>
      </c>
      <c r="D82" s="193" t="s">
        <v>1682</v>
      </c>
      <c r="E82" s="193" t="s">
        <v>1691</v>
      </c>
      <c r="F82" s="193" t="s">
        <v>112</v>
      </c>
      <c r="G82" s="193">
        <v>126016</v>
      </c>
      <c r="H82" s="193"/>
      <c r="I82" s="193"/>
      <c r="J82" s="193"/>
    </row>
    <row r="83" spans="1:10" x14ac:dyDescent="0.3">
      <c r="A83" s="1" t="str">
        <f t="shared" si="1"/>
        <v>03 EE2 50.6</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93" t="s">
        <v>1692</v>
      </c>
      <c r="D83" s="193" t="s">
        <v>1693</v>
      </c>
      <c r="E83" s="193" t="s">
        <v>1694</v>
      </c>
      <c r="F83" s="193" t="s">
        <v>112</v>
      </c>
      <c r="G83" s="193">
        <v>111654</v>
      </c>
      <c r="H83" s="193"/>
      <c r="I83" s="193"/>
      <c r="J83" s="193"/>
    </row>
    <row r="84" spans="1:10" x14ac:dyDescent="0.3">
      <c r="A84" s="1" t="str">
        <f t="shared" si="1"/>
        <v>03 EE2 50.6</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93" t="s">
        <v>1695</v>
      </c>
      <c r="D84" s="193" t="s">
        <v>1696</v>
      </c>
      <c r="E84" s="193" t="s">
        <v>1697</v>
      </c>
      <c r="F84" s="193" t="s">
        <v>112</v>
      </c>
      <c r="G84" s="193">
        <v>67399</v>
      </c>
      <c r="H84" s="193"/>
      <c r="I84" s="193"/>
      <c r="J84" s="193"/>
    </row>
    <row r="85" spans="1:10" x14ac:dyDescent="0.3">
      <c r="A85" s="1" t="str">
        <f t="shared" si="1"/>
        <v>03 EE2 50.6</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93" t="s">
        <v>1698</v>
      </c>
      <c r="D85" s="193" t="s">
        <v>1699</v>
      </c>
      <c r="E85" s="193" t="s">
        <v>1700</v>
      </c>
      <c r="F85" s="193" t="s">
        <v>112</v>
      </c>
      <c r="G85" s="193">
        <v>59850</v>
      </c>
      <c r="H85" s="193"/>
      <c r="I85" s="193"/>
      <c r="J85" s="193"/>
    </row>
    <row r="86" spans="1:10" x14ac:dyDescent="0.3">
      <c r="A86" s="1" t="str">
        <f t="shared" si="1"/>
        <v>03 EE2 50.6</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93" t="s">
        <v>1701</v>
      </c>
      <c r="D86" s="193" t="s">
        <v>1702</v>
      </c>
      <c r="E86" s="193" t="s">
        <v>1703</v>
      </c>
      <c r="F86" s="193" t="s">
        <v>112</v>
      </c>
      <c r="G86" s="193">
        <v>248138</v>
      </c>
      <c r="H86" s="193"/>
      <c r="I86" s="193"/>
      <c r="J86" s="193"/>
    </row>
    <row r="87" spans="1:10" x14ac:dyDescent="0.3">
      <c r="A87" s="1" t="str">
        <f t="shared" si="1"/>
        <v>03 EE2 50.6</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93" t="s">
        <v>1704</v>
      </c>
      <c r="D87" s="193" t="s">
        <v>1705</v>
      </c>
      <c r="E87" s="193" t="s">
        <v>1706</v>
      </c>
      <c r="F87" s="193" t="s">
        <v>112</v>
      </c>
      <c r="G87" s="193">
        <v>426282</v>
      </c>
      <c r="H87" s="193"/>
      <c r="I87" s="193"/>
      <c r="J87" s="193"/>
    </row>
    <row r="88" spans="1:10" x14ac:dyDescent="0.3">
      <c r="A88" s="1" t="str">
        <f t="shared" si="1"/>
        <v>03 EE2 50.6</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93" t="s">
        <v>1707</v>
      </c>
      <c r="D88" s="193" t="s">
        <v>1708</v>
      </c>
      <c r="E88" s="193" t="s">
        <v>1709</v>
      </c>
      <c r="F88" s="193" t="s">
        <v>112</v>
      </c>
      <c r="G88" s="193">
        <v>26129</v>
      </c>
      <c r="H88" s="193"/>
      <c r="I88" s="193"/>
      <c r="J88" s="193"/>
    </row>
    <row r="89" spans="1:10" x14ac:dyDescent="0.3">
      <c r="A89" s="1" t="str">
        <f t="shared" si="1"/>
        <v>03 EE2 50.6</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93" t="s">
        <v>1710</v>
      </c>
      <c r="D89" s="193" t="s">
        <v>1711</v>
      </c>
      <c r="E89" s="193" t="s">
        <v>223</v>
      </c>
      <c r="F89" s="193" t="s">
        <v>112</v>
      </c>
      <c r="G89" s="193">
        <v>44774</v>
      </c>
      <c r="H89" s="193"/>
      <c r="I89" s="193"/>
      <c r="J89" s="193"/>
    </row>
    <row r="90" spans="1:10" x14ac:dyDescent="0.3">
      <c r="A90" s="1" t="str">
        <f t="shared" si="1"/>
        <v>03 EE2 50.6</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93" t="s">
        <v>1712</v>
      </c>
      <c r="D90" s="193" t="s">
        <v>1713</v>
      </c>
      <c r="E90" s="193" t="s">
        <v>1714</v>
      </c>
      <c r="F90" s="193" t="s">
        <v>112</v>
      </c>
      <c r="G90" s="193">
        <v>206933</v>
      </c>
      <c r="H90" s="193"/>
      <c r="I90" s="193"/>
      <c r="J90" s="193"/>
    </row>
    <row r="91" spans="1:10" x14ac:dyDescent="0.3">
      <c r="A91" s="1" t="str">
        <f t="shared" si="1"/>
        <v>03 EE2 50.6</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93" t="s">
        <v>1715</v>
      </c>
      <c r="D91" s="193" t="s">
        <v>1599</v>
      </c>
      <c r="E91" s="193" t="s">
        <v>1330</v>
      </c>
      <c r="F91" s="193" t="s">
        <v>112</v>
      </c>
      <c r="G91" s="193">
        <v>147667</v>
      </c>
      <c r="H91" s="193"/>
      <c r="I91" s="193"/>
      <c r="J91" s="193"/>
    </row>
    <row r="92" spans="1:10" x14ac:dyDescent="0.3">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93" t="s">
        <v>112</v>
      </c>
      <c r="D92" s="193"/>
      <c r="E92" s="193"/>
      <c r="F92" s="193"/>
      <c r="G92" s="193"/>
      <c r="H92" s="193"/>
      <c r="I92" s="193"/>
      <c r="J92" s="193"/>
    </row>
    <row r="93" spans="1:10" x14ac:dyDescent="0.3">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93" t="s">
        <v>229</v>
      </c>
      <c r="D93" s="193" t="s">
        <v>112</v>
      </c>
      <c r="E93" s="193" t="s">
        <v>230</v>
      </c>
      <c r="F93" s="193" t="s">
        <v>231</v>
      </c>
      <c r="G93" s="193" t="s">
        <v>232</v>
      </c>
      <c r="H93" s="193" t="s">
        <v>233</v>
      </c>
      <c r="I93" s="193" t="s">
        <v>234</v>
      </c>
      <c r="J93" s="193" t="s">
        <v>235</v>
      </c>
    </row>
    <row r="94" spans="1:10" x14ac:dyDescent="0.3">
      <c r="A94" s="1" t="str">
        <f t="shared" si="1"/>
        <v>03 EE2 50.6</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93" t="s">
        <v>1716</v>
      </c>
      <c r="D94" s="193" t="s">
        <v>112</v>
      </c>
      <c r="E94" s="193" t="s">
        <v>1717</v>
      </c>
      <c r="F94" s="193" t="s">
        <v>1718</v>
      </c>
      <c r="G94" s="193" t="s">
        <v>1719</v>
      </c>
      <c r="H94" s="193" t="s">
        <v>1720</v>
      </c>
      <c r="I94" s="193">
        <v>24</v>
      </c>
      <c r="J94" s="193">
        <v>24</v>
      </c>
    </row>
    <row r="95" spans="1:10" x14ac:dyDescent="0.3">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93" t="s">
        <v>112</v>
      </c>
      <c r="D95" s="193"/>
      <c r="E95" s="193"/>
      <c r="F95" s="193"/>
      <c r="G95" s="193"/>
      <c r="H95" s="193"/>
      <c r="I95" s="193"/>
      <c r="J95" s="193"/>
    </row>
    <row r="96" spans="1:10" x14ac:dyDescent="0.3">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93" t="s">
        <v>112</v>
      </c>
      <c r="D96" s="193"/>
      <c r="E96" s="193"/>
      <c r="F96" s="193"/>
      <c r="G96" s="193"/>
      <c r="H96" s="193"/>
      <c r="I96" s="193"/>
      <c r="J96" s="193"/>
    </row>
    <row r="97" spans="1:7" x14ac:dyDescent="0.3">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93" t="s">
        <v>112</v>
      </c>
      <c r="D97" s="193"/>
      <c r="E97" s="193"/>
      <c r="F97" s="193"/>
      <c r="G97" s="193"/>
    </row>
    <row r="98" spans="1:7" x14ac:dyDescent="0.3">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93" t="s">
        <v>112</v>
      </c>
      <c r="D98" s="193"/>
      <c r="E98" s="193"/>
      <c r="F98" s="193"/>
      <c r="G98" s="193"/>
    </row>
    <row r="99" spans="1:7" x14ac:dyDescent="0.3">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93" t="s">
        <v>112</v>
      </c>
      <c r="D99" s="193"/>
      <c r="E99" s="193"/>
      <c r="F99" s="193"/>
      <c r="G99" s="193"/>
    </row>
    <row r="100" spans="1:7" x14ac:dyDescent="0.3">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93" t="s">
        <v>241</v>
      </c>
      <c r="D100" s="193" t="s">
        <v>110</v>
      </c>
      <c r="E100" s="193" t="s">
        <v>111</v>
      </c>
      <c r="F100" s="193" t="s">
        <v>112</v>
      </c>
      <c r="G100" s="193" t="s">
        <v>113</v>
      </c>
    </row>
    <row r="101" spans="1:7" x14ac:dyDescent="0.3">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93" t="s">
        <v>1721</v>
      </c>
      <c r="D101" s="193" t="s">
        <v>1722</v>
      </c>
      <c r="E101" s="193" t="s">
        <v>1723</v>
      </c>
      <c r="F101" s="193" t="s">
        <v>112</v>
      </c>
      <c r="G101" s="193">
        <v>155454</v>
      </c>
    </row>
    <row r="102" spans="1:7" x14ac:dyDescent="0.3">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93" t="s">
        <v>1724</v>
      </c>
      <c r="D102" s="193" t="s">
        <v>1725</v>
      </c>
      <c r="E102" s="193" t="s">
        <v>1726</v>
      </c>
      <c r="F102" s="193" t="s">
        <v>112</v>
      </c>
      <c r="G102" s="193">
        <v>270590</v>
      </c>
    </row>
    <row r="103" spans="1:7" x14ac:dyDescent="0.3">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93" t="s">
        <v>1727</v>
      </c>
      <c r="D103" s="193" t="s">
        <v>1728</v>
      </c>
      <c r="E103" s="193" t="s">
        <v>1729</v>
      </c>
      <c r="F103" s="193" t="s">
        <v>112</v>
      </c>
      <c r="G103" s="193">
        <v>657008</v>
      </c>
    </row>
    <row r="104" spans="1:7" x14ac:dyDescent="0.3">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93" t="s">
        <v>1730</v>
      </c>
      <c r="D104" s="193" t="s">
        <v>1731</v>
      </c>
      <c r="E104" s="193" t="s">
        <v>1732</v>
      </c>
      <c r="F104" s="193" t="s">
        <v>112</v>
      </c>
      <c r="G104" s="193">
        <v>84357</v>
      </c>
    </row>
    <row r="105" spans="1:7" x14ac:dyDescent="0.3">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93" t="s">
        <v>1733</v>
      </c>
      <c r="D105" s="193" t="s">
        <v>1734</v>
      </c>
      <c r="E105" s="193" t="s">
        <v>1735</v>
      </c>
      <c r="F105" s="193" t="s">
        <v>112</v>
      </c>
      <c r="G105" s="193">
        <v>350318</v>
      </c>
    </row>
    <row r="106" spans="1:7" x14ac:dyDescent="0.3">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93" t="s">
        <v>1736</v>
      </c>
      <c r="D106" s="193" t="s">
        <v>1637</v>
      </c>
      <c r="E106" s="193" t="s">
        <v>1737</v>
      </c>
      <c r="F106" s="193" t="s">
        <v>112</v>
      </c>
      <c r="G106" s="193">
        <v>355552</v>
      </c>
    </row>
    <row r="107" spans="1:7" x14ac:dyDescent="0.3">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93" t="s">
        <v>1738</v>
      </c>
      <c r="D107" s="193" t="s">
        <v>1576</v>
      </c>
      <c r="E107" s="193" t="s">
        <v>1739</v>
      </c>
      <c r="F107" s="193" t="s">
        <v>112</v>
      </c>
      <c r="G107" s="193">
        <v>96383</v>
      </c>
    </row>
    <row r="108" spans="1:7" x14ac:dyDescent="0.3">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93" t="s">
        <v>1740</v>
      </c>
      <c r="D108" s="193" t="s">
        <v>1741</v>
      </c>
      <c r="E108" s="193" t="s">
        <v>1742</v>
      </c>
      <c r="F108" s="193" t="s">
        <v>112</v>
      </c>
      <c r="G108" s="193">
        <v>64306</v>
      </c>
    </row>
    <row r="109" spans="1:7" x14ac:dyDescent="0.3">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93" t="s">
        <v>1743</v>
      </c>
      <c r="D109" s="193" t="s">
        <v>1543</v>
      </c>
      <c r="E109" s="193" t="s">
        <v>1744</v>
      </c>
      <c r="F109" s="193" t="s">
        <v>112</v>
      </c>
      <c r="G109" s="193">
        <v>90370</v>
      </c>
    </row>
    <row r="110" spans="1:7" x14ac:dyDescent="0.3">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93" t="s">
        <v>1745</v>
      </c>
      <c r="D110" s="193" t="s">
        <v>1746</v>
      </c>
      <c r="E110" s="193" t="s">
        <v>1747</v>
      </c>
      <c r="F110" s="193" t="s">
        <v>112</v>
      </c>
      <c r="G110" s="193">
        <v>471813</v>
      </c>
    </row>
    <row r="111" spans="1:7" x14ac:dyDescent="0.3">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93" t="s">
        <v>1748</v>
      </c>
      <c r="D111" s="193" t="s">
        <v>1749</v>
      </c>
      <c r="E111" s="193" t="s">
        <v>1750</v>
      </c>
      <c r="F111" s="193" t="s">
        <v>112</v>
      </c>
      <c r="G111" s="193">
        <v>395265</v>
      </c>
    </row>
    <row r="112" spans="1:7" x14ac:dyDescent="0.3">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93" t="s">
        <v>1751</v>
      </c>
      <c r="D112" s="193" t="s">
        <v>1752</v>
      </c>
      <c r="E112" s="193" t="s">
        <v>1753</v>
      </c>
      <c r="F112" s="193" t="s">
        <v>112</v>
      </c>
      <c r="G112" s="193">
        <v>191165</v>
      </c>
    </row>
    <row r="113" spans="1:10" x14ac:dyDescent="0.3">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93" t="s">
        <v>1754</v>
      </c>
      <c r="D113" s="193"/>
      <c r="E113" s="193"/>
      <c r="F113" s="193"/>
      <c r="G113" s="193"/>
      <c r="H113" s="193"/>
      <c r="I113" s="193"/>
      <c r="J113" s="193"/>
    </row>
    <row r="114" spans="1:10" x14ac:dyDescent="0.3">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93" t="s">
        <v>1755</v>
      </c>
      <c r="D114" s="193" t="s">
        <v>1756</v>
      </c>
      <c r="E114" s="193" t="s">
        <v>1757</v>
      </c>
      <c r="F114" s="193" t="s">
        <v>112</v>
      </c>
      <c r="G114" s="193">
        <v>382373</v>
      </c>
      <c r="H114" s="193"/>
      <c r="I114" s="193"/>
      <c r="J114" s="193"/>
    </row>
    <row r="115" spans="1:10" x14ac:dyDescent="0.3">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93" t="s">
        <v>1758</v>
      </c>
      <c r="D115" s="193" t="s">
        <v>1759</v>
      </c>
      <c r="E115" s="193" t="s">
        <v>1760</v>
      </c>
      <c r="F115" s="193" t="s">
        <v>112</v>
      </c>
      <c r="G115" s="193">
        <v>287094</v>
      </c>
      <c r="H115" s="193"/>
      <c r="I115" s="193"/>
      <c r="J115" s="193"/>
    </row>
    <row r="116" spans="1:10" x14ac:dyDescent="0.3">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93" t="s">
        <v>1761</v>
      </c>
      <c r="D116" s="193" t="s">
        <v>1762</v>
      </c>
      <c r="E116" s="193" t="s">
        <v>1763</v>
      </c>
      <c r="F116" s="193" t="s">
        <v>112</v>
      </c>
      <c r="G116" s="193">
        <v>727197</v>
      </c>
      <c r="H116" s="193"/>
      <c r="I116" s="193"/>
      <c r="J116" s="193"/>
    </row>
    <row r="117" spans="1:10" x14ac:dyDescent="0.3">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93" t="s">
        <v>1764</v>
      </c>
      <c r="D117" s="193" t="s">
        <v>1765</v>
      </c>
      <c r="E117" s="193" t="s">
        <v>1766</v>
      </c>
      <c r="F117" s="193" t="s">
        <v>112</v>
      </c>
      <c r="G117" s="193">
        <v>216104</v>
      </c>
      <c r="H117" s="193"/>
      <c r="I117" s="193"/>
      <c r="J117" s="193"/>
    </row>
    <row r="118" spans="1:10" x14ac:dyDescent="0.3">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93" t="s">
        <v>1767</v>
      </c>
      <c r="D118" s="193" t="s">
        <v>1768</v>
      </c>
      <c r="E118" s="193" t="s">
        <v>1769</v>
      </c>
      <c r="F118" s="193" t="s">
        <v>112</v>
      </c>
      <c r="G118" s="193">
        <v>282075</v>
      </c>
      <c r="H118" s="193"/>
      <c r="I118" s="193"/>
      <c r="J118" s="193"/>
    </row>
    <row r="119" spans="1:10" x14ac:dyDescent="0.3">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93" t="s">
        <v>1770</v>
      </c>
      <c r="D119" s="193" t="s">
        <v>1771</v>
      </c>
      <c r="E119" s="193" t="s">
        <v>1772</v>
      </c>
      <c r="F119" s="193" t="s">
        <v>112</v>
      </c>
      <c r="G119" s="193">
        <v>127919</v>
      </c>
      <c r="H119" s="193"/>
      <c r="I119" s="193"/>
      <c r="J119" s="193"/>
    </row>
    <row r="120" spans="1:10" x14ac:dyDescent="0.3">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93" t="s">
        <v>1773</v>
      </c>
      <c r="D120" s="193" t="s">
        <v>1774</v>
      </c>
      <c r="E120" s="193" t="s">
        <v>381</v>
      </c>
      <c r="F120" s="193" t="s">
        <v>112</v>
      </c>
      <c r="G120" s="193">
        <v>172001</v>
      </c>
      <c r="H120" s="193"/>
      <c r="I120" s="193"/>
      <c r="J120" s="193"/>
    </row>
    <row r="121" spans="1:10" x14ac:dyDescent="0.3">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93" t="s">
        <v>1775</v>
      </c>
      <c r="D121" s="193" t="s">
        <v>1776</v>
      </c>
      <c r="E121" s="193" t="s">
        <v>1777</v>
      </c>
      <c r="F121" s="193" t="s">
        <v>112</v>
      </c>
      <c r="G121" s="193">
        <v>159975</v>
      </c>
      <c r="H121" s="193"/>
      <c r="I121" s="193"/>
      <c r="J121" s="193"/>
    </row>
    <row r="122" spans="1:10" x14ac:dyDescent="0.3">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93" t="s">
        <v>1778</v>
      </c>
      <c r="D122" s="193" t="s">
        <v>1779</v>
      </c>
      <c r="E122" s="193" t="s">
        <v>1780</v>
      </c>
      <c r="F122" s="193" t="s">
        <v>112</v>
      </c>
      <c r="G122" s="193">
        <v>876573</v>
      </c>
      <c r="H122" s="193"/>
      <c r="I122" s="193"/>
      <c r="J122" s="193"/>
    </row>
    <row r="123" spans="1:10" x14ac:dyDescent="0.3">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93" t="s">
        <v>1781</v>
      </c>
      <c r="D123" s="193" t="s">
        <v>1768</v>
      </c>
      <c r="E123" s="193" t="s">
        <v>1782</v>
      </c>
      <c r="F123" s="193" t="s">
        <v>112</v>
      </c>
      <c r="G123" s="193">
        <v>273099</v>
      </c>
      <c r="H123" s="193"/>
      <c r="I123" s="193"/>
      <c r="J123" s="193"/>
    </row>
    <row r="124" spans="1:10" x14ac:dyDescent="0.3">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93" t="s">
        <v>1783</v>
      </c>
      <c r="D124" s="193" t="s">
        <v>1784</v>
      </c>
      <c r="E124" s="193" t="s">
        <v>1785</v>
      </c>
      <c r="F124" s="193" t="s">
        <v>112</v>
      </c>
      <c r="G124" s="193">
        <v>664362</v>
      </c>
      <c r="H124" s="193"/>
      <c r="I124" s="193"/>
      <c r="J124" s="193"/>
    </row>
    <row r="125" spans="1:10" x14ac:dyDescent="0.3">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93" t="s">
        <v>112</v>
      </c>
      <c r="D125" s="193"/>
      <c r="E125" s="193"/>
      <c r="F125" s="193"/>
      <c r="G125" s="193"/>
      <c r="H125" s="193"/>
      <c r="I125" s="193"/>
      <c r="J125" s="193"/>
    </row>
    <row r="126" spans="1:10" x14ac:dyDescent="0.3">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93" t="s">
        <v>229</v>
      </c>
      <c r="D126" s="193" t="s">
        <v>112</v>
      </c>
      <c r="E126" s="193" t="s">
        <v>230</v>
      </c>
      <c r="F126" s="193" t="s">
        <v>231</v>
      </c>
      <c r="G126" s="193" t="s">
        <v>232</v>
      </c>
      <c r="H126" s="193" t="s">
        <v>233</v>
      </c>
      <c r="I126" s="193" t="s">
        <v>234</v>
      </c>
      <c r="J126" s="193" t="s">
        <v>235</v>
      </c>
    </row>
    <row r="127" spans="1:10" x14ac:dyDescent="0.3">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93" t="s">
        <v>1786</v>
      </c>
      <c r="D127" s="193" t="s">
        <v>112</v>
      </c>
      <c r="E127" s="193" t="s">
        <v>1787</v>
      </c>
      <c r="F127" s="193" t="s">
        <v>1788</v>
      </c>
      <c r="G127" s="193" t="s">
        <v>1789</v>
      </c>
      <c r="H127" s="193" t="s">
        <v>1790</v>
      </c>
      <c r="I127" s="193">
        <v>24</v>
      </c>
      <c r="J127" s="193">
        <v>24</v>
      </c>
    </row>
    <row r="128" spans="1:10" x14ac:dyDescent="0.3">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93" t="s">
        <v>112</v>
      </c>
      <c r="D128" s="193"/>
      <c r="E128" s="193"/>
      <c r="F128" s="193"/>
      <c r="G128" s="193"/>
      <c r="H128" s="193"/>
      <c r="I128" s="193"/>
      <c r="J128" s="193"/>
    </row>
    <row r="129" spans="1:7" x14ac:dyDescent="0.3">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93" t="s">
        <v>112</v>
      </c>
      <c r="D129" s="193"/>
      <c r="E129" s="193"/>
      <c r="F129" s="193"/>
      <c r="G129" s="193"/>
    </row>
    <row r="130" spans="1:7" x14ac:dyDescent="0.3">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93" t="s">
        <v>112</v>
      </c>
      <c r="D130" s="193"/>
      <c r="E130" s="193"/>
      <c r="F130" s="193"/>
      <c r="G130" s="193"/>
    </row>
    <row r="131" spans="1:7" x14ac:dyDescent="0.3">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93" t="s">
        <v>112</v>
      </c>
      <c r="D131" s="193"/>
      <c r="E131" s="193"/>
      <c r="F131" s="193"/>
      <c r="G131" s="193"/>
    </row>
    <row r="132" spans="1:7" x14ac:dyDescent="0.3">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93" t="s">
        <v>112</v>
      </c>
      <c r="D132" s="193"/>
      <c r="E132" s="193"/>
      <c r="F132" s="193"/>
      <c r="G132" s="193"/>
    </row>
    <row r="133" spans="1:7" x14ac:dyDescent="0.3">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93" t="s">
        <v>241</v>
      </c>
      <c r="D133" s="193" t="s">
        <v>110</v>
      </c>
      <c r="E133" s="193" t="s">
        <v>111</v>
      </c>
      <c r="F133" s="193" t="s">
        <v>112</v>
      </c>
      <c r="G133" s="193" t="s">
        <v>113</v>
      </c>
    </row>
    <row r="134" spans="1:7" x14ac:dyDescent="0.3">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93" t="s">
        <v>1791</v>
      </c>
      <c r="D134" s="193" t="s">
        <v>1792</v>
      </c>
      <c r="E134" s="193" t="s">
        <v>1793</v>
      </c>
      <c r="F134" s="193" t="s">
        <v>112</v>
      </c>
      <c r="G134" s="193">
        <v>1488072</v>
      </c>
    </row>
    <row r="135" spans="1:7" x14ac:dyDescent="0.3">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93" t="s">
        <v>1794</v>
      </c>
      <c r="D135" s="193" t="s">
        <v>1795</v>
      </c>
      <c r="E135" s="193" t="s">
        <v>1796</v>
      </c>
      <c r="F135" s="193" t="s">
        <v>112</v>
      </c>
      <c r="G135" s="193">
        <v>738445</v>
      </c>
    </row>
    <row r="136" spans="1:7" x14ac:dyDescent="0.3">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93" t="s">
        <v>1797</v>
      </c>
      <c r="D136" s="193" t="s">
        <v>1798</v>
      </c>
      <c r="E136" s="193" t="s">
        <v>1799</v>
      </c>
      <c r="F136" s="193" t="s">
        <v>112</v>
      </c>
      <c r="G136" s="193">
        <v>1931506</v>
      </c>
    </row>
    <row r="137" spans="1:7" x14ac:dyDescent="0.3">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93" t="s">
        <v>1800</v>
      </c>
      <c r="D137" s="193" t="s">
        <v>1801</v>
      </c>
      <c r="E137" s="193" t="s">
        <v>1802</v>
      </c>
      <c r="F137" s="193" t="s">
        <v>112</v>
      </c>
      <c r="G137" s="193">
        <v>1520062</v>
      </c>
    </row>
    <row r="138" spans="1:7" x14ac:dyDescent="0.3">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93" t="s">
        <v>1803</v>
      </c>
      <c r="D138" s="193" t="s">
        <v>1804</v>
      </c>
      <c r="E138" s="193" t="s">
        <v>1805</v>
      </c>
      <c r="F138" s="193" t="s">
        <v>112</v>
      </c>
      <c r="G138" s="193">
        <v>1326734</v>
      </c>
    </row>
    <row r="139" spans="1:7" x14ac:dyDescent="0.3">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93" t="s">
        <v>1806</v>
      </c>
      <c r="D139" s="193" t="s">
        <v>1807</v>
      </c>
      <c r="E139" s="193" t="s">
        <v>1808</v>
      </c>
      <c r="F139" s="193" t="s">
        <v>112</v>
      </c>
      <c r="G139" s="193">
        <v>1316201</v>
      </c>
    </row>
    <row r="140" spans="1:7" x14ac:dyDescent="0.3">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93" t="s">
        <v>1809</v>
      </c>
      <c r="D140" s="193" t="s">
        <v>1810</v>
      </c>
      <c r="E140" s="193" t="s">
        <v>1811</v>
      </c>
      <c r="F140" s="193" t="s">
        <v>112</v>
      </c>
      <c r="G140" s="193">
        <v>1411848</v>
      </c>
    </row>
    <row r="141" spans="1:7" x14ac:dyDescent="0.3">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93" t="s">
        <v>1812</v>
      </c>
      <c r="D141" s="193" t="s">
        <v>1813</v>
      </c>
      <c r="E141" s="193" t="s">
        <v>1814</v>
      </c>
      <c r="F141" s="193" t="s">
        <v>112</v>
      </c>
      <c r="G141" s="193">
        <v>1046757</v>
      </c>
    </row>
    <row r="142" spans="1:7" x14ac:dyDescent="0.3">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93" t="s">
        <v>1815</v>
      </c>
      <c r="D142" s="193" t="s">
        <v>1816</v>
      </c>
      <c r="E142" s="193" t="s">
        <v>1817</v>
      </c>
      <c r="F142" s="193" t="s">
        <v>112</v>
      </c>
      <c r="G142" s="193">
        <v>920201</v>
      </c>
    </row>
    <row r="143" spans="1:7" x14ac:dyDescent="0.3">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93" t="s">
        <v>1818</v>
      </c>
      <c r="D143" s="193" t="s">
        <v>1819</v>
      </c>
      <c r="E143" s="193" t="s">
        <v>1820</v>
      </c>
      <c r="F143" s="193" t="s">
        <v>112</v>
      </c>
      <c r="G143" s="193">
        <v>1175368</v>
      </c>
    </row>
    <row r="144" spans="1:7" x14ac:dyDescent="0.3">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93" t="s">
        <v>1821</v>
      </c>
      <c r="D144" s="193" t="s">
        <v>1822</v>
      </c>
      <c r="E144" s="193" t="s">
        <v>1823</v>
      </c>
      <c r="F144" s="193" t="s">
        <v>112</v>
      </c>
      <c r="G144" s="193">
        <v>1196739</v>
      </c>
    </row>
    <row r="145" spans="1:10" x14ac:dyDescent="0.3">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93" t="s">
        <v>1824</v>
      </c>
      <c r="D145" s="193" t="s">
        <v>1825</v>
      </c>
      <c r="E145" s="193" t="s">
        <v>1826</v>
      </c>
      <c r="F145" s="193" t="s">
        <v>112</v>
      </c>
      <c r="G145" s="193">
        <v>1386779</v>
      </c>
      <c r="H145" s="193"/>
      <c r="I145" s="193"/>
      <c r="J145" s="193"/>
    </row>
    <row r="146" spans="1:10" x14ac:dyDescent="0.3">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93" t="s">
        <v>1827</v>
      </c>
      <c r="D146" s="193" t="s">
        <v>1828</v>
      </c>
      <c r="E146" s="193" t="s">
        <v>1829</v>
      </c>
      <c r="F146" s="193" t="s">
        <v>112</v>
      </c>
      <c r="G146" s="193">
        <v>1100075</v>
      </c>
      <c r="H146" s="193"/>
      <c r="I146" s="193"/>
      <c r="J146" s="193"/>
    </row>
    <row r="147" spans="1:10" x14ac:dyDescent="0.3">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93" t="s">
        <v>1830</v>
      </c>
      <c r="D147" s="193" t="s">
        <v>1831</v>
      </c>
      <c r="E147" s="193" t="s">
        <v>1832</v>
      </c>
      <c r="F147" s="193" t="s">
        <v>112</v>
      </c>
      <c r="G147" s="193">
        <v>997787</v>
      </c>
      <c r="H147" s="193"/>
      <c r="I147" s="193"/>
      <c r="J147" s="193"/>
    </row>
    <row r="148" spans="1:10" x14ac:dyDescent="0.3">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93" t="s">
        <v>1833</v>
      </c>
      <c r="D148" s="193" t="s">
        <v>1834</v>
      </c>
      <c r="E148" s="193" t="s">
        <v>1835</v>
      </c>
      <c r="F148" s="193" t="s">
        <v>112</v>
      </c>
      <c r="G148" s="193">
        <v>976806</v>
      </c>
      <c r="H148" s="193"/>
      <c r="I148" s="193"/>
      <c r="J148" s="193"/>
    </row>
    <row r="149" spans="1:10" x14ac:dyDescent="0.3">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93" t="s">
        <v>1836</v>
      </c>
      <c r="D149" s="193" t="s">
        <v>1837</v>
      </c>
      <c r="E149" s="193" t="s">
        <v>1838</v>
      </c>
      <c r="F149" s="193" t="s">
        <v>112</v>
      </c>
      <c r="G149" s="193">
        <v>10772</v>
      </c>
      <c r="H149" s="193"/>
      <c r="I149" s="193"/>
      <c r="J149" s="193"/>
    </row>
    <row r="150" spans="1:10" x14ac:dyDescent="0.3">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93" t="s">
        <v>1839</v>
      </c>
      <c r="D150" s="193" t="s">
        <v>1840</v>
      </c>
      <c r="E150" s="193" t="s">
        <v>1841</v>
      </c>
      <c r="F150" s="193" t="s">
        <v>112</v>
      </c>
      <c r="G150" s="193">
        <v>38934</v>
      </c>
      <c r="H150" s="193"/>
      <c r="I150" s="193"/>
      <c r="J150" s="193"/>
    </row>
    <row r="151" spans="1:10" x14ac:dyDescent="0.3">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93" t="s">
        <v>1842</v>
      </c>
      <c r="D151" s="193" t="s">
        <v>1843</v>
      </c>
      <c r="E151" s="193" t="s">
        <v>1844</v>
      </c>
      <c r="F151" s="193" t="s">
        <v>112</v>
      </c>
      <c r="G151" s="193">
        <v>102374</v>
      </c>
      <c r="H151" s="193"/>
      <c r="I151" s="193"/>
      <c r="J151" s="193"/>
    </row>
    <row r="152" spans="1:10" x14ac:dyDescent="0.3">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93" t="s">
        <v>1845</v>
      </c>
      <c r="D152" s="193" t="s">
        <v>1846</v>
      </c>
      <c r="E152" s="193" t="s">
        <v>1847</v>
      </c>
      <c r="F152" s="193" t="s">
        <v>112</v>
      </c>
      <c r="G152" s="193">
        <v>1309431</v>
      </c>
      <c r="H152" s="193"/>
      <c r="I152" s="193"/>
      <c r="J152" s="193"/>
    </row>
    <row r="153" spans="1:10" x14ac:dyDescent="0.3">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93" t="s">
        <v>1848</v>
      </c>
      <c r="D153" s="193" t="s">
        <v>1849</v>
      </c>
      <c r="E153" s="193" t="s">
        <v>1850</v>
      </c>
      <c r="F153" s="193" t="s">
        <v>112</v>
      </c>
      <c r="G153" s="193">
        <v>1865730</v>
      </c>
      <c r="H153" s="193"/>
      <c r="I153" s="193"/>
      <c r="J153" s="193"/>
    </row>
    <row r="154" spans="1:10" x14ac:dyDescent="0.3">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93" t="s">
        <v>1851</v>
      </c>
      <c r="D154" s="193" t="s">
        <v>1816</v>
      </c>
      <c r="E154" s="193" t="s">
        <v>1852</v>
      </c>
      <c r="F154" s="193" t="s">
        <v>112</v>
      </c>
      <c r="G154" s="193">
        <v>919119</v>
      </c>
      <c r="H154" s="193"/>
      <c r="I154" s="193"/>
      <c r="J154" s="193"/>
    </row>
    <row r="155" spans="1:10" x14ac:dyDescent="0.3">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93" t="s">
        <v>1853</v>
      </c>
      <c r="D155" s="193" t="s">
        <v>1854</v>
      </c>
      <c r="E155" s="193" t="s">
        <v>1855</v>
      </c>
      <c r="F155" s="193" t="s">
        <v>112</v>
      </c>
      <c r="G155" s="193">
        <v>1196955</v>
      </c>
      <c r="H155" s="193"/>
      <c r="I155" s="193"/>
      <c r="J155" s="193"/>
    </row>
    <row r="156" spans="1:10" x14ac:dyDescent="0.3">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93" t="s">
        <v>1856</v>
      </c>
      <c r="D156" s="193" t="s">
        <v>1857</v>
      </c>
      <c r="E156" s="193" t="s">
        <v>1858</v>
      </c>
      <c r="F156" s="193" t="s">
        <v>112</v>
      </c>
      <c r="G156" s="193">
        <v>1549998</v>
      </c>
      <c r="H156" s="193"/>
      <c r="I156" s="193"/>
      <c r="J156" s="193"/>
    </row>
    <row r="157" spans="1:10" x14ac:dyDescent="0.3">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93" t="s">
        <v>1859</v>
      </c>
      <c r="D157" s="193" t="s">
        <v>1860</v>
      </c>
      <c r="E157" s="193" t="s">
        <v>1861</v>
      </c>
      <c r="F157" s="193" t="s">
        <v>112</v>
      </c>
      <c r="G157" s="193">
        <v>1517532</v>
      </c>
      <c r="H157" s="193"/>
      <c r="I157" s="193"/>
      <c r="J157" s="193"/>
    </row>
    <row r="158" spans="1:10" x14ac:dyDescent="0.3">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93" t="s">
        <v>112</v>
      </c>
      <c r="D158" s="193"/>
      <c r="E158" s="193"/>
      <c r="F158" s="193"/>
      <c r="G158" s="193"/>
      <c r="H158" s="193"/>
      <c r="I158" s="193"/>
      <c r="J158" s="193"/>
    </row>
    <row r="159" spans="1:10" x14ac:dyDescent="0.3">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93" t="s">
        <v>229</v>
      </c>
      <c r="D159" s="193" t="s">
        <v>112</v>
      </c>
      <c r="E159" s="193" t="s">
        <v>230</v>
      </c>
      <c r="F159" s="193" t="s">
        <v>231</v>
      </c>
      <c r="G159" s="193" t="s">
        <v>232</v>
      </c>
      <c r="H159" s="193" t="s">
        <v>233</v>
      </c>
      <c r="I159" s="193" t="s">
        <v>234</v>
      </c>
      <c r="J159" s="193" t="s">
        <v>235</v>
      </c>
    </row>
    <row r="160" spans="1:10" x14ac:dyDescent="0.3">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93" t="s">
        <v>1862</v>
      </c>
      <c r="D160" s="193" t="s">
        <v>112</v>
      </c>
      <c r="E160" s="193" t="s">
        <v>1863</v>
      </c>
      <c r="F160" s="193" t="s">
        <v>1864</v>
      </c>
      <c r="G160" s="193" t="s">
        <v>1865</v>
      </c>
      <c r="H160" s="193" t="s">
        <v>1866</v>
      </c>
      <c r="I160" s="193">
        <v>24</v>
      </c>
      <c r="J160" s="193">
        <v>24</v>
      </c>
    </row>
    <row r="161" spans="1:7" x14ac:dyDescent="0.3">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93" t="s">
        <v>112</v>
      </c>
      <c r="D161" s="193"/>
      <c r="E161" s="193"/>
      <c r="F161" s="193"/>
      <c r="G161" s="193"/>
    </row>
    <row r="162" spans="1:7" x14ac:dyDescent="0.3">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93" t="s">
        <v>112</v>
      </c>
      <c r="D162" s="193"/>
      <c r="E162" s="193"/>
      <c r="F162" s="193"/>
      <c r="G162" s="193"/>
    </row>
    <row r="163" spans="1:7" x14ac:dyDescent="0.3">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93" t="s">
        <v>112</v>
      </c>
      <c r="D163" s="193"/>
      <c r="E163" s="193"/>
      <c r="F163" s="193"/>
      <c r="G163" s="193"/>
    </row>
    <row r="164" spans="1:7" x14ac:dyDescent="0.3">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93" t="s">
        <v>112</v>
      </c>
      <c r="D164" s="193"/>
      <c r="E164" s="193"/>
      <c r="F164" s="193"/>
      <c r="G164" s="193"/>
    </row>
    <row r="165" spans="1:7" x14ac:dyDescent="0.3">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93" t="s">
        <v>112</v>
      </c>
      <c r="D165" s="193"/>
      <c r="E165" s="193"/>
      <c r="F165" s="193"/>
      <c r="G165" s="193"/>
    </row>
    <row r="166" spans="1:7" x14ac:dyDescent="0.3">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93" t="s">
        <v>241</v>
      </c>
      <c r="D166" s="193" t="s">
        <v>110</v>
      </c>
      <c r="E166" s="193" t="s">
        <v>111</v>
      </c>
      <c r="F166" s="193" t="s">
        <v>112</v>
      </c>
      <c r="G166" s="193" t="s">
        <v>113</v>
      </c>
    </row>
    <row r="167" spans="1:7" x14ac:dyDescent="0.3">
      <c r="A167" s="1" t="str">
        <f t="shared" si="2"/>
        <v>06 EE2 170.9</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93" t="s">
        <v>1867</v>
      </c>
      <c r="D167" s="193" t="s">
        <v>1868</v>
      </c>
      <c r="E167" s="193" t="s">
        <v>1869</v>
      </c>
      <c r="F167" s="193" t="s">
        <v>112</v>
      </c>
      <c r="G167" s="193">
        <v>5855342</v>
      </c>
    </row>
    <row r="168" spans="1:7" x14ac:dyDescent="0.3">
      <c r="A168" s="1" t="str">
        <f t="shared" si="2"/>
        <v>06 EE2 170.9</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93" t="s">
        <v>1870</v>
      </c>
      <c r="D168" s="193" t="s">
        <v>1871</v>
      </c>
      <c r="E168" s="193" t="s">
        <v>1872</v>
      </c>
      <c r="F168" s="193" t="s">
        <v>112</v>
      </c>
      <c r="G168" s="193">
        <v>5165781</v>
      </c>
    </row>
    <row r="169" spans="1:7" x14ac:dyDescent="0.3">
      <c r="A169" s="1" t="str">
        <f t="shared" si="2"/>
        <v>06 EE2 170.9</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93" t="s">
        <v>1873</v>
      </c>
      <c r="D169" s="193" t="s">
        <v>1874</v>
      </c>
      <c r="E169" s="193" t="s">
        <v>1875</v>
      </c>
      <c r="F169" s="193" t="s">
        <v>112</v>
      </c>
      <c r="G169" s="193">
        <v>5161801</v>
      </c>
    </row>
    <row r="170" spans="1:7" x14ac:dyDescent="0.3">
      <c r="A170" s="1" t="str">
        <f t="shared" si="2"/>
        <v>06 EE2 170.9</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93" t="s">
        <v>1876</v>
      </c>
      <c r="D170" s="193" t="s">
        <v>1877</v>
      </c>
      <c r="E170" s="193" t="s">
        <v>1878</v>
      </c>
      <c r="F170" s="193" t="s">
        <v>112</v>
      </c>
      <c r="G170" s="193">
        <v>816226</v>
      </c>
    </row>
    <row r="171" spans="1:7" x14ac:dyDescent="0.3">
      <c r="A171" s="1" t="str">
        <f t="shared" si="2"/>
        <v>06 EE2 170.9</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93" t="s">
        <v>1879</v>
      </c>
      <c r="D171" s="193" t="s">
        <v>1622</v>
      </c>
      <c r="E171" s="193" t="s">
        <v>1880</v>
      </c>
      <c r="F171" s="193" t="s">
        <v>112</v>
      </c>
      <c r="G171" s="193">
        <v>14643</v>
      </c>
    </row>
    <row r="172" spans="1:7" x14ac:dyDescent="0.3">
      <c r="A172" s="1" t="str">
        <f t="shared" si="2"/>
        <v>06 EE2 170.9</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93" t="s">
        <v>1881</v>
      </c>
      <c r="D172" s="193" t="s">
        <v>1708</v>
      </c>
      <c r="E172" s="193" t="s">
        <v>1882</v>
      </c>
      <c r="F172" s="193" t="s">
        <v>112</v>
      </c>
      <c r="G172" s="193">
        <v>26540</v>
      </c>
    </row>
    <row r="173" spans="1:7" x14ac:dyDescent="0.3">
      <c r="A173" s="1" t="str">
        <f t="shared" si="2"/>
        <v>06 EE2 170.9</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93" t="s">
        <v>1883</v>
      </c>
      <c r="D173" s="193" t="s">
        <v>1884</v>
      </c>
      <c r="E173" s="193" t="s">
        <v>1885</v>
      </c>
      <c r="F173" s="193" t="s">
        <v>112</v>
      </c>
      <c r="G173" s="193">
        <v>2600368</v>
      </c>
    </row>
    <row r="174" spans="1:7" x14ac:dyDescent="0.3">
      <c r="A174" s="1" t="str">
        <f t="shared" si="2"/>
        <v>06 EE2 170.9</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93" t="s">
        <v>1886</v>
      </c>
      <c r="D174" s="193" t="s">
        <v>1887</v>
      </c>
      <c r="E174" s="193" t="s">
        <v>1888</v>
      </c>
      <c r="F174" s="193" t="s">
        <v>112</v>
      </c>
      <c r="G174" s="193">
        <v>2555139</v>
      </c>
    </row>
    <row r="175" spans="1:7" x14ac:dyDescent="0.3">
      <c r="A175" s="1" t="str">
        <f t="shared" si="2"/>
        <v>06 EE2 170.9</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93" t="s">
        <v>1889</v>
      </c>
      <c r="D175" s="193" t="s">
        <v>1890</v>
      </c>
      <c r="E175" s="193" t="s">
        <v>1891</v>
      </c>
      <c r="F175" s="193" t="s">
        <v>112</v>
      </c>
      <c r="G175" s="193">
        <v>2539415</v>
      </c>
    </row>
    <row r="176" spans="1:7" x14ac:dyDescent="0.3">
      <c r="A176" s="1" t="str">
        <f t="shared" si="2"/>
        <v>06 EE2 170.9</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93" t="s">
        <v>1892</v>
      </c>
      <c r="D176" s="193" t="s">
        <v>1893</v>
      </c>
      <c r="E176" s="193" t="s">
        <v>1894</v>
      </c>
      <c r="F176" s="193" t="s">
        <v>112</v>
      </c>
      <c r="G176" s="193">
        <v>3371668</v>
      </c>
    </row>
    <row r="177" spans="1:10" x14ac:dyDescent="0.3">
      <c r="A177" s="1" t="str">
        <f t="shared" si="2"/>
        <v>06 EE2 170.9</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93" t="s">
        <v>1895</v>
      </c>
      <c r="D177" s="193" t="s">
        <v>1896</v>
      </c>
      <c r="E177" s="193" t="s">
        <v>1897</v>
      </c>
      <c r="F177" s="193" t="s">
        <v>112</v>
      </c>
      <c r="G177" s="193">
        <v>3344479</v>
      </c>
      <c r="H177" s="193"/>
      <c r="I177" s="193"/>
      <c r="J177" s="193"/>
    </row>
    <row r="178" spans="1:10" x14ac:dyDescent="0.3">
      <c r="A178" s="1" t="str">
        <f t="shared" si="2"/>
        <v>06 EE2 170.9</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93" t="s">
        <v>1898</v>
      </c>
      <c r="D178" s="193" t="s">
        <v>1899</v>
      </c>
      <c r="E178" s="193" t="s">
        <v>1900</v>
      </c>
      <c r="F178" s="193" t="s">
        <v>112</v>
      </c>
      <c r="G178" s="193">
        <v>3112996</v>
      </c>
      <c r="H178" s="193"/>
      <c r="I178" s="193"/>
      <c r="J178" s="193"/>
    </row>
    <row r="179" spans="1:10" x14ac:dyDescent="0.3">
      <c r="A179" s="1" t="str">
        <f t="shared" si="2"/>
        <v>06 EE2 170.9</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93" t="s">
        <v>1901</v>
      </c>
      <c r="D179" s="193" t="s">
        <v>1902</v>
      </c>
      <c r="E179" s="193" t="s">
        <v>1903</v>
      </c>
      <c r="F179" s="193" t="s">
        <v>112</v>
      </c>
      <c r="G179" s="193">
        <v>2930851</v>
      </c>
      <c r="H179" s="193"/>
      <c r="I179" s="193"/>
      <c r="J179" s="193"/>
    </row>
    <row r="180" spans="1:10" x14ac:dyDescent="0.3">
      <c r="A180" s="1" t="str">
        <f t="shared" si="2"/>
        <v>06 EE2 170.9</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93" t="s">
        <v>1904</v>
      </c>
      <c r="D180" s="193" t="s">
        <v>1905</v>
      </c>
      <c r="E180" s="193" t="s">
        <v>1906</v>
      </c>
      <c r="F180" s="193" t="s">
        <v>112</v>
      </c>
      <c r="G180" s="193">
        <v>1419008</v>
      </c>
      <c r="H180" s="193"/>
      <c r="I180" s="193"/>
      <c r="J180" s="193"/>
    </row>
    <row r="181" spans="1:10" x14ac:dyDescent="0.3">
      <c r="A181" s="1" t="str">
        <f t="shared" si="2"/>
        <v>06 EE2 170.9</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93" t="s">
        <v>1907</v>
      </c>
      <c r="D181" s="193" t="s">
        <v>1908</v>
      </c>
      <c r="E181" s="193" t="s">
        <v>1909</v>
      </c>
      <c r="F181" s="193" t="s">
        <v>112</v>
      </c>
      <c r="G181" s="193">
        <v>2763803</v>
      </c>
      <c r="H181" s="193"/>
      <c r="I181" s="193"/>
      <c r="J181" s="193"/>
    </row>
    <row r="182" spans="1:10" x14ac:dyDescent="0.3">
      <c r="A182" s="1" t="str">
        <f t="shared" si="2"/>
        <v>06 EE2 170.9</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93" t="s">
        <v>1910</v>
      </c>
      <c r="D182" s="193" t="s">
        <v>1911</v>
      </c>
      <c r="E182" s="193" t="s">
        <v>1912</v>
      </c>
      <c r="F182" s="193" t="s">
        <v>112</v>
      </c>
      <c r="G182" s="193">
        <v>3555025</v>
      </c>
      <c r="H182" s="193"/>
      <c r="I182" s="193"/>
      <c r="J182" s="193"/>
    </row>
    <row r="183" spans="1:10" x14ac:dyDescent="0.3">
      <c r="A183" s="1" t="str">
        <f t="shared" si="2"/>
        <v>06 EE2 170.9</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93" t="s">
        <v>1913</v>
      </c>
      <c r="D183" s="193" t="s">
        <v>1914</v>
      </c>
      <c r="E183" s="193" t="s">
        <v>1915</v>
      </c>
      <c r="F183" s="193" t="s">
        <v>112</v>
      </c>
      <c r="G183" s="193">
        <v>3753911</v>
      </c>
      <c r="H183" s="193"/>
      <c r="I183" s="193"/>
      <c r="J183" s="193"/>
    </row>
    <row r="184" spans="1:10" x14ac:dyDescent="0.3">
      <c r="A184" s="1" t="str">
        <f t="shared" si="2"/>
        <v>06 EE2 170.9</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93" t="s">
        <v>1916</v>
      </c>
      <c r="D184" s="193" t="s">
        <v>1917</v>
      </c>
      <c r="E184" s="193" t="s">
        <v>1918</v>
      </c>
      <c r="F184" s="193" t="s">
        <v>112</v>
      </c>
      <c r="G184" s="193">
        <v>3080335</v>
      </c>
      <c r="H184" s="193"/>
      <c r="I184" s="193"/>
      <c r="J184" s="193"/>
    </row>
    <row r="185" spans="1:10" x14ac:dyDescent="0.3">
      <c r="A185" s="1" t="str">
        <f t="shared" si="2"/>
        <v>06 EE2 170.9</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93" t="s">
        <v>1919</v>
      </c>
      <c r="D185" s="193" t="s">
        <v>1920</v>
      </c>
      <c r="E185" s="193" t="s">
        <v>1921</v>
      </c>
      <c r="F185" s="193" t="s">
        <v>112</v>
      </c>
      <c r="G185" s="193">
        <v>2129852</v>
      </c>
      <c r="H185" s="193"/>
      <c r="I185" s="193"/>
      <c r="J185" s="193"/>
    </row>
    <row r="186" spans="1:10" x14ac:dyDescent="0.3">
      <c r="A186" s="1" t="str">
        <f t="shared" si="2"/>
        <v>06 EE2 170.9</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93" t="s">
        <v>1922</v>
      </c>
      <c r="D186" s="193" t="s">
        <v>1923</v>
      </c>
      <c r="E186" s="193" t="s">
        <v>1924</v>
      </c>
      <c r="F186" s="193" t="s">
        <v>112</v>
      </c>
      <c r="G186" s="193">
        <v>1958479</v>
      </c>
      <c r="H186" s="193"/>
      <c r="I186" s="193"/>
      <c r="J186" s="193"/>
    </row>
    <row r="187" spans="1:10" x14ac:dyDescent="0.3">
      <c r="A187" s="1" t="str">
        <f t="shared" si="2"/>
        <v>06 EE2 170.9</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93" t="s">
        <v>1925</v>
      </c>
      <c r="D187" s="193" t="s">
        <v>1926</v>
      </c>
      <c r="E187" s="193" t="s">
        <v>1927</v>
      </c>
      <c r="F187" s="193" t="s">
        <v>112</v>
      </c>
      <c r="G187" s="193">
        <v>2133097</v>
      </c>
      <c r="H187" s="193"/>
      <c r="I187" s="193"/>
      <c r="J187" s="193"/>
    </row>
    <row r="188" spans="1:10" x14ac:dyDescent="0.3">
      <c r="A188" s="1" t="str">
        <f t="shared" si="2"/>
        <v>06 EE2 170.9</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93" t="s">
        <v>1928</v>
      </c>
      <c r="D188" s="193" t="s">
        <v>1929</v>
      </c>
      <c r="E188" s="193" t="s">
        <v>1930</v>
      </c>
      <c r="F188" s="193" t="s">
        <v>112</v>
      </c>
      <c r="G188" s="193">
        <v>2152542</v>
      </c>
      <c r="H188" s="193"/>
      <c r="I188" s="193"/>
      <c r="J188" s="193"/>
    </row>
    <row r="189" spans="1:10" x14ac:dyDescent="0.3">
      <c r="A189" s="1" t="str">
        <f t="shared" si="2"/>
        <v>06 EE2 170.9</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93" t="s">
        <v>1931</v>
      </c>
      <c r="D189" s="193" t="s">
        <v>1932</v>
      </c>
      <c r="E189" s="193" t="s">
        <v>1933</v>
      </c>
      <c r="F189" s="193" t="s">
        <v>112</v>
      </c>
      <c r="G189" s="193">
        <v>2055056</v>
      </c>
      <c r="H189" s="193"/>
      <c r="I189" s="193"/>
      <c r="J189" s="193"/>
    </row>
    <row r="190" spans="1:10" x14ac:dyDescent="0.3">
      <c r="A190" s="1" t="str">
        <f t="shared" si="2"/>
        <v>06 EE2 170.9</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93" t="s">
        <v>1934</v>
      </c>
      <c r="D190" s="193" t="s">
        <v>1935</v>
      </c>
      <c r="E190" s="193" t="s">
        <v>1936</v>
      </c>
      <c r="F190" s="193" t="s">
        <v>112</v>
      </c>
      <c r="G190" s="193">
        <v>2188643</v>
      </c>
      <c r="H190" s="193"/>
      <c r="I190" s="193"/>
      <c r="J190" s="193"/>
    </row>
    <row r="191" spans="1:10" x14ac:dyDescent="0.3">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93" t="s">
        <v>112</v>
      </c>
      <c r="D191" s="193"/>
      <c r="E191" s="193"/>
      <c r="F191" s="193"/>
      <c r="G191" s="193"/>
      <c r="H191" s="193"/>
      <c r="I191" s="193"/>
      <c r="J191" s="193"/>
    </row>
    <row r="192" spans="1:10" x14ac:dyDescent="0.3">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93" t="s">
        <v>229</v>
      </c>
      <c r="D192" s="193" t="s">
        <v>112</v>
      </c>
      <c r="E192" s="193" t="s">
        <v>230</v>
      </c>
      <c r="F192" s="193" t="s">
        <v>231</v>
      </c>
      <c r="G192" s="193" t="s">
        <v>232</v>
      </c>
      <c r="H192" s="193" t="s">
        <v>233</v>
      </c>
      <c r="I192" s="193" t="s">
        <v>234</v>
      </c>
      <c r="J192" s="193" t="s">
        <v>235</v>
      </c>
    </row>
    <row r="193" spans="1:10" x14ac:dyDescent="0.3">
      <c r="A193" s="1" t="str">
        <f t="shared" si="2"/>
        <v>06 EE2 170.9</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93" t="s">
        <v>1937</v>
      </c>
      <c r="D193" s="193" t="s">
        <v>112</v>
      </c>
      <c r="E193" s="193" t="s">
        <v>1938</v>
      </c>
      <c r="F193" s="193" t="s">
        <v>1939</v>
      </c>
      <c r="G193" s="193" t="s">
        <v>1940</v>
      </c>
      <c r="H193" s="193" t="s">
        <v>1941</v>
      </c>
      <c r="I193" s="193">
        <v>24</v>
      </c>
      <c r="J193" s="193">
        <v>24</v>
      </c>
    </row>
    <row r="194" spans="1:10" x14ac:dyDescent="0.3">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93" t="s">
        <v>112</v>
      </c>
      <c r="D194" s="193"/>
      <c r="E194" s="193"/>
      <c r="F194" s="193"/>
      <c r="G194" s="193"/>
      <c r="H194" s="193"/>
      <c r="I194" s="193"/>
      <c r="J194" s="193"/>
    </row>
    <row r="195" spans="1:10" x14ac:dyDescent="0.3">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93" t="s">
        <v>112</v>
      </c>
      <c r="D195" s="193"/>
      <c r="E195" s="193"/>
      <c r="F195" s="193"/>
      <c r="G195" s="193"/>
      <c r="H195" s="193"/>
      <c r="I195" s="193"/>
      <c r="J195" s="193"/>
    </row>
    <row r="196" spans="1:10" x14ac:dyDescent="0.3">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93" t="s">
        <v>112</v>
      </c>
      <c r="D196" s="193"/>
      <c r="E196" s="193"/>
      <c r="F196" s="193"/>
      <c r="G196" s="193"/>
      <c r="H196" s="193"/>
      <c r="I196" s="193"/>
      <c r="J196" s="193"/>
    </row>
    <row r="197" spans="1:10" x14ac:dyDescent="0.3">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93" t="s">
        <v>112</v>
      </c>
      <c r="D197" s="193"/>
      <c r="E197" s="193"/>
      <c r="F197" s="193"/>
      <c r="G197" s="193"/>
      <c r="H197" s="193"/>
      <c r="I197" s="193"/>
      <c r="J197" s="193"/>
    </row>
    <row r="198" spans="1:10" x14ac:dyDescent="0.3">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93" t="s">
        <v>112</v>
      </c>
      <c r="D198" s="193"/>
      <c r="E198" s="193"/>
      <c r="F198" s="193"/>
      <c r="G198" s="193"/>
      <c r="H198" s="193"/>
      <c r="I198" s="193"/>
      <c r="J198" s="193"/>
    </row>
    <row r="199" spans="1:10" x14ac:dyDescent="0.3">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93" t="s">
        <v>241</v>
      </c>
      <c r="D199" s="193" t="s">
        <v>110</v>
      </c>
      <c r="E199" s="193" t="s">
        <v>111</v>
      </c>
      <c r="F199" s="193" t="s">
        <v>112</v>
      </c>
      <c r="G199" s="193" t="s">
        <v>113</v>
      </c>
      <c r="H199" s="193"/>
      <c r="I199" s="193"/>
      <c r="J199" s="193"/>
    </row>
    <row r="200" spans="1:10" x14ac:dyDescent="0.3">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93" t="s">
        <v>1942</v>
      </c>
      <c r="D200" s="193" t="s">
        <v>1943</v>
      </c>
      <c r="E200" s="193" t="s">
        <v>1944</v>
      </c>
      <c r="F200" s="193" t="s">
        <v>112</v>
      </c>
      <c r="G200" s="193">
        <v>7151968</v>
      </c>
      <c r="H200" s="193"/>
      <c r="I200" s="193"/>
      <c r="J200" s="193"/>
    </row>
    <row r="201" spans="1:10" x14ac:dyDescent="0.3">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93" t="s">
        <v>1945</v>
      </c>
      <c r="D201" s="193" t="s">
        <v>1946</v>
      </c>
      <c r="E201" s="193" t="s">
        <v>1947</v>
      </c>
      <c r="F201" s="193" t="s">
        <v>112</v>
      </c>
      <c r="G201" s="193">
        <v>7098066</v>
      </c>
      <c r="H201" s="193"/>
      <c r="I201" s="193"/>
      <c r="J201" s="193"/>
    </row>
    <row r="202" spans="1:10" x14ac:dyDescent="0.3">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93" t="s">
        <v>1948</v>
      </c>
      <c r="D202" s="193" t="s">
        <v>1949</v>
      </c>
      <c r="E202" s="193" t="s">
        <v>1950</v>
      </c>
      <c r="F202" s="193" t="s">
        <v>112</v>
      </c>
      <c r="G202" s="193">
        <v>6964350</v>
      </c>
      <c r="H202" s="193"/>
      <c r="I202" s="193"/>
      <c r="J202" s="193"/>
    </row>
    <row r="203" spans="1:10" x14ac:dyDescent="0.3">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93" t="s">
        <v>1951</v>
      </c>
      <c r="D203" s="193" t="s">
        <v>1952</v>
      </c>
      <c r="E203" s="193" t="s">
        <v>1953</v>
      </c>
      <c r="F203" s="193" t="s">
        <v>112</v>
      </c>
      <c r="G203" s="193">
        <v>4946497</v>
      </c>
      <c r="H203" s="193"/>
      <c r="I203" s="193"/>
      <c r="J203" s="193"/>
    </row>
    <row r="204" spans="1:10" x14ac:dyDescent="0.3">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93" t="s">
        <v>1954</v>
      </c>
      <c r="D204" s="193" t="s">
        <v>1955</v>
      </c>
      <c r="E204" s="193" t="s">
        <v>1956</v>
      </c>
      <c r="F204" s="193" t="s">
        <v>112</v>
      </c>
      <c r="G204" s="193">
        <v>5230238</v>
      </c>
      <c r="H204" s="193"/>
      <c r="I204" s="193"/>
      <c r="J204" s="193"/>
    </row>
    <row r="205" spans="1:10" x14ac:dyDescent="0.3">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93" t="s">
        <v>1957</v>
      </c>
      <c r="D205" s="193" t="s">
        <v>1958</v>
      </c>
      <c r="E205" s="193" t="s">
        <v>1959</v>
      </c>
      <c r="F205" s="193" t="s">
        <v>112</v>
      </c>
      <c r="G205" s="193">
        <v>6047437</v>
      </c>
      <c r="H205" s="193"/>
      <c r="I205" s="193"/>
      <c r="J205" s="193"/>
    </row>
    <row r="206" spans="1:10" x14ac:dyDescent="0.3">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93" t="s">
        <v>1960</v>
      </c>
      <c r="D206" s="193" t="s">
        <v>1961</v>
      </c>
      <c r="E206" s="193" t="s">
        <v>1962</v>
      </c>
      <c r="F206" s="193" t="s">
        <v>112</v>
      </c>
      <c r="G206" s="193">
        <v>7055131</v>
      </c>
      <c r="H206" s="193"/>
      <c r="I206" s="193"/>
      <c r="J206" s="193"/>
    </row>
    <row r="207" spans="1:10" x14ac:dyDescent="0.3">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93" t="s">
        <v>1963</v>
      </c>
      <c r="D207" s="193" t="s">
        <v>1964</v>
      </c>
      <c r="E207" s="193" t="s">
        <v>1965</v>
      </c>
      <c r="F207" s="193" t="s">
        <v>112</v>
      </c>
      <c r="G207" s="193">
        <v>7214392</v>
      </c>
      <c r="H207" s="193"/>
      <c r="I207" s="193"/>
      <c r="J207" s="193"/>
    </row>
    <row r="208" spans="1:10" x14ac:dyDescent="0.3">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93" t="s">
        <v>1966</v>
      </c>
      <c r="D208" s="193" t="s">
        <v>1967</v>
      </c>
      <c r="E208" s="193" t="s">
        <v>1968</v>
      </c>
      <c r="F208" s="193" t="s">
        <v>112</v>
      </c>
      <c r="G208" s="193">
        <v>1886084</v>
      </c>
      <c r="H208" s="193"/>
      <c r="I208" s="193"/>
      <c r="J208" s="193"/>
    </row>
    <row r="209" spans="1:7" x14ac:dyDescent="0.3">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93" t="s">
        <v>1969</v>
      </c>
      <c r="D209" s="193" t="s">
        <v>1970</v>
      </c>
      <c r="E209" s="193" t="s">
        <v>1971</v>
      </c>
      <c r="F209" s="193" t="s">
        <v>112</v>
      </c>
      <c r="G209" s="193">
        <v>5334473</v>
      </c>
    </row>
    <row r="210" spans="1:7" x14ac:dyDescent="0.3">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93" t="s">
        <v>1972</v>
      </c>
      <c r="D210" s="193" t="s">
        <v>1973</v>
      </c>
      <c r="E210" s="193" t="s">
        <v>1974</v>
      </c>
      <c r="F210" s="193" t="s">
        <v>112</v>
      </c>
      <c r="G210" s="193">
        <v>5536042</v>
      </c>
    </row>
    <row r="211" spans="1:7" x14ac:dyDescent="0.3">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93" t="s">
        <v>1975</v>
      </c>
      <c r="D211" s="193" t="s">
        <v>1976</v>
      </c>
      <c r="E211" s="193" t="s">
        <v>1977</v>
      </c>
      <c r="F211" s="193" t="s">
        <v>112</v>
      </c>
      <c r="G211" s="193">
        <v>5406695</v>
      </c>
    </row>
    <row r="212" spans="1:7" x14ac:dyDescent="0.3">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93" t="s">
        <v>1978</v>
      </c>
      <c r="D212" s="193" t="s">
        <v>1979</v>
      </c>
      <c r="E212" s="193" t="s">
        <v>1980</v>
      </c>
      <c r="F212" s="193" t="s">
        <v>112</v>
      </c>
      <c r="G212" s="193">
        <v>6455788</v>
      </c>
    </row>
    <row r="213" spans="1:7" x14ac:dyDescent="0.3">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93" t="s">
        <v>1981</v>
      </c>
      <c r="D213" s="193" t="s">
        <v>1982</v>
      </c>
      <c r="E213" s="193" t="s">
        <v>1983</v>
      </c>
      <c r="F213" s="193" t="s">
        <v>112</v>
      </c>
      <c r="G213" s="193">
        <v>5786538</v>
      </c>
    </row>
    <row r="214" spans="1:7" x14ac:dyDescent="0.3">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93" t="s">
        <v>1984</v>
      </c>
      <c r="D214" s="193" t="s">
        <v>1985</v>
      </c>
      <c r="E214" s="193" t="s">
        <v>1986</v>
      </c>
      <c r="F214" s="193" t="s">
        <v>112</v>
      </c>
      <c r="G214" s="193">
        <v>6687704</v>
      </c>
    </row>
    <row r="215" spans="1:7" x14ac:dyDescent="0.3">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93" t="s">
        <v>1987</v>
      </c>
      <c r="D215" s="193" t="s">
        <v>1988</v>
      </c>
      <c r="E215" s="193" t="s">
        <v>1989</v>
      </c>
      <c r="F215" s="193" t="s">
        <v>112</v>
      </c>
      <c r="G215" s="193">
        <v>6729406</v>
      </c>
    </row>
    <row r="216" spans="1:7" x14ac:dyDescent="0.3">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93" t="s">
        <v>1990</v>
      </c>
      <c r="D216" s="193" t="s">
        <v>1991</v>
      </c>
      <c r="E216" s="193" t="s">
        <v>1992</v>
      </c>
      <c r="F216" s="193" t="s">
        <v>112</v>
      </c>
      <c r="G216" s="193">
        <v>6665663</v>
      </c>
    </row>
    <row r="217" spans="1:7" x14ac:dyDescent="0.3">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93" t="s">
        <v>1993</v>
      </c>
      <c r="D217" s="193" t="s">
        <v>1994</v>
      </c>
      <c r="E217" s="193" t="s">
        <v>1995</v>
      </c>
      <c r="F217" s="193" t="s">
        <v>112</v>
      </c>
      <c r="G217" s="193">
        <v>6802299</v>
      </c>
    </row>
    <row r="218" spans="1:7" x14ac:dyDescent="0.3">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93" t="s">
        <v>1996</v>
      </c>
      <c r="D218" s="193" t="s">
        <v>1997</v>
      </c>
      <c r="E218" s="193" t="s">
        <v>1998</v>
      </c>
      <c r="F218" s="193" t="s">
        <v>112</v>
      </c>
      <c r="G218" s="193">
        <v>3039390</v>
      </c>
    </row>
    <row r="219" spans="1:7" x14ac:dyDescent="0.3">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93" t="s">
        <v>1999</v>
      </c>
      <c r="D219" s="193" t="s">
        <v>2000</v>
      </c>
      <c r="E219" s="193" t="s">
        <v>2001</v>
      </c>
      <c r="F219" s="193" t="s">
        <v>112</v>
      </c>
      <c r="G219" s="193">
        <v>2653253</v>
      </c>
    </row>
    <row r="220" spans="1:7" x14ac:dyDescent="0.3">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93" t="s">
        <v>2002</v>
      </c>
      <c r="D220" s="193"/>
      <c r="E220" s="193"/>
      <c r="F220" s="193"/>
      <c r="G220" s="193"/>
    </row>
    <row r="221" spans="1:7" x14ac:dyDescent="0.3">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93" t="s">
        <v>2003</v>
      </c>
      <c r="D221" s="193" t="s">
        <v>2004</v>
      </c>
      <c r="E221" s="193" t="s">
        <v>2005</v>
      </c>
      <c r="F221" s="193" t="s">
        <v>112</v>
      </c>
      <c r="G221" s="193">
        <v>1009056</v>
      </c>
    </row>
    <row r="222" spans="1:7" x14ac:dyDescent="0.3">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93" t="s">
        <v>2006</v>
      </c>
      <c r="D222" s="193" t="s">
        <v>2007</v>
      </c>
      <c r="E222" s="193" t="s">
        <v>2008</v>
      </c>
      <c r="F222" s="193" t="s">
        <v>112</v>
      </c>
      <c r="G222" s="193">
        <v>1076412</v>
      </c>
    </row>
    <row r="223" spans="1:7" x14ac:dyDescent="0.3">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93" t="s">
        <v>2009</v>
      </c>
      <c r="D223" s="193" t="s">
        <v>2010</v>
      </c>
      <c r="E223" s="193" t="s">
        <v>2011</v>
      </c>
      <c r="F223" s="193" t="s">
        <v>112</v>
      </c>
      <c r="G223" s="193">
        <v>1683779</v>
      </c>
    </row>
    <row r="224" spans="1:7" x14ac:dyDescent="0.3">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93" t="s">
        <v>112</v>
      </c>
      <c r="D224" s="193"/>
      <c r="E224" s="193"/>
      <c r="F224" s="193"/>
      <c r="G224" s="193"/>
    </row>
    <row r="225" spans="1:10" x14ac:dyDescent="0.3">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93" t="s">
        <v>229</v>
      </c>
      <c r="D225" s="193" t="s">
        <v>112</v>
      </c>
      <c r="E225" s="193" t="s">
        <v>230</v>
      </c>
      <c r="F225" s="193" t="s">
        <v>231</v>
      </c>
      <c r="G225" s="193" t="s">
        <v>232</v>
      </c>
      <c r="H225" s="193" t="s">
        <v>233</v>
      </c>
      <c r="I225" s="193" t="s">
        <v>234</v>
      </c>
      <c r="J225" s="193" t="s">
        <v>235</v>
      </c>
    </row>
    <row r="226" spans="1:10" x14ac:dyDescent="0.3">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93" t="s">
        <v>2012</v>
      </c>
      <c r="D226" s="193" t="s">
        <v>112</v>
      </c>
      <c r="E226" s="193" t="s">
        <v>2013</v>
      </c>
      <c r="F226" s="193" t="s">
        <v>2014</v>
      </c>
      <c r="G226" s="193" t="s">
        <v>2015</v>
      </c>
      <c r="H226" s="193" t="s">
        <v>2016</v>
      </c>
      <c r="I226" s="193">
        <v>24</v>
      </c>
      <c r="J226" s="193">
        <v>24</v>
      </c>
    </row>
    <row r="227" spans="1:10" x14ac:dyDescent="0.3">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93" t="s">
        <v>112</v>
      </c>
      <c r="D227" s="193"/>
      <c r="E227" s="193"/>
      <c r="F227" s="193"/>
      <c r="G227" s="193"/>
      <c r="H227" s="193"/>
      <c r="I227" s="193"/>
      <c r="J227" s="193"/>
    </row>
    <row r="228" spans="1:10" x14ac:dyDescent="0.3">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93" t="s">
        <v>112</v>
      </c>
      <c r="D228" s="193"/>
      <c r="E228" s="193"/>
      <c r="F228" s="193"/>
      <c r="G228" s="193"/>
      <c r="H228" s="193"/>
      <c r="I228" s="193"/>
      <c r="J228" s="193"/>
    </row>
    <row r="229" spans="1:10" x14ac:dyDescent="0.3">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93" t="s">
        <v>112</v>
      </c>
      <c r="D229" s="193"/>
      <c r="E229" s="193"/>
      <c r="F229" s="193"/>
      <c r="G229" s="193"/>
      <c r="H229" s="193"/>
      <c r="I229" s="193"/>
      <c r="J229" s="193"/>
    </row>
    <row r="230" spans="1:10" x14ac:dyDescent="0.3">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93" t="s">
        <v>112</v>
      </c>
      <c r="D230" s="193"/>
      <c r="E230" s="193"/>
      <c r="F230" s="193"/>
      <c r="G230" s="193"/>
      <c r="H230" s="193"/>
      <c r="I230" s="193"/>
      <c r="J230" s="193"/>
    </row>
    <row r="231" spans="1:10" x14ac:dyDescent="0.3">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93" t="s">
        <v>112</v>
      </c>
      <c r="D231" s="193"/>
      <c r="E231" s="193"/>
      <c r="F231" s="193"/>
      <c r="G231" s="193"/>
      <c r="H231" s="193"/>
      <c r="I231" s="193"/>
      <c r="J231" s="193"/>
    </row>
    <row r="232" spans="1:10" x14ac:dyDescent="0.3">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93" t="s">
        <v>241</v>
      </c>
      <c r="D232" s="193" t="s">
        <v>110</v>
      </c>
      <c r="E232" s="193" t="s">
        <v>111</v>
      </c>
      <c r="F232" s="193" t="s">
        <v>112</v>
      </c>
      <c r="G232" s="193" t="s">
        <v>113</v>
      </c>
      <c r="H232" s="193"/>
      <c r="I232" s="193"/>
      <c r="J232" s="193"/>
    </row>
    <row r="233" spans="1:10" x14ac:dyDescent="0.3">
      <c r="A233" s="1" t="str">
        <f t="shared" si="3"/>
        <v>08 Arabinose 0.01mg_L</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93" t="s">
        <v>2017</v>
      </c>
      <c r="D233" s="193" t="s">
        <v>2018</v>
      </c>
      <c r="E233" s="193" t="s">
        <v>2019</v>
      </c>
      <c r="F233" s="193" t="s">
        <v>112</v>
      </c>
      <c r="G233" s="193">
        <v>369049</v>
      </c>
      <c r="H233" s="193"/>
      <c r="I233" s="193"/>
      <c r="J233" s="193"/>
    </row>
    <row r="234" spans="1:10" x14ac:dyDescent="0.3">
      <c r="A234" s="1" t="str">
        <f t="shared" si="3"/>
        <v>08 Arabinose 0.01mg_L</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93" t="s">
        <v>2020</v>
      </c>
      <c r="D234" s="193" t="s">
        <v>1529</v>
      </c>
      <c r="E234" s="193">
        <v>64</v>
      </c>
      <c r="F234" s="193" t="s">
        <v>112</v>
      </c>
      <c r="G234" s="193">
        <v>31839</v>
      </c>
      <c r="H234" s="193"/>
      <c r="I234" s="193"/>
      <c r="J234" s="193"/>
    </row>
    <row r="235" spans="1:10" x14ac:dyDescent="0.3">
      <c r="A235" s="1" t="str">
        <f t="shared" si="3"/>
        <v>08 Arabinose 0.01mg_L</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93" t="s">
        <v>2021</v>
      </c>
      <c r="D235" s="193" t="s">
        <v>2022</v>
      </c>
      <c r="E235" s="193" t="s">
        <v>2023</v>
      </c>
      <c r="F235" s="193" t="s">
        <v>112</v>
      </c>
      <c r="G235" s="193">
        <v>163609</v>
      </c>
      <c r="H235" s="193"/>
      <c r="I235" s="193"/>
      <c r="J235" s="193"/>
    </row>
    <row r="236" spans="1:10" x14ac:dyDescent="0.3">
      <c r="A236" s="1" t="str">
        <f t="shared" si="3"/>
        <v>08 Arabinose 0.01mg_L</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93" t="s">
        <v>2024</v>
      </c>
      <c r="D236" s="193" t="s">
        <v>2025</v>
      </c>
      <c r="E236" s="193" t="s">
        <v>2026</v>
      </c>
      <c r="F236" s="193" t="s">
        <v>112</v>
      </c>
      <c r="G236" s="193">
        <v>429959</v>
      </c>
      <c r="H236" s="193"/>
      <c r="I236" s="193"/>
      <c r="J236" s="193"/>
    </row>
    <row r="237" spans="1:10" x14ac:dyDescent="0.3">
      <c r="A237" s="1" t="str">
        <f t="shared" si="3"/>
        <v>08 Arabinose 0.01mg_L</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93" t="s">
        <v>2027</v>
      </c>
      <c r="D237" s="193" t="s">
        <v>1558</v>
      </c>
      <c r="E237" s="193" t="s">
        <v>1608</v>
      </c>
      <c r="F237" s="193" t="s">
        <v>112</v>
      </c>
      <c r="G237" s="193">
        <v>21565</v>
      </c>
      <c r="H237" s="193"/>
      <c r="I237" s="193"/>
      <c r="J237" s="193"/>
    </row>
    <row r="238" spans="1:10" x14ac:dyDescent="0.3">
      <c r="A238" s="1" t="str">
        <f t="shared" si="3"/>
        <v>08 Arabinose 0.01mg_L</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93" t="s">
        <v>2028</v>
      </c>
      <c r="D238" s="193" t="s">
        <v>2029</v>
      </c>
      <c r="E238" s="193" t="s">
        <v>2030</v>
      </c>
      <c r="F238" s="193" t="s">
        <v>112</v>
      </c>
      <c r="G238" s="193">
        <v>132180</v>
      </c>
      <c r="H238" s="193"/>
      <c r="I238" s="193"/>
      <c r="J238" s="193"/>
    </row>
    <row r="239" spans="1:10" x14ac:dyDescent="0.3">
      <c r="A239" s="1" t="str">
        <f t="shared" si="3"/>
        <v>08 Arabinose 0.01mg_L</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93" t="s">
        <v>2031</v>
      </c>
      <c r="D239" s="193" t="s">
        <v>1549</v>
      </c>
      <c r="E239" s="193" t="s">
        <v>2032</v>
      </c>
      <c r="F239" s="193" t="s">
        <v>112</v>
      </c>
      <c r="G239" s="193">
        <v>169362</v>
      </c>
      <c r="H239" s="193"/>
      <c r="I239" s="193"/>
      <c r="J239" s="193"/>
    </row>
    <row r="240" spans="1:10" x14ac:dyDescent="0.3">
      <c r="A240" s="1" t="str">
        <f t="shared" si="3"/>
        <v>08 Arabinose 0.01mg_L</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93" t="s">
        <v>2033</v>
      </c>
      <c r="D240" s="193" t="s">
        <v>1622</v>
      </c>
      <c r="E240" s="193" t="s">
        <v>223</v>
      </c>
      <c r="F240" s="193" t="s">
        <v>112</v>
      </c>
      <c r="G240" s="193">
        <v>14925</v>
      </c>
      <c r="H240" s="193"/>
      <c r="I240" s="193"/>
      <c r="J240" s="193"/>
    </row>
    <row r="241" spans="1:7" x14ac:dyDescent="0.3">
      <c r="A241" s="1" t="str">
        <f t="shared" si="3"/>
        <v>08 Arabinose 0.01mg_L</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93" t="s">
        <v>2034</v>
      </c>
      <c r="D241" s="193" t="s">
        <v>2035</v>
      </c>
      <c r="E241" s="193" t="s">
        <v>2036</v>
      </c>
      <c r="F241" s="193" t="s">
        <v>112</v>
      </c>
      <c r="G241" s="193">
        <v>78127</v>
      </c>
    </row>
    <row r="242" spans="1:7" x14ac:dyDescent="0.3">
      <c r="A242" s="1" t="str">
        <f t="shared" si="3"/>
        <v>08 Arabinose 0.01mg_L</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93" t="s">
        <v>2037</v>
      </c>
      <c r="D242" s="193" t="s">
        <v>2038</v>
      </c>
      <c r="E242" s="193" t="s">
        <v>2039</v>
      </c>
      <c r="F242" s="193" t="s">
        <v>112</v>
      </c>
      <c r="G242" s="193">
        <v>104256</v>
      </c>
    </row>
    <row r="243" spans="1:7" x14ac:dyDescent="0.3">
      <c r="A243" s="1" t="str">
        <f t="shared" si="3"/>
        <v>08 Arabinose 0.01mg_L</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93" t="s">
        <v>2040</v>
      </c>
      <c r="D243" s="193" t="s">
        <v>1529</v>
      </c>
      <c r="E243" s="193" t="s">
        <v>2041</v>
      </c>
      <c r="F243" s="193" t="s">
        <v>112</v>
      </c>
      <c r="G243" s="193">
        <v>31731</v>
      </c>
    </row>
    <row r="244" spans="1:7" x14ac:dyDescent="0.3">
      <c r="A244" s="1" t="str">
        <f t="shared" si="3"/>
        <v>08 Arabinose 0.01mg_L</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93" t="s">
        <v>2042</v>
      </c>
      <c r="D244" s="193" t="s">
        <v>2043</v>
      </c>
      <c r="E244" s="193">
        <v>66</v>
      </c>
      <c r="F244" s="193" t="s">
        <v>112</v>
      </c>
      <c r="G244" s="193">
        <v>45682</v>
      </c>
    </row>
    <row r="245" spans="1:7" x14ac:dyDescent="0.3">
      <c r="A245" s="1" t="str">
        <f t="shared" si="3"/>
        <v>08 Arabinose 0.01mg_L</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93" t="s">
        <v>2044</v>
      </c>
      <c r="D245" s="193" t="s">
        <v>2045</v>
      </c>
      <c r="E245" s="193" t="s">
        <v>2046</v>
      </c>
      <c r="F245" s="193" t="s">
        <v>112</v>
      </c>
      <c r="G245" s="193">
        <v>124134</v>
      </c>
    </row>
    <row r="246" spans="1:7" x14ac:dyDescent="0.3">
      <c r="A246" s="1" t="str">
        <f t="shared" si="3"/>
        <v>08 Arabinose 0.01mg_L</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93" t="s">
        <v>2047</v>
      </c>
      <c r="D246" s="193" t="s">
        <v>2048</v>
      </c>
      <c r="E246" s="193" t="s">
        <v>2049</v>
      </c>
      <c r="F246" s="193" t="s">
        <v>112</v>
      </c>
      <c r="G246" s="193">
        <v>216234</v>
      </c>
    </row>
    <row r="247" spans="1:7" x14ac:dyDescent="0.3">
      <c r="A247" s="1" t="str">
        <f t="shared" si="3"/>
        <v>08 Arabinose 0.01mg_L</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93" t="s">
        <v>2050</v>
      </c>
      <c r="D247" s="193" t="s">
        <v>2051</v>
      </c>
      <c r="E247" s="193" t="s">
        <v>2052</v>
      </c>
      <c r="F247" s="193" t="s">
        <v>112</v>
      </c>
      <c r="G247" s="193">
        <v>60412</v>
      </c>
    </row>
    <row r="248" spans="1:7" x14ac:dyDescent="0.3">
      <c r="A248" s="1" t="str">
        <f t="shared" si="3"/>
        <v>08 Arabinose 0.01mg_L</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93" t="s">
        <v>2053</v>
      </c>
      <c r="D248" s="193" t="s">
        <v>1539</v>
      </c>
      <c r="E248" s="193" t="s">
        <v>2054</v>
      </c>
      <c r="F248" s="193" t="s">
        <v>112</v>
      </c>
      <c r="G248" s="193">
        <v>76678</v>
      </c>
    </row>
    <row r="249" spans="1:7" x14ac:dyDescent="0.3">
      <c r="A249" s="1" t="str">
        <f t="shared" si="3"/>
        <v>08 Arabinose 0.01mg_L</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93" t="s">
        <v>2055</v>
      </c>
      <c r="D249" s="193" t="s">
        <v>2056</v>
      </c>
      <c r="E249" s="193" t="s">
        <v>2057</v>
      </c>
      <c r="F249" s="193" t="s">
        <v>112</v>
      </c>
      <c r="G249" s="193">
        <v>379756</v>
      </c>
    </row>
    <row r="250" spans="1:7" x14ac:dyDescent="0.3">
      <c r="A250" s="1" t="str">
        <f t="shared" si="3"/>
        <v>08 Arabinose 0.01mg_L</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93" t="s">
        <v>2058</v>
      </c>
      <c r="D250" s="193" t="s">
        <v>2059</v>
      </c>
      <c r="E250" s="193" t="s">
        <v>2060</v>
      </c>
      <c r="F250" s="193" t="s">
        <v>112</v>
      </c>
      <c r="G250" s="193">
        <v>38977</v>
      </c>
    </row>
    <row r="251" spans="1:7" x14ac:dyDescent="0.3">
      <c r="A251" s="1" t="str">
        <f t="shared" si="3"/>
        <v>08 Arabinose 0.01mg_L</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93" t="s">
        <v>2061</v>
      </c>
      <c r="D251" s="193" t="s">
        <v>2062</v>
      </c>
      <c r="E251" s="193" t="s">
        <v>2063</v>
      </c>
      <c r="F251" s="193" t="s">
        <v>112</v>
      </c>
      <c r="G251" s="193">
        <v>257807</v>
      </c>
    </row>
    <row r="252" spans="1:7" x14ac:dyDescent="0.3">
      <c r="A252" s="1" t="str">
        <f t="shared" si="3"/>
        <v>08 Arabinose 0.01mg_L</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93" t="s">
        <v>2064</v>
      </c>
      <c r="D252" s="193" t="s">
        <v>2065</v>
      </c>
      <c r="E252" s="193" t="s">
        <v>2066</v>
      </c>
      <c r="F252" s="193" t="s">
        <v>112</v>
      </c>
      <c r="G252" s="193">
        <v>83924</v>
      </c>
    </row>
    <row r="253" spans="1:7" x14ac:dyDescent="0.3">
      <c r="A253" s="1" t="str">
        <f t="shared" si="3"/>
        <v>08 Arabinose 0.01mg_L</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93" t="s">
        <v>2067</v>
      </c>
      <c r="D253" s="193" t="s">
        <v>2068</v>
      </c>
      <c r="E253" s="193" t="s">
        <v>2069</v>
      </c>
      <c r="F253" s="193" t="s">
        <v>112</v>
      </c>
      <c r="G253" s="193">
        <v>535124</v>
      </c>
    </row>
    <row r="254" spans="1:7" x14ac:dyDescent="0.3">
      <c r="A254" s="1" t="str">
        <f t="shared" si="3"/>
        <v>08 Arabinose 0.01mg_L</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93" t="s">
        <v>2070</v>
      </c>
      <c r="D254" s="193" t="s">
        <v>2071</v>
      </c>
      <c r="E254" s="193" t="s">
        <v>175</v>
      </c>
      <c r="F254" s="193" t="s">
        <v>112</v>
      </c>
      <c r="G254" s="193">
        <v>8133</v>
      </c>
    </row>
    <row r="255" spans="1:7" x14ac:dyDescent="0.3">
      <c r="A255" s="1" t="str">
        <f t="shared" si="3"/>
        <v>08 Arabinose 0.01mg_L</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93" t="s">
        <v>2072</v>
      </c>
      <c r="D255" s="193" t="s">
        <v>1537</v>
      </c>
      <c r="E255" s="193" t="s">
        <v>2073</v>
      </c>
      <c r="F255" s="193" t="s">
        <v>112</v>
      </c>
      <c r="G255" s="193">
        <v>20094</v>
      </c>
    </row>
    <row r="256" spans="1:7" x14ac:dyDescent="0.3">
      <c r="A256" s="1" t="str">
        <f t="shared" si="3"/>
        <v>08 Arabinose 0.01mg_L</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93" t="s">
        <v>2074</v>
      </c>
      <c r="D256" s="193" t="s">
        <v>2071</v>
      </c>
      <c r="E256" s="193" t="s">
        <v>276</v>
      </c>
      <c r="F256" s="193" t="s">
        <v>112</v>
      </c>
      <c r="G256" s="193">
        <v>8111</v>
      </c>
    </row>
    <row r="257" spans="1:10" x14ac:dyDescent="0.3">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93" t="s">
        <v>112</v>
      </c>
      <c r="D257" s="193"/>
      <c r="E257" s="193"/>
      <c r="F257" s="193"/>
      <c r="G257" s="193"/>
      <c r="H257" s="193"/>
      <c r="I257" s="193"/>
      <c r="J257" s="193"/>
    </row>
    <row r="258" spans="1:10" x14ac:dyDescent="0.3">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93" t="s">
        <v>229</v>
      </c>
      <c r="D258" s="193" t="s">
        <v>112</v>
      </c>
      <c r="E258" s="193" t="s">
        <v>230</v>
      </c>
      <c r="F258" s="193" t="s">
        <v>231</v>
      </c>
      <c r="G258" s="193" t="s">
        <v>232</v>
      </c>
      <c r="H258" s="193" t="s">
        <v>233</v>
      </c>
      <c r="I258" s="193" t="s">
        <v>234</v>
      </c>
      <c r="J258" s="193" t="s">
        <v>235</v>
      </c>
    </row>
    <row r="259" spans="1:10" x14ac:dyDescent="0.3">
      <c r="A259" s="1" t="str">
        <f t="shared" si="4"/>
        <v>08 Arabinose 0.01mg_L</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93" t="s">
        <v>2075</v>
      </c>
      <c r="D259" s="193" t="s">
        <v>112</v>
      </c>
      <c r="E259" s="193" t="s">
        <v>2076</v>
      </c>
      <c r="F259" s="193" t="s">
        <v>2077</v>
      </c>
      <c r="G259" s="193" t="s">
        <v>2078</v>
      </c>
      <c r="H259" s="193" t="s">
        <v>2079</v>
      </c>
      <c r="I259" s="193">
        <v>24</v>
      </c>
      <c r="J259" s="193">
        <v>24</v>
      </c>
    </row>
    <row r="260" spans="1:10" x14ac:dyDescent="0.3">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93" t="s">
        <v>112</v>
      </c>
      <c r="D260" s="193"/>
      <c r="E260" s="193"/>
      <c r="F260" s="193"/>
      <c r="G260" s="193"/>
      <c r="H260" s="193"/>
      <c r="I260" s="193"/>
      <c r="J260" s="193"/>
    </row>
    <row r="261" spans="1:10" x14ac:dyDescent="0.3">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93" t="s">
        <v>112</v>
      </c>
      <c r="D261" s="193"/>
      <c r="E261" s="193"/>
      <c r="F261" s="193"/>
      <c r="G261" s="193"/>
      <c r="H261" s="193"/>
      <c r="I261" s="193"/>
      <c r="J261" s="193"/>
    </row>
    <row r="262" spans="1:10" x14ac:dyDescent="0.3">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93" t="s">
        <v>112</v>
      </c>
      <c r="D262" s="193"/>
      <c r="E262" s="193"/>
      <c r="F262" s="193"/>
      <c r="G262" s="193"/>
      <c r="H262" s="193"/>
      <c r="I262" s="193"/>
      <c r="J262" s="193"/>
    </row>
    <row r="263" spans="1:10" x14ac:dyDescent="0.3">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93" t="s">
        <v>112</v>
      </c>
      <c r="D263" s="193"/>
      <c r="E263" s="193"/>
      <c r="F263" s="193"/>
      <c r="G263" s="193"/>
      <c r="H263" s="193"/>
      <c r="I263" s="193"/>
      <c r="J263" s="193"/>
    </row>
    <row r="264" spans="1:10" x14ac:dyDescent="0.3">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93" t="s">
        <v>112</v>
      </c>
      <c r="D264" s="193"/>
      <c r="E264" s="193"/>
      <c r="F264" s="193"/>
      <c r="G264" s="193"/>
      <c r="H264" s="193"/>
      <c r="I264" s="193"/>
      <c r="J264" s="193"/>
    </row>
    <row r="265" spans="1:10" x14ac:dyDescent="0.3">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93" t="s">
        <v>241</v>
      </c>
      <c r="D265" s="193" t="s">
        <v>110</v>
      </c>
      <c r="E265" s="193" t="s">
        <v>111</v>
      </c>
      <c r="F265" s="193" t="s">
        <v>112</v>
      </c>
      <c r="G265" s="193" t="s">
        <v>113</v>
      </c>
      <c r="H265" s="193"/>
      <c r="I265" s="193"/>
      <c r="J265" s="193"/>
    </row>
    <row r="266" spans="1:10" x14ac:dyDescent="0.3">
      <c r="A266" s="1" t="str">
        <f t="shared" si="4"/>
        <v>09 Arabinose 0.1mg_L</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93" t="s">
        <v>2080</v>
      </c>
      <c r="D266" s="193" t="s">
        <v>2025</v>
      </c>
      <c r="E266" s="193" t="s">
        <v>2081</v>
      </c>
      <c r="F266" s="193" t="s">
        <v>112</v>
      </c>
      <c r="G266" s="193">
        <v>421567</v>
      </c>
      <c r="H266" s="193"/>
      <c r="I266" s="193"/>
      <c r="J266" s="193"/>
    </row>
    <row r="267" spans="1:10" x14ac:dyDescent="0.3">
      <c r="A267" s="1" t="str">
        <f t="shared" si="4"/>
        <v>09 Arabinose 0.1mg_L</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93" t="s">
        <v>2082</v>
      </c>
      <c r="D267" s="193" t="s">
        <v>2083</v>
      </c>
      <c r="E267" s="193" t="s">
        <v>2084</v>
      </c>
      <c r="F267" s="193" t="s">
        <v>112</v>
      </c>
      <c r="G267" s="193">
        <v>519637</v>
      </c>
      <c r="H267" s="193"/>
      <c r="I267" s="193"/>
      <c r="J267" s="193"/>
    </row>
    <row r="268" spans="1:10" x14ac:dyDescent="0.3">
      <c r="A268" s="1" t="str">
        <f t="shared" si="4"/>
        <v>09 Arabinose 0.1mg_L</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93" t="s">
        <v>2085</v>
      </c>
      <c r="D268" s="193" t="s">
        <v>2086</v>
      </c>
      <c r="E268" s="193" t="s">
        <v>2087</v>
      </c>
      <c r="F268" s="193" t="s">
        <v>112</v>
      </c>
      <c r="G268" s="193">
        <v>964888</v>
      </c>
      <c r="H268" s="193"/>
      <c r="I268" s="193"/>
      <c r="J268" s="193"/>
    </row>
    <row r="269" spans="1:10" x14ac:dyDescent="0.3">
      <c r="A269" s="1" t="str">
        <f t="shared" si="4"/>
        <v>09 Arabinose 0.1mg_L</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93" t="s">
        <v>2088</v>
      </c>
      <c r="D269" s="193" t="s">
        <v>1728</v>
      </c>
      <c r="E269" s="193" t="s">
        <v>2089</v>
      </c>
      <c r="F269" s="193" t="s">
        <v>112</v>
      </c>
      <c r="G269" s="193">
        <v>654045</v>
      </c>
      <c r="H269" s="193"/>
      <c r="I269" s="193"/>
      <c r="J269" s="193"/>
    </row>
    <row r="270" spans="1:10" x14ac:dyDescent="0.3">
      <c r="A270" s="1" t="str">
        <f t="shared" si="4"/>
        <v>09 Arabinose 0.1mg_L</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93" t="s">
        <v>2090</v>
      </c>
      <c r="D270" s="193" t="s">
        <v>2091</v>
      </c>
      <c r="E270" s="193" t="s">
        <v>2092</v>
      </c>
      <c r="F270" s="193" t="s">
        <v>112</v>
      </c>
      <c r="G270" s="193">
        <v>49424</v>
      </c>
      <c r="H270" s="193"/>
      <c r="I270" s="193"/>
      <c r="J270" s="193"/>
    </row>
    <row r="271" spans="1:10" x14ac:dyDescent="0.3">
      <c r="A271" s="1" t="str">
        <f t="shared" si="4"/>
        <v>09 Arabinose 0.1mg_L</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93" t="s">
        <v>2093</v>
      </c>
      <c r="D271" s="193" t="s">
        <v>2094</v>
      </c>
      <c r="E271" s="193" t="s">
        <v>2095</v>
      </c>
      <c r="F271" s="193" t="s">
        <v>112</v>
      </c>
      <c r="G271" s="193">
        <v>337924</v>
      </c>
      <c r="H271" s="193"/>
      <c r="I271" s="193"/>
      <c r="J271" s="193"/>
    </row>
    <row r="272" spans="1:10" x14ac:dyDescent="0.3">
      <c r="A272" s="1" t="str">
        <f t="shared" si="4"/>
        <v>09 Arabinose 0.1mg_L</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93" t="s">
        <v>2096</v>
      </c>
      <c r="D272" s="193" t="s">
        <v>1774</v>
      </c>
      <c r="E272" s="193" t="s">
        <v>2097</v>
      </c>
      <c r="F272" s="193" t="s">
        <v>112</v>
      </c>
      <c r="G272" s="193">
        <v>174445</v>
      </c>
      <c r="H272" s="193"/>
      <c r="I272" s="193"/>
      <c r="J272" s="193"/>
    </row>
    <row r="273" spans="1:7" x14ac:dyDescent="0.3">
      <c r="A273" s="1" t="str">
        <f t="shared" si="4"/>
        <v>09 Arabinose 0.1mg_L</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93" t="s">
        <v>2098</v>
      </c>
      <c r="D273" s="193" t="s">
        <v>2099</v>
      </c>
      <c r="E273" s="193" t="s">
        <v>2100</v>
      </c>
      <c r="F273" s="193" t="s">
        <v>112</v>
      </c>
      <c r="G273" s="193">
        <v>152923</v>
      </c>
    </row>
    <row r="274" spans="1:7" x14ac:dyDescent="0.3">
      <c r="A274" s="1" t="str">
        <f t="shared" si="4"/>
        <v>09 Arabinose 0.1mg_L</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93" t="s">
        <v>2101</v>
      </c>
      <c r="D274" s="193" t="s">
        <v>1708</v>
      </c>
      <c r="E274" s="193" t="s">
        <v>2102</v>
      </c>
      <c r="F274" s="193" t="s">
        <v>112</v>
      </c>
      <c r="G274" s="193">
        <v>25718</v>
      </c>
    </row>
    <row r="275" spans="1:7" x14ac:dyDescent="0.3">
      <c r="A275" s="1" t="str">
        <f t="shared" si="4"/>
        <v>09 Arabinose 0.1mg_L</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93" t="s">
        <v>2103</v>
      </c>
      <c r="D275" s="193" t="s">
        <v>2104</v>
      </c>
      <c r="E275" s="193" t="s">
        <v>2105</v>
      </c>
      <c r="F275" s="193" t="s">
        <v>112</v>
      </c>
      <c r="G275" s="193">
        <v>750276</v>
      </c>
    </row>
    <row r="276" spans="1:7" x14ac:dyDescent="0.3">
      <c r="A276" s="1" t="str">
        <f t="shared" si="4"/>
        <v>09 Arabinose 0.1mg_L</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93" t="s">
        <v>2106</v>
      </c>
      <c r="D276" s="193" t="s">
        <v>2107</v>
      </c>
      <c r="E276" s="193" t="s">
        <v>2108</v>
      </c>
      <c r="F276" s="193" t="s">
        <v>112</v>
      </c>
      <c r="G276" s="193">
        <v>694774</v>
      </c>
    </row>
    <row r="277" spans="1:7" x14ac:dyDescent="0.3">
      <c r="A277" s="1" t="str">
        <f t="shared" si="4"/>
        <v>09 Arabinose 0.1mg_L</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93" t="s">
        <v>2109</v>
      </c>
      <c r="D277" s="193" t="s">
        <v>2104</v>
      </c>
      <c r="E277" s="193" t="s">
        <v>2110</v>
      </c>
      <c r="F277" s="193" t="s">
        <v>112</v>
      </c>
      <c r="G277" s="193">
        <v>729079</v>
      </c>
    </row>
    <row r="278" spans="1:7" x14ac:dyDescent="0.3">
      <c r="A278" s="1" t="str">
        <f t="shared" si="4"/>
        <v>09 Arabinose 0.1mg_L</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93" t="s">
        <v>2111</v>
      </c>
      <c r="D278" s="193" t="s">
        <v>2112</v>
      </c>
      <c r="E278" s="193" t="s">
        <v>2113</v>
      </c>
      <c r="F278" s="193" t="s">
        <v>112</v>
      </c>
      <c r="G278" s="193">
        <v>382481</v>
      </c>
    </row>
    <row r="279" spans="1:7" x14ac:dyDescent="0.3">
      <c r="A279" s="1" t="str">
        <f t="shared" si="4"/>
        <v>09 Arabinose 0.1mg_L</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93" t="s">
        <v>2114</v>
      </c>
      <c r="D279" s="193" t="s">
        <v>2115</v>
      </c>
      <c r="E279" s="193" t="s">
        <v>2116</v>
      </c>
      <c r="F279" s="193" t="s">
        <v>112</v>
      </c>
      <c r="G279" s="193">
        <v>327001</v>
      </c>
    </row>
    <row r="280" spans="1:7" x14ac:dyDescent="0.3">
      <c r="A280" s="1" t="str">
        <f t="shared" si="4"/>
        <v>09 Arabinose 0.1mg_L</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93" t="s">
        <v>2117</v>
      </c>
      <c r="D280" s="193" t="s">
        <v>2118</v>
      </c>
      <c r="E280" s="193" t="s">
        <v>2119</v>
      </c>
      <c r="F280" s="193" t="s">
        <v>112</v>
      </c>
      <c r="G280" s="193">
        <v>139426</v>
      </c>
    </row>
    <row r="281" spans="1:7" x14ac:dyDescent="0.3">
      <c r="A281" s="1" t="str">
        <f t="shared" si="4"/>
        <v>09 Arabinose 0.1mg_L</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93" t="s">
        <v>2120</v>
      </c>
      <c r="D281" s="193" t="s">
        <v>2121</v>
      </c>
      <c r="E281" s="193" t="s">
        <v>2122</v>
      </c>
      <c r="F281" s="193" t="s">
        <v>112</v>
      </c>
      <c r="G281" s="193">
        <v>211951</v>
      </c>
    </row>
    <row r="282" spans="1:7" x14ac:dyDescent="0.3">
      <c r="A282" s="1" t="str">
        <f t="shared" si="4"/>
        <v>09 Arabinose 0.1mg_L</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93" t="s">
        <v>2123</v>
      </c>
      <c r="D282" s="193" t="s">
        <v>2124</v>
      </c>
      <c r="E282" s="193" t="s">
        <v>2125</v>
      </c>
      <c r="F282" s="193" t="s">
        <v>112</v>
      </c>
      <c r="G282" s="193">
        <v>252680</v>
      </c>
    </row>
    <row r="283" spans="1:7" x14ac:dyDescent="0.3">
      <c r="A283" s="1" t="str">
        <f t="shared" si="4"/>
        <v>09 Arabinose 0.1mg_L</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93" t="s">
        <v>2126</v>
      </c>
      <c r="D283" s="193" t="s">
        <v>2127</v>
      </c>
      <c r="E283" s="193" t="s">
        <v>2128</v>
      </c>
      <c r="F283" s="193" t="s">
        <v>112</v>
      </c>
      <c r="G283" s="193">
        <v>179160</v>
      </c>
    </row>
    <row r="284" spans="1:7" x14ac:dyDescent="0.3">
      <c r="A284" s="1" t="str">
        <f t="shared" si="4"/>
        <v>09 Arabinose 0.1mg_L</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93" t="s">
        <v>2129</v>
      </c>
      <c r="D284" s="193" t="s">
        <v>2130</v>
      </c>
      <c r="E284" s="193" t="s">
        <v>2131</v>
      </c>
      <c r="F284" s="193" t="s">
        <v>112</v>
      </c>
      <c r="G284" s="193">
        <v>332127</v>
      </c>
    </row>
    <row r="285" spans="1:7" x14ac:dyDescent="0.3">
      <c r="A285" s="1" t="str">
        <f t="shared" si="4"/>
        <v>09 Arabinose 0.1mg_L</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93" t="s">
        <v>2132</v>
      </c>
      <c r="D285" s="193" t="s">
        <v>2118</v>
      </c>
      <c r="E285" s="193" t="s">
        <v>1675</v>
      </c>
      <c r="F285" s="193" t="s">
        <v>112</v>
      </c>
      <c r="G285" s="193">
        <v>138345</v>
      </c>
    </row>
    <row r="286" spans="1:7" x14ac:dyDescent="0.3">
      <c r="A286" s="1" t="str">
        <f t="shared" si="4"/>
        <v>09 Arabinose 0.1mg_L</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93" t="s">
        <v>2133</v>
      </c>
      <c r="D286" s="193" t="s">
        <v>2134</v>
      </c>
      <c r="E286" s="193" t="s">
        <v>2135</v>
      </c>
      <c r="F286" s="193" t="s">
        <v>112</v>
      </c>
      <c r="G286" s="193">
        <v>393924</v>
      </c>
    </row>
    <row r="287" spans="1:7" x14ac:dyDescent="0.3">
      <c r="A287" s="1" t="str">
        <f t="shared" si="4"/>
        <v>09 Arabinose 0.1mg_L</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93" t="s">
        <v>2136</v>
      </c>
      <c r="D287" s="193" t="s">
        <v>1602</v>
      </c>
      <c r="E287" s="193" t="s">
        <v>2137</v>
      </c>
      <c r="F287" s="193" t="s">
        <v>112</v>
      </c>
      <c r="G287" s="193">
        <v>204532</v>
      </c>
    </row>
    <row r="288" spans="1:7" x14ac:dyDescent="0.3">
      <c r="A288" s="1" t="str">
        <f t="shared" si="4"/>
        <v>09 Arabinose 0.1mg_L</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93" t="s">
        <v>2138</v>
      </c>
      <c r="D288" s="193" t="s">
        <v>2139</v>
      </c>
      <c r="E288" s="193" t="s">
        <v>2140</v>
      </c>
      <c r="F288" s="193" t="s">
        <v>112</v>
      </c>
      <c r="G288" s="193">
        <v>188158</v>
      </c>
    </row>
    <row r="289" spans="1:10" x14ac:dyDescent="0.3">
      <c r="A289" s="1" t="str">
        <f t="shared" si="4"/>
        <v>09 Arabinose 0.1mg_L</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93" t="s">
        <v>2141</v>
      </c>
      <c r="D289" s="193" t="s">
        <v>2142</v>
      </c>
      <c r="E289" s="193" t="s">
        <v>2143</v>
      </c>
      <c r="F289" s="193" t="s">
        <v>112</v>
      </c>
      <c r="G289" s="193">
        <v>161986</v>
      </c>
      <c r="H289" s="193"/>
      <c r="I289" s="193"/>
      <c r="J289" s="193"/>
    </row>
    <row r="290" spans="1:10" x14ac:dyDescent="0.3">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93" t="s">
        <v>112</v>
      </c>
      <c r="D290" s="193"/>
      <c r="E290" s="193"/>
      <c r="F290" s="193"/>
      <c r="G290" s="193"/>
      <c r="H290" s="193"/>
      <c r="I290" s="193"/>
      <c r="J290" s="193"/>
    </row>
    <row r="291" spans="1:10" x14ac:dyDescent="0.3">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93" t="s">
        <v>229</v>
      </c>
      <c r="D291" s="193" t="s">
        <v>112</v>
      </c>
      <c r="E291" s="193" t="s">
        <v>230</v>
      </c>
      <c r="F291" s="193" t="s">
        <v>231</v>
      </c>
      <c r="G291" s="193" t="s">
        <v>232</v>
      </c>
      <c r="H291" s="193" t="s">
        <v>233</v>
      </c>
      <c r="I291" s="193" t="s">
        <v>234</v>
      </c>
      <c r="J291" s="193" t="s">
        <v>235</v>
      </c>
    </row>
    <row r="292" spans="1:10" x14ac:dyDescent="0.3">
      <c r="A292" s="1" t="str">
        <f t="shared" si="4"/>
        <v>09 Arabinose 0.1mg_L</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93" t="s">
        <v>2144</v>
      </c>
      <c r="D292" s="193" t="s">
        <v>112</v>
      </c>
      <c r="E292" s="193" t="s">
        <v>2145</v>
      </c>
      <c r="F292" s="193" t="s">
        <v>2146</v>
      </c>
      <c r="G292" s="193" t="s">
        <v>2147</v>
      </c>
      <c r="H292" s="193" t="s">
        <v>2148</v>
      </c>
      <c r="I292" s="193">
        <v>24</v>
      </c>
      <c r="J292" s="193">
        <v>24</v>
      </c>
    </row>
    <row r="293" spans="1:10" x14ac:dyDescent="0.3">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93" t="s">
        <v>112</v>
      </c>
      <c r="D293" s="193"/>
      <c r="E293" s="193"/>
      <c r="F293" s="193"/>
      <c r="G293" s="193"/>
      <c r="H293" s="193"/>
      <c r="I293" s="193"/>
      <c r="J293" s="193"/>
    </row>
    <row r="294" spans="1:10" x14ac:dyDescent="0.3">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93" t="s">
        <v>112</v>
      </c>
      <c r="D294" s="193"/>
      <c r="E294" s="193"/>
      <c r="F294" s="193"/>
      <c r="G294" s="193"/>
      <c r="H294" s="193"/>
      <c r="I294" s="193"/>
      <c r="J294" s="193"/>
    </row>
    <row r="295" spans="1:10" x14ac:dyDescent="0.3">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93" t="s">
        <v>112</v>
      </c>
      <c r="D295" s="193"/>
      <c r="E295" s="193"/>
      <c r="F295" s="193"/>
      <c r="G295" s="193"/>
      <c r="H295" s="193"/>
      <c r="I295" s="193"/>
      <c r="J295" s="193"/>
    </row>
    <row r="296" spans="1:10" x14ac:dyDescent="0.3">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93" t="s">
        <v>112</v>
      </c>
      <c r="D296" s="193"/>
      <c r="E296" s="193"/>
      <c r="F296" s="193"/>
      <c r="G296" s="193"/>
      <c r="H296" s="193"/>
      <c r="I296" s="193"/>
      <c r="J296" s="193"/>
    </row>
    <row r="297" spans="1:10" x14ac:dyDescent="0.3">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93" t="s">
        <v>112</v>
      </c>
      <c r="D297" s="193"/>
      <c r="E297" s="193"/>
      <c r="F297" s="193"/>
      <c r="G297" s="193"/>
      <c r="H297" s="193"/>
      <c r="I297" s="193"/>
      <c r="J297" s="193"/>
    </row>
    <row r="298" spans="1:10" x14ac:dyDescent="0.3">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93" t="s">
        <v>241</v>
      </c>
      <c r="D298" s="193" t="s">
        <v>110</v>
      </c>
      <c r="E298" s="193" t="s">
        <v>111</v>
      </c>
      <c r="F298" s="193" t="s">
        <v>112</v>
      </c>
      <c r="G298" s="193" t="s">
        <v>113</v>
      </c>
      <c r="H298" s="193"/>
      <c r="I298" s="193"/>
      <c r="J298" s="193"/>
    </row>
    <row r="299" spans="1:10" x14ac:dyDescent="0.3">
      <c r="A299" s="1" t="str">
        <f t="shared" si="4"/>
        <v>10 Arabinose 1mg_L</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93" t="s">
        <v>2149</v>
      </c>
      <c r="D299" s="193" t="s">
        <v>1537</v>
      </c>
      <c r="E299" s="193" t="s">
        <v>2150</v>
      </c>
      <c r="F299" s="193" t="s">
        <v>112</v>
      </c>
      <c r="G299" s="193">
        <v>20375</v>
      </c>
      <c r="H299" s="193"/>
      <c r="I299" s="193"/>
      <c r="J299" s="193"/>
    </row>
    <row r="300" spans="1:10" x14ac:dyDescent="0.3">
      <c r="A300" s="1" t="str">
        <f t="shared" si="4"/>
        <v>10 Arabinose 1mg_L</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93" t="s">
        <v>2151</v>
      </c>
      <c r="D300" s="193" t="s">
        <v>1589</v>
      </c>
      <c r="E300" s="193" t="s">
        <v>2152</v>
      </c>
      <c r="F300" s="193" t="s">
        <v>112</v>
      </c>
      <c r="G300" s="193">
        <v>337772</v>
      </c>
      <c r="H300" s="193"/>
      <c r="I300" s="193"/>
      <c r="J300" s="193"/>
    </row>
    <row r="301" spans="1:10" x14ac:dyDescent="0.3">
      <c r="A301" s="1" t="str">
        <f t="shared" si="4"/>
        <v>10 Arabinose 1mg_L</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93" t="s">
        <v>2153</v>
      </c>
      <c r="D301" s="193" t="s">
        <v>2154</v>
      </c>
      <c r="E301" s="193" t="s">
        <v>2155</v>
      </c>
      <c r="F301" s="193" t="s">
        <v>112</v>
      </c>
      <c r="G301" s="193">
        <v>339481</v>
      </c>
      <c r="H301" s="193"/>
      <c r="I301" s="193"/>
      <c r="J301" s="193"/>
    </row>
    <row r="302" spans="1:10" x14ac:dyDescent="0.3">
      <c r="A302" s="1" t="str">
        <f t="shared" si="4"/>
        <v>10 Arabinose 1mg_L</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93" t="s">
        <v>2156</v>
      </c>
      <c r="D302" s="193" t="s">
        <v>2157</v>
      </c>
      <c r="E302" s="193" t="s">
        <v>2158</v>
      </c>
      <c r="F302" s="193" t="s">
        <v>112</v>
      </c>
      <c r="G302" s="193">
        <v>252010</v>
      </c>
      <c r="H302" s="193"/>
      <c r="I302" s="193"/>
      <c r="J302" s="193"/>
    </row>
    <row r="303" spans="1:10" x14ac:dyDescent="0.3">
      <c r="A303" s="1" t="str">
        <f t="shared" si="4"/>
        <v>10 Arabinose 1mg_L</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93" t="s">
        <v>2159</v>
      </c>
      <c r="D303" s="193" t="s">
        <v>2160</v>
      </c>
      <c r="E303" s="193" t="s">
        <v>2161</v>
      </c>
      <c r="F303" s="193" t="s">
        <v>112</v>
      </c>
      <c r="G303" s="193">
        <v>107674</v>
      </c>
      <c r="H303" s="193"/>
      <c r="I303" s="193"/>
      <c r="J303" s="193"/>
    </row>
    <row r="304" spans="1:10" x14ac:dyDescent="0.3">
      <c r="A304" s="1" t="str">
        <f t="shared" si="4"/>
        <v>10 Arabinose 1mg_L</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93" t="s">
        <v>2162</v>
      </c>
      <c r="D304" s="193" t="s">
        <v>1622</v>
      </c>
      <c r="E304" s="193" t="s">
        <v>2163</v>
      </c>
      <c r="F304" s="193" t="s">
        <v>112</v>
      </c>
      <c r="G304" s="193">
        <v>14903</v>
      </c>
      <c r="H304" s="193"/>
      <c r="I304" s="193"/>
      <c r="J304" s="193"/>
    </row>
    <row r="305" spans="1:7" x14ac:dyDescent="0.3">
      <c r="A305" s="1" t="str">
        <f t="shared" si="4"/>
        <v>10 Arabinose 1mg_L</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93" t="s">
        <v>2164</v>
      </c>
      <c r="D305" s="193" t="s">
        <v>2165</v>
      </c>
      <c r="E305" s="193" t="s">
        <v>2166</v>
      </c>
      <c r="F305" s="193" t="s">
        <v>112</v>
      </c>
      <c r="G305" s="193">
        <v>1408971</v>
      </c>
    </row>
    <row r="306" spans="1:7" x14ac:dyDescent="0.3">
      <c r="A306" s="1" t="str">
        <f t="shared" si="4"/>
        <v>10 Arabinose 1mg_L</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93" t="s">
        <v>2167</v>
      </c>
      <c r="D306" s="193" t="s">
        <v>2168</v>
      </c>
      <c r="E306" s="193" t="s">
        <v>2169</v>
      </c>
      <c r="F306" s="193" t="s">
        <v>112</v>
      </c>
      <c r="G306" s="193">
        <v>1238528</v>
      </c>
    </row>
    <row r="307" spans="1:7" x14ac:dyDescent="0.3">
      <c r="A307" s="1" t="str">
        <f t="shared" si="4"/>
        <v>10 Arabinose 1mg_L</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93" t="s">
        <v>2170</v>
      </c>
      <c r="D307" s="193" t="s">
        <v>2171</v>
      </c>
      <c r="E307" s="193" t="s">
        <v>2172</v>
      </c>
      <c r="F307" s="193" t="s">
        <v>112</v>
      </c>
      <c r="G307" s="193">
        <v>1019979</v>
      </c>
    </row>
    <row r="308" spans="1:7" x14ac:dyDescent="0.3">
      <c r="A308" s="1" t="str">
        <f t="shared" si="4"/>
        <v>10 Arabinose 1mg_L</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93" t="s">
        <v>2173</v>
      </c>
      <c r="D308" s="193" t="s">
        <v>2174</v>
      </c>
      <c r="E308" s="193" t="s">
        <v>2175</v>
      </c>
      <c r="F308" s="193" t="s">
        <v>112</v>
      </c>
      <c r="G308" s="193">
        <v>361371</v>
      </c>
    </row>
    <row r="309" spans="1:7" x14ac:dyDescent="0.3">
      <c r="A309" s="1" t="str">
        <f t="shared" si="4"/>
        <v>10 Arabinose 1mg_L</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93" t="s">
        <v>2176</v>
      </c>
      <c r="D309" s="193" t="s">
        <v>2177</v>
      </c>
      <c r="E309" s="193" t="s">
        <v>2178</v>
      </c>
      <c r="F309" s="193" t="s">
        <v>112</v>
      </c>
      <c r="G309" s="193">
        <v>111675</v>
      </c>
    </row>
    <row r="310" spans="1:7" x14ac:dyDescent="0.3">
      <c r="A310" s="1" t="str">
        <f t="shared" si="4"/>
        <v>10 Arabinose 1mg_L</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93" t="s">
        <v>2179</v>
      </c>
      <c r="D310" s="193" t="s">
        <v>2051</v>
      </c>
      <c r="E310" s="193">
        <v>63</v>
      </c>
      <c r="F310" s="193" t="s">
        <v>112</v>
      </c>
      <c r="G310" s="193">
        <v>58595</v>
      </c>
    </row>
    <row r="311" spans="1:7" x14ac:dyDescent="0.3">
      <c r="A311" s="1" t="str">
        <f t="shared" si="4"/>
        <v>10 Arabinose 1mg_L</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93" t="s">
        <v>2180</v>
      </c>
      <c r="D311" s="193" t="s">
        <v>2181</v>
      </c>
      <c r="E311" s="193" t="s">
        <v>2182</v>
      </c>
      <c r="F311" s="193" t="s">
        <v>112</v>
      </c>
      <c r="G311" s="193">
        <v>966856</v>
      </c>
    </row>
    <row r="312" spans="1:7" x14ac:dyDescent="0.3">
      <c r="A312" s="1" t="str">
        <f t="shared" si="4"/>
        <v>10 Arabinose 1mg_L</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93" t="s">
        <v>2183</v>
      </c>
      <c r="D312" s="193" t="s">
        <v>2184</v>
      </c>
      <c r="E312" s="193" t="s">
        <v>2185</v>
      </c>
      <c r="F312" s="193" t="s">
        <v>112</v>
      </c>
      <c r="G312" s="193">
        <v>1052229</v>
      </c>
    </row>
    <row r="313" spans="1:7" x14ac:dyDescent="0.3">
      <c r="A313" s="1" t="str">
        <f t="shared" si="4"/>
        <v>10 Arabinose 1mg_L</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93" t="s">
        <v>2186</v>
      </c>
      <c r="D313" s="193" t="s">
        <v>2187</v>
      </c>
      <c r="E313" s="193" t="s">
        <v>2188</v>
      </c>
      <c r="F313" s="193" t="s">
        <v>112</v>
      </c>
      <c r="G313" s="193">
        <v>980613</v>
      </c>
    </row>
    <row r="314" spans="1:7" x14ac:dyDescent="0.3">
      <c r="A314" s="1" t="str">
        <f t="shared" si="4"/>
        <v>10 Arabinose 1mg_L</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93" t="s">
        <v>2189</v>
      </c>
      <c r="D314" s="193" t="s">
        <v>2190</v>
      </c>
      <c r="E314" s="193" t="s">
        <v>2191</v>
      </c>
      <c r="F314" s="193" t="s">
        <v>112</v>
      </c>
      <c r="G314" s="193">
        <v>551800</v>
      </c>
    </row>
    <row r="315" spans="1:7" x14ac:dyDescent="0.3">
      <c r="A315" s="1" t="str">
        <f t="shared" si="4"/>
        <v>10 Arabinose 1mg_L</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93" t="s">
        <v>2192</v>
      </c>
      <c r="D315" s="193" t="s">
        <v>1520</v>
      </c>
      <c r="E315" s="193" t="s">
        <v>2193</v>
      </c>
      <c r="F315" s="193" t="s">
        <v>112</v>
      </c>
      <c r="G315" s="193">
        <v>135079</v>
      </c>
    </row>
    <row r="316" spans="1:7" x14ac:dyDescent="0.3">
      <c r="A316" s="1" t="str">
        <f t="shared" si="4"/>
        <v>10 Arabinose 1mg_L</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93" t="s">
        <v>2194</v>
      </c>
      <c r="D316" s="193" t="s">
        <v>2195</v>
      </c>
      <c r="E316" s="193" t="s">
        <v>2196</v>
      </c>
      <c r="F316" s="193" t="s">
        <v>112</v>
      </c>
      <c r="G316" s="193">
        <v>235787</v>
      </c>
    </row>
    <row r="317" spans="1:7" x14ac:dyDescent="0.3">
      <c r="A317" s="1" t="str">
        <f t="shared" si="4"/>
        <v>10 Arabinose 1mg_L</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93" t="s">
        <v>2197</v>
      </c>
      <c r="D317" s="193" t="s">
        <v>1622</v>
      </c>
      <c r="E317" s="193" t="s">
        <v>2198</v>
      </c>
      <c r="F317" s="193" t="s">
        <v>112</v>
      </c>
      <c r="G317" s="193">
        <v>15811</v>
      </c>
    </row>
    <row r="318" spans="1:7" x14ac:dyDescent="0.3">
      <c r="A318" s="1" t="str">
        <f t="shared" si="4"/>
        <v>10 Arabinose 1mg_L</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93" t="s">
        <v>2199</v>
      </c>
      <c r="D318" s="193" t="s">
        <v>2200</v>
      </c>
      <c r="E318" s="193" t="s">
        <v>721</v>
      </c>
      <c r="F318" s="193" t="s">
        <v>112</v>
      </c>
      <c r="G318" s="193">
        <v>23988</v>
      </c>
    </row>
    <row r="319" spans="1:7" x14ac:dyDescent="0.3">
      <c r="A319" s="1" t="str">
        <f t="shared" si="4"/>
        <v>10 Arabinose 1mg_L</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93" t="s">
        <v>2201</v>
      </c>
      <c r="D319" s="193" t="s">
        <v>2202</v>
      </c>
      <c r="E319" s="193" t="s">
        <v>2203</v>
      </c>
      <c r="F319" s="193" t="s">
        <v>112</v>
      </c>
      <c r="G319" s="193">
        <v>38739</v>
      </c>
    </row>
    <row r="320" spans="1:7" x14ac:dyDescent="0.3">
      <c r="A320" s="1" t="str">
        <f t="shared" si="4"/>
        <v>10 Arabinose 1mg_L</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93" t="s">
        <v>2204</v>
      </c>
      <c r="D320" s="193" t="s">
        <v>2205</v>
      </c>
      <c r="E320" s="193" t="s">
        <v>2206</v>
      </c>
      <c r="F320" s="193" t="s">
        <v>112</v>
      </c>
      <c r="G320" s="193">
        <v>275284</v>
      </c>
    </row>
    <row r="321" spans="1:10" x14ac:dyDescent="0.3">
      <c r="A321" s="1" t="str">
        <f t="shared" si="4"/>
        <v>10 Arabinose 1mg_L</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93" t="s">
        <v>2207</v>
      </c>
      <c r="D321" s="193" t="s">
        <v>1546</v>
      </c>
      <c r="E321" s="193" t="s">
        <v>261</v>
      </c>
      <c r="F321" s="193" t="s">
        <v>112</v>
      </c>
      <c r="G321" s="193">
        <v>16742</v>
      </c>
      <c r="H321" s="193"/>
      <c r="I321" s="193"/>
      <c r="J321" s="193"/>
    </row>
    <row r="322" spans="1:10" x14ac:dyDescent="0.3">
      <c r="A322" s="1" t="str">
        <f t="shared" ref="A322:A385" si="5">IFERROR(LEFT(RIGHT(C322,LEN(C322)-SEARCH("@",C322)),SEARCH("/",RIGHT(C322,LEN(C322)-SEARCH("@",C322)-1))),"")</f>
        <v>10 Arabinose 1mg_L</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93" t="s">
        <v>2208</v>
      </c>
      <c r="D322" s="193" t="s">
        <v>1546</v>
      </c>
      <c r="E322" s="193" t="s">
        <v>2209</v>
      </c>
      <c r="F322" s="193" t="s">
        <v>112</v>
      </c>
      <c r="G322" s="193">
        <v>16763</v>
      </c>
      <c r="H322" s="193"/>
      <c r="I322" s="193"/>
      <c r="J322" s="193"/>
    </row>
    <row r="323" spans="1:10" x14ac:dyDescent="0.3">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93" t="s">
        <v>112</v>
      </c>
      <c r="D323" s="193"/>
      <c r="E323" s="193"/>
      <c r="F323" s="193"/>
      <c r="G323" s="193"/>
      <c r="H323" s="193"/>
      <c r="I323" s="193"/>
      <c r="J323" s="193"/>
    </row>
    <row r="324" spans="1:10" x14ac:dyDescent="0.3">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93" t="s">
        <v>229</v>
      </c>
      <c r="D324" s="193" t="s">
        <v>112</v>
      </c>
      <c r="E324" s="193" t="s">
        <v>230</v>
      </c>
      <c r="F324" s="193" t="s">
        <v>231</v>
      </c>
      <c r="G324" s="193" t="s">
        <v>232</v>
      </c>
      <c r="H324" s="193" t="s">
        <v>233</v>
      </c>
      <c r="I324" s="193" t="s">
        <v>234</v>
      </c>
      <c r="J324" s="193" t="s">
        <v>235</v>
      </c>
    </row>
    <row r="325" spans="1:10" x14ac:dyDescent="0.3">
      <c r="A325" s="1" t="str">
        <f t="shared" si="5"/>
        <v>10 Arabinose 1mg_L</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93" t="s">
        <v>2210</v>
      </c>
      <c r="D325" s="193" t="s">
        <v>112</v>
      </c>
      <c r="E325" s="193" t="s">
        <v>2211</v>
      </c>
      <c r="F325" s="193" t="s">
        <v>2212</v>
      </c>
      <c r="G325" s="193" t="s">
        <v>2213</v>
      </c>
      <c r="H325" s="193" t="s">
        <v>2214</v>
      </c>
      <c r="I325" s="193">
        <v>24</v>
      </c>
      <c r="J325" s="193">
        <v>24</v>
      </c>
    </row>
    <row r="326" spans="1:10" x14ac:dyDescent="0.3">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93" t="s">
        <v>112</v>
      </c>
      <c r="D326" s="193"/>
      <c r="E326" s="193"/>
      <c r="F326" s="193"/>
      <c r="G326" s="193"/>
      <c r="H326" s="193"/>
      <c r="I326" s="193"/>
      <c r="J326" s="193"/>
    </row>
    <row r="327" spans="1:10" x14ac:dyDescent="0.3">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93" t="s">
        <v>112</v>
      </c>
      <c r="D327" s="193"/>
      <c r="E327" s="193"/>
      <c r="F327" s="193"/>
      <c r="G327" s="193"/>
      <c r="H327" s="193"/>
      <c r="I327" s="193"/>
      <c r="J327" s="193"/>
    </row>
    <row r="328" spans="1:10" x14ac:dyDescent="0.3">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93" t="s">
        <v>112</v>
      </c>
      <c r="D328" s="193"/>
      <c r="E328" s="193"/>
      <c r="F328" s="193"/>
      <c r="G328" s="193"/>
      <c r="H328" s="193"/>
      <c r="I328" s="193"/>
      <c r="J328" s="193"/>
    </row>
    <row r="329" spans="1:10" x14ac:dyDescent="0.3">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93" t="s">
        <v>112</v>
      </c>
      <c r="D329" s="193"/>
      <c r="E329" s="193"/>
      <c r="F329" s="193"/>
      <c r="G329" s="193"/>
      <c r="H329" s="193"/>
      <c r="I329" s="193"/>
      <c r="J329" s="193"/>
    </row>
    <row r="330" spans="1:10" x14ac:dyDescent="0.3">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93" t="s">
        <v>112</v>
      </c>
      <c r="D330" s="193"/>
      <c r="E330" s="193"/>
      <c r="F330" s="193"/>
      <c r="G330" s="193"/>
      <c r="H330" s="193"/>
      <c r="I330" s="193"/>
      <c r="J330" s="193"/>
    </row>
    <row r="331" spans="1:10" x14ac:dyDescent="0.3">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93" t="s">
        <v>241</v>
      </c>
      <c r="D331" s="193" t="s">
        <v>110</v>
      </c>
      <c r="E331" s="193" t="s">
        <v>111</v>
      </c>
      <c r="F331" s="193" t="s">
        <v>112</v>
      </c>
      <c r="G331" s="193" t="s">
        <v>113</v>
      </c>
      <c r="H331" s="193"/>
      <c r="I331" s="193"/>
      <c r="J331" s="193"/>
    </row>
    <row r="332" spans="1:10" x14ac:dyDescent="0.3">
      <c r="A332" s="1" t="str">
        <f t="shared" si="5"/>
        <v>11 Arabinose 10mg_L</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93" t="s">
        <v>2215</v>
      </c>
      <c r="D332" s="193" t="s">
        <v>2216</v>
      </c>
      <c r="E332" s="193" t="s">
        <v>2217</v>
      </c>
      <c r="F332" s="193" t="s">
        <v>112</v>
      </c>
      <c r="G332" s="193">
        <v>197676</v>
      </c>
      <c r="H332" s="193"/>
      <c r="I332" s="193"/>
      <c r="J332" s="193"/>
    </row>
    <row r="333" spans="1:10" x14ac:dyDescent="0.3">
      <c r="A333" s="1" t="str">
        <f t="shared" si="5"/>
        <v>11 Arabinose 10mg_L</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93" t="s">
        <v>2218</v>
      </c>
      <c r="D333" s="193" t="s">
        <v>1734</v>
      </c>
      <c r="E333" s="193" t="s">
        <v>2219</v>
      </c>
      <c r="F333" s="193" t="s">
        <v>112</v>
      </c>
      <c r="G333" s="193">
        <v>370888</v>
      </c>
      <c r="H333" s="193"/>
      <c r="I333" s="193"/>
      <c r="J333" s="193"/>
    </row>
    <row r="334" spans="1:10" x14ac:dyDescent="0.3">
      <c r="A334" s="1" t="str">
        <f t="shared" si="5"/>
        <v>11 Arabinose 10mg_L</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93" t="s">
        <v>2220</v>
      </c>
      <c r="D334" s="193" t="s">
        <v>2221</v>
      </c>
      <c r="E334" s="193" t="s">
        <v>2222</v>
      </c>
      <c r="F334" s="193" t="s">
        <v>112</v>
      </c>
      <c r="G334" s="193">
        <v>135122</v>
      </c>
      <c r="H334" s="193"/>
      <c r="I334" s="193"/>
      <c r="J334" s="193"/>
    </row>
    <row r="335" spans="1:10" x14ac:dyDescent="0.3">
      <c r="A335" s="1" t="str">
        <f t="shared" si="5"/>
        <v>11 Arabinose 10mg_L</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93" t="s">
        <v>2223</v>
      </c>
      <c r="D335" s="193" t="s">
        <v>2224</v>
      </c>
      <c r="E335" s="193" t="s">
        <v>2225</v>
      </c>
      <c r="F335" s="193" t="s">
        <v>112</v>
      </c>
      <c r="G335" s="193">
        <v>12372</v>
      </c>
      <c r="H335" s="193"/>
      <c r="I335" s="193"/>
      <c r="J335" s="193"/>
    </row>
    <row r="336" spans="1:10" x14ac:dyDescent="0.3">
      <c r="A336" s="1" t="str">
        <f t="shared" si="5"/>
        <v>11 Arabinose 10mg_L</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93" t="s">
        <v>2226</v>
      </c>
      <c r="D336" s="193" t="s">
        <v>1642</v>
      </c>
      <c r="E336" s="193" t="s">
        <v>765</v>
      </c>
      <c r="F336" s="193" t="s">
        <v>112</v>
      </c>
      <c r="G336" s="193">
        <v>5472</v>
      </c>
      <c r="H336" s="193"/>
      <c r="I336" s="193"/>
      <c r="J336" s="193"/>
    </row>
    <row r="337" spans="1:7" x14ac:dyDescent="0.3">
      <c r="A337" s="1" t="str">
        <f t="shared" si="5"/>
        <v>11 Arabinose 10mg_L</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93" t="s">
        <v>2227</v>
      </c>
      <c r="D337" s="193" t="s">
        <v>1563</v>
      </c>
      <c r="E337" s="193" t="s">
        <v>2228</v>
      </c>
      <c r="F337" s="193" t="s">
        <v>112</v>
      </c>
      <c r="G337" s="193">
        <v>9971</v>
      </c>
    </row>
    <row r="338" spans="1:7" x14ac:dyDescent="0.3">
      <c r="A338" s="1" t="str">
        <f t="shared" si="5"/>
        <v>11 Arabinose 10mg_L</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93" t="s">
        <v>2229</v>
      </c>
      <c r="D338" s="193" t="s">
        <v>2230</v>
      </c>
      <c r="E338" s="193" t="s">
        <v>2231</v>
      </c>
      <c r="F338" s="193" t="s">
        <v>112</v>
      </c>
      <c r="G338" s="193">
        <v>422583</v>
      </c>
    </row>
    <row r="339" spans="1:7" x14ac:dyDescent="0.3">
      <c r="A339" s="1" t="str">
        <f t="shared" si="5"/>
        <v>11 Arabinose 10mg_L</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93" t="s">
        <v>2232</v>
      </c>
      <c r="D339" s="193" t="s">
        <v>2091</v>
      </c>
      <c r="E339" s="193" t="s">
        <v>2233</v>
      </c>
      <c r="F339" s="193" t="s">
        <v>112</v>
      </c>
      <c r="G339" s="193">
        <v>53621</v>
      </c>
    </row>
    <row r="340" spans="1:7" x14ac:dyDescent="0.3">
      <c r="A340" s="1" t="str">
        <f t="shared" si="5"/>
        <v>11 Arabinose 10mg_L</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93" t="s">
        <v>2234</v>
      </c>
      <c r="D340" s="193" t="s">
        <v>2235</v>
      </c>
      <c r="E340" s="193" t="s">
        <v>2236</v>
      </c>
      <c r="F340" s="193" t="s">
        <v>112</v>
      </c>
      <c r="G340" s="193">
        <v>64911</v>
      </c>
    </row>
    <row r="341" spans="1:7" x14ac:dyDescent="0.3">
      <c r="A341" s="1" t="str">
        <f t="shared" si="5"/>
        <v>11 Arabinose 10mg_L</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93" t="s">
        <v>2237</v>
      </c>
      <c r="D341" s="193" t="s">
        <v>1752</v>
      </c>
      <c r="E341" s="193" t="s">
        <v>2238</v>
      </c>
      <c r="F341" s="193" t="s">
        <v>112</v>
      </c>
      <c r="G341" s="193">
        <v>195383</v>
      </c>
    </row>
    <row r="342" spans="1:7" x14ac:dyDescent="0.3">
      <c r="A342" s="1" t="str">
        <f t="shared" si="5"/>
        <v>11 Arabinose 10mg_L</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93" t="s">
        <v>2239</v>
      </c>
      <c r="D342" s="193" t="s">
        <v>2240</v>
      </c>
      <c r="E342" s="193" t="s">
        <v>2241</v>
      </c>
      <c r="F342" s="193" t="s">
        <v>112</v>
      </c>
      <c r="G342" s="193">
        <v>47759</v>
      </c>
    </row>
    <row r="343" spans="1:7" x14ac:dyDescent="0.3">
      <c r="A343" s="1" t="str">
        <f t="shared" si="5"/>
        <v>11 Arabinose 10mg_L</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93" t="s">
        <v>2242</v>
      </c>
      <c r="D343" s="193" t="s">
        <v>2051</v>
      </c>
      <c r="E343" s="193" t="s">
        <v>2243</v>
      </c>
      <c r="F343" s="193" t="s">
        <v>112</v>
      </c>
      <c r="G343" s="193">
        <v>59223</v>
      </c>
    </row>
    <row r="344" spans="1:7" x14ac:dyDescent="0.3">
      <c r="A344" s="1" t="str">
        <f t="shared" si="5"/>
        <v>11 Arabinose 10mg_L</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93" t="s">
        <v>2244</v>
      </c>
      <c r="D344" s="193" t="s">
        <v>2245</v>
      </c>
      <c r="E344" s="193" t="s">
        <v>2246</v>
      </c>
      <c r="F344" s="193" t="s">
        <v>112</v>
      </c>
      <c r="G344" s="193">
        <v>561274</v>
      </c>
    </row>
    <row r="345" spans="1:7" x14ac:dyDescent="0.3">
      <c r="A345" s="1" t="str">
        <f t="shared" si="5"/>
        <v>11 Arabinose 10mg_L</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93" t="s">
        <v>2247</v>
      </c>
      <c r="D345" s="193" t="s">
        <v>2157</v>
      </c>
      <c r="E345" s="193" t="s">
        <v>2248</v>
      </c>
      <c r="F345" s="193" t="s">
        <v>112</v>
      </c>
      <c r="G345" s="193">
        <v>247468</v>
      </c>
    </row>
    <row r="346" spans="1:7" x14ac:dyDescent="0.3">
      <c r="A346" s="1" t="str">
        <f t="shared" si="5"/>
        <v>11 Arabinose 10mg_L</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93" t="s">
        <v>2249</v>
      </c>
      <c r="D346" s="193" t="s">
        <v>2250</v>
      </c>
      <c r="E346" s="193" t="s">
        <v>2251</v>
      </c>
      <c r="F346" s="193" t="s">
        <v>112</v>
      </c>
      <c r="G346" s="193">
        <v>214698</v>
      </c>
    </row>
    <row r="347" spans="1:7" x14ac:dyDescent="0.3">
      <c r="A347" s="1" t="str">
        <f t="shared" si="5"/>
        <v>11 Arabinose 10mg_L</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93" t="s">
        <v>2252</v>
      </c>
      <c r="D347" s="193" t="s">
        <v>2250</v>
      </c>
      <c r="E347" s="193" t="s">
        <v>2253</v>
      </c>
      <c r="F347" s="193" t="s">
        <v>112</v>
      </c>
      <c r="G347" s="193">
        <v>213184</v>
      </c>
    </row>
    <row r="348" spans="1:7" x14ac:dyDescent="0.3">
      <c r="A348" s="1" t="str">
        <f t="shared" si="5"/>
        <v>11 Arabinose 10mg_L</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93" t="s">
        <v>2254</v>
      </c>
      <c r="D348" s="193" t="s">
        <v>2200</v>
      </c>
      <c r="E348" s="193" t="s">
        <v>2255</v>
      </c>
      <c r="F348" s="193" t="s">
        <v>112</v>
      </c>
      <c r="G348" s="193">
        <v>23317</v>
      </c>
    </row>
    <row r="349" spans="1:7" x14ac:dyDescent="0.3">
      <c r="A349" s="1" t="str">
        <f t="shared" si="5"/>
        <v>11 Arabinose 10mg_L</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93" t="s">
        <v>2256</v>
      </c>
      <c r="D349" s="193" t="s">
        <v>1722</v>
      </c>
      <c r="E349" s="193" t="s">
        <v>2257</v>
      </c>
      <c r="F349" s="193" t="s">
        <v>112</v>
      </c>
      <c r="G349" s="193">
        <v>160061</v>
      </c>
    </row>
    <row r="350" spans="1:7" x14ac:dyDescent="0.3">
      <c r="A350" s="1" t="str">
        <f t="shared" si="5"/>
        <v>11 Arabinose 10mg_L</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93" t="s">
        <v>2258</v>
      </c>
      <c r="D350" s="193" t="s">
        <v>2259</v>
      </c>
      <c r="E350" s="193" t="s">
        <v>2260</v>
      </c>
      <c r="F350" s="193" t="s">
        <v>112</v>
      </c>
      <c r="G350" s="193">
        <v>1200005</v>
      </c>
    </row>
    <row r="351" spans="1:7" x14ac:dyDescent="0.3">
      <c r="A351" s="1" t="str">
        <f t="shared" si="5"/>
        <v>11 Arabinose 10mg_L</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93" t="s">
        <v>2261</v>
      </c>
      <c r="D351" s="193" t="s">
        <v>2262</v>
      </c>
      <c r="E351" s="193" t="s">
        <v>2263</v>
      </c>
      <c r="F351" s="193" t="s">
        <v>112</v>
      </c>
      <c r="G351" s="193">
        <v>882413</v>
      </c>
    </row>
    <row r="352" spans="1:7" x14ac:dyDescent="0.3">
      <c r="A352" s="1" t="str">
        <f t="shared" si="5"/>
        <v>11 Arabinose 10mg_L</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93" t="s">
        <v>2264</v>
      </c>
      <c r="D352" s="193" t="s">
        <v>2265</v>
      </c>
      <c r="E352" s="193" t="s">
        <v>2266</v>
      </c>
      <c r="F352" s="193" t="s">
        <v>112</v>
      </c>
      <c r="G352" s="193">
        <v>1196436</v>
      </c>
    </row>
    <row r="353" spans="1:10" x14ac:dyDescent="0.3">
      <c r="A353" s="1" t="str">
        <f t="shared" si="5"/>
        <v>11 Arabinose 10mg_L</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93" t="s">
        <v>2267</v>
      </c>
      <c r="D353" s="193"/>
      <c r="E353" s="193"/>
      <c r="F353" s="193"/>
      <c r="G353" s="193"/>
      <c r="H353" s="193"/>
      <c r="I353" s="193"/>
      <c r="J353" s="193"/>
    </row>
    <row r="354" spans="1:10" x14ac:dyDescent="0.3">
      <c r="A354" s="1" t="str">
        <f t="shared" si="5"/>
        <v>11 Arabinose 10mg_L</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93" t="s">
        <v>2268</v>
      </c>
      <c r="D354" s="193" t="s">
        <v>2269</v>
      </c>
      <c r="E354" s="193" t="s">
        <v>2270</v>
      </c>
      <c r="F354" s="193" t="s">
        <v>112</v>
      </c>
      <c r="G354" s="193">
        <v>458337</v>
      </c>
      <c r="H354" s="193"/>
      <c r="I354" s="193"/>
      <c r="J354" s="193"/>
    </row>
    <row r="355" spans="1:10" x14ac:dyDescent="0.3">
      <c r="A355" s="1" t="str">
        <f t="shared" si="5"/>
        <v>11 Arabinose 10mg_L</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93" t="s">
        <v>2271</v>
      </c>
      <c r="D355" s="193" t="s">
        <v>2272</v>
      </c>
      <c r="E355" s="193" t="s">
        <v>2273</v>
      </c>
      <c r="F355" s="193" t="s">
        <v>112</v>
      </c>
      <c r="G355" s="193">
        <v>504474</v>
      </c>
      <c r="H355" s="193"/>
      <c r="I355" s="193"/>
      <c r="J355" s="193"/>
    </row>
    <row r="356" spans="1:10" x14ac:dyDescent="0.3">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93" t="s">
        <v>112</v>
      </c>
      <c r="D356" s="193"/>
      <c r="E356" s="193"/>
      <c r="F356" s="193"/>
      <c r="G356" s="193"/>
      <c r="H356" s="193"/>
      <c r="I356" s="193"/>
      <c r="J356" s="193"/>
    </row>
    <row r="357" spans="1:10" x14ac:dyDescent="0.3">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93" t="s">
        <v>229</v>
      </c>
      <c r="D357" s="193" t="s">
        <v>112</v>
      </c>
      <c r="E357" s="193" t="s">
        <v>230</v>
      </c>
      <c r="F357" s="193" t="s">
        <v>231</v>
      </c>
      <c r="G357" s="193" t="s">
        <v>232</v>
      </c>
      <c r="H357" s="193" t="s">
        <v>233</v>
      </c>
      <c r="I357" s="193" t="s">
        <v>234</v>
      </c>
      <c r="J357" s="193" t="s">
        <v>235</v>
      </c>
    </row>
    <row r="358" spans="1:10" x14ac:dyDescent="0.3">
      <c r="A358" s="1" t="str">
        <f t="shared" si="5"/>
        <v>11 Arabinose 10mg_L</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93" t="s">
        <v>2274</v>
      </c>
      <c r="D358" s="193" t="s">
        <v>112</v>
      </c>
      <c r="E358" s="193" t="s">
        <v>2275</v>
      </c>
      <c r="F358" s="193" t="s">
        <v>2276</v>
      </c>
      <c r="G358" s="193" t="s">
        <v>2277</v>
      </c>
      <c r="H358" s="193" t="s">
        <v>2278</v>
      </c>
      <c r="I358" s="193">
        <v>24</v>
      </c>
      <c r="J358" s="193">
        <v>24</v>
      </c>
    </row>
    <row r="359" spans="1:10" x14ac:dyDescent="0.3">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93" t="s">
        <v>112</v>
      </c>
      <c r="D359" s="193"/>
      <c r="E359" s="193"/>
      <c r="F359" s="193"/>
      <c r="G359" s="193"/>
      <c r="H359" s="193"/>
      <c r="I359" s="193"/>
      <c r="J359" s="193"/>
    </row>
    <row r="360" spans="1:10" x14ac:dyDescent="0.3">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93" t="s">
        <v>112</v>
      </c>
      <c r="D360" s="193"/>
      <c r="E360" s="193"/>
      <c r="F360" s="193"/>
      <c r="G360" s="193"/>
      <c r="H360" s="193"/>
      <c r="I360" s="193"/>
      <c r="J360" s="193"/>
    </row>
    <row r="361" spans="1:10" x14ac:dyDescent="0.3">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93" t="s">
        <v>112</v>
      </c>
      <c r="D361" s="193"/>
      <c r="E361" s="193"/>
      <c r="F361" s="193"/>
      <c r="G361" s="193"/>
      <c r="H361" s="193"/>
      <c r="I361" s="193"/>
      <c r="J361" s="193"/>
    </row>
    <row r="362" spans="1:10" x14ac:dyDescent="0.3">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93" t="s">
        <v>112</v>
      </c>
      <c r="D362" s="193"/>
      <c r="E362" s="193"/>
      <c r="F362" s="193"/>
      <c r="G362" s="193"/>
      <c r="H362" s="193"/>
      <c r="I362" s="193"/>
      <c r="J362" s="193"/>
    </row>
    <row r="363" spans="1:10" x14ac:dyDescent="0.3">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93" t="s">
        <v>112</v>
      </c>
      <c r="D363" s="193"/>
      <c r="E363" s="193"/>
      <c r="F363" s="193"/>
      <c r="G363" s="193"/>
      <c r="H363" s="193"/>
      <c r="I363" s="193"/>
      <c r="J363" s="193"/>
    </row>
    <row r="364" spans="1:10" x14ac:dyDescent="0.3">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93" t="s">
        <v>241</v>
      </c>
      <c r="D364" s="193" t="s">
        <v>110</v>
      </c>
      <c r="E364" s="193" t="s">
        <v>111</v>
      </c>
      <c r="F364" s="193" t="s">
        <v>112</v>
      </c>
      <c r="G364" s="193" t="s">
        <v>113</v>
      </c>
      <c r="H364" s="193"/>
      <c r="I364" s="193"/>
      <c r="J364" s="193"/>
    </row>
    <row r="365" spans="1:10" x14ac:dyDescent="0.3">
      <c r="A365" s="1" t="str">
        <f t="shared" si="5"/>
        <v>12 Arabinose 100mg_L</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93" t="s">
        <v>2279</v>
      </c>
      <c r="D365" s="193" t="s">
        <v>2280</v>
      </c>
      <c r="E365" s="193" t="s">
        <v>2281</v>
      </c>
      <c r="F365" s="193" t="s">
        <v>112</v>
      </c>
      <c r="G365" s="193">
        <v>1045827</v>
      </c>
      <c r="H365" s="193"/>
      <c r="I365" s="193"/>
      <c r="J365" s="193"/>
    </row>
    <row r="366" spans="1:10" x14ac:dyDescent="0.3">
      <c r="A366" s="1" t="str">
        <f t="shared" si="5"/>
        <v>12 Arabinose 100mg_L</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93" t="s">
        <v>2282</v>
      </c>
      <c r="D366" s="193" t="s">
        <v>2283</v>
      </c>
      <c r="E366" s="193" t="s">
        <v>2284</v>
      </c>
      <c r="F366" s="193" t="s">
        <v>112</v>
      </c>
      <c r="G366" s="193">
        <v>341796</v>
      </c>
      <c r="H366" s="193"/>
      <c r="I366" s="193"/>
      <c r="J366" s="193"/>
    </row>
    <row r="367" spans="1:10" x14ac:dyDescent="0.3">
      <c r="A367" s="1" t="str">
        <f t="shared" si="5"/>
        <v>12 Arabinose 100mg_L</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93" t="s">
        <v>2285</v>
      </c>
      <c r="D367" s="193" t="s">
        <v>1768</v>
      </c>
      <c r="E367" s="193" t="s">
        <v>2286</v>
      </c>
      <c r="F367" s="193" t="s">
        <v>112</v>
      </c>
      <c r="G367" s="193">
        <v>302213</v>
      </c>
      <c r="H367" s="193"/>
      <c r="I367" s="193"/>
      <c r="J367" s="193"/>
    </row>
    <row r="368" spans="1:10" x14ac:dyDescent="0.3">
      <c r="A368" s="1" t="str">
        <f t="shared" si="5"/>
        <v>12 Arabinose 100mg_L</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93" t="s">
        <v>2287</v>
      </c>
      <c r="D368" s="193" t="s">
        <v>2288</v>
      </c>
      <c r="E368" s="193" t="s">
        <v>2289</v>
      </c>
      <c r="F368" s="193" t="s">
        <v>112</v>
      </c>
      <c r="G368" s="193">
        <v>573322</v>
      </c>
      <c r="H368" s="193"/>
      <c r="I368" s="193"/>
      <c r="J368" s="193"/>
    </row>
    <row r="369" spans="1:7" x14ac:dyDescent="0.3">
      <c r="A369" s="1" t="str">
        <f t="shared" si="5"/>
        <v>12 Arabinose 100mg_L</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93" t="s">
        <v>2290</v>
      </c>
      <c r="D369" s="193" t="s">
        <v>2291</v>
      </c>
      <c r="E369" s="193" t="s">
        <v>2292</v>
      </c>
      <c r="F369" s="193" t="s">
        <v>112</v>
      </c>
      <c r="G369" s="193">
        <v>594844</v>
      </c>
    </row>
    <row r="370" spans="1:7" x14ac:dyDescent="0.3">
      <c r="A370" s="1" t="str">
        <f t="shared" si="5"/>
        <v>12 Arabinose 100mg_L</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93" t="s">
        <v>2293</v>
      </c>
      <c r="D370" s="193" t="s">
        <v>146</v>
      </c>
      <c r="E370" s="193" t="s">
        <v>2294</v>
      </c>
      <c r="F370" s="193" t="s">
        <v>112</v>
      </c>
      <c r="G370" s="193">
        <v>324427</v>
      </c>
    </row>
    <row r="371" spans="1:7" x14ac:dyDescent="0.3">
      <c r="A371" s="1" t="str">
        <f t="shared" si="5"/>
        <v>12 Arabinose 100mg_L</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93" t="s">
        <v>2295</v>
      </c>
      <c r="D371" s="193" t="s">
        <v>2296</v>
      </c>
      <c r="E371" s="193" t="s">
        <v>2297</v>
      </c>
      <c r="F371" s="193" t="s">
        <v>112</v>
      </c>
      <c r="G371" s="193">
        <v>227914</v>
      </c>
    </row>
    <row r="372" spans="1:7" x14ac:dyDescent="0.3">
      <c r="A372" s="1" t="str">
        <f t="shared" si="5"/>
        <v>12 Arabinose 100mg_L</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93" t="s">
        <v>2298</v>
      </c>
      <c r="D372" s="193" t="s">
        <v>2299</v>
      </c>
      <c r="E372" s="193" t="s">
        <v>2300</v>
      </c>
      <c r="F372" s="193" t="s">
        <v>112</v>
      </c>
      <c r="G372" s="193">
        <v>56130</v>
      </c>
    </row>
    <row r="373" spans="1:7" x14ac:dyDescent="0.3">
      <c r="A373" s="1" t="str">
        <f t="shared" si="5"/>
        <v>12 Arabinose 100mg_L</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93" t="s">
        <v>2301</v>
      </c>
      <c r="D373" s="193" t="s">
        <v>1699</v>
      </c>
      <c r="E373" s="193" t="s">
        <v>2302</v>
      </c>
      <c r="F373" s="193" t="s">
        <v>112</v>
      </c>
      <c r="G373" s="193">
        <v>59893</v>
      </c>
    </row>
    <row r="374" spans="1:7" x14ac:dyDescent="0.3">
      <c r="A374" s="1" t="str">
        <f t="shared" si="5"/>
        <v>12 Arabinose 100mg_L</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93" t="s">
        <v>2303</v>
      </c>
      <c r="D374" s="193" t="s">
        <v>2304</v>
      </c>
      <c r="E374" s="193" t="s">
        <v>2305</v>
      </c>
      <c r="F374" s="193" t="s">
        <v>112</v>
      </c>
      <c r="G374" s="193">
        <v>267432</v>
      </c>
    </row>
    <row r="375" spans="1:7" x14ac:dyDescent="0.3">
      <c r="A375" s="1" t="str">
        <f t="shared" si="5"/>
        <v>12 Arabinose 100mg_L</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93" t="s">
        <v>2306</v>
      </c>
      <c r="D375" s="193" t="s">
        <v>2307</v>
      </c>
      <c r="E375" s="193" t="s">
        <v>2308</v>
      </c>
      <c r="F375" s="193" t="s">
        <v>112</v>
      </c>
      <c r="G375" s="193">
        <v>320101</v>
      </c>
    </row>
    <row r="376" spans="1:7" x14ac:dyDescent="0.3">
      <c r="A376" s="1" t="str">
        <f t="shared" si="5"/>
        <v>12 Arabinose 100mg_L</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93" t="s">
        <v>2309</v>
      </c>
      <c r="D376" s="193" t="s">
        <v>2062</v>
      </c>
      <c r="E376" s="193" t="s">
        <v>2310</v>
      </c>
      <c r="F376" s="193" t="s">
        <v>112</v>
      </c>
      <c r="G376" s="193">
        <v>269790</v>
      </c>
    </row>
    <row r="377" spans="1:7" x14ac:dyDescent="0.3">
      <c r="A377" s="1" t="str">
        <f t="shared" si="5"/>
        <v>12 Arabinose 100mg_L</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93" t="s">
        <v>2311</v>
      </c>
      <c r="D377" s="193" t="s">
        <v>2157</v>
      </c>
      <c r="E377" s="193" t="s">
        <v>2312</v>
      </c>
      <c r="F377" s="193" t="s">
        <v>112</v>
      </c>
      <c r="G377" s="193">
        <v>253308</v>
      </c>
    </row>
    <row r="378" spans="1:7" x14ac:dyDescent="0.3">
      <c r="A378" s="1" t="str">
        <f t="shared" si="5"/>
        <v>12 Arabinose 100mg_L</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93" t="s">
        <v>2313</v>
      </c>
      <c r="D378" s="193" t="s">
        <v>2200</v>
      </c>
      <c r="E378" s="193" t="s">
        <v>2314</v>
      </c>
      <c r="F378" s="193" t="s">
        <v>112</v>
      </c>
      <c r="G378" s="193">
        <v>22776</v>
      </c>
    </row>
    <row r="379" spans="1:7" x14ac:dyDescent="0.3">
      <c r="A379" s="1" t="str">
        <f t="shared" si="5"/>
        <v>12 Arabinose 100mg_L</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93" t="s">
        <v>2315</v>
      </c>
      <c r="D379" s="193" t="s">
        <v>1537</v>
      </c>
      <c r="E379" s="193" t="s">
        <v>2316</v>
      </c>
      <c r="F379" s="193" t="s">
        <v>112</v>
      </c>
      <c r="G379" s="193">
        <v>20462</v>
      </c>
    </row>
    <row r="380" spans="1:7" x14ac:dyDescent="0.3">
      <c r="A380" s="1" t="str">
        <f t="shared" si="5"/>
        <v>12 Arabinose 100mg_L</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93" t="s">
        <v>2317</v>
      </c>
      <c r="D380" s="193" t="s">
        <v>2318</v>
      </c>
      <c r="E380" s="193" t="s">
        <v>2319</v>
      </c>
      <c r="F380" s="193" t="s">
        <v>112</v>
      </c>
      <c r="G380" s="193">
        <v>523249</v>
      </c>
    </row>
    <row r="381" spans="1:7" x14ac:dyDescent="0.3">
      <c r="A381" s="1" t="str">
        <f t="shared" si="5"/>
        <v>12 Arabinose 100mg_L</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93" t="s">
        <v>2320</v>
      </c>
      <c r="D381" s="193" t="s">
        <v>2321</v>
      </c>
      <c r="E381" s="193" t="s">
        <v>2322</v>
      </c>
      <c r="F381" s="193" t="s">
        <v>112</v>
      </c>
      <c r="G381" s="193">
        <v>222182</v>
      </c>
    </row>
    <row r="382" spans="1:7" x14ac:dyDescent="0.3">
      <c r="A382" s="1" t="str">
        <f t="shared" si="5"/>
        <v>12 Arabinose 100mg_L</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93" t="s">
        <v>2323</v>
      </c>
      <c r="D382" s="193" t="s">
        <v>2324</v>
      </c>
      <c r="E382" s="193" t="s">
        <v>2325</v>
      </c>
      <c r="F382" s="193" t="s">
        <v>112</v>
      </c>
      <c r="G382" s="193">
        <v>181150</v>
      </c>
    </row>
    <row r="383" spans="1:7" x14ac:dyDescent="0.3">
      <c r="A383" s="1" t="str">
        <f t="shared" si="5"/>
        <v>12 Arabinose 100mg_L</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93" t="s">
        <v>2326</v>
      </c>
      <c r="D383" s="193" t="s">
        <v>2071</v>
      </c>
      <c r="E383" s="193" t="s">
        <v>1569</v>
      </c>
      <c r="F383" s="193" t="s">
        <v>112</v>
      </c>
      <c r="G383" s="193">
        <v>8241</v>
      </c>
    </row>
    <row r="384" spans="1:7" x14ac:dyDescent="0.3">
      <c r="A384" s="1" t="str">
        <f t="shared" si="5"/>
        <v>12 Arabinose 100mg_L</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93" t="s">
        <v>2327</v>
      </c>
      <c r="D384" s="193" t="s">
        <v>2043</v>
      </c>
      <c r="E384" s="193" t="s">
        <v>2328</v>
      </c>
      <c r="F384" s="193" t="s">
        <v>112</v>
      </c>
      <c r="G384" s="193">
        <v>44579</v>
      </c>
    </row>
    <row r="385" spans="1:10" x14ac:dyDescent="0.3">
      <c r="A385" s="1" t="str">
        <f t="shared" si="5"/>
        <v>12 Arabinose 100mg_L</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93" t="s">
        <v>2329</v>
      </c>
      <c r="D385" s="193" t="s">
        <v>1622</v>
      </c>
      <c r="E385" s="193" t="s">
        <v>2163</v>
      </c>
      <c r="F385" s="193" t="s">
        <v>112</v>
      </c>
      <c r="G385" s="193">
        <v>14903</v>
      </c>
      <c r="H385" s="193"/>
      <c r="I385" s="193"/>
      <c r="J385" s="193"/>
    </row>
    <row r="386" spans="1:10" x14ac:dyDescent="0.3">
      <c r="A386" s="1" t="str">
        <f t="shared" ref="A386:A449" si="6">IFERROR(LEFT(RIGHT(C386,LEN(C386)-SEARCH("@",C386)),SEARCH("/",RIGHT(C386,LEN(C386)-SEARCH("@",C386)-1))),"")</f>
        <v>12 Arabinose 100mg_L</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93" t="s">
        <v>2330</v>
      </c>
      <c r="D386" s="193" t="s">
        <v>2331</v>
      </c>
      <c r="E386" s="193" t="s">
        <v>2332</v>
      </c>
      <c r="F386" s="193" t="s">
        <v>112</v>
      </c>
      <c r="G386" s="193">
        <v>18905</v>
      </c>
      <c r="H386" s="193"/>
      <c r="I386" s="193"/>
      <c r="J386" s="193"/>
    </row>
    <row r="387" spans="1:10" x14ac:dyDescent="0.3">
      <c r="A387" s="1" t="str">
        <f t="shared" si="6"/>
        <v>12 Arabinose 100mg_L</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93" t="s">
        <v>2333</v>
      </c>
      <c r="D387" s="193" t="s">
        <v>2334</v>
      </c>
      <c r="E387" s="193" t="s">
        <v>2335</v>
      </c>
      <c r="F387" s="193" t="s">
        <v>112</v>
      </c>
      <c r="G387" s="193">
        <v>128460</v>
      </c>
      <c r="H387" s="193"/>
      <c r="I387" s="193"/>
      <c r="J387" s="193"/>
    </row>
    <row r="388" spans="1:10" x14ac:dyDescent="0.3">
      <c r="A388" s="1" t="str">
        <f t="shared" si="6"/>
        <v>12 Arabinose 100mg_L</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93" t="s">
        <v>2336</v>
      </c>
      <c r="D388" s="193" t="s">
        <v>1837</v>
      </c>
      <c r="E388" s="193" t="s">
        <v>272</v>
      </c>
      <c r="F388" s="193" t="s">
        <v>112</v>
      </c>
      <c r="G388" s="193">
        <v>10858</v>
      </c>
      <c r="H388" s="193"/>
      <c r="I388" s="193"/>
      <c r="J388" s="193"/>
    </row>
    <row r="389" spans="1:10" x14ac:dyDescent="0.3">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93" t="s">
        <v>112</v>
      </c>
      <c r="D389" s="193"/>
      <c r="E389" s="193"/>
      <c r="F389" s="193"/>
      <c r="G389" s="193"/>
      <c r="H389" s="193"/>
      <c r="I389" s="193"/>
      <c r="J389" s="193"/>
    </row>
    <row r="390" spans="1:10" x14ac:dyDescent="0.3">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93" t="s">
        <v>229</v>
      </c>
      <c r="D390" s="193" t="s">
        <v>112</v>
      </c>
      <c r="E390" s="193" t="s">
        <v>230</v>
      </c>
      <c r="F390" s="193" t="s">
        <v>231</v>
      </c>
      <c r="G390" s="193" t="s">
        <v>232</v>
      </c>
      <c r="H390" s="193" t="s">
        <v>233</v>
      </c>
      <c r="I390" s="193" t="s">
        <v>234</v>
      </c>
      <c r="J390" s="193" t="s">
        <v>235</v>
      </c>
    </row>
    <row r="391" spans="1:10" x14ac:dyDescent="0.3">
      <c r="A391" s="1" t="str">
        <f t="shared" si="6"/>
        <v>12 Arabinose 100mg_L</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93" t="s">
        <v>2337</v>
      </c>
      <c r="D391" s="193" t="s">
        <v>112</v>
      </c>
      <c r="E391" s="193" t="s">
        <v>2338</v>
      </c>
      <c r="F391" s="193" t="s">
        <v>2339</v>
      </c>
      <c r="G391" s="193" t="s">
        <v>2340</v>
      </c>
      <c r="H391" s="193" t="s">
        <v>2341</v>
      </c>
      <c r="I391" s="193">
        <v>24</v>
      </c>
      <c r="J391" s="193">
        <v>24</v>
      </c>
    </row>
    <row r="392" spans="1:10" x14ac:dyDescent="0.3">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93" t="s">
        <v>112</v>
      </c>
      <c r="D392" s="193"/>
      <c r="E392" s="193"/>
      <c r="F392" s="193"/>
      <c r="G392" s="193"/>
      <c r="H392" s="193"/>
      <c r="I392" s="193"/>
      <c r="J392" s="193"/>
    </row>
    <row r="393" spans="1:10" x14ac:dyDescent="0.3">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93" t="s">
        <v>112</v>
      </c>
      <c r="D393" s="193"/>
      <c r="E393" s="193"/>
      <c r="F393" s="193"/>
      <c r="G393" s="193"/>
      <c r="H393" s="193"/>
      <c r="I393" s="193"/>
      <c r="J393" s="193"/>
    </row>
    <row r="394" spans="1:10" x14ac:dyDescent="0.3">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93" t="s">
        <v>112</v>
      </c>
      <c r="D394" s="193"/>
      <c r="E394" s="193"/>
      <c r="F394" s="193"/>
      <c r="G394" s="193"/>
      <c r="H394" s="193"/>
      <c r="I394" s="193"/>
      <c r="J394" s="193"/>
    </row>
    <row r="395" spans="1:10" x14ac:dyDescent="0.3">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93" t="s">
        <v>112</v>
      </c>
      <c r="D395" s="193"/>
      <c r="E395" s="193"/>
      <c r="F395" s="193"/>
      <c r="G395" s="193"/>
      <c r="H395" s="193"/>
      <c r="I395" s="193"/>
      <c r="J395" s="193"/>
    </row>
    <row r="396" spans="1:10" x14ac:dyDescent="0.3">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93" t="s">
        <v>112</v>
      </c>
      <c r="D396" s="193"/>
      <c r="E396" s="193"/>
      <c r="F396" s="193"/>
      <c r="G396" s="193"/>
      <c r="H396" s="193"/>
      <c r="I396" s="193"/>
      <c r="J396" s="193"/>
    </row>
    <row r="397" spans="1:10" x14ac:dyDescent="0.3">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93" t="s">
        <v>241</v>
      </c>
      <c r="D397" s="193" t="s">
        <v>110</v>
      </c>
      <c r="E397" s="193" t="s">
        <v>111</v>
      </c>
      <c r="F397" s="193" t="s">
        <v>112</v>
      </c>
      <c r="G397" s="193" t="s">
        <v>113</v>
      </c>
      <c r="H397" s="193"/>
      <c r="I397" s="193"/>
      <c r="J397" s="193"/>
    </row>
    <row r="398" spans="1:10" x14ac:dyDescent="0.3">
      <c r="A398" s="1" t="str">
        <f t="shared" si="6"/>
        <v>01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93" t="s">
        <v>2342</v>
      </c>
      <c r="D398" s="193" t="s">
        <v>2343</v>
      </c>
      <c r="E398" s="193" t="s">
        <v>2344</v>
      </c>
      <c r="F398" s="193" t="s">
        <v>112</v>
      </c>
      <c r="G398" s="193">
        <v>3313808</v>
      </c>
      <c r="H398" s="193"/>
      <c r="I398" s="193"/>
      <c r="J398" s="193"/>
    </row>
    <row r="399" spans="1:10" x14ac:dyDescent="0.3">
      <c r="A399" s="1" t="str">
        <f t="shared" si="6"/>
        <v>01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93" t="s">
        <v>2345</v>
      </c>
      <c r="D399" s="193" t="s">
        <v>2346</v>
      </c>
      <c r="E399" s="193" t="s">
        <v>2347</v>
      </c>
      <c r="F399" s="193" t="s">
        <v>112</v>
      </c>
      <c r="G399" s="193">
        <v>3223179</v>
      </c>
      <c r="H399" s="193"/>
      <c r="I399" s="193"/>
      <c r="J399" s="193"/>
    </row>
    <row r="400" spans="1:10" x14ac:dyDescent="0.3">
      <c r="A400" s="1" t="str">
        <f t="shared" si="6"/>
        <v>01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93" t="s">
        <v>2348</v>
      </c>
      <c r="D400" s="193" t="s">
        <v>2349</v>
      </c>
      <c r="E400" s="193" t="s">
        <v>2350</v>
      </c>
      <c r="F400" s="193" t="s">
        <v>112</v>
      </c>
      <c r="G400" s="193">
        <v>2940865</v>
      </c>
      <c r="H400" s="193"/>
      <c r="I400" s="193"/>
      <c r="J400" s="193"/>
    </row>
    <row r="401" spans="1:7" x14ac:dyDescent="0.3">
      <c r="A401" s="1" t="str">
        <f t="shared" si="6"/>
        <v>01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93" t="s">
        <v>2351</v>
      </c>
      <c r="D401" s="193" t="s">
        <v>2352</v>
      </c>
      <c r="E401" s="193" t="s">
        <v>2353</v>
      </c>
      <c r="F401" s="193" t="s">
        <v>112</v>
      </c>
      <c r="G401" s="193">
        <v>1279365</v>
      </c>
    </row>
    <row r="402" spans="1:7" x14ac:dyDescent="0.3">
      <c r="A402" s="1" t="str">
        <f t="shared" si="6"/>
        <v>01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93" t="s">
        <v>2354</v>
      </c>
      <c r="D402" s="193" t="s">
        <v>2355</v>
      </c>
      <c r="E402" s="193" t="s">
        <v>2356</v>
      </c>
      <c r="F402" s="193" t="s">
        <v>112</v>
      </c>
      <c r="G402" s="193">
        <v>1096765</v>
      </c>
    </row>
    <row r="403" spans="1:7" x14ac:dyDescent="0.3">
      <c r="A403" s="1" t="str">
        <f t="shared" si="6"/>
        <v>01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93" t="s">
        <v>2357</v>
      </c>
      <c r="D403" s="193"/>
      <c r="E403" s="193"/>
      <c r="F403" s="193"/>
      <c r="G403" s="193"/>
    </row>
    <row r="404" spans="1:7" x14ac:dyDescent="0.3">
      <c r="A404" s="1" t="str">
        <f t="shared" si="6"/>
        <v>01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93" t="s">
        <v>2358</v>
      </c>
      <c r="D404" s="193"/>
      <c r="E404" s="193"/>
      <c r="F404" s="193"/>
      <c r="G404" s="193"/>
    </row>
    <row r="405" spans="1:7" x14ac:dyDescent="0.3">
      <c r="A405" s="1" t="str">
        <f t="shared" si="6"/>
        <v>01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93" t="s">
        <v>2359</v>
      </c>
      <c r="D405" s="193"/>
      <c r="E405" s="193"/>
      <c r="F405" s="193"/>
      <c r="G405" s="193"/>
    </row>
    <row r="406" spans="1:7" x14ac:dyDescent="0.3">
      <c r="A406" s="1" t="str">
        <f t="shared" si="6"/>
        <v>01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93" t="s">
        <v>2360</v>
      </c>
      <c r="D406" s="193"/>
      <c r="E406" s="193"/>
      <c r="F406" s="193"/>
      <c r="G406" s="193"/>
    </row>
    <row r="407" spans="1:7" x14ac:dyDescent="0.3">
      <c r="A407" s="1" t="str">
        <f t="shared" si="6"/>
        <v>01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93" t="s">
        <v>2361</v>
      </c>
      <c r="D407" s="193" t="s">
        <v>2362</v>
      </c>
      <c r="E407" s="193" t="s">
        <v>2363</v>
      </c>
      <c r="F407" s="193" t="s">
        <v>112</v>
      </c>
      <c r="G407" s="193">
        <v>1660246</v>
      </c>
    </row>
    <row r="408" spans="1:7" x14ac:dyDescent="0.3">
      <c r="A408" s="1" t="str">
        <f t="shared" si="6"/>
        <v>01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93" t="s">
        <v>2364</v>
      </c>
      <c r="D408" s="193" t="s">
        <v>2365</v>
      </c>
      <c r="E408" s="193" t="s">
        <v>2366</v>
      </c>
      <c r="F408" s="193" t="s">
        <v>112</v>
      </c>
      <c r="G408" s="193">
        <v>1540416</v>
      </c>
    </row>
    <row r="409" spans="1:7" x14ac:dyDescent="0.3">
      <c r="A409" s="1" t="str">
        <f t="shared" si="6"/>
        <v>01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93" t="s">
        <v>2367</v>
      </c>
      <c r="D409" s="193" t="s">
        <v>2368</v>
      </c>
      <c r="E409" s="193" t="s">
        <v>2369</v>
      </c>
      <c r="F409" s="193" t="s">
        <v>112</v>
      </c>
      <c r="G409" s="193">
        <v>1360672</v>
      </c>
    </row>
    <row r="410" spans="1:7" x14ac:dyDescent="0.3">
      <c r="A410" s="1" t="str">
        <f t="shared" si="6"/>
        <v>01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93" t="s">
        <v>2370</v>
      </c>
      <c r="D410" s="193" t="s">
        <v>2371</v>
      </c>
      <c r="E410" s="193" t="s">
        <v>2372</v>
      </c>
      <c r="F410" s="193" t="s">
        <v>112</v>
      </c>
      <c r="G410" s="193">
        <v>1428936</v>
      </c>
    </row>
    <row r="411" spans="1:7" x14ac:dyDescent="0.3">
      <c r="A411" s="1" t="str">
        <f t="shared" si="6"/>
        <v>01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93" t="s">
        <v>2373</v>
      </c>
      <c r="D411" s="193" t="s">
        <v>2374</v>
      </c>
      <c r="E411" s="193" t="s">
        <v>2375</v>
      </c>
      <c r="F411" s="193" t="s">
        <v>112</v>
      </c>
      <c r="G411" s="193">
        <v>1288623</v>
      </c>
    </row>
    <row r="412" spans="1:7" x14ac:dyDescent="0.3">
      <c r="A412" s="1" t="str">
        <f t="shared" si="6"/>
        <v>01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93" t="s">
        <v>2376</v>
      </c>
      <c r="D412" s="193" t="s">
        <v>2377</v>
      </c>
      <c r="E412" s="193" t="s">
        <v>2378</v>
      </c>
      <c r="F412" s="193" t="s">
        <v>112</v>
      </c>
      <c r="G412" s="193">
        <v>863833</v>
      </c>
    </row>
    <row r="413" spans="1:7" x14ac:dyDescent="0.3">
      <c r="A413" s="1" t="str">
        <f t="shared" si="6"/>
        <v>01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93" t="s">
        <v>2379</v>
      </c>
      <c r="D413" s="193" t="s">
        <v>2380</v>
      </c>
      <c r="E413" s="193" t="s">
        <v>2381</v>
      </c>
      <c r="F413" s="193" t="s">
        <v>112</v>
      </c>
      <c r="G413" s="193">
        <v>1858852</v>
      </c>
    </row>
    <row r="414" spans="1:7" x14ac:dyDescent="0.3">
      <c r="A414" s="1" t="str">
        <f t="shared" si="6"/>
        <v>01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93" t="s">
        <v>2382</v>
      </c>
      <c r="D414" s="193" t="s">
        <v>2383</v>
      </c>
      <c r="E414" s="193" t="s">
        <v>2384</v>
      </c>
      <c r="F414" s="193" t="s">
        <v>112</v>
      </c>
      <c r="G414" s="193">
        <v>1321003</v>
      </c>
    </row>
    <row r="415" spans="1:7" x14ac:dyDescent="0.3">
      <c r="A415" s="1" t="str">
        <f t="shared" si="6"/>
        <v>01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93" t="s">
        <v>2385</v>
      </c>
      <c r="D415" s="193" t="s">
        <v>2386</v>
      </c>
      <c r="E415" s="193" t="s">
        <v>2387</v>
      </c>
      <c r="F415" s="193" t="s">
        <v>112</v>
      </c>
      <c r="G415" s="193">
        <v>1719533</v>
      </c>
    </row>
    <row r="416" spans="1:7" x14ac:dyDescent="0.3">
      <c r="A416" s="1" t="str">
        <f t="shared" si="6"/>
        <v>01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93" t="s">
        <v>2388</v>
      </c>
      <c r="D416" s="193" t="s">
        <v>2389</v>
      </c>
      <c r="E416" s="193" t="s">
        <v>2390</v>
      </c>
      <c r="F416" s="193" t="s">
        <v>112</v>
      </c>
      <c r="G416" s="193">
        <v>1627195</v>
      </c>
    </row>
    <row r="417" spans="1:10" x14ac:dyDescent="0.3">
      <c r="A417" s="1" t="str">
        <f t="shared" si="6"/>
        <v>01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93" t="s">
        <v>2391</v>
      </c>
      <c r="D417" s="193" t="s">
        <v>2392</v>
      </c>
      <c r="E417" s="193" t="s">
        <v>2393</v>
      </c>
      <c r="F417" s="193" t="s">
        <v>112</v>
      </c>
      <c r="G417" s="193">
        <v>1678523</v>
      </c>
      <c r="H417" s="193"/>
      <c r="I417" s="193"/>
      <c r="J417" s="193"/>
    </row>
    <row r="418" spans="1:10" x14ac:dyDescent="0.3">
      <c r="A418" s="1" t="str">
        <f t="shared" si="6"/>
        <v>01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93" t="s">
        <v>2394</v>
      </c>
      <c r="D418" s="193" t="s">
        <v>2395</v>
      </c>
      <c r="E418" s="193" t="s">
        <v>2396</v>
      </c>
      <c r="F418" s="193" t="s">
        <v>112</v>
      </c>
      <c r="G418" s="193">
        <v>982906</v>
      </c>
      <c r="H418" s="193"/>
      <c r="I418" s="193"/>
      <c r="J418" s="193"/>
    </row>
    <row r="419" spans="1:10" x14ac:dyDescent="0.3">
      <c r="A419" s="1" t="str">
        <f t="shared" si="6"/>
        <v>01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93" t="s">
        <v>2397</v>
      </c>
      <c r="D419" s="193" t="s">
        <v>2398</v>
      </c>
      <c r="E419" s="193" t="s">
        <v>2399</v>
      </c>
      <c r="F419" s="193" t="s">
        <v>112</v>
      </c>
      <c r="G419" s="193">
        <v>3396131</v>
      </c>
      <c r="H419" s="193"/>
      <c r="I419" s="193"/>
      <c r="J419" s="193"/>
    </row>
    <row r="420" spans="1:10" x14ac:dyDescent="0.3">
      <c r="A420" s="1" t="str">
        <f t="shared" si="6"/>
        <v>01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93" t="s">
        <v>2400</v>
      </c>
      <c r="D420" s="193" t="s">
        <v>2401</v>
      </c>
      <c r="E420" s="193" t="s">
        <v>2402</v>
      </c>
      <c r="F420" s="193" t="s">
        <v>112</v>
      </c>
      <c r="G420" s="193">
        <v>3237822</v>
      </c>
      <c r="H420" s="193"/>
      <c r="I420" s="193"/>
      <c r="J420" s="193"/>
    </row>
    <row r="421" spans="1:10" x14ac:dyDescent="0.3">
      <c r="A421" s="1" t="str">
        <f t="shared" si="6"/>
        <v>01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93" t="s">
        <v>2403</v>
      </c>
      <c r="D421" s="193" t="s">
        <v>2404</v>
      </c>
      <c r="E421" s="193" t="s">
        <v>2405</v>
      </c>
      <c r="F421" s="193" t="s">
        <v>112</v>
      </c>
      <c r="G421" s="193">
        <v>3312986</v>
      </c>
      <c r="H421" s="193"/>
      <c r="I421" s="193"/>
      <c r="J421" s="193"/>
    </row>
    <row r="422" spans="1:10" x14ac:dyDescent="0.3">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93" t="s">
        <v>112</v>
      </c>
      <c r="D422" s="193"/>
      <c r="E422" s="193"/>
      <c r="F422" s="193"/>
      <c r="G422" s="193"/>
      <c r="H422" s="193"/>
      <c r="I422" s="193"/>
      <c r="J422" s="193"/>
    </row>
    <row r="423" spans="1:10" x14ac:dyDescent="0.3">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93" t="s">
        <v>229</v>
      </c>
      <c r="D423" s="193" t="s">
        <v>112</v>
      </c>
      <c r="E423" s="193" t="s">
        <v>230</v>
      </c>
      <c r="F423" s="193" t="s">
        <v>231</v>
      </c>
      <c r="G423" s="193" t="s">
        <v>232</v>
      </c>
      <c r="H423" s="193" t="s">
        <v>233</v>
      </c>
      <c r="I423" s="193" t="s">
        <v>234</v>
      </c>
      <c r="J423" s="193" t="s">
        <v>235</v>
      </c>
    </row>
    <row r="424" spans="1:10" x14ac:dyDescent="0.3">
      <c r="A424" s="1" t="str">
        <f t="shared" si="6"/>
        <v>01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93" t="s">
        <v>2406</v>
      </c>
      <c r="D424" s="193" t="s">
        <v>112</v>
      </c>
      <c r="E424" s="193" t="s">
        <v>2407</v>
      </c>
      <c r="F424" s="193" t="s">
        <v>2408</v>
      </c>
      <c r="G424" s="193" t="s">
        <v>2409</v>
      </c>
      <c r="H424" s="193" t="s">
        <v>2410</v>
      </c>
      <c r="I424" s="193">
        <v>24</v>
      </c>
      <c r="J424" s="193">
        <v>24</v>
      </c>
    </row>
    <row r="425" spans="1:10" x14ac:dyDescent="0.3">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93" t="s">
        <v>112</v>
      </c>
      <c r="D425" s="193"/>
      <c r="E425" s="193"/>
      <c r="F425" s="193"/>
      <c r="G425" s="193"/>
      <c r="H425" s="193"/>
      <c r="I425" s="193"/>
      <c r="J425" s="193"/>
    </row>
    <row r="426" spans="1:10" x14ac:dyDescent="0.3">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93" t="s">
        <v>112</v>
      </c>
      <c r="D426" s="193"/>
      <c r="E426" s="193"/>
      <c r="F426" s="193"/>
      <c r="G426" s="193"/>
      <c r="H426" s="193"/>
      <c r="I426" s="193"/>
      <c r="J426" s="193"/>
    </row>
    <row r="427" spans="1:10" x14ac:dyDescent="0.3">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93" t="s">
        <v>112</v>
      </c>
      <c r="D427" s="193"/>
      <c r="E427" s="193"/>
      <c r="F427" s="193"/>
      <c r="G427" s="193"/>
      <c r="H427" s="193"/>
      <c r="I427" s="193"/>
      <c r="J427" s="193"/>
    </row>
    <row r="428" spans="1:10" x14ac:dyDescent="0.3">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93" t="s">
        <v>112</v>
      </c>
      <c r="D428" s="193"/>
      <c r="E428" s="193"/>
      <c r="F428" s="193"/>
      <c r="G428" s="193"/>
      <c r="H428" s="193"/>
      <c r="I428" s="193"/>
      <c r="J428" s="193"/>
    </row>
    <row r="429" spans="1:10" x14ac:dyDescent="0.3">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93" t="s">
        <v>112</v>
      </c>
      <c r="D429" s="193"/>
      <c r="E429" s="193"/>
      <c r="F429" s="193"/>
      <c r="G429" s="193"/>
      <c r="H429" s="193"/>
      <c r="I429" s="193"/>
      <c r="J429" s="193"/>
    </row>
    <row r="430" spans="1:10" x14ac:dyDescent="0.3">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93" t="s">
        <v>241</v>
      </c>
      <c r="D430" s="193" t="s">
        <v>110</v>
      </c>
      <c r="E430" s="193" t="s">
        <v>111</v>
      </c>
      <c r="F430" s="193" t="s">
        <v>112</v>
      </c>
      <c r="G430" s="193" t="s">
        <v>113</v>
      </c>
      <c r="H430" s="193"/>
      <c r="I430" s="193"/>
      <c r="J430" s="193"/>
    </row>
    <row r="431" spans="1:10" x14ac:dyDescent="0.3">
      <c r="A431" s="1" t="str">
        <f t="shared" si="6"/>
        <v>02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93" t="s">
        <v>2411</v>
      </c>
      <c r="D431" s="193" t="s">
        <v>2412</v>
      </c>
      <c r="E431" s="193" t="s">
        <v>2413</v>
      </c>
      <c r="F431" s="193" t="s">
        <v>112</v>
      </c>
      <c r="G431" s="193">
        <v>687095</v>
      </c>
      <c r="H431" s="193"/>
      <c r="I431" s="193"/>
      <c r="J431" s="193"/>
    </row>
    <row r="432" spans="1:10" x14ac:dyDescent="0.3">
      <c r="A432" s="1" t="str">
        <f t="shared" si="6"/>
        <v>02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93" t="s">
        <v>2414</v>
      </c>
      <c r="D432" s="193" t="s">
        <v>2415</v>
      </c>
      <c r="E432" s="193" t="s">
        <v>2416</v>
      </c>
      <c r="F432" s="193" t="s">
        <v>112</v>
      </c>
      <c r="G432" s="193">
        <v>600900</v>
      </c>
      <c r="H432" s="193"/>
      <c r="I432" s="193"/>
      <c r="J432" s="193"/>
    </row>
    <row r="433" spans="1:7" x14ac:dyDescent="0.3">
      <c r="A433" s="1" t="str">
        <f t="shared" si="6"/>
        <v>02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93" t="s">
        <v>2417</v>
      </c>
      <c r="D433" s="193" t="s">
        <v>2083</v>
      </c>
      <c r="E433" s="193" t="s">
        <v>2418</v>
      </c>
      <c r="F433" s="193" t="s">
        <v>112</v>
      </c>
      <c r="G433" s="193">
        <v>447068</v>
      </c>
    </row>
    <row r="434" spans="1:7" x14ac:dyDescent="0.3">
      <c r="A434" s="1" t="str">
        <f t="shared" si="6"/>
        <v>02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93" t="s">
        <v>2419</v>
      </c>
      <c r="D434" s="193" t="s">
        <v>2420</v>
      </c>
      <c r="E434" s="193" t="s">
        <v>2421</v>
      </c>
      <c r="F434" s="193" t="s">
        <v>112</v>
      </c>
      <c r="G434" s="193">
        <v>494654</v>
      </c>
    </row>
    <row r="435" spans="1:7" x14ac:dyDescent="0.3">
      <c r="A435" s="1" t="str">
        <f t="shared" si="6"/>
        <v>02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93" t="s">
        <v>2422</v>
      </c>
      <c r="D435" s="193" t="s">
        <v>2423</v>
      </c>
      <c r="E435" s="193" t="s">
        <v>2424</v>
      </c>
      <c r="F435" s="193" t="s">
        <v>112</v>
      </c>
      <c r="G435" s="193">
        <v>1885954</v>
      </c>
    </row>
    <row r="436" spans="1:7" x14ac:dyDescent="0.3">
      <c r="A436" s="1" t="str">
        <f t="shared" si="6"/>
        <v>02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93" t="s">
        <v>2425</v>
      </c>
      <c r="D436" s="193" t="s">
        <v>1526</v>
      </c>
      <c r="E436" s="193" t="s">
        <v>2426</v>
      </c>
      <c r="F436" s="193" t="s">
        <v>112</v>
      </c>
      <c r="G436" s="193">
        <v>574966</v>
      </c>
    </row>
    <row r="437" spans="1:7" x14ac:dyDescent="0.3">
      <c r="A437" s="1" t="str">
        <f t="shared" si="6"/>
        <v>02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93" t="s">
        <v>2427</v>
      </c>
      <c r="D437" s="193" t="s">
        <v>2428</v>
      </c>
      <c r="E437" s="193" t="s">
        <v>2429</v>
      </c>
      <c r="F437" s="193" t="s">
        <v>112</v>
      </c>
      <c r="G437" s="193">
        <v>4133213</v>
      </c>
    </row>
    <row r="438" spans="1:7" x14ac:dyDescent="0.3">
      <c r="A438" s="1" t="str">
        <f t="shared" si="6"/>
        <v>02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93" t="s">
        <v>2430</v>
      </c>
      <c r="D438" s="193" t="s">
        <v>2431</v>
      </c>
      <c r="E438" s="193" t="s">
        <v>2432</v>
      </c>
      <c r="F438" s="193" t="s">
        <v>112</v>
      </c>
      <c r="G438" s="193">
        <v>3935927</v>
      </c>
    </row>
    <row r="439" spans="1:7" x14ac:dyDescent="0.3">
      <c r="A439" s="1" t="str">
        <f t="shared" si="6"/>
        <v>02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93" t="s">
        <v>2433</v>
      </c>
      <c r="D439" s="193" t="s">
        <v>2434</v>
      </c>
      <c r="E439" s="193" t="s">
        <v>2435</v>
      </c>
      <c r="F439" s="193" t="s">
        <v>112</v>
      </c>
      <c r="G439" s="193">
        <v>3313700</v>
      </c>
    </row>
    <row r="440" spans="1:7" x14ac:dyDescent="0.3">
      <c r="A440" s="1" t="str">
        <f t="shared" si="6"/>
        <v>02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93" t="s">
        <v>2436</v>
      </c>
      <c r="D440" s="193"/>
      <c r="E440" s="193"/>
      <c r="F440" s="193"/>
      <c r="G440" s="193"/>
    </row>
    <row r="441" spans="1:7" x14ac:dyDescent="0.3">
      <c r="A441" s="1" t="str">
        <f t="shared" si="6"/>
        <v>02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93" t="s">
        <v>2437</v>
      </c>
      <c r="D441" s="193"/>
      <c r="E441" s="193"/>
      <c r="F441" s="193"/>
      <c r="G441" s="193"/>
    </row>
    <row r="442" spans="1:7" x14ac:dyDescent="0.3">
      <c r="A442" s="1" t="str">
        <f t="shared" si="6"/>
        <v>02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93" t="s">
        <v>2438</v>
      </c>
      <c r="D442" s="193"/>
      <c r="E442" s="193"/>
      <c r="F442" s="193"/>
      <c r="G442" s="193"/>
    </row>
    <row r="443" spans="1:7" x14ac:dyDescent="0.3">
      <c r="A443" s="1" t="str">
        <f t="shared" si="6"/>
        <v>02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93" t="s">
        <v>2439</v>
      </c>
      <c r="D443" s="193" t="s">
        <v>2440</v>
      </c>
      <c r="E443" s="193" t="s">
        <v>2441</v>
      </c>
      <c r="F443" s="193" t="s">
        <v>112</v>
      </c>
      <c r="G443" s="193">
        <v>2167315</v>
      </c>
    </row>
    <row r="444" spans="1:7" x14ac:dyDescent="0.3">
      <c r="A444" s="1" t="str">
        <f t="shared" si="6"/>
        <v>02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93" t="s">
        <v>2442</v>
      </c>
      <c r="D444" s="193" t="s">
        <v>1920</v>
      </c>
      <c r="E444" s="193" t="s">
        <v>2443</v>
      </c>
      <c r="F444" s="193" t="s">
        <v>112</v>
      </c>
      <c r="G444" s="193">
        <v>2135779</v>
      </c>
    </row>
    <row r="445" spans="1:7" x14ac:dyDescent="0.3">
      <c r="A445" s="1" t="str">
        <f t="shared" si="6"/>
        <v>02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93" t="s">
        <v>2444</v>
      </c>
      <c r="D445" s="193" t="s">
        <v>2445</v>
      </c>
      <c r="E445" s="193" t="s">
        <v>2446</v>
      </c>
      <c r="F445" s="193" t="s">
        <v>112</v>
      </c>
      <c r="G445" s="193">
        <v>1947037</v>
      </c>
    </row>
    <row r="446" spans="1:7" x14ac:dyDescent="0.3">
      <c r="A446" s="1" t="str">
        <f t="shared" si="6"/>
        <v>02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93" t="s">
        <v>2447</v>
      </c>
      <c r="D446" s="193" t="s">
        <v>2448</v>
      </c>
      <c r="E446" s="193" t="s">
        <v>2449</v>
      </c>
      <c r="F446" s="193" t="s">
        <v>112</v>
      </c>
      <c r="G446" s="193">
        <v>1972106</v>
      </c>
    </row>
    <row r="447" spans="1:7" x14ac:dyDescent="0.3">
      <c r="A447" s="1" t="str">
        <f t="shared" si="6"/>
        <v>02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93" t="s">
        <v>2450</v>
      </c>
      <c r="D447" s="193" t="s">
        <v>2007</v>
      </c>
      <c r="E447" s="193" t="s">
        <v>2451</v>
      </c>
      <c r="F447" s="193" t="s">
        <v>112</v>
      </c>
      <c r="G447" s="193">
        <v>1105136</v>
      </c>
    </row>
    <row r="448" spans="1:7" x14ac:dyDescent="0.3">
      <c r="A448" s="1" t="str">
        <f t="shared" si="6"/>
        <v>02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93" t="s">
        <v>2452</v>
      </c>
      <c r="D448" s="193" t="s">
        <v>2453</v>
      </c>
      <c r="E448" s="193" t="s">
        <v>2454</v>
      </c>
      <c r="F448" s="193" t="s">
        <v>112</v>
      </c>
      <c r="G448" s="193">
        <v>976828</v>
      </c>
    </row>
    <row r="449" spans="1:10" x14ac:dyDescent="0.3">
      <c r="A449" s="1" t="str">
        <f t="shared" si="6"/>
        <v>02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93" t="s">
        <v>2455</v>
      </c>
      <c r="D449" s="193" t="s">
        <v>2456</v>
      </c>
      <c r="E449" s="193" t="s">
        <v>2457</v>
      </c>
      <c r="F449" s="193" t="s">
        <v>112</v>
      </c>
      <c r="G449" s="193">
        <v>4228277</v>
      </c>
      <c r="H449" s="193"/>
      <c r="I449" s="193"/>
      <c r="J449" s="193"/>
    </row>
    <row r="450" spans="1:10" x14ac:dyDescent="0.3">
      <c r="A450" s="1" t="str">
        <f t="shared" ref="A450:A513" si="7">IFERROR(LEFT(RIGHT(C450,LEN(C450)-SEARCH("@",C450)),SEARCH("/",RIGHT(C450,LEN(C450)-SEARCH("@",C450)-1))),"")</f>
        <v>02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93" t="s">
        <v>2458</v>
      </c>
      <c r="D450" s="193" t="s">
        <v>2459</v>
      </c>
      <c r="E450" s="193" t="s">
        <v>2460</v>
      </c>
      <c r="F450" s="193" t="s">
        <v>112</v>
      </c>
      <c r="G450" s="193">
        <v>3659908</v>
      </c>
      <c r="H450" s="193"/>
      <c r="I450" s="193"/>
      <c r="J450" s="193"/>
    </row>
    <row r="451" spans="1:10" x14ac:dyDescent="0.3">
      <c r="A451" s="1" t="str">
        <f t="shared" si="7"/>
        <v>02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93" t="s">
        <v>2461</v>
      </c>
      <c r="D451" s="193" t="s">
        <v>2462</v>
      </c>
      <c r="E451" s="193" t="s">
        <v>2463</v>
      </c>
      <c r="F451" s="193" t="s">
        <v>112</v>
      </c>
      <c r="G451" s="193">
        <v>3781100</v>
      </c>
      <c r="H451" s="193"/>
      <c r="I451" s="193"/>
      <c r="J451" s="193"/>
    </row>
    <row r="452" spans="1:10" x14ac:dyDescent="0.3">
      <c r="A452" s="1" t="str">
        <f t="shared" si="7"/>
        <v>02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93" t="s">
        <v>2464</v>
      </c>
      <c r="D452" s="193" t="s">
        <v>2465</v>
      </c>
      <c r="E452" s="193" t="s">
        <v>2466</v>
      </c>
      <c r="F452" s="193" t="s">
        <v>112</v>
      </c>
      <c r="G452" s="193">
        <v>2785455</v>
      </c>
      <c r="H452" s="193"/>
      <c r="I452" s="193"/>
      <c r="J452" s="193"/>
    </row>
    <row r="453" spans="1:10" x14ac:dyDescent="0.3">
      <c r="A453" s="1" t="str">
        <f t="shared" si="7"/>
        <v>02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93" t="s">
        <v>2467</v>
      </c>
      <c r="D453" s="193" t="s">
        <v>2468</v>
      </c>
      <c r="E453" s="193" t="s">
        <v>2469</v>
      </c>
      <c r="F453" s="193" t="s">
        <v>112</v>
      </c>
      <c r="G453" s="193">
        <v>2644666</v>
      </c>
      <c r="H453" s="193"/>
      <c r="I453" s="193"/>
      <c r="J453" s="193"/>
    </row>
    <row r="454" spans="1:10" x14ac:dyDescent="0.3">
      <c r="A454" s="1" t="str">
        <f t="shared" si="7"/>
        <v>02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93" t="s">
        <v>2470</v>
      </c>
      <c r="D454" s="193" t="s">
        <v>2471</v>
      </c>
      <c r="E454" s="193" t="s">
        <v>2472</v>
      </c>
      <c r="F454" s="193" t="s">
        <v>112</v>
      </c>
      <c r="G454" s="193">
        <v>2544909</v>
      </c>
      <c r="H454" s="193"/>
      <c r="I454" s="193"/>
      <c r="J454" s="193"/>
    </row>
    <row r="455" spans="1:10" x14ac:dyDescent="0.3">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93" t="s">
        <v>112</v>
      </c>
      <c r="D455" s="193"/>
      <c r="E455" s="193"/>
      <c r="F455" s="193"/>
      <c r="G455" s="193"/>
      <c r="H455" s="193"/>
      <c r="I455" s="193"/>
      <c r="J455" s="193"/>
    </row>
    <row r="456" spans="1:10" x14ac:dyDescent="0.3">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93" t="s">
        <v>229</v>
      </c>
      <c r="D456" s="193" t="s">
        <v>112</v>
      </c>
      <c r="E456" s="193" t="s">
        <v>230</v>
      </c>
      <c r="F456" s="193" t="s">
        <v>231</v>
      </c>
      <c r="G456" s="193" t="s">
        <v>232</v>
      </c>
      <c r="H456" s="193" t="s">
        <v>233</v>
      </c>
      <c r="I456" s="193" t="s">
        <v>234</v>
      </c>
      <c r="J456" s="193" t="s">
        <v>235</v>
      </c>
    </row>
    <row r="457" spans="1:10" x14ac:dyDescent="0.3">
      <c r="A457" s="1" t="str">
        <f t="shared" si="7"/>
        <v>02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93" t="s">
        <v>2473</v>
      </c>
      <c r="D457" s="193" t="s">
        <v>112</v>
      </c>
      <c r="E457" s="193" t="s">
        <v>2474</v>
      </c>
      <c r="F457" s="193" t="s">
        <v>2475</v>
      </c>
      <c r="G457" s="193" t="s">
        <v>2476</v>
      </c>
      <c r="H457" s="193" t="s">
        <v>2477</v>
      </c>
      <c r="I457" s="193">
        <v>24</v>
      </c>
      <c r="J457" s="193">
        <v>24</v>
      </c>
    </row>
    <row r="458" spans="1:10" x14ac:dyDescent="0.3">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93" t="s">
        <v>112</v>
      </c>
      <c r="D458" s="193"/>
      <c r="E458" s="193"/>
      <c r="F458" s="193"/>
      <c r="G458" s="193"/>
      <c r="H458" s="193"/>
      <c r="I458" s="193"/>
      <c r="J458" s="193"/>
    </row>
    <row r="459" spans="1:10" x14ac:dyDescent="0.3">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93" t="s">
        <v>112</v>
      </c>
      <c r="D459" s="193"/>
      <c r="E459" s="193"/>
      <c r="F459" s="193"/>
      <c r="G459" s="193"/>
      <c r="H459" s="193"/>
      <c r="I459" s="193"/>
      <c r="J459" s="193"/>
    </row>
    <row r="460" spans="1:10" x14ac:dyDescent="0.3">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93" t="s">
        <v>112</v>
      </c>
      <c r="D460" s="193"/>
      <c r="E460" s="193"/>
      <c r="F460" s="193"/>
      <c r="G460" s="193"/>
      <c r="H460" s="193"/>
      <c r="I460" s="193"/>
      <c r="J460" s="193"/>
    </row>
    <row r="461" spans="1:10" x14ac:dyDescent="0.3">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93" t="s">
        <v>112</v>
      </c>
      <c r="D461" s="193"/>
      <c r="E461" s="193"/>
      <c r="F461" s="193"/>
      <c r="G461" s="193"/>
      <c r="H461" s="193"/>
      <c r="I461" s="193"/>
      <c r="J461" s="193"/>
    </row>
    <row r="462" spans="1:10" x14ac:dyDescent="0.3">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93" t="s">
        <v>112</v>
      </c>
      <c r="D462" s="193"/>
      <c r="E462" s="193"/>
      <c r="F462" s="193"/>
      <c r="G462" s="193"/>
      <c r="H462" s="193"/>
      <c r="I462" s="193"/>
      <c r="J462" s="193"/>
    </row>
    <row r="463" spans="1:10" x14ac:dyDescent="0.3">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93" t="s">
        <v>241</v>
      </c>
      <c r="D463" s="193" t="s">
        <v>110</v>
      </c>
      <c r="E463" s="193" t="s">
        <v>111</v>
      </c>
      <c r="F463" s="193" t="s">
        <v>112</v>
      </c>
      <c r="G463" s="193" t="s">
        <v>113</v>
      </c>
      <c r="H463" s="193"/>
      <c r="I463" s="193"/>
      <c r="J463" s="193"/>
    </row>
    <row r="464" spans="1:10" x14ac:dyDescent="0.3">
      <c r="A464" s="1" t="str">
        <f t="shared" si="7"/>
        <v>03 Testo+ EE2 64</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93" t="s">
        <v>2478</v>
      </c>
      <c r="D464" s="193" t="s">
        <v>2479</v>
      </c>
      <c r="E464" s="193" t="s">
        <v>2480</v>
      </c>
      <c r="F464" s="193" t="s">
        <v>112</v>
      </c>
      <c r="G464" s="193">
        <v>4825629</v>
      </c>
      <c r="H464" s="193"/>
      <c r="I464" s="193"/>
      <c r="J464" s="193"/>
    </row>
    <row r="465" spans="1:7" x14ac:dyDescent="0.3">
      <c r="A465" s="1" t="str">
        <f t="shared" si="7"/>
        <v>03 Testo+ EE2 64</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93" t="s">
        <v>2481</v>
      </c>
      <c r="D465" s="193" t="s">
        <v>2482</v>
      </c>
      <c r="E465" s="193" t="s">
        <v>2483</v>
      </c>
      <c r="F465" s="193" t="s">
        <v>112</v>
      </c>
      <c r="G465" s="193">
        <v>4493351</v>
      </c>
    </row>
    <row r="466" spans="1:7" x14ac:dyDescent="0.3">
      <c r="A466" s="1" t="str">
        <f t="shared" si="7"/>
        <v>03 Testo+ EE2 64</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93" t="s">
        <v>2484</v>
      </c>
      <c r="D466" s="193" t="s">
        <v>2485</v>
      </c>
      <c r="E466" s="193" t="s">
        <v>2486</v>
      </c>
      <c r="F466" s="193" t="s">
        <v>112</v>
      </c>
      <c r="G466" s="193">
        <v>4620167</v>
      </c>
    </row>
    <row r="467" spans="1:7" x14ac:dyDescent="0.3">
      <c r="A467" s="1" t="str">
        <f t="shared" si="7"/>
        <v>03 Testo+ EE2 64</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93" t="s">
        <v>2487</v>
      </c>
      <c r="D467" s="193" t="s">
        <v>2488</v>
      </c>
      <c r="E467" s="193" t="s">
        <v>2489</v>
      </c>
      <c r="F467" s="193" t="s">
        <v>112</v>
      </c>
      <c r="G467" s="193">
        <v>719908</v>
      </c>
    </row>
    <row r="468" spans="1:7" x14ac:dyDescent="0.3">
      <c r="A468" s="1" t="str">
        <f t="shared" si="7"/>
        <v>03 Testo+ EE2 64</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93" t="s">
        <v>2490</v>
      </c>
      <c r="D468" s="193" t="s">
        <v>2491</v>
      </c>
      <c r="E468" s="193" t="s">
        <v>2492</v>
      </c>
      <c r="F468" s="193" t="s">
        <v>112</v>
      </c>
      <c r="G468" s="193">
        <v>509427</v>
      </c>
    </row>
    <row r="469" spans="1:7" x14ac:dyDescent="0.3">
      <c r="A469" s="1" t="str">
        <f t="shared" si="7"/>
        <v>03 Testo+ EE2 64</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93" t="s">
        <v>2493</v>
      </c>
      <c r="D469" s="193" t="s">
        <v>1705</v>
      </c>
      <c r="E469" s="193" t="s">
        <v>2494</v>
      </c>
      <c r="F469" s="193" t="s">
        <v>112</v>
      </c>
      <c r="G469" s="193">
        <v>446917</v>
      </c>
    </row>
    <row r="470" spans="1:7" x14ac:dyDescent="0.3">
      <c r="A470" s="1" t="str">
        <f t="shared" si="7"/>
        <v>03 Testo+ EE2 64</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93" t="s">
        <v>2495</v>
      </c>
      <c r="D470" s="193" t="s">
        <v>2496</v>
      </c>
      <c r="E470" s="193" t="s">
        <v>2497</v>
      </c>
      <c r="F470" s="193" t="s">
        <v>112</v>
      </c>
      <c r="G470" s="193">
        <v>2696621</v>
      </c>
    </row>
    <row r="471" spans="1:7" x14ac:dyDescent="0.3">
      <c r="A471" s="1" t="str">
        <f t="shared" si="7"/>
        <v>03 Testo+ EE2 64</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93" t="s">
        <v>2498</v>
      </c>
      <c r="D471" s="193" t="s">
        <v>2499</v>
      </c>
      <c r="E471" s="193" t="s">
        <v>2500</v>
      </c>
      <c r="F471" s="193" t="s">
        <v>112</v>
      </c>
      <c r="G471" s="193">
        <v>1798331</v>
      </c>
    </row>
    <row r="472" spans="1:7" x14ac:dyDescent="0.3">
      <c r="A472" s="1" t="str">
        <f t="shared" si="7"/>
        <v>03 Testo+ EE2 64</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93" t="s">
        <v>2501</v>
      </c>
      <c r="D472" s="193" t="s">
        <v>2502</v>
      </c>
      <c r="E472" s="193" t="s">
        <v>2503</v>
      </c>
      <c r="F472" s="193" t="s">
        <v>112</v>
      </c>
      <c r="G472" s="193">
        <v>2384718</v>
      </c>
    </row>
    <row r="473" spans="1:7" x14ac:dyDescent="0.3">
      <c r="A473" s="1" t="str">
        <f t="shared" si="7"/>
        <v>03 Testo+ EE2 64</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93" t="s">
        <v>2504</v>
      </c>
      <c r="D473" s="193" t="s">
        <v>1874</v>
      </c>
      <c r="E473" s="193" t="s">
        <v>2505</v>
      </c>
      <c r="F473" s="193" t="s">
        <v>112</v>
      </c>
      <c r="G473" s="193">
        <v>5118304</v>
      </c>
    </row>
    <row r="474" spans="1:7" x14ac:dyDescent="0.3">
      <c r="A474" s="1" t="str">
        <f t="shared" si="7"/>
        <v>03 Testo+ EE2 64</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93" t="s">
        <v>2506</v>
      </c>
      <c r="D474" s="193" t="s">
        <v>2507</v>
      </c>
      <c r="E474" s="193" t="s">
        <v>2508</v>
      </c>
      <c r="F474" s="193" t="s">
        <v>112</v>
      </c>
      <c r="G474" s="193">
        <v>4728468</v>
      </c>
    </row>
    <row r="475" spans="1:7" x14ac:dyDescent="0.3">
      <c r="A475" s="1" t="str">
        <f t="shared" si="7"/>
        <v>03 Testo+ EE2 64</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93" t="s">
        <v>2509</v>
      </c>
      <c r="D475" s="193" t="s">
        <v>2510</v>
      </c>
      <c r="E475" s="193" t="s">
        <v>2511</v>
      </c>
      <c r="F475" s="193" t="s">
        <v>112</v>
      </c>
      <c r="G475" s="193">
        <v>4898436</v>
      </c>
    </row>
    <row r="476" spans="1:7" x14ac:dyDescent="0.3">
      <c r="A476" s="1" t="str">
        <f t="shared" si="7"/>
        <v>03 Testo+ EE2 64</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93" t="s">
        <v>2512</v>
      </c>
      <c r="D476" s="193" t="s">
        <v>2513</v>
      </c>
      <c r="E476" s="193" t="s">
        <v>2514</v>
      </c>
      <c r="F476" s="193" t="s">
        <v>112</v>
      </c>
      <c r="G476" s="193">
        <v>3996491</v>
      </c>
    </row>
    <row r="477" spans="1:7" x14ac:dyDescent="0.3">
      <c r="A477" s="1" t="str">
        <f t="shared" si="7"/>
        <v>03 Testo+ EE2 64</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93" t="s">
        <v>2515</v>
      </c>
      <c r="D477" s="193" t="s">
        <v>2516</v>
      </c>
      <c r="E477" s="193" t="s">
        <v>2517</v>
      </c>
      <c r="F477" s="193" t="s">
        <v>112</v>
      </c>
      <c r="G477" s="193">
        <v>3303144</v>
      </c>
    </row>
    <row r="478" spans="1:7" x14ac:dyDescent="0.3">
      <c r="A478" s="1" t="str">
        <f t="shared" si="7"/>
        <v>03 Testo+ EE2 64</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93" t="s">
        <v>2518</v>
      </c>
      <c r="D478" s="193" t="s">
        <v>2519</v>
      </c>
      <c r="E478" s="193" t="s">
        <v>2520</v>
      </c>
      <c r="F478" s="193" t="s">
        <v>112</v>
      </c>
      <c r="G478" s="193">
        <v>3544361</v>
      </c>
    </row>
    <row r="479" spans="1:7" x14ac:dyDescent="0.3">
      <c r="A479" s="1" t="str">
        <f t="shared" si="7"/>
        <v>03 Testo+ EE2 64</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93" t="s">
        <v>2521</v>
      </c>
      <c r="D479" s="193" t="s">
        <v>2522</v>
      </c>
      <c r="E479" s="193" t="s">
        <v>2523</v>
      </c>
      <c r="F479" s="193" t="s">
        <v>112</v>
      </c>
      <c r="G479" s="193">
        <v>3651472</v>
      </c>
    </row>
    <row r="480" spans="1:7" x14ac:dyDescent="0.3">
      <c r="A480" s="1" t="str">
        <f t="shared" si="7"/>
        <v>03 Testo+ EE2 64</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93" t="s">
        <v>2524</v>
      </c>
      <c r="D480" s="193" t="s">
        <v>2525</v>
      </c>
      <c r="E480" s="193" t="s">
        <v>2526</v>
      </c>
      <c r="F480" s="193" t="s">
        <v>112</v>
      </c>
      <c r="G480" s="193">
        <v>3371646</v>
      </c>
    </row>
    <row r="481" spans="1:10" x14ac:dyDescent="0.3">
      <c r="A481" s="1" t="str">
        <f t="shared" si="7"/>
        <v>03 Testo+ EE2 64</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93" t="s">
        <v>2527</v>
      </c>
      <c r="D481" s="193" t="s">
        <v>2528</v>
      </c>
      <c r="E481" s="193" t="s">
        <v>2529</v>
      </c>
      <c r="F481" s="193" t="s">
        <v>112</v>
      </c>
      <c r="G481" s="193">
        <v>3015272</v>
      </c>
      <c r="H481" s="193"/>
      <c r="I481" s="193"/>
      <c r="J481" s="193"/>
    </row>
    <row r="482" spans="1:10" x14ac:dyDescent="0.3">
      <c r="A482" s="1" t="str">
        <f t="shared" si="7"/>
        <v>03 Testo+ EE2 64</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93" t="s">
        <v>2530</v>
      </c>
      <c r="D482" s="193" t="s">
        <v>2531</v>
      </c>
      <c r="E482" s="193" t="s">
        <v>2532</v>
      </c>
      <c r="F482" s="193" t="s">
        <v>112</v>
      </c>
      <c r="G482" s="193">
        <v>4922531</v>
      </c>
      <c r="H482" s="193"/>
      <c r="I482" s="193"/>
      <c r="J482" s="193"/>
    </row>
    <row r="483" spans="1:10" x14ac:dyDescent="0.3">
      <c r="A483" s="1" t="str">
        <f t="shared" si="7"/>
        <v>03 Testo+ EE2 64</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93" t="s">
        <v>2533</v>
      </c>
      <c r="D483" s="193" t="s">
        <v>2534</v>
      </c>
      <c r="E483" s="193" t="s">
        <v>2535</v>
      </c>
      <c r="F483" s="193" t="s">
        <v>112</v>
      </c>
      <c r="G483" s="193">
        <v>3861823</v>
      </c>
      <c r="H483" s="193"/>
      <c r="I483" s="193"/>
      <c r="J483" s="193"/>
    </row>
    <row r="484" spans="1:10" x14ac:dyDescent="0.3">
      <c r="A484" s="1" t="str">
        <f t="shared" si="7"/>
        <v>03 Testo+ EE2 64</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93" t="s">
        <v>2536</v>
      </c>
      <c r="D484" s="193" t="s">
        <v>2537</v>
      </c>
      <c r="E484" s="193" t="s">
        <v>2538</v>
      </c>
      <c r="F484" s="193" t="s">
        <v>112</v>
      </c>
      <c r="G484" s="193">
        <v>4198384</v>
      </c>
      <c r="H484" s="193"/>
      <c r="I484" s="193"/>
      <c r="J484" s="193"/>
    </row>
    <row r="485" spans="1:10" x14ac:dyDescent="0.3">
      <c r="A485" s="1" t="str">
        <f t="shared" si="7"/>
        <v>03 Testo+ EE2 64</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93" t="s">
        <v>2539</v>
      </c>
      <c r="D485" s="193" t="s">
        <v>2540</v>
      </c>
      <c r="E485" s="193" t="s">
        <v>2541</v>
      </c>
      <c r="F485" s="193" t="s">
        <v>112</v>
      </c>
      <c r="G485" s="193">
        <v>125367</v>
      </c>
      <c r="H485" s="193"/>
      <c r="I485" s="193"/>
      <c r="J485" s="193"/>
    </row>
    <row r="486" spans="1:10" x14ac:dyDescent="0.3">
      <c r="A486" s="1" t="str">
        <f t="shared" si="7"/>
        <v>03 Testo+ EE2 64</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93" t="s">
        <v>2542</v>
      </c>
      <c r="D486" s="193" t="s">
        <v>1674</v>
      </c>
      <c r="E486" s="193" t="s">
        <v>2543</v>
      </c>
      <c r="F486" s="193" t="s">
        <v>112</v>
      </c>
      <c r="G486" s="193">
        <v>33548</v>
      </c>
      <c r="H486" s="193"/>
      <c r="I486" s="193"/>
      <c r="J486" s="193"/>
    </row>
    <row r="487" spans="1:10" x14ac:dyDescent="0.3">
      <c r="A487" s="1" t="str">
        <f t="shared" si="7"/>
        <v>03 Testo+ EE2 64</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93" t="s">
        <v>2544</v>
      </c>
      <c r="D487" s="193" t="s">
        <v>2545</v>
      </c>
      <c r="E487" s="193" t="s">
        <v>2546</v>
      </c>
      <c r="F487" s="193" t="s">
        <v>112</v>
      </c>
      <c r="G487" s="193">
        <v>352848</v>
      </c>
      <c r="H487" s="193"/>
      <c r="I487" s="193"/>
      <c r="J487" s="193"/>
    </row>
    <row r="488" spans="1:10" x14ac:dyDescent="0.3">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93" t="s">
        <v>112</v>
      </c>
      <c r="D488" s="193"/>
      <c r="E488" s="193"/>
      <c r="F488" s="193"/>
      <c r="G488" s="193"/>
      <c r="H488" s="193"/>
      <c r="I488" s="193"/>
      <c r="J488" s="193"/>
    </row>
    <row r="489" spans="1:10" x14ac:dyDescent="0.3">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93" t="s">
        <v>229</v>
      </c>
      <c r="D489" s="193" t="s">
        <v>112</v>
      </c>
      <c r="E489" s="193" t="s">
        <v>230</v>
      </c>
      <c r="F489" s="193" t="s">
        <v>231</v>
      </c>
      <c r="G489" s="193" t="s">
        <v>232</v>
      </c>
      <c r="H489" s="193" t="s">
        <v>233</v>
      </c>
      <c r="I489" s="193" t="s">
        <v>234</v>
      </c>
      <c r="J489" s="193" t="s">
        <v>235</v>
      </c>
    </row>
    <row r="490" spans="1:10" x14ac:dyDescent="0.3">
      <c r="A490" s="1" t="str">
        <f t="shared" si="7"/>
        <v>03 Testo+ EE2 64</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93" t="s">
        <v>2547</v>
      </c>
      <c r="D490" s="193" t="s">
        <v>112</v>
      </c>
      <c r="E490" s="193" t="s">
        <v>2548</v>
      </c>
      <c r="F490" s="193" t="s">
        <v>2549</v>
      </c>
      <c r="G490" s="193" t="s">
        <v>2550</v>
      </c>
      <c r="H490" s="193" t="s">
        <v>2551</v>
      </c>
      <c r="I490" s="193">
        <v>24</v>
      </c>
      <c r="J490" s="193">
        <v>24</v>
      </c>
    </row>
    <row r="491" spans="1:10" x14ac:dyDescent="0.3">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93" t="s">
        <v>112</v>
      </c>
      <c r="D491" s="193"/>
      <c r="E491" s="193"/>
      <c r="F491" s="193"/>
      <c r="G491" s="193"/>
      <c r="H491" s="193"/>
      <c r="I491" s="193"/>
      <c r="J491" s="193"/>
    </row>
    <row r="492" spans="1:10" x14ac:dyDescent="0.3">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93" t="s">
        <v>112</v>
      </c>
      <c r="D492" s="193"/>
      <c r="E492" s="193"/>
      <c r="F492" s="193"/>
      <c r="G492" s="193"/>
      <c r="H492" s="193"/>
      <c r="I492" s="193"/>
      <c r="J492" s="193"/>
    </row>
    <row r="493" spans="1:10" x14ac:dyDescent="0.3">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93" t="s">
        <v>112</v>
      </c>
      <c r="D493" s="193"/>
      <c r="E493" s="193"/>
      <c r="F493" s="193"/>
      <c r="G493" s="193"/>
      <c r="H493" s="193"/>
      <c r="I493" s="193"/>
      <c r="J493" s="193"/>
    </row>
    <row r="494" spans="1:10" x14ac:dyDescent="0.3">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93" t="s">
        <v>112</v>
      </c>
      <c r="D494" s="193"/>
      <c r="E494" s="193"/>
      <c r="F494" s="193"/>
      <c r="G494" s="193"/>
      <c r="H494" s="193"/>
      <c r="I494" s="193"/>
      <c r="J494" s="193"/>
    </row>
    <row r="495" spans="1:10" x14ac:dyDescent="0.3">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93" t="s">
        <v>112</v>
      </c>
      <c r="D495" s="193"/>
      <c r="E495" s="193"/>
      <c r="F495" s="193"/>
      <c r="G495" s="193"/>
      <c r="H495" s="193"/>
      <c r="I495" s="193"/>
      <c r="J495" s="193"/>
    </row>
    <row r="496" spans="1:10" x14ac:dyDescent="0.3">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93" t="s">
        <v>241</v>
      </c>
      <c r="D496" s="193" t="s">
        <v>110</v>
      </c>
      <c r="E496" s="193" t="s">
        <v>111</v>
      </c>
      <c r="F496" s="193" t="s">
        <v>112</v>
      </c>
      <c r="G496" s="193" t="s">
        <v>113</v>
      </c>
      <c r="H496" s="193"/>
      <c r="I496" s="193"/>
      <c r="J496" s="193"/>
    </row>
    <row r="497" spans="1:7" x14ac:dyDescent="0.3">
      <c r="A497" s="1" t="str">
        <f t="shared" si="7"/>
        <v>04 Testo+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93" t="s">
        <v>2552</v>
      </c>
      <c r="D497" s="193" t="s">
        <v>1746</v>
      </c>
      <c r="E497" s="193" t="s">
        <v>2553</v>
      </c>
      <c r="F497" s="193" t="s">
        <v>112</v>
      </c>
      <c r="G497" s="193">
        <v>500840</v>
      </c>
    </row>
    <row r="498" spans="1:7" x14ac:dyDescent="0.3">
      <c r="A498" s="1" t="str">
        <f t="shared" si="7"/>
        <v>04 Testo+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93" t="s">
        <v>2554</v>
      </c>
      <c r="D498" s="193" t="s">
        <v>2555</v>
      </c>
      <c r="E498" s="193" t="s">
        <v>2556</v>
      </c>
      <c r="F498" s="193" t="s">
        <v>112</v>
      </c>
      <c r="G498" s="193">
        <v>629971</v>
      </c>
    </row>
    <row r="499" spans="1:7" x14ac:dyDescent="0.3">
      <c r="A499" s="1" t="str">
        <f t="shared" si="7"/>
        <v>04 Testo+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93" t="s">
        <v>2557</v>
      </c>
      <c r="D499" s="193" t="s">
        <v>2558</v>
      </c>
      <c r="E499" s="193" t="s">
        <v>2559</v>
      </c>
      <c r="F499" s="193" t="s">
        <v>112</v>
      </c>
      <c r="G499" s="193">
        <v>563783</v>
      </c>
    </row>
    <row r="500" spans="1:7" x14ac:dyDescent="0.3">
      <c r="A500" s="1" t="str">
        <f t="shared" si="7"/>
        <v>04 Testo+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93" t="s">
        <v>2560</v>
      </c>
      <c r="D500" s="193" t="s">
        <v>2083</v>
      </c>
      <c r="E500" s="193" t="s">
        <v>2561</v>
      </c>
      <c r="F500" s="193" t="s">
        <v>112</v>
      </c>
      <c r="G500" s="193">
        <v>510812</v>
      </c>
    </row>
    <row r="501" spans="1:7" x14ac:dyDescent="0.3">
      <c r="A501" s="1" t="str">
        <f t="shared" si="7"/>
        <v>04 Testo+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93" t="s">
        <v>2562</v>
      </c>
      <c r="D501" s="193" t="s">
        <v>2563</v>
      </c>
      <c r="E501" s="193" t="s">
        <v>2564</v>
      </c>
      <c r="F501" s="193" t="s">
        <v>112</v>
      </c>
      <c r="G501" s="193">
        <v>586559</v>
      </c>
    </row>
    <row r="502" spans="1:7" x14ac:dyDescent="0.3">
      <c r="A502" s="1" t="str">
        <f t="shared" si="7"/>
        <v>04 Testo+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93" t="s">
        <v>2565</v>
      </c>
      <c r="D502" s="193" t="s">
        <v>2566</v>
      </c>
      <c r="E502" s="193" t="s">
        <v>2567</v>
      </c>
      <c r="F502" s="193" t="s">
        <v>112</v>
      </c>
      <c r="G502" s="193">
        <v>459981</v>
      </c>
    </row>
    <row r="503" spans="1:7" x14ac:dyDescent="0.3">
      <c r="A503" s="1" t="str">
        <f t="shared" si="7"/>
        <v>04 Testo+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93" t="s">
        <v>2568</v>
      </c>
      <c r="D503" s="193" t="s">
        <v>2174</v>
      </c>
      <c r="E503" s="193" t="s">
        <v>2569</v>
      </c>
      <c r="F503" s="193" t="s">
        <v>112</v>
      </c>
      <c r="G503" s="193">
        <v>367319</v>
      </c>
    </row>
    <row r="504" spans="1:7" x14ac:dyDescent="0.3">
      <c r="A504" s="1" t="str">
        <f t="shared" si="7"/>
        <v>04 Testo+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93" t="s">
        <v>2570</v>
      </c>
      <c r="D504" s="193" t="s">
        <v>2571</v>
      </c>
      <c r="E504" s="193" t="s">
        <v>2572</v>
      </c>
      <c r="F504" s="193" t="s">
        <v>112</v>
      </c>
      <c r="G504" s="193">
        <v>102374</v>
      </c>
    </row>
    <row r="505" spans="1:7" x14ac:dyDescent="0.3">
      <c r="A505" s="1" t="str">
        <f t="shared" si="7"/>
        <v>04 Testo+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93" t="s">
        <v>2573</v>
      </c>
      <c r="D505" s="193" t="s">
        <v>2331</v>
      </c>
      <c r="E505" s="193" t="s">
        <v>2574</v>
      </c>
      <c r="F505" s="193" t="s">
        <v>112</v>
      </c>
      <c r="G505" s="193">
        <v>19964</v>
      </c>
    </row>
    <row r="506" spans="1:7" x14ac:dyDescent="0.3">
      <c r="A506" s="1" t="str">
        <f t="shared" si="7"/>
        <v>04 Testo+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93" t="s">
        <v>2575</v>
      </c>
      <c r="D506" s="193" t="s">
        <v>2576</v>
      </c>
      <c r="E506" s="193">
        <v>63</v>
      </c>
      <c r="F506" s="193" t="s">
        <v>112</v>
      </c>
      <c r="G506" s="193">
        <v>40881</v>
      </c>
    </row>
    <row r="507" spans="1:7" x14ac:dyDescent="0.3">
      <c r="A507" s="1" t="str">
        <f t="shared" si="7"/>
        <v>04 Testo+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93" t="s">
        <v>2577</v>
      </c>
      <c r="D507" s="193" t="s">
        <v>1840</v>
      </c>
      <c r="E507" s="193" t="s">
        <v>2578</v>
      </c>
      <c r="F507" s="193" t="s">
        <v>112</v>
      </c>
      <c r="G507" s="193">
        <v>37052</v>
      </c>
    </row>
    <row r="508" spans="1:7" x14ac:dyDescent="0.3">
      <c r="A508" s="1" t="str">
        <f t="shared" si="7"/>
        <v>04 Testo+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93" t="s">
        <v>2579</v>
      </c>
      <c r="D508" s="193" t="s">
        <v>2580</v>
      </c>
      <c r="E508" s="193" t="s">
        <v>2581</v>
      </c>
      <c r="F508" s="193" t="s">
        <v>112</v>
      </c>
      <c r="G508" s="193">
        <v>89894</v>
      </c>
    </row>
    <row r="509" spans="1:7" x14ac:dyDescent="0.3">
      <c r="A509" s="1" t="str">
        <f t="shared" si="7"/>
        <v>04 Testo+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93" t="s">
        <v>2582</v>
      </c>
      <c r="D509" s="193" t="s">
        <v>2420</v>
      </c>
      <c r="E509" s="193" t="s">
        <v>2583</v>
      </c>
      <c r="F509" s="193" t="s">
        <v>112</v>
      </c>
      <c r="G509" s="193">
        <v>523552</v>
      </c>
    </row>
    <row r="510" spans="1:7" x14ac:dyDescent="0.3">
      <c r="A510" s="1" t="str">
        <f t="shared" si="7"/>
        <v>04 Testo+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93" t="s">
        <v>2584</v>
      </c>
      <c r="D510" s="193"/>
      <c r="E510" s="193"/>
      <c r="F510" s="193"/>
      <c r="G510" s="193"/>
    </row>
    <row r="511" spans="1:7" x14ac:dyDescent="0.3">
      <c r="A511" s="1" t="str">
        <f t="shared" si="7"/>
        <v>04 Testo+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93" t="s">
        <v>2585</v>
      </c>
      <c r="D511" s="193" t="s">
        <v>2586</v>
      </c>
      <c r="E511" s="193" t="s">
        <v>2587</v>
      </c>
      <c r="F511" s="193" t="s">
        <v>112</v>
      </c>
      <c r="G511" s="193">
        <v>458186</v>
      </c>
    </row>
    <row r="512" spans="1:7" x14ac:dyDescent="0.3">
      <c r="A512" s="1" t="str">
        <f t="shared" si="7"/>
        <v>04 Testo+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93" t="s">
        <v>2588</v>
      </c>
      <c r="D512" s="193" t="s">
        <v>2589</v>
      </c>
      <c r="E512" s="193" t="s">
        <v>2590</v>
      </c>
      <c r="F512" s="193" t="s">
        <v>112</v>
      </c>
      <c r="G512" s="193">
        <v>485505</v>
      </c>
    </row>
    <row r="513" spans="1:10" x14ac:dyDescent="0.3">
      <c r="A513" s="1" t="str">
        <f t="shared" si="7"/>
        <v>04 Testo+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93" t="s">
        <v>2591</v>
      </c>
      <c r="D513" s="193" t="s">
        <v>2318</v>
      </c>
      <c r="E513" s="193" t="s">
        <v>2592</v>
      </c>
      <c r="F513" s="193" t="s">
        <v>112</v>
      </c>
      <c r="G513" s="193">
        <v>606935</v>
      </c>
      <c r="H513" s="193"/>
      <c r="I513" s="193"/>
      <c r="J513" s="193"/>
    </row>
    <row r="514" spans="1:10" x14ac:dyDescent="0.3">
      <c r="A514" s="1" t="str">
        <f t="shared" ref="A514:A577" si="8">IFERROR(LEFT(RIGHT(C514,LEN(C514)-SEARCH("@",C514)),SEARCH("/",RIGHT(C514,LEN(C514)-SEARCH("@",C514)-1))),"")</f>
        <v>04 Testo+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93" t="s">
        <v>2593</v>
      </c>
      <c r="D514" s="193" t="s">
        <v>2304</v>
      </c>
      <c r="E514" s="193" t="s">
        <v>2594</v>
      </c>
      <c r="F514" s="193" t="s">
        <v>112</v>
      </c>
      <c r="G514" s="193">
        <v>268059</v>
      </c>
      <c r="H514" s="193"/>
      <c r="I514" s="193"/>
      <c r="J514" s="193"/>
    </row>
    <row r="515" spans="1:10" x14ac:dyDescent="0.3">
      <c r="A515" s="1" t="str">
        <f t="shared" si="8"/>
        <v>04 Testo+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93" t="s">
        <v>2595</v>
      </c>
      <c r="D515" s="193" t="s">
        <v>2094</v>
      </c>
      <c r="E515" s="193" t="s">
        <v>2596</v>
      </c>
      <c r="F515" s="193" t="s">
        <v>112</v>
      </c>
      <c r="G515" s="193">
        <v>391112</v>
      </c>
      <c r="H515" s="193"/>
      <c r="I515" s="193"/>
      <c r="J515" s="193"/>
    </row>
    <row r="516" spans="1:10" x14ac:dyDescent="0.3">
      <c r="A516" s="1" t="str">
        <f t="shared" si="8"/>
        <v>04 Testo+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93" t="s">
        <v>2597</v>
      </c>
      <c r="D516" s="193" t="s">
        <v>2598</v>
      </c>
      <c r="E516" s="193" t="s">
        <v>2599</v>
      </c>
      <c r="F516" s="193" t="s">
        <v>112</v>
      </c>
      <c r="G516" s="193">
        <v>13605</v>
      </c>
      <c r="H516" s="193"/>
      <c r="I516" s="193"/>
      <c r="J516" s="193"/>
    </row>
    <row r="517" spans="1:10" x14ac:dyDescent="0.3">
      <c r="A517" s="1" t="str">
        <f t="shared" si="8"/>
        <v>04 Testo+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93" t="s">
        <v>2600</v>
      </c>
      <c r="D517" s="193" t="s">
        <v>2601</v>
      </c>
      <c r="E517" s="193" t="s">
        <v>2602</v>
      </c>
      <c r="F517" s="193" t="s">
        <v>112</v>
      </c>
      <c r="G517" s="193">
        <v>267497</v>
      </c>
      <c r="H517" s="193"/>
      <c r="I517" s="193"/>
      <c r="J517" s="193"/>
    </row>
    <row r="518" spans="1:10" x14ac:dyDescent="0.3">
      <c r="A518" s="1" t="str">
        <f t="shared" si="8"/>
        <v>04 Testo+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93" t="s">
        <v>2603</v>
      </c>
      <c r="D518" s="193" t="s">
        <v>2604</v>
      </c>
      <c r="E518" s="193" t="s">
        <v>2605</v>
      </c>
      <c r="F518" s="193" t="s">
        <v>112</v>
      </c>
      <c r="G518" s="193">
        <v>159283</v>
      </c>
      <c r="H518" s="193"/>
      <c r="I518" s="193"/>
      <c r="J518" s="193"/>
    </row>
    <row r="519" spans="1:10" x14ac:dyDescent="0.3">
      <c r="A519" s="1" t="str">
        <f t="shared" si="8"/>
        <v>04 Testo+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93" t="s">
        <v>2606</v>
      </c>
      <c r="D519" s="193" t="s">
        <v>2177</v>
      </c>
      <c r="E519" s="193" t="s">
        <v>2607</v>
      </c>
      <c r="F519" s="193" t="s">
        <v>112</v>
      </c>
      <c r="G519" s="193">
        <v>114011</v>
      </c>
      <c r="H519" s="193"/>
      <c r="I519" s="193"/>
      <c r="J519" s="193"/>
    </row>
    <row r="520" spans="1:10" x14ac:dyDescent="0.3">
      <c r="A520" s="1" t="str">
        <f t="shared" si="8"/>
        <v>04 Testo+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93" t="s">
        <v>2608</v>
      </c>
      <c r="D520" s="193" t="s">
        <v>2609</v>
      </c>
      <c r="E520" s="193" t="s">
        <v>2610</v>
      </c>
      <c r="F520" s="193" t="s">
        <v>112</v>
      </c>
      <c r="G520" s="193">
        <v>67615</v>
      </c>
      <c r="H520" s="193"/>
      <c r="I520" s="193"/>
      <c r="J520" s="193"/>
    </row>
    <row r="521" spans="1:10" x14ac:dyDescent="0.3">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93" t="s">
        <v>112</v>
      </c>
      <c r="D521" s="193"/>
      <c r="E521" s="193"/>
      <c r="F521" s="193"/>
      <c r="G521" s="193"/>
      <c r="H521" s="193"/>
      <c r="I521" s="193"/>
      <c r="J521" s="193"/>
    </row>
    <row r="522" spans="1:10" x14ac:dyDescent="0.3">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93" t="s">
        <v>229</v>
      </c>
      <c r="D522" s="193" t="s">
        <v>112</v>
      </c>
      <c r="E522" s="193" t="s">
        <v>230</v>
      </c>
      <c r="F522" s="193" t="s">
        <v>231</v>
      </c>
      <c r="G522" s="193" t="s">
        <v>232</v>
      </c>
      <c r="H522" s="193" t="s">
        <v>233</v>
      </c>
      <c r="I522" s="193" t="s">
        <v>234</v>
      </c>
      <c r="J522" s="193" t="s">
        <v>235</v>
      </c>
    </row>
    <row r="523" spans="1:10" x14ac:dyDescent="0.3">
      <c r="A523" s="1" t="str">
        <f t="shared" si="8"/>
        <v>04 Testo+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93" t="s">
        <v>2611</v>
      </c>
      <c r="D523" s="193" t="s">
        <v>112</v>
      </c>
      <c r="E523" s="193" t="s">
        <v>2612</v>
      </c>
      <c r="F523" s="193" t="s">
        <v>2613</v>
      </c>
      <c r="G523" s="193" t="s">
        <v>2614</v>
      </c>
      <c r="H523" s="193" t="s">
        <v>2615</v>
      </c>
      <c r="I523" s="193">
        <v>24</v>
      </c>
      <c r="J523" s="193">
        <v>24</v>
      </c>
    </row>
    <row r="524" spans="1:10" x14ac:dyDescent="0.3">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93" t="s">
        <v>112</v>
      </c>
      <c r="D524" s="193"/>
      <c r="E524" s="193"/>
      <c r="F524" s="193"/>
      <c r="G524" s="193"/>
      <c r="H524" s="193"/>
      <c r="I524" s="193"/>
      <c r="J524" s="193"/>
    </row>
    <row r="525" spans="1:10" x14ac:dyDescent="0.3">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93" t="s">
        <v>112</v>
      </c>
      <c r="D525" s="193"/>
      <c r="E525" s="193"/>
      <c r="F525" s="193"/>
      <c r="G525" s="193"/>
      <c r="H525" s="193"/>
      <c r="I525" s="193"/>
      <c r="J525" s="193"/>
    </row>
    <row r="526" spans="1:10" x14ac:dyDescent="0.3">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93" t="s">
        <v>112</v>
      </c>
      <c r="D526" s="193"/>
      <c r="E526" s="193"/>
      <c r="F526" s="193"/>
      <c r="G526" s="193"/>
      <c r="H526" s="193"/>
      <c r="I526" s="193"/>
      <c r="J526" s="193"/>
    </row>
    <row r="527" spans="1:10" x14ac:dyDescent="0.3">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93" t="s">
        <v>112</v>
      </c>
      <c r="D527" s="193"/>
      <c r="E527" s="193"/>
      <c r="F527" s="193"/>
      <c r="G527" s="193"/>
      <c r="H527" s="193"/>
      <c r="I527" s="193"/>
      <c r="J527" s="193"/>
    </row>
    <row r="528" spans="1:10" x14ac:dyDescent="0.3">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93" t="s">
        <v>112</v>
      </c>
      <c r="D528" s="193"/>
      <c r="E528" s="193"/>
      <c r="F528" s="193"/>
      <c r="G528" s="193"/>
      <c r="H528" s="193"/>
      <c r="I528" s="193"/>
      <c r="J528" s="193"/>
    </row>
    <row r="529" spans="1:7" x14ac:dyDescent="0.3">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93" t="s">
        <v>241</v>
      </c>
      <c r="D529" s="193" t="s">
        <v>110</v>
      </c>
      <c r="E529" s="193" t="s">
        <v>111</v>
      </c>
      <c r="F529" s="193" t="s">
        <v>112</v>
      </c>
      <c r="G529" s="193" t="s">
        <v>113</v>
      </c>
    </row>
    <row r="530" spans="1:7" x14ac:dyDescent="0.3">
      <c r="A530" s="1" t="str">
        <f t="shared" si="8"/>
        <v>05 Arabinose 0.01mg_L Dopé</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93" t="s">
        <v>2616</v>
      </c>
      <c r="D530" s="193" t="s">
        <v>2617</v>
      </c>
      <c r="E530" s="193" t="s">
        <v>2618</v>
      </c>
      <c r="F530" s="193" t="s">
        <v>112</v>
      </c>
      <c r="G530" s="193">
        <v>3446464</v>
      </c>
    </row>
    <row r="531" spans="1:7" x14ac:dyDescent="0.3">
      <c r="A531" s="1" t="str">
        <f t="shared" si="8"/>
        <v>05 Arabinose 0.01mg_L Dopé</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93" t="s">
        <v>2619</v>
      </c>
      <c r="D531" s="193" t="s">
        <v>2620</v>
      </c>
      <c r="E531" s="193" t="s">
        <v>2621</v>
      </c>
      <c r="F531" s="193" t="s">
        <v>112</v>
      </c>
      <c r="G531" s="193">
        <v>2742108</v>
      </c>
    </row>
    <row r="532" spans="1:7" x14ac:dyDescent="0.3">
      <c r="A532" s="1" t="str">
        <f t="shared" si="8"/>
        <v>05 Arabinose 0.01mg_L Dopé</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93" t="s">
        <v>2622</v>
      </c>
      <c r="D532" s="193" t="s">
        <v>2623</v>
      </c>
      <c r="E532" s="193" t="s">
        <v>2624</v>
      </c>
      <c r="F532" s="193" t="s">
        <v>112</v>
      </c>
      <c r="G532" s="193">
        <v>2969611</v>
      </c>
    </row>
    <row r="533" spans="1:7" x14ac:dyDescent="0.3">
      <c r="A533" s="1" t="str">
        <f t="shared" si="8"/>
        <v>05 Arabinose 0.01mg_L Dopé</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93" t="s">
        <v>2625</v>
      </c>
      <c r="D533" s="193" t="s">
        <v>2626</v>
      </c>
      <c r="E533" s="193" t="s">
        <v>2627</v>
      </c>
      <c r="F533" s="193" t="s">
        <v>112</v>
      </c>
      <c r="G533" s="193">
        <v>2674839</v>
      </c>
    </row>
    <row r="534" spans="1:7" x14ac:dyDescent="0.3">
      <c r="A534" s="1" t="str">
        <f t="shared" si="8"/>
        <v>05 Arabinose 0.01mg_L Dopé</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93" t="s">
        <v>2628</v>
      </c>
      <c r="D534" s="193" t="s">
        <v>2629</v>
      </c>
      <c r="E534" s="193" t="s">
        <v>2630</v>
      </c>
      <c r="F534" s="193" t="s">
        <v>112</v>
      </c>
      <c r="G534" s="193">
        <v>3073738</v>
      </c>
    </row>
    <row r="535" spans="1:7" x14ac:dyDescent="0.3">
      <c r="A535" s="1" t="str">
        <f t="shared" si="8"/>
        <v>05 Arabinose 0.01mg_L Dopé</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93" t="s">
        <v>2631</v>
      </c>
      <c r="D535" s="193" t="s">
        <v>2632</v>
      </c>
      <c r="E535" s="193" t="s">
        <v>2633</v>
      </c>
      <c r="F535" s="193" t="s">
        <v>112</v>
      </c>
      <c r="G535" s="193">
        <v>3005301</v>
      </c>
    </row>
    <row r="536" spans="1:7" x14ac:dyDescent="0.3">
      <c r="A536" s="1" t="str">
        <f t="shared" si="8"/>
        <v>05 Arabinose 0.01mg_L Dopé</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93" t="s">
        <v>2634</v>
      </c>
      <c r="D536" s="193" t="s">
        <v>2635</v>
      </c>
      <c r="E536" s="193" t="s">
        <v>2636</v>
      </c>
      <c r="F536" s="193" t="s">
        <v>112</v>
      </c>
      <c r="G536" s="193">
        <v>1338458</v>
      </c>
    </row>
    <row r="537" spans="1:7" x14ac:dyDescent="0.3">
      <c r="A537" s="1" t="str">
        <f t="shared" si="8"/>
        <v>05 Arabinose 0.01mg_L Dopé</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93" t="s">
        <v>2637</v>
      </c>
      <c r="D537" s="193" t="s">
        <v>2638</v>
      </c>
      <c r="E537" s="193" t="s">
        <v>2639</v>
      </c>
      <c r="F537" s="193" t="s">
        <v>112</v>
      </c>
      <c r="G537" s="193">
        <v>1462419</v>
      </c>
    </row>
    <row r="538" spans="1:7" x14ac:dyDescent="0.3">
      <c r="A538" s="1" t="str">
        <f t="shared" si="8"/>
        <v>05 Arabinose 0.01mg_L Dopé</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93" t="s">
        <v>2640</v>
      </c>
      <c r="D538" s="193" t="s">
        <v>2641</v>
      </c>
      <c r="E538" s="193" t="s">
        <v>2642</v>
      </c>
      <c r="F538" s="193" t="s">
        <v>112</v>
      </c>
      <c r="G538" s="193">
        <v>1375553</v>
      </c>
    </row>
    <row r="539" spans="1:7" x14ac:dyDescent="0.3">
      <c r="A539" s="1" t="str">
        <f t="shared" si="8"/>
        <v>05 Arabinose 0.01mg_L Dopé</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93" t="s">
        <v>2643</v>
      </c>
      <c r="D539" s="193" t="s">
        <v>2644</v>
      </c>
      <c r="E539" s="193" t="s">
        <v>2645</v>
      </c>
      <c r="F539" s="193" t="s">
        <v>112</v>
      </c>
      <c r="G539" s="193">
        <v>1905961</v>
      </c>
    </row>
    <row r="540" spans="1:7" x14ac:dyDescent="0.3">
      <c r="A540" s="1" t="str">
        <f t="shared" si="8"/>
        <v>05 Arabinose 0.01mg_L Dopé</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93" t="s">
        <v>2646</v>
      </c>
      <c r="D540" s="193" t="s">
        <v>2647</v>
      </c>
      <c r="E540" s="193" t="s">
        <v>2648</v>
      </c>
      <c r="F540" s="193" t="s">
        <v>112</v>
      </c>
      <c r="G540" s="193">
        <v>2011991</v>
      </c>
    </row>
    <row r="541" spans="1:7" x14ac:dyDescent="0.3">
      <c r="A541" s="1" t="str">
        <f t="shared" si="8"/>
        <v>05 Arabinose 0.01mg_L Dopé</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93" t="s">
        <v>2649</v>
      </c>
      <c r="D541" s="193" t="s">
        <v>2650</v>
      </c>
      <c r="E541" s="193" t="s">
        <v>2651</v>
      </c>
      <c r="F541" s="193" t="s">
        <v>112</v>
      </c>
      <c r="G541" s="193">
        <v>1929041</v>
      </c>
    </row>
    <row r="542" spans="1:7" x14ac:dyDescent="0.3">
      <c r="A542" s="1" t="str">
        <f t="shared" si="8"/>
        <v>05 Arabinose 0.01mg_L Dopé</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93" t="s">
        <v>2652</v>
      </c>
      <c r="D542" s="193" t="s">
        <v>2653</v>
      </c>
      <c r="E542" s="193" t="s">
        <v>2654</v>
      </c>
      <c r="F542" s="193" t="s">
        <v>112</v>
      </c>
      <c r="G542" s="193">
        <v>2121395</v>
      </c>
    </row>
    <row r="543" spans="1:7" x14ac:dyDescent="0.3">
      <c r="A543" s="1" t="str">
        <f t="shared" si="8"/>
        <v>05 Arabinose 0.01mg_L Dopé</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93" t="s">
        <v>2655</v>
      </c>
      <c r="D543" s="193" t="s">
        <v>2656</v>
      </c>
      <c r="E543" s="193" t="s">
        <v>2657</v>
      </c>
      <c r="F543" s="193" t="s">
        <v>112</v>
      </c>
      <c r="G543" s="193">
        <v>1338739</v>
      </c>
    </row>
    <row r="544" spans="1:7" x14ac:dyDescent="0.3">
      <c r="A544" s="1" t="str">
        <f t="shared" si="8"/>
        <v>05 Arabinose 0.01mg_L Dopé</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93" t="s">
        <v>2658</v>
      </c>
      <c r="D544" s="193" t="s">
        <v>2659</v>
      </c>
      <c r="E544" s="193" t="s">
        <v>2660</v>
      </c>
      <c r="F544" s="193" t="s">
        <v>112</v>
      </c>
      <c r="G544" s="193">
        <v>1948096</v>
      </c>
    </row>
    <row r="545" spans="1:10" x14ac:dyDescent="0.3">
      <c r="A545" s="1" t="str">
        <f t="shared" si="8"/>
        <v>05 Arabinose 0.01mg_L Dopé</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93" t="s">
        <v>2661</v>
      </c>
      <c r="D545" s="193" t="s">
        <v>2662</v>
      </c>
      <c r="E545" s="193" t="s">
        <v>2663</v>
      </c>
      <c r="F545" s="193" t="s">
        <v>112</v>
      </c>
      <c r="G545" s="193">
        <v>4547123</v>
      </c>
      <c r="H545" s="193"/>
      <c r="I545" s="193"/>
      <c r="J545" s="193"/>
    </row>
    <row r="546" spans="1:10" x14ac:dyDescent="0.3">
      <c r="A546" s="1" t="str">
        <f t="shared" si="8"/>
        <v>05 Arabinose 0.01mg_L Dopé</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93" t="s">
        <v>2664</v>
      </c>
      <c r="D546" s="193" t="s">
        <v>2665</v>
      </c>
      <c r="E546" s="193" t="s">
        <v>2666</v>
      </c>
      <c r="F546" s="193" t="s">
        <v>112</v>
      </c>
      <c r="G546" s="193">
        <v>4133689</v>
      </c>
      <c r="H546" s="193"/>
      <c r="I546" s="193"/>
      <c r="J546" s="193"/>
    </row>
    <row r="547" spans="1:10" x14ac:dyDescent="0.3">
      <c r="A547" s="1" t="str">
        <f t="shared" si="8"/>
        <v>05 Arabinose 0.01mg_L Dopé</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93" t="s">
        <v>2667</v>
      </c>
      <c r="D547" s="193" t="s">
        <v>2668</v>
      </c>
      <c r="E547" s="193" t="s">
        <v>2669</v>
      </c>
      <c r="F547" s="193" t="s">
        <v>112</v>
      </c>
      <c r="G547" s="193">
        <v>3928876</v>
      </c>
      <c r="H547" s="193"/>
      <c r="I547" s="193"/>
      <c r="J547" s="193"/>
    </row>
    <row r="548" spans="1:10" x14ac:dyDescent="0.3">
      <c r="A548" s="1" t="str">
        <f t="shared" si="8"/>
        <v>05 Arabinose 0.01mg_L Dopé</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93" t="s">
        <v>2670</v>
      </c>
      <c r="D548" s="193" t="s">
        <v>2671</v>
      </c>
      <c r="E548" s="193" t="s">
        <v>2672</v>
      </c>
      <c r="F548" s="193" t="s">
        <v>112</v>
      </c>
      <c r="G548" s="193">
        <v>2504071</v>
      </c>
      <c r="H548" s="193"/>
      <c r="I548" s="193"/>
      <c r="J548" s="193"/>
    </row>
    <row r="549" spans="1:10" x14ac:dyDescent="0.3">
      <c r="A549" s="1" t="str">
        <f t="shared" si="8"/>
        <v>05 Arabinose 0.01mg_L Dopé</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93" t="s">
        <v>2673</v>
      </c>
      <c r="D549" s="193" t="s">
        <v>2674</v>
      </c>
      <c r="E549" s="193" t="s">
        <v>2675</v>
      </c>
      <c r="F549" s="193" t="s">
        <v>112</v>
      </c>
      <c r="G549" s="193">
        <v>2484799</v>
      </c>
      <c r="H549" s="193"/>
      <c r="I549" s="193"/>
      <c r="J549" s="193"/>
    </row>
    <row r="550" spans="1:10" x14ac:dyDescent="0.3">
      <c r="A550" s="1" t="str">
        <f t="shared" si="8"/>
        <v>05 Arabinose 0.01mg_L Dopé</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93" t="s">
        <v>2676</v>
      </c>
      <c r="D550" s="193" t="s">
        <v>2677</v>
      </c>
      <c r="E550" s="193" t="s">
        <v>2678</v>
      </c>
      <c r="F550" s="193" t="s">
        <v>112</v>
      </c>
      <c r="G550" s="193">
        <v>1850243</v>
      </c>
      <c r="H550" s="193"/>
      <c r="I550" s="193"/>
      <c r="J550" s="193"/>
    </row>
    <row r="551" spans="1:10" x14ac:dyDescent="0.3">
      <c r="A551" s="1" t="str">
        <f t="shared" si="8"/>
        <v>05 Arabinose 0.01mg_L Dopé</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93" t="s">
        <v>2679</v>
      </c>
      <c r="D551" s="193" t="s">
        <v>2680</v>
      </c>
      <c r="E551" s="193" t="s">
        <v>2681</v>
      </c>
      <c r="F551" s="193" t="s">
        <v>112</v>
      </c>
      <c r="G551" s="193">
        <v>2621067</v>
      </c>
      <c r="H551" s="193"/>
      <c r="I551" s="193"/>
      <c r="J551" s="193"/>
    </row>
    <row r="552" spans="1:10" x14ac:dyDescent="0.3">
      <c r="A552" s="1" t="str">
        <f t="shared" si="8"/>
        <v>05 Arabinose 0.01mg_L Dopé</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93" t="s">
        <v>2682</v>
      </c>
      <c r="D552" s="193" t="s">
        <v>2683</v>
      </c>
      <c r="E552" s="193" t="s">
        <v>2684</v>
      </c>
      <c r="F552" s="193" t="s">
        <v>112</v>
      </c>
      <c r="G552" s="193">
        <v>2392569</v>
      </c>
      <c r="H552" s="193"/>
      <c r="I552" s="193"/>
      <c r="J552" s="193"/>
    </row>
    <row r="553" spans="1:10" x14ac:dyDescent="0.3">
      <c r="A553" s="1" t="str">
        <f t="shared" si="8"/>
        <v>05 Arabinose 0.01mg_L Dopé</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93" t="s">
        <v>2685</v>
      </c>
      <c r="D553" s="193" t="s">
        <v>2686</v>
      </c>
      <c r="E553" s="193" t="s">
        <v>2687</v>
      </c>
      <c r="F553" s="193" t="s">
        <v>112</v>
      </c>
      <c r="G553" s="193">
        <v>2665106</v>
      </c>
      <c r="H553" s="193"/>
      <c r="I553" s="193"/>
      <c r="J553" s="193"/>
    </row>
    <row r="554" spans="1:10" x14ac:dyDescent="0.3">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93" t="s">
        <v>112</v>
      </c>
      <c r="D554" s="193"/>
      <c r="E554" s="193"/>
      <c r="F554" s="193"/>
      <c r="G554" s="193"/>
      <c r="H554" s="193"/>
      <c r="I554" s="193"/>
      <c r="J554" s="193"/>
    </row>
    <row r="555" spans="1:10" x14ac:dyDescent="0.3">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93" t="s">
        <v>229</v>
      </c>
      <c r="D555" s="193" t="s">
        <v>112</v>
      </c>
      <c r="E555" s="193" t="s">
        <v>230</v>
      </c>
      <c r="F555" s="193" t="s">
        <v>231</v>
      </c>
      <c r="G555" s="193" t="s">
        <v>232</v>
      </c>
      <c r="H555" s="193" t="s">
        <v>233</v>
      </c>
      <c r="I555" s="193" t="s">
        <v>234</v>
      </c>
      <c r="J555" s="193" t="s">
        <v>235</v>
      </c>
    </row>
    <row r="556" spans="1:10" x14ac:dyDescent="0.3">
      <c r="A556" s="1" t="str">
        <f t="shared" si="8"/>
        <v>05 Arabinose 0.01mg_L Dopé</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93" t="s">
        <v>2688</v>
      </c>
      <c r="D556" s="193" t="s">
        <v>112</v>
      </c>
      <c r="E556" s="193" t="s">
        <v>2689</v>
      </c>
      <c r="F556" s="193" t="s">
        <v>2690</v>
      </c>
      <c r="G556" s="193" t="s">
        <v>2691</v>
      </c>
      <c r="H556" s="193" t="s">
        <v>2692</v>
      </c>
      <c r="I556" s="193">
        <v>24</v>
      </c>
      <c r="J556" s="193">
        <v>24</v>
      </c>
    </row>
    <row r="557" spans="1:10" x14ac:dyDescent="0.3">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93" t="s">
        <v>112</v>
      </c>
      <c r="D557" s="193"/>
      <c r="E557" s="193"/>
      <c r="F557" s="193"/>
      <c r="G557" s="193"/>
      <c r="H557" s="193"/>
      <c r="I557" s="193"/>
      <c r="J557" s="193"/>
    </row>
    <row r="558" spans="1:10" x14ac:dyDescent="0.3">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93" t="s">
        <v>112</v>
      </c>
      <c r="D558" s="193"/>
      <c r="E558" s="193"/>
      <c r="F558" s="193"/>
      <c r="G558" s="193"/>
      <c r="H558" s="193"/>
      <c r="I558" s="193"/>
      <c r="J558" s="193"/>
    </row>
    <row r="559" spans="1:10" x14ac:dyDescent="0.3">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93" t="s">
        <v>112</v>
      </c>
      <c r="D559" s="193"/>
      <c r="E559" s="193"/>
      <c r="F559" s="193"/>
      <c r="G559" s="193"/>
      <c r="H559" s="193"/>
      <c r="I559" s="193"/>
      <c r="J559" s="193"/>
    </row>
    <row r="560" spans="1:10" x14ac:dyDescent="0.3">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93" t="s">
        <v>112</v>
      </c>
      <c r="D560" s="193"/>
      <c r="E560" s="193"/>
      <c r="F560" s="193"/>
      <c r="G560" s="193"/>
      <c r="H560" s="193"/>
      <c r="I560" s="193"/>
      <c r="J560" s="193"/>
    </row>
    <row r="561" spans="1:7" x14ac:dyDescent="0.3">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93" t="s">
        <v>112</v>
      </c>
      <c r="D561" s="193"/>
      <c r="E561" s="193"/>
      <c r="F561" s="193"/>
      <c r="G561" s="193"/>
    </row>
    <row r="562" spans="1:7" x14ac:dyDescent="0.3">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93" t="s">
        <v>241</v>
      </c>
      <c r="D562" s="193" t="s">
        <v>110</v>
      </c>
      <c r="E562" s="193" t="s">
        <v>111</v>
      </c>
      <c r="F562" s="193" t="s">
        <v>112</v>
      </c>
      <c r="G562" s="193" t="s">
        <v>113</v>
      </c>
    </row>
    <row r="563" spans="1:7" x14ac:dyDescent="0.3">
      <c r="A563" s="1" t="str">
        <f t="shared" si="8"/>
        <v>06 Dutastéride 0.1mg_L Dopé</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93" t="s">
        <v>2693</v>
      </c>
      <c r="D563" s="193" t="s">
        <v>2694</v>
      </c>
      <c r="E563" s="193" t="s">
        <v>2695</v>
      </c>
      <c r="F563" s="193" t="s">
        <v>112</v>
      </c>
      <c r="G563" s="193">
        <v>1518678</v>
      </c>
    </row>
    <row r="564" spans="1:7" x14ac:dyDescent="0.3">
      <c r="A564" s="1" t="str">
        <f t="shared" si="8"/>
        <v>06 Dutastéride 0.1mg_L Dopé</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93" t="s">
        <v>2696</v>
      </c>
      <c r="D564" s="193" t="s">
        <v>2697</v>
      </c>
      <c r="E564" s="193" t="s">
        <v>2698</v>
      </c>
      <c r="F564" s="193" t="s">
        <v>112</v>
      </c>
      <c r="G564" s="193">
        <v>1988155</v>
      </c>
    </row>
    <row r="565" spans="1:7" x14ac:dyDescent="0.3">
      <c r="A565" s="1" t="str">
        <f t="shared" si="8"/>
        <v>06 Dutastéride 0.1mg_L Dopé</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93" t="s">
        <v>2699</v>
      </c>
      <c r="D565" s="193" t="s">
        <v>2700</v>
      </c>
      <c r="E565" s="193" t="s">
        <v>2701</v>
      </c>
      <c r="F565" s="193" t="s">
        <v>112</v>
      </c>
      <c r="G565" s="193">
        <v>1992286</v>
      </c>
    </row>
    <row r="566" spans="1:7" x14ac:dyDescent="0.3">
      <c r="A566" s="1" t="str">
        <f t="shared" si="8"/>
        <v>06 Dutastéride 0.1mg_L Dopé</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93" t="s">
        <v>2702</v>
      </c>
      <c r="D566" s="193" t="s">
        <v>2703</v>
      </c>
      <c r="E566" s="193" t="s">
        <v>2704</v>
      </c>
      <c r="F566" s="193" t="s">
        <v>112</v>
      </c>
      <c r="G566" s="193">
        <v>2139499</v>
      </c>
    </row>
    <row r="567" spans="1:7" x14ac:dyDescent="0.3">
      <c r="A567" s="1" t="str">
        <f t="shared" si="8"/>
        <v>06 Dutastéride 0.1mg_L Dopé</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93" t="s">
        <v>2705</v>
      </c>
      <c r="D567" s="193" t="s">
        <v>2706</v>
      </c>
      <c r="E567" s="193" t="s">
        <v>2707</v>
      </c>
      <c r="F567" s="193" t="s">
        <v>112</v>
      </c>
      <c r="G567" s="193">
        <v>1501461</v>
      </c>
    </row>
    <row r="568" spans="1:7" x14ac:dyDescent="0.3">
      <c r="A568" s="1" t="str">
        <f t="shared" si="8"/>
        <v>06 Dutastéride 0.1mg_L Dopé</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93" t="s">
        <v>2708</v>
      </c>
      <c r="D568" s="193" t="s">
        <v>2709</v>
      </c>
      <c r="E568" s="193" t="s">
        <v>2710</v>
      </c>
      <c r="F568" s="193" t="s">
        <v>112</v>
      </c>
      <c r="G568" s="193">
        <v>1841050</v>
      </c>
    </row>
    <row r="569" spans="1:7" x14ac:dyDescent="0.3">
      <c r="A569" s="1" t="str">
        <f t="shared" si="8"/>
        <v>06 Dutastéride 0.1mg_L Dopé</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93" t="s">
        <v>2711</v>
      </c>
      <c r="D569" s="193" t="s">
        <v>2712</v>
      </c>
      <c r="E569" s="193" t="s">
        <v>2713</v>
      </c>
      <c r="F569" s="193" t="s">
        <v>112</v>
      </c>
      <c r="G569" s="193">
        <v>432144</v>
      </c>
    </row>
    <row r="570" spans="1:7" x14ac:dyDescent="0.3">
      <c r="A570" s="1" t="str">
        <f t="shared" si="8"/>
        <v>06 Dutastéride 0.1mg_L Dopé</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93" t="s">
        <v>2714</v>
      </c>
      <c r="D570" s="193" t="s">
        <v>1746</v>
      </c>
      <c r="E570" s="193" t="s">
        <v>2715</v>
      </c>
      <c r="F570" s="193" t="s">
        <v>112</v>
      </c>
      <c r="G570" s="193">
        <v>454271</v>
      </c>
    </row>
    <row r="571" spans="1:7" x14ac:dyDescent="0.3">
      <c r="A571" s="1" t="str">
        <f t="shared" si="8"/>
        <v>06 Dutastéride 0.1mg_L Dopé</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93" t="s">
        <v>2716</v>
      </c>
      <c r="D571" s="193" t="s">
        <v>2717</v>
      </c>
      <c r="E571" s="193" t="s">
        <v>2718</v>
      </c>
      <c r="F571" s="193" t="s">
        <v>112</v>
      </c>
      <c r="G571" s="193">
        <v>515549</v>
      </c>
    </row>
    <row r="572" spans="1:7" x14ac:dyDescent="0.3">
      <c r="A572" s="1" t="str">
        <f t="shared" si="8"/>
        <v>06 Dutastéride 0.1mg_L Dopé</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93" t="s">
        <v>2719</v>
      </c>
      <c r="D572" s="193" t="s">
        <v>2720</v>
      </c>
      <c r="E572" s="193" t="s">
        <v>2721</v>
      </c>
      <c r="F572" s="193" t="s">
        <v>112</v>
      </c>
      <c r="G572" s="193">
        <v>1229660</v>
      </c>
    </row>
    <row r="573" spans="1:7" x14ac:dyDescent="0.3">
      <c r="A573" s="1" t="str">
        <f t="shared" si="8"/>
        <v>06 Dutastéride 0.1mg_L Dopé</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93" t="s">
        <v>2722</v>
      </c>
      <c r="D573" s="193" t="s">
        <v>2723</v>
      </c>
      <c r="E573" s="193" t="s">
        <v>2724</v>
      </c>
      <c r="F573" s="193" t="s">
        <v>112</v>
      </c>
      <c r="G573" s="193">
        <v>929177</v>
      </c>
    </row>
    <row r="574" spans="1:7" x14ac:dyDescent="0.3">
      <c r="A574" s="1" t="str">
        <f t="shared" si="8"/>
        <v>06 Dutastéride 0.1mg_L Dopé</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93" t="s">
        <v>2725</v>
      </c>
      <c r="D574" s="193"/>
      <c r="E574" s="193"/>
      <c r="F574" s="193"/>
      <c r="G574" s="193"/>
    </row>
    <row r="575" spans="1:7" x14ac:dyDescent="0.3">
      <c r="A575" s="1" t="str">
        <f t="shared" si="8"/>
        <v>06 Dutastéride 0.1mg_L Dopé</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93" t="s">
        <v>2726</v>
      </c>
      <c r="D575" s="193" t="s">
        <v>2727</v>
      </c>
      <c r="E575" s="193" t="s">
        <v>2728</v>
      </c>
      <c r="F575" s="193" t="s">
        <v>112</v>
      </c>
      <c r="G575" s="193">
        <v>570986</v>
      </c>
    </row>
    <row r="576" spans="1:7" x14ac:dyDescent="0.3">
      <c r="A576" s="1" t="str">
        <f t="shared" si="8"/>
        <v>06 Dutastéride 0.1mg_L Dopé</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93" t="s">
        <v>2729</v>
      </c>
      <c r="D576" s="193" t="s">
        <v>2730</v>
      </c>
      <c r="E576" s="193" t="s">
        <v>2731</v>
      </c>
      <c r="F576" s="193" t="s">
        <v>112</v>
      </c>
      <c r="G576" s="193">
        <v>1495383</v>
      </c>
    </row>
    <row r="577" spans="1:10" x14ac:dyDescent="0.3">
      <c r="A577" s="1" t="str">
        <f t="shared" si="8"/>
        <v>06 Dutastéride 0.1mg_L Dopé</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93" t="s">
        <v>2732</v>
      </c>
      <c r="D577" s="193" t="s">
        <v>2733</v>
      </c>
      <c r="E577" s="193" t="s">
        <v>2734</v>
      </c>
      <c r="F577" s="193" t="s">
        <v>112</v>
      </c>
      <c r="G577" s="193">
        <v>1621636</v>
      </c>
      <c r="H577" s="193"/>
      <c r="I577" s="193"/>
      <c r="J577" s="193"/>
    </row>
    <row r="578" spans="1:10" x14ac:dyDescent="0.3">
      <c r="A578" s="1" t="str">
        <f t="shared" ref="A578:A641" si="9">IFERROR(LEFT(RIGHT(C578,LEN(C578)-SEARCH("@",C578)),SEARCH("/",RIGHT(C578,LEN(C578)-SEARCH("@",C578)-1))),"")</f>
        <v>06 Dutastéride 0.1mg_L Dopé</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93" t="s">
        <v>2735</v>
      </c>
      <c r="D578" s="193" t="s">
        <v>2736</v>
      </c>
      <c r="E578" s="193" t="s">
        <v>2737</v>
      </c>
      <c r="F578" s="193" t="s">
        <v>112</v>
      </c>
      <c r="G578" s="193">
        <v>1360737</v>
      </c>
      <c r="H578" s="193"/>
      <c r="I578" s="193"/>
      <c r="J578" s="193"/>
    </row>
    <row r="579" spans="1:10" x14ac:dyDescent="0.3">
      <c r="A579" s="1" t="str">
        <f t="shared" si="9"/>
        <v>06 Dutastéride 0.1mg_L Dopé</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93" t="s">
        <v>2738</v>
      </c>
      <c r="D579" s="193" t="s">
        <v>2739</v>
      </c>
      <c r="E579" s="193" t="s">
        <v>2740</v>
      </c>
      <c r="F579" s="193" t="s">
        <v>112</v>
      </c>
      <c r="G579" s="193">
        <v>768272</v>
      </c>
      <c r="H579" s="193"/>
      <c r="I579" s="193"/>
      <c r="J579" s="193"/>
    </row>
    <row r="580" spans="1:10" x14ac:dyDescent="0.3">
      <c r="A580" s="1" t="str">
        <f t="shared" si="9"/>
        <v>06 Dutastéride 0.1mg_L Dopé</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93" t="s">
        <v>2741</v>
      </c>
      <c r="D580" s="193" t="s">
        <v>2742</v>
      </c>
      <c r="E580" s="193" t="s">
        <v>2743</v>
      </c>
      <c r="F580" s="193" t="s">
        <v>112</v>
      </c>
      <c r="G580" s="193">
        <v>1272162</v>
      </c>
      <c r="H580" s="193"/>
      <c r="I580" s="193"/>
      <c r="J580" s="193"/>
    </row>
    <row r="581" spans="1:10" x14ac:dyDescent="0.3">
      <c r="A581" s="1" t="str">
        <f t="shared" si="9"/>
        <v>06 Dutastéride 0.1mg_L Dopé</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93" t="s">
        <v>2744</v>
      </c>
      <c r="D581" s="193" t="s">
        <v>2686</v>
      </c>
      <c r="E581" s="193" t="s">
        <v>2745</v>
      </c>
      <c r="F581" s="193" t="s">
        <v>112</v>
      </c>
      <c r="G581" s="193">
        <v>2819587</v>
      </c>
      <c r="H581" s="193"/>
      <c r="I581" s="193"/>
      <c r="J581" s="193"/>
    </row>
    <row r="582" spans="1:10" x14ac:dyDescent="0.3">
      <c r="A582" s="1" t="str">
        <f t="shared" si="9"/>
        <v>06 Dutastéride 0.1mg_L Dopé</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93" t="s">
        <v>2746</v>
      </c>
      <c r="D582" s="193" t="s">
        <v>1926</v>
      </c>
      <c r="E582" s="193" t="s">
        <v>2747</v>
      </c>
      <c r="F582" s="193" t="s">
        <v>112</v>
      </c>
      <c r="G582" s="193">
        <v>2234844</v>
      </c>
      <c r="H582" s="193"/>
      <c r="I582" s="193"/>
      <c r="J582" s="193"/>
    </row>
    <row r="583" spans="1:10" x14ac:dyDescent="0.3">
      <c r="A583" s="1" t="str">
        <f t="shared" si="9"/>
        <v>06 Dutastéride 0.1mg_L Dopé</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93" t="s">
        <v>2748</v>
      </c>
      <c r="D583" s="193" t="s">
        <v>2749</v>
      </c>
      <c r="E583" s="193" t="s">
        <v>2750</v>
      </c>
      <c r="F583" s="193" t="s">
        <v>112</v>
      </c>
      <c r="G583" s="193">
        <v>2852486</v>
      </c>
      <c r="H583" s="193"/>
      <c r="I583" s="193"/>
      <c r="J583" s="193"/>
    </row>
    <row r="584" spans="1:10" x14ac:dyDescent="0.3">
      <c r="A584" s="1" t="str">
        <f t="shared" si="9"/>
        <v>06 Dutastéride 0.1mg_L Dopé</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93" t="s">
        <v>2751</v>
      </c>
      <c r="D584" s="193" t="s">
        <v>2752</v>
      </c>
      <c r="E584" s="193" t="s">
        <v>2753</v>
      </c>
      <c r="F584" s="193" t="s">
        <v>112</v>
      </c>
      <c r="G584" s="193">
        <v>611672</v>
      </c>
      <c r="H584" s="193"/>
      <c r="I584" s="193"/>
      <c r="J584" s="193"/>
    </row>
    <row r="585" spans="1:10" x14ac:dyDescent="0.3">
      <c r="A585" s="1" t="str">
        <f t="shared" si="9"/>
        <v>06 Dutastéride 0.1mg_L Dopé</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93" t="s">
        <v>2754</v>
      </c>
      <c r="D585" s="193" t="s">
        <v>2755</v>
      </c>
      <c r="E585" s="193" t="s">
        <v>2756</v>
      </c>
      <c r="F585" s="193" t="s">
        <v>112</v>
      </c>
      <c r="G585" s="193">
        <v>192722</v>
      </c>
      <c r="H585" s="193"/>
      <c r="I585" s="193"/>
      <c r="J585" s="193"/>
    </row>
    <row r="586" spans="1:10" x14ac:dyDescent="0.3">
      <c r="A586" s="1" t="str">
        <f t="shared" si="9"/>
        <v>06 Dutastéride 0.1mg_L Dopé</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93" t="s">
        <v>2757</v>
      </c>
      <c r="D586" s="193" t="s">
        <v>1523</v>
      </c>
      <c r="E586" s="193" t="s">
        <v>2758</v>
      </c>
      <c r="F586" s="193" t="s">
        <v>112</v>
      </c>
      <c r="G586" s="193">
        <v>230380</v>
      </c>
      <c r="H586" s="193"/>
      <c r="I586" s="193"/>
      <c r="J586" s="193"/>
    </row>
    <row r="587" spans="1:10" x14ac:dyDescent="0.3">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93" t="s">
        <v>112</v>
      </c>
      <c r="D587" s="193"/>
      <c r="E587" s="193"/>
      <c r="F587" s="193"/>
      <c r="G587" s="193"/>
      <c r="H587" s="193"/>
      <c r="I587" s="193"/>
      <c r="J587" s="193"/>
    </row>
    <row r="588" spans="1:10" x14ac:dyDescent="0.3">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93" t="s">
        <v>229</v>
      </c>
      <c r="D588" s="193" t="s">
        <v>112</v>
      </c>
      <c r="E588" s="193" t="s">
        <v>230</v>
      </c>
      <c r="F588" s="193" t="s">
        <v>231</v>
      </c>
      <c r="G588" s="193" t="s">
        <v>232</v>
      </c>
      <c r="H588" s="193" t="s">
        <v>233</v>
      </c>
      <c r="I588" s="193" t="s">
        <v>234</v>
      </c>
      <c r="J588" s="193" t="s">
        <v>235</v>
      </c>
    </row>
    <row r="589" spans="1:10" x14ac:dyDescent="0.3">
      <c r="A589" s="1" t="str">
        <f t="shared" si="9"/>
        <v>06 Dutastéride 0.1mg_L Dopé</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93" t="s">
        <v>2759</v>
      </c>
      <c r="D589" s="193" t="s">
        <v>112</v>
      </c>
      <c r="E589" s="193" t="s">
        <v>2760</v>
      </c>
      <c r="F589" s="193" t="s">
        <v>2761</v>
      </c>
      <c r="G589" s="193" t="s">
        <v>2762</v>
      </c>
      <c r="H589" s="193" t="s">
        <v>2763</v>
      </c>
      <c r="I589" s="193">
        <v>24</v>
      </c>
      <c r="J589" s="193">
        <v>24</v>
      </c>
    </row>
    <row r="590" spans="1:10" x14ac:dyDescent="0.3">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93" t="s">
        <v>112</v>
      </c>
      <c r="D590" s="193"/>
      <c r="E590" s="193"/>
      <c r="F590" s="193"/>
      <c r="G590" s="193"/>
      <c r="H590" s="193"/>
      <c r="I590" s="193"/>
      <c r="J590" s="193"/>
    </row>
    <row r="591" spans="1:10" x14ac:dyDescent="0.3">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93" t="s">
        <v>112</v>
      </c>
      <c r="D591" s="193"/>
      <c r="E591" s="193"/>
      <c r="F591" s="193"/>
      <c r="G591" s="193"/>
      <c r="H591" s="193"/>
      <c r="I591" s="193"/>
      <c r="J591" s="193"/>
    </row>
    <row r="592" spans="1:10" x14ac:dyDescent="0.3">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93" t="s">
        <v>112</v>
      </c>
      <c r="D592" s="193"/>
      <c r="E592" s="193"/>
      <c r="F592" s="193"/>
      <c r="G592" s="193"/>
      <c r="H592" s="193"/>
      <c r="I592" s="193"/>
      <c r="J592" s="193"/>
    </row>
    <row r="593" spans="1:7" x14ac:dyDescent="0.3">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93" t="s">
        <v>112</v>
      </c>
      <c r="D593" s="193"/>
      <c r="E593" s="193"/>
      <c r="F593" s="193"/>
      <c r="G593" s="193"/>
    </row>
    <row r="594" spans="1:7" x14ac:dyDescent="0.3">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93" t="s">
        <v>112</v>
      </c>
      <c r="D594" s="193"/>
      <c r="E594" s="193"/>
      <c r="F594" s="193"/>
      <c r="G594" s="193"/>
    </row>
    <row r="595" spans="1:7" x14ac:dyDescent="0.3">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93" t="s">
        <v>241</v>
      </c>
      <c r="D595" s="193" t="s">
        <v>110</v>
      </c>
      <c r="E595" s="193" t="s">
        <v>111</v>
      </c>
      <c r="F595" s="193" t="s">
        <v>112</v>
      </c>
      <c r="G595" s="193" t="s">
        <v>113</v>
      </c>
    </row>
    <row r="596" spans="1:7" x14ac:dyDescent="0.3">
      <c r="A596" s="1" t="str">
        <f t="shared" si="9"/>
        <v>07  Arabinose 1mg_L Dopé</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93" t="s">
        <v>2764</v>
      </c>
      <c r="D596" s="193" t="s">
        <v>2765</v>
      </c>
      <c r="E596" s="193" t="s">
        <v>2766</v>
      </c>
      <c r="F596" s="193" t="s">
        <v>112</v>
      </c>
      <c r="G596" s="193">
        <v>2724804</v>
      </c>
    </row>
    <row r="597" spans="1:7" x14ac:dyDescent="0.3">
      <c r="A597" s="1" t="str">
        <f t="shared" si="9"/>
        <v>07  Arabinose 1mg_L Dopé</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93" t="s">
        <v>2767</v>
      </c>
      <c r="D597" s="193" t="s">
        <v>2768</v>
      </c>
      <c r="E597" s="193" t="s">
        <v>2769</v>
      </c>
      <c r="F597" s="193" t="s">
        <v>112</v>
      </c>
      <c r="G597" s="193">
        <v>2655156</v>
      </c>
    </row>
    <row r="598" spans="1:7" x14ac:dyDescent="0.3">
      <c r="A598" s="1" t="str">
        <f t="shared" si="9"/>
        <v>07  Arabinose 1mg_L Dopé</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93" t="s">
        <v>2770</v>
      </c>
      <c r="D598" s="193" t="s">
        <v>2771</v>
      </c>
      <c r="E598" s="193" t="s">
        <v>2772</v>
      </c>
      <c r="F598" s="193" t="s">
        <v>112</v>
      </c>
      <c r="G598" s="193">
        <v>2656908</v>
      </c>
    </row>
    <row r="599" spans="1:7" x14ac:dyDescent="0.3">
      <c r="A599" s="1" t="str">
        <f t="shared" si="9"/>
        <v>07  Arabinose 1mg_L Dopé</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93" t="s">
        <v>2773</v>
      </c>
      <c r="D599" s="193" t="s">
        <v>2774</v>
      </c>
      <c r="E599" s="193" t="s">
        <v>2775</v>
      </c>
      <c r="F599" s="193" t="s">
        <v>112</v>
      </c>
      <c r="G599" s="193">
        <v>2774056</v>
      </c>
    </row>
    <row r="600" spans="1:7" x14ac:dyDescent="0.3">
      <c r="A600" s="1" t="str">
        <f t="shared" si="9"/>
        <v>07  Arabinose 1mg_L Dopé</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93" t="s">
        <v>2776</v>
      </c>
      <c r="D600" s="193" t="s">
        <v>2777</v>
      </c>
      <c r="E600" s="193" t="s">
        <v>2778</v>
      </c>
      <c r="F600" s="193" t="s">
        <v>112</v>
      </c>
      <c r="G600" s="193">
        <v>2328523</v>
      </c>
    </row>
    <row r="601" spans="1:7" x14ac:dyDescent="0.3">
      <c r="A601" s="1" t="str">
        <f t="shared" si="9"/>
        <v>07  Arabinose 1mg_L Dopé</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93" t="s">
        <v>2779</v>
      </c>
      <c r="D601" s="193" t="s">
        <v>2683</v>
      </c>
      <c r="E601" s="193" t="s">
        <v>2780</v>
      </c>
      <c r="F601" s="193" t="s">
        <v>112</v>
      </c>
      <c r="G601" s="193">
        <v>2521440</v>
      </c>
    </row>
    <row r="602" spans="1:7" x14ac:dyDescent="0.3">
      <c r="A602" s="1" t="str">
        <f t="shared" si="9"/>
        <v>07  Arabinose 1mg_L Dopé</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93" t="s">
        <v>2781</v>
      </c>
      <c r="D602" s="193" t="s">
        <v>2782</v>
      </c>
      <c r="E602" s="193" t="s">
        <v>2783</v>
      </c>
      <c r="F602" s="193" t="s">
        <v>112</v>
      </c>
      <c r="G602" s="193">
        <v>4125794</v>
      </c>
    </row>
    <row r="603" spans="1:7" x14ac:dyDescent="0.3">
      <c r="A603" s="1" t="str">
        <f t="shared" si="9"/>
        <v>07  Arabinose 1mg_L Dopé</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93" t="s">
        <v>2784</v>
      </c>
      <c r="D603" s="193" t="s">
        <v>2785</v>
      </c>
      <c r="E603" s="193" t="s">
        <v>2786</v>
      </c>
      <c r="F603" s="193" t="s">
        <v>112</v>
      </c>
      <c r="G603" s="193">
        <v>3818477</v>
      </c>
    </row>
    <row r="604" spans="1:7" x14ac:dyDescent="0.3">
      <c r="A604" s="1" t="str">
        <f t="shared" si="9"/>
        <v>07  Arabinose 1mg_L Dopé</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93" t="s">
        <v>2787</v>
      </c>
      <c r="D604" s="193" t="s">
        <v>2788</v>
      </c>
      <c r="E604" s="193" t="s">
        <v>2789</v>
      </c>
      <c r="F604" s="193" t="s">
        <v>112</v>
      </c>
      <c r="G604" s="193">
        <v>3292632</v>
      </c>
    </row>
    <row r="605" spans="1:7" x14ac:dyDescent="0.3">
      <c r="A605" s="1" t="str">
        <f t="shared" si="9"/>
        <v>07  Arabinose 1mg_L Dopé</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93" t="s">
        <v>2790</v>
      </c>
      <c r="D605" s="193" t="s">
        <v>2791</v>
      </c>
      <c r="E605" s="193" t="s">
        <v>2792</v>
      </c>
      <c r="F605" s="193" t="s">
        <v>112</v>
      </c>
      <c r="G605" s="193">
        <v>4453876</v>
      </c>
    </row>
    <row r="606" spans="1:7" x14ac:dyDescent="0.3">
      <c r="A606" s="1" t="str">
        <f t="shared" si="9"/>
        <v>07  Arabinose 1mg_L Dopé</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93" t="s">
        <v>2793</v>
      </c>
      <c r="D606" s="193" t="s">
        <v>2794</v>
      </c>
      <c r="E606" s="193" t="s">
        <v>2795</v>
      </c>
      <c r="F606" s="193" t="s">
        <v>112</v>
      </c>
      <c r="G606" s="193">
        <v>3820164</v>
      </c>
    </row>
    <row r="607" spans="1:7" x14ac:dyDescent="0.3">
      <c r="A607" s="1" t="str">
        <f t="shared" si="9"/>
        <v>07  Arabinose 1mg_L Dopé</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93" t="s">
        <v>2796</v>
      </c>
      <c r="D607" s="193" t="s">
        <v>2797</v>
      </c>
      <c r="E607" s="193" t="s">
        <v>2798</v>
      </c>
      <c r="F607" s="193" t="s">
        <v>112</v>
      </c>
      <c r="G607" s="193">
        <v>3779716</v>
      </c>
    </row>
    <row r="608" spans="1:7" x14ac:dyDescent="0.3">
      <c r="A608" s="1" t="str">
        <f t="shared" si="9"/>
        <v>07  Arabinose 1mg_L Dopé</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93" t="s">
        <v>2799</v>
      </c>
      <c r="D608" s="193" t="s">
        <v>2800</v>
      </c>
      <c r="E608" s="193" t="s">
        <v>2801</v>
      </c>
      <c r="F608" s="193" t="s">
        <v>112</v>
      </c>
      <c r="G608" s="193">
        <v>1109938</v>
      </c>
    </row>
    <row r="609" spans="1:10" x14ac:dyDescent="0.3">
      <c r="A609" s="1" t="str">
        <f t="shared" si="9"/>
        <v>07  Arabinose 1mg_L Dopé</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93" t="s">
        <v>2802</v>
      </c>
      <c r="D609" s="193" t="s">
        <v>2803</v>
      </c>
      <c r="E609" s="193" t="s">
        <v>2804</v>
      </c>
      <c r="F609" s="193" t="s">
        <v>112</v>
      </c>
      <c r="G609" s="193">
        <v>1086643</v>
      </c>
      <c r="H609" s="193"/>
      <c r="I609" s="193"/>
      <c r="J609" s="193"/>
    </row>
    <row r="610" spans="1:10" x14ac:dyDescent="0.3">
      <c r="A610" s="1" t="str">
        <f t="shared" si="9"/>
        <v>07  Arabinose 1mg_L Dopé</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93" t="s">
        <v>2805</v>
      </c>
      <c r="D610" s="193" t="s">
        <v>2806</v>
      </c>
      <c r="E610" s="193" t="s">
        <v>2807</v>
      </c>
      <c r="F610" s="193" t="s">
        <v>112</v>
      </c>
      <c r="G610" s="193">
        <v>1166587</v>
      </c>
      <c r="H610" s="193"/>
      <c r="I610" s="193"/>
      <c r="J610" s="193"/>
    </row>
    <row r="611" spans="1:10" x14ac:dyDescent="0.3">
      <c r="A611" s="1" t="str">
        <f t="shared" si="9"/>
        <v>07  Arabinose 1mg_L Dopé</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93" t="s">
        <v>2808</v>
      </c>
      <c r="D611" s="193" t="s">
        <v>2686</v>
      </c>
      <c r="E611" s="193" t="s">
        <v>2809</v>
      </c>
      <c r="F611" s="193" t="s">
        <v>112</v>
      </c>
      <c r="G611" s="193">
        <v>2616222</v>
      </c>
      <c r="H611" s="193"/>
      <c r="I611" s="193"/>
      <c r="J611" s="193"/>
    </row>
    <row r="612" spans="1:10" x14ac:dyDescent="0.3">
      <c r="A612" s="1" t="str">
        <f t="shared" si="9"/>
        <v>07  Arabinose 1mg_L Dopé</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93" t="s">
        <v>2810</v>
      </c>
      <c r="D612" s="193" t="s">
        <v>2811</v>
      </c>
      <c r="E612" s="193" t="s">
        <v>2812</v>
      </c>
      <c r="F612" s="193" t="s">
        <v>112</v>
      </c>
      <c r="G612" s="193">
        <v>2401783</v>
      </c>
      <c r="H612" s="193"/>
      <c r="I612" s="193"/>
      <c r="J612" s="193"/>
    </row>
    <row r="613" spans="1:10" x14ac:dyDescent="0.3">
      <c r="A613" s="1" t="str">
        <f t="shared" si="9"/>
        <v>07  Arabinose 1mg_L Dopé</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93" t="s">
        <v>2813</v>
      </c>
      <c r="D613" s="193" t="s">
        <v>2814</v>
      </c>
      <c r="E613" s="193" t="s">
        <v>2815</v>
      </c>
      <c r="F613" s="193" t="s">
        <v>112</v>
      </c>
      <c r="G613" s="193">
        <v>2649143</v>
      </c>
      <c r="H613" s="193"/>
      <c r="I613" s="193"/>
      <c r="J613" s="193"/>
    </row>
    <row r="614" spans="1:10" x14ac:dyDescent="0.3">
      <c r="A614" s="1" t="str">
        <f t="shared" si="9"/>
        <v>07  Arabinose 1mg_L Dopé</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93" t="s">
        <v>2816</v>
      </c>
      <c r="D614" s="193" t="s">
        <v>2531</v>
      </c>
      <c r="E614" s="193" t="s">
        <v>2817</v>
      </c>
      <c r="F614" s="193" t="s">
        <v>112</v>
      </c>
      <c r="G614" s="193">
        <v>4507735</v>
      </c>
      <c r="H614" s="193"/>
      <c r="I614" s="193"/>
      <c r="J614" s="193"/>
    </row>
    <row r="615" spans="1:10" x14ac:dyDescent="0.3">
      <c r="A615" s="1" t="str">
        <f t="shared" si="9"/>
        <v>07  Arabinose 1mg_L Dopé</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93" t="s">
        <v>2818</v>
      </c>
      <c r="D615" s="193" t="s">
        <v>2819</v>
      </c>
      <c r="E615" s="193" t="s">
        <v>2820</v>
      </c>
      <c r="F615" s="193" t="s">
        <v>112</v>
      </c>
      <c r="G615" s="193">
        <v>3886935</v>
      </c>
      <c r="H615" s="193"/>
      <c r="I615" s="193"/>
      <c r="J615" s="193"/>
    </row>
    <row r="616" spans="1:10" x14ac:dyDescent="0.3">
      <c r="A616" s="1" t="str">
        <f t="shared" si="9"/>
        <v>07  Arabinose 1mg_L Dopé</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93" t="s">
        <v>2821</v>
      </c>
      <c r="D616" s="193" t="s">
        <v>1908</v>
      </c>
      <c r="E616" s="193" t="s">
        <v>2822</v>
      </c>
      <c r="F616" s="193" t="s">
        <v>112</v>
      </c>
      <c r="G616" s="193">
        <v>2765901</v>
      </c>
      <c r="H616" s="193"/>
      <c r="I616" s="193"/>
      <c r="J616" s="193"/>
    </row>
    <row r="617" spans="1:10" x14ac:dyDescent="0.3">
      <c r="A617" s="1" t="str">
        <f t="shared" si="9"/>
        <v>07  Arabinose 1mg_L Dopé</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93" t="s">
        <v>2823</v>
      </c>
      <c r="D617" s="193" t="s">
        <v>2824</v>
      </c>
      <c r="E617" s="193" t="s">
        <v>2825</v>
      </c>
      <c r="F617" s="193" t="s">
        <v>112</v>
      </c>
      <c r="G617" s="193">
        <v>641889</v>
      </c>
      <c r="H617" s="193"/>
      <c r="I617" s="193"/>
      <c r="J617" s="193"/>
    </row>
    <row r="618" spans="1:10" x14ac:dyDescent="0.3">
      <c r="A618" s="1" t="str">
        <f t="shared" si="9"/>
        <v>07  Arabinose 1mg_L Dopé</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93" t="s">
        <v>2826</v>
      </c>
      <c r="D618" s="193" t="s">
        <v>2827</v>
      </c>
      <c r="E618" s="193" t="s">
        <v>2828</v>
      </c>
      <c r="F618" s="193" t="s">
        <v>112</v>
      </c>
      <c r="G618" s="193">
        <v>508887</v>
      </c>
      <c r="H618" s="193"/>
      <c r="I618" s="193"/>
      <c r="J618" s="193"/>
    </row>
    <row r="619" spans="1:10" x14ac:dyDescent="0.3">
      <c r="A619" s="1" t="str">
        <f t="shared" si="9"/>
        <v>07  Arabinose 1mg_L Dopé</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93" t="s">
        <v>2829</v>
      </c>
      <c r="D619" s="193" t="s">
        <v>2086</v>
      </c>
      <c r="E619" s="193" t="s">
        <v>2830</v>
      </c>
      <c r="F619" s="193" t="s">
        <v>112</v>
      </c>
      <c r="G619" s="193">
        <v>726808</v>
      </c>
      <c r="H619" s="193"/>
      <c r="I619" s="193"/>
      <c r="J619" s="193"/>
    </row>
    <row r="620" spans="1:10" x14ac:dyDescent="0.3">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93" t="s">
        <v>112</v>
      </c>
      <c r="D620" s="193"/>
      <c r="E620" s="193"/>
      <c r="F620" s="193"/>
      <c r="G620" s="193"/>
      <c r="H620" s="193"/>
      <c r="I620" s="193"/>
      <c r="J620" s="193"/>
    </row>
    <row r="621" spans="1:10" x14ac:dyDescent="0.3">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93" t="s">
        <v>229</v>
      </c>
      <c r="D621" s="193" t="s">
        <v>112</v>
      </c>
      <c r="E621" s="193" t="s">
        <v>230</v>
      </c>
      <c r="F621" s="193" t="s">
        <v>231</v>
      </c>
      <c r="G621" s="193" t="s">
        <v>232</v>
      </c>
      <c r="H621" s="193" t="s">
        <v>233</v>
      </c>
      <c r="I621" s="193" t="s">
        <v>234</v>
      </c>
      <c r="J621" s="193" t="s">
        <v>235</v>
      </c>
    </row>
    <row r="622" spans="1:10" x14ac:dyDescent="0.3">
      <c r="A622" s="1" t="str">
        <f t="shared" si="9"/>
        <v>07  Arabinose 1mg_L Dopé</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93" t="s">
        <v>2831</v>
      </c>
      <c r="D622" s="193" t="s">
        <v>112</v>
      </c>
      <c r="E622" s="193" t="s">
        <v>2832</v>
      </c>
      <c r="F622" s="193" t="s">
        <v>2833</v>
      </c>
      <c r="G622" s="193" t="s">
        <v>2834</v>
      </c>
      <c r="H622" s="193" t="s">
        <v>2835</v>
      </c>
      <c r="I622" s="193">
        <v>24</v>
      </c>
      <c r="J622" s="193">
        <v>24</v>
      </c>
    </row>
    <row r="623" spans="1:10" x14ac:dyDescent="0.3">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93" t="s">
        <v>112</v>
      </c>
      <c r="D623" s="193"/>
      <c r="E623" s="193"/>
      <c r="F623" s="193"/>
      <c r="G623" s="193"/>
      <c r="H623" s="193"/>
      <c r="I623" s="193"/>
      <c r="J623" s="193"/>
    </row>
    <row r="624" spans="1:10" x14ac:dyDescent="0.3">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93" t="s">
        <v>112</v>
      </c>
      <c r="D624" s="193"/>
      <c r="E624" s="193"/>
      <c r="F624" s="193"/>
      <c r="G624" s="193"/>
      <c r="H624" s="193"/>
      <c r="I624" s="193"/>
      <c r="J624" s="193"/>
    </row>
    <row r="625" spans="1:7" x14ac:dyDescent="0.3">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93" t="s">
        <v>112</v>
      </c>
      <c r="D625" s="193"/>
      <c r="E625" s="193"/>
      <c r="F625" s="193"/>
      <c r="G625" s="193"/>
    </row>
    <row r="626" spans="1:7" x14ac:dyDescent="0.3">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93" t="s">
        <v>112</v>
      </c>
      <c r="D626" s="193"/>
      <c r="E626" s="193"/>
      <c r="F626" s="193"/>
      <c r="G626" s="193"/>
    </row>
    <row r="627" spans="1:7" x14ac:dyDescent="0.3">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93" t="s">
        <v>112</v>
      </c>
      <c r="D627" s="193"/>
      <c r="E627" s="193"/>
      <c r="F627" s="193"/>
      <c r="G627" s="193"/>
    </row>
    <row r="628" spans="1:7" x14ac:dyDescent="0.3">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93" t="s">
        <v>241</v>
      </c>
      <c r="D628" s="193" t="s">
        <v>110</v>
      </c>
      <c r="E628" s="193" t="s">
        <v>111</v>
      </c>
      <c r="F628" s="193" t="s">
        <v>112</v>
      </c>
      <c r="G628" s="193" t="s">
        <v>113</v>
      </c>
    </row>
    <row r="629" spans="1:7" x14ac:dyDescent="0.3">
      <c r="A629" s="1" t="str">
        <f t="shared" si="9"/>
        <v>08 Arabinose 10mg_L Dopé</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93" t="s">
        <v>2836</v>
      </c>
      <c r="D629" s="193" t="s">
        <v>2837</v>
      </c>
      <c r="E629" s="193" t="s">
        <v>2838</v>
      </c>
      <c r="F629" s="193" t="s">
        <v>112</v>
      </c>
      <c r="G629" s="193">
        <v>4114893</v>
      </c>
    </row>
    <row r="630" spans="1:7" x14ac:dyDescent="0.3">
      <c r="A630" s="1" t="str">
        <f t="shared" si="9"/>
        <v>08 Arabinose 10mg_L Dopé</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93" t="s">
        <v>2839</v>
      </c>
      <c r="D630" s="193" t="s">
        <v>2840</v>
      </c>
      <c r="E630" s="193" t="s">
        <v>2841</v>
      </c>
      <c r="F630" s="193" t="s">
        <v>112</v>
      </c>
      <c r="G630" s="193">
        <v>3925848</v>
      </c>
    </row>
    <row r="631" spans="1:7" x14ac:dyDescent="0.3">
      <c r="A631" s="1" t="str">
        <f t="shared" si="9"/>
        <v>08 Arabinose 10mg_L Dopé</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93" t="s">
        <v>2842</v>
      </c>
      <c r="D631" s="193" t="s">
        <v>2843</v>
      </c>
      <c r="E631" s="193" t="s">
        <v>2844</v>
      </c>
      <c r="F631" s="193" t="s">
        <v>112</v>
      </c>
      <c r="G631" s="193">
        <v>3824122</v>
      </c>
    </row>
    <row r="632" spans="1:7" x14ac:dyDescent="0.3">
      <c r="A632" s="1" t="str">
        <f t="shared" si="9"/>
        <v>08 Arabinose 10mg_L Dopé</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93" t="s">
        <v>2845</v>
      </c>
      <c r="D632" s="193" t="s">
        <v>2846</v>
      </c>
      <c r="E632" s="193" t="s">
        <v>2847</v>
      </c>
      <c r="F632" s="193" t="s">
        <v>112</v>
      </c>
      <c r="G632" s="193">
        <v>1609394</v>
      </c>
    </row>
    <row r="633" spans="1:7" x14ac:dyDescent="0.3">
      <c r="A633" s="1" t="str">
        <f t="shared" si="9"/>
        <v>08 Arabinose 10mg_L Dopé</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93" t="s">
        <v>2848</v>
      </c>
      <c r="D633" s="193" t="s">
        <v>2849</v>
      </c>
      <c r="E633" s="193" t="s">
        <v>2850</v>
      </c>
      <c r="F633" s="193" t="s">
        <v>112</v>
      </c>
      <c r="G633" s="193">
        <v>847438</v>
      </c>
    </row>
    <row r="634" spans="1:7" x14ac:dyDescent="0.3">
      <c r="A634" s="1" t="str">
        <f t="shared" si="9"/>
        <v>08 Arabinose 10mg_L Dopé</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93" t="s">
        <v>2851</v>
      </c>
      <c r="D634" s="193" t="s">
        <v>2852</v>
      </c>
      <c r="E634" s="193" t="s">
        <v>2853</v>
      </c>
      <c r="F634" s="193" t="s">
        <v>112</v>
      </c>
      <c r="G634" s="193">
        <v>1739671</v>
      </c>
    </row>
    <row r="635" spans="1:7" x14ac:dyDescent="0.3">
      <c r="A635" s="1" t="str">
        <f t="shared" si="9"/>
        <v>08 Arabinose 10mg_L Dopé</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93" t="s">
        <v>2854</v>
      </c>
      <c r="D635" s="193" t="s">
        <v>2855</v>
      </c>
      <c r="E635" s="193" t="s">
        <v>2856</v>
      </c>
      <c r="F635" s="193" t="s">
        <v>112</v>
      </c>
      <c r="G635" s="193">
        <v>274202</v>
      </c>
    </row>
    <row r="636" spans="1:7" x14ac:dyDescent="0.3">
      <c r="A636" s="1" t="str">
        <f t="shared" si="9"/>
        <v>08 Arabinose 10mg_L Dopé</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93" t="s">
        <v>2857</v>
      </c>
      <c r="D636" s="193" t="s">
        <v>1752</v>
      </c>
      <c r="E636" s="193" t="s">
        <v>2858</v>
      </c>
      <c r="F636" s="193" t="s">
        <v>112</v>
      </c>
      <c r="G636" s="193">
        <v>188959</v>
      </c>
    </row>
    <row r="637" spans="1:7" x14ac:dyDescent="0.3">
      <c r="A637" s="1" t="str">
        <f t="shared" si="9"/>
        <v>08 Arabinose 10mg_L Dopé</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93" t="s">
        <v>2859</v>
      </c>
      <c r="D637" s="193" t="s">
        <v>2860</v>
      </c>
      <c r="E637" s="193" t="s">
        <v>2861</v>
      </c>
      <c r="F637" s="193" t="s">
        <v>112</v>
      </c>
      <c r="G637" s="193">
        <v>205311</v>
      </c>
    </row>
    <row r="638" spans="1:7" x14ac:dyDescent="0.3">
      <c r="A638" s="1" t="str">
        <f t="shared" si="9"/>
        <v>08 Arabinose 10mg_L Dopé</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93" t="s">
        <v>2862</v>
      </c>
      <c r="D638" s="193" t="s">
        <v>2863</v>
      </c>
      <c r="E638" s="193" t="s">
        <v>2864</v>
      </c>
      <c r="F638" s="193" t="s">
        <v>112</v>
      </c>
      <c r="G638" s="193">
        <v>3072786</v>
      </c>
    </row>
    <row r="639" spans="1:7" x14ac:dyDescent="0.3">
      <c r="A639" s="1" t="str">
        <f t="shared" si="9"/>
        <v>08 Arabinose 10mg_L Dopé</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93" t="s">
        <v>2865</v>
      </c>
      <c r="D639" s="193" t="s">
        <v>2866</v>
      </c>
      <c r="E639" s="193" t="s">
        <v>2867</v>
      </c>
      <c r="F639" s="193" t="s">
        <v>112</v>
      </c>
      <c r="G639" s="193">
        <v>2565630</v>
      </c>
    </row>
    <row r="640" spans="1:7" x14ac:dyDescent="0.3">
      <c r="A640" s="1" t="str">
        <f t="shared" si="9"/>
        <v>08 Arabinose 10mg_L Dopé</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93" t="s">
        <v>2868</v>
      </c>
      <c r="D640" s="193" t="s">
        <v>2869</v>
      </c>
      <c r="E640" s="193" t="s">
        <v>2870</v>
      </c>
      <c r="F640" s="193" t="s">
        <v>112</v>
      </c>
      <c r="G640" s="193">
        <v>2841541</v>
      </c>
    </row>
    <row r="641" spans="1:10" x14ac:dyDescent="0.3">
      <c r="A641" s="1" t="str">
        <f t="shared" si="9"/>
        <v>08 Arabinose 10mg_L Dopé</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93" t="s">
        <v>2871</v>
      </c>
      <c r="D641" s="193" t="s">
        <v>2872</v>
      </c>
      <c r="E641" s="193" t="s">
        <v>2873</v>
      </c>
      <c r="F641" s="193" t="s">
        <v>112</v>
      </c>
      <c r="G641" s="193">
        <v>2868232</v>
      </c>
      <c r="H641" s="193"/>
      <c r="I641" s="193"/>
      <c r="J641" s="193"/>
    </row>
    <row r="642" spans="1:10" x14ac:dyDescent="0.3">
      <c r="A642" s="1" t="str">
        <f t="shared" ref="A642:A705" si="10">IFERROR(LEFT(RIGHT(C642,LEN(C642)-SEARCH("@",C642)),SEARCH("/",RIGHT(C642,LEN(C642)-SEARCH("@",C642)-1))),"")</f>
        <v>08 Arabinose 10mg_L Dopé</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93" t="s">
        <v>2874</v>
      </c>
      <c r="D642" s="193" t="s">
        <v>2869</v>
      </c>
      <c r="E642" s="193" t="s">
        <v>2875</v>
      </c>
      <c r="F642" s="193" t="s">
        <v>112</v>
      </c>
      <c r="G642" s="193">
        <v>2922415</v>
      </c>
      <c r="H642" s="193"/>
      <c r="I642" s="193"/>
      <c r="J642" s="193"/>
    </row>
    <row r="643" spans="1:10" x14ac:dyDescent="0.3">
      <c r="A643" s="1" t="str">
        <f t="shared" si="10"/>
        <v>08 Arabinose 10mg_L Dopé</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93" t="s">
        <v>2876</v>
      </c>
      <c r="D643" s="193" t="s">
        <v>2877</v>
      </c>
      <c r="E643" s="193" t="s">
        <v>2878</v>
      </c>
      <c r="F643" s="193" t="s">
        <v>112</v>
      </c>
      <c r="G643" s="193">
        <v>2611507</v>
      </c>
      <c r="H643" s="193"/>
      <c r="I643" s="193"/>
      <c r="J643" s="193"/>
    </row>
    <row r="644" spans="1:10" x14ac:dyDescent="0.3">
      <c r="A644" s="1" t="str">
        <f t="shared" si="10"/>
        <v>08 Arabinose 10mg_L Dopé</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93" t="s">
        <v>2879</v>
      </c>
      <c r="D644" s="193" t="s">
        <v>2880</v>
      </c>
      <c r="E644" s="193" t="s">
        <v>2881</v>
      </c>
      <c r="F644" s="193" t="s">
        <v>112</v>
      </c>
      <c r="G644" s="193">
        <v>3136270</v>
      </c>
      <c r="H644" s="193"/>
      <c r="I644" s="193"/>
      <c r="J644" s="193"/>
    </row>
    <row r="645" spans="1:10" x14ac:dyDescent="0.3">
      <c r="A645" s="1" t="str">
        <f t="shared" si="10"/>
        <v>08 Arabinose 10mg_L Dopé</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93" t="s">
        <v>2882</v>
      </c>
      <c r="D645" s="193" t="s">
        <v>2883</v>
      </c>
      <c r="E645" s="193" t="s">
        <v>2884</v>
      </c>
      <c r="F645" s="193" t="s">
        <v>112</v>
      </c>
      <c r="G645" s="193">
        <v>2832154</v>
      </c>
      <c r="H645" s="193"/>
      <c r="I645" s="193"/>
      <c r="J645" s="193"/>
    </row>
    <row r="646" spans="1:10" x14ac:dyDescent="0.3">
      <c r="A646" s="1" t="str">
        <f t="shared" si="10"/>
        <v>08 Arabinose 10mg_L Dopé</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93" t="s">
        <v>2885</v>
      </c>
      <c r="D646" s="193" t="s">
        <v>2886</v>
      </c>
      <c r="E646" s="193" t="s">
        <v>2887</v>
      </c>
      <c r="F646" s="193" t="s">
        <v>112</v>
      </c>
      <c r="G646" s="193">
        <v>2808620</v>
      </c>
      <c r="H646" s="193"/>
      <c r="I646" s="193"/>
      <c r="J646" s="193"/>
    </row>
    <row r="647" spans="1:10" x14ac:dyDescent="0.3">
      <c r="A647" s="1" t="str">
        <f t="shared" si="10"/>
        <v>08 Arabinose 10mg_L Dopé</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93" t="s">
        <v>2888</v>
      </c>
      <c r="D647" s="193" t="s">
        <v>2889</v>
      </c>
      <c r="E647" s="193" t="s">
        <v>2890</v>
      </c>
      <c r="F647" s="193" t="s">
        <v>112</v>
      </c>
      <c r="G647" s="193">
        <v>3079535</v>
      </c>
      <c r="H647" s="193"/>
      <c r="I647" s="193"/>
      <c r="J647" s="193"/>
    </row>
    <row r="648" spans="1:10" x14ac:dyDescent="0.3">
      <c r="A648" s="1" t="str">
        <f t="shared" si="10"/>
        <v>08 Arabinose 10mg_L Dopé</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93" t="s">
        <v>2891</v>
      </c>
      <c r="D648" s="193" t="s">
        <v>2892</v>
      </c>
      <c r="E648" s="193" t="s">
        <v>2893</v>
      </c>
      <c r="F648" s="193" t="s">
        <v>112</v>
      </c>
      <c r="G648" s="193">
        <v>2450170</v>
      </c>
      <c r="H648" s="193"/>
      <c r="I648" s="193"/>
      <c r="J648" s="193"/>
    </row>
    <row r="649" spans="1:10" x14ac:dyDescent="0.3">
      <c r="A649" s="1" t="str">
        <f t="shared" si="10"/>
        <v>08 Arabinose 10mg_L Dopé</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93" t="s">
        <v>2894</v>
      </c>
      <c r="D649" s="193" t="s">
        <v>2895</v>
      </c>
      <c r="E649" s="193" t="s">
        <v>2896</v>
      </c>
      <c r="F649" s="193" t="s">
        <v>112</v>
      </c>
      <c r="G649" s="193">
        <v>2552392</v>
      </c>
      <c r="H649" s="193"/>
      <c r="I649" s="193"/>
      <c r="J649" s="193"/>
    </row>
    <row r="650" spans="1:10" x14ac:dyDescent="0.3">
      <c r="A650" s="1" t="str">
        <f t="shared" si="10"/>
        <v>08 Arabinose 10mg_L Dopé</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93" t="s">
        <v>2897</v>
      </c>
      <c r="D650" s="193" t="s">
        <v>2898</v>
      </c>
      <c r="E650" s="193" t="s">
        <v>2899</v>
      </c>
      <c r="F650" s="193" t="s">
        <v>112</v>
      </c>
      <c r="G650" s="193">
        <v>2443962</v>
      </c>
      <c r="H650" s="193"/>
      <c r="I650" s="193"/>
      <c r="J650" s="193"/>
    </row>
    <row r="651" spans="1:10" x14ac:dyDescent="0.3">
      <c r="A651" s="1" t="str">
        <f t="shared" si="10"/>
        <v>08 Arabinose 10mg_L Dopé</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93" t="s">
        <v>2900</v>
      </c>
      <c r="D651" s="193" t="s">
        <v>2901</v>
      </c>
      <c r="E651" s="193" t="s">
        <v>2902</v>
      </c>
      <c r="F651" s="193" t="s">
        <v>112</v>
      </c>
      <c r="G651" s="193">
        <v>1914484</v>
      </c>
      <c r="H651" s="193"/>
      <c r="I651" s="193"/>
      <c r="J651" s="193"/>
    </row>
    <row r="652" spans="1:10" x14ac:dyDescent="0.3">
      <c r="A652" s="1" t="str">
        <f t="shared" si="10"/>
        <v>08 Arabinose 10mg_L Dopé</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93" t="s">
        <v>2903</v>
      </c>
      <c r="D652" s="193" t="s">
        <v>2904</v>
      </c>
      <c r="E652" s="193" t="s">
        <v>2905</v>
      </c>
      <c r="F652" s="193" t="s">
        <v>112</v>
      </c>
      <c r="G652" s="193">
        <v>2169522</v>
      </c>
      <c r="H652" s="193"/>
      <c r="I652" s="193"/>
      <c r="J652" s="193"/>
    </row>
    <row r="653" spans="1:10" x14ac:dyDescent="0.3">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93" t="s">
        <v>112</v>
      </c>
      <c r="D653" s="193"/>
      <c r="E653" s="193"/>
      <c r="F653" s="193"/>
      <c r="G653" s="193"/>
      <c r="H653" s="193"/>
      <c r="I653" s="193"/>
      <c r="J653" s="193"/>
    </row>
    <row r="654" spans="1:10" x14ac:dyDescent="0.3">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93" t="s">
        <v>229</v>
      </c>
      <c r="D654" s="193" t="s">
        <v>112</v>
      </c>
      <c r="E654" s="193" t="s">
        <v>230</v>
      </c>
      <c r="F654" s="193" t="s">
        <v>231</v>
      </c>
      <c r="G654" s="193" t="s">
        <v>232</v>
      </c>
      <c r="H654" s="193" t="s">
        <v>233</v>
      </c>
      <c r="I654" s="193" t="s">
        <v>234</v>
      </c>
      <c r="J654" s="193" t="s">
        <v>235</v>
      </c>
    </row>
    <row r="655" spans="1:10" x14ac:dyDescent="0.3">
      <c r="A655" s="1" t="str">
        <f t="shared" si="10"/>
        <v>08 Arabinose 10mg_L Dopé</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93" t="s">
        <v>2906</v>
      </c>
      <c r="D655" s="193" t="s">
        <v>112</v>
      </c>
      <c r="E655" s="193" t="s">
        <v>2907</v>
      </c>
      <c r="F655" s="193" t="s">
        <v>2908</v>
      </c>
      <c r="G655" s="193" t="s">
        <v>2909</v>
      </c>
      <c r="H655" s="193" t="s">
        <v>2910</v>
      </c>
      <c r="I655" s="193">
        <v>24</v>
      </c>
      <c r="J655" s="193">
        <v>24</v>
      </c>
    </row>
    <row r="656" spans="1:10" x14ac:dyDescent="0.3">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93" t="s">
        <v>112</v>
      </c>
      <c r="D656" s="193"/>
      <c r="E656" s="193"/>
      <c r="F656" s="193"/>
      <c r="G656" s="193"/>
      <c r="H656" s="193"/>
      <c r="I656" s="193"/>
      <c r="J656" s="193"/>
    </row>
    <row r="657" spans="1:7" x14ac:dyDescent="0.3">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93" t="s">
        <v>112</v>
      </c>
      <c r="D657" s="193"/>
      <c r="E657" s="193"/>
      <c r="F657" s="193"/>
      <c r="G657" s="193"/>
    </row>
    <row r="658" spans="1:7" x14ac:dyDescent="0.3">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93" t="s">
        <v>112</v>
      </c>
      <c r="D658" s="193"/>
      <c r="E658" s="193"/>
      <c r="F658" s="193"/>
      <c r="G658" s="193"/>
    </row>
    <row r="659" spans="1:7" x14ac:dyDescent="0.3">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93" t="s">
        <v>112</v>
      </c>
      <c r="D659" s="193"/>
      <c r="E659" s="193"/>
      <c r="F659" s="193"/>
      <c r="G659" s="193"/>
    </row>
    <row r="660" spans="1:7" x14ac:dyDescent="0.3">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93" t="s">
        <v>112</v>
      </c>
      <c r="D660" s="193"/>
      <c r="E660" s="193"/>
      <c r="F660" s="193"/>
      <c r="G660" s="193"/>
    </row>
    <row r="661" spans="1:7" x14ac:dyDescent="0.3">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93" t="s">
        <v>241</v>
      </c>
      <c r="D661" s="193" t="s">
        <v>110</v>
      </c>
      <c r="E661" s="193" t="s">
        <v>111</v>
      </c>
      <c r="F661" s="193" t="s">
        <v>112</v>
      </c>
      <c r="G661" s="193" t="s">
        <v>113</v>
      </c>
    </row>
    <row r="662" spans="1:7" x14ac:dyDescent="0.3">
      <c r="A662" s="1" t="str">
        <f t="shared" si="10"/>
        <v>09 Arabinose 100 mg_L Dopé</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93" t="s">
        <v>2911</v>
      </c>
      <c r="D662" s="193" t="s">
        <v>2912</v>
      </c>
      <c r="E662" s="193" t="s">
        <v>2913</v>
      </c>
      <c r="F662" s="193" t="s">
        <v>112</v>
      </c>
      <c r="G662" s="193">
        <v>3169688</v>
      </c>
    </row>
    <row r="663" spans="1:7" x14ac:dyDescent="0.3">
      <c r="A663" s="1" t="str">
        <f t="shared" si="10"/>
        <v>09 Arabinose 100 mg_L Dopé</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93" t="s">
        <v>2914</v>
      </c>
      <c r="D663" s="193" t="s">
        <v>2915</v>
      </c>
      <c r="E663" s="193" t="s">
        <v>2916</v>
      </c>
      <c r="F663" s="193" t="s">
        <v>112</v>
      </c>
      <c r="G663" s="193">
        <v>2535240</v>
      </c>
    </row>
    <row r="664" spans="1:7" x14ac:dyDescent="0.3">
      <c r="A664" s="1" t="str">
        <f t="shared" si="10"/>
        <v>09 Arabinose 100 mg_L Dopé</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93" t="s">
        <v>2917</v>
      </c>
      <c r="D664" s="193" t="s">
        <v>2918</v>
      </c>
      <c r="E664" s="193" t="s">
        <v>2919</v>
      </c>
      <c r="F664" s="193" t="s">
        <v>112</v>
      </c>
      <c r="G664" s="193">
        <v>2959748</v>
      </c>
    </row>
    <row r="665" spans="1:7" x14ac:dyDescent="0.3">
      <c r="A665" s="1" t="str">
        <f t="shared" si="10"/>
        <v>09 Arabinose 100 mg_L Dopé</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93" t="s">
        <v>2920</v>
      </c>
      <c r="D665" s="193" t="s">
        <v>2921</v>
      </c>
      <c r="E665" s="193" t="s">
        <v>2922</v>
      </c>
      <c r="F665" s="193" t="s">
        <v>112</v>
      </c>
      <c r="G665" s="193">
        <v>2482831</v>
      </c>
    </row>
    <row r="666" spans="1:7" x14ac:dyDescent="0.3">
      <c r="A666" s="1" t="str">
        <f t="shared" si="10"/>
        <v>09 Arabinose 100 mg_L Dopé</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93" t="s">
        <v>2923</v>
      </c>
      <c r="D666" s="193" t="s">
        <v>2924</v>
      </c>
      <c r="E666" s="193" t="s">
        <v>2925</v>
      </c>
      <c r="F666" s="193" t="s">
        <v>112</v>
      </c>
      <c r="G666" s="193">
        <v>2544930</v>
      </c>
    </row>
    <row r="667" spans="1:7" x14ac:dyDescent="0.3">
      <c r="A667" s="1" t="str">
        <f t="shared" si="10"/>
        <v>09 Arabinose 100 mg_L Dopé</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93" t="s">
        <v>2926</v>
      </c>
      <c r="D667" s="193" t="s">
        <v>2927</v>
      </c>
      <c r="E667" s="193" t="s">
        <v>2928</v>
      </c>
      <c r="F667" s="193" t="s">
        <v>112</v>
      </c>
      <c r="G667" s="193">
        <v>2267137</v>
      </c>
    </row>
    <row r="668" spans="1:7" x14ac:dyDescent="0.3">
      <c r="A668" s="1" t="str">
        <f t="shared" si="10"/>
        <v>09 Arabinose 100 mg_L Dopé</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93" t="s">
        <v>2929</v>
      </c>
      <c r="D668" s="193" t="s">
        <v>2930</v>
      </c>
      <c r="E668" s="193" t="s">
        <v>2931</v>
      </c>
      <c r="F668" s="193" t="s">
        <v>112</v>
      </c>
      <c r="G668" s="193">
        <v>3449557</v>
      </c>
    </row>
    <row r="669" spans="1:7" x14ac:dyDescent="0.3">
      <c r="A669" s="1" t="str">
        <f t="shared" si="10"/>
        <v>09 Arabinose 100 mg_L Dopé</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93" t="s">
        <v>2932</v>
      </c>
      <c r="D669" s="193" t="s">
        <v>2933</v>
      </c>
      <c r="E669" s="193" t="s">
        <v>2934</v>
      </c>
      <c r="F669" s="193" t="s">
        <v>112</v>
      </c>
      <c r="G669" s="193">
        <v>3342446</v>
      </c>
    </row>
    <row r="670" spans="1:7" x14ac:dyDescent="0.3">
      <c r="A670" s="1" t="str">
        <f t="shared" si="10"/>
        <v>09 Arabinose 100 mg_L Dopé</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93" t="s">
        <v>2935</v>
      </c>
      <c r="D670" s="193" t="s">
        <v>2936</v>
      </c>
      <c r="E670" s="193" t="s">
        <v>2937</v>
      </c>
      <c r="F670" s="193" t="s">
        <v>112</v>
      </c>
      <c r="G670" s="193">
        <v>2781929</v>
      </c>
    </row>
    <row r="671" spans="1:7" x14ac:dyDescent="0.3">
      <c r="A671" s="1" t="str">
        <f t="shared" si="10"/>
        <v>09 Arabinose 100 mg_L Dopé</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93" t="s">
        <v>2938</v>
      </c>
      <c r="D671" s="193" t="s">
        <v>2939</v>
      </c>
      <c r="E671" s="193" t="s">
        <v>2940</v>
      </c>
      <c r="F671" s="193" t="s">
        <v>112</v>
      </c>
      <c r="G671" s="193">
        <v>1703030</v>
      </c>
    </row>
    <row r="672" spans="1:7" x14ac:dyDescent="0.3">
      <c r="A672" s="1" t="str">
        <f t="shared" si="10"/>
        <v>09 Arabinose 100 mg_L Dopé</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93" t="s">
        <v>2941</v>
      </c>
      <c r="D672" s="193" t="s">
        <v>2942</v>
      </c>
      <c r="E672" s="193" t="s">
        <v>2943</v>
      </c>
      <c r="F672" s="193" t="s">
        <v>112</v>
      </c>
      <c r="G672" s="193">
        <v>1287693</v>
      </c>
    </row>
    <row r="673" spans="1:10" x14ac:dyDescent="0.3">
      <c r="A673" s="1" t="str">
        <f t="shared" si="10"/>
        <v>09 Arabinose 100 mg_L Dopé</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93" t="s">
        <v>2944</v>
      </c>
      <c r="D673" s="193" t="s">
        <v>2945</v>
      </c>
      <c r="E673" s="193" t="s">
        <v>2946</v>
      </c>
      <c r="F673" s="193" t="s">
        <v>112</v>
      </c>
      <c r="G673" s="193">
        <v>1499968</v>
      </c>
      <c r="H673" s="193"/>
      <c r="I673" s="193"/>
      <c r="J673" s="193"/>
    </row>
    <row r="674" spans="1:10" x14ac:dyDescent="0.3">
      <c r="A674" s="1" t="str">
        <f t="shared" si="10"/>
        <v>09 Arabinose 100 mg_L Dopé</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93" t="s">
        <v>2947</v>
      </c>
      <c r="D674" s="193" t="s">
        <v>2083</v>
      </c>
      <c r="E674" s="193" t="s">
        <v>2948</v>
      </c>
      <c r="F674" s="193" t="s">
        <v>112</v>
      </c>
      <c r="G674" s="193">
        <v>509060</v>
      </c>
      <c r="H674" s="193"/>
      <c r="I674" s="193"/>
      <c r="J674" s="193"/>
    </row>
    <row r="675" spans="1:10" x14ac:dyDescent="0.3">
      <c r="A675" s="1" t="str">
        <f t="shared" si="10"/>
        <v>09 Arabinose 100 mg_L Dopé</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93" t="s">
        <v>2949</v>
      </c>
      <c r="D675" s="193" t="s">
        <v>2950</v>
      </c>
      <c r="E675" s="193" t="s">
        <v>2951</v>
      </c>
      <c r="F675" s="193" t="s">
        <v>112</v>
      </c>
      <c r="G675" s="193">
        <v>718870</v>
      </c>
      <c r="H675" s="193"/>
      <c r="I675" s="193"/>
      <c r="J675" s="193"/>
    </row>
    <row r="676" spans="1:10" x14ac:dyDescent="0.3">
      <c r="A676" s="1" t="str">
        <f t="shared" si="10"/>
        <v>09 Arabinose 100 mg_L Dopé</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93" t="s">
        <v>2952</v>
      </c>
      <c r="D676" s="193"/>
      <c r="E676" s="193"/>
      <c r="F676" s="193"/>
      <c r="G676" s="193"/>
      <c r="H676" s="193"/>
      <c r="I676" s="193"/>
      <c r="J676" s="193"/>
    </row>
    <row r="677" spans="1:10" x14ac:dyDescent="0.3">
      <c r="A677" s="1" t="str">
        <f t="shared" si="10"/>
        <v>09 Arabinose 100 mg_L Dopé</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93" t="s">
        <v>2953</v>
      </c>
      <c r="D677" s="193" t="s">
        <v>2954</v>
      </c>
      <c r="E677" s="193" t="s">
        <v>2955</v>
      </c>
      <c r="F677" s="193" t="s">
        <v>112</v>
      </c>
      <c r="G677" s="193">
        <v>2257750</v>
      </c>
      <c r="H677" s="193"/>
      <c r="I677" s="193"/>
      <c r="J677" s="193"/>
    </row>
    <row r="678" spans="1:10" x14ac:dyDescent="0.3">
      <c r="A678" s="1" t="str">
        <f t="shared" si="10"/>
        <v>09 Arabinose 100 mg_L Dopé</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93" t="s">
        <v>2956</v>
      </c>
      <c r="D678" s="193" t="s">
        <v>2957</v>
      </c>
      <c r="E678" s="193" t="s">
        <v>2958</v>
      </c>
      <c r="F678" s="193" t="s">
        <v>112</v>
      </c>
      <c r="G678" s="193">
        <v>2056743</v>
      </c>
      <c r="H678" s="193"/>
      <c r="I678" s="193"/>
      <c r="J678" s="193"/>
    </row>
    <row r="679" spans="1:10" x14ac:dyDescent="0.3">
      <c r="A679" s="1" t="str">
        <f t="shared" si="10"/>
        <v>09 Arabinose 100 mg_L Dopé</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93" t="s">
        <v>2959</v>
      </c>
      <c r="D679" s="193" t="s">
        <v>2499</v>
      </c>
      <c r="E679" s="193" t="s">
        <v>2960</v>
      </c>
      <c r="F679" s="193" t="s">
        <v>112</v>
      </c>
      <c r="G679" s="193">
        <v>1797098</v>
      </c>
      <c r="H679" s="193"/>
      <c r="I679" s="193"/>
      <c r="J679" s="193"/>
    </row>
    <row r="680" spans="1:10" x14ac:dyDescent="0.3">
      <c r="A680" s="1" t="str">
        <f t="shared" si="10"/>
        <v>09 Arabinose 100 mg_L Dopé</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93" t="s">
        <v>2961</v>
      </c>
      <c r="D680" s="193" t="s">
        <v>2962</v>
      </c>
      <c r="E680" s="193" t="s">
        <v>2963</v>
      </c>
      <c r="F680" s="193" t="s">
        <v>112</v>
      </c>
      <c r="G680" s="193">
        <v>3163004</v>
      </c>
      <c r="H680" s="193"/>
      <c r="I680" s="193"/>
      <c r="J680" s="193"/>
    </row>
    <row r="681" spans="1:10" x14ac:dyDescent="0.3">
      <c r="A681" s="1" t="str">
        <f t="shared" si="10"/>
        <v>09 Arabinose 100 mg_L Dopé</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93" t="s">
        <v>2964</v>
      </c>
      <c r="D681" s="193" t="s">
        <v>2965</v>
      </c>
      <c r="E681" s="193" t="s">
        <v>2966</v>
      </c>
      <c r="F681" s="193" t="s">
        <v>112</v>
      </c>
      <c r="G681" s="193">
        <v>2320282</v>
      </c>
      <c r="H681" s="193"/>
      <c r="I681" s="193"/>
      <c r="J681" s="193"/>
    </row>
    <row r="682" spans="1:10" x14ac:dyDescent="0.3">
      <c r="A682" s="1" t="str">
        <f t="shared" si="10"/>
        <v>09 Arabinose 100 mg_L Dopé</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93" t="s">
        <v>2967</v>
      </c>
      <c r="D682" s="193" t="s">
        <v>2968</v>
      </c>
      <c r="E682" s="193" t="s">
        <v>2969</v>
      </c>
      <c r="F682" s="193" t="s">
        <v>112</v>
      </c>
      <c r="G682" s="193">
        <v>2715071</v>
      </c>
      <c r="H682" s="193"/>
      <c r="I682" s="193"/>
      <c r="J682" s="193"/>
    </row>
    <row r="683" spans="1:10" x14ac:dyDescent="0.3">
      <c r="A683" s="1" t="str">
        <f t="shared" si="10"/>
        <v>09 Arabinose 100 mg_L Dopé</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93" t="s">
        <v>2970</v>
      </c>
      <c r="D683" s="193" t="s">
        <v>2924</v>
      </c>
      <c r="E683" s="193" t="s">
        <v>2971</v>
      </c>
      <c r="F683" s="193" t="s">
        <v>112</v>
      </c>
      <c r="G683" s="193">
        <v>2437559</v>
      </c>
      <c r="H683" s="193"/>
      <c r="I683" s="193"/>
      <c r="J683" s="193"/>
    </row>
    <row r="684" spans="1:10" x14ac:dyDescent="0.3">
      <c r="A684" s="1" t="str">
        <f t="shared" si="10"/>
        <v>09 Arabinose 100 mg_L Dopé</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93" t="s">
        <v>2972</v>
      </c>
      <c r="D684" s="193" t="s">
        <v>2973</v>
      </c>
      <c r="E684" s="193" t="s">
        <v>2974</v>
      </c>
      <c r="F684" s="193" t="s">
        <v>112</v>
      </c>
      <c r="G684" s="193">
        <v>2119297</v>
      </c>
      <c r="H684" s="193"/>
      <c r="I684" s="193"/>
      <c r="J684" s="193"/>
    </row>
    <row r="685" spans="1:10" x14ac:dyDescent="0.3">
      <c r="A685" s="1" t="str">
        <f t="shared" si="10"/>
        <v>09 Arabinose 100 mg_L Dopé</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93" t="s">
        <v>2975</v>
      </c>
      <c r="D685" s="193" t="s">
        <v>2976</v>
      </c>
      <c r="E685" s="193" t="s">
        <v>2977</v>
      </c>
      <c r="F685" s="193" t="s">
        <v>112</v>
      </c>
      <c r="G685" s="193">
        <v>2214555</v>
      </c>
      <c r="H685" s="193"/>
      <c r="I685" s="193"/>
      <c r="J685" s="193"/>
    </row>
    <row r="686" spans="1:10" x14ac:dyDescent="0.3">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93" t="s">
        <v>112</v>
      </c>
      <c r="D686" s="193"/>
      <c r="E686" s="193"/>
      <c r="F686" s="193"/>
      <c r="G686" s="193"/>
      <c r="H686" s="193"/>
      <c r="I686" s="193"/>
      <c r="J686" s="193"/>
    </row>
    <row r="687" spans="1:10" x14ac:dyDescent="0.3">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93" t="s">
        <v>229</v>
      </c>
      <c r="D687" s="193" t="s">
        <v>112</v>
      </c>
      <c r="E687" s="193" t="s">
        <v>230</v>
      </c>
      <c r="F687" s="193" t="s">
        <v>231</v>
      </c>
      <c r="G687" s="193" t="s">
        <v>232</v>
      </c>
      <c r="H687" s="193" t="s">
        <v>233</v>
      </c>
      <c r="I687" s="193" t="s">
        <v>234</v>
      </c>
      <c r="J687" s="193" t="s">
        <v>235</v>
      </c>
    </row>
    <row r="688" spans="1:10" x14ac:dyDescent="0.3">
      <c r="A688" s="1" t="str">
        <f t="shared" si="10"/>
        <v>09 Arabinose 100 mg_L Dopé</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93" t="s">
        <v>2978</v>
      </c>
      <c r="D688" s="193" t="s">
        <v>112</v>
      </c>
      <c r="E688" s="193" t="s">
        <v>2979</v>
      </c>
      <c r="F688" s="193" t="s">
        <v>2980</v>
      </c>
      <c r="G688" s="193" t="s">
        <v>2981</v>
      </c>
      <c r="H688" s="193" t="s">
        <v>2982</v>
      </c>
      <c r="I688" s="193">
        <v>24</v>
      </c>
      <c r="J688" s="193">
        <v>24</v>
      </c>
    </row>
    <row r="689" spans="1:3" x14ac:dyDescent="0.3">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93" t="s">
        <v>112</v>
      </c>
    </row>
    <row r="690" spans="1:3" x14ac:dyDescent="0.3">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93" t="s">
        <v>112</v>
      </c>
    </row>
    <row r="691" spans="1:3" x14ac:dyDescent="0.3">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93"/>
    </row>
    <row r="692" spans="1:3" x14ac:dyDescent="0.3">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93"/>
    </row>
    <row r="693" spans="1:3" x14ac:dyDescent="0.3">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93"/>
    </row>
    <row r="694" spans="1:3" x14ac:dyDescent="0.3">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93"/>
    </row>
    <row r="695" spans="1:3" x14ac:dyDescent="0.3">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5" s="193"/>
    </row>
    <row r="696" spans="1:3" x14ac:dyDescent="0.3">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6" s="193"/>
    </row>
    <row r="697" spans="1:3" x14ac:dyDescent="0.3">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7" s="193"/>
    </row>
    <row r="698" spans="1:3" x14ac:dyDescent="0.3">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8" s="193"/>
    </row>
    <row r="699" spans="1:3" x14ac:dyDescent="0.3">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9" s="193"/>
    </row>
    <row r="700" spans="1:3" x14ac:dyDescent="0.3">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00" s="193"/>
    </row>
    <row r="701" spans="1:3" x14ac:dyDescent="0.3">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01" s="193"/>
    </row>
    <row r="702" spans="1:3" x14ac:dyDescent="0.3">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02" s="193"/>
    </row>
    <row r="703" spans="1:3" x14ac:dyDescent="0.3">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03" s="193"/>
    </row>
    <row r="704" spans="1:3" x14ac:dyDescent="0.3">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704" s="193"/>
    </row>
    <row r="705" spans="1:2" x14ac:dyDescent="0.3">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3">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3">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3">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3">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3">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3">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3">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3">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3">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3">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3">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3">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3">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3">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3">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3">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3">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3">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3">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3">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3">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3">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3">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3">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3">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3">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3">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3">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3">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3">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3">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3">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3">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3">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3">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3">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3">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3">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3">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3">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3">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3">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3">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3">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3">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3">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3">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3">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3">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3">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3">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3">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3">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3">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3">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3">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3">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3">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3">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3">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3">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3">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3">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3">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3">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3">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3">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3">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3">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3">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3">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3">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3">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3">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3">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3">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3">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3">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3">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3">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3">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3">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3">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3">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3">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3">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3">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3">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3">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3">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3">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3">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3">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3">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3">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3">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3">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3">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3">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3">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3">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3">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3">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3">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3">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3">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3">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3">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3">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3">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3">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3">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3">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3">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3">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3">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3">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3">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3">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3">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3">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3">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3">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3">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3">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3">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3">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3">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3">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3">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3">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3">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3">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3">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3">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3">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3">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3">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3">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3">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3">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3">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3">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3">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3">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3">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3">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3">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3">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3">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3">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3">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3">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3">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3">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3">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3">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3">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3">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3">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3">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3">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3">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3">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3">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3">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3">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3">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3">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3">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3">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3">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3">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3">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3">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3">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3">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3">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3">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3">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3">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3">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3">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3">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3">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3">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3">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3">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3">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3">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3">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3">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3">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3">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3">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3">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3">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3">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3">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3">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3">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3">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3">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3">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3">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3">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3">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3">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3">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3">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3">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3">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3">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3">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3">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3">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3">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3">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3">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3">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3">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3">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3">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3">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3">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3">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3">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3">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3">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3">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3">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3">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3">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3">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3">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3">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3">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3">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3">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3">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3">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3">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3">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3">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3">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3">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3">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3">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3">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3">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3">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3">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3">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3">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3">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3">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3">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3">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3">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3">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3">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3">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3">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3">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3">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3">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3">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3">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3">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3">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3">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3">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3">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3">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3">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3">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3">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3">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3">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3">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3">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3">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3">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3">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3">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3">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3">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3">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3">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3">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3">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3">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3">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3">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3">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3">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3">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3">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3">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3">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3">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3">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3">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3">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3">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3">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3">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3">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3">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3">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3">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3">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3">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3">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3">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3">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3">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3">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3">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3">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3">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3">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3">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3">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3">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3">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3">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3">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3">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3">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3">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3">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3">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3">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3">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3">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3">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3">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3">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3">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3">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3">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3">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3">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3">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3">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3">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3">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3">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3">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3">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3">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3">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3">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3">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3">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3">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3">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3">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3">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3">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3">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3">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3">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3">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3">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3">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3">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3">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3">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3">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3">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3">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3">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3">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3">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3">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3">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3">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3">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3">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3">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3">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3">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3">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3">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3">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3">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3">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3">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3">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3">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3">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3">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3">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3">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3">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3">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3">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3">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3">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3">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3">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3">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3">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3">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3">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3">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3">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3">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3">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3">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3">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3">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3">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3">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3">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3">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3">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3">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3">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3">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3">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3">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3">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3">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3">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3">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3">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3">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3">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3">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3">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3">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3">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3">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3">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3">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3">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3">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3">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3">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3">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3">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3">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3">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3">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3">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3">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3">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3">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3">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3">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3">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3">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3">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3">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3">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3">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3">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3">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3">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3">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3">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3">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3">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3">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3">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3">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3">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3">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3">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3">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3">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3">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3">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3">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3">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3">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3">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3">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3">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3">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3">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3">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3">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3">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3">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3">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3">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3">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3">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3">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3">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3">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3">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3">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3">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3">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3">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3">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3">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3">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3">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3">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3">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3">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3">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3">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3">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3">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3">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3">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3">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3">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3">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3">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3">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3">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3">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3">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3">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3">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3">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3">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3">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3">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3">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3">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3">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3">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3">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3">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3">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3">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3">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3">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3">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3">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3">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3">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3">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3">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3">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3">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3">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3">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3">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3">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3">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3">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3">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3">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3">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3">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3">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3">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3">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3">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3">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3">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3">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3">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3">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3">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3">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3">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3">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3">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3">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3">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3">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3">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3">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3">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3">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3">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3">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3">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3">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3">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3">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3">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3">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3">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3">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3">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3">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3">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3">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3">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3">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3">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3">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3">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3">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3">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3">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3">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3">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3">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3">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3">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3">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3">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3">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3">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3">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3">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3">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3">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3">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3">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3">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3">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3">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3">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3">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3">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3">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3">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3">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3">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3">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3">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3">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3">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3">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3">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3">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3">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3">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3">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3">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3">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3">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3">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3">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3">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3">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3">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3">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3">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3">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3">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3">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3">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3">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3">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3">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3">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3">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3">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3">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3">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3">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3">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3">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3">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3">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3">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3">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3">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3">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3">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3">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3">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3">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3">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3">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3">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3">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3">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3">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3">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3">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3">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3">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3">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3">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3">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3">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3">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3">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3">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3">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3">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3">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3">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3">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3">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3">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3">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3">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3">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3">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3">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3">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3">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3">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3">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3">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3">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3">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3">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3">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3">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3">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3">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3">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3">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3">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3">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3">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3">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3">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3">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3">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3">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3">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3">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3">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3">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3">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3">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3">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3">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3">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3">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3">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3">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3">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3">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3">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3">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3">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3">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3">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3">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3">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3">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3">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3">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3">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3">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3">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3">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3">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3">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3">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3">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3">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3">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3">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3">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3">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3">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3">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3">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3">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3">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3">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3">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3">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3">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3">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3">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3">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3">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3">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3">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3">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3">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3">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3">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3">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3">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3">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3">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3">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3">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3">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3">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3">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3">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3">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3">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3">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3">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3">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3">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3">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3">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3">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3">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3">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3">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3">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3">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3">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3">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3">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3">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3">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3">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3">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3">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3">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3">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3">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3">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3">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3">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3">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3">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3">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3">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3">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3">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3">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3">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3">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3">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3">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3">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3">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28" priority="1" operator="containsText" text="ERREUR">
      <formula>NOT(ISERROR(SEARCH("ERREUR",A1)))</formula>
    </cfRule>
    <cfRule type="containsText" dxfId="27"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C1" zoomScale="50" zoomScaleNormal="50" zoomScaleSheetLayoutView="40" zoomScalePageLayoutView="30" workbookViewId="0">
      <selection activeCell="O13" sqref="O13:O20"/>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6" t="s">
        <v>43</v>
      </c>
      <c r="B1" s="217"/>
      <c r="C1" s="217"/>
      <c r="D1" s="217"/>
      <c r="E1" s="217"/>
      <c r="F1" s="217"/>
      <c r="G1" s="217"/>
      <c r="H1" s="217"/>
      <c r="I1" s="217"/>
      <c r="J1" s="217"/>
      <c r="K1" s="217"/>
      <c r="L1" s="217"/>
      <c r="M1" s="217"/>
      <c r="N1" s="217"/>
      <c r="O1" s="217"/>
      <c r="P1" s="217"/>
      <c r="Q1" s="217"/>
      <c r="R1" s="217"/>
      <c r="S1" s="217"/>
      <c r="T1" s="217"/>
      <c r="U1" s="217"/>
      <c r="V1" s="217"/>
    </row>
    <row r="2" spans="1:22" customFormat="1" ht="15" thickBot="1" x14ac:dyDescent="0.35"/>
    <row r="3" spans="1:22" ht="15" thickBot="1" x14ac:dyDescent="0.35">
      <c r="A3" s="51" t="s">
        <v>18</v>
      </c>
      <c r="B3" s="224" t="s">
        <v>6</v>
      </c>
      <c r="C3" s="225"/>
      <c r="D3" s="225"/>
      <c r="E3" s="225"/>
      <c r="F3" s="225"/>
      <c r="G3" s="225"/>
      <c r="H3" s="225"/>
      <c r="I3" s="225"/>
      <c r="J3" s="225"/>
      <c r="K3" s="225"/>
      <c r="L3" s="225"/>
      <c r="M3" s="225"/>
      <c r="O3" s="224" t="s">
        <v>3</v>
      </c>
      <c r="P3" s="225"/>
      <c r="Q3" s="225"/>
      <c r="R3" s="225"/>
      <c r="S3" s="225"/>
      <c r="T3" s="225"/>
      <c r="U3" s="225"/>
      <c r="V3" s="225"/>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26" t="s">
        <v>33</v>
      </c>
      <c r="B5" s="197">
        <v>397557.66666666669</v>
      </c>
      <c r="C5" s="197">
        <v>467595</v>
      </c>
      <c r="D5" s="197">
        <v>391522.66666666669</v>
      </c>
      <c r="E5" s="197">
        <v>361017.33333333331</v>
      </c>
      <c r="F5" s="197">
        <v>1386007.6666666667</v>
      </c>
      <c r="G5" s="197">
        <v>5394308</v>
      </c>
      <c r="H5" s="197">
        <v>7071461.333333333</v>
      </c>
      <c r="I5" s="197">
        <v>188165.66666666666</v>
      </c>
      <c r="J5" s="197">
        <v>635364</v>
      </c>
      <c r="K5" s="197">
        <v>232542.66666666666</v>
      </c>
      <c r="L5" s="197">
        <v>234562</v>
      </c>
      <c r="M5" s="197">
        <v>563278.66666666663</v>
      </c>
      <c r="N5" s="3"/>
      <c r="O5" s="197">
        <v>578354.33333333337</v>
      </c>
      <c r="P5" s="197">
        <v>4646382.333333333</v>
      </c>
      <c r="Q5" s="197">
        <v>564864.66666666663</v>
      </c>
      <c r="R5" s="197">
        <v>3052727.6666666665</v>
      </c>
      <c r="S5" s="197">
        <v>1833039.6666666667</v>
      </c>
      <c r="T5" s="197">
        <v>2678956</v>
      </c>
      <c r="U5" s="197">
        <v>3954954.3333333335</v>
      </c>
      <c r="V5" s="197">
        <v>2888225.3333333335</v>
      </c>
    </row>
    <row r="6" spans="1:22" x14ac:dyDescent="0.3">
      <c r="A6" s="226"/>
      <c r="B6" s="197">
        <v>223574</v>
      </c>
      <c r="C6" s="197">
        <v>322862</v>
      </c>
      <c r="D6" s="197">
        <v>420983</v>
      </c>
      <c r="E6" s="197">
        <v>263409</v>
      </c>
      <c r="F6" s="197">
        <v>1387665.6666666667</v>
      </c>
      <c r="G6" s="197">
        <v>285803</v>
      </c>
      <c r="H6" s="197">
        <v>5408057.333333333</v>
      </c>
      <c r="I6" s="197">
        <v>194568</v>
      </c>
      <c r="J6" s="197">
        <v>347131</v>
      </c>
      <c r="K6" s="197">
        <v>124862.33333333333</v>
      </c>
      <c r="L6" s="197">
        <v>9271.6666666666661</v>
      </c>
      <c r="M6" s="197">
        <v>497531</v>
      </c>
      <c r="N6" s="3"/>
      <c r="O6" s="197">
        <v>985191.33333333337</v>
      </c>
      <c r="P6" s="197">
        <v>558750.66666666663</v>
      </c>
      <c r="Q6" s="197">
        <v>519117.33333333331</v>
      </c>
      <c r="R6" s="197">
        <v>2917959.3333333335</v>
      </c>
      <c r="S6" s="197">
        <v>1827336.6666666667</v>
      </c>
      <c r="T6" s="197">
        <v>2541339.6666666665</v>
      </c>
      <c r="U6" s="197">
        <v>1398834.3333333333</v>
      </c>
      <c r="V6" s="197">
        <v>2431632.6666666665</v>
      </c>
    </row>
    <row r="7" spans="1:22" x14ac:dyDescent="0.3">
      <c r="A7" s="226"/>
      <c r="B7" s="197">
        <v>103340.33333333333</v>
      </c>
      <c r="C7" s="197">
        <v>124033</v>
      </c>
      <c r="D7" s="197">
        <v>72416.666666666672</v>
      </c>
      <c r="E7" s="197">
        <v>83686.333333333328</v>
      </c>
      <c r="F7" s="197">
        <v>1126268.6666666667</v>
      </c>
      <c r="G7" s="197">
        <v>2564974</v>
      </c>
      <c r="H7" s="197">
        <v>5385202.333333333</v>
      </c>
      <c r="I7" s="197">
        <v>87471.333333333328</v>
      </c>
      <c r="J7" s="197">
        <v>117695.33333333333</v>
      </c>
      <c r="K7" s="197">
        <v>1222492.6666666667</v>
      </c>
      <c r="L7" s="197">
        <v>180371.66666666666</v>
      </c>
      <c r="M7" s="197">
        <v>114645.66666666667</v>
      </c>
      <c r="N7" s="3"/>
      <c r="O7" s="197">
        <v>3794280</v>
      </c>
      <c r="P7" s="197">
        <v>2293223.3333333335</v>
      </c>
      <c r="Q7" s="197">
        <v>163219</v>
      </c>
      <c r="R7" s="197">
        <v>1392143.3333333333</v>
      </c>
      <c r="S7" s="197">
        <v>467321.33333333331</v>
      </c>
      <c r="T7" s="197">
        <v>3745634.3333333335</v>
      </c>
      <c r="U7" s="197">
        <v>222824</v>
      </c>
      <c r="V7" s="197">
        <v>3191310.6666666665</v>
      </c>
    </row>
    <row r="8" spans="1:22" x14ac:dyDescent="0.3">
      <c r="A8" s="226"/>
      <c r="B8" s="197">
        <v>42517</v>
      </c>
      <c r="C8" s="197">
        <v>304470</v>
      </c>
      <c r="D8" s="197">
        <v>320713.66666666669</v>
      </c>
      <c r="E8" s="197">
        <v>352747.66666666669</v>
      </c>
      <c r="F8" s="197">
        <v>1252962</v>
      </c>
      <c r="G8" s="197">
        <v>3276381</v>
      </c>
      <c r="H8" s="197">
        <v>5425736.666666667</v>
      </c>
      <c r="I8" s="197">
        <v>60556.333333333336</v>
      </c>
      <c r="J8" s="197">
        <v>724709.66666666663</v>
      </c>
      <c r="K8" s="197">
        <v>177213.66666666666</v>
      </c>
      <c r="L8" s="197">
        <v>100788.33333333333</v>
      </c>
      <c r="M8" s="197">
        <v>285774.33333333331</v>
      </c>
      <c r="N8" s="3"/>
      <c r="O8" s="197"/>
      <c r="P8" s="197">
        <v>4915069.333333333</v>
      </c>
      <c r="Q8" s="197">
        <v>55942.333333333336</v>
      </c>
      <c r="R8" s="197">
        <v>1948997.6666666667</v>
      </c>
      <c r="S8" s="197">
        <v>1079418.5</v>
      </c>
      <c r="T8" s="197">
        <v>4017918.6666666665</v>
      </c>
      <c r="U8" s="197">
        <v>2826652.3333333335</v>
      </c>
      <c r="V8" s="197">
        <v>1496897</v>
      </c>
    </row>
    <row r="9" spans="1:22" x14ac:dyDescent="0.3">
      <c r="A9" s="226"/>
      <c r="B9" s="197">
        <v>174870.66666666666</v>
      </c>
      <c r="C9" s="197">
        <v>17855</v>
      </c>
      <c r="D9" s="197">
        <v>197683</v>
      </c>
      <c r="E9" s="197">
        <v>334733.5</v>
      </c>
      <c r="F9" s="197">
        <v>1024889.3333333334</v>
      </c>
      <c r="G9" s="197">
        <v>2371220.6666666665</v>
      </c>
      <c r="H9" s="197">
        <v>6310010</v>
      </c>
      <c r="I9" s="197">
        <v>133593.33333333334</v>
      </c>
      <c r="J9" s="197">
        <v>282969.33333333331</v>
      </c>
      <c r="K9" s="197">
        <v>999899.33333333337</v>
      </c>
      <c r="L9" s="197">
        <v>341146.66666666669</v>
      </c>
      <c r="M9" s="197">
        <v>98848.666666666672</v>
      </c>
      <c r="N9" s="3"/>
      <c r="O9" s="197">
        <v>2083377</v>
      </c>
      <c r="P9" s="197">
        <v>3614665.3333333335</v>
      </c>
      <c r="Q9" s="197">
        <v>490869</v>
      </c>
      <c r="R9" s="197">
        <v>1802743.3333333333</v>
      </c>
      <c r="S9" s="197">
        <v>1229335</v>
      </c>
      <c r="T9" s="197">
        <v>1121056</v>
      </c>
      <c r="U9" s="197">
        <v>2800718</v>
      </c>
      <c r="V9" s="197">
        <v>613965</v>
      </c>
    </row>
    <row r="10" spans="1:22" x14ac:dyDescent="0.3">
      <c r="A10" s="226"/>
      <c r="B10" s="197">
        <v>18695.333333333332</v>
      </c>
      <c r="C10" s="197">
        <v>768063.33333333337</v>
      </c>
      <c r="D10" s="197">
        <v>79634.333333333328</v>
      </c>
      <c r="E10" s="197">
        <v>408458.66666666669</v>
      </c>
      <c r="F10" s="197">
        <v>50693.333333333336</v>
      </c>
      <c r="G10" s="197">
        <v>3463090.3333333335</v>
      </c>
      <c r="H10" s="197">
        <v>6732456</v>
      </c>
      <c r="I10" s="197">
        <v>165137</v>
      </c>
      <c r="J10" s="197">
        <v>214597</v>
      </c>
      <c r="K10" s="197">
        <v>307555.33333333331</v>
      </c>
      <c r="L10" s="197">
        <v>132187.33333333334</v>
      </c>
      <c r="M10" s="197">
        <v>308860.33333333331</v>
      </c>
      <c r="N10" s="3"/>
      <c r="O10" s="197">
        <v>1351356.6666666667</v>
      </c>
      <c r="P10" s="197">
        <v>3346130</v>
      </c>
      <c r="Q10" s="197">
        <v>453499.66666666669</v>
      </c>
      <c r="R10" s="197">
        <v>4203229.333333333</v>
      </c>
      <c r="S10" s="197">
        <v>1133723.6666666667</v>
      </c>
      <c r="T10" s="197">
        <v>2555716</v>
      </c>
      <c r="U10" s="197">
        <v>2925681.3333333335</v>
      </c>
      <c r="V10" s="197">
        <v>2037197</v>
      </c>
    </row>
    <row r="11" spans="1:22" x14ac:dyDescent="0.3">
      <c r="A11" s="226"/>
      <c r="B11" s="197">
        <v>78473.333333333328</v>
      </c>
      <c r="C11" s="197">
        <v>368732</v>
      </c>
      <c r="D11" s="197">
        <v>233516.33333333334</v>
      </c>
      <c r="E11" s="197">
        <v>153298.33333333334</v>
      </c>
      <c r="F11" s="197">
        <v>1364760</v>
      </c>
      <c r="G11" s="197">
        <v>2073809.3333333333</v>
      </c>
      <c r="H11" s="197">
        <v>2846321.5</v>
      </c>
      <c r="I11" s="197">
        <v>292285</v>
      </c>
      <c r="J11" s="197">
        <v>288132</v>
      </c>
      <c r="K11" s="197">
        <v>26179.333333333332</v>
      </c>
      <c r="L11" s="197">
        <v>1092951.3333333333</v>
      </c>
      <c r="M11" s="197">
        <v>22574.333333333332</v>
      </c>
      <c r="N11" s="3"/>
      <c r="O11" s="197">
        <v>3889761.6666666665</v>
      </c>
      <c r="P11" s="197">
        <v>4327579.333333333</v>
      </c>
      <c r="Q11" s="197">
        <v>224071.33333333334</v>
      </c>
      <c r="R11" s="197">
        <v>2279704.3333333335</v>
      </c>
      <c r="S11" s="197">
        <v>2635639</v>
      </c>
      <c r="T11" s="197">
        <v>3720190.3333333335</v>
      </c>
      <c r="U11" s="197">
        <v>2694032.3333333335</v>
      </c>
      <c r="V11" s="197">
        <v>2732785.6666666665</v>
      </c>
    </row>
    <row r="12" spans="1:22" x14ac:dyDescent="0.3">
      <c r="A12" s="226"/>
      <c r="B12" s="197">
        <v>37917.333333333336</v>
      </c>
      <c r="C12" s="197">
        <v>7578</v>
      </c>
      <c r="D12" s="197">
        <v>133124.66666666666</v>
      </c>
      <c r="E12" s="197">
        <v>604678</v>
      </c>
      <c r="F12" s="197">
        <v>1421495</v>
      </c>
      <c r="G12" s="197">
        <v>2132080.3333333335</v>
      </c>
      <c r="H12" s="197">
        <v>1256415.6666666667</v>
      </c>
      <c r="I12" s="197">
        <v>12112.666666666666</v>
      </c>
      <c r="J12" s="197">
        <v>184892</v>
      </c>
      <c r="K12" s="197">
        <v>102929.66666666667</v>
      </c>
      <c r="L12" s="197">
        <v>481405.5</v>
      </c>
      <c r="M12" s="197">
        <v>52741</v>
      </c>
      <c r="N12" s="3"/>
      <c r="O12" s="197">
        <v>2658343.3333333335</v>
      </c>
      <c r="P12" s="197">
        <v>170587.66666666666</v>
      </c>
      <c r="Q12" s="197">
        <v>113636.33333333333</v>
      </c>
      <c r="R12" s="197">
        <v>2559580.6666666665</v>
      </c>
      <c r="S12" s="197">
        <v>344924.66666666669</v>
      </c>
      <c r="T12" s="197">
        <v>625861.33333333337</v>
      </c>
      <c r="U12" s="197">
        <v>2175989.3333333335</v>
      </c>
      <c r="V12" s="197">
        <v>2257137</v>
      </c>
    </row>
    <row r="13" spans="1:22" ht="16.8" x14ac:dyDescent="0.3">
      <c r="A13" s="226"/>
      <c r="B13" s="14"/>
      <c r="C13" s="13"/>
      <c r="D13" s="32"/>
      <c r="E13" s="32"/>
      <c r="F13" s="32"/>
      <c r="G13" s="32"/>
      <c r="H13" s="32"/>
      <c r="I13" s="32"/>
      <c r="J13" s="32"/>
      <c r="K13" s="13"/>
      <c r="L13" s="13"/>
      <c r="M13" s="13"/>
      <c r="N13" s="3"/>
      <c r="O13" s="197">
        <v>3159284</v>
      </c>
      <c r="P13" s="13"/>
      <c r="Q13" s="13"/>
      <c r="R13" s="32"/>
      <c r="S13" s="32"/>
      <c r="T13" s="32"/>
      <c r="U13" s="32"/>
      <c r="V13" s="32"/>
    </row>
    <row r="14" spans="1:22" ht="16.8" x14ac:dyDescent="0.3">
      <c r="A14" s="226"/>
      <c r="B14" s="14"/>
      <c r="C14" s="32"/>
      <c r="D14" s="32"/>
      <c r="E14" s="32"/>
      <c r="F14" s="32"/>
      <c r="G14" s="32"/>
      <c r="H14" s="32"/>
      <c r="I14" s="32"/>
      <c r="J14" s="32"/>
      <c r="K14" s="13"/>
      <c r="L14" s="13"/>
      <c r="M14" s="13"/>
      <c r="N14" s="3"/>
      <c r="O14" s="197">
        <v>1188065</v>
      </c>
      <c r="P14" s="13"/>
      <c r="Q14" s="13"/>
      <c r="R14" s="32"/>
      <c r="S14" s="32"/>
      <c r="T14" s="32"/>
      <c r="U14" s="32"/>
      <c r="V14" s="32"/>
    </row>
    <row r="15" spans="1:22" ht="16.8" x14ac:dyDescent="0.3">
      <c r="A15" s="226"/>
      <c r="B15" s="14"/>
      <c r="C15" s="32"/>
      <c r="D15" s="32"/>
      <c r="E15" s="32"/>
      <c r="F15" s="32"/>
      <c r="G15" s="32"/>
      <c r="H15" s="32"/>
      <c r="I15" s="32"/>
      <c r="J15" s="32"/>
      <c r="K15" s="13"/>
      <c r="L15" s="13"/>
      <c r="M15" s="13"/>
      <c r="N15" s="3"/>
      <c r="O15" s="197"/>
      <c r="P15" s="13"/>
      <c r="Q15" s="13"/>
      <c r="R15" s="32"/>
      <c r="S15" s="32"/>
      <c r="T15" s="32"/>
      <c r="U15" s="32"/>
      <c r="V15" s="32"/>
    </row>
    <row r="16" spans="1:22" ht="16.8" x14ac:dyDescent="0.3">
      <c r="A16" s="226"/>
      <c r="B16" s="14"/>
      <c r="C16" s="32"/>
      <c r="D16" s="32"/>
      <c r="E16" s="32"/>
      <c r="F16" s="32"/>
      <c r="G16" s="32"/>
      <c r="H16" s="32"/>
      <c r="I16" s="32"/>
      <c r="J16" s="32"/>
      <c r="K16" s="13"/>
      <c r="L16" s="13"/>
      <c r="M16" s="13"/>
      <c r="N16" s="3"/>
      <c r="O16" s="197">
        <v>1520444.6666666667</v>
      </c>
      <c r="P16" s="13"/>
      <c r="Q16" s="13"/>
      <c r="R16" s="32"/>
      <c r="S16" s="32"/>
      <c r="T16" s="32"/>
      <c r="U16" s="32"/>
      <c r="V16" s="32"/>
    </row>
    <row r="17" spans="1:22" ht="16.8" x14ac:dyDescent="0.3">
      <c r="A17" s="226"/>
      <c r="B17" s="14"/>
      <c r="C17" s="32"/>
      <c r="D17" s="32"/>
      <c r="E17" s="32"/>
      <c r="F17" s="32"/>
      <c r="G17" s="32"/>
      <c r="H17" s="32"/>
      <c r="I17" s="32"/>
      <c r="J17" s="32"/>
      <c r="K17" s="13"/>
      <c r="L17" s="13"/>
      <c r="M17" s="13"/>
      <c r="N17" s="3"/>
      <c r="O17" s="197">
        <v>1193797.3333333333</v>
      </c>
      <c r="P17" s="13"/>
      <c r="Q17" s="13"/>
      <c r="R17" s="32"/>
      <c r="S17" s="32"/>
      <c r="T17" s="32"/>
      <c r="U17" s="32"/>
      <c r="V17" s="32"/>
    </row>
    <row r="18" spans="1:22" ht="16.8" x14ac:dyDescent="0.3">
      <c r="A18" s="226"/>
      <c r="B18" s="14"/>
      <c r="C18" s="32"/>
      <c r="D18" s="32"/>
      <c r="E18" s="32"/>
      <c r="F18" s="32"/>
      <c r="G18" s="32"/>
      <c r="H18" s="32"/>
      <c r="I18" s="32"/>
      <c r="J18" s="32"/>
      <c r="K18" s="13"/>
      <c r="L18" s="13"/>
      <c r="M18" s="13"/>
      <c r="N18" s="3"/>
      <c r="O18" s="197">
        <v>1633129.3333333333</v>
      </c>
      <c r="P18" s="13"/>
      <c r="Q18" s="13"/>
      <c r="R18" s="32"/>
      <c r="S18" s="32"/>
      <c r="T18" s="32"/>
      <c r="U18" s="32"/>
      <c r="V18" s="32"/>
    </row>
    <row r="19" spans="1:22" ht="16.8" x14ac:dyDescent="0.3">
      <c r="A19" s="226"/>
      <c r="B19" s="14"/>
      <c r="C19" s="32"/>
      <c r="D19" s="32"/>
      <c r="E19" s="32"/>
      <c r="F19" s="32"/>
      <c r="G19" s="32"/>
      <c r="H19" s="32"/>
      <c r="I19" s="32"/>
      <c r="J19" s="32"/>
      <c r="K19" s="13"/>
      <c r="L19" s="13"/>
      <c r="M19" s="13"/>
      <c r="N19" s="3"/>
      <c r="O19" s="197">
        <v>1429541.3333333333</v>
      </c>
      <c r="P19" s="13"/>
      <c r="Q19" s="13"/>
      <c r="R19" s="32"/>
      <c r="S19" s="32"/>
      <c r="T19" s="32"/>
      <c r="U19" s="32"/>
      <c r="V19" s="32"/>
    </row>
    <row r="20" spans="1:22" ht="16.8" x14ac:dyDescent="0.3">
      <c r="A20" s="226"/>
      <c r="B20" s="14"/>
      <c r="C20" s="32"/>
      <c r="D20" s="32"/>
      <c r="E20" s="32"/>
      <c r="F20" s="32"/>
      <c r="G20" s="32"/>
      <c r="H20" s="32"/>
      <c r="I20" s="32"/>
      <c r="J20" s="32"/>
      <c r="K20" s="13"/>
      <c r="L20" s="13"/>
      <c r="M20" s="13"/>
      <c r="N20" s="3"/>
      <c r="O20" s="197">
        <v>3315646.3333333335</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Arabinose-0.01mg/L</v>
      </c>
      <c r="J22" s="3" t="str">
        <f t="shared" si="0"/>
        <v>Arabinose-0.1mg/L</v>
      </c>
      <c r="K22" s="3" t="str">
        <f t="shared" si="0"/>
        <v>Arabinose-1mg/L</v>
      </c>
      <c r="L22" s="3" t="str">
        <f t="shared" si="0"/>
        <v>Arabinose-10mg/L</v>
      </c>
      <c r="M22" s="3" t="str">
        <f t="shared" si="0"/>
        <v>Arabinose-100mg/L</v>
      </c>
      <c r="N22" s="3" t="s">
        <v>41</v>
      </c>
      <c r="O22" s="3" t="str">
        <f t="shared" si="0"/>
        <v>Testo -30µg/L</v>
      </c>
      <c r="P22" s="3" t="str">
        <f t="shared" si="0"/>
        <v>Testo 30µg/L + EE2 -64ng/L</v>
      </c>
      <c r="Q22" s="3" t="str">
        <f t="shared" si="0"/>
        <v>Testo 30µg/L + FAD-10µg/L</v>
      </c>
      <c r="R22" s="3" t="str">
        <f t="shared" si="0"/>
        <v>Arabinose-0.01mg/L + Testostérone</v>
      </c>
      <c r="S22" s="3" t="str">
        <f t="shared" si="0"/>
        <v>Arabinose-0.1mg/L + Testostérone</v>
      </c>
      <c r="T22" s="3" t="str">
        <f t="shared" si="0"/>
        <v>Arabinose-1mg/L + Testostérone</v>
      </c>
      <c r="U22" s="3" t="str">
        <f t="shared" si="0"/>
        <v>Arabinose-10mg/L + Testostérone</v>
      </c>
      <c r="V22" s="3" t="str">
        <f t="shared" si="0"/>
        <v>Arabinose-100mg/L + Testostérone</v>
      </c>
    </row>
    <row r="23" spans="1:22" x14ac:dyDescent="0.3">
      <c r="A23" s="5" t="s">
        <v>0</v>
      </c>
      <c r="B23" s="5">
        <f t="shared" ref="B23:J23" si="1">AVERAGE(B5:B20)</f>
        <v>134618.20833333334</v>
      </c>
      <c r="C23" s="5">
        <f t="shared" si="1"/>
        <v>297648.54166666669</v>
      </c>
      <c r="D23" s="5">
        <f t="shared" si="1"/>
        <v>231199.29166666666</v>
      </c>
      <c r="E23" s="5">
        <f t="shared" si="1"/>
        <v>320253.60416666663</v>
      </c>
      <c r="F23" s="5">
        <f t="shared" si="1"/>
        <v>1126842.7083333333</v>
      </c>
      <c r="G23" s="5">
        <f t="shared" si="1"/>
        <v>2695208.333333333</v>
      </c>
      <c r="H23" s="5">
        <f t="shared" si="1"/>
        <v>5054457.604166667</v>
      </c>
      <c r="I23" s="5">
        <f t="shared" si="1"/>
        <v>141736.16666666666</v>
      </c>
      <c r="J23" s="5">
        <f t="shared" si="1"/>
        <v>349436.29166666669</v>
      </c>
      <c r="K23" s="5"/>
      <c r="L23" s="5">
        <f>AVERAGE(L5:L20)</f>
        <v>321585.5625</v>
      </c>
      <c r="M23" s="5"/>
      <c r="N23" s="5" t="s">
        <v>0</v>
      </c>
      <c r="O23" s="5">
        <f>AVERAGE(O5:O20)</f>
        <v>2055755.1666666665</v>
      </c>
      <c r="P23" s="5">
        <f>AVERAGE(P5:P20)</f>
        <v>2984048.5</v>
      </c>
      <c r="Q23" s="5">
        <f>AVERAGE(Q5:Q20)</f>
        <v>323152.45833333337</v>
      </c>
      <c r="R23" s="5">
        <f>AVERAGE(R5:R20)</f>
        <v>2519635.7083333335</v>
      </c>
      <c r="S23" s="5">
        <f>AVERAGE(S5:S20)</f>
        <v>1318842.3125</v>
      </c>
      <c r="T23" s="5">
        <f t="shared" ref="T23:V23" si="2">AVERAGE(T5:T20)</f>
        <v>2625834.0416666665</v>
      </c>
      <c r="U23" s="5">
        <f t="shared" si="2"/>
        <v>2374960.75</v>
      </c>
      <c r="V23" s="5">
        <f t="shared" si="2"/>
        <v>2206143.7916666665</v>
      </c>
    </row>
    <row r="24" spans="1:22" x14ac:dyDescent="0.3">
      <c r="A24" s="3" t="s">
        <v>1</v>
      </c>
      <c r="B24" s="3">
        <f t="shared" ref="B24:J24" si="3">STDEV(B5:B20)</f>
        <v>127656.29592515739</v>
      </c>
      <c r="C24" s="3">
        <f t="shared" si="3"/>
        <v>253116.20288819465</v>
      </c>
      <c r="D24" s="3">
        <f t="shared" si="3"/>
        <v>135575.73792972145</v>
      </c>
      <c r="E24" s="3">
        <f t="shared" si="3"/>
        <v>159765.01861165874</v>
      </c>
      <c r="F24" s="3">
        <f t="shared" si="3"/>
        <v>457168.00211757276</v>
      </c>
      <c r="G24" s="3">
        <f t="shared" si="3"/>
        <v>1456167.0016379876</v>
      </c>
      <c r="H24" s="3">
        <f t="shared" si="3"/>
        <v>2004767.7128961671</v>
      </c>
      <c r="I24" s="3">
        <f t="shared" si="3"/>
        <v>88287.554749886971</v>
      </c>
      <c r="J24" s="3">
        <f t="shared" si="3"/>
        <v>217034.05846602994</v>
      </c>
      <c r="K24" s="3"/>
      <c r="L24" s="3">
        <f>STDEV(L5:L20)</f>
        <v>344468.0664420735</v>
      </c>
      <c r="M24" s="3"/>
      <c r="N24" s="3" t="s">
        <v>1</v>
      </c>
      <c r="O24" s="3">
        <f>STDEV(O5:O20)</f>
        <v>1100111.6780339377</v>
      </c>
      <c r="P24" s="3">
        <f>STDEV(P5:P20)</f>
        <v>1816626.4569025082</v>
      </c>
      <c r="Q24" s="3">
        <f>STDEV(Q5:Q20)</f>
        <v>204464.56029741935</v>
      </c>
      <c r="R24" s="3">
        <f>STDEV(R5:R20)</f>
        <v>882148.38502637891</v>
      </c>
      <c r="S24" s="3">
        <f>STDEV(S5:S20)</f>
        <v>758770.31498405582</v>
      </c>
      <c r="T24" s="3">
        <f t="shared" ref="T24:V24" si="4">STDEV(T5:T20)</f>
        <v>1234538.2919409815</v>
      </c>
      <c r="U24" s="3">
        <f t="shared" si="4"/>
        <v>1128265.3613033909</v>
      </c>
      <c r="V24" s="3">
        <f t="shared" si="4"/>
        <v>830936.95309787849</v>
      </c>
    </row>
    <row r="25" spans="1:22" ht="15" thickBot="1" x14ac:dyDescent="0.35"/>
    <row r="26" spans="1:22" ht="15" thickBot="1" x14ac:dyDescent="0.35">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Arabinose-0.01mg/L</v>
      </c>
      <c r="J27" s="35" t="str">
        <f t="shared" si="5"/>
        <v>Arabinose-0.1mg/L</v>
      </c>
      <c r="K27" s="35" t="str">
        <f t="shared" si="5"/>
        <v>Arabinose-1mg/L</v>
      </c>
      <c r="L27" s="35" t="str">
        <f t="shared" si="5"/>
        <v>Arabinose-10mg/L</v>
      </c>
      <c r="M27" s="35" t="str">
        <f t="shared" si="5"/>
        <v>Arabinose-100mg/L</v>
      </c>
      <c r="N27" s="3"/>
      <c r="O27" s="36" t="str">
        <f>O4</f>
        <v>Testo -30µg/L</v>
      </c>
      <c r="P27" s="36" t="str">
        <f t="shared" ref="P27:R27" si="6">P4</f>
        <v>Testo 30µg/L + EE2 -64ng/L</v>
      </c>
      <c r="Q27" s="36" t="str">
        <f t="shared" si="6"/>
        <v>Testo 30µg/L + FAD-10µg/L</v>
      </c>
      <c r="R27" s="36" t="str">
        <f t="shared" si="6"/>
        <v>Arabinose-0.01mg/L + Testostérone</v>
      </c>
      <c r="S27" s="36" t="str">
        <f t="shared" ref="S27:V27" si="7">S4</f>
        <v>Arabinose-0.1mg/L + Testostérone</v>
      </c>
      <c r="T27" s="36" t="str">
        <f t="shared" si="7"/>
        <v>Arabinose-1mg/L + Testostérone</v>
      </c>
      <c r="U27" s="36" t="str">
        <f t="shared" si="7"/>
        <v>Arabinose-10mg/L + Testostérone</v>
      </c>
      <c r="V27" s="36" t="str">
        <f t="shared" si="7"/>
        <v>Arabinose-100mg/L + Testostérone</v>
      </c>
    </row>
    <row r="28" spans="1:22" x14ac:dyDescent="0.3">
      <c r="A28" s="227" t="s">
        <v>34</v>
      </c>
      <c r="B28" s="11">
        <f t="shared" ref="B28:M28" si="8">IF(B5="","",(B5/$O$23))</f>
        <v>0.1933876529233256</v>
      </c>
      <c r="C28" s="11">
        <f t="shared" si="8"/>
        <v>0.22745656077235529</v>
      </c>
      <c r="D28" s="11">
        <f t="shared" si="8"/>
        <v>0.19045199205385274</v>
      </c>
      <c r="E28" s="11">
        <f t="shared" si="8"/>
        <v>0.17561300060780585</v>
      </c>
      <c r="F28" s="11">
        <f t="shared" si="8"/>
        <v>0.6742085288852897</v>
      </c>
      <c r="G28" s="11">
        <f t="shared" si="8"/>
        <v>2.6240031339659371</v>
      </c>
      <c r="H28" s="11">
        <f t="shared" si="8"/>
        <v>3.4398363423789684</v>
      </c>
      <c r="I28" s="11">
        <f t="shared" si="8"/>
        <v>9.1531165635726247E-2</v>
      </c>
      <c r="J28" s="11">
        <f t="shared" si="8"/>
        <v>0.30906598718670375</v>
      </c>
      <c r="K28" s="11">
        <f t="shared" si="8"/>
        <v>0.1131178802015253</v>
      </c>
      <c r="L28" s="11">
        <f t="shared" si="8"/>
        <v>0.11410016319226082</v>
      </c>
      <c r="M28" s="11">
        <f t="shared" si="8"/>
        <v>0.27400085175512551</v>
      </c>
      <c r="N28" s="6"/>
      <c r="O28" s="11">
        <f t="shared" ref="O28:S37" si="9">IF(O5="","",(O5/$O$23))</f>
        <v>0.28133424773102444</v>
      </c>
      <c r="P28" s="11">
        <f t="shared" si="9"/>
        <v>2.2601827341469245</v>
      </c>
      <c r="Q28" s="11">
        <f t="shared" si="9"/>
        <v>0.27477234440450149</v>
      </c>
      <c r="R28" s="11">
        <f t="shared" si="9"/>
        <v>1.4849665544640489</v>
      </c>
      <c r="S28" s="11">
        <f t="shared" si="9"/>
        <v>0.89166243937446843</v>
      </c>
      <c r="T28" s="11">
        <f t="shared" ref="T28:V43" si="10">IF(T5="","",(T5/$O$23))</f>
        <v>1.3031493455243659</v>
      </c>
      <c r="U28" s="11">
        <f t="shared" si="10"/>
        <v>1.9238450168879548</v>
      </c>
      <c r="V28" s="11">
        <f t="shared" si="10"/>
        <v>1.4049461629307187</v>
      </c>
    </row>
    <row r="29" spans="1:22" x14ac:dyDescent="0.3">
      <c r="A29" s="227"/>
      <c r="B29" s="11">
        <f t="shared" ref="B29:M29" si="11">IF(B6="","",(B6/$O$23))</f>
        <v>0.10875516872104826</v>
      </c>
      <c r="C29" s="11">
        <f t="shared" si="11"/>
        <v>0.15705274890468071</v>
      </c>
      <c r="D29" s="11">
        <f t="shared" si="11"/>
        <v>0.20478265448439023</v>
      </c>
      <c r="E29" s="11">
        <f t="shared" si="11"/>
        <v>0.12813247621656634</v>
      </c>
      <c r="F29" s="11">
        <f t="shared" si="11"/>
        <v>0.67501504516061461</v>
      </c>
      <c r="G29" s="11">
        <f t="shared" si="11"/>
        <v>0.13902579676519522</v>
      </c>
      <c r="H29" s="11">
        <f t="shared" si="11"/>
        <v>2.630691349350859</v>
      </c>
      <c r="I29" s="11">
        <f t="shared" si="11"/>
        <v>9.4645511856105438E-2</v>
      </c>
      <c r="J29" s="11">
        <f t="shared" si="11"/>
        <v>0.16885814304573074</v>
      </c>
      <c r="K29" s="11">
        <f t="shared" si="11"/>
        <v>6.073793969142402E-2</v>
      </c>
      <c r="L29" s="11">
        <f t="shared" si="11"/>
        <v>4.5101025730123019E-3</v>
      </c>
      <c r="M29" s="11">
        <f t="shared" si="11"/>
        <v>0.242018606139139</v>
      </c>
      <c r="N29" s="6"/>
      <c r="O29" s="11">
        <f t="shared" si="9"/>
        <v>0.47923573259494023</v>
      </c>
      <c r="P29" s="11">
        <f t="shared" si="9"/>
        <v>0.27179825483433462</v>
      </c>
      <c r="Q29" s="11">
        <f t="shared" si="9"/>
        <v>0.25251904592075697</v>
      </c>
      <c r="R29" s="11">
        <f t="shared" si="9"/>
        <v>1.4194099475691457</v>
      </c>
      <c r="S29" s="11">
        <f t="shared" si="9"/>
        <v>0.88888827633576029</v>
      </c>
      <c r="T29" s="11">
        <f t="shared" si="10"/>
        <v>1.2362073596474807</v>
      </c>
      <c r="U29" s="11">
        <f t="shared" si="10"/>
        <v>0.68044792298953238</v>
      </c>
      <c r="V29" s="11">
        <f t="shared" si="10"/>
        <v>1.1828415689254825</v>
      </c>
    </row>
    <row r="30" spans="1:22" x14ac:dyDescent="0.3">
      <c r="A30" s="227"/>
      <c r="B30" s="11">
        <f t="shared" ref="B30:M30" si="12">IF(B7="","",(B7/$O$23))</f>
        <v>5.0268794168177131E-2</v>
      </c>
      <c r="C30" s="11">
        <f t="shared" si="12"/>
        <v>6.0334519407345126E-2</v>
      </c>
      <c r="D30" s="11">
        <f t="shared" si="12"/>
        <v>3.5226308969510074E-2</v>
      </c>
      <c r="E30" s="11">
        <f t="shared" si="12"/>
        <v>4.0708317162606346E-2</v>
      </c>
      <c r="F30" s="11">
        <f t="shared" si="12"/>
        <v>0.54786128471362239</v>
      </c>
      <c r="G30" s="11">
        <f t="shared" si="12"/>
        <v>1.2477040270116473</v>
      </c>
      <c r="H30" s="11">
        <f t="shared" si="12"/>
        <v>2.6195737803083068</v>
      </c>
      <c r="I30" s="11">
        <f t="shared" si="12"/>
        <v>4.2549489721173832E-2</v>
      </c>
      <c r="J30" s="11">
        <f t="shared" si="12"/>
        <v>5.7251629591753429E-2</v>
      </c>
      <c r="K30" s="11">
        <f t="shared" si="12"/>
        <v>0.59466841503742629</v>
      </c>
      <c r="L30" s="11">
        <f t="shared" si="12"/>
        <v>8.7739858126750017E-2</v>
      </c>
      <c r="M30" s="11">
        <f t="shared" si="12"/>
        <v>5.5768152027831468E-2</v>
      </c>
      <c r="N30" s="6"/>
      <c r="O30" s="11">
        <f t="shared" si="9"/>
        <v>1.8456867148009115</v>
      </c>
      <c r="P30" s="11">
        <f t="shared" si="9"/>
        <v>1.1155138367239097</v>
      </c>
      <c r="Q30" s="11">
        <f t="shared" si="9"/>
        <v>7.939612783007316E-2</v>
      </c>
      <c r="R30" s="11">
        <f t="shared" si="9"/>
        <v>0.67719315797252444</v>
      </c>
      <c r="S30" s="11">
        <f t="shared" si="9"/>
        <v>0.22732343856446591</v>
      </c>
      <c r="T30" s="11">
        <f t="shared" si="10"/>
        <v>1.8220235532263045</v>
      </c>
      <c r="U30" s="11">
        <f t="shared" si="10"/>
        <v>0.1083903392840798</v>
      </c>
      <c r="V30" s="11">
        <f t="shared" si="10"/>
        <v>1.5523787649485823</v>
      </c>
    </row>
    <row r="31" spans="1:22" x14ac:dyDescent="0.3">
      <c r="A31" s="227"/>
      <c r="B31" s="11">
        <f t="shared" ref="B31:M31" si="13">IF(B8="","",(B8/$O$23))</f>
        <v>2.0681937562117281E-2</v>
      </c>
      <c r="C31" s="11">
        <f t="shared" si="13"/>
        <v>0.14810615823171552</v>
      </c>
      <c r="D31" s="11">
        <f t="shared" si="13"/>
        <v>0.1560077152507866</v>
      </c>
      <c r="E31" s="11">
        <f t="shared" si="13"/>
        <v>0.17159031016258341</v>
      </c>
      <c r="F31" s="11">
        <f t="shared" si="13"/>
        <v>0.60948989467049863</v>
      </c>
      <c r="G31" s="11">
        <f t="shared" si="13"/>
        <v>1.5937603140322079</v>
      </c>
      <c r="H31" s="11">
        <f t="shared" si="13"/>
        <v>2.6392912709854963</v>
      </c>
      <c r="I31" s="11">
        <f t="shared" si="13"/>
        <v>2.945697732649908E-2</v>
      </c>
      <c r="J31" s="11">
        <f t="shared" si="13"/>
        <v>0.35252722620746585</v>
      </c>
      <c r="K31" s="11">
        <f t="shared" si="13"/>
        <v>8.6203682977488164E-2</v>
      </c>
      <c r="L31" s="11">
        <f t="shared" si="13"/>
        <v>4.9027401203985785E-2</v>
      </c>
      <c r="M31" s="11">
        <f t="shared" si="13"/>
        <v>0.13901185217338219</v>
      </c>
      <c r="N31" s="6"/>
      <c r="O31" s="11" t="str">
        <f t="shared" si="9"/>
        <v/>
      </c>
      <c r="P31" s="11">
        <f t="shared" si="9"/>
        <v>2.3908826367212503</v>
      </c>
      <c r="Q31" s="11">
        <f t="shared" si="9"/>
        <v>2.7212546630269122E-2</v>
      </c>
      <c r="R31" s="11">
        <f t="shared" si="9"/>
        <v>0.94806896184378642</v>
      </c>
      <c r="S31" s="11">
        <f t="shared" si="9"/>
        <v>0.52507152481111774</v>
      </c>
      <c r="T31" s="11">
        <f t="shared" si="10"/>
        <v>1.9544733399267471</v>
      </c>
      <c r="U31" s="11">
        <f t="shared" si="10"/>
        <v>1.374994639034107</v>
      </c>
      <c r="V31" s="11">
        <f t="shared" si="10"/>
        <v>0.72814945294636668</v>
      </c>
    </row>
    <row r="32" spans="1:22" x14ac:dyDescent="0.3">
      <c r="A32" s="227"/>
      <c r="B32" s="11">
        <f t="shared" ref="B32:M32" si="14">IF(B9="","",(B9/$O$23))</f>
        <v>8.5063955816398695E-2</v>
      </c>
      <c r="C32" s="11">
        <f t="shared" si="14"/>
        <v>8.6853727960957746E-3</v>
      </c>
      <c r="D32" s="11">
        <f t="shared" si="14"/>
        <v>9.6160770117647773E-2</v>
      </c>
      <c r="E32" s="11">
        <f t="shared" si="14"/>
        <v>0.1628275124526421</v>
      </c>
      <c r="F32" s="11">
        <f t="shared" si="14"/>
        <v>0.49854639791330541</v>
      </c>
      <c r="G32" s="11">
        <f t="shared" si="14"/>
        <v>1.1534548009972978</v>
      </c>
      <c r="H32" s="11">
        <f t="shared" si="14"/>
        <v>3.0694365274204589</v>
      </c>
      <c r="I32" s="11">
        <f t="shared" si="14"/>
        <v>6.4985040776986178E-2</v>
      </c>
      <c r="J32" s="11">
        <f t="shared" si="14"/>
        <v>0.13764739007912016</v>
      </c>
      <c r="K32" s="11">
        <f t="shared" si="14"/>
        <v>0.48639028107351634</v>
      </c>
      <c r="L32" s="11">
        <f t="shared" si="14"/>
        <v>0.16594712843155529</v>
      </c>
      <c r="M32" s="11">
        <f t="shared" si="14"/>
        <v>4.8083871206777144E-2</v>
      </c>
      <c r="N32" s="6"/>
      <c r="O32" s="11">
        <f t="shared" si="9"/>
        <v>1.0134363438707155</v>
      </c>
      <c r="P32" s="11">
        <f t="shared" si="9"/>
        <v>1.7583150911858751</v>
      </c>
      <c r="Q32" s="11">
        <f t="shared" si="9"/>
        <v>0.2387779478603605</v>
      </c>
      <c r="R32" s="11">
        <f t="shared" si="9"/>
        <v>0.87692511373152338</v>
      </c>
      <c r="S32" s="11">
        <f t="shared" si="9"/>
        <v>0.59799679452749366</v>
      </c>
      <c r="T32" s="11">
        <f t="shared" si="10"/>
        <v>0.5453256390534833</v>
      </c>
      <c r="U32" s="11">
        <f t="shared" si="10"/>
        <v>1.3623791613965703</v>
      </c>
      <c r="V32" s="11">
        <f t="shared" si="10"/>
        <v>0.2986566736911197</v>
      </c>
    </row>
    <row r="33" spans="1:22" x14ac:dyDescent="0.3">
      <c r="A33" s="227"/>
      <c r="B33" s="11">
        <f t="shared" ref="B33:M33" si="15">IF(B10="","",(B10/$O$23))</f>
        <v>9.0941439119168778E-3</v>
      </c>
      <c r="C33" s="11">
        <f t="shared" si="15"/>
        <v>0.37361615127482356</v>
      </c>
      <c r="D33" s="11">
        <f t="shared" si="15"/>
        <v>3.8737265324478083E-2</v>
      </c>
      <c r="E33" s="11">
        <f t="shared" si="15"/>
        <v>0.19869032717984983</v>
      </c>
      <c r="F33" s="11">
        <f t="shared" si="15"/>
        <v>2.4659227010739204E-2</v>
      </c>
      <c r="G33" s="11">
        <f t="shared" si="15"/>
        <v>1.6845830619745494</v>
      </c>
      <c r="H33" s="11">
        <f t="shared" si="15"/>
        <v>3.2749308425265626</v>
      </c>
      <c r="I33" s="11">
        <f t="shared" si="15"/>
        <v>8.0329118310213832E-2</v>
      </c>
      <c r="J33" s="11">
        <f t="shared" si="15"/>
        <v>0.10438840358016045</v>
      </c>
      <c r="K33" s="11">
        <f t="shared" si="15"/>
        <v>0.14960698546219553</v>
      </c>
      <c r="L33" s="11">
        <f t="shared" si="15"/>
        <v>6.4301107192482637E-2</v>
      </c>
      <c r="M33" s="11">
        <f t="shared" si="15"/>
        <v>0.15024178868252064</v>
      </c>
      <c r="N33" s="6"/>
      <c r="O33" s="11">
        <f t="shared" si="9"/>
        <v>0.65735292245809762</v>
      </c>
      <c r="P33" s="11">
        <f t="shared" si="9"/>
        <v>1.6276889652310251</v>
      </c>
      <c r="Q33" s="11">
        <f t="shared" si="9"/>
        <v>0.22060003740717829</v>
      </c>
      <c r="R33" s="11">
        <f t="shared" si="9"/>
        <v>2.0446157215057466</v>
      </c>
      <c r="S33" s="11">
        <f t="shared" si="9"/>
        <v>0.5514876893170888</v>
      </c>
      <c r="T33" s="11">
        <f t="shared" si="10"/>
        <v>1.2432005724417086</v>
      </c>
      <c r="U33" s="11">
        <f t="shared" si="10"/>
        <v>1.4231662314521729</v>
      </c>
      <c r="V33" s="11">
        <f t="shared" si="10"/>
        <v>0.99097257933844429</v>
      </c>
    </row>
    <row r="34" spans="1:22" x14ac:dyDescent="0.3">
      <c r="A34" s="227"/>
      <c r="B34" s="11">
        <f t="shared" ref="B34:M34" si="16">IF(B11="","",(B11/$O$23))</f>
        <v>3.8172509356050911E-2</v>
      </c>
      <c r="C34" s="11">
        <f t="shared" si="16"/>
        <v>0.17936571726967163</v>
      </c>
      <c r="D34" s="11">
        <f t="shared" si="16"/>
        <v>0.11359150988391858</v>
      </c>
      <c r="E34" s="11">
        <f t="shared" si="16"/>
        <v>7.4570326184270813E-2</v>
      </c>
      <c r="F34" s="11">
        <f t="shared" si="16"/>
        <v>0.66387282986276497</v>
      </c>
      <c r="G34" s="11">
        <f t="shared" si="16"/>
        <v>1.0087822552799131</v>
      </c>
      <c r="H34" s="11">
        <f t="shared" si="16"/>
        <v>1.3845624937016252</v>
      </c>
      <c r="I34" s="11">
        <f t="shared" si="16"/>
        <v>0.14217889597910127</v>
      </c>
      <c r="J34" s="11">
        <f t="shared" si="16"/>
        <v>0.14015871377679459</v>
      </c>
      <c r="K34" s="11">
        <f t="shared" si="16"/>
        <v>1.2734655253612805E-2</v>
      </c>
      <c r="L34" s="11">
        <f t="shared" si="16"/>
        <v>0.53165442609856828</v>
      </c>
      <c r="M34" s="11">
        <f t="shared" si="16"/>
        <v>1.0981041759917747E-2</v>
      </c>
      <c r="N34" s="6"/>
      <c r="O34" s="11">
        <f t="shared" si="9"/>
        <v>1.8921327450553249</v>
      </c>
      <c r="P34" s="11">
        <f t="shared" si="9"/>
        <v>2.1051044421551173</v>
      </c>
      <c r="Q34" s="11">
        <f t="shared" si="9"/>
        <v>0.10899709117436246</v>
      </c>
      <c r="R34" s="11">
        <f t="shared" si="9"/>
        <v>1.1089376645127409</v>
      </c>
      <c r="S34" s="11">
        <f t="shared" si="9"/>
        <v>1.2820782565628155</v>
      </c>
      <c r="T34" s="11">
        <f t="shared" si="10"/>
        <v>1.8096465929673371</v>
      </c>
      <c r="U34" s="11">
        <f t="shared" si="10"/>
        <v>1.3104830657930977</v>
      </c>
      <c r="V34" s="11">
        <f t="shared" si="10"/>
        <v>1.3293342081672987</v>
      </c>
    </row>
    <row r="35" spans="1:22" x14ac:dyDescent="0.3">
      <c r="A35" s="227"/>
      <c r="B35" s="11">
        <f t="shared" ref="B35:M35" si="17">IF(B12="","",(B12/$O$23))</f>
        <v>1.8444479161793832E-2</v>
      </c>
      <c r="C35" s="11">
        <f t="shared" si="17"/>
        <v>3.6862366311293071E-3</v>
      </c>
      <c r="D35" s="11">
        <f t="shared" si="17"/>
        <v>6.4757062915484997E-2</v>
      </c>
      <c r="E35" s="11">
        <f t="shared" si="17"/>
        <v>0.2941391123829516</v>
      </c>
      <c r="F35" s="11">
        <f t="shared" si="17"/>
        <v>0.69147096067130565</v>
      </c>
      <c r="G35" s="11">
        <f t="shared" si="17"/>
        <v>1.0371275567753653</v>
      </c>
      <c r="H35" s="11">
        <f t="shared" si="17"/>
        <v>0.61116989369113439</v>
      </c>
      <c r="I35" s="11">
        <f t="shared" si="17"/>
        <v>5.8920764802488238E-3</v>
      </c>
      <c r="J35" s="11">
        <f t="shared" si="17"/>
        <v>8.9938725679963027E-2</v>
      </c>
      <c r="K35" s="11">
        <f t="shared" si="17"/>
        <v>5.006902978313485E-2</v>
      </c>
      <c r="L35" s="11">
        <f t="shared" si="17"/>
        <v>0.23417453002469249</v>
      </c>
      <c r="M35" s="11">
        <f t="shared" si="17"/>
        <v>2.565529244687131E-2</v>
      </c>
      <c r="N35" s="6"/>
      <c r="O35" s="11">
        <f t="shared" si="9"/>
        <v>1.2931225354251412</v>
      </c>
      <c r="P35" s="11">
        <f t="shared" si="9"/>
        <v>8.2980536511684147E-2</v>
      </c>
      <c r="Q35" s="11">
        <f t="shared" si="9"/>
        <v>5.5277172678880132E-2</v>
      </c>
      <c r="R35" s="11">
        <f t="shared" si="9"/>
        <v>1.245080497993803</v>
      </c>
      <c r="S35" s="11">
        <f t="shared" si="9"/>
        <v>0.16778489591537776</v>
      </c>
      <c r="T35" s="11">
        <f t="shared" si="10"/>
        <v>0.30444351714710521</v>
      </c>
      <c r="U35" s="11">
        <f t="shared" si="10"/>
        <v>1.0584866177724959</v>
      </c>
      <c r="V35" s="11">
        <f t="shared" si="10"/>
        <v>1.0979600278275681</v>
      </c>
    </row>
    <row r="36" spans="1:22" x14ac:dyDescent="0.3">
      <c r="A36" s="227"/>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1.5367997372579469</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3">
      <c r="A37" s="227"/>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0.57792144670924261</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3">
      <c r="A38" s="227"/>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t="str">
        <f t="shared" ref="O38:S43" si="21">IF(O15="","",(O15/$O$23))</f>
        <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3">
      <c r="A39" s="227"/>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0.73960396224226133</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3">
      <c r="A40" s="227"/>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0.5807098786325966</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3">
      <c r="A41" s="227"/>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0.79441820690223242</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3">
      <c r="A42" s="227"/>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0.69538501301751965</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3">
      <c r="A43" s="227"/>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1.6128605133020464</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Arabinose-0.01mg/L</v>
      </c>
      <c r="J45" s="7" t="str">
        <f t="shared" si="27"/>
        <v>Arabinose-0.1mg/L</v>
      </c>
      <c r="K45" s="7" t="str">
        <f t="shared" ref="K45:M45" si="28">K4</f>
        <v>Arabinose-1mg/L</v>
      </c>
      <c r="L45" s="7" t="str">
        <f t="shared" si="28"/>
        <v>Arabinose-10mg/L</v>
      </c>
      <c r="M45" s="7" t="str">
        <f t="shared" si="28"/>
        <v>Arabinose-100mg/L</v>
      </c>
      <c r="N45" s="7"/>
      <c r="O45" s="7" t="str">
        <f t="shared" si="27"/>
        <v>Testo -30µg/L</v>
      </c>
      <c r="P45" s="7" t="str">
        <f t="shared" si="27"/>
        <v>Testo 30µg/L + EE2 -64ng/L</v>
      </c>
      <c r="Q45" s="7" t="str">
        <f t="shared" si="27"/>
        <v>Testo 30µg/L + FAD-10µg/L</v>
      </c>
      <c r="R45" s="7" t="str">
        <f t="shared" si="27"/>
        <v>Arabinose-0.01mg/L + Testostérone</v>
      </c>
      <c r="S45" s="7" t="str">
        <f t="shared" ref="S45:V45" si="29">S4</f>
        <v>Arabinose-0.1mg/L + Testostérone</v>
      </c>
      <c r="T45" s="7" t="str">
        <f t="shared" si="29"/>
        <v>Arabinose-1mg/L + Testostérone</v>
      </c>
      <c r="U45" s="7" t="str">
        <f t="shared" si="29"/>
        <v>Arabinose-10mg/L + Testostérone</v>
      </c>
      <c r="V45" s="7" t="str">
        <f t="shared" si="29"/>
        <v>Arabinose-100mg/L + Testostérone</v>
      </c>
    </row>
    <row r="46" spans="1:22" x14ac:dyDescent="0.3">
      <c r="A46" s="8" t="s">
        <v>0</v>
      </c>
      <c r="B46" s="10">
        <f t="shared" ref="B46:H46" si="30">AVERAGE(B28:B43)</f>
        <v>6.5483580202603572E-2</v>
      </c>
      <c r="C46" s="10">
        <f t="shared" si="30"/>
        <v>0.1447879331609771</v>
      </c>
      <c r="D46" s="10">
        <f t="shared" si="30"/>
        <v>0.11246440987500864</v>
      </c>
      <c r="E46" s="10">
        <f t="shared" si="30"/>
        <v>0.15578392279365955</v>
      </c>
      <c r="F46" s="10">
        <f t="shared" si="30"/>
        <v>0.54814052111101763</v>
      </c>
      <c r="G46" s="10">
        <f t="shared" si="30"/>
        <v>1.3110551183502641</v>
      </c>
      <c r="H46" s="10">
        <f t="shared" si="30"/>
        <v>2.4586865625454264</v>
      </c>
      <c r="I46" s="10">
        <f>AVERAGE(I28:I43)</f>
        <v>6.8946034510756843E-2</v>
      </c>
      <c r="J46" s="9">
        <f>AVERAGE(J28:J43)</f>
        <v>0.16997952739346153</v>
      </c>
      <c r="K46" s="9">
        <f t="shared" ref="K46:M46" si="31">AVERAGE(K28:K43)</f>
        <v>0.19419110868504039</v>
      </c>
      <c r="L46" s="9">
        <f t="shared" si="31"/>
        <v>0.15643183960541346</v>
      </c>
      <c r="M46" s="9">
        <f t="shared" si="31"/>
        <v>0.11822018202394563</v>
      </c>
      <c r="N46" s="8" t="s">
        <v>0</v>
      </c>
      <c r="O46" s="10">
        <f t="shared" ref="O46:R46" si="32">AVERAGE(O28:O43)</f>
        <v>1</v>
      </c>
      <c r="P46" s="10">
        <f t="shared" si="32"/>
        <v>1.4515583121887652</v>
      </c>
      <c r="Q46" s="10">
        <f t="shared" si="32"/>
        <v>0.15719403923829781</v>
      </c>
      <c r="R46" s="10">
        <f t="shared" si="32"/>
        <v>1.2256497024491648</v>
      </c>
      <c r="S46" s="10">
        <f t="shared" ref="S46:V46" si="33">AVERAGE(S28:S43)</f>
        <v>0.64153666442607349</v>
      </c>
      <c r="T46" s="10">
        <f t="shared" si="33"/>
        <v>1.2773087399918164</v>
      </c>
      <c r="U46" s="10">
        <f t="shared" si="33"/>
        <v>1.1552741243262514</v>
      </c>
      <c r="V46" s="10">
        <f t="shared" si="33"/>
        <v>1.0731549298469476</v>
      </c>
    </row>
    <row r="47" spans="1:22" x14ac:dyDescent="0.3">
      <c r="A47" s="8" t="s">
        <v>1</v>
      </c>
      <c r="B47" s="8">
        <f t="shared" ref="B47:J47" si="34">STDEV(B28:B43)</f>
        <v>6.2097032757138827E-2</v>
      </c>
      <c r="C47" s="8">
        <f t="shared" si="34"/>
        <v>0.12312565571639231</v>
      </c>
      <c r="D47" s="8">
        <f t="shared" si="34"/>
        <v>6.5949360180644762E-2</v>
      </c>
      <c r="E47" s="8">
        <f t="shared" si="34"/>
        <v>7.7715975716462313E-2</v>
      </c>
      <c r="F47" s="8">
        <f t="shared" si="34"/>
        <v>0.22238445975006524</v>
      </c>
      <c r="G47" s="8">
        <f t="shared" si="34"/>
        <v>0.70833678311951398</v>
      </c>
      <c r="H47" s="8">
        <f t="shared" si="34"/>
        <v>0.97519770126460503</v>
      </c>
      <c r="I47" s="8">
        <f t="shared" si="34"/>
        <v>4.2946531854297643E-2</v>
      </c>
      <c r="J47" s="8">
        <f t="shared" si="34"/>
        <v>0.10557388447085499</v>
      </c>
      <c r="K47" s="8">
        <f t="shared" ref="K47:M47" si="35">STDEV(K28:K43)</f>
        <v>0.21957481387326891</v>
      </c>
      <c r="L47" s="8">
        <f t="shared" si="35"/>
        <v>0.16756278764490037</v>
      </c>
      <c r="M47" s="8">
        <f t="shared" si="35"/>
        <v>9.9956557598475521E-2</v>
      </c>
      <c r="N47" s="8" t="s">
        <v>1</v>
      </c>
      <c r="O47" s="8">
        <f t="shared" ref="O47:R47" si="36">STDEV(O28:O43)</f>
        <v>0.5351374987993972</v>
      </c>
      <c r="P47" s="8">
        <f t="shared" si="36"/>
        <v>0.88367840993833002</v>
      </c>
      <c r="Q47" s="8">
        <f t="shared" si="36"/>
        <v>9.9459587217747947E-2</v>
      </c>
      <c r="R47" s="8">
        <f t="shared" si="36"/>
        <v>0.42911159817574546</v>
      </c>
      <c r="S47" s="8">
        <f t="shared" ref="S47:V47" si="37">STDEV(S28:S43)</f>
        <v>0.36909566240535086</v>
      </c>
      <c r="T47" s="8">
        <f t="shared" si="37"/>
        <v>0.60052787995310786</v>
      </c>
      <c r="U47" s="8">
        <f t="shared" si="37"/>
        <v>0.54883255535377429</v>
      </c>
      <c r="V47" s="8">
        <f t="shared" si="37"/>
        <v>0.40420034767331398</v>
      </c>
    </row>
    <row r="48" spans="1:22" x14ac:dyDescent="0.3">
      <c r="A48" s="8" t="s">
        <v>2</v>
      </c>
      <c r="B48" s="8">
        <f t="shared" ref="B48:J48" si="38" xml:space="preserve"> B47/SQRT(COUNT(B28:B43))</f>
        <v>2.1954616477068017E-2</v>
      </c>
      <c r="C48" s="8">
        <f t="shared" si="38"/>
        <v>4.35314930475506E-2</v>
      </c>
      <c r="D48" s="8">
        <f t="shared" si="38"/>
        <v>2.3316619899323991E-2</v>
      </c>
      <c r="E48" s="8">
        <f t="shared" si="38"/>
        <v>2.7476746717819776E-2</v>
      </c>
      <c r="F48" s="8">
        <f t="shared" si="38"/>
        <v>7.8624779759888977E-2</v>
      </c>
      <c r="G48" s="8">
        <f t="shared" si="38"/>
        <v>0.25043487135383657</v>
      </c>
      <c r="H48" s="8">
        <f t="shared" si="38"/>
        <v>0.34478445378086758</v>
      </c>
      <c r="I48" s="8">
        <f t="shared" si="38"/>
        <v>1.5183891951308967E-2</v>
      </c>
      <c r="J48" s="8">
        <f t="shared" si="38"/>
        <v>3.7326004812773352E-2</v>
      </c>
      <c r="K48" s="8">
        <f t="shared" ref="K48:M48" si="39" xml:space="preserve"> K47/SQRT(COUNT(K28:K43))</f>
        <v>7.7631419933781226E-2</v>
      </c>
      <c r="L48" s="8">
        <f t="shared" si="39"/>
        <v>5.9242391709115244E-2</v>
      </c>
      <c r="M48" s="8">
        <f t="shared" si="39"/>
        <v>3.5339979850972883E-2</v>
      </c>
      <c r="N48" s="8" t="s">
        <v>2</v>
      </c>
      <c r="O48" s="8">
        <f t="shared" ref="O48:R48" si="40" xml:space="preserve"> O47/SQRT(COUNT(O28:O43))</f>
        <v>0.14302151252303541</v>
      </c>
      <c r="P48" s="8">
        <f t="shared" si="40"/>
        <v>0.31242749802776948</v>
      </c>
      <c r="Q48" s="8">
        <f t="shared" si="40"/>
        <v>3.5164274287842218E-2</v>
      </c>
      <c r="R48" s="8">
        <f t="shared" si="40"/>
        <v>0.15171386047793325</v>
      </c>
      <c r="S48" s="8">
        <f t="shared" ref="S48:V48" si="41" xml:space="preserve"> S47/SQRT(COUNT(S28:S43))</f>
        <v>0.13049502289668211</v>
      </c>
      <c r="T48" s="8">
        <f t="shared" si="41"/>
        <v>0.21231866810321173</v>
      </c>
      <c r="U48" s="8">
        <f t="shared" si="41"/>
        <v>0.19404161081329749</v>
      </c>
      <c r="V48" s="8">
        <f t="shared" si="41"/>
        <v>0.14290640339888022</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customFormat="1" ht="15" thickBot="1" x14ac:dyDescent="0.35"/>
    <row r="52" spans="1:22" x14ac:dyDescent="0.3">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Arabinose-0.01mg/L</v>
      </c>
      <c r="J52" s="46" t="str">
        <f>J4</f>
        <v>Arabinose-0.1mg/L</v>
      </c>
      <c r="K52" s="46" t="str">
        <f t="shared" ref="K52:M52" si="43">K4</f>
        <v>Arabinose-1mg/L</v>
      </c>
      <c r="L52" s="46" t="str">
        <f t="shared" si="43"/>
        <v>Arabinose-10mg/L</v>
      </c>
      <c r="M52" s="46" t="str">
        <f t="shared" si="43"/>
        <v>Arabinose-100mg/L</v>
      </c>
      <c r="N52" s="47"/>
      <c r="O52" s="46" t="str">
        <f>O27</f>
        <v>Testo -30µg/L</v>
      </c>
      <c r="P52" s="46" t="str">
        <f>P27</f>
        <v>Testo 30µg/L + EE2 -64ng/L</v>
      </c>
      <c r="Q52" s="46" t="str">
        <f>Q27</f>
        <v>Testo 30µg/L + FAD-10µg/L</v>
      </c>
      <c r="R52" s="46" t="str">
        <f>R27</f>
        <v>Arabinose-0.01mg/L + Testostérone</v>
      </c>
      <c r="S52" s="46" t="str">
        <f t="shared" ref="S52:V52" si="44">S27</f>
        <v>Arabinose-0.1mg/L + Testostérone</v>
      </c>
      <c r="T52" s="46" t="str">
        <f t="shared" si="44"/>
        <v>Arabinose-1mg/L + Testostérone</v>
      </c>
      <c r="U52" s="46" t="str">
        <f t="shared" si="44"/>
        <v>Arabinose-10mg/L + Testostérone</v>
      </c>
      <c r="V52" s="46" t="str">
        <f t="shared" si="44"/>
        <v>Arabinose-100mg/L + Testostérone</v>
      </c>
    </row>
    <row r="53" spans="1:22" s="3" customFormat="1" x14ac:dyDescent="0.3">
      <c r="A53" s="61" t="s">
        <v>32</v>
      </c>
      <c r="B53" s="140">
        <f t="shared" ref="B53" si="45">B46</f>
        <v>6.5483580202603572E-2</v>
      </c>
      <c r="C53" s="140">
        <f t="shared" ref="C53:V53" si="46">C46</f>
        <v>0.1447879331609771</v>
      </c>
      <c r="D53" s="140">
        <f t="shared" si="46"/>
        <v>0.11246440987500864</v>
      </c>
      <c r="E53" s="140">
        <f t="shared" si="46"/>
        <v>0.15578392279365955</v>
      </c>
      <c r="F53" s="140">
        <f t="shared" si="46"/>
        <v>0.54814052111101763</v>
      </c>
      <c r="G53" s="140">
        <f t="shared" si="46"/>
        <v>1.3110551183502641</v>
      </c>
      <c r="H53" s="140">
        <f t="shared" si="46"/>
        <v>2.4586865625454264</v>
      </c>
      <c r="I53" s="140">
        <f t="shared" si="46"/>
        <v>6.8946034510756843E-2</v>
      </c>
      <c r="J53" s="140">
        <f t="shared" si="46"/>
        <v>0.16997952739346153</v>
      </c>
      <c r="K53" s="140">
        <f t="shared" si="46"/>
        <v>0.19419110868504039</v>
      </c>
      <c r="L53" s="140">
        <f t="shared" si="46"/>
        <v>0.15643183960541346</v>
      </c>
      <c r="M53" s="140">
        <f t="shared" si="46"/>
        <v>0.11822018202394563</v>
      </c>
      <c r="N53" s="140"/>
      <c r="O53" s="140">
        <f t="shared" si="46"/>
        <v>1</v>
      </c>
      <c r="P53" s="140">
        <f t="shared" si="46"/>
        <v>1.4515583121887652</v>
      </c>
      <c r="Q53" s="140">
        <f t="shared" si="46"/>
        <v>0.15719403923829781</v>
      </c>
      <c r="R53" s="140">
        <f t="shared" si="46"/>
        <v>1.2256497024491648</v>
      </c>
      <c r="S53" s="140">
        <f t="shared" si="46"/>
        <v>0.64153666442607349</v>
      </c>
      <c r="T53" s="140">
        <f t="shared" si="46"/>
        <v>1.2773087399918164</v>
      </c>
      <c r="U53" s="140">
        <f t="shared" si="46"/>
        <v>1.1552741243262514</v>
      </c>
      <c r="V53" s="140">
        <f t="shared" si="46"/>
        <v>1.0731549298469476</v>
      </c>
    </row>
    <row r="54" spans="1:22" s="3" customFormat="1" x14ac:dyDescent="0.3">
      <c r="A54" s="61" t="s">
        <v>2</v>
      </c>
      <c r="B54" s="140">
        <f t="shared" ref="B54" si="47">B48</f>
        <v>2.1954616477068017E-2</v>
      </c>
      <c r="C54" s="140">
        <f t="shared" ref="C54:V54" si="48">C48</f>
        <v>4.35314930475506E-2</v>
      </c>
      <c r="D54" s="140">
        <f t="shared" si="48"/>
        <v>2.3316619899323991E-2</v>
      </c>
      <c r="E54" s="140">
        <f t="shared" si="48"/>
        <v>2.7476746717819776E-2</v>
      </c>
      <c r="F54" s="140">
        <f t="shared" si="48"/>
        <v>7.8624779759888977E-2</v>
      </c>
      <c r="G54" s="140">
        <f t="shared" si="48"/>
        <v>0.25043487135383657</v>
      </c>
      <c r="H54" s="140">
        <f t="shared" si="48"/>
        <v>0.34478445378086758</v>
      </c>
      <c r="I54" s="140">
        <f t="shared" si="48"/>
        <v>1.5183891951308967E-2</v>
      </c>
      <c r="J54" s="140">
        <f t="shared" si="48"/>
        <v>3.7326004812773352E-2</v>
      </c>
      <c r="K54" s="140">
        <f t="shared" si="48"/>
        <v>7.7631419933781226E-2</v>
      </c>
      <c r="L54" s="140">
        <f t="shared" si="48"/>
        <v>5.9242391709115244E-2</v>
      </c>
      <c r="M54" s="140">
        <f t="shared" si="48"/>
        <v>3.5339979850972883E-2</v>
      </c>
      <c r="N54" s="140"/>
      <c r="O54" s="140">
        <f t="shared" si="48"/>
        <v>0.14302151252303541</v>
      </c>
      <c r="P54" s="140">
        <f t="shared" si="48"/>
        <v>0.31242749802776948</v>
      </c>
      <c r="Q54" s="140">
        <f t="shared" si="48"/>
        <v>3.5164274287842218E-2</v>
      </c>
      <c r="R54" s="140">
        <f t="shared" si="48"/>
        <v>0.15171386047793325</v>
      </c>
      <c r="S54" s="140">
        <f t="shared" si="48"/>
        <v>0.13049502289668211</v>
      </c>
      <c r="T54" s="140">
        <f t="shared" si="48"/>
        <v>0.21231866810321173</v>
      </c>
      <c r="U54" s="140">
        <f t="shared" si="48"/>
        <v>0.19404161081329749</v>
      </c>
      <c r="V54" s="140">
        <f t="shared" si="48"/>
        <v>0.14290640339888022</v>
      </c>
    </row>
    <row r="55" spans="1:22" s="3" customFormat="1" x14ac:dyDescent="0.3">
      <c r="A55" s="61" t="s">
        <v>79</v>
      </c>
      <c r="B55" s="140">
        <f>(B53*100/$B53)-100</f>
        <v>0</v>
      </c>
      <c r="C55" s="140">
        <f t="shared" ref="C55:M55" si="49">(C53*100/$B53)-100</f>
        <v>121.1057072826639</v>
      </c>
      <c r="D55" s="140">
        <f t="shared" si="49"/>
        <v>71.744442693952067</v>
      </c>
      <c r="E55" s="140">
        <f t="shared" si="49"/>
        <v>137.89768719375198</v>
      </c>
      <c r="F55" s="140">
        <f t="shared" si="49"/>
        <v>737.06559631451557</v>
      </c>
      <c r="G55" s="140">
        <f t="shared" si="49"/>
        <v>1902.1127652060443</v>
      </c>
      <c r="H55" s="140">
        <f t="shared" si="49"/>
        <v>3654.6611760358073</v>
      </c>
      <c r="I55" s="140">
        <f t="shared" si="49"/>
        <v>5.2875152785485682</v>
      </c>
      <c r="J55" s="140">
        <f t="shared" si="49"/>
        <v>159.57580032666465</v>
      </c>
      <c r="K55" s="140">
        <f t="shared" si="49"/>
        <v>196.54931523936364</v>
      </c>
      <c r="L55" s="140">
        <f t="shared" si="49"/>
        <v>138.88712120110051</v>
      </c>
      <c r="M55" s="140">
        <f t="shared" si="49"/>
        <v>80.534084511227292</v>
      </c>
      <c r="N55" s="140"/>
      <c r="O55" s="140">
        <f t="shared" ref="O55:V55" si="50">(O53*100/$O53)-100</f>
        <v>0</v>
      </c>
      <c r="P55" s="140">
        <f t="shared" si="50"/>
        <v>45.155831218876529</v>
      </c>
      <c r="Q55" s="140">
        <f t="shared" si="50"/>
        <v>-84.280596076170212</v>
      </c>
      <c r="R55" s="140">
        <f t="shared" si="50"/>
        <v>22.564970244916481</v>
      </c>
      <c r="S55" s="140">
        <f t="shared" si="50"/>
        <v>-35.846333557392654</v>
      </c>
      <c r="T55" s="140">
        <f t="shared" si="50"/>
        <v>27.73087399918164</v>
      </c>
      <c r="U55" s="140">
        <f t="shared" si="50"/>
        <v>15.527412432625141</v>
      </c>
      <c r="V55" s="140">
        <f t="shared" si="50"/>
        <v>7.3154929846947567</v>
      </c>
    </row>
    <row r="56" spans="1:22" s="3" customFormat="1" x14ac:dyDescent="0.3">
      <c r="A56" s="61"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1" t="s">
        <v>85</v>
      </c>
      <c r="B57" s="140" t="e">
        <f ca="1">IF(B56&gt;0.05,"Oui","Non")</f>
        <v>#NAME?</v>
      </c>
      <c r="C57" s="140" t="e">
        <f t="shared" ref="C57:V57" ca="1" si="51">IF(C56&gt;0.05,"Oui","Non")</f>
        <v>#NAME?</v>
      </c>
      <c r="D57" s="140" t="e">
        <f t="shared" ca="1" si="51"/>
        <v>#NAME?</v>
      </c>
      <c r="E57" s="140" t="e">
        <f t="shared" ca="1" si="51"/>
        <v>#NAME?</v>
      </c>
      <c r="F57" s="140" t="e">
        <f t="shared" ca="1" si="51"/>
        <v>#NAME?</v>
      </c>
      <c r="G57" s="140" t="e">
        <f t="shared" ca="1" si="51"/>
        <v>#NAME?</v>
      </c>
      <c r="H57" s="140" t="e">
        <f t="shared" ca="1" si="51"/>
        <v>#NAME?</v>
      </c>
      <c r="I57" s="140" t="e">
        <f t="shared" ca="1" si="51"/>
        <v>#NAME?</v>
      </c>
      <c r="J57" s="140" t="e">
        <f t="shared" ca="1" si="51"/>
        <v>#NAME?</v>
      </c>
      <c r="K57" s="140" t="e">
        <f t="shared" ca="1" si="51"/>
        <v>#NAME?</v>
      </c>
      <c r="L57" s="140" t="e">
        <f t="shared" ca="1" si="51"/>
        <v>#NAME?</v>
      </c>
      <c r="M57" s="140" t="e">
        <f t="shared" ca="1" si="51"/>
        <v>#NAME?</v>
      </c>
      <c r="N57" s="140"/>
      <c r="O57" s="140" t="e">
        <f t="shared" ca="1" si="51"/>
        <v>#NAME?</v>
      </c>
      <c r="P57" s="140" t="e">
        <f t="shared" ca="1" si="51"/>
        <v>#NAME?</v>
      </c>
      <c r="Q57" s="140" t="e">
        <f t="shared" ca="1" si="51"/>
        <v>#NAME?</v>
      </c>
      <c r="R57" s="140" t="e">
        <f t="shared" ca="1" si="51"/>
        <v>#NAME?</v>
      </c>
      <c r="S57" s="140" t="e">
        <f t="shared" ca="1" si="51"/>
        <v>#NAME?</v>
      </c>
      <c r="T57" s="140" t="e">
        <f t="shared" ca="1" si="51"/>
        <v>#NAME?</v>
      </c>
      <c r="U57" s="140" t="e">
        <f t="shared" ca="1" si="51"/>
        <v>#NAME?</v>
      </c>
      <c r="V57" s="140" t="e">
        <f t="shared" ca="1" si="51"/>
        <v>#NAME?</v>
      </c>
    </row>
    <row r="58" spans="1:22" s="3" customFormat="1" x14ac:dyDescent="0.3">
      <c r="A58" s="61"/>
      <c r="B58" s="140"/>
      <c r="C58" s="140"/>
      <c r="D58" s="140"/>
      <c r="E58" s="140"/>
      <c r="F58" s="140"/>
      <c r="G58" s="140"/>
      <c r="H58" s="140"/>
      <c r="I58" s="140"/>
      <c r="J58" s="140"/>
      <c r="K58" s="140"/>
      <c r="L58" s="140"/>
      <c r="M58" s="140"/>
      <c r="N58" s="146"/>
      <c r="O58" s="147"/>
      <c r="P58" s="140"/>
      <c r="Q58" s="140"/>
      <c r="R58" s="140"/>
      <c r="S58" s="140"/>
      <c r="T58" s="140"/>
      <c r="U58" s="140"/>
      <c r="V58" s="140"/>
    </row>
    <row r="59" spans="1:22" s="3" customFormat="1" x14ac:dyDescent="0.3">
      <c r="A59" s="61" t="s">
        <v>82</v>
      </c>
      <c r="B59" s="148"/>
      <c r="C59" s="148" t="e">
        <f t="shared" ref="C59:O59" ca="1" si="52">IF($B57="Non",IF(C57="Non","MW",IF(C57="Oui","MW","")),IF($B57="Oui",IF(C57="Oui","T-Test Welch",IF(C57="Non","MW",""))))</f>
        <v>#NAME?</v>
      </c>
      <c r="D59" s="148" t="e">
        <f t="shared" ca="1" si="52"/>
        <v>#NAME?</v>
      </c>
      <c r="E59" s="148" t="e">
        <f t="shared" ca="1" si="52"/>
        <v>#NAME?</v>
      </c>
      <c r="F59" s="148" t="e">
        <f t="shared" ca="1" si="52"/>
        <v>#NAME?</v>
      </c>
      <c r="G59" s="148" t="e">
        <f t="shared" ca="1" si="52"/>
        <v>#NAME?</v>
      </c>
      <c r="H59" s="148" t="e">
        <f t="shared" ca="1" si="52"/>
        <v>#NAME?</v>
      </c>
      <c r="I59" s="148" t="e">
        <f t="shared" ca="1" si="52"/>
        <v>#NAME?</v>
      </c>
      <c r="J59" s="148" t="e">
        <f t="shared" ca="1" si="52"/>
        <v>#NAME?</v>
      </c>
      <c r="K59" s="148" t="e">
        <f t="shared" ca="1" si="52"/>
        <v>#NAME?</v>
      </c>
      <c r="L59" s="148" t="e">
        <f t="shared" ca="1" si="52"/>
        <v>#NAME?</v>
      </c>
      <c r="M59" s="148" t="e">
        <f t="shared" ca="1" si="52"/>
        <v>#NAME?</v>
      </c>
      <c r="N59" s="148"/>
      <c r="O59" s="148" t="e">
        <f t="shared" ca="1" si="52"/>
        <v>#NAME?</v>
      </c>
      <c r="P59" s="148" t="e">
        <f t="shared" ref="P59:V59" ca="1" si="53">IF($O57="Non",IF(P57="Non","MW",IF(P57="Oui","MW","")),IF($O57="Oui",IF(P57="Oui","T-Test Welch",IF(P57="Non","MW",""))))</f>
        <v>#NAME?</v>
      </c>
      <c r="Q59" s="148" t="e">
        <f t="shared" ca="1" si="53"/>
        <v>#NAME?</v>
      </c>
      <c r="R59" s="148" t="e">
        <f t="shared" ca="1" si="53"/>
        <v>#NAME?</v>
      </c>
      <c r="S59" s="148" t="e">
        <f t="shared" ca="1" si="53"/>
        <v>#NAME?</v>
      </c>
      <c r="T59" s="148" t="e">
        <f t="shared" ca="1" si="53"/>
        <v>#NAME?</v>
      </c>
      <c r="U59" s="148" t="e">
        <f t="shared" ca="1" si="53"/>
        <v>#NAME?</v>
      </c>
      <c r="V59" s="148" t="e">
        <f t="shared" ca="1" si="53"/>
        <v>#NAME?</v>
      </c>
    </row>
    <row r="60" spans="1:22" s="3" customFormat="1" x14ac:dyDescent="0.3">
      <c r="A60" s="61" t="s">
        <v>83</v>
      </c>
      <c r="B60" s="149"/>
      <c r="C60" s="149" t="e">
        <f ca="1">IF(C59="MW",[1]!MTEST($B28:$B43,C28:C43,2), IF(C59="T-Test Welch",_xlfn.T.TEST($B28:$B43,C28:C43,2,3),""))</f>
        <v>#NAME?</v>
      </c>
      <c r="D60" s="149" t="e">
        <f ca="1">IF(D59="MW",[1]!MTEST($B28:$B43,D28:D43,2), IF(D59="T-Test Welch",_xlfn.T.TEST($B28:$B43,D28:D43,2,3),""))</f>
        <v>#NAME?</v>
      </c>
      <c r="E60" s="149" t="e">
        <f ca="1">IF(E59="MW",[1]!MTEST($B28:$B43,E28:E43,2), IF(E59="T-Test Welch",_xlfn.T.TEST($B28:$B43,E28:E43,2,3),""))</f>
        <v>#NAME?</v>
      </c>
      <c r="F60" s="149" t="e">
        <f ca="1">IF(F59="MW",[1]!MTEST($B28:$B43,F28:F43,2), IF(F59="T-Test Welch",_xlfn.T.TEST($B28:$B43,F28:F43,2,3),""))</f>
        <v>#NAME?</v>
      </c>
      <c r="G60" s="149" t="e">
        <f ca="1">IF(G59="MW",[1]!MTEST($B28:$B43,G28:G43,2), IF(G59="T-Test Welch",_xlfn.T.TEST($B28:$B43,G28:G43,2,3),""))</f>
        <v>#NAME?</v>
      </c>
      <c r="H60" s="149" t="e">
        <f ca="1">IF(H59="MW",[1]!MTEST($B28:$B43,H28:H43,2), IF(H59="T-Test Welch",_xlfn.T.TEST($B28:$B43,H28:H43,2,3),""))</f>
        <v>#NAME?</v>
      </c>
      <c r="I60" s="149" t="e">
        <f ca="1">IF(I59="MW",[1]!MTEST($B28:$B43,I28:I43,2), IF(I59="T-Test Welch",_xlfn.T.TEST($B28:$B43,I28:I43,2,3),""))</f>
        <v>#NAME?</v>
      </c>
      <c r="J60" s="149" t="e">
        <f ca="1">IF(J59="MW",[1]!MTEST($B28:$B43,J28:J43,2), IF(J59="T-Test Welch",_xlfn.T.TEST($B28:$B43,J28:J43,2,3),""))</f>
        <v>#NAME?</v>
      </c>
      <c r="K60" s="149" t="e">
        <f ca="1">IF(K59="MW",[1]!MTEST($B28:$B43,K28:K43,2), IF(K59="T-Test Welch",_xlfn.T.TEST($B28:$B43,K28:K43,2,3),""))</f>
        <v>#NAME?</v>
      </c>
      <c r="L60" s="149" t="e">
        <f ca="1">IF(L59="MW",[1]!MTEST($B28:$B43,L28:L43,2), IF(L59="T-Test Welch",_xlfn.T.TEST($B28:$B43,L28:L43,2,3),""))</f>
        <v>#NAME?</v>
      </c>
      <c r="M60" s="149" t="e">
        <f ca="1">IF(M59="MW",[1]!MTEST($B28:$B43,M28:M43,2), IF(M59="T-Test Welch",_xlfn.T.TEST($B28:$B43,M28:M43,2,3),""))</f>
        <v>#NAME?</v>
      </c>
      <c r="N60" s="149"/>
      <c r="O60" s="149" t="e">
        <f ca="1">IF(O59="MW",[1]!MTEST($B28:$B43,O28:O43,2), IF(O59="T-Test Welch",_xlfn.T.TEST($B28:$B43,O28:O43,2,3),""))</f>
        <v>#NAME?</v>
      </c>
      <c r="P60" s="149" t="e">
        <f ca="1">IF(P59="MW",[1]!MTEST($O28:$O43,P28:P43,2), IF(P59="T-Test Welch",_xlfn.T.TEST($O28:$O43,P28:P43,2,3),""))</f>
        <v>#NAME?</v>
      </c>
      <c r="Q60" s="149" t="e">
        <f ca="1">IF(Q59="MW",[1]!MTEST($O28:$O43,Q28:Q43,2), IF(Q59="T-Test Welch",_xlfn.T.TEST($O28:$O43,Q28:Q43,2,3),""))</f>
        <v>#NAME?</v>
      </c>
      <c r="R60" s="149" t="e">
        <f ca="1">IF(R59="MW",[1]!MTEST($O28:$O43,R28:R43,2), IF(R59="T-Test Welch",_xlfn.T.TEST($O28:$O43,R28:R43,2,3),""))</f>
        <v>#NAME?</v>
      </c>
      <c r="S60" s="149" t="e">
        <f ca="1">IF(S59="MW",[1]!MTEST($O28:$O43,S28:S43,2), IF(S59="T-Test Welch",_xlfn.T.TEST($O28:$O43,S28:S43,2,3),""))</f>
        <v>#NAME?</v>
      </c>
      <c r="T60" s="149" t="e">
        <f ca="1">IF(T59="MW",[1]!MTEST($O28:$O43,T28:T43,2), IF(T59="T-Test Welch",_xlfn.T.TEST($O28:$O43,T28:T43,2,3),""))</f>
        <v>#NAME?</v>
      </c>
      <c r="U60" s="149" t="e">
        <f ca="1">IF(U59="MW",[1]!MTEST($O28:$O43,U28:U43,2), IF(U59="T-Test Welch",_xlfn.T.TEST($O28:$O43,U28:U43,2,3),""))</f>
        <v>#NAME?</v>
      </c>
      <c r="V60" s="149" t="e">
        <f ca="1">IF(V59="MW",[1]!MTEST($O28:$O43,V28:V43,2), IF(V59="T-Test Welch",_xlfn.T.TEST($O28:$O43,V28:V43,2,3),""))</f>
        <v>#NAME?</v>
      </c>
    </row>
    <row r="61" spans="1:22" s="3" customFormat="1" ht="15" thickBot="1" x14ac:dyDescent="0.35">
      <c r="A61" s="62" t="s">
        <v>84</v>
      </c>
      <c r="B61" s="141"/>
      <c r="C61" s="141" t="e">
        <f t="shared" ref="C61:O61" ca="1" si="54">IF(C60&gt;0.05,"NS",IF(C60&gt;0.01,"*",IF(C60&gt;0.001,"**","***")))</f>
        <v>#NAME?</v>
      </c>
      <c r="D61" s="141" t="e">
        <f t="shared" ca="1" si="54"/>
        <v>#NAME?</v>
      </c>
      <c r="E61" s="141" t="e">
        <f t="shared" ca="1" si="54"/>
        <v>#NAME?</v>
      </c>
      <c r="F61" s="141" t="e">
        <f t="shared" ca="1" si="54"/>
        <v>#NAME?</v>
      </c>
      <c r="G61" s="141" t="e">
        <f t="shared" ca="1" si="54"/>
        <v>#NAME?</v>
      </c>
      <c r="H61" s="141" t="e">
        <f t="shared" ca="1" si="54"/>
        <v>#NAME?</v>
      </c>
      <c r="I61" s="141" t="e">
        <f t="shared" ca="1" si="54"/>
        <v>#NAME?</v>
      </c>
      <c r="J61" s="141" t="e">
        <f t="shared" ca="1" si="54"/>
        <v>#NAME?</v>
      </c>
      <c r="K61" s="141" t="e">
        <f t="shared" ca="1" si="54"/>
        <v>#NAME?</v>
      </c>
      <c r="L61" s="141" t="e">
        <f t="shared" ca="1" si="54"/>
        <v>#NAME?</v>
      </c>
      <c r="M61" s="141" t="e">
        <f t="shared" ca="1" si="54"/>
        <v>#NAME?</v>
      </c>
      <c r="N61" s="141"/>
      <c r="O61" s="141" t="e">
        <f t="shared" ca="1" si="54"/>
        <v>#NAME?</v>
      </c>
      <c r="P61" s="141" t="e">
        <f ca="1">IF(P60&gt;0.05,"NS",IF(P60&gt;0.01,"*",IF(P60&gt;0.001,"**","***")))</f>
        <v>#NAME?</v>
      </c>
      <c r="Q61" s="141" t="e">
        <f t="shared" ref="Q61:V61" ca="1" si="55">IF(Q60&gt;0.05,"NS",IF(Q60&gt;0.01,"*",IF(Q60&gt;0.001,"**","***")))</f>
        <v>#NAME?</v>
      </c>
      <c r="R61" s="141" t="e">
        <f t="shared" ca="1" si="55"/>
        <v>#NAME?</v>
      </c>
      <c r="S61" s="141" t="e">
        <f t="shared" ca="1" si="55"/>
        <v>#NAME?</v>
      </c>
      <c r="T61" s="141" t="e">
        <f t="shared" ca="1" si="55"/>
        <v>#NAME?</v>
      </c>
      <c r="U61" s="141" t="e">
        <f t="shared" ca="1" si="55"/>
        <v>#NAME?</v>
      </c>
      <c r="V61" s="141" t="e">
        <f t="shared" ca="1" si="55"/>
        <v>#NAME?</v>
      </c>
    </row>
    <row r="63" spans="1:22" x14ac:dyDescent="0.3">
      <c r="A63" s="2" t="s">
        <v>39</v>
      </c>
    </row>
    <row r="64" spans="1:22" x14ac:dyDescent="0.3">
      <c r="A64" s="1" t="s">
        <v>23</v>
      </c>
      <c r="B64" s="1">
        <f>B46+(3*B47)</f>
        <v>0.25177467847402007</v>
      </c>
    </row>
    <row r="65" spans="1:22" x14ac:dyDescent="0.3">
      <c r="A65" s="1" t="s">
        <v>24</v>
      </c>
      <c r="B65" s="1">
        <f>B46+(10*B47)</f>
        <v>0.68645390777399184</v>
      </c>
    </row>
    <row r="66" spans="1:22" ht="15" thickBot="1" x14ac:dyDescent="0.35"/>
    <row r="67" spans="1:22" ht="26.4" thickBot="1" x14ac:dyDescent="0.55000000000000004">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K1" zoomScale="80" zoomScaleNormal="80" workbookViewId="0">
      <selection activeCell="X5" sqref="X5:X12"/>
    </sheetView>
  </sheetViews>
  <sheetFormatPr defaultColWidth="11.44140625" defaultRowHeight="14.4" x14ac:dyDescent="0.3"/>
  <cols>
    <col min="1" max="2" width="15" style="1" customWidth="1"/>
    <col min="3" max="3" width="25.44140625" style="1" customWidth="1"/>
    <col min="4" max="4" width="14" style="1" customWidth="1"/>
    <col min="5" max="5" width="21.21875" style="1" customWidth="1"/>
    <col min="6" max="6" width="11.44140625" style="1"/>
    <col min="7" max="7" width="21.44140625" style="1" customWidth="1"/>
    <col min="8" max="8" width="12.21875" style="1" customWidth="1"/>
    <col min="9" max="9" width="17.21875" style="1" customWidth="1"/>
    <col min="10" max="10" width="11.44140625" style="1"/>
    <col min="11" max="11" width="37.44140625" style="1" bestFit="1" customWidth="1"/>
    <col min="12" max="12" width="38.44140625" style="1" bestFit="1" customWidth="1"/>
    <col min="13" max="14" width="12.77734375" style="1" customWidth="1"/>
    <col min="15" max="25" width="12.21875" style="1" customWidth="1"/>
    <col min="26" max="16384" width="11.44140625" style="1"/>
  </cols>
  <sheetData>
    <row r="1" spans="1:144" x14ac:dyDescent="0.3">
      <c r="A1" s="1" t="s">
        <v>107</v>
      </c>
      <c r="B1" s="1" t="s">
        <v>108</v>
      </c>
      <c r="C1" s="1" t="s">
        <v>109</v>
      </c>
      <c r="D1" s="1" t="s">
        <v>110</v>
      </c>
      <c r="E1" s="1" t="s">
        <v>111</v>
      </c>
      <c r="F1" s="1" t="s">
        <v>112</v>
      </c>
      <c r="G1" s="1" t="s">
        <v>113</v>
      </c>
      <c r="H1" s="1" t="s">
        <v>117</v>
      </c>
      <c r="I1" s="1" t="s">
        <v>118</v>
      </c>
      <c r="J1" s="1" t="s">
        <v>1487</v>
      </c>
      <c r="K1" s="195" t="s">
        <v>112</v>
      </c>
      <c r="L1" s="193"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3">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93" t="s">
        <v>3001</v>
      </c>
      <c r="D2" s="193" t="s">
        <v>194</v>
      </c>
      <c r="E2" s="193" t="s">
        <v>3002</v>
      </c>
      <c r="F2" s="193" t="s">
        <v>112</v>
      </c>
      <c r="G2" s="193">
        <v>79271</v>
      </c>
      <c r="H2" s="193"/>
      <c r="I2" s="193"/>
      <c r="J2" s="193"/>
      <c r="K2" s="153" t="s">
        <v>120</v>
      </c>
      <c r="L2" s="153"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3">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93" t="s">
        <v>3003</v>
      </c>
      <c r="D3" s="193" t="s">
        <v>910</v>
      </c>
      <c r="E3" s="193" t="s">
        <v>3004</v>
      </c>
      <c r="F3" s="193" t="s">
        <v>112</v>
      </c>
      <c r="G3" s="193">
        <v>250277</v>
      </c>
      <c r="H3" s="193"/>
      <c r="I3" s="193"/>
      <c r="J3" s="193"/>
      <c r="K3" s="195" t="s">
        <v>153</v>
      </c>
      <c r="L3" s="195"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3">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93" t="s">
        <v>3005</v>
      </c>
      <c r="D4" s="193"/>
      <c r="E4" s="193"/>
      <c r="F4" s="193"/>
      <c r="G4" s="193"/>
      <c r="H4" s="193"/>
      <c r="I4" s="193"/>
      <c r="J4" s="193"/>
      <c r="K4" s="195" t="s">
        <v>100</v>
      </c>
      <c r="L4" s="193" t="s">
        <v>1488</v>
      </c>
      <c r="M4" s="193" t="s">
        <v>1489</v>
      </c>
      <c r="N4" s="193" t="s">
        <v>1490</v>
      </c>
      <c r="O4" s="193" t="s">
        <v>1491</v>
      </c>
      <c r="P4" s="193" t="s">
        <v>1492</v>
      </c>
      <c r="Q4" s="193" t="s">
        <v>1493</v>
      </c>
      <c r="R4" s="193" t="s">
        <v>1494</v>
      </c>
      <c r="S4" s="193" t="s">
        <v>1495</v>
      </c>
      <c r="T4" s="193" t="s">
        <v>1496</v>
      </c>
      <c r="U4" s="193" t="s">
        <v>1497</v>
      </c>
      <c r="V4" s="193" t="s">
        <v>1498</v>
      </c>
      <c r="W4" s="193" t="s">
        <v>1499</v>
      </c>
      <c r="X4" s="193" t="s">
        <v>1500</v>
      </c>
      <c r="Y4" s="193" t="s">
        <v>1501</v>
      </c>
      <c r="Z4" s="193" t="s">
        <v>4187</v>
      </c>
      <c r="AA4" s="193" t="s">
        <v>1503</v>
      </c>
      <c r="AB4" s="193" t="s">
        <v>1504</v>
      </c>
      <c r="AC4" s="193" t="s">
        <v>1505</v>
      </c>
      <c r="AD4" s="193" t="s">
        <v>1506</v>
      </c>
      <c r="AE4" s="193" t="s">
        <v>1507</v>
      </c>
      <c r="AF4" s="193" t="s">
        <v>1508</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3">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93" t="s">
        <v>3006</v>
      </c>
      <c r="D5" s="193" t="s">
        <v>1322</v>
      </c>
      <c r="E5" s="193" t="s">
        <v>3007</v>
      </c>
      <c r="F5" s="193" t="s">
        <v>112</v>
      </c>
      <c r="G5" s="193">
        <v>276708</v>
      </c>
      <c r="H5" s="193"/>
      <c r="I5" s="193"/>
      <c r="J5" s="193"/>
      <c r="K5" s="196" t="s">
        <v>163</v>
      </c>
      <c r="L5" s="194">
        <v>164774</v>
      </c>
      <c r="M5" s="194">
        <v>169233</v>
      </c>
      <c r="N5" s="194"/>
      <c r="O5" s="194">
        <v>251886.5</v>
      </c>
      <c r="P5" s="194">
        <v>1085621</v>
      </c>
      <c r="Q5" s="194">
        <v>3328933.3333333335</v>
      </c>
      <c r="R5" s="194">
        <v>4815509</v>
      </c>
      <c r="S5" s="194">
        <v>1399854.5</v>
      </c>
      <c r="T5" s="194">
        <v>404554.66666666669</v>
      </c>
      <c r="U5" s="194">
        <v>50969</v>
      </c>
      <c r="V5" s="194">
        <v>190461.33333333334</v>
      </c>
      <c r="W5" s="194">
        <v>101546.33333333333</v>
      </c>
      <c r="X5" s="194">
        <v>678282</v>
      </c>
      <c r="Y5" s="194">
        <v>196491</v>
      </c>
      <c r="Z5" s="194">
        <v>554155</v>
      </c>
      <c r="AA5" s="194">
        <v>156685</v>
      </c>
      <c r="AB5" s="194">
        <v>252749.66666666666</v>
      </c>
      <c r="AC5" s="194">
        <v>199568.66666666666</v>
      </c>
      <c r="AD5" s="194">
        <v>645891</v>
      </c>
      <c r="AE5" s="194">
        <v>835141</v>
      </c>
      <c r="AF5" s="194">
        <v>87330.5</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3">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93" t="s">
        <v>3008</v>
      </c>
      <c r="D6" s="193" t="s">
        <v>743</v>
      </c>
      <c r="E6" s="193" t="s">
        <v>3009</v>
      </c>
      <c r="F6" s="193" t="s">
        <v>112</v>
      </c>
      <c r="G6" s="193">
        <v>39722</v>
      </c>
      <c r="H6" s="193"/>
      <c r="I6" s="193"/>
      <c r="J6" s="193"/>
      <c r="K6" s="196" t="s">
        <v>1509</v>
      </c>
      <c r="L6" s="194">
        <v>164966</v>
      </c>
      <c r="M6" s="194">
        <v>52481</v>
      </c>
      <c r="N6" s="194">
        <v>174487</v>
      </c>
      <c r="O6" s="194"/>
      <c r="P6" s="194">
        <v>302953.5</v>
      </c>
      <c r="Q6" s="194">
        <v>2895696.5</v>
      </c>
      <c r="R6" s="194">
        <v>4168889.3333333335</v>
      </c>
      <c r="S6" s="194">
        <v>310698</v>
      </c>
      <c r="T6" s="194">
        <v>170339</v>
      </c>
      <c r="U6" s="194">
        <v>108486</v>
      </c>
      <c r="V6" s="194">
        <v>17628</v>
      </c>
      <c r="W6" s="194">
        <v>159600</v>
      </c>
      <c r="X6" s="194">
        <v>1630846.5</v>
      </c>
      <c r="Y6" s="194">
        <v>1747348.6666666667</v>
      </c>
      <c r="Z6" s="194">
        <v>2294854.3333333335</v>
      </c>
      <c r="AA6" s="194">
        <v>268180.5</v>
      </c>
      <c r="AB6" s="194">
        <v>32391.5</v>
      </c>
      <c r="AC6" s="194">
        <v>65196</v>
      </c>
      <c r="AD6" s="194">
        <v>213883</v>
      </c>
      <c r="AE6" s="194">
        <v>1539738</v>
      </c>
      <c r="AF6" s="194">
        <v>991732</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3">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93" t="s">
        <v>3010</v>
      </c>
      <c r="D7" s="193" t="s">
        <v>3011</v>
      </c>
      <c r="E7" s="193" t="s">
        <v>3012</v>
      </c>
      <c r="F7" s="193" t="s">
        <v>112</v>
      </c>
      <c r="G7" s="193">
        <v>178468</v>
      </c>
      <c r="H7" s="193"/>
      <c r="I7" s="193"/>
      <c r="J7" s="193"/>
      <c r="K7" s="196" t="s">
        <v>1510</v>
      </c>
      <c r="L7" s="194">
        <v>320933</v>
      </c>
      <c r="M7" s="194">
        <v>525168.5</v>
      </c>
      <c r="N7" s="194">
        <v>30781.5</v>
      </c>
      <c r="O7" s="194">
        <v>103754.5</v>
      </c>
      <c r="P7" s="194">
        <v>746966.33333333337</v>
      </c>
      <c r="Q7" s="194">
        <v>1565530.6666666667</v>
      </c>
      <c r="R7" s="194">
        <v>2417509.6666666665</v>
      </c>
      <c r="S7" s="194">
        <v>167830.33333333334</v>
      </c>
      <c r="T7" s="194">
        <v>29009</v>
      </c>
      <c r="U7" s="194">
        <v>27083</v>
      </c>
      <c r="V7" s="194">
        <v>180331.33333333334</v>
      </c>
      <c r="W7" s="194">
        <v>104527</v>
      </c>
      <c r="X7" s="194">
        <v>869008</v>
      </c>
      <c r="Y7" s="194"/>
      <c r="Z7" s="194">
        <v>2868805.3333333335</v>
      </c>
      <c r="AA7" s="194">
        <v>42420</v>
      </c>
      <c r="AB7" s="194">
        <v>2114102.3333333335</v>
      </c>
      <c r="AC7" s="194">
        <v>380321</v>
      </c>
      <c r="AD7" s="194">
        <v>1431266.3333333333</v>
      </c>
      <c r="AE7" s="194">
        <v>1391239.6666666667</v>
      </c>
      <c r="AF7" s="194">
        <v>731520.66666666663</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3">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93" t="s">
        <v>3013</v>
      </c>
      <c r="D8" s="193" t="s">
        <v>3014</v>
      </c>
      <c r="E8" s="193" t="s">
        <v>3015</v>
      </c>
      <c r="F8" s="193" t="s">
        <v>112</v>
      </c>
      <c r="G8" s="193">
        <v>344449</v>
      </c>
      <c r="H8" s="193"/>
      <c r="I8" s="193"/>
      <c r="J8" s="193"/>
      <c r="K8" s="196" t="s">
        <v>1511</v>
      </c>
      <c r="L8" s="194">
        <v>54514.666666666664</v>
      </c>
      <c r="M8" s="194">
        <v>94889.666666666672</v>
      </c>
      <c r="N8" s="194">
        <v>19324.666666666668</v>
      </c>
      <c r="O8" s="194">
        <v>28280</v>
      </c>
      <c r="P8" s="194">
        <v>1514097.6666666667</v>
      </c>
      <c r="Q8" s="194">
        <v>2936518</v>
      </c>
      <c r="R8" s="194">
        <v>7612922.5</v>
      </c>
      <c r="S8" s="194">
        <v>15278.666666666666</v>
      </c>
      <c r="T8" s="194">
        <v>14879.5</v>
      </c>
      <c r="U8" s="194">
        <v>43101.333333333336</v>
      </c>
      <c r="V8" s="194">
        <v>89966.333333333328</v>
      </c>
      <c r="W8" s="194">
        <v>13530.666666666666</v>
      </c>
      <c r="X8" s="194">
        <v>875770</v>
      </c>
      <c r="Y8" s="194">
        <v>1455239</v>
      </c>
      <c r="Z8" s="194">
        <v>2464657</v>
      </c>
      <c r="AA8" s="194">
        <v>22761.666666666668</v>
      </c>
      <c r="AB8" s="194">
        <v>2610168</v>
      </c>
      <c r="AC8" s="194">
        <v>764405</v>
      </c>
      <c r="AD8" s="194">
        <v>1407946.6666666667</v>
      </c>
      <c r="AE8" s="194">
        <v>2030843.6666666667</v>
      </c>
      <c r="AF8" s="194">
        <v>1675126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3">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93" t="s">
        <v>3016</v>
      </c>
      <c r="D9" s="193" t="s">
        <v>422</v>
      </c>
      <c r="E9" s="193" t="s">
        <v>3017</v>
      </c>
      <c r="F9" s="193" t="s">
        <v>112</v>
      </c>
      <c r="G9" s="193">
        <v>297417</v>
      </c>
      <c r="H9" s="193"/>
      <c r="I9" s="193"/>
      <c r="J9" s="193"/>
      <c r="K9" s="196" t="s">
        <v>1512</v>
      </c>
      <c r="L9" s="194">
        <v>101118.66666666667</v>
      </c>
      <c r="M9" s="194">
        <v>21079</v>
      </c>
      <c r="N9" s="194">
        <v>148556</v>
      </c>
      <c r="O9" s="194">
        <v>80837</v>
      </c>
      <c r="P9" s="194">
        <v>6722</v>
      </c>
      <c r="Q9" s="194">
        <v>3682591.6666666665</v>
      </c>
      <c r="R9" s="194">
        <v>5468045.5</v>
      </c>
      <c r="S9" s="194">
        <v>67970</v>
      </c>
      <c r="T9" s="194">
        <v>70489.333333333328</v>
      </c>
      <c r="U9" s="194">
        <v>879026</v>
      </c>
      <c r="V9" s="194">
        <v>27312</v>
      </c>
      <c r="W9" s="194">
        <v>15923.666666666666</v>
      </c>
      <c r="X9" s="194">
        <v>2312126.6666666665</v>
      </c>
      <c r="Y9" s="194">
        <v>1706495</v>
      </c>
      <c r="Z9" s="194">
        <v>2965501</v>
      </c>
      <c r="AA9" s="194">
        <v>38406.5</v>
      </c>
      <c r="AB9" s="194">
        <v>128593.33333333333</v>
      </c>
      <c r="AC9" s="194">
        <v>51701.666666666664</v>
      </c>
      <c r="AD9" s="194">
        <v>1067906</v>
      </c>
      <c r="AE9" s="194">
        <v>2372638.3333333335</v>
      </c>
      <c r="AF9" s="194">
        <v>2671317.5</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3">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93" t="s">
        <v>3018</v>
      </c>
      <c r="D10" s="193"/>
      <c r="E10" s="193"/>
      <c r="F10" s="193"/>
      <c r="G10" s="193"/>
      <c r="H10" s="193"/>
      <c r="I10" s="193"/>
      <c r="J10" s="193"/>
      <c r="K10" s="196" t="s">
        <v>1513</v>
      </c>
      <c r="L10" s="194"/>
      <c r="M10" s="194">
        <v>30259.5</v>
      </c>
      <c r="N10" s="194">
        <v>30662</v>
      </c>
      <c r="O10" s="194">
        <v>911569</v>
      </c>
      <c r="P10" s="194">
        <v>658326.33333333337</v>
      </c>
      <c r="Q10" s="194">
        <v>3781070.6666666665</v>
      </c>
      <c r="R10" s="194">
        <v>2677038.5</v>
      </c>
      <c r="S10" s="194">
        <v>216805.33333333334</v>
      </c>
      <c r="T10" s="194">
        <v>56052.333333333336</v>
      </c>
      <c r="U10" s="194">
        <v>105234</v>
      </c>
      <c r="V10" s="194">
        <v>69517.666666666672</v>
      </c>
      <c r="W10" s="194">
        <v>210700</v>
      </c>
      <c r="X10" s="194">
        <v>1088884.3333333333</v>
      </c>
      <c r="Y10" s="194">
        <v>256063.33333333334</v>
      </c>
      <c r="Z10" s="194">
        <v>3081746</v>
      </c>
      <c r="AA10" s="194">
        <v>24179</v>
      </c>
      <c r="AB10" s="194">
        <v>817180</v>
      </c>
      <c r="AC10" s="194">
        <v>1126032.3333333333</v>
      </c>
      <c r="AD10" s="194">
        <v>1449025</v>
      </c>
      <c r="AE10" s="194">
        <v>1998256</v>
      </c>
      <c r="AF10" s="194">
        <v>1157662.3333333333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3">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93" t="s">
        <v>3019</v>
      </c>
      <c r="D11" s="193" t="s">
        <v>396</v>
      </c>
      <c r="E11" s="193" t="s">
        <v>3020</v>
      </c>
      <c r="F11" s="193" t="s">
        <v>112</v>
      </c>
      <c r="G11" s="193">
        <v>70656</v>
      </c>
      <c r="H11" s="193"/>
      <c r="I11" s="193"/>
      <c r="J11" s="193"/>
      <c r="K11" s="196" t="s">
        <v>1514</v>
      </c>
      <c r="L11" s="194">
        <v>85862</v>
      </c>
      <c r="M11" s="194">
        <v>88545</v>
      </c>
      <c r="N11" s="194">
        <v>62738</v>
      </c>
      <c r="O11" s="194">
        <v>295989</v>
      </c>
      <c r="P11" s="194">
        <v>419749.5</v>
      </c>
      <c r="Q11" s="194">
        <v>1458669</v>
      </c>
      <c r="R11" s="194">
        <v>2592221</v>
      </c>
      <c r="S11" s="194">
        <v>76065.666666666672</v>
      </c>
      <c r="T11" s="194">
        <v>12327</v>
      </c>
      <c r="U11" s="194">
        <v>17925</v>
      </c>
      <c r="V11" s="194">
        <v>94009</v>
      </c>
      <c r="W11" s="194">
        <v>28519</v>
      </c>
      <c r="X11" s="194">
        <v>528282.66666666663</v>
      </c>
      <c r="Y11" s="194">
        <v>612368.33333333337</v>
      </c>
      <c r="Z11" s="194">
        <v>4025198.6666666665</v>
      </c>
      <c r="AA11" s="194">
        <v>89908.5</v>
      </c>
      <c r="AB11" s="194">
        <v>725524</v>
      </c>
      <c r="AC11" s="194">
        <v>449084.66666666669</v>
      </c>
      <c r="AD11" s="194">
        <v>3062645.6666666665</v>
      </c>
      <c r="AE11" s="194">
        <v>2893967.6666666665</v>
      </c>
      <c r="AF11" s="194">
        <v>1984979.3333333333</v>
      </c>
      <c r="AG11"/>
    </row>
    <row r="12" spans="1:144" x14ac:dyDescent="0.3">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93" t="s">
        <v>3021</v>
      </c>
      <c r="D12" s="193" t="s">
        <v>214</v>
      </c>
      <c r="E12" s="193" t="s">
        <v>3022</v>
      </c>
      <c r="F12" s="193" t="s">
        <v>112</v>
      </c>
      <c r="G12" s="193">
        <v>25778</v>
      </c>
      <c r="H12" s="193"/>
      <c r="I12" s="193"/>
      <c r="J12" s="193"/>
      <c r="K12" s="196" t="s">
        <v>1515</v>
      </c>
      <c r="L12" s="194">
        <v>10442</v>
      </c>
      <c r="M12" s="194">
        <v>12653.333333333334</v>
      </c>
      <c r="N12" s="194">
        <v>137614.5</v>
      </c>
      <c r="O12" s="194">
        <v>40708.666666666664</v>
      </c>
      <c r="P12" s="194">
        <v>92366</v>
      </c>
      <c r="Q12" s="194">
        <v>2432686.3333333335</v>
      </c>
      <c r="R12" s="194">
        <v>5835162</v>
      </c>
      <c r="S12" s="194">
        <v>14256</v>
      </c>
      <c r="T12" s="194">
        <v>130610</v>
      </c>
      <c r="U12" s="194">
        <v>215253</v>
      </c>
      <c r="V12" s="194">
        <v>92613</v>
      </c>
      <c r="W12" s="194">
        <v>377819</v>
      </c>
      <c r="X12" s="194">
        <v>534467.66666666663</v>
      </c>
      <c r="Y12" s="194">
        <v>1739814.3333333333</v>
      </c>
      <c r="Z12" s="194">
        <v>2364299.6666666665</v>
      </c>
      <c r="AA12" s="194">
        <v>20202.333333333332</v>
      </c>
      <c r="AB12" s="194">
        <v>496203</v>
      </c>
      <c r="AC12" s="194">
        <v>3243492.3333333335</v>
      </c>
      <c r="AD12" s="194">
        <v>3307571.3333333335</v>
      </c>
      <c r="AE12" s="194">
        <v>1765991.6666666667</v>
      </c>
      <c r="AF12" s="194">
        <v>1748197</v>
      </c>
      <c r="AG12"/>
    </row>
    <row r="13" spans="1:144" x14ac:dyDescent="0.3">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93" t="s">
        <v>3023</v>
      </c>
      <c r="D13" s="193" t="s">
        <v>396</v>
      </c>
      <c r="E13" s="193" t="s">
        <v>3024</v>
      </c>
      <c r="F13" s="193" t="s">
        <v>112</v>
      </c>
      <c r="G13" s="193">
        <v>67110</v>
      </c>
      <c r="H13" s="193"/>
      <c r="I13" s="193"/>
      <c r="J13" s="193"/>
      <c r="K13"/>
      <c r="L13"/>
      <c r="M13"/>
      <c r="N13"/>
      <c r="O13"/>
      <c r="P13"/>
      <c r="Q13"/>
      <c r="R13"/>
      <c r="S13"/>
      <c r="T13"/>
      <c r="U13"/>
      <c r="V13"/>
      <c r="W13"/>
      <c r="X13"/>
      <c r="Y13"/>
      <c r="Z13"/>
      <c r="AA13"/>
      <c r="AB13"/>
      <c r="AC13"/>
      <c r="AD13"/>
      <c r="AE13"/>
      <c r="AF13"/>
      <c r="AG13"/>
    </row>
    <row r="14" spans="1:144" x14ac:dyDescent="0.3">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93" t="s">
        <v>3025</v>
      </c>
      <c r="D14" s="193" t="s">
        <v>663</v>
      </c>
      <c r="E14" s="193" t="s">
        <v>3026</v>
      </c>
      <c r="F14" s="193" t="s">
        <v>112</v>
      </c>
      <c r="G14" s="193">
        <v>78074</v>
      </c>
      <c r="H14" s="193"/>
      <c r="I14" s="193"/>
      <c r="J14" s="193"/>
      <c r="K14"/>
      <c r="L14"/>
      <c r="M14"/>
      <c r="N14"/>
      <c r="O14"/>
      <c r="P14"/>
      <c r="Q14"/>
      <c r="R14"/>
      <c r="S14"/>
      <c r="T14"/>
      <c r="U14"/>
      <c r="V14"/>
      <c r="W14"/>
      <c r="X14"/>
      <c r="Y14"/>
      <c r="Z14"/>
      <c r="AA14"/>
      <c r="AB14"/>
      <c r="AC14"/>
      <c r="AD14"/>
      <c r="AE14"/>
      <c r="AF14"/>
      <c r="AG14"/>
    </row>
    <row r="15" spans="1:144" x14ac:dyDescent="0.3">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93" t="s">
        <v>3027</v>
      </c>
      <c r="D15" s="193" t="s">
        <v>3028</v>
      </c>
      <c r="E15" s="193" t="s">
        <v>3029</v>
      </c>
      <c r="F15" s="193" t="s">
        <v>112</v>
      </c>
      <c r="G15" s="193">
        <v>201788</v>
      </c>
      <c r="H15" s="193"/>
      <c r="I15" s="193"/>
      <c r="J15" s="193"/>
    </row>
    <row r="16" spans="1:144" x14ac:dyDescent="0.3">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93" t="s">
        <v>3030</v>
      </c>
      <c r="D16" s="193" t="s">
        <v>690</v>
      </c>
      <c r="E16" s="193" t="s">
        <v>691</v>
      </c>
      <c r="F16" s="193" t="s">
        <v>112</v>
      </c>
      <c r="G16" s="193">
        <v>23494</v>
      </c>
      <c r="H16" s="193"/>
      <c r="I16" s="193"/>
      <c r="J16" s="193"/>
    </row>
    <row r="17" spans="1:10" x14ac:dyDescent="0.3">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93" t="s">
        <v>3031</v>
      </c>
      <c r="D17" s="193"/>
      <c r="E17" s="193"/>
      <c r="F17" s="193"/>
      <c r="G17" s="193"/>
      <c r="H17" s="193"/>
      <c r="I17" s="193"/>
      <c r="J17" s="193"/>
    </row>
    <row r="18" spans="1:10" x14ac:dyDescent="0.3">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93" t="s">
        <v>3032</v>
      </c>
      <c r="D18" s="193"/>
      <c r="E18" s="193"/>
      <c r="F18" s="193"/>
      <c r="G18" s="193"/>
      <c r="H18" s="193"/>
      <c r="I18" s="193"/>
      <c r="J18" s="193"/>
    </row>
    <row r="19" spans="1:10" x14ac:dyDescent="0.3">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93" t="s">
        <v>3033</v>
      </c>
      <c r="D19" s="193"/>
      <c r="E19" s="193"/>
      <c r="F19" s="193"/>
      <c r="G19" s="193"/>
      <c r="H19" s="193"/>
      <c r="I19" s="193"/>
      <c r="J19" s="193"/>
    </row>
    <row r="20" spans="1:10" x14ac:dyDescent="0.3">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93" t="s">
        <v>3034</v>
      </c>
      <c r="D20" s="193" t="s">
        <v>3035</v>
      </c>
      <c r="E20" s="193" t="s">
        <v>3036</v>
      </c>
      <c r="F20" s="193" t="s">
        <v>112</v>
      </c>
      <c r="G20" s="193">
        <v>146120</v>
      </c>
      <c r="H20" s="193"/>
      <c r="I20" s="193"/>
      <c r="J20" s="193"/>
    </row>
    <row r="21" spans="1:10" x14ac:dyDescent="0.3">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93" t="s">
        <v>3037</v>
      </c>
      <c r="D21" s="193" t="s">
        <v>680</v>
      </c>
      <c r="E21" s="193" t="s">
        <v>3038</v>
      </c>
      <c r="F21" s="193" t="s">
        <v>112</v>
      </c>
      <c r="G21" s="193">
        <v>25604</v>
      </c>
      <c r="H21" s="193"/>
      <c r="I21" s="193"/>
      <c r="J21" s="193"/>
    </row>
    <row r="22" spans="1:10" x14ac:dyDescent="0.3">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93" t="s">
        <v>3039</v>
      </c>
      <c r="D22" s="193"/>
      <c r="E22" s="193"/>
      <c r="F22" s="193"/>
      <c r="G22" s="193"/>
      <c r="H22" s="193"/>
      <c r="I22" s="193"/>
      <c r="J22" s="193"/>
    </row>
    <row r="23" spans="1:10" x14ac:dyDescent="0.3">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93" t="s">
        <v>3040</v>
      </c>
      <c r="D23" s="193"/>
      <c r="E23" s="193"/>
      <c r="F23" s="193"/>
      <c r="G23" s="193"/>
      <c r="H23" s="193"/>
      <c r="I23" s="193"/>
      <c r="J23" s="193"/>
    </row>
    <row r="24" spans="1:10" x14ac:dyDescent="0.3">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93" t="s">
        <v>3041</v>
      </c>
      <c r="D24" s="193" t="s">
        <v>183</v>
      </c>
      <c r="E24" s="193" t="s">
        <v>3042</v>
      </c>
      <c r="F24" s="193" t="s">
        <v>112</v>
      </c>
      <c r="G24" s="193">
        <v>8245</v>
      </c>
      <c r="H24" s="193"/>
      <c r="I24" s="193"/>
      <c r="J24" s="193"/>
    </row>
    <row r="25" spans="1:10" x14ac:dyDescent="0.3">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93" t="s">
        <v>3043</v>
      </c>
      <c r="D25" s="193" t="s">
        <v>204</v>
      </c>
      <c r="E25" s="193" t="s">
        <v>3044</v>
      </c>
      <c r="F25" s="193" t="s">
        <v>112</v>
      </c>
      <c r="G25" s="193">
        <v>12639</v>
      </c>
      <c r="H25" s="193"/>
      <c r="I25" s="193"/>
      <c r="J25" s="193"/>
    </row>
    <row r="26" spans="1:10" x14ac:dyDescent="0.3">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93" t="s">
        <v>112</v>
      </c>
      <c r="D26" s="193"/>
      <c r="E26" s="193"/>
      <c r="F26" s="193"/>
      <c r="G26" s="193"/>
      <c r="H26" s="193"/>
      <c r="I26" s="193"/>
      <c r="J26" s="193"/>
    </row>
    <row r="27" spans="1:10" x14ac:dyDescent="0.3">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93" t="s">
        <v>229</v>
      </c>
      <c r="D27" s="193" t="s">
        <v>112</v>
      </c>
      <c r="E27" s="193" t="s">
        <v>230</v>
      </c>
      <c r="F27" s="193" t="s">
        <v>231</v>
      </c>
      <c r="G27" s="193" t="s">
        <v>232</v>
      </c>
      <c r="H27" s="193" t="s">
        <v>233</v>
      </c>
      <c r="I27" s="193" t="s">
        <v>234</v>
      </c>
      <c r="J27" s="193" t="s">
        <v>235</v>
      </c>
    </row>
    <row r="28" spans="1:10" x14ac:dyDescent="0.3">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93" t="s">
        <v>3045</v>
      </c>
      <c r="D28" s="193" t="s">
        <v>112</v>
      </c>
      <c r="E28" s="193" t="s">
        <v>3046</v>
      </c>
      <c r="F28" s="193" t="s">
        <v>3047</v>
      </c>
      <c r="G28" s="193" t="s">
        <v>3048</v>
      </c>
      <c r="H28" s="193" t="s">
        <v>3049</v>
      </c>
      <c r="I28" s="193">
        <v>24</v>
      </c>
      <c r="J28" s="193">
        <v>24</v>
      </c>
    </row>
    <row r="29" spans="1:10" x14ac:dyDescent="0.3">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93" t="s">
        <v>112</v>
      </c>
      <c r="D29" s="193"/>
      <c r="E29" s="193"/>
      <c r="F29" s="193"/>
      <c r="G29" s="193"/>
      <c r="H29" s="193"/>
      <c r="I29" s="193"/>
      <c r="J29" s="193"/>
    </row>
    <row r="30" spans="1:10" x14ac:dyDescent="0.3">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93" t="s">
        <v>112</v>
      </c>
      <c r="D30" s="193"/>
      <c r="E30" s="193"/>
      <c r="F30" s="193"/>
      <c r="G30" s="193"/>
      <c r="H30" s="193"/>
      <c r="I30" s="193"/>
      <c r="J30" s="193"/>
    </row>
    <row r="31" spans="1:10" x14ac:dyDescent="0.3">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93" t="s">
        <v>112</v>
      </c>
      <c r="D31" s="193"/>
      <c r="E31" s="193"/>
      <c r="F31" s="193"/>
      <c r="G31" s="193"/>
      <c r="H31" s="193"/>
      <c r="I31" s="193"/>
      <c r="J31" s="193"/>
    </row>
    <row r="32" spans="1:10" x14ac:dyDescent="0.3">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93" t="s">
        <v>112</v>
      </c>
      <c r="D32" s="193"/>
      <c r="E32" s="193"/>
      <c r="F32" s="193"/>
      <c r="G32" s="193"/>
      <c r="H32" s="193"/>
      <c r="I32" s="193"/>
      <c r="J32" s="193"/>
    </row>
    <row r="33" spans="1:10" x14ac:dyDescent="0.3">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93" t="s">
        <v>112</v>
      </c>
      <c r="D33" s="193"/>
      <c r="E33" s="193"/>
      <c r="F33" s="193"/>
      <c r="G33" s="193"/>
      <c r="H33" s="193"/>
      <c r="I33" s="193"/>
      <c r="J33" s="193"/>
    </row>
    <row r="34" spans="1:10" x14ac:dyDescent="0.3">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93" t="s">
        <v>241</v>
      </c>
      <c r="D34" s="193" t="s">
        <v>110</v>
      </c>
      <c r="E34" s="193" t="s">
        <v>111</v>
      </c>
      <c r="F34" s="193" t="s">
        <v>112</v>
      </c>
      <c r="G34" s="193" t="s">
        <v>113</v>
      </c>
      <c r="H34" s="193"/>
      <c r="I34" s="193"/>
      <c r="J34" s="193"/>
    </row>
    <row r="35" spans="1:10" x14ac:dyDescent="0.3">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93" t="s">
        <v>3050</v>
      </c>
      <c r="D35" s="193" t="s">
        <v>3051</v>
      </c>
      <c r="E35" s="193" t="s">
        <v>3052</v>
      </c>
      <c r="F35" s="193" t="s">
        <v>112</v>
      </c>
      <c r="G35" s="193">
        <v>316582</v>
      </c>
      <c r="H35" s="193"/>
      <c r="I35" s="193"/>
      <c r="J35" s="193"/>
    </row>
    <row r="36" spans="1:10" x14ac:dyDescent="0.3">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93" t="s">
        <v>3053</v>
      </c>
      <c r="D36" s="193" t="s">
        <v>247</v>
      </c>
      <c r="E36" s="193" t="s">
        <v>3054</v>
      </c>
      <c r="F36" s="193" t="s">
        <v>112</v>
      </c>
      <c r="G36" s="193">
        <v>21884</v>
      </c>
      <c r="H36" s="193"/>
      <c r="I36" s="193"/>
      <c r="J36" s="193"/>
    </row>
    <row r="37" spans="1:10" x14ac:dyDescent="0.3">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93" t="s">
        <v>3055</v>
      </c>
      <c r="D37" s="193"/>
      <c r="E37" s="193"/>
      <c r="F37" s="193"/>
      <c r="G37" s="193"/>
      <c r="H37" s="193"/>
      <c r="I37" s="193"/>
      <c r="J37" s="193"/>
    </row>
    <row r="38" spans="1:10" x14ac:dyDescent="0.3">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93" t="s">
        <v>3056</v>
      </c>
      <c r="D38" s="193" t="s">
        <v>675</v>
      </c>
      <c r="E38" s="193" t="s">
        <v>3057</v>
      </c>
      <c r="F38" s="193" t="s">
        <v>112</v>
      </c>
      <c r="G38" s="193">
        <v>56495</v>
      </c>
      <c r="H38" s="193"/>
      <c r="I38" s="193"/>
      <c r="J38" s="193"/>
    </row>
    <row r="39" spans="1:10" x14ac:dyDescent="0.3">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93" t="s">
        <v>3058</v>
      </c>
      <c r="D39" s="193"/>
      <c r="E39" s="193"/>
      <c r="F39" s="193"/>
      <c r="G39" s="193"/>
      <c r="H39" s="193"/>
      <c r="I39" s="193"/>
      <c r="J39" s="193"/>
    </row>
    <row r="40" spans="1:10" x14ac:dyDescent="0.3">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93" t="s">
        <v>3059</v>
      </c>
      <c r="D40" s="193" t="s">
        <v>306</v>
      </c>
      <c r="E40" s="193" t="s">
        <v>3060</v>
      </c>
      <c r="F40" s="193" t="s">
        <v>112</v>
      </c>
      <c r="G40" s="193">
        <v>48467</v>
      </c>
      <c r="H40" s="193"/>
      <c r="I40" s="193"/>
      <c r="J40" s="193"/>
    </row>
    <row r="41" spans="1:10" x14ac:dyDescent="0.3">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93" t="s">
        <v>3061</v>
      </c>
      <c r="D41" s="193" t="s">
        <v>3062</v>
      </c>
      <c r="E41" s="193" t="s">
        <v>3063</v>
      </c>
      <c r="F41" s="193" t="s">
        <v>112</v>
      </c>
      <c r="G41" s="193">
        <v>606821</v>
      </c>
      <c r="H41" s="193"/>
      <c r="I41" s="193"/>
      <c r="J41" s="193"/>
    </row>
    <row r="42" spans="1:10" x14ac:dyDescent="0.3">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93" t="s">
        <v>3064</v>
      </c>
      <c r="D42" s="193"/>
      <c r="E42" s="193"/>
      <c r="F42" s="193"/>
      <c r="G42" s="193"/>
      <c r="H42" s="193"/>
      <c r="I42" s="193"/>
      <c r="J42" s="193"/>
    </row>
    <row r="43" spans="1:10" x14ac:dyDescent="0.3">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93" t="s">
        <v>3065</v>
      </c>
      <c r="D43" s="193" t="s">
        <v>3066</v>
      </c>
      <c r="E43" s="193" t="s">
        <v>3067</v>
      </c>
      <c r="F43" s="193" t="s">
        <v>112</v>
      </c>
      <c r="G43" s="193">
        <v>443516</v>
      </c>
      <c r="H43" s="193"/>
      <c r="I43" s="193"/>
      <c r="J43" s="193"/>
    </row>
    <row r="44" spans="1:10" x14ac:dyDescent="0.3">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93" t="s">
        <v>3068</v>
      </c>
      <c r="D44" s="193" t="s">
        <v>468</v>
      </c>
      <c r="E44" s="193" t="s">
        <v>3069</v>
      </c>
      <c r="F44" s="193" t="s">
        <v>112</v>
      </c>
      <c r="G44" s="193">
        <v>245730</v>
      </c>
      <c r="H44" s="193"/>
      <c r="I44" s="193"/>
      <c r="J44" s="193"/>
    </row>
    <row r="45" spans="1:10" x14ac:dyDescent="0.3">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93" t="s">
        <v>3070</v>
      </c>
      <c r="D45" s="193" t="s">
        <v>222</v>
      </c>
      <c r="E45" s="193" t="s">
        <v>3071</v>
      </c>
      <c r="F45" s="193" t="s">
        <v>112</v>
      </c>
      <c r="G45" s="193">
        <v>15293</v>
      </c>
      <c r="H45" s="193"/>
      <c r="I45" s="193"/>
      <c r="J45" s="193"/>
    </row>
    <row r="46" spans="1:10" x14ac:dyDescent="0.3">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93" t="s">
        <v>3072</v>
      </c>
      <c r="D46" s="193" t="s">
        <v>690</v>
      </c>
      <c r="E46" s="193" t="s">
        <v>3073</v>
      </c>
      <c r="F46" s="193" t="s">
        <v>112</v>
      </c>
      <c r="G46" s="193">
        <v>23646</v>
      </c>
      <c r="H46" s="193"/>
      <c r="I46" s="193"/>
      <c r="J46" s="193"/>
    </row>
    <row r="47" spans="1:10" x14ac:dyDescent="0.3">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93" t="s">
        <v>3074</v>
      </c>
      <c r="D47" s="193" t="s">
        <v>279</v>
      </c>
      <c r="E47" s="193" t="s">
        <v>3075</v>
      </c>
      <c r="F47" s="193" t="s">
        <v>112</v>
      </c>
      <c r="G47" s="193">
        <v>21079</v>
      </c>
      <c r="H47" s="193"/>
      <c r="I47" s="193"/>
      <c r="J47" s="193"/>
    </row>
    <row r="48" spans="1:10" x14ac:dyDescent="0.3">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93" t="s">
        <v>3076</v>
      </c>
      <c r="D48" s="193"/>
      <c r="E48" s="193"/>
      <c r="F48" s="193"/>
      <c r="G48" s="193"/>
      <c r="H48" s="193"/>
      <c r="I48" s="193"/>
      <c r="J48" s="193"/>
    </row>
    <row r="49" spans="1:10" x14ac:dyDescent="0.3">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93" t="s">
        <v>3077</v>
      </c>
      <c r="D49" s="193"/>
      <c r="E49" s="193"/>
      <c r="F49" s="193"/>
      <c r="G49" s="193"/>
      <c r="H49" s="193"/>
      <c r="I49" s="193"/>
      <c r="J49" s="193"/>
    </row>
    <row r="50" spans="1:10" x14ac:dyDescent="0.3">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93" t="s">
        <v>3078</v>
      </c>
      <c r="D50" s="193"/>
      <c r="E50" s="193"/>
      <c r="F50" s="193"/>
      <c r="G50" s="193"/>
      <c r="H50" s="193"/>
      <c r="I50" s="193"/>
      <c r="J50" s="193"/>
    </row>
    <row r="51" spans="1:10" x14ac:dyDescent="0.3">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93" t="s">
        <v>3079</v>
      </c>
      <c r="D51" s="193" t="s">
        <v>3080</v>
      </c>
      <c r="E51" s="193" t="s">
        <v>3081</v>
      </c>
      <c r="F51" s="193" t="s">
        <v>112</v>
      </c>
      <c r="G51" s="193">
        <v>37155</v>
      </c>
      <c r="H51" s="193"/>
      <c r="I51" s="193"/>
      <c r="J51" s="193"/>
    </row>
    <row r="52" spans="1:10" x14ac:dyDescent="0.3">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93" t="s">
        <v>3082</v>
      </c>
      <c r="D52" s="193" t="s">
        <v>690</v>
      </c>
      <c r="E52" s="193" t="s">
        <v>3083</v>
      </c>
      <c r="F52" s="193" t="s">
        <v>112</v>
      </c>
      <c r="G52" s="193">
        <v>23364</v>
      </c>
      <c r="H52" s="193"/>
      <c r="I52" s="193"/>
      <c r="J52" s="193"/>
    </row>
    <row r="53" spans="1:10" x14ac:dyDescent="0.3">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93" t="s">
        <v>3084</v>
      </c>
      <c r="D53" s="193" t="s">
        <v>383</v>
      </c>
      <c r="E53" s="193" t="s">
        <v>3085</v>
      </c>
      <c r="F53" s="193" t="s">
        <v>112</v>
      </c>
      <c r="G53" s="193">
        <v>9615</v>
      </c>
      <c r="H53" s="193"/>
      <c r="I53" s="193"/>
      <c r="J53" s="193"/>
    </row>
    <row r="54" spans="1:10" x14ac:dyDescent="0.3">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93" t="s">
        <v>3086</v>
      </c>
      <c r="D54" s="193" t="s">
        <v>648</v>
      </c>
      <c r="E54" s="193" t="s">
        <v>3087</v>
      </c>
      <c r="F54" s="193" t="s">
        <v>112</v>
      </c>
      <c r="G54" s="193">
        <v>118797</v>
      </c>
      <c r="H54" s="193"/>
      <c r="I54" s="193"/>
      <c r="J54" s="193"/>
    </row>
    <row r="55" spans="1:10" x14ac:dyDescent="0.3">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93" t="s">
        <v>3088</v>
      </c>
      <c r="D55" s="193" t="s">
        <v>404</v>
      </c>
      <c r="E55" s="193" t="s">
        <v>3089</v>
      </c>
      <c r="F55" s="193" t="s">
        <v>112</v>
      </c>
      <c r="G55" s="193">
        <v>137223</v>
      </c>
      <c r="H55" s="193"/>
      <c r="I55" s="193"/>
      <c r="J55" s="193"/>
    </row>
    <row r="56" spans="1:10" x14ac:dyDescent="0.3">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93" t="s">
        <v>3090</v>
      </c>
      <c r="D56" s="193" t="s">
        <v>383</v>
      </c>
      <c r="E56" s="193" t="s">
        <v>3091</v>
      </c>
      <c r="F56" s="193" t="s">
        <v>112</v>
      </c>
      <c r="G56" s="193">
        <v>10007</v>
      </c>
      <c r="H56" s="193"/>
      <c r="I56" s="193"/>
      <c r="J56" s="193"/>
    </row>
    <row r="57" spans="1:10" x14ac:dyDescent="0.3">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93" t="s">
        <v>3092</v>
      </c>
      <c r="D57" s="193" t="s">
        <v>204</v>
      </c>
      <c r="E57" s="193" t="s">
        <v>2578</v>
      </c>
      <c r="F57" s="193" t="s">
        <v>112</v>
      </c>
      <c r="G57" s="193">
        <v>12421</v>
      </c>
      <c r="H57" s="193"/>
      <c r="I57" s="193"/>
      <c r="J57" s="193"/>
    </row>
    <row r="58" spans="1:10" x14ac:dyDescent="0.3">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93" t="s">
        <v>3093</v>
      </c>
      <c r="D58" s="193" t="s">
        <v>222</v>
      </c>
      <c r="E58" s="193" t="s">
        <v>3094</v>
      </c>
      <c r="F58" s="193" t="s">
        <v>112</v>
      </c>
      <c r="G58" s="193">
        <v>15532</v>
      </c>
      <c r="H58" s="193"/>
      <c r="I58" s="193"/>
      <c r="J58" s="193"/>
    </row>
    <row r="59" spans="1:10" x14ac:dyDescent="0.3">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93" t="s">
        <v>112</v>
      </c>
      <c r="D59" s="193"/>
      <c r="E59" s="193"/>
      <c r="F59" s="193"/>
      <c r="G59" s="193"/>
      <c r="H59" s="193"/>
      <c r="I59" s="193"/>
      <c r="J59" s="193"/>
    </row>
    <row r="60" spans="1:10" x14ac:dyDescent="0.3">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93" t="s">
        <v>229</v>
      </c>
      <c r="D60" s="193" t="s">
        <v>112</v>
      </c>
      <c r="E60" s="193" t="s">
        <v>230</v>
      </c>
      <c r="F60" s="193" t="s">
        <v>231</v>
      </c>
      <c r="G60" s="193" t="s">
        <v>232</v>
      </c>
      <c r="H60" s="193" t="s">
        <v>233</v>
      </c>
      <c r="I60" s="193" t="s">
        <v>234</v>
      </c>
      <c r="J60" s="193" t="s">
        <v>235</v>
      </c>
    </row>
    <row r="61" spans="1:10" x14ac:dyDescent="0.3">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93" t="s">
        <v>3095</v>
      </c>
      <c r="D61" s="193" t="s">
        <v>112</v>
      </c>
      <c r="E61" s="193" t="s">
        <v>3096</v>
      </c>
      <c r="F61" s="193" t="s">
        <v>3097</v>
      </c>
      <c r="G61" s="193" t="s">
        <v>3098</v>
      </c>
      <c r="H61" s="193" t="s">
        <v>3099</v>
      </c>
      <c r="I61" s="193">
        <v>24</v>
      </c>
      <c r="J61" s="193">
        <v>24</v>
      </c>
    </row>
    <row r="62" spans="1:10" x14ac:dyDescent="0.3">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93" t="s">
        <v>112</v>
      </c>
      <c r="D62" s="193"/>
      <c r="E62" s="193"/>
      <c r="F62" s="193"/>
      <c r="G62" s="193"/>
      <c r="H62" s="193"/>
      <c r="I62" s="193"/>
      <c r="J62" s="193"/>
    </row>
    <row r="63" spans="1:10" x14ac:dyDescent="0.3">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93" t="s">
        <v>112</v>
      </c>
      <c r="D63" s="193"/>
      <c r="E63" s="193"/>
      <c r="F63" s="193"/>
      <c r="G63" s="193"/>
      <c r="H63" s="193"/>
      <c r="I63" s="193"/>
      <c r="J63" s="193"/>
    </row>
    <row r="64" spans="1:10" x14ac:dyDescent="0.3">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93" t="s">
        <v>112</v>
      </c>
      <c r="D64" s="193"/>
      <c r="E64" s="193"/>
      <c r="F64" s="193"/>
      <c r="G64" s="193"/>
      <c r="H64" s="193"/>
      <c r="I64" s="193"/>
      <c r="J64" s="193"/>
    </row>
    <row r="65" spans="1:10" x14ac:dyDescent="0.3">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93" t="s">
        <v>112</v>
      </c>
      <c r="D65" s="193"/>
      <c r="E65" s="193"/>
      <c r="F65" s="193"/>
      <c r="G65" s="193"/>
      <c r="H65" s="193"/>
      <c r="I65" s="193"/>
      <c r="J65" s="193"/>
    </row>
    <row r="66" spans="1:10" x14ac:dyDescent="0.3">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93" t="s">
        <v>112</v>
      </c>
      <c r="D66" s="193"/>
      <c r="E66" s="193"/>
      <c r="F66" s="193"/>
      <c r="G66" s="193"/>
      <c r="H66" s="193"/>
      <c r="I66" s="193"/>
      <c r="J66" s="193"/>
    </row>
    <row r="67" spans="1:10" x14ac:dyDescent="0.3">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93" t="s">
        <v>241</v>
      </c>
      <c r="D67" s="193" t="s">
        <v>110</v>
      </c>
      <c r="E67" s="193" t="s">
        <v>111</v>
      </c>
      <c r="F67" s="193" t="s">
        <v>112</v>
      </c>
      <c r="G67" s="193" t="s">
        <v>113</v>
      </c>
      <c r="H67" s="193"/>
      <c r="I67" s="193"/>
      <c r="J67" s="193"/>
    </row>
    <row r="68" spans="1:10" x14ac:dyDescent="0.3">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93" t="s">
        <v>3100</v>
      </c>
      <c r="D68" s="193"/>
      <c r="E68" s="193"/>
      <c r="F68" s="193"/>
      <c r="G68" s="193"/>
      <c r="H68" s="193"/>
      <c r="I68" s="193"/>
      <c r="J68" s="193"/>
    </row>
    <row r="69" spans="1:10" x14ac:dyDescent="0.3">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93" t="s">
        <v>3101</v>
      </c>
      <c r="D69" s="193"/>
      <c r="E69" s="193"/>
      <c r="F69" s="193"/>
      <c r="G69" s="193"/>
      <c r="H69" s="193"/>
      <c r="I69" s="193"/>
      <c r="J69" s="193"/>
    </row>
    <row r="70" spans="1:10" x14ac:dyDescent="0.3">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93" t="s">
        <v>3102</v>
      </c>
      <c r="D70" s="193"/>
      <c r="E70" s="193"/>
      <c r="F70" s="193"/>
      <c r="G70" s="193"/>
      <c r="H70" s="193"/>
      <c r="I70" s="193"/>
      <c r="J70" s="193"/>
    </row>
    <row r="71" spans="1:10" x14ac:dyDescent="0.3">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93" t="s">
        <v>3103</v>
      </c>
      <c r="D71" s="193"/>
      <c r="E71" s="193"/>
      <c r="F71" s="193"/>
      <c r="G71" s="193"/>
      <c r="H71" s="193"/>
      <c r="I71" s="193"/>
      <c r="J71" s="193"/>
    </row>
    <row r="72" spans="1:10" x14ac:dyDescent="0.3">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93" t="s">
        <v>3104</v>
      </c>
      <c r="D72" s="193"/>
      <c r="E72" s="193"/>
      <c r="F72" s="193"/>
      <c r="G72" s="193"/>
      <c r="H72" s="193"/>
      <c r="I72" s="193"/>
      <c r="J72" s="193"/>
    </row>
    <row r="73" spans="1:10" x14ac:dyDescent="0.3">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93" t="s">
        <v>3105</v>
      </c>
      <c r="D73" s="193" t="s">
        <v>385</v>
      </c>
      <c r="E73" s="193" t="s">
        <v>3106</v>
      </c>
      <c r="F73" s="193" t="s">
        <v>112</v>
      </c>
      <c r="G73" s="193">
        <v>174487</v>
      </c>
      <c r="H73" s="193"/>
      <c r="I73" s="193"/>
      <c r="J73" s="193"/>
    </row>
    <row r="74" spans="1:10" x14ac:dyDescent="0.3">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93" t="s">
        <v>3107</v>
      </c>
      <c r="D74" s="193" t="s">
        <v>275</v>
      </c>
      <c r="E74" s="193" t="s">
        <v>3108</v>
      </c>
      <c r="F74" s="193" t="s">
        <v>112</v>
      </c>
      <c r="G74" s="193">
        <v>14314</v>
      </c>
      <c r="H74" s="193"/>
      <c r="I74" s="193"/>
      <c r="J74" s="193"/>
    </row>
    <row r="75" spans="1:10" x14ac:dyDescent="0.3">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93" t="s">
        <v>3109</v>
      </c>
      <c r="D75" s="193" t="s">
        <v>302</v>
      </c>
      <c r="E75" s="193" t="s">
        <v>3110</v>
      </c>
      <c r="F75" s="193" t="s">
        <v>112</v>
      </c>
      <c r="G75" s="193">
        <v>47249</v>
      </c>
      <c r="H75" s="193"/>
      <c r="I75" s="193"/>
      <c r="J75" s="193"/>
    </row>
    <row r="76" spans="1:10" x14ac:dyDescent="0.3">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93" t="s">
        <v>3111</v>
      </c>
      <c r="D76" s="193"/>
      <c r="E76" s="193"/>
      <c r="F76" s="193"/>
      <c r="G76" s="193"/>
      <c r="H76" s="193"/>
      <c r="I76" s="193"/>
      <c r="J76" s="193"/>
    </row>
    <row r="77" spans="1:10" x14ac:dyDescent="0.3">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93" t="s">
        <v>3112</v>
      </c>
      <c r="D77" s="193" t="s">
        <v>279</v>
      </c>
      <c r="E77" s="193" t="s">
        <v>2228</v>
      </c>
      <c r="F77" s="193" t="s">
        <v>112</v>
      </c>
      <c r="G77" s="193">
        <v>20057</v>
      </c>
      <c r="H77" s="193"/>
      <c r="I77" s="193"/>
      <c r="J77" s="193"/>
    </row>
    <row r="78" spans="1:10" x14ac:dyDescent="0.3">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93" t="s">
        <v>3113</v>
      </c>
      <c r="D78" s="193" t="s">
        <v>174</v>
      </c>
      <c r="E78" s="193" t="s">
        <v>3114</v>
      </c>
      <c r="F78" s="193" t="s">
        <v>112</v>
      </c>
      <c r="G78" s="193">
        <v>16946</v>
      </c>
      <c r="H78" s="193"/>
      <c r="I78" s="193"/>
      <c r="J78" s="193"/>
    </row>
    <row r="79" spans="1:10" x14ac:dyDescent="0.3">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93" t="s">
        <v>3115</v>
      </c>
      <c r="D79" s="193" t="s">
        <v>192</v>
      </c>
      <c r="E79" s="193" t="s">
        <v>2039</v>
      </c>
      <c r="F79" s="193" t="s">
        <v>112</v>
      </c>
      <c r="G79" s="193">
        <v>20971</v>
      </c>
      <c r="H79" s="193"/>
      <c r="I79" s="193"/>
      <c r="J79" s="193"/>
    </row>
    <row r="80" spans="1:10" x14ac:dyDescent="0.3">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93" t="s">
        <v>3116</v>
      </c>
      <c r="D80" s="193"/>
      <c r="E80" s="193"/>
      <c r="F80" s="193"/>
      <c r="G80" s="193"/>
      <c r="H80" s="193"/>
      <c r="I80" s="193"/>
      <c r="J80" s="193"/>
    </row>
    <row r="81" spans="1:10" x14ac:dyDescent="0.3">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93" t="s">
        <v>3117</v>
      </c>
      <c r="D81" s="193" t="s">
        <v>3118</v>
      </c>
      <c r="E81" s="193" t="s">
        <v>1814</v>
      </c>
      <c r="F81" s="193" t="s">
        <v>112</v>
      </c>
      <c r="G81" s="193">
        <v>148556</v>
      </c>
      <c r="H81" s="193"/>
      <c r="I81" s="193"/>
      <c r="J81" s="193"/>
    </row>
    <row r="82" spans="1:10" x14ac:dyDescent="0.3">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93" t="s">
        <v>3119</v>
      </c>
      <c r="D82" s="193"/>
      <c r="E82" s="193"/>
      <c r="F82" s="193"/>
      <c r="G82" s="193"/>
      <c r="H82" s="193"/>
      <c r="I82" s="193"/>
      <c r="J82" s="193"/>
    </row>
    <row r="83" spans="1:10" x14ac:dyDescent="0.3">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93" t="s">
        <v>3120</v>
      </c>
      <c r="D83" s="193"/>
      <c r="E83" s="193"/>
      <c r="F83" s="193"/>
      <c r="G83" s="193"/>
      <c r="H83" s="193"/>
      <c r="I83" s="193"/>
      <c r="J83" s="193"/>
    </row>
    <row r="84" spans="1:10" x14ac:dyDescent="0.3">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93" t="s">
        <v>3121</v>
      </c>
      <c r="D84" s="193" t="s">
        <v>715</v>
      </c>
      <c r="E84" s="193" t="s">
        <v>3122</v>
      </c>
      <c r="F84" s="193" t="s">
        <v>112</v>
      </c>
      <c r="G84" s="193">
        <v>34045</v>
      </c>
      <c r="H84" s="193"/>
      <c r="I84" s="193"/>
      <c r="J84" s="193"/>
    </row>
    <row r="85" spans="1:10" x14ac:dyDescent="0.3">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93" t="s">
        <v>3123</v>
      </c>
      <c r="D85" s="193" t="s">
        <v>189</v>
      </c>
      <c r="E85" s="193" t="s">
        <v>3124</v>
      </c>
      <c r="F85" s="193" t="s">
        <v>112</v>
      </c>
      <c r="G85" s="193">
        <v>27279</v>
      </c>
      <c r="H85" s="193"/>
      <c r="I85" s="193"/>
      <c r="J85" s="193"/>
    </row>
    <row r="86" spans="1:10" x14ac:dyDescent="0.3">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93" t="s">
        <v>3125</v>
      </c>
      <c r="D86" s="193" t="s">
        <v>1114</v>
      </c>
      <c r="E86" s="193" t="s">
        <v>3126</v>
      </c>
      <c r="F86" s="193" t="s">
        <v>112</v>
      </c>
      <c r="G86" s="193">
        <v>105963</v>
      </c>
      <c r="H86" s="193"/>
      <c r="I86" s="193"/>
      <c r="J86" s="193"/>
    </row>
    <row r="87" spans="1:10" x14ac:dyDescent="0.3">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93" t="s">
        <v>3127</v>
      </c>
      <c r="D87" s="193" t="s">
        <v>3128</v>
      </c>
      <c r="E87" s="193" t="s">
        <v>3129</v>
      </c>
      <c r="F87" s="193" t="s">
        <v>112</v>
      </c>
      <c r="G87" s="193">
        <v>68546</v>
      </c>
      <c r="H87" s="193"/>
      <c r="I87" s="193"/>
      <c r="J87" s="193"/>
    </row>
    <row r="88" spans="1:10" x14ac:dyDescent="0.3">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93" t="s">
        <v>3130</v>
      </c>
      <c r="D88" s="193" t="s">
        <v>275</v>
      </c>
      <c r="E88" s="193">
        <v>63</v>
      </c>
      <c r="F88" s="193" t="s">
        <v>112</v>
      </c>
      <c r="G88" s="193">
        <v>13705</v>
      </c>
      <c r="H88" s="193"/>
      <c r="I88" s="193"/>
      <c r="J88" s="193"/>
    </row>
    <row r="89" spans="1:10" x14ac:dyDescent="0.3">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93" t="s">
        <v>3131</v>
      </c>
      <c r="D89" s="193"/>
      <c r="E89" s="193"/>
      <c r="F89" s="193"/>
      <c r="G89" s="193"/>
      <c r="H89" s="193"/>
      <c r="I89" s="193"/>
      <c r="J89" s="193"/>
    </row>
    <row r="90" spans="1:10" x14ac:dyDescent="0.3">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93" t="s">
        <v>3132</v>
      </c>
      <c r="D90" s="193" t="s">
        <v>1391</v>
      </c>
      <c r="E90" s="193" t="s">
        <v>3133</v>
      </c>
      <c r="F90" s="193" t="s">
        <v>112</v>
      </c>
      <c r="G90" s="193">
        <v>114142</v>
      </c>
      <c r="H90" s="193"/>
      <c r="I90" s="193"/>
      <c r="J90" s="193"/>
    </row>
    <row r="91" spans="1:10" x14ac:dyDescent="0.3">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93" t="s">
        <v>3134</v>
      </c>
      <c r="D91" s="193" t="s">
        <v>3135</v>
      </c>
      <c r="E91" s="193" t="s">
        <v>3136</v>
      </c>
      <c r="F91" s="193" t="s">
        <v>112</v>
      </c>
      <c r="G91" s="193">
        <v>161087</v>
      </c>
      <c r="H91" s="193"/>
      <c r="I91" s="193"/>
      <c r="J91" s="193"/>
    </row>
    <row r="92" spans="1:10" x14ac:dyDescent="0.3">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93" t="s">
        <v>112</v>
      </c>
      <c r="D92" s="193"/>
      <c r="E92" s="193"/>
      <c r="F92" s="193"/>
      <c r="G92" s="193"/>
      <c r="H92" s="193"/>
      <c r="I92" s="193"/>
      <c r="J92" s="193"/>
    </row>
    <row r="93" spans="1:10" x14ac:dyDescent="0.3">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93" t="s">
        <v>229</v>
      </c>
      <c r="D93" s="193" t="s">
        <v>112</v>
      </c>
      <c r="E93" s="193" t="s">
        <v>230</v>
      </c>
      <c r="F93" s="193" t="s">
        <v>231</v>
      </c>
      <c r="G93" s="193" t="s">
        <v>232</v>
      </c>
      <c r="H93" s="193" t="s">
        <v>233</v>
      </c>
      <c r="I93" s="193" t="s">
        <v>234</v>
      </c>
      <c r="J93" s="193" t="s">
        <v>235</v>
      </c>
    </row>
    <row r="94" spans="1:10" x14ac:dyDescent="0.3">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93" t="s">
        <v>3137</v>
      </c>
      <c r="D94" s="193" t="s">
        <v>112</v>
      </c>
      <c r="E94" s="193" t="s">
        <v>3138</v>
      </c>
      <c r="F94" s="193" t="s">
        <v>3139</v>
      </c>
      <c r="G94" s="193">
        <v>335540</v>
      </c>
      <c r="H94" s="193" t="s">
        <v>3140</v>
      </c>
      <c r="I94" s="193">
        <v>24</v>
      </c>
      <c r="J94" s="193">
        <v>24</v>
      </c>
    </row>
    <row r="95" spans="1:10" x14ac:dyDescent="0.3">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93" t="s">
        <v>112</v>
      </c>
      <c r="D95" s="193"/>
      <c r="E95" s="193"/>
      <c r="F95" s="193"/>
      <c r="G95" s="193"/>
      <c r="H95" s="193"/>
      <c r="I95" s="193"/>
      <c r="J95" s="193"/>
    </row>
    <row r="96" spans="1:10" x14ac:dyDescent="0.3">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93" t="s">
        <v>112</v>
      </c>
      <c r="D96" s="193"/>
      <c r="E96" s="193"/>
      <c r="F96" s="193"/>
      <c r="G96" s="193"/>
      <c r="H96" s="193"/>
      <c r="I96" s="193"/>
      <c r="J96" s="193"/>
    </row>
    <row r="97" spans="1:10" x14ac:dyDescent="0.3">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93" t="s">
        <v>112</v>
      </c>
      <c r="D97" s="193"/>
      <c r="E97" s="193"/>
      <c r="F97" s="193"/>
      <c r="G97" s="193"/>
      <c r="H97" s="193"/>
      <c r="I97" s="193"/>
      <c r="J97" s="193"/>
    </row>
    <row r="98" spans="1:10" x14ac:dyDescent="0.3">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93" t="s">
        <v>112</v>
      </c>
      <c r="D98" s="193"/>
      <c r="E98" s="193"/>
      <c r="F98" s="193"/>
      <c r="G98" s="193"/>
      <c r="H98" s="193"/>
      <c r="I98" s="193"/>
      <c r="J98" s="193"/>
    </row>
    <row r="99" spans="1:10" x14ac:dyDescent="0.3">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93" t="s">
        <v>112</v>
      </c>
      <c r="D99" s="193"/>
      <c r="E99" s="193"/>
      <c r="F99" s="193"/>
      <c r="G99" s="193"/>
      <c r="H99" s="193"/>
      <c r="I99" s="193"/>
      <c r="J99" s="193"/>
    </row>
    <row r="100" spans="1:10" x14ac:dyDescent="0.3">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93" t="s">
        <v>241</v>
      </c>
      <c r="D100" s="193" t="s">
        <v>110</v>
      </c>
      <c r="E100" s="193" t="s">
        <v>111</v>
      </c>
      <c r="F100" s="193" t="s">
        <v>112</v>
      </c>
      <c r="G100" s="193" t="s">
        <v>113</v>
      </c>
      <c r="H100" s="193"/>
      <c r="I100" s="193"/>
      <c r="J100" s="193"/>
    </row>
    <row r="101" spans="1:10" x14ac:dyDescent="0.3">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93" t="s">
        <v>3141</v>
      </c>
      <c r="D101" s="193" t="s">
        <v>3142</v>
      </c>
      <c r="E101" s="193" t="s">
        <v>3143</v>
      </c>
      <c r="F101" s="193" t="s">
        <v>112</v>
      </c>
      <c r="G101" s="193">
        <v>245904</v>
      </c>
      <c r="H101" s="193"/>
      <c r="I101" s="193"/>
      <c r="J101" s="193"/>
    </row>
    <row r="102" spans="1:10" x14ac:dyDescent="0.3">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93" t="s">
        <v>3144</v>
      </c>
      <c r="D102" s="193" t="s">
        <v>3145</v>
      </c>
      <c r="E102" s="193" t="s">
        <v>3146</v>
      </c>
      <c r="F102" s="193" t="s">
        <v>112</v>
      </c>
      <c r="G102" s="193">
        <v>257869</v>
      </c>
      <c r="H102" s="193"/>
      <c r="I102" s="193"/>
      <c r="J102" s="193"/>
    </row>
    <row r="103" spans="1:10" x14ac:dyDescent="0.3">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93" t="s">
        <v>3147</v>
      </c>
      <c r="D103" s="193"/>
      <c r="E103" s="193"/>
      <c r="F103" s="193"/>
      <c r="G103" s="193"/>
      <c r="H103" s="193"/>
      <c r="I103" s="193"/>
      <c r="J103" s="193"/>
    </row>
    <row r="104" spans="1:10" x14ac:dyDescent="0.3">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93" t="s">
        <v>3148</v>
      </c>
      <c r="D104" s="193"/>
      <c r="E104" s="193"/>
      <c r="F104" s="193"/>
      <c r="G104" s="193"/>
      <c r="H104" s="193"/>
      <c r="I104" s="193"/>
      <c r="J104" s="193"/>
    </row>
    <row r="105" spans="1:10" x14ac:dyDescent="0.3">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93" t="s">
        <v>3149</v>
      </c>
      <c r="D105" s="193"/>
      <c r="E105" s="193"/>
      <c r="F105" s="193"/>
      <c r="G105" s="193"/>
      <c r="H105" s="193"/>
      <c r="I105" s="193"/>
      <c r="J105" s="193"/>
    </row>
    <row r="106" spans="1:10" x14ac:dyDescent="0.3">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93" t="s">
        <v>3150</v>
      </c>
      <c r="D106" s="193"/>
      <c r="E106" s="193"/>
      <c r="F106" s="193"/>
      <c r="G106" s="193"/>
      <c r="H106" s="193"/>
      <c r="I106" s="193"/>
      <c r="J106" s="193"/>
    </row>
    <row r="107" spans="1:10" x14ac:dyDescent="0.3">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93" t="s">
        <v>3151</v>
      </c>
      <c r="D107" s="193" t="s">
        <v>358</v>
      </c>
      <c r="E107" s="193" t="s">
        <v>3152</v>
      </c>
      <c r="F107" s="193" t="s">
        <v>112</v>
      </c>
      <c r="G107" s="193">
        <v>108247</v>
      </c>
      <c r="H107" s="193"/>
      <c r="I107" s="193"/>
      <c r="J107" s="193"/>
    </row>
    <row r="108" spans="1:10" x14ac:dyDescent="0.3">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93" t="s">
        <v>3153</v>
      </c>
      <c r="D108" s="193" t="s">
        <v>315</v>
      </c>
      <c r="E108" s="193" t="s">
        <v>287</v>
      </c>
      <c r="F108" s="193" t="s">
        <v>112</v>
      </c>
      <c r="G108" s="193">
        <v>99262</v>
      </c>
      <c r="H108" s="193"/>
      <c r="I108" s="193"/>
      <c r="J108" s="193"/>
    </row>
    <row r="109" spans="1:10" x14ac:dyDescent="0.3">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93" t="s">
        <v>3154</v>
      </c>
      <c r="D109" s="193"/>
      <c r="E109" s="193"/>
      <c r="F109" s="193"/>
      <c r="G109" s="193"/>
      <c r="H109" s="193"/>
      <c r="I109" s="193"/>
      <c r="J109" s="193"/>
    </row>
    <row r="110" spans="1:10" x14ac:dyDescent="0.3">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93" t="s">
        <v>3155</v>
      </c>
      <c r="D110" s="193"/>
      <c r="E110" s="193"/>
      <c r="F110" s="193"/>
      <c r="G110" s="193"/>
      <c r="H110" s="193"/>
      <c r="I110" s="193"/>
      <c r="J110" s="193"/>
    </row>
    <row r="111" spans="1:10" x14ac:dyDescent="0.3">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93" t="s">
        <v>3156</v>
      </c>
      <c r="D111" s="193" t="s">
        <v>335</v>
      </c>
      <c r="E111" s="193" t="s">
        <v>3157</v>
      </c>
      <c r="F111" s="193" t="s">
        <v>112</v>
      </c>
      <c r="G111" s="193">
        <v>28280</v>
      </c>
      <c r="H111" s="193"/>
      <c r="I111" s="193"/>
      <c r="J111" s="193"/>
    </row>
    <row r="112" spans="1:10" x14ac:dyDescent="0.3">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93" t="s">
        <v>3158</v>
      </c>
      <c r="D112" s="193"/>
      <c r="E112" s="193"/>
      <c r="F112" s="193"/>
      <c r="G112" s="193"/>
      <c r="H112" s="193"/>
      <c r="I112" s="193"/>
      <c r="J112" s="193"/>
    </row>
    <row r="113" spans="1:10" x14ac:dyDescent="0.3">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93" t="s">
        <v>3159</v>
      </c>
      <c r="D113" s="193" t="s">
        <v>663</v>
      </c>
      <c r="E113" s="193" t="s">
        <v>3160</v>
      </c>
      <c r="F113" s="193" t="s">
        <v>112</v>
      </c>
      <c r="G113" s="193">
        <v>80837</v>
      </c>
      <c r="H113" s="193"/>
      <c r="I113" s="193"/>
      <c r="J113" s="193"/>
    </row>
    <row r="114" spans="1:10" x14ac:dyDescent="0.3">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93" t="s">
        <v>3161</v>
      </c>
      <c r="D114" s="193"/>
      <c r="E114" s="193"/>
      <c r="F114" s="193"/>
      <c r="G114" s="193"/>
      <c r="H114" s="193"/>
      <c r="I114" s="193"/>
      <c r="J114" s="193"/>
    </row>
    <row r="115" spans="1:10" x14ac:dyDescent="0.3">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93" t="s">
        <v>3162</v>
      </c>
      <c r="D115" s="193"/>
      <c r="E115" s="193"/>
      <c r="F115" s="193"/>
      <c r="G115" s="193"/>
      <c r="H115" s="193"/>
      <c r="I115" s="193"/>
      <c r="J115" s="193"/>
    </row>
    <row r="116" spans="1:10" x14ac:dyDescent="0.3">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93" t="s">
        <v>3163</v>
      </c>
      <c r="D116" s="193" t="s">
        <v>3164</v>
      </c>
      <c r="E116" s="193" t="s">
        <v>3165</v>
      </c>
      <c r="F116" s="193" t="s">
        <v>112</v>
      </c>
      <c r="G116" s="193">
        <v>911569</v>
      </c>
      <c r="H116" s="193"/>
      <c r="I116" s="193"/>
      <c r="J116" s="193"/>
    </row>
    <row r="117" spans="1:10" x14ac:dyDescent="0.3">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93" t="s">
        <v>3166</v>
      </c>
      <c r="D117" s="193"/>
      <c r="E117" s="193"/>
      <c r="F117" s="193"/>
      <c r="G117" s="193"/>
      <c r="H117" s="193"/>
      <c r="I117" s="193"/>
      <c r="J117" s="193"/>
    </row>
    <row r="118" spans="1:10" x14ac:dyDescent="0.3">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93" t="s">
        <v>3167</v>
      </c>
      <c r="D118" s="193"/>
      <c r="E118" s="193"/>
      <c r="F118" s="193"/>
      <c r="G118" s="193"/>
      <c r="H118" s="193"/>
      <c r="I118" s="193"/>
      <c r="J118" s="193"/>
    </row>
    <row r="119" spans="1:10" x14ac:dyDescent="0.3">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93" t="s">
        <v>3168</v>
      </c>
      <c r="D119" s="193" t="s">
        <v>3169</v>
      </c>
      <c r="E119" s="193" t="s">
        <v>3170</v>
      </c>
      <c r="F119" s="193" t="s">
        <v>112</v>
      </c>
      <c r="G119" s="193">
        <v>438425</v>
      </c>
      <c r="H119" s="193"/>
      <c r="I119" s="193"/>
      <c r="J119" s="193"/>
    </row>
    <row r="120" spans="1:10" x14ac:dyDescent="0.3">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93" t="s">
        <v>3171</v>
      </c>
      <c r="D120" s="193" t="s">
        <v>964</v>
      </c>
      <c r="E120" s="193" t="s">
        <v>3172</v>
      </c>
      <c r="F120" s="193" t="s">
        <v>112</v>
      </c>
      <c r="G120" s="193">
        <v>242968</v>
      </c>
      <c r="H120" s="193"/>
      <c r="I120" s="193"/>
      <c r="J120" s="193"/>
    </row>
    <row r="121" spans="1:10" x14ac:dyDescent="0.3">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93" t="s">
        <v>3173</v>
      </c>
      <c r="D121" s="193" t="s">
        <v>208</v>
      </c>
      <c r="E121" s="193" t="s">
        <v>3174</v>
      </c>
      <c r="F121" s="193" t="s">
        <v>112</v>
      </c>
      <c r="G121" s="193">
        <v>206574</v>
      </c>
      <c r="H121" s="193"/>
      <c r="I121" s="193"/>
      <c r="J121" s="193"/>
    </row>
    <row r="122" spans="1:10" x14ac:dyDescent="0.3">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93" t="s">
        <v>3175</v>
      </c>
      <c r="D122" s="193" t="s">
        <v>197</v>
      </c>
      <c r="E122" s="193" t="s">
        <v>3176</v>
      </c>
      <c r="F122" s="193" t="s">
        <v>112</v>
      </c>
      <c r="G122" s="193">
        <v>64195</v>
      </c>
      <c r="H122" s="193"/>
      <c r="I122" s="193"/>
      <c r="J122" s="193"/>
    </row>
    <row r="123" spans="1:10" x14ac:dyDescent="0.3">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93" t="s">
        <v>3177</v>
      </c>
      <c r="D123" s="193" t="s">
        <v>680</v>
      </c>
      <c r="E123" s="193" t="s">
        <v>3178</v>
      </c>
      <c r="F123" s="193" t="s">
        <v>112</v>
      </c>
      <c r="G123" s="193">
        <v>25039</v>
      </c>
      <c r="H123" s="193"/>
      <c r="I123" s="193"/>
      <c r="J123" s="193"/>
    </row>
    <row r="124" spans="1:10" x14ac:dyDescent="0.3">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93" t="s">
        <v>3179</v>
      </c>
      <c r="D124" s="193" t="s">
        <v>3180</v>
      </c>
      <c r="E124" s="193">
        <v>63</v>
      </c>
      <c r="F124" s="193" t="s">
        <v>112</v>
      </c>
      <c r="G124" s="193">
        <v>32892</v>
      </c>
      <c r="H124" s="193"/>
      <c r="I124" s="193"/>
      <c r="J124" s="193"/>
    </row>
    <row r="125" spans="1:10" x14ac:dyDescent="0.3">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93" t="s">
        <v>112</v>
      </c>
      <c r="D125" s="193"/>
      <c r="E125" s="193"/>
      <c r="F125" s="193"/>
      <c r="G125" s="193"/>
      <c r="H125" s="193"/>
      <c r="I125" s="193"/>
      <c r="J125" s="193"/>
    </row>
    <row r="126" spans="1:10" x14ac:dyDescent="0.3">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93" t="s">
        <v>229</v>
      </c>
      <c r="D126" s="193" t="s">
        <v>112</v>
      </c>
      <c r="E126" s="193" t="s">
        <v>230</v>
      </c>
      <c r="F126" s="193" t="s">
        <v>231</v>
      </c>
      <c r="G126" s="193" t="s">
        <v>232</v>
      </c>
      <c r="H126" s="193" t="s">
        <v>233</v>
      </c>
      <c r="I126" s="193" t="s">
        <v>234</v>
      </c>
      <c r="J126" s="193" t="s">
        <v>235</v>
      </c>
    </row>
    <row r="127" spans="1:10" x14ac:dyDescent="0.3">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93" t="s">
        <v>3181</v>
      </c>
      <c r="D127" s="193" t="s">
        <v>112</v>
      </c>
      <c r="E127" s="193" t="s">
        <v>3182</v>
      </c>
      <c r="F127" s="193" t="s">
        <v>3183</v>
      </c>
      <c r="G127" s="193" t="s">
        <v>3184</v>
      </c>
      <c r="H127" s="193" t="s">
        <v>3185</v>
      </c>
      <c r="I127" s="193">
        <v>24</v>
      </c>
      <c r="J127" s="193">
        <v>24</v>
      </c>
    </row>
    <row r="128" spans="1:10" x14ac:dyDescent="0.3">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93" t="s">
        <v>112</v>
      </c>
      <c r="D128" s="193"/>
      <c r="E128" s="193"/>
      <c r="F128" s="193"/>
      <c r="G128" s="193"/>
      <c r="H128" s="193"/>
      <c r="I128" s="193"/>
      <c r="J128" s="193"/>
    </row>
    <row r="129" spans="1:10" x14ac:dyDescent="0.3">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93" t="s">
        <v>112</v>
      </c>
      <c r="D129" s="193"/>
      <c r="E129" s="193"/>
      <c r="F129" s="193"/>
      <c r="G129" s="193"/>
      <c r="H129" s="193"/>
      <c r="I129" s="193"/>
      <c r="J129" s="193"/>
    </row>
    <row r="130" spans="1:10" x14ac:dyDescent="0.3">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93" t="s">
        <v>112</v>
      </c>
      <c r="D130" s="193"/>
      <c r="E130" s="193"/>
      <c r="F130" s="193"/>
      <c r="G130" s="193"/>
      <c r="H130" s="193"/>
      <c r="I130" s="193"/>
      <c r="J130" s="193"/>
    </row>
    <row r="131" spans="1:10" x14ac:dyDescent="0.3">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93" t="s">
        <v>112</v>
      </c>
      <c r="D131" s="193"/>
      <c r="E131" s="193"/>
      <c r="F131" s="193"/>
      <c r="G131" s="193"/>
      <c r="H131" s="193"/>
      <c r="I131" s="193"/>
      <c r="J131" s="193"/>
    </row>
    <row r="132" spans="1:10" x14ac:dyDescent="0.3">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93" t="s">
        <v>112</v>
      </c>
      <c r="D132" s="193"/>
      <c r="E132" s="193"/>
      <c r="F132" s="193"/>
      <c r="G132" s="193"/>
      <c r="H132" s="193"/>
      <c r="I132" s="193"/>
      <c r="J132" s="193"/>
    </row>
    <row r="133" spans="1:10" x14ac:dyDescent="0.3">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93" t="s">
        <v>241</v>
      </c>
      <c r="D133" s="193" t="s">
        <v>110</v>
      </c>
      <c r="E133" s="193" t="s">
        <v>111</v>
      </c>
      <c r="F133" s="193" t="s">
        <v>112</v>
      </c>
      <c r="G133" s="193" t="s">
        <v>113</v>
      </c>
      <c r="H133" s="193"/>
      <c r="I133" s="193"/>
      <c r="J133" s="193"/>
    </row>
    <row r="134" spans="1:10" x14ac:dyDescent="0.3">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93" t="s">
        <v>3186</v>
      </c>
      <c r="D134" s="193" t="s">
        <v>1169</v>
      </c>
      <c r="E134" s="193" t="s">
        <v>3187</v>
      </c>
      <c r="F134" s="193" t="s">
        <v>112</v>
      </c>
      <c r="G134" s="193">
        <v>1085621</v>
      </c>
      <c r="H134" s="193"/>
      <c r="I134" s="193"/>
      <c r="J134" s="193"/>
    </row>
    <row r="135" spans="1:10" x14ac:dyDescent="0.3">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93" t="s">
        <v>3188</v>
      </c>
      <c r="D135" s="193"/>
      <c r="E135" s="193"/>
      <c r="F135" s="193"/>
      <c r="G135" s="193"/>
      <c r="H135" s="193"/>
      <c r="I135" s="193"/>
      <c r="J135" s="193"/>
    </row>
    <row r="136" spans="1:10" x14ac:dyDescent="0.3">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93" t="s">
        <v>3189</v>
      </c>
      <c r="D136" s="193"/>
      <c r="E136" s="193"/>
      <c r="F136" s="193"/>
      <c r="G136" s="193"/>
      <c r="H136" s="193"/>
      <c r="I136" s="193"/>
      <c r="J136" s="193"/>
    </row>
    <row r="137" spans="1:10" x14ac:dyDescent="0.3">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93" t="s">
        <v>3190</v>
      </c>
      <c r="D137" s="193" t="s">
        <v>3191</v>
      </c>
      <c r="E137" s="193" t="s">
        <v>3192</v>
      </c>
      <c r="F137" s="193" t="s">
        <v>112</v>
      </c>
      <c r="G137" s="193">
        <v>311318</v>
      </c>
      <c r="H137" s="193"/>
      <c r="I137" s="193"/>
      <c r="J137" s="193"/>
    </row>
    <row r="138" spans="1:10" x14ac:dyDescent="0.3">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93" t="s">
        <v>3193</v>
      </c>
      <c r="D138" s="193"/>
      <c r="E138" s="193"/>
      <c r="F138" s="193"/>
      <c r="G138" s="193"/>
      <c r="H138" s="193"/>
      <c r="I138" s="193"/>
      <c r="J138" s="193"/>
    </row>
    <row r="139" spans="1:10" x14ac:dyDescent="0.3">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93" t="s">
        <v>3194</v>
      </c>
      <c r="D139" s="193" t="s">
        <v>3195</v>
      </c>
      <c r="E139" s="193" t="s">
        <v>3196</v>
      </c>
      <c r="F139" s="193" t="s">
        <v>112</v>
      </c>
      <c r="G139" s="193">
        <v>294589</v>
      </c>
      <c r="H139" s="193"/>
      <c r="I139" s="193"/>
      <c r="J139" s="193"/>
    </row>
    <row r="140" spans="1:10" x14ac:dyDescent="0.3">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93" t="s">
        <v>3197</v>
      </c>
      <c r="D140" s="193" t="s">
        <v>416</v>
      </c>
      <c r="E140" s="193" t="s">
        <v>3198</v>
      </c>
      <c r="F140" s="193" t="s">
        <v>112</v>
      </c>
      <c r="G140" s="193">
        <v>843437</v>
      </c>
      <c r="H140" s="193"/>
      <c r="I140" s="193"/>
      <c r="J140" s="193"/>
    </row>
    <row r="141" spans="1:10" x14ac:dyDescent="0.3">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93" t="s">
        <v>3199</v>
      </c>
      <c r="D141" s="193" t="s">
        <v>3200</v>
      </c>
      <c r="E141" s="193" t="s">
        <v>3201</v>
      </c>
      <c r="F141" s="193" t="s">
        <v>112</v>
      </c>
      <c r="G141" s="193">
        <v>699340</v>
      </c>
      <c r="H141" s="193"/>
      <c r="I141" s="193"/>
      <c r="J141" s="193"/>
    </row>
    <row r="142" spans="1:10" x14ac:dyDescent="0.3">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93" t="s">
        <v>3202</v>
      </c>
      <c r="D142" s="193" t="s">
        <v>3203</v>
      </c>
      <c r="E142" s="193" t="s">
        <v>3204</v>
      </c>
      <c r="F142" s="193" t="s">
        <v>112</v>
      </c>
      <c r="G142" s="193">
        <v>698122</v>
      </c>
      <c r="H142" s="193"/>
      <c r="I142" s="193"/>
      <c r="J142" s="193"/>
    </row>
    <row r="143" spans="1:10" x14ac:dyDescent="0.3">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93" t="s">
        <v>3205</v>
      </c>
      <c r="D143" s="193" t="s">
        <v>1407</v>
      </c>
      <c r="E143" s="193" t="s">
        <v>3206</v>
      </c>
      <c r="F143" s="193" t="s">
        <v>112</v>
      </c>
      <c r="G143" s="193">
        <v>1609408</v>
      </c>
      <c r="H143" s="193"/>
      <c r="I143" s="193"/>
      <c r="J143" s="193"/>
    </row>
    <row r="144" spans="1:10" x14ac:dyDescent="0.3">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93" t="s">
        <v>3207</v>
      </c>
      <c r="D144" s="193" t="s">
        <v>3208</v>
      </c>
      <c r="E144" s="193" t="s">
        <v>3209</v>
      </c>
      <c r="F144" s="193" t="s">
        <v>112</v>
      </c>
      <c r="G144" s="193">
        <v>1559831</v>
      </c>
      <c r="H144" s="193"/>
      <c r="I144" s="193"/>
      <c r="J144" s="193"/>
    </row>
    <row r="145" spans="1:10" x14ac:dyDescent="0.3">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93" t="s">
        <v>3210</v>
      </c>
      <c r="D145" s="193" t="s">
        <v>3211</v>
      </c>
      <c r="E145" s="193" t="s">
        <v>3212</v>
      </c>
      <c r="F145" s="193" t="s">
        <v>112</v>
      </c>
      <c r="G145" s="193">
        <v>1373054</v>
      </c>
      <c r="H145" s="193"/>
      <c r="I145" s="193"/>
      <c r="J145" s="193"/>
    </row>
    <row r="146" spans="1:10" x14ac:dyDescent="0.3">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93" t="s">
        <v>3213</v>
      </c>
      <c r="D146" s="193" t="s">
        <v>168</v>
      </c>
      <c r="E146" s="193" t="s">
        <v>3214</v>
      </c>
      <c r="F146" s="193" t="s">
        <v>112</v>
      </c>
      <c r="G146" s="193">
        <v>6722</v>
      </c>
      <c r="H146" s="193"/>
      <c r="I146" s="193"/>
      <c r="J146" s="193"/>
    </row>
    <row r="147" spans="1:10" x14ac:dyDescent="0.3">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93" t="s">
        <v>3215</v>
      </c>
      <c r="D147" s="193"/>
      <c r="E147" s="193"/>
      <c r="F147" s="193"/>
      <c r="G147" s="193"/>
      <c r="H147" s="193"/>
      <c r="I147" s="193"/>
      <c r="J147" s="193"/>
    </row>
    <row r="148" spans="1:10" x14ac:dyDescent="0.3">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93" t="s">
        <v>3216</v>
      </c>
      <c r="D148" s="193"/>
      <c r="E148" s="193"/>
      <c r="F148" s="193"/>
      <c r="G148" s="193"/>
      <c r="H148" s="193"/>
      <c r="I148" s="193"/>
      <c r="J148" s="193"/>
    </row>
    <row r="149" spans="1:10" x14ac:dyDescent="0.3">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93" t="s">
        <v>3217</v>
      </c>
      <c r="D149" s="193" t="s">
        <v>3218</v>
      </c>
      <c r="E149" s="193" t="s">
        <v>3219</v>
      </c>
      <c r="F149" s="193" t="s">
        <v>112</v>
      </c>
      <c r="G149" s="193">
        <v>781547</v>
      </c>
      <c r="H149" s="193"/>
      <c r="I149" s="193"/>
      <c r="J149" s="193"/>
    </row>
    <row r="150" spans="1:10" x14ac:dyDescent="0.3">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93" t="s">
        <v>3220</v>
      </c>
      <c r="D150" s="193" t="s">
        <v>3221</v>
      </c>
      <c r="E150" s="193" t="s">
        <v>3222</v>
      </c>
      <c r="F150" s="193" t="s">
        <v>112</v>
      </c>
      <c r="G150" s="193">
        <v>602013</v>
      </c>
      <c r="H150" s="193"/>
      <c r="I150" s="193"/>
      <c r="J150" s="193"/>
    </row>
    <row r="151" spans="1:10" x14ac:dyDescent="0.3">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93" t="s">
        <v>3223</v>
      </c>
      <c r="D151" s="193" t="s">
        <v>3224</v>
      </c>
      <c r="E151" s="193" t="s">
        <v>3225</v>
      </c>
      <c r="F151" s="193" t="s">
        <v>112</v>
      </c>
      <c r="G151" s="193">
        <v>591419</v>
      </c>
      <c r="H151" s="193"/>
      <c r="I151" s="193"/>
      <c r="J151" s="193"/>
    </row>
    <row r="152" spans="1:10" x14ac:dyDescent="0.3">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93" t="s">
        <v>3226</v>
      </c>
      <c r="D152" s="193" t="s">
        <v>451</v>
      </c>
      <c r="E152" s="193" t="s">
        <v>3227</v>
      </c>
      <c r="F152" s="193" t="s">
        <v>112</v>
      </c>
      <c r="G152" s="193">
        <v>282951</v>
      </c>
      <c r="H152" s="193"/>
      <c r="I152" s="193"/>
      <c r="J152" s="193"/>
    </row>
    <row r="153" spans="1:10" x14ac:dyDescent="0.3">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93" t="s">
        <v>3228</v>
      </c>
      <c r="D153" s="193" t="s">
        <v>1275</v>
      </c>
      <c r="E153" s="193" t="s">
        <v>3229</v>
      </c>
      <c r="F153" s="193" t="s">
        <v>112</v>
      </c>
      <c r="G153" s="193">
        <v>556548</v>
      </c>
      <c r="H153" s="193"/>
      <c r="I153" s="193"/>
      <c r="J153" s="193"/>
    </row>
    <row r="154" spans="1:10" x14ac:dyDescent="0.3">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93" t="s">
        <v>3230</v>
      </c>
      <c r="D154" s="193"/>
      <c r="E154" s="193"/>
      <c r="F154" s="193"/>
      <c r="G154" s="193"/>
      <c r="H154" s="193"/>
      <c r="I154" s="193"/>
      <c r="J154" s="193"/>
    </row>
    <row r="155" spans="1:10" x14ac:dyDescent="0.3">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93" t="s">
        <v>3231</v>
      </c>
      <c r="D155" s="193"/>
      <c r="E155" s="193"/>
      <c r="F155" s="193"/>
      <c r="G155" s="193"/>
      <c r="H155" s="193"/>
      <c r="I155" s="193"/>
      <c r="J155" s="193"/>
    </row>
    <row r="156" spans="1:10" x14ac:dyDescent="0.3">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93" t="s">
        <v>3232</v>
      </c>
      <c r="D156" s="193" t="s">
        <v>388</v>
      </c>
      <c r="E156" s="193" t="s">
        <v>3233</v>
      </c>
      <c r="F156" s="193" t="s">
        <v>112</v>
      </c>
      <c r="G156" s="193">
        <v>92366</v>
      </c>
      <c r="H156" s="193"/>
      <c r="I156" s="193"/>
      <c r="J156" s="193"/>
    </row>
    <row r="157" spans="1:10" x14ac:dyDescent="0.3">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93" t="s">
        <v>3234</v>
      </c>
      <c r="D157" s="193"/>
      <c r="E157" s="193"/>
      <c r="F157" s="193"/>
      <c r="G157" s="193"/>
      <c r="H157" s="193"/>
      <c r="I157" s="193"/>
      <c r="J157" s="193"/>
    </row>
    <row r="158" spans="1:10" x14ac:dyDescent="0.3">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93" t="s">
        <v>112</v>
      </c>
      <c r="D158" s="193"/>
      <c r="E158" s="193"/>
      <c r="F158" s="193"/>
      <c r="G158" s="193"/>
      <c r="H158" s="193"/>
      <c r="I158" s="193"/>
      <c r="J158" s="193"/>
    </row>
    <row r="159" spans="1:10" x14ac:dyDescent="0.3">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93" t="s">
        <v>229</v>
      </c>
      <c r="D159" s="193" t="s">
        <v>112</v>
      </c>
      <c r="E159" s="193" t="s">
        <v>230</v>
      </c>
      <c r="F159" s="193" t="s">
        <v>231</v>
      </c>
      <c r="G159" s="193" t="s">
        <v>232</v>
      </c>
      <c r="H159" s="193" t="s">
        <v>233</v>
      </c>
      <c r="I159" s="193" t="s">
        <v>234</v>
      </c>
      <c r="J159" s="193" t="s">
        <v>235</v>
      </c>
    </row>
    <row r="160" spans="1:10" x14ac:dyDescent="0.3">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93" t="s">
        <v>3235</v>
      </c>
      <c r="D160" s="193" t="s">
        <v>112</v>
      </c>
      <c r="E160" s="193" t="s">
        <v>3236</v>
      </c>
      <c r="F160" s="193" t="s">
        <v>3237</v>
      </c>
      <c r="G160" s="193" t="s">
        <v>3238</v>
      </c>
      <c r="H160" s="193" t="s">
        <v>3239</v>
      </c>
      <c r="I160" s="193">
        <v>24</v>
      </c>
      <c r="J160" s="193">
        <v>24</v>
      </c>
    </row>
    <row r="161" spans="1:10" x14ac:dyDescent="0.3">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93" t="s">
        <v>112</v>
      </c>
      <c r="D161" s="193"/>
      <c r="E161" s="193"/>
      <c r="F161" s="193"/>
      <c r="G161" s="193"/>
      <c r="H161" s="193"/>
      <c r="I161" s="193"/>
      <c r="J161" s="193"/>
    </row>
    <row r="162" spans="1:10" x14ac:dyDescent="0.3">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93" t="s">
        <v>112</v>
      </c>
      <c r="D162" s="193"/>
      <c r="E162" s="193"/>
      <c r="F162" s="193"/>
      <c r="G162" s="193"/>
      <c r="H162" s="193"/>
      <c r="I162" s="193"/>
      <c r="J162" s="193"/>
    </row>
    <row r="163" spans="1:10" x14ac:dyDescent="0.3">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93" t="s">
        <v>112</v>
      </c>
      <c r="D163" s="193"/>
      <c r="E163" s="193"/>
      <c r="F163" s="193"/>
      <c r="G163" s="193"/>
      <c r="H163" s="193"/>
      <c r="I163" s="193"/>
      <c r="J163" s="193"/>
    </row>
    <row r="164" spans="1:10" x14ac:dyDescent="0.3">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93" t="s">
        <v>112</v>
      </c>
      <c r="D164" s="193"/>
      <c r="E164" s="193"/>
      <c r="F164" s="193"/>
      <c r="G164" s="193"/>
      <c r="H164" s="193"/>
      <c r="I164" s="193"/>
      <c r="J164" s="193"/>
    </row>
    <row r="165" spans="1:10" x14ac:dyDescent="0.3">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93" t="s">
        <v>112</v>
      </c>
      <c r="D165" s="193"/>
      <c r="E165" s="193"/>
      <c r="F165" s="193"/>
      <c r="G165" s="193"/>
      <c r="H165" s="193"/>
      <c r="I165" s="193"/>
      <c r="J165" s="193"/>
    </row>
    <row r="166" spans="1:10" x14ac:dyDescent="0.3">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93" t="s">
        <v>241</v>
      </c>
      <c r="D166" s="193" t="s">
        <v>110</v>
      </c>
      <c r="E166" s="193" t="s">
        <v>111</v>
      </c>
      <c r="F166" s="193" t="s">
        <v>112</v>
      </c>
      <c r="G166" s="193" t="s">
        <v>113</v>
      </c>
      <c r="H166" s="193"/>
      <c r="I166" s="193"/>
      <c r="J166" s="193"/>
    </row>
    <row r="167" spans="1:10" x14ac:dyDescent="0.3">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93" t="s">
        <v>3240</v>
      </c>
      <c r="D167" s="193" t="s">
        <v>3241</v>
      </c>
      <c r="E167" s="193" t="s">
        <v>3242</v>
      </c>
      <c r="F167" s="193" t="s">
        <v>112</v>
      </c>
      <c r="G167" s="193">
        <v>3515646</v>
      </c>
      <c r="H167" s="193"/>
      <c r="I167" s="193"/>
      <c r="J167" s="193"/>
    </row>
    <row r="168" spans="1:10" x14ac:dyDescent="0.3">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93" t="s">
        <v>3243</v>
      </c>
      <c r="D168" s="193" t="s">
        <v>3244</v>
      </c>
      <c r="E168" s="193" t="s">
        <v>3245</v>
      </c>
      <c r="F168" s="193" t="s">
        <v>112</v>
      </c>
      <c r="G168" s="193">
        <v>3629592</v>
      </c>
      <c r="H168" s="193"/>
      <c r="I168" s="193"/>
      <c r="J168" s="193"/>
    </row>
    <row r="169" spans="1:10" x14ac:dyDescent="0.3">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93" t="s">
        <v>3246</v>
      </c>
      <c r="D169" s="193" t="s">
        <v>3247</v>
      </c>
      <c r="E169" s="193" t="s">
        <v>3248</v>
      </c>
      <c r="F169" s="193" t="s">
        <v>112</v>
      </c>
      <c r="G169" s="193">
        <v>2841562</v>
      </c>
      <c r="H169" s="193"/>
      <c r="I169" s="193"/>
      <c r="J169" s="193"/>
    </row>
    <row r="170" spans="1:10" x14ac:dyDescent="0.3">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93" t="s">
        <v>3249</v>
      </c>
      <c r="D170" s="193" t="s">
        <v>3250</v>
      </c>
      <c r="E170" s="193" t="s">
        <v>3251</v>
      </c>
      <c r="F170" s="193" t="s">
        <v>112</v>
      </c>
      <c r="G170" s="193">
        <v>2576754</v>
      </c>
      <c r="H170" s="193"/>
      <c r="I170" s="193"/>
      <c r="J170" s="193"/>
    </row>
    <row r="171" spans="1:10" x14ac:dyDescent="0.3">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93" t="s">
        <v>3252</v>
      </c>
      <c r="D171" s="193" t="s">
        <v>3253</v>
      </c>
      <c r="E171" s="193" t="s">
        <v>3254</v>
      </c>
      <c r="F171" s="193" t="s">
        <v>112</v>
      </c>
      <c r="G171" s="193">
        <v>3214639</v>
      </c>
      <c r="H171" s="193"/>
      <c r="I171" s="193"/>
      <c r="J171" s="193"/>
    </row>
    <row r="172" spans="1:10" x14ac:dyDescent="0.3">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93" t="s">
        <v>3255</v>
      </c>
      <c r="D172" s="193"/>
      <c r="E172" s="193"/>
      <c r="F172" s="193"/>
      <c r="G172" s="193"/>
      <c r="H172" s="193"/>
      <c r="I172" s="193"/>
      <c r="J172" s="193"/>
    </row>
    <row r="173" spans="1:10" x14ac:dyDescent="0.3">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93" t="s">
        <v>3256</v>
      </c>
      <c r="D173" s="193" t="s">
        <v>3257</v>
      </c>
      <c r="E173" s="193" t="s">
        <v>3258</v>
      </c>
      <c r="F173" s="193" t="s">
        <v>112</v>
      </c>
      <c r="G173" s="193">
        <v>1577800</v>
      </c>
      <c r="H173" s="193"/>
      <c r="I173" s="193"/>
      <c r="J173" s="193"/>
    </row>
    <row r="174" spans="1:10" x14ac:dyDescent="0.3">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93" t="s">
        <v>3259</v>
      </c>
      <c r="D174" s="193" t="s">
        <v>3260</v>
      </c>
      <c r="E174" s="193" t="s">
        <v>3261</v>
      </c>
      <c r="F174" s="193" t="s">
        <v>112</v>
      </c>
      <c r="G174" s="193">
        <v>1556133</v>
      </c>
      <c r="H174" s="193"/>
      <c r="I174" s="193"/>
      <c r="J174" s="193"/>
    </row>
    <row r="175" spans="1:10" x14ac:dyDescent="0.3">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93" t="s">
        <v>3262</v>
      </c>
      <c r="D175" s="193" t="s">
        <v>3263</v>
      </c>
      <c r="E175" s="193" t="s">
        <v>3264</v>
      </c>
      <c r="F175" s="193" t="s">
        <v>112</v>
      </c>
      <c r="G175" s="193">
        <v>1562659</v>
      </c>
      <c r="H175" s="193"/>
      <c r="I175" s="193"/>
      <c r="J175" s="193"/>
    </row>
    <row r="176" spans="1:10" x14ac:dyDescent="0.3">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93" t="s">
        <v>3265</v>
      </c>
      <c r="D176" s="193"/>
      <c r="E176" s="193"/>
      <c r="F176" s="193"/>
      <c r="G176" s="193"/>
      <c r="H176" s="193"/>
      <c r="I176" s="193"/>
      <c r="J176" s="193"/>
    </row>
    <row r="177" spans="1:10" x14ac:dyDescent="0.3">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93" t="s">
        <v>3266</v>
      </c>
      <c r="D177" s="193"/>
      <c r="E177" s="193"/>
      <c r="F177" s="193"/>
      <c r="G177" s="193"/>
      <c r="H177" s="193"/>
      <c r="I177" s="193"/>
      <c r="J177" s="193"/>
    </row>
    <row r="178" spans="1:10" x14ac:dyDescent="0.3">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93" t="s">
        <v>3267</v>
      </c>
      <c r="D178" s="193" t="s">
        <v>3268</v>
      </c>
      <c r="E178" s="193" t="s">
        <v>3269</v>
      </c>
      <c r="F178" s="193" t="s">
        <v>112</v>
      </c>
      <c r="G178" s="193">
        <v>2936518</v>
      </c>
      <c r="H178" s="193"/>
      <c r="I178" s="193"/>
      <c r="J178" s="193"/>
    </row>
    <row r="179" spans="1:10" x14ac:dyDescent="0.3">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93" t="s">
        <v>3270</v>
      </c>
      <c r="D179" s="193" t="s">
        <v>3271</v>
      </c>
      <c r="E179" s="193" t="s">
        <v>3272</v>
      </c>
      <c r="F179" s="193" t="s">
        <v>112</v>
      </c>
      <c r="G179" s="193">
        <v>3477512</v>
      </c>
      <c r="H179" s="193"/>
      <c r="I179" s="193"/>
      <c r="J179" s="193"/>
    </row>
    <row r="180" spans="1:10" x14ac:dyDescent="0.3">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93" t="s">
        <v>3273</v>
      </c>
      <c r="D180" s="193" t="s">
        <v>3274</v>
      </c>
      <c r="E180" s="193" t="s">
        <v>3275</v>
      </c>
      <c r="F180" s="193" t="s">
        <v>112</v>
      </c>
      <c r="G180" s="193">
        <v>3807886</v>
      </c>
      <c r="H180" s="193"/>
      <c r="I180" s="193"/>
      <c r="J180" s="193"/>
    </row>
    <row r="181" spans="1:10" x14ac:dyDescent="0.3">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93" t="s">
        <v>3276</v>
      </c>
      <c r="D181" s="193" t="s">
        <v>3277</v>
      </c>
      <c r="E181" s="193" t="s">
        <v>3278</v>
      </c>
      <c r="F181" s="193" t="s">
        <v>112</v>
      </c>
      <c r="G181" s="193">
        <v>3762377</v>
      </c>
      <c r="H181" s="193"/>
      <c r="I181" s="193"/>
      <c r="J181" s="193"/>
    </row>
    <row r="182" spans="1:10" x14ac:dyDescent="0.3">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93" t="s">
        <v>3279</v>
      </c>
      <c r="D182" s="193" t="s">
        <v>3280</v>
      </c>
      <c r="E182" s="193" t="s">
        <v>3281</v>
      </c>
      <c r="F182" s="193" t="s">
        <v>112</v>
      </c>
      <c r="G182" s="193">
        <v>3677211</v>
      </c>
      <c r="H182" s="193"/>
      <c r="I182" s="193"/>
      <c r="J182" s="193"/>
    </row>
    <row r="183" spans="1:10" x14ac:dyDescent="0.3">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93" t="s">
        <v>3282</v>
      </c>
      <c r="D183" s="193" t="s">
        <v>3283</v>
      </c>
      <c r="E183" s="193" t="s">
        <v>3284</v>
      </c>
      <c r="F183" s="193" t="s">
        <v>112</v>
      </c>
      <c r="G183" s="193">
        <v>3700966</v>
      </c>
      <c r="H183" s="193"/>
      <c r="I183" s="193"/>
      <c r="J183" s="193"/>
    </row>
    <row r="184" spans="1:10" x14ac:dyDescent="0.3">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93" t="s">
        <v>3285</v>
      </c>
      <c r="D184" s="193" t="s">
        <v>3286</v>
      </c>
      <c r="E184" s="193" t="s">
        <v>3287</v>
      </c>
      <c r="F184" s="193" t="s">
        <v>112</v>
      </c>
      <c r="G184" s="193">
        <v>3965035</v>
      </c>
      <c r="H184" s="193"/>
      <c r="I184" s="193"/>
      <c r="J184" s="193"/>
    </row>
    <row r="185" spans="1:10" x14ac:dyDescent="0.3">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93" t="s">
        <v>3288</v>
      </c>
      <c r="D185" s="193" t="s">
        <v>3289</v>
      </c>
      <c r="E185" s="193" t="s">
        <v>3290</v>
      </c>
      <c r="F185" s="193" t="s">
        <v>112</v>
      </c>
      <c r="G185" s="193">
        <v>1480147</v>
      </c>
      <c r="H185" s="193"/>
      <c r="I185" s="193"/>
      <c r="J185" s="193"/>
    </row>
    <row r="186" spans="1:10" x14ac:dyDescent="0.3">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93" t="s">
        <v>3291</v>
      </c>
      <c r="D186" s="193" t="s">
        <v>3292</v>
      </c>
      <c r="E186" s="193" t="s">
        <v>3293</v>
      </c>
      <c r="F186" s="193" t="s">
        <v>112</v>
      </c>
      <c r="G186" s="193">
        <v>1429048</v>
      </c>
      <c r="H186" s="193"/>
      <c r="I186" s="193"/>
      <c r="J186" s="193"/>
    </row>
    <row r="187" spans="1:10" x14ac:dyDescent="0.3">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93" t="s">
        <v>3294</v>
      </c>
      <c r="D187" s="193" t="s">
        <v>3295</v>
      </c>
      <c r="E187" s="193" t="s">
        <v>3296</v>
      </c>
      <c r="F187" s="193" t="s">
        <v>112</v>
      </c>
      <c r="G187" s="193">
        <v>1466812</v>
      </c>
      <c r="H187" s="193"/>
      <c r="I187" s="193"/>
      <c r="J187" s="193"/>
    </row>
    <row r="188" spans="1:10" x14ac:dyDescent="0.3">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93" t="s">
        <v>3297</v>
      </c>
      <c r="D188" s="193" t="s">
        <v>3298</v>
      </c>
      <c r="E188" s="193" t="s">
        <v>3299</v>
      </c>
      <c r="F188" s="193" t="s">
        <v>112</v>
      </c>
      <c r="G188" s="193">
        <v>2475643</v>
      </c>
      <c r="H188" s="193"/>
      <c r="I188" s="193"/>
      <c r="J188" s="193"/>
    </row>
    <row r="189" spans="1:10" x14ac:dyDescent="0.3">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93" t="s">
        <v>3300</v>
      </c>
      <c r="D189" s="193" t="s">
        <v>3301</v>
      </c>
      <c r="E189" s="193" t="s">
        <v>3302</v>
      </c>
      <c r="F189" s="193" t="s">
        <v>112</v>
      </c>
      <c r="G189" s="193">
        <v>2520760</v>
      </c>
      <c r="H189" s="193"/>
      <c r="I189" s="193"/>
      <c r="J189" s="193"/>
    </row>
    <row r="190" spans="1:10" x14ac:dyDescent="0.3">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93" t="s">
        <v>3303</v>
      </c>
      <c r="D190" s="193" t="s">
        <v>1033</v>
      </c>
      <c r="E190" s="193" t="s">
        <v>3304</v>
      </c>
      <c r="F190" s="193" t="s">
        <v>112</v>
      </c>
      <c r="G190" s="193">
        <v>2301656</v>
      </c>
      <c r="H190" s="193"/>
      <c r="I190" s="193"/>
      <c r="J190" s="193"/>
    </row>
    <row r="191" spans="1:10" x14ac:dyDescent="0.3">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93" t="s">
        <v>112</v>
      </c>
      <c r="D191" s="193"/>
      <c r="E191" s="193"/>
      <c r="F191" s="193"/>
      <c r="G191" s="193"/>
      <c r="H191" s="193"/>
      <c r="I191" s="193"/>
      <c r="J191" s="193"/>
    </row>
    <row r="192" spans="1:10" x14ac:dyDescent="0.3">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93" t="s">
        <v>229</v>
      </c>
      <c r="D192" s="193" t="s">
        <v>112</v>
      </c>
      <c r="E192" s="193" t="s">
        <v>230</v>
      </c>
      <c r="F192" s="193" t="s">
        <v>231</v>
      </c>
      <c r="G192" s="193" t="s">
        <v>232</v>
      </c>
      <c r="H192" s="193" t="s">
        <v>233</v>
      </c>
      <c r="I192" s="193" t="s">
        <v>234</v>
      </c>
      <c r="J192" s="193" t="s">
        <v>235</v>
      </c>
    </row>
    <row r="193" spans="1:10" x14ac:dyDescent="0.3">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93" t="s">
        <v>3305</v>
      </c>
      <c r="D193" s="193" t="s">
        <v>112</v>
      </c>
      <c r="E193" s="193" t="s">
        <v>3306</v>
      </c>
      <c r="F193" s="193" t="s">
        <v>3307</v>
      </c>
      <c r="G193" s="193" t="s">
        <v>3308</v>
      </c>
      <c r="H193" s="193" t="s">
        <v>3309</v>
      </c>
      <c r="I193" s="193">
        <v>24</v>
      </c>
      <c r="J193" s="193">
        <v>24</v>
      </c>
    </row>
    <row r="194" spans="1:10" x14ac:dyDescent="0.3">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93" t="s">
        <v>112</v>
      </c>
      <c r="D194" s="193"/>
      <c r="E194" s="193"/>
      <c r="F194" s="193"/>
      <c r="G194" s="193"/>
      <c r="H194" s="193"/>
      <c r="I194" s="193"/>
      <c r="J194" s="193"/>
    </row>
    <row r="195" spans="1:10" x14ac:dyDescent="0.3">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93" t="s">
        <v>112</v>
      </c>
      <c r="D195" s="193"/>
      <c r="E195" s="193"/>
      <c r="F195" s="193"/>
      <c r="G195" s="193"/>
      <c r="H195" s="193"/>
      <c r="I195" s="193"/>
      <c r="J195" s="193"/>
    </row>
    <row r="196" spans="1:10" x14ac:dyDescent="0.3">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93" t="s">
        <v>112</v>
      </c>
      <c r="D196" s="193"/>
      <c r="E196" s="193"/>
      <c r="F196" s="193"/>
      <c r="G196" s="193"/>
      <c r="H196" s="193"/>
      <c r="I196" s="193"/>
      <c r="J196" s="193"/>
    </row>
    <row r="197" spans="1:10" x14ac:dyDescent="0.3">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93" t="s">
        <v>112</v>
      </c>
      <c r="D197" s="193"/>
      <c r="E197" s="193"/>
      <c r="F197" s="193"/>
      <c r="G197" s="193"/>
      <c r="H197" s="193"/>
      <c r="I197" s="193"/>
      <c r="J197" s="193"/>
    </row>
    <row r="198" spans="1:10" x14ac:dyDescent="0.3">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93" t="s">
        <v>112</v>
      </c>
      <c r="D198" s="193"/>
      <c r="E198" s="193"/>
      <c r="F198" s="193"/>
      <c r="G198" s="193"/>
      <c r="H198" s="193"/>
      <c r="I198" s="193"/>
      <c r="J198" s="193"/>
    </row>
    <row r="199" spans="1:10" x14ac:dyDescent="0.3">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93" t="s">
        <v>241</v>
      </c>
      <c r="D199" s="193" t="s">
        <v>110</v>
      </c>
      <c r="E199" s="193" t="s">
        <v>111</v>
      </c>
      <c r="F199" s="193" t="s">
        <v>112</v>
      </c>
      <c r="G199" s="193" t="s">
        <v>113</v>
      </c>
      <c r="H199" s="193"/>
      <c r="I199" s="193"/>
      <c r="J199" s="193"/>
    </row>
    <row r="200" spans="1:10" x14ac:dyDescent="0.3">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93" t="s">
        <v>3310</v>
      </c>
      <c r="D200" s="193" t="s">
        <v>3311</v>
      </c>
      <c r="E200" s="193" t="s">
        <v>3312</v>
      </c>
      <c r="F200" s="193" t="s">
        <v>112</v>
      </c>
      <c r="G200" s="193">
        <v>4701226</v>
      </c>
      <c r="H200" s="193"/>
      <c r="I200" s="193"/>
      <c r="J200" s="193"/>
    </row>
    <row r="201" spans="1:10" x14ac:dyDescent="0.3">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93" t="s">
        <v>3313</v>
      </c>
      <c r="D201" s="193" t="s">
        <v>3314</v>
      </c>
      <c r="E201" s="193" t="s">
        <v>3315</v>
      </c>
      <c r="F201" s="193" t="s">
        <v>112</v>
      </c>
      <c r="G201" s="193">
        <v>4929792</v>
      </c>
      <c r="H201" s="193"/>
      <c r="I201" s="193"/>
      <c r="J201" s="193"/>
    </row>
    <row r="202" spans="1:10" x14ac:dyDescent="0.3">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93" t="s">
        <v>3316</v>
      </c>
      <c r="D202" s="193"/>
      <c r="E202" s="193"/>
      <c r="F202" s="193"/>
      <c r="G202" s="193"/>
      <c r="H202" s="193"/>
      <c r="I202" s="193"/>
      <c r="J202" s="193"/>
    </row>
    <row r="203" spans="1:10" x14ac:dyDescent="0.3">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93" t="s">
        <v>3317</v>
      </c>
      <c r="D203" s="193" t="s">
        <v>3318</v>
      </c>
      <c r="E203" s="193" t="s">
        <v>3319</v>
      </c>
      <c r="F203" s="193" t="s">
        <v>112</v>
      </c>
      <c r="G203" s="193">
        <v>4106652</v>
      </c>
      <c r="H203" s="193"/>
      <c r="I203" s="193"/>
      <c r="J203" s="193"/>
    </row>
    <row r="204" spans="1:10" x14ac:dyDescent="0.3">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93" t="s">
        <v>3320</v>
      </c>
      <c r="D204" s="193" t="s">
        <v>3321</v>
      </c>
      <c r="E204" s="193" t="s">
        <v>3322</v>
      </c>
      <c r="F204" s="193" t="s">
        <v>112</v>
      </c>
      <c r="G204" s="193">
        <v>4861768</v>
      </c>
      <c r="H204" s="193"/>
      <c r="I204" s="193"/>
      <c r="J204" s="193"/>
    </row>
    <row r="205" spans="1:10" x14ac:dyDescent="0.3">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93" t="s">
        <v>3323</v>
      </c>
      <c r="D205" s="193" t="s">
        <v>3324</v>
      </c>
      <c r="E205" s="193" t="s">
        <v>3325</v>
      </c>
      <c r="F205" s="193" t="s">
        <v>112</v>
      </c>
      <c r="G205" s="193">
        <v>3538248</v>
      </c>
      <c r="H205" s="193"/>
      <c r="I205" s="193"/>
      <c r="J205" s="193"/>
    </row>
    <row r="206" spans="1:10" x14ac:dyDescent="0.3">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93" t="s">
        <v>3326</v>
      </c>
      <c r="D206" s="193" t="s">
        <v>3327</v>
      </c>
      <c r="E206" s="193" t="s">
        <v>3328</v>
      </c>
      <c r="F206" s="193" t="s">
        <v>112</v>
      </c>
      <c r="G206" s="193">
        <v>2295957</v>
      </c>
      <c r="H206" s="193"/>
      <c r="I206" s="193"/>
      <c r="J206" s="193"/>
    </row>
    <row r="207" spans="1:10" x14ac:dyDescent="0.3">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93" t="s">
        <v>3329</v>
      </c>
      <c r="D207" s="193" t="s">
        <v>3330</v>
      </c>
      <c r="E207" s="193" t="s">
        <v>3331</v>
      </c>
      <c r="F207" s="193" t="s">
        <v>112</v>
      </c>
      <c r="G207" s="193">
        <v>2329610</v>
      </c>
      <c r="H207" s="193"/>
      <c r="I207" s="193"/>
      <c r="J207" s="193"/>
    </row>
    <row r="208" spans="1:10" x14ac:dyDescent="0.3">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93" t="s">
        <v>3332</v>
      </c>
      <c r="D208" s="193" t="s">
        <v>3333</v>
      </c>
      <c r="E208" s="193" t="s">
        <v>3334</v>
      </c>
      <c r="F208" s="193" t="s">
        <v>112</v>
      </c>
      <c r="G208" s="193">
        <v>2626962</v>
      </c>
      <c r="H208" s="193"/>
      <c r="I208" s="193"/>
      <c r="J208" s="193"/>
    </row>
    <row r="209" spans="1:10" x14ac:dyDescent="0.3">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93" t="s">
        <v>3335</v>
      </c>
      <c r="D209" s="193" t="s">
        <v>3336</v>
      </c>
      <c r="E209" s="193" t="s">
        <v>3337</v>
      </c>
      <c r="F209" s="193" t="s">
        <v>112</v>
      </c>
      <c r="G209" s="193">
        <v>7790085</v>
      </c>
      <c r="H209" s="193"/>
      <c r="I209" s="193"/>
      <c r="J209" s="193"/>
    </row>
    <row r="210" spans="1:10" x14ac:dyDescent="0.3">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93" t="s">
        <v>3338</v>
      </c>
      <c r="D210" s="193" t="s">
        <v>3339</v>
      </c>
      <c r="E210" s="193" t="s">
        <v>3340</v>
      </c>
      <c r="F210" s="193" t="s">
        <v>112</v>
      </c>
      <c r="G210" s="193">
        <v>7435760</v>
      </c>
      <c r="H210" s="193"/>
      <c r="I210" s="193"/>
      <c r="J210" s="193"/>
    </row>
    <row r="211" spans="1:10" x14ac:dyDescent="0.3">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93" t="s">
        <v>3341</v>
      </c>
      <c r="D211" s="193"/>
      <c r="E211" s="193"/>
      <c r="F211" s="193"/>
      <c r="G211" s="193"/>
      <c r="H211" s="193"/>
      <c r="I211" s="193"/>
      <c r="J211" s="193"/>
    </row>
    <row r="212" spans="1:10" x14ac:dyDescent="0.3">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93" t="s">
        <v>3342</v>
      </c>
      <c r="D212" s="193" t="s">
        <v>3343</v>
      </c>
      <c r="E212" s="193" t="s">
        <v>3344</v>
      </c>
      <c r="F212" s="193" t="s">
        <v>112</v>
      </c>
      <c r="G212" s="193">
        <v>5700593</v>
      </c>
      <c r="H212" s="193"/>
      <c r="I212" s="193"/>
      <c r="J212" s="193"/>
    </row>
    <row r="213" spans="1:10" x14ac:dyDescent="0.3">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93" t="s">
        <v>3345</v>
      </c>
      <c r="D213" s="193" t="s">
        <v>3346</v>
      </c>
      <c r="E213" s="193" t="s">
        <v>3347</v>
      </c>
      <c r="F213" s="193" t="s">
        <v>112</v>
      </c>
      <c r="G213" s="193">
        <v>5235498</v>
      </c>
      <c r="H213" s="193"/>
      <c r="I213" s="193"/>
      <c r="J213" s="193"/>
    </row>
    <row r="214" spans="1:10" x14ac:dyDescent="0.3">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93" t="s">
        <v>3348</v>
      </c>
      <c r="D214" s="193"/>
      <c r="E214" s="193"/>
      <c r="F214" s="193"/>
      <c r="G214" s="193"/>
      <c r="H214" s="193"/>
      <c r="I214" s="193"/>
      <c r="J214" s="193"/>
    </row>
    <row r="215" spans="1:10" x14ac:dyDescent="0.3">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93" t="s">
        <v>3349</v>
      </c>
      <c r="D215" s="193"/>
      <c r="E215" s="193"/>
      <c r="F215" s="193"/>
      <c r="G215" s="193"/>
      <c r="H215" s="193"/>
      <c r="I215" s="193"/>
      <c r="J215" s="193"/>
    </row>
    <row r="216" spans="1:10" x14ac:dyDescent="0.3">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93" t="s">
        <v>3350</v>
      </c>
      <c r="D216" s="193" t="s">
        <v>919</v>
      </c>
      <c r="E216" s="193" t="s">
        <v>3351</v>
      </c>
      <c r="F216" s="193" t="s">
        <v>112</v>
      </c>
      <c r="G216" s="193">
        <v>2917809</v>
      </c>
      <c r="H216" s="193"/>
      <c r="I216" s="193"/>
      <c r="J216" s="193"/>
    </row>
    <row r="217" spans="1:10" x14ac:dyDescent="0.3">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93" t="s">
        <v>3352</v>
      </c>
      <c r="D217" s="193" t="s">
        <v>3353</v>
      </c>
      <c r="E217" s="193" t="s">
        <v>3354</v>
      </c>
      <c r="F217" s="193" t="s">
        <v>112</v>
      </c>
      <c r="G217" s="193">
        <v>2436268</v>
      </c>
      <c r="H217" s="193"/>
      <c r="I217" s="193"/>
      <c r="J217" s="193"/>
    </row>
    <row r="218" spans="1:10" x14ac:dyDescent="0.3">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93" t="s">
        <v>3355</v>
      </c>
      <c r="D218" s="193" t="s">
        <v>3356</v>
      </c>
      <c r="E218" s="193" t="s">
        <v>3357</v>
      </c>
      <c r="F218" s="193" t="s">
        <v>112</v>
      </c>
      <c r="G218" s="193">
        <v>2592221</v>
      </c>
      <c r="H218" s="193"/>
      <c r="I218" s="193"/>
      <c r="J218" s="193"/>
    </row>
    <row r="219" spans="1:10" x14ac:dyDescent="0.3">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93" t="s">
        <v>3358</v>
      </c>
      <c r="D219" s="193"/>
      <c r="E219" s="193"/>
      <c r="F219" s="193"/>
      <c r="G219" s="193"/>
      <c r="H219" s="193"/>
      <c r="I219" s="193"/>
      <c r="J219" s="193"/>
    </row>
    <row r="220" spans="1:10" x14ac:dyDescent="0.3">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93" t="s">
        <v>3359</v>
      </c>
      <c r="D220" s="193"/>
      <c r="E220" s="193"/>
      <c r="F220" s="193"/>
      <c r="G220" s="193"/>
      <c r="H220" s="193"/>
      <c r="I220" s="193"/>
      <c r="J220" s="193"/>
    </row>
    <row r="221" spans="1:10" x14ac:dyDescent="0.3">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93" t="s">
        <v>3360</v>
      </c>
      <c r="D221" s="193" t="s">
        <v>3361</v>
      </c>
      <c r="E221" s="193" t="s">
        <v>3362</v>
      </c>
      <c r="F221" s="193" t="s">
        <v>112</v>
      </c>
      <c r="G221" s="193">
        <v>6115916</v>
      </c>
      <c r="H221" s="193"/>
      <c r="I221" s="193"/>
      <c r="J221" s="193"/>
    </row>
    <row r="222" spans="1:10" x14ac:dyDescent="0.3">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93" t="s">
        <v>3363</v>
      </c>
      <c r="D222" s="193" t="s">
        <v>3364</v>
      </c>
      <c r="E222" s="193" t="s">
        <v>3365</v>
      </c>
      <c r="F222" s="193" t="s">
        <v>112</v>
      </c>
      <c r="G222" s="193">
        <v>5567547</v>
      </c>
      <c r="H222" s="193"/>
      <c r="I222" s="193"/>
      <c r="J222" s="193"/>
    </row>
    <row r="223" spans="1:10" x14ac:dyDescent="0.3">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93" t="s">
        <v>3366</v>
      </c>
      <c r="D223" s="193" t="s">
        <v>3367</v>
      </c>
      <c r="E223" s="193" t="s">
        <v>3368</v>
      </c>
      <c r="F223" s="193" t="s">
        <v>112</v>
      </c>
      <c r="G223" s="193">
        <v>5822023</v>
      </c>
      <c r="H223" s="193"/>
      <c r="I223" s="193"/>
      <c r="J223" s="193"/>
    </row>
    <row r="224" spans="1:10" x14ac:dyDescent="0.3">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93" t="s">
        <v>112</v>
      </c>
      <c r="D224" s="193"/>
      <c r="E224" s="193"/>
      <c r="F224" s="193"/>
      <c r="G224" s="193"/>
      <c r="H224" s="193"/>
      <c r="I224" s="193"/>
      <c r="J224" s="193"/>
    </row>
    <row r="225" spans="1:10" x14ac:dyDescent="0.3">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93" t="s">
        <v>229</v>
      </c>
      <c r="D225" s="193" t="s">
        <v>112</v>
      </c>
      <c r="E225" s="193" t="s">
        <v>230</v>
      </c>
      <c r="F225" s="193" t="s">
        <v>231</v>
      </c>
      <c r="G225" s="193" t="s">
        <v>232</v>
      </c>
      <c r="H225" s="193" t="s">
        <v>233</v>
      </c>
      <c r="I225" s="193" t="s">
        <v>234</v>
      </c>
      <c r="J225" s="193" t="s">
        <v>235</v>
      </c>
    </row>
    <row r="226" spans="1:10" x14ac:dyDescent="0.3">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93" t="s">
        <v>3369</v>
      </c>
      <c r="D226" s="193" t="s">
        <v>112</v>
      </c>
      <c r="E226" s="193" t="s">
        <v>3370</v>
      </c>
      <c r="F226" s="193" t="s">
        <v>3371</v>
      </c>
      <c r="G226" s="193" t="s">
        <v>3372</v>
      </c>
      <c r="H226" s="193" t="s">
        <v>3373</v>
      </c>
      <c r="I226" s="193">
        <v>24</v>
      </c>
      <c r="J226" s="193">
        <v>24</v>
      </c>
    </row>
    <row r="227" spans="1:10" x14ac:dyDescent="0.3">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93" t="s">
        <v>112</v>
      </c>
      <c r="D227" s="193"/>
      <c r="E227" s="193"/>
      <c r="F227" s="193"/>
      <c r="G227" s="193"/>
      <c r="H227" s="193"/>
      <c r="I227" s="193"/>
      <c r="J227" s="193"/>
    </row>
    <row r="228" spans="1:10" x14ac:dyDescent="0.3">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93" t="s">
        <v>112</v>
      </c>
      <c r="D228" s="193"/>
      <c r="E228" s="193"/>
      <c r="F228" s="193"/>
      <c r="G228" s="193"/>
      <c r="H228" s="193"/>
      <c r="I228" s="193"/>
      <c r="J228" s="193"/>
    </row>
    <row r="229" spans="1:10" x14ac:dyDescent="0.3">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93" t="s">
        <v>112</v>
      </c>
      <c r="D229" s="193"/>
      <c r="E229" s="193"/>
      <c r="F229" s="193"/>
      <c r="G229" s="193"/>
      <c r="H229" s="193"/>
      <c r="I229" s="193"/>
      <c r="J229" s="193"/>
    </row>
    <row r="230" spans="1:10" x14ac:dyDescent="0.3">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93" t="s">
        <v>112</v>
      </c>
      <c r="D230" s="193"/>
      <c r="E230" s="193"/>
      <c r="F230" s="193"/>
      <c r="G230" s="193"/>
      <c r="H230" s="193"/>
      <c r="I230" s="193"/>
      <c r="J230" s="193"/>
    </row>
    <row r="231" spans="1:10" x14ac:dyDescent="0.3">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93" t="s">
        <v>112</v>
      </c>
      <c r="D231" s="193"/>
      <c r="E231" s="193"/>
      <c r="F231" s="193"/>
      <c r="G231" s="193"/>
      <c r="H231" s="193"/>
      <c r="I231" s="193"/>
      <c r="J231" s="193"/>
    </row>
    <row r="232" spans="1:10" x14ac:dyDescent="0.3">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93" t="s">
        <v>241</v>
      </c>
      <c r="D232" s="193" t="s">
        <v>110</v>
      </c>
      <c r="E232" s="193" t="s">
        <v>111</v>
      </c>
      <c r="F232" s="193" t="s">
        <v>112</v>
      </c>
      <c r="G232" s="193" t="s">
        <v>113</v>
      </c>
      <c r="H232" s="193"/>
      <c r="I232" s="193"/>
      <c r="J232" s="193"/>
    </row>
    <row r="233" spans="1:10" x14ac:dyDescent="0.3">
      <c r="A233" s="1" t="str">
        <f t="shared" si="3"/>
        <v>08 ARABINOSE 0.01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93" t="s">
        <v>3374</v>
      </c>
      <c r="D233" s="193" t="s">
        <v>3375</v>
      </c>
      <c r="E233" s="193" t="s">
        <v>3376</v>
      </c>
      <c r="F233" s="193" t="s">
        <v>112</v>
      </c>
      <c r="G233" s="193">
        <v>1451585</v>
      </c>
      <c r="H233" s="193"/>
      <c r="I233" s="193"/>
      <c r="J233" s="193"/>
    </row>
    <row r="234" spans="1:10" x14ac:dyDescent="0.3">
      <c r="A234" s="1" t="str">
        <f t="shared" si="3"/>
        <v>08 ARABINOSE 0.01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93" t="s">
        <v>3377</v>
      </c>
      <c r="D234" s="193" t="s">
        <v>3378</v>
      </c>
      <c r="E234" s="193" t="s">
        <v>3379</v>
      </c>
      <c r="F234" s="193" t="s">
        <v>112</v>
      </c>
      <c r="G234" s="193">
        <v>1348124</v>
      </c>
      <c r="H234" s="193"/>
      <c r="I234" s="193"/>
      <c r="J234" s="193"/>
    </row>
    <row r="235" spans="1:10" x14ac:dyDescent="0.3">
      <c r="A235" s="1" t="str">
        <f t="shared" si="3"/>
        <v>08 ARABINOSE 0.01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93" t="s">
        <v>3380</v>
      </c>
      <c r="D235" s="193"/>
      <c r="E235" s="193"/>
      <c r="F235" s="193"/>
      <c r="G235" s="193"/>
      <c r="H235" s="193"/>
      <c r="I235" s="193"/>
      <c r="J235" s="193"/>
    </row>
    <row r="236" spans="1:10" x14ac:dyDescent="0.3">
      <c r="A236" s="1" t="str">
        <f t="shared" si="3"/>
        <v>08 ARABINOSE 0.01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93" t="s">
        <v>3381</v>
      </c>
      <c r="D236" s="193" t="s">
        <v>3382</v>
      </c>
      <c r="E236" s="193" t="s">
        <v>3383</v>
      </c>
      <c r="F236" s="193" t="s">
        <v>112</v>
      </c>
      <c r="G236" s="193">
        <v>408753</v>
      </c>
      <c r="H236" s="193"/>
      <c r="I236" s="193"/>
      <c r="J236" s="193"/>
    </row>
    <row r="237" spans="1:10" x14ac:dyDescent="0.3">
      <c r="A237" s="1" t="str">
        <f t="shared" si="3"/>
        <v>08 ARABINOSE 0.01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93" t="s">
        <v>3384</v>
      </c>
      <c r="D237" s="193"/>
      <c r="E237" s="193"/>
      <c r="F237" s="193"/>
      <c r="G237" s="193"/>
      <c r="H237" s="193"/>
      <c r="I237" s="193"/>
      <c r="J237" s="193"/>
    </row>
    <row r="238" spans="1:10" x14ac:dyDescent="0.3">
      <c r="A238" s="1" t="str">
        <f t="shared" si="3"/>
        <v>08 ARABINOSE 0.01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93" t="s">
        <v>3385</v>
      </c>
      <c r="D238" s="193" t="s">
        <v>3386</v>
      </c>
      <c r="E238" s="193" t="s">
        <v>3387</v>
      </c>
      <c r="F238" s="193" t="s">
        <v>112</v>
      </c>
      <c r="G238" s="193">
        <v>212643</v>
      </c>
      <c r="H238" s="193"/>
      <c r="I238" s="193"/>
      <c r="J238" s="193"/>
    </row>
    <row r="239" spans="1:10" x14ac:dyDescent="0.3">
      <c r="A239" s="1" t="str">
        <f t="shared" si="3"/>
        <v>08 ARABINOSE 0.01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93" t="s">
        <v>3388</v>
      </c>
      <c r="D239" s="193" t="s">
        <v>1322</v>
      </c>
      <c r="E239" s="193" t="s">
        <v>3389</v>
      </c>
      <c r="F239" s="193" t="s">
        <v>112</v>
      </c>
      <c r="G239" s="193">
        <v>279275</v>
      </c>
      <c r="H239" s="193"/>
      <c r="I239" s="193"/>
      <c r="J239" s="193"/>
    </row>
    <row r="240" spans="1:10" x14ac:dyDescent="0.3">
      <c r="A240" s="1" t="str">
        <f t="shared" si="3"/>
        <v>08 ARABINOSE 0.01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93" t="s">
        <v>3390</v>
      </c>
      <c r="D240" s="193" t="s">
        <v>1475</v>
      </c>
      <c r="E240" s="193" t="s">
        <v>3391</v>
      </c>
      <c r="F240" s="193" t="s">
        <v>112</v>
      </c>
      <c r="G240" s="193">
        <v>97305</v>
      </c>
      <c r="H240" s="193"/>
      <c r="I240" s="193"/>
      <c r="J240" s="193"/>
    </row>
    <row r="241" spans="1:10" x14ac:dyDescent="0.3">
      <c r="A241" s="1" t="str">
        <f t="shared" si="3"/>
        <v>08 ARABINOSE 0.01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93" t="s">
        <v>3392</v>
      </c>
      <c r="D241" s="193" t="s">
        <v>3393</v>
      </c>
      <c r="E241" s="193" t="s">
        <v>3394</v>
      </c>
      <c r="F241" s="193" t="s">
        <v>112</v>
      </c>
      <c r="G241" s="193">
        <v>126911</v>
      </c>
      <c r="H241" s="193"/>
      <c r="I241" s="193"/>
      <c r="J241" s="193"/>
    </row>
    <row r="242" spans="1:10" x14ac:dyDescent="0.3">
      <c r="A242" s="1" t="str">
        <f t="shared" si="3"/>
        <v>08 ARABINOSE 0.01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93" t="s">
        <v>3395</v>
      </c>
      <c r="D242" s="193" t="s">
        <v>168</v>
      </c>
      <c r="E242" s="193" t="s">
        <v>3396</v>
      </c>
      <c r="F242" s="193" t="s">
        <v>112</v>
      </c>
      <c r="G242" s="193">
        <v>6918</v>
      </c>
      <c r="H242" s="193"/>
      <c r="I242" s="193"/>
      <c r="J242" s="193"/>
    </row>
    <row r="243" spans="1:10" x14ac:dyDescent="0.3">
      <c r="A243" s="1" t="str">
        <f t="shared" si="3"/>
        <v>08 ARABINOSE 0.01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93" t="s">
        <v>3397</v>
      </c>
      <c r="D243" s="193" t="s">
        <v>186</v>
      </c>
      <c r="E243" s="193" t="s">
        <v>3398</v>
      </c>
      <c r="F243" s="193" t="s">
        <v>112</v>
      </c>
      <c r="G243" s="193">
        <v>11247</v>
      </c>
      <c r="H243" s="193"/>
      <c r="I243" s="193"/>
      <c r="J243" s="193"/>
    </row>
    <row r="244" spans="1:10" x14ac:dyDescent="0.3">
      <c r="A244" s="1" t="str">
        <f t="shared" si="3"/>
        <v>08 ARABINOSE 0.01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93" t="s">
        <v>3399</v>
      </c>
      <c r="D244" s="193" t="s">
        <v>189</v>
      </c>
      <c r="E244" s="193" t="s">
        <v>3396</v>
      </c>
      <c r="F244" s="193" t="s">
        <v>112</v>
      </c>
      <c r="G244" s="193">
        <v>27671</v>
      </c>
      <c r="H244" s="193"/>
      <c r="I244" s="193"/>
      <c r="J244" s="193"/>
    </row>
    <row r="245" spans="1:10" x14ac:dyDescent="0.3">
      <c r="A245" s="1" t="str">
        <f t="shared" si="3"/>
        <v>08 ARABINOSE 0.01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93" t="s">
        <v>3400</v>
      </c>
      <c r="D245" s="193" t="s">
        <v>1385</v>
      </c>
      <c r="E245" s="193" t="s">
        <v>3401</v>
      </c>
      <c r="F245" s="193" t="s">
        <v>112</v>
      </c>
      <c r="G245" s="193">
        <v>78401</v>
      </c>
      <c r="H245" s="193"/>
      <c r="I245" s="193"/>
      <c r="J245" s="193"/>
    </row>
    <row r="246" spans="1:10" x14ac:dyDescent="0.3">
      <c r="A246" s="1" t="str">
        <f t="shared" si="3"/>
        <v>08 ARABINOSE 0.01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93" t="s">
        <v>3402</v>
      </c>
      <c r="D246" s="193"/>
      <c r="E246" s="193"/>
      <c r="F246" s="193"/>
      <c r="G246" s="193"/>
      <c r="H246" s="193"/>
      <c r="I246" s="193"/>
      <c r="J246" s="193"/>
    </row>
    <row r="247" spans="1:10" x14ac:dyDescent="0.3">
      <c r="A247" s="1" t="str">
        <f t="shared" si="3"/>
        <v>08 ARABINOSE 0.01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93" t="s">
        <v>3403</v>
      </c>
      <c r="D247" s="193" t="s">
        <v>675</v>
      </c>
      <c r="E247" s="193" t="s">
        <v>3404</v>
      </c>
      <c r="F247" s="193" t="s">
        <v>112</v>
      </c>
      <c r="G247" s="193">
        <v>57539</v>
      </c>
      <c r="H247" s="193"/>
      <c r="I247" s="193"/>
      <c r="J247" s="193"/>
    </row>
    <row r="248" spans="1:10" x14ac:dyDescent="0.3">
      <c r="A248" s="1" t="str">
        <f t="shared" si="3"/>
        <v>08 ARABINOSE 0.01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93" t="s">
        <v>3405</v>
      </c>
      <c r="D248" s="193" t="s">
        <v>3406</v>
      </c>
      <c r="E248" s="193" t="s">
        <v>3407</v>
      </c>
      <c r="F248" s="193" t="s">
        <v>112</v>
      </c>
      <c r="G248" s="193">
        <v>374165</v>
      </c>
      <c r="H248" s="193"/>
      <c r="I248" s="193"/>
      <c r="J248" s="193"/>
    </row>
    <row r="249" spans="1:10" x14ac:dyDescent="0.3">
      <c r="A249" s="1" t="str">
        <f t="shared" si="3"/>
        <v>08 ARABINOSE 0.01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93" t="s">
        <v>3408</v>
      </c>
      <c r="D249" s="193" t="s">
        <v>816</v>
      </c>
      <c r="E249" s="193" t="s">
        <v>3409</v>
      </c>
      <c r="F249" s="193" t="s">
        <v>112</v>
      </c>
      <c r="G249" s="193">
        <v>158280</v>
      </c>
      <c r="H249" s="193"/>
      <c r="I249" s="193"/>
      <c r="J249" s="193"/>
    </row>
    <row r="250" spans="1:10" x14ac:dyDescent="0.3">
      <c r="A250" s="1" t="str">
        <f t="shared" si="3"/>
        <v>08 ARABINOSE 0.01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93" t="s">
        <v>3410</v>
      </c>
      <c r="D250" s="193" t="s">
        <v>1391</v>
      </c>
      <c r="E250" s="193" t="s">
        <v>3411</v>
      </c>
      <c r="F250" s="193" t="s">
        <v>112</v>
      </c>
      <c r="G250" s="193">
        <v>117971</v>
      </c>
      <c r="H250" s="193"/>
      <c r="I250" s="193"/>
      <c r="J250" s="193"/>
    </row>
    <row r="251" spans="1:10" x14ac:dyDescent="0.3">
      <c r="A251" s="1" t="str">
        <f t="shared" si="3"/>
        <v>08 ARABINOSE 0.01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93" t="s">
        <v>3412</v>
      </c>
      <c r="D251" s="193" t="s">
        <v>3413</v>
      </c>
      <c r="E251" s="193" t="s">
        <v>3414</v>
      </c>
      <c r="F251" s="193" t="s">
        <v>112</v>
      </c>
      <c r="G251" s="193">
        <v>98914</v>
      </c>
      <c r="H251" s="193"/>
      <c r="I251" s="193"/>
      <c r="J251" s="193"/>
    </row>
    <row r="252" spans="1:10" x14ac:dyDescent="0.3">
      <c r="A252" s="1" t="str">
        <f t="shared" si="3"/>
        <v>08 ARABINOSE 0.01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93" t="s">
        <v>3415</v>
      </c>
      <c r="D252" s="193" t="s">
        <v>388</v>
      </c>
      <c r="E252" s="193" t="s">
        <v>3416</v>
      </c>
      <c r="F252" s="193" t="s">
        <v>112</v>
      </c>
      <c r="G252" s="193">
        <v>92954</v>
      </c>
      <c r="H252" s="193"/>
      <c r="I252" s="193"/>
      <c r="J252" s="193"/>
    </row>
    <row r="253" spans="1:10" x14ac:dyDescent="0.3">
      <c r="A253" s="1" t="str">
        <f t="shared" si="3"/>
        <v>08 ARABINOSE 0.01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93" t="s">
        <v>3417</v>
      </c>
      <c r="D253" s="193" t="s">
        <v>269</v>
      </c>
      <c r="E253" s="193" t="s">
        <v>3418</v>
      </c>
      <c r="F253" s="193" t="s">
        <v>112</v>
      </c>
      <c r="G253" s="193">
        <v>36329</v>
      </c>
      <c r="H253" s="193"/>
      <c r="I253" s="193"/>
      <c r="J253" s="193"/>
    </row>
    <row r="254" spans="1:10" x14ac:dyDescent="0.3">
      <c r="A254" s="1" t="str">
        <f t="shared" si="3"/>
        <v>08 ARABINOSE 0.01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93" t="s">
        <v>3419</v>
      </c>
      <c r="D254" s="193" t="s">
        <v>186</v>
      </c>
      <c r="E254" s="193" t="s">
        <v>1838</v>
      </c>
      <c r="F254" s="193" t="s">
        <v>112</v>
      </c>
      <c r="G254" s="193">
        <v>10833</v>
      </c>
      <c r="H254" s="193"/>
      <c r="I254" s="193"/>
      <c r="J254" s="193"/>
    </row>
    <row r="255" spans="1:10" x14ac:dyDescent="0.3">
      <c r="A255" s="1" t="str">
        <f t="shared" si="3"/>
        <v>08 ARABINOSE 0.01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93" t="s">
        <v>3420</v>
      </c>
      <c r="D255" s="193" t="s">
        <v>171</v>
      </c>
      <c r="E255" s="193" t="s">
        <v>3421</v>
      </c>
      <c r="F255" s="193" t="s">
        <v>112</v>
      </c>
      <c r="G255" s="193">
        <v>17969</v>
      </c>
      <c r="H255" s="193"/>
      <c r="I255" s="193"/>
      <c r="J255" s="193"/>
    </row>
    <row r="256" spans="1:10" x14ac:dyDescent="0.3">
      <c r="A256" s="1" t="str">
        <f t="shared" si="3"/>
        <v>08 ARABINOSE 0.01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93" t="s">
        <v>3422</v>
      </c>
      <c r="D256" s="193" t="s">
        <v>275</v>
      </c>
      <c r="E256" s="193" t="s">
        <v>1574</v>
      </c>
      <c r="F256" s="193" t="s">
        <v>112</v>
      </c>
      <c r="G256" s="193">
        <v>13966</v>
      </c>
      <c r="H256" s="193"/>
      <c r="I256" s="193"/>
      <c r="J256" s="193"/>
    </row>
    <row r="257" spans="1:10" x14ac:dyDescent="0.3">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93" t="s">
        <v>112</v>
      </c>
      <c r="D257" s="193"/>
      <c r="E257" s="193"/>
      <c r="F257" s="193"/>
      <c r="G257" s="193"/>
      <c r="H257" s="193"/>
      <c r="I257" s="193"/>
      <c r="J257" s="193"/>
    </row>
    <row r="258" spans="1:10" x14ac:dyDescent="0.3">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93" t="s">
        <v>229</v>
      </c>
      <c r="D258" s="193" t="s">
        <v>112</v>
      </c>
      <c r="E258" s="193" t="s">
        <v>230</v>
      </c>
      <c r="F258" s="193" t="s">
        <v>231</v>
      </c>
      <c r="G258" s="193" t="s">
        <v>232</v>
      </c>
      <c r="H258" s="193" t="s">
        <v>233</v>
      </c>
      <c r="I258" s="193" t="s">
        <v>234</v>
      </c>
      <c r="J258" s="193" t="s">
        <v>235</v>
      </c>
    </row>
    <row r="259" spans="1:10" x14ac:dyDescent="0.3">
      <c r="A259" s="1" t="str">
        <f t="shared" si="4"/>
        <v>08 ARABINOSE 0.01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93" t="s">
        <v>3423</v>
      </c>
      <c r="D259" s="193" t="s">
        <v>112</v>
      </c>
      <c r="E259" s="193" t="s">
        <v>3424</v>
      </c>
      <c r="F259" s="193" t="s">
        <v>3425</v>
      </c>
      <c r="G259" s="193" t="s">
        <v>3426</v>
      </c>
      <c r="H259" s="193" t="s">
        <v>3427</v>
      </c>
      <c r="I259" s="193">
        <v>24</v>
      </c>
      <c r="J259" s="193">
        <v>24</v>
      </c>
    </row>
    <row r="260" spans="1:10" x14ac:dyDescent="0.3">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93" t="s">
        <v>112</v>
      </c>
      <c r="D260" s="193"/>
      <c r="E260" s="193"/>
      <c r="F260" s="193"/>
      <c r="G260" s="193"/>
      <c r="H260" s="193"/>
      <c r="I260" s="193"/>
      <c r="J260" s="193"/>
    </row>
    <row r="261" spans="1:10" x14ac:dyDescent="0.3">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93" t="s">
        <v>112</v>
      </c>
      <c r="D261" s="193"/>
      <c r="E261" s="193"/>
      <c r="F261" s="193"/>
      <c r="G261" s="193"/>
      <c r="H261" s="193"/>
      <c r="I261" s="193"/>
      <c r="J261" s="193"/>
    </row>
    <row r="262" spans="1:10" x14ac:dyDescent="0.3">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93" t="s">
        <v>112</v>
      </c>
      <c r="D262" s="193"/>
      <c r="E262" s="193"/>
      <c r="F262" s="193"/>
      <c r="G262" s="193"/>
      <c r="H262" s="193"/>
      <c r="I262" s="193"/>
      <c r="J262" s="193"/>
    </row>
    <row r="263" spans="1:10" x14ac:dyDescent="0.3">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93" t="s">
        <v>112</v>
      </c>
      <c r="D263" s="193"/>
      <c r="E263" s="193"/>
      <c r="F263" s="193"/>
      <c r="G263" s="193"/>
      <c r="H263" s="193"/>
      <c r="I263" s="193"/>
      <c r="J263" s="193"/>
    </row>
    <row r="264" spans="1:10" x14ac:dyDescent="0.3">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93" t="s">
        <v>112</v>
      </c>
      <c r="D264" s="193"/>
      <c r="E264" s="193"/>
      <c r="F264" s="193"/>
      <c r="G264" s="193"/>
      <c r="H264" s="193"/>
      <c r="I264" s="193"/>
      <c r="J264" s="193"/>
    </row>
    <row r="265" spans="1:10" x14ac:dyDescent="0.3">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93" t="s">
        <v>241</v>
      </c>
      <c r="D265" s="193" t="s">
        <v>110</v>
      </c>
      <c r="E265" s="193" t="s">
        <v>111</v>
      </c>
      <c r="F265" s="193" t="s">
        <v>112</v>
      </c>
      <c r="G265" s="193" t="s">
        <v>113</v>
      </c>
      <c r="H265" s="193"/>
      <c r="I265" s="193"/>
      <c r="J265" s="193"/>
    </row>
    <row r="266" spans="1:10" x14ac:dyDescent="0.3">
      <c r="A266" s="1" t="str">
        <f t="shared" si="4"/>
        <v>09 ARABINOSE 0.1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93" t="s">
        <v>3428</v>
      </c>
      <c r="D266" s="193" t="s">
        <v>3429</v>
      </c>
      <c r="E266" s="193" t="s">
        <v>3430</v>
      </c>
      <c r="F266" s="193" t="s">
        <v>112</v>
      </c>
      <c r="G266" s="193">
        <v>419695</v>
      </c>
      <c r="H266" s="193"/>
      <c r="I266" s="193"/>
      <c r="J266" s="193"/>
    </row>
    <row r="267" spans="1:10" x14ac:dyDescent="0.3">
      <c r="A267" s="1" t="str">
        <f t="shared" si="4"/>
        <v>09 ARABINOSE 0.1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93" t="s">
        <v>3431</v>
      </c>
      <c r="D267" s="193" t="s">
        <v>3432</v>
      </c>
      <c r="E267" s="193" t="s">
        <v>3433</v>
      </c>
      <c r="F267" s="193" t="s">
        <v>112</v>
      </c>
      <c r="G267" s="193">
        <v>343666</v>
      </c>
      <c r="H267" s="193"/>
      <c r="I267" s="193"/>
      <c r="J267" s="193"/>
    </row>
    <row r="268" spans="1:10" x14ac:dyDescent="0.3">
      <c r="A268" s="1" t="str">
        <f t="shared" si="4"/>
        <v>09 ARABINOSE 0.1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93" t="s">
        <v>3434</v>
      </c>
      <c r="D268" s="193" t="s">
        <v>3169</v>
      </c>
      <c r="E268" s="193" t="s">
        <v>3435</v>
      </c>
      <c r="F268" s="193" t="s">
        <v>112</v>
      </c>
      <c r="G268" s="193">
        <v>450303</v>
      </c>
      <c r="H268" s="193"/>
      <c r="I268" s="193"/>
      <c r="J268" s="193"/>
    </row>
    <row r="269" spans="1:10" x14ac:dyDescent="0.3">
      <c r="A269" s="1" t="str">
        <f t="shared" si="4"/>
        <v>09 ARABINOSE 0.1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93" t="s">
        <v>3436</v>
      </c>
      <c r="D269" s="193" t="s">
        <v>810</v>
      </c>
      <c r="E269" s="193" t="s">
        <v>3437</v>
      </c>
      <c r="F269" s="193" t="s">
        <v>112</v>
      </c>
      <c r="G269" s="193">
        <v>215058</v>
      </c>
      <c r="H269" s="193"/>
      <c r="I269" s="193"/>
      <c r="J269" s="193"/>
    </row>
    <row r="270" spans="1:10" x14ac:dyDescent="0.3">
      <c r="A270" s="1" t="str">
        <f t="shared" si="4"/>
        <v>09 ARABINOSE 0.1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93" t="s">
        <v>3438</v>
      </c>
      <c r="D270" s="193" t="s">
        <v>3439</v>
      </c>
      <c r="E270" s="193" t="s">
        <v>3440</v>
      </c>
      <c r="F270" s="193" t="s">
        <v>112</v>
      </c>
      <c r="G270" s="193">
        <v>87428</v>
      </c>
      <c r="H270" s="193"/>
      <c r="I270" s="193"/>
      <c r="J270" s="193"/>
    </row>
    <row r="271" spans="1:10" x14ac:dyDescent="0.3">
      <c r="A271" s="1" t="str">
        <f t="shared" si="4"/>
        <v>09 ARABINOSE 0.1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93" t="s">
        <v>3441</v>
      </c>
      <c r="D271" s="193" t="s">
        <v>3442</v>
      </c>
      <c r="E271" s="193" t="s">
        <v>3443</v>
      </c>
      <c r="F271" s="193" t="s">
        <v>112</v>
      </c>
      <c r="G271" s="193">
        <v>208531</v>
      </c>
      <c r="H271" s="193"/>
      <c r="I271" s="193"/>
      <c r="J271" s="193"/>
    </row>
    <row r="272" spans="1:10" x14ac:dyDescent="0.3">
      <c r="A272" s="1" t="str">
        <f t="shared" si="4"/>
        <v>09 ARABINOSE 0.1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93" t="s">
        <v>3444</v>
      </c>
      <c r="D272" s="193"/>
      <c r="E272" s="193"/>
      <c r="F272" s="193"/>
      <c r="G272" s="193"/>
      <c r="H272" s="193"/>
      <c r="I272" s="193"/>
      <c r="J272" s="193"/>
    </row>
    <row r="273" spans="1:10" x14ac:dyDescent="0.3">
      <c r="A273" s="1" t="str">
        <f t="shared" si="4"/>
        <v>09 ARABINOSE 0.1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93" t="s">
        <v>3445</v>
      </c>
      <c r="D273" s="193" t="s">
        <v>204</v>
      </c>
      <c r="E273" s="193">
        <v>62</v>
      </c>
      <c r="F273" s="193" t="s">
        <v>112</v>
      </c>
      <c r="G273" s="193">
        <v>12139</v>
      </c>
      <c r="H273" s="193"/>
      <c r="I273" s="193"/>
      <c r="J273" s="193"/>
    </row>
    <row r="274" spans="1:10" x14ac:dyDescent="0.3">
      <c r="A274" s="1" t="str">
        <f t="shared" si="4"/>
        <v>09 ARABINOSE 0.1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93" t="s">
        <v>3446</v>
      </c>
      <c r="D274" s="193" t="s">
        <v>732</v>
      </c>
      <c r="E274" s="193" t="s">
        <v>3071</v>
      </c>
      <c r="F274" s="193" t="s">
        <v>112</v>
      </c>
      <c r="G274" s="193">
        <v>45879</v>
      </c>
      <c r="H274" s="193"/>
      <c r="I274" s="193"/>
      <c r="J274" s="193"/>
    </row>
    <row r="275" spans="1:10" x14ac:dyDescent="0.3">
      <c r="A275" s="1" t="str">
        <f t="shared" si="4"/>
        <v>09 ARABINOSE 0.1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93" t="s">
        <v>3447</v>
      </c>
      <c r="D275" s="193"/>
      <c r="E275" s="193"/>
      <c r="F275" s="193"/>
      <c r="G275" s="193"/>
      <c r="H275" s="193"/>
      <c r="I275" s="193"/>
      <c r="J275" s="193"/>
    </row>
    <row r="276" spans="1:10" x14ac:dyDescent="0.3">
      <c r="A276" s="1" t="str">
        <f t="shared" si="4"/>
        <v>09 ARABINOSE 0.1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93" t="s">
        <v>3448</v>
      </c>
      <c r="D276" s="193" t="s">
        <v>260</v>
      </c>
      <c r="E276" s="193" t="s">
        <v>3449</v>
      </c>
      <c r="F276" s="193" t="s">
        <v>112</v>
      </c>
      <c r="G276" s="193">
        <v>5330</v>
      </c>
      <c r="H276" s="193"/>
      <c r="I276" s="193"/>
      <c r="J276" s="193"/>
    </row>
    <row r="277" spans="1:10" x14ac:dyDescent="0.3">
      <c r="A277" s="1" t="str">
        <f t="shared" si="4"/>
        <v>09 ARABINOSE 0.1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93" t="s">
        <v>3450</v>
      </c>
      <c r="D277" s="193" t="s">
        <v>680</v>
      </c>
      <c r="E277" s="193" t="s">
        <v>3451</v>
      </c>
      <c r="F277" s="193" t="s">
        <v>112</v>
      </c>
      <c r="G277" s="193">
        <v>24429</v>
      </c>
      <c r="H277" s="193"/>
      <c r="I277" s="193"/>
      <c r="J277" s="193"/>
    </row>
    <row r="278" spans="1:10" x14ac:dyDescent="0.3">
      <c r="A278" s="1" t="str">
        <f t="shared" si="4"/>
        <v>09 ARABINOSE 0.1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93" t="s">
        <v>3452</v>
      </c>
      <c r="D278" s="193" t="s">
        <v>846</v>
      </c>
      <c r="E278" s="193" t="s">
        <v>3453</v>
      </c>
      <c r="F278" s="193" t="s">
        <v>112</v>
      </c>
      <c r="G278" s="193">
        <v>117122</v>
      </c>
      <c r="H278" s="193"/>
      <c r="I278" s="193"/>
      <c r="J278" s="193"/>
    </row>
    <row r="279" spans="1:10" x14ac:dyDescent="0.3">
      <c r="A279" s="1" t="str">
        <f t="shared" si="4"/>
        <v>09 ARABINOSE 0.1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93" t="s">
        <v>3454</v>
      </c>
      <c r="D279" s="193" t="s">
        <v>663</v>
      </c>
      <c r="E279" s="193" t="s">
        <v>3455</v>
      </c>
      <c r="F279" s="193" t="s">
        <v>112</v>
      </c>
      <c r="G279" s="193">
        <v>79466</v>
      </c>
      <c r="H279" s="193"/>
      <c r="I279" s="193"/>
      <c r="J279" s="193"/>
    </row>
    <row r="280" spans="1:10" x14ac:dyDescent="0.3">
      <c r="A280" s="1" t="str">
        <f t="shared" si="4"/>
        <v>09 ARABINOSE 0.1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93" t="s">
        <v>3456</v>
      </c>
      <c r="D280" s="193" t="s">
        <v>222</v>
      </c>
      <c r="E280" s="193" t="s">
        <v>245</v>
      </c>
      <c r="F280" s="193" t="s">
        <v>112</v>
      </c>
      <c r="G280" s="193">
        <v>14880</v>
      </c>
      <c r="H280" s="193"/>
      <c r="I280" s="193"/>
      <c r="J280" s="193"/>
    </row>
    <row r="281" spans="1:10" x14ac:dyDescent="0.3">
      <c r="A281" s="1" t="str">
        <f t="shared" si="4"/>
        <v>09 ARABINOSE 0.1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93" t="s">
        <v>3457</v>
      </c>
      <c r="D281" s="193" t="s">
        <v>388</v>
      </c>
      <c r="E281" s="193" t="s">
        <v>3458</v>
      </c>
      <c r="F281" s="193" t="s">
        <v>112</v>
      </c>
      <c r="G281" s="193">
        <v>97087</v>
      </c>
      <c r="H281" s="193"/>
      <c r="I281" s="193"/>
      <c r="J281" s="193"/>
    </row>
    <row r="282" spans="1:10" x14ac:dyDescent="0.3">
      <c r="A282" s="1" t="str">
        <f t="shared" si="4"/>
        <v>09 ARABINOSE 0.1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93" t="s">
        <v>3459</v>
      </c>
      <c r="D282" s="193" t="s">
        <v>715</v>
      </c>
      <c r="E282" s="193" t="s">
        <v>3460</v>
      </c>
      <c r="F282" s="193" t="s">
        <v>112</v>
      </c>
      <c r="G282" s="193">
        <v>34654</v>
      </c>
      <c r="H282" s="193"/>
      <c r="I282" s="193"/>
      <c r="J282" s="193"/>
    </row>
    <row r="283" spans="1:10" x14ac:dyDescent="0.3">
      <c r="A283" s="1" t="str">
        <f t="shared" si="4"/>
        <v>09 ARABINOSE 0.1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93" t="s">
        <v>3461</v>
      </c>
      <c r="D283" s="193" t="s">
        <v>269</v>
      </c>
      <c r="E283" s="193" t="s">
        <v>3462</v>
      </c>
      <c r="F283" s="193" t="s">
        <v>112</v>
      </c>
      <c r="G283" s="193">
        <v>36416</v>
      </c>
      <c r="H283" s="193"/>
      <c r="I283" s="193"/>
      <c r="J283" s="193"/>
    </row>
    <row r="284" spans="1:10" x14ac:dyDescent="0.3">
      <c r="A284" s="1" t="str">
        <f t="shared" si="4"/>
        <v>09 ARABINOSE 0.1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93" t="s">
        <v>3463</v>
      </c>
      <c r="D284" s="193" t="s">
        <v>183</v>
      </c>
      <c r="E284" s="193" t="s">
        <v>1547</v>
      </c>
      <c r="F284" s="193" t="s">
        <v>112</v>
      </c>
      <c r="G284" s="193">
        <v>8375</v>
      </c>
      <c r="H284" s="193"/>
      <c r="I284" s="193"/>
      <c r="J284" s="193"/>
    </row>
    <row r="285" spans="1:10" x14ac:dyDescent="0.3">
      <c r="A285" s="1" t="str">
        <f t="shared" si="4"/>
        <v>09 ARABINOSE 0.1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93" t="s">
        <v>3464</v>
      </c>
      <c r="D285" s="193" t="s">
        <v>260</v>
      </c>
      <c r="E285" s="193">
        <v>64</v>
      </c>
      <c r="F285" s="193" t="s">
        <v>112</v>
      </c>
      <c r="G285" s="193">
        <v>5569</v>
      </c>
      <c r="H285" s="193"/>
      <c r="I285" s="193"/>
      <c r="J285" s="193"/>
    </row>
    <row r="286" spans="1:10" x14ac:dyDescent="0.3">
      <c r="A286" s="1" t="str">
        <f t="shared" si="4"/>
        <v>09 ARABINOSE 0.1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93" t="s">
        <v>3465</v>
      </c>
      <c r="D286" s="193" t="s">
        <v>690</v>
      </c>
      <c r="E286" s="193" t="s">
        <v>3466</v>
      </c>
      <c r="F286" s="193" t="s">
        <v>112</v>
      </c>
      <c r="G286" s="193">
        <v>23037</v>
      </c>
      <c r="H286" s="193"/>
      <c r="I286" s="193"/>
      <c r="J286" s="193"/>
    </row>
    <row r="287" spans="1:10" x14ac:dyDescent="0.3">
      <c r="A287" s="1" t="str">
        <f t="shared" si="4"/>
        <v>09 ARABINOSE 0.1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93" t="s">
        <v>3467</v>
      </c>
      <c r="D287" s="193"/>
      <c r="E287" s="193"/>
      <c r="F287" s="193"/>
      <c r="G287" s="193"/>
      <c r="H287" s="193"/>
      <c r="I287" s="193"/>
      <c r="J287" s="193"/>
    </row>
    <row r="288" spans="1:10" x14ac:dyDescent="0.3">
      <c r="A288" s="1" t="str">
        <f t="shared" si="4"/>
        <v>09 ARABINOSE 0.1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93" t="s">
        <v>3468</v>
      </c>
      <c r="D288" s="193"/>
      <c r="E288" s="193"/>
      <c r="F288" s="193"/>
      <c r="G288" s="193"/>
      <c r="H288" s="193"/>
      <c r="I288" s="193"/>
      <c r="J288" s="193"/>
    </row>
    <row r="289" spans="1:10" x14ac:dyDescent="0.3">
      <c r="A289" s="1" t="str">
        <f t="shared" si="4"/>
        <v>09 ARABINOSE 0.1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93" t="s">
        <v>3469</v>
      </c>
      <c r="D289" s="193" t="s">
        <v>864</v>
      </c>
      <c r="E289" s="193" t="s">
        <v>3470</v>
      </c>
      <c r="F289" s="193" t="s">
        <v>112</v>
      </c>
      <c r="G289" s="193">
        <v>130610</v>
      </c>
      <c r="H289" s="193"/>
      <c r="I289" s="193"/>
      <c r="J289" s="193"/>
    </row>
    <row r="290" spans="1:10" x14ac:dyDescent="0.3">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93" t="s">
        <v>112</v>
      </c>
      <c r="D290" s="193"/>
      <c r="E290" s="193"/>
      <c r="F290" s="193"/>
      <c r="G290" s="193"/>
      <c r="H290" s="193"/>
      <c r="I290" s="193"/>
      <c r="J290" s="193"/>
    </row>
    <row r="291" spans="1:10" x14ac:dyDescent="0.3">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93" t="s">
        <v>229</v>
      </c>
      <c r="D291" s="193" t="s">
        <v>112</v>
      </c>
      <c r="E291" s="193" t="s">
        <v>230</v>
      </c>
      <c r="F291" s="193" t="s">
        <v>231</v>
      </c>
      <c r="G291" s="193" t="s">
        <v>232</v>
      </c>
      <c r="H291" s="193" t="s">
        <v>233</v>
      </c>
      <c r="I291" s="193" t="s">
        <v>234</v>
      </c>
      <c r="J291" s="193" t="s">
        <v>235</v>
      </c>
    </row>
    <row r="292" spans="1:10" x14ac:dyDescent="0.3">
      <c r="A292" s="1" t="str">
        <f t="shared" si="4"/>
        <v>09 ARABINOSE 0.1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93" t="s">
        <v>3471</v>
      </c>
      <c r="D292" s="193" t="s">
        <v>112</v>
      </c>
      <c r="E292" s="193" t="s">
        <v>3472</v>
      </c>
      <c r="F292" s="193" t="s">
        <v>3473</v>
      </c>
      <c r="G292" s="193" t="s">
        <v>3474</v>
      </c>
      <c r="H292" s="193" t="s">
        <v>3475</v>
      </c>
      <c r="I292" s="193">
        <v>24</v>
      </c>
      <c r="J292" s="193">
        <v>24</v>
      </c>
    </row>
    <row r="293" spans="1:10" x14ac:dyDescent="0.3">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93" t="s">
        <v>112</v>
      </c>
      <c r="D293" s="193"/>
      <c r="E293" s="193"/>
      <c r="F293" s="193"/>
      <c r="G293" s="193"/>
      <c r="H293" s="193"/>
      <c r="I293" s="193"/>
      <c r="J293" s="193"/>
    </row>
    <row r="294" spans="1:10" x14ac:dyDescent="0.3">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93" t="s">
        <v>112</v>
      </c>
      <c r="D294" s="193"/>
      <c r="E294" s="193"/>
      <c r="F294" s="193"/>
      <c r="G294" s="193"/>
      <c r="H294" s="193"/>
      <c r="I294" s="193"/>
      <c r="J294" s="193"/>
    </row>
    <row r="295" spans="1:10" x14ac:dyDescent="0.3">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93" t="s">
        <v>112</v>
      </c>
      <c r="D295" s="193"/>
      <c r="E295" s="193"/>
      <c r="F295" s="193"/>
      <c r="G295" s="193"/>
      <c r="H295" s="193"/>
      <c r="I295" s="193"/>
      <c r="J295" s="193"/>
    </row>
    <row r="296" spans="1:10" x14ac:dyDescent="0.3">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93" t="s">
        <v>112</v>
      </c>
      <c r="D296" s="193"/>
      <c r="E296" s="193"/>
      <c r="F296" s="193"/>
      <c r="G296" s="193"/>
      <c r="H296" s="193"/>
      <c r="I296" s="193"/>
      <c r="J296" s="193"/>
    </row>
    <row r="297" spans="1:10" x14ac:dyDescent="0.3">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93" t="s">
        <v>112</v>
      </c>
      <c r="D297" s="193"/>
      <c r="E297" s="193"/>
      <c r="F297" s="193"/>
      <c r="G297" s="193"/>
      <c r="H297" s="193"/>
      <c r="I297" s="193"/>
      <c r="J297" s="193"/>
    </row>
    <row r="298" spans="1:10" x14ac:dyDescent="0.3">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93" t="s">
        <v>241</v>
      </c>
      <c r="D298" s="193" t="s">
        <v>110</v>
      </c>
      <c r="E298" s="193" t="s">
        <v>111</v>
      </c>
      <c r="F298" s="193" t="s">
        <v>112</v>
      </c>
      <c r="G298" s="193" t="s">
        <v>113</v>
      </c>
      <c r="H298" s="193"/>
      <c r="I298" s="193"/>
      <c r="J298" s="193"/>
    </row>
    <row r="299" spans="1:10" x14ac:dyDescent="0.3">
      <c r="A299" s="1" t="str">
        <f t="shared" si="4"/>
        <v>10 ARABINOSE 1</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93" t="s">
        <v>3476</v>
      </c>
      <c r="D299" s="193" t="s">
        <v>335</v>
      </c>
      <c r="E299" s="193" t="s">
        <v>3477</v>
      </c>
      <c r="F299" s="193" t="s">
        <v>112</v>
      </c>
      <c r="G299" s="193">
        <v>28954</v>
      </c>
      <c r="H299" s="193"/>
      <c r="I299" s="193"/>
      <c r="J299" s="193"/>
    </row>
    <row r="300" spans="1:10" x14ac:dyDescent="0.3">
      <c r="A300" s="1" t="str">
        <f t="shared" si="4"/>
        <v>10 ARABINOSE 1</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93" t="s">
        <v>3478</v>
      </c>
      <c r="D300" s="193" t="s">
        <v>1258</v>
      </c>
      <c r="E300" s="193" t="s">
        <v>3479</v>
      </c>
      <c r="F300" s="193" t="s">
        <v>112</v>
      </c>
      <c r="G300" s="193">
        <v>78379</v>
      </c>
      <c r="H300" s="193"/>
      <c r="I300" s="193"/>
      <c r="J300" s="193"/>
    </row>
    <row r="301" spans="1:10" x14ac:dyDescent="0.3">
      <c r="A301" s="1" t="str">
        <f t="shared" si="4"/>
        <v>10 ARABINOSE 1</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93" t="s">
        <v>3480</v>
      </c>
      <c r="D301" s="193" t="s">
        <v>732</v>
      </c>
      <c r="E301" s="193" t="s">
        <v>3481</v>
      </c>
      <c r="F301" s="193" t="s">
        <v>112</v>
      </c>
      <c r="G301" s="193">
        <v>45574</v>
      </c>
      <c r="H301" s="193"/>
      <c r="I301" s="193"/>
      <c r="J301" s="193"/>
    </row>
    <row r="302" spans="1:10" x14ac:dyDescent="0.3">
      <c r="A302" s="1" t="str">
        <f t="shared" si="4"/>
        <v>10 ARABINOSE 1</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93" t="s">
        <v>3482</v>
      </c>
      <c r="D302" s="193"/>
      <c r="E302" s="193"/>
      <c r="F302" s="193"/>
      <c r="G302" s="193"/>
      <c r="H302" s="193"/>
      <c r="I302" s="193"/>
      <c r="J302" s="193"/>
    </row>
    <row r="303" spans="1:10" x14ac:dyDescent="0.3">
      <c r="A303" s="1" t="str">
        <f t="shared" si="4"/>
        <v>10 ARABINOSE 1</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93" t="s">
        <v>3483</v>
      </c>
      <c r="D303" s="193" t="s">
        <v>3484</v>
      </c>
      <c r="E303" s="193" t="s">
        <v>3485</v>
      </c>
      <c r="F303" s="193" t="s">
        <v>112</v>
      </c>
      <c r="G303" s="193">
        <v>187604</v>
      </c>
      <c r="H303" s="193"/>
      <c r="I303" s="193"/>
      <c r="J303" s="193"/>
    </row>
    <row r="304" spans="1:10" x14ac:dyDescent="0.3">
      <c r="A304" s="1" t="str">
        <f t="shared" si="4"/>
        <v>10 ARABINOSE 1</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93" t="s">
        <v>3486</v>
      </c>
      <c r="D304" s="193" t="s">
        <v>335</v>
      </c>
      <c r="E304" s="193" t="s">
        <v>3487</v>
      </c>
      <c r="F304" s="193" t="s">
        <v>112</v>
      </c>
      <c r="G304" s="193">
        <v>29368</v>
      </c>
      <c r="H304" s="193"/>
      <c r="I304" s="193"/>
      <c r="J304" s="193"/>
    </row>
    <row r="305" spans="1:10" x14ac:dyDescent="0.3">
      <c r="A305" s="1" t="str">
        <f t="shared" si="4"/>
        <v>10 ARABINOSE 1</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93" t="s">
        <v>3488</v>
      </c>
      <c r="D305" s="193" t="s">
        <v>189</v>
      </c>
      <c r="E305" s="193" t="s">
        <v>1838</v>
      </c>
      <c r="F305" s="193" t="s">
        <v>112</v>
      </c>
      <c r="G305" s="193">
        <v>27083</v>
      </c>
      <c r="H305" s="193"/>
      <c r="I305" s="193"/>
      <c r="J305" s="193"/>
    </row>
    <row r="306" spans="1:10" x14ac:dyDescent="0.3">
      <c r="A306" s="1" t="str">
        <f t="shared" si="4"/>
        <v>10 ARABINOSE 1</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93" t="s">
        <v>3489</v>
      </c>
      <c r="D306" s="193"/>
      <c r="E306" s="193"/>
      <c r="F306" s="193"/>
      <c r="G306" s="193"/>
      <c r="H306" s="193"/>
      <c r="I306" s="193"/>
      <c r="J306" s="193"/>
    </row>
    <row r="307" spans="1:10" x14ac:dyDescent="0.3">
      <c r="A307" s="1" t="str">
        <f t="shared" si="4"/>
        <v>10 ARABINOSE 1</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93" t="s">
        <v>3490</v>
      </c>
      <c r="D307" s="193"/>
      <c r="E307" s="193"/>
      <c r="F307" s="193"/>
      <c r="G307" s="193"/>
      <c r="H307" s="193"/>
      <c r="I307" s="193"/>
      <c r="J307" s="193"/>
    </row>
    <row r="308" spans="1:10" x14ac:dyDescent="0.3">
      <c r="A308" s="1" t="str">
        <f t="shared" si="4"/>
        <v>10 ARABINOSE 1</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93" t="s">
        <v>3491</v>
      </c>
      <c r="D308" s="193" t="s">
        <v>710</v>
      </c>
      <c r="E308" s="193" t="s">
        <v>2203</v>
      </c>
      <c r="F308" s="193" t="s">
        <v>112</v>
      </c>
      <c r="G308" s="193">
        <v>38961</v>
      </c>
      <c r="H308" s="193"/>
      <c r="I308" s="193"/>
      <c r="J308" s="193"/>
    </row>
    <row r="309" spans="1:10" x14ac:dyDescent="0.3">
      <c r="A309" s="1" t="str">
        <f t="shared" si="4"/>
        <v>10 ARABINOSE 1</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93" t="s">
        <v>3492</v>
      </c>
      <c r="D309" s="193" t="s">
        <v>787</v>
      </c>
      <c r="E309" s="193" t="s">
        <v>3493</v>
      </c>
      <c r="F309" s="193" t="s">
        <v>112</v>
      </c>
      <c r="G309" s="193">
        <v>69481</v>
      </c>
      <c r="H309" s="193"/>
      <c r="I309" s="193"/>
      <c r="J309" s="193"/>
    </row>
    <row r="310" spans="1:10" x14ac:dyDescent="0.3">
      <c r="A310" s="1" t="str">
        <f t="shared" si="4"/>
        <v>10 ARABINOSE 1</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93" t="s">
        <v>3494</v>
      </c>
      <c r="D310" s="193" t="s">
        <v>192</v>
      </c>
      <c r="E310" s="193" t="s">
        <v>3495</v>
      </c>
      <c r="F310" s="193" t="s">
        <v>112</v>
      </c>
      <c r="G310" s="193">
        <v>20862</v>
      </c>
      <c r="H310" s="193"/>
      <c r="I310" s="193"/>
      <c r="J310" s="193"/>
    </row>
    <row r="311" spans="1:10" x14ac:dyDescent="0.3">
      <c r="A311" s="1" t="str">
        <f t="shared" si="4"/>
        <v>10 ARABINOSE 1</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93" t="s">
        <v>3496</v>
      </c>
      <c r="D311" s="193" t="s">
        <v>3497</v>
      </c>
      <c r="E311" s="193" t="s">
        <v>3498</v>
      </c>
      <c r="F311" s="193" t="s">
        <v>112</v>
      </c>
      <c r="G311" s="193">
        <v>879026</v>
      </c>
      <c r="H311" s="193"/>
      <c r="I311" s="193"/>
      <c r="J311" s="193"/>
    </row>
    <row r="312" spans="1:10" x14ac:dyDescent="0.3">
      <c r="A312" s="1" t="str">
        <f t="shared" si="4"/>
        <v>10 ARABINOSE 1</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93" t="s">
        <v>3499</v>
      </c>
      <c r="D312" s="193"/>
      <c r="E312" s="193"/>
      <c r="F312" s="193"/>
      <c r="G312" s="193"/>
      <c r="H312" s="193"/>
      <c r="I312" s="193"/>
      <c r="J312" s="193"/>
    </row>
    <row r="313" spans="1:10" x14ac:dyDescent="0.3">
      <c r="A313" s="1" t="str">
        <f t="shared" si="4"/>
        <v>10 ARABINOSE 1</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93" t="s">
        <v>3500</v>
      </c>
      <c r="D313" s="193"/>
      <c r="E313" s="193"/>
      <c r="F313" s="193"/>
      <c r="G313" s="193"/>
      <c r="H313" s="193"/>
      <c r="I313" s="193"/>
      <c r="J313" s="193"/>
    </row>
    <row r="314" spans="1:10" x14ac:dyDescent="0.3">
      <c r="A314" s="1" t="str">
        <f t="shared" si="4"/>
        <v>10 ARABINOSE 1</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93" t="s">
        <v>3501</v>
      </c>
      <c r="D314" s="193" t="s">
        <v>3502</v>
      </c>
      <c r="E314" s="193" t="s">
        <v>3503</v>
      </c>
      <c r="F314" s="193" t="s">
        <v>112</v>
      </c>
      <c r="G314" s="193">
        <v>90104</v>
      </c>
      <c r="H314" s="193"/>
      <c r="I314" s="193"/>
      <c r="J314" s="193"/>
    </row>
    <row r="315" spans="1:10" x14ac:dyDescent="0.3">
      <c r="A315" s="1" t="str">
        <f t="shared" si="4"/>
        <v>10 ARABINOSE 1</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93" t="s">
        <v>3504</v>
      </c>
      <c r="D315" s="193"/>
      <c r="E315" s="193"/>
      <c r="F315" s="193"/>
      <c r="G315" s="193"/>
      <c r="H315" s="193"/>
      <c r="I315" s="193"/>
      <c r="J315" s="193"/>
    </row>
    <row r="316" spans="1:10" x14ac:dyDescent="0.3">
      <c r="A316" s="1" t="str">
        <f t="shared" si="4"/>
        <v>10 ARABINOSE 1</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93" t="s">
        <v>3505</v>
      </c>
      <c r="D316" s="193" t="s">
        <v>3506</v>
      </c>
      <c r="E316" s="193" t="s">
        <v>3507</v>
      </c>
      <c r="F316" s="193" t="s">
        <v>112</v>
      </c>
      <c r="G316" s="193">
        <v>120364</v>
      </c>
      <c r="H316" s="193"/>
      <c r="I316" s="193"/>
      <c r="J316" s="193"/>
    </row>
    <row r="317" spans="1:10" x14ac:dyDescent="0.3">
      <c r="A317" s="1" t="str">
        <f t="shared" si="4"/>
        <v>10 ARABINOSE 1</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93" t="s">
        <v>3508</v>
      </c>
      <c r="D317" s="193" t="s">
        <v>222</v>
      </c>
      <c r="E317" s="193" t="s">
        <v>3509</v>
      </c>
      <c r="F317" s="193" t="s">
        <v>112</v>
      </c>
      <c r="G317" s="193">
        <v>14814</v>
      </c>
      <c r="H317" s="193"/>
      <c r="I317" s="193"/>
      <c r="J317" s="193"/>
    </row>
    <row r="318" spans="1:10" x14ac:dyDescent="0.3">
      <c r="A318" s="1" t="str">
        <f t="shared" si="4"/>
        <v>10 ARABINOSE 1</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93" t="s">
        <v>3510</v>
      </c>
      <c r="D318" s="193" t="s">
        <v>214</v>
      </c>
      <c r="E318" s="193" t="s">
        <v>3511</v>
      </c>
      <c r="F318" s="193" t="s">
        <v>112</v>
      </c>
      <c r="G318" s="193">
        <v>26714</v>
      </c>
      <c r="H318" s="193"/>
      <c r="I318" s="193"/>
      <c r="J318" s="193"/>
    </row>
    <row r="319" spans="1:10" x14ac:dyDescent="0.3">
      <c r="A319" s="1" t="str">
        <f t="shared" si="4"/>
        <v>10 ARABINOSE 1</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93" t="s">
        <v>3512</v>
      </c>
      <c r="D319" s="193" t="s">
        <v>204</v>
      </c>
      <c r="E319" s="193" t="s">
        <v>637</v>
      </c>
      <c r="F319" s="193" t="s">
        <v>112</v>
      </c>
      <c r="G319" s="193">
        <v>12247</v>
      </c>
      <c r="H319" s="193"/>
      <c r="I319" s="193"/>
      <c r="J319" s="193"/>
    </row>
    <row r="320" spans="1:10" x14ac:dyDescent="0.3">
      <c r="A320" s="1" t="str">
        <f t="shared" si="4"/>
        <v>10 ARABINOSE 1</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93" t="s">
        <v>3513</v>
      </c>
      <c r="D320" s="193" t="s">
        <v>3514</v>
      </c>
      <c r="E320" s="193" t="s">
        <v>3515</v>
      </c>
      <c r="F320" s="193" t="s">
        <v>112</v>
      </c>
      <c r="G320" s="193">
        <v>215253</v>
      </c>
      <c r="H320" s="193"/>
      <c r="I320" s="193"/>
      <c r="J320" s="193"/>
    </row>
    <row r="321" spans="1:10" x14ac:dyDescent="0.3">
      <c r="A321" s="1" t="str">
        <f t="shared" si="4"/>
        <v>10 ARABINOSE 1</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93" t="s">
        <v>3516</v>
      </c>
      <c r="D321" s="193"/>
      <c r="E321" s="193"/>
      <c r="F321" s="193"/>
      <c r="G321" s="193"/>
      <c r="H321" s="193"/>
      <c r="I321" s="193"/>
      <c r="J321" s="193"/>
    </row>
    <row r="322" spans="1:10" x14ac:dyDescent="0.3">
      <c r="A322" s="1" t="str">
        <f t="shared" ref="A322:A385" si="5">IFERROR(LEFT(RIGHT(C322,LEN(C322)-SEARCH("@",C322)),SEARCH("/",RIGHT(C322,LEN(C322)-SEARCH("@",C322)-1))),"")</f>
        <v>10 ARABINOSE 1</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93" t="s">
        <v>3517</v>
      </c>
      <c r="D322" s="193"/>
      <c r="E322" s="193"/>
      <c r="F322" s="193"/>
      <c r="G322" s="193"/>
      <c r="H322" s="193"/>
      <c r="I322" s="193"/>
      <c r="J322" s="193"/>
    </row>
    <row r="323" spans="1:10" x14ac:dyDescent="0.3">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93" t="s">
        <v>112</v>
      </c>
      <c r="D323" s="193"/>
      <c r="E323" s="193"/>
      <c r="F323" s="193"/>
      <c r="G323" s="193"/>
      <c r="H323" s="193"/>
      <c r="I323" s="193"/>
      <c r="J323" s="193"/>
    </row>
    <row r="324" spans="1:10" x14ac:dyDescent="0.3">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93" t="s">
        <v>229</v>
      </c>
      <c r="D324" s="193" t="s">
        <v>112</v>
      </c>
      <c r="E324" s="193" t="s">
        <v>230</v>
      </c>
      <c r="F324" s="193" t="s">
        <v>231</v>
      </c>
      <c r="G324" s="193" t="s">
        <v>232</v>
      </c>
      <c r="H324" s="193" t="s">
        <v>233</v>
      </c>
      <c r="I324" s="193" t="s">
        <v>234</v>
      </c>
      <c r="J324" s="193" t="s">
        <v>235</v>
      </c>
    </row>
    <row r="325" spans="1:10" x14ac:dyDescent="0.3">
      <c r="A325" s="1" t="str">
        <f t="shared" si="5"/>
        <v>10 ARABINOSE 1</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93" t="s">
        <v>3518</v>
      </c>
      <c r="D325" s="193" t="s">
        <v>112</v>
      </c>
      <c r="E325" s="193" t="s">
        <v>3519</v>
      </c>
      <c r="F325" s="193" t="s">
        <v>3520</v>
      </c>
      <c r="G325" s="193" t="s">
        <v>3521</v>
      </c>
      <c r="H325" s="193" t="s">
        <v>3522</v>
      </c>
      <c r="I325" s="193">
        <v>24</v>
      </c>
      <c r="J325" s="193">
        <v>24</v>
      </c>
    </row>
    <row r="326" spans="1:10" x14ac:dyDescent="0.3">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93" t="s">
        <v>112</v>
      </c>
      <c r="D326" s="193"/>
      <c r="E326" s="193"/>
      <c r="F326" s="193"/>
      <c r="G326" s="193"/>
      <c r="H326" s="193"/>
      <c r="I326" s="193"/>
      <c r="J326" s="193"/>
    </row>
    <row r="327" spans="1:10" x14ac:dyDescent="0.3">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93" t="s">
        <v>112</v>
      </c>
      <c r="D327" s="193"/>
      <c r="E327" s="193"/>
      <c r="F327" s="193"/>
      <c r="G327" s="193"/>
      <c r="H327" s="193"/>
      <c r="I327" s="193"/>
      <c r="J327" s="193"/>
    </row>
    <row r="328" spans="1:10" x14ac:dyDescent="0.3">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93" t="s">
        <v>112</v>
      </c>
      <c r="D328" s="193"/>
      <c r="E328" s="193"/>
      <c r="F328" s="193"/>
      <c r="G328" s="193"/>
      <c r="H328" s="193"/>
      <c r="I328" s="193"/>
      <c r="J328" s="193"/>
    </row>
    <row r="329" spans="1:10" x14ac:dyDescent="0.3">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93" t="s">
        <v>112</v>
      </c>
      <c r="D329" s="193"/>
      <c r="E329" s="193"/>
      <c r="F329" s="193"/>
      <c r="G329" s="193"/>
      <c r="H329" s="193"/>
      <c r="I329" s="193"/>
      <c r="J329" s="193"/>
    </row>
    <row r="330" spans="1:10" x14ac:dyDescent="0.3">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93" t="s">
        <v>112</v>
      </c>
      <c r="D330" s="193"/>
      <c r="E330" s="193"/>
      <c r="F330" s="193"/>
      <c r="G330" s="193"/>
      <c r="H330" s="193"/>
      <c r="I330" s="193"/>
      <c r="J330" s="193"/>
    </row>
    <row r="331" spans="1:10" x14ac:dyDescent="0.3">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93" t="s">
        <v>241</v>
      </c>
      <c r="D331" s="193" t="s">
        <v>110</v>
      </c>
      <c r="E331" s="193" t="s">
        <v>111</v>
      </c>
      <c r="F331" s="193" t="s">
        <v>112</v>
      </c>
      <c r="G331" s="193" t="s">
        <v>113</v>
      </c>
      <c r="H331" s="193"/>
      <c r="I331" s="193"/>
      <c r="J331" s="193"/>
    </row>
    <row r="332" spans="1:10" x14ac:dyDescent="0.3">
      <c r="A332" s="1" t="str">
        <f t="shared" si="5"/>
        <v>11 ARABINOSE 10</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93" t="s">
        <v>3523</v>
      </c>
      <c r="D332" s="193" t="s">
        <v>3135</v>
      </c>
      <c r="E332" s="193" t="s">
        <v>3524</v>
      </c>
      <c r="F332" s="193" t="s">
        <v>112</v>
      </c>
      <c r="G332" s="193">
        <v>163784</v>
      </c>
      <c r="H332" s="193"/>
      <c r="I332" s="193"/>
      <c r="J332" s="193"/>
    </row>
    <row r="333" spans="1:10" x14ac:dyDescent="0.3">
      <c r="A333" s="1" t="str">
        <f t="shared" si="5"/>
        <v>11 ARABINOSE 10</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93" t="s">
        <v>3525</v>
      </c>
      <c r="D333" s="193" t="s">
        <v>869</v>
      </c>
      <c r="E333" s="193" t="s">
        <v>3526</v>
      </c>
      <c r="F333" s="193" t="s">
        <v>112</v>
      </c>
      <c r="G333" s="193">
        <v>159281</v>
      </c>
      <c r="H333" s="193"/>
      <c r="I333" s="193"/>
      <c r="J333" s="193"/>
    </row>
    <row r="334" spans="1:10" x14ac:dyDescent="0.3">
      <c r="A334" s="1" t="str">
        <f t="shared" si="5"/>
        <v>11 ARABINOSE 10</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93" t="s">
        <v>3527</v>
      </c>
      <c r="D334" s="193" t="s">
        <v>3142</v>
      </c>
      <c r="E334" s="193" t="s">
        <v>3528</v>
      </c>
      <c r="F334" s="193" t="s">
        <v>112</v>
      </c>
      <c r="G334" s="193">
        <v>248319</v>
      </c>
      <c r="H334" s="193"/>
      <c r="I334" s="193"/>
      <c r="J334" s="193"/>
    </row>
    <row r="335" spans="1:10" x14ac:dyDescent="0.3">
      <c r="A335" s="1" t="str">
        <f t="shared" si="5"/>
        <v>11 ARABINOSE 10</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93" t="s">
        <v>3529</v>
      </c>
      <c r="D335" s="193" t="s">
        <v>214</v>
      </c>
      <c r="E335" s="193" t="s">
        <v>3530</v>
      </c>
      <c r="F335" s="193" t="s">
        <v>112</v>
      </c>
      <c r="G335" s="193">
        <v>26540</v>
      </c>
      <c r="H335" s="193"/>
      <c r="I335" s="193"/>
      <c r="J335" s="193"/>
    </row>
    <row r="336" spans="1:10" x14ac:dyDescent="0.3">
      <c r="A336" s="1" t="str">
        <f t="shared" si="5"/>
        <v>11 ARABINOSE 10</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93" t="s">
        <v>3531</v>
      </c>
      <c r="D336" s="193" t="s">
        <v>383</v>
      </c>
      <c r="E336" s="193" t="s">
        <v>3532</v>
      </c>
      <c r="F336" s="193" t="s">
        <v>112</v>
      </c>
      <c r="G336" s="193">
        <v>9311</v>
      </c>
      <c r="H336" s="193"/>
      <c r="I336" s="193"/>
      <c r="J336" s="193"/>
    </row>
    <row r="337" spans="1:10" x14ac:dyDescent="0.3">
      <c r="A337" s="1" t="str">
        <f t="shared" si="5"/>
        <v>11 ARABINOSE 10</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93" t="s">
        <v>3533</v>
      </c>
      <c r="D337" s="193" t="s">
        <v>174</v>
      </c>
      <c r="E337" s="193" t="s">
        <v>178</v>
      </c>
      <c r="F337" s="193" t="s">
        <v>112</v>
      </c>
      <c r="G337" s="193">
        <v>17033</v>
      </c>
      <c r="H337" s="193"/>
      <c r="I337" s="193"/>
      <c r="J337" s="193"/>
    </row>
    <row r="338" spans="1:10" x14ac:dyDescent="0.3">
      <c r="A338" s="1" t="str">
        <f t="shared" si="5"/>
        <v>11 ARABINOSE 10</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93" t="s">
        <v>3534</v>
      </c>
      <c r="D338" s="193" t="s">
        <v>3535</v>
      </c>
      <c r="E338" s="193" t="s">
        <v>3536</v>
      </c>
      <c r="F338" s="193" t="s">
        <v>112</v>
      </c>
      <c r="G338" s="193">
        <v>287432</v>
      </c>
      <c r="H338" s="193"/>
      <c r="I338" s="193"/>
      <c r="J338" s="193"/>
    </row>
    <row r="339" spans="1:10" x14ac:dyDescent="0.3">
      <c r="A339" s="1" t="str">
        <f t="shared" si="5"/>
        <v>11 ARABINOSE 10</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93" t="s">
        <v>3537</v>
      </c>
      <c r="D339" s="193" t="s">
        <v>715</v>
      </c>
      <c r="E339" s="193" t="s">
        <v>3538</v>
      </c>
      <c r="F339" s="193" t="s">
        <v>112</v>
      </c>
      <c r="G339" s="193">
        <v>36612</v>
      </c>
      <c r="H339" s="193"/>
      <c r="I339" s="193"/>
      <c r="J339" s="193"/>
    </row>
    <row r="340" spans="1:10" x14ac:dyDescent="0.3">
      <c r="A340" s="1" t="str">
        <f t="shared" si="5"/>
        <v>11 ARABINOSE 10</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93" t="s">
        <v>3539</v>
      </c>
      <c r="D340" s="193" t="s">
        <v>3540</v>
      </c>
      <c r="E340" s="193" t="s">
        <v>3541</v>
      </c>
      <c r="F340" s="193" t="s">
        <v>112</v>
      </c>
      <c r="G340" s="193">
        <v>216950</v>
      </c>
      <c r="H340" s="193"/>
      <c r="I340" s="193"/>
      <c r="J340" s="193"/>
    </row>
    <row r="341" spans="1:10" x14ac:dyDescent="0.3">
      <c r="A341" s="1" t="str">
        <f t="shared" si="5"/>
        <v>11 ARABINOSE 10</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93" t="s">
        <v>3542</v>
      </c>
      <c r="D341" s="193" t="s">
        <v>3543</v>
      </c>
      <c r="E341" s="193" t="s">
        <v>3544</v>
      </c>
      <c r="F341" s="193" t="s">
        <v>112</v>
      </c>
      <c r="G341" s="193">
        <v>151167</v>
      </c>
      <c r="H341" s="193"/>
      <c r="I341" s="193"/>
      <c r="J341" s="193"/>
    </row>
    <row r="342" spans="1:10" x14ac:dyDescent="0.3">
      <c r="A342" s="1" t="str">
        <f t="shared" si="5"/>
        <v>11 ARABINOSE 10</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93" t="s">
        <v>3545</v>
      </c>
      <c r="D342" s="193" t="s">
        <v>710</v>
      </c>
      <c r="E342" s="193" t="s">
        <v>3546</v>
      </c>
      <c r="F342" s="193" t="s">
        <v>112</v>
      </c>
      <c r="G342" s="193">
        <v>38482</v>
      </c>
      <c r="H342" s="193"/>
      <c r="I342" s="193"/>
      <c r="J342" s="193"/>
    </row>
    <row r="343" spans="1:10" x14ac:dyDescent="0.3">
      <c r="A343" s="1" t="str">
        <f t="shared" si="5"/>
        <v>11 ARABINOSE 10</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93" t="s">
        <v>3547</v>
      </c>
      <c r="D343" s="193" t="s">
        <v>194</v>
      </c>
      <c r="E343" s="193" t="s">
        <v>3548</v>
      </c>
      <c r="F343" s="193" t="s">
        <v>112</v>
      </c>
      <c r="G343" s="193">
        <v>80250</v>
      </c>
      <c r="H343" s="193"/>
      <c r="I343" s="193"/>
      <c r="J343" s="193"/>
    </row>
    <row r="344" spans="1:10" x14ac:dyDescent="0.3">
      <c r="A344" s="1" t="str">
        <f t="shared" si="5"/>
        <v>11 ARABINOSE 10</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93" t="s">
        <v>3549</v>
      </c>
      <c r="D344" s="193" t="s">
        <v>189</v>
      </c>
      <c r="E344" s="193" t="s">
        <v>3550</v>
      </c>
      <c r="F344" s="193" t="s">
        <v>112</v>
      </c>
      <c r="G344" s="193">
        <v>27214</v>
      </c>
      <c r="H344" s="193"/>
      <c r="I344" s="193"/>
      <c r="J344" s="193"/>
    </row>
    <row r="345" spans="1:10" x14ac:dyDescent="0.3">
      <c r="A345" s="1" t="str">
        <f t="shared" si="5"/>
        <v>11 ARABINOSE 10</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93" t="s">
        <v>3551</v>
      </c>
      <c r="D345" s="193" t="s">
        <v>189</v>
      </c>
      <c r="E345" s="193">
        <v>63</v>
      </c>
      <c r="F345" s="193" t="s">
        <v>112</v>
      </c>
      <c r="G345" s="193">
        <v>27410</v>
      </c>
      <c r="H345" s="193"/>
      <c r="I345" s="193"/>
      <c r="J345" s="193"/>
    </row>
    <row r="346" spans="1:10" x14ac:dyDescent="0.3">
      <c r="A346" s="1" t="str">
        <f t="shared" si="5"/>
        <v>11 ARABINOSE 10</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93" t="s">
        <v>3552</v>
      </c>
      <c r="D346" s="193"/>
      <c r="E346" s="193"/>
      <c r="F346" s="193"/>
      <c r="G346" s="193"/>
      <c r="H346" s="193"/>
      <c r="I346" s="193"/>
      <c r="J346" s="193"/>
    </row>
    <row r="347" spans="1:10" x14ac:dyDescent="0.3">
      <c r="A347" s="1" t="str">
        <f t="shared" si="5"/>
        <v>11 ARABINOSE 10</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93" t="s">
        <v>3553</v>
      </c>
      <c r="D347" s="193" t="s">
        <v>192</v>
      </c>
      <c r="E347" s="193" t="s">
        <v>184</v>
      </c>
      <c r="F347" s="193" t="s">
        <v>112</v>
      </c>
      <c r="G347" s="193">
        <v>20340</v>
      </c>
      <c r="H347" s="193"/>
      <c r="I347" s="193"/>
      <c r="J347" s="193"/>
    </row>
    <row r="348" spans="1:10" x14ac:dyDescent="0.3">
      <c r="A348" s="1" t="str">
        <f t="shared" si="5"/>
        <v>11 ARABINOSE 10</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93" t="s">
        <v>3554</v>
      </c>
      <c r="D348" s="193" t="s">
        <v>864</v>
      </c>
      <c r="E348" s="193" t="s">
        <v>3555</v>
      </c>
      <c r="F348" s="193" t="s">
        <v>112</v>
      </c>
      <c r="G348" s="193">
        <v>134503</v>
      </c>
      <c r="H348" s="193"/>
      <c r="I348" s="193"/>
      <c r="J348" s="193"/>
    </row>
    <row r="349" spans="1:10" x14ac:dyDescent="0.3">
      <c r="A349" s="1" t="str">
        <f t="shared" si="5"/>
        <v>11 ARABINOSE 10</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93" t="s">
        <v>3556</v>
      </c>
      <c r="D349" s="193" t="s">
        <v>652</v>
      </c>
      <c r="E349" s="193" t="s">
        <v>646</v>
      </c>
      <c r="F349" s="193" t="s">
        <v>112</v>
      </c>
      <c r="G349" s="193">
        <v>53710</v>
      </c>
      <c r="H349" s="193"/>
      <c r="I349" s="193"/>
      <c r="J349" s="193"/>
    </row>
    <row r="350" spans="1:10" x14ac:dyDescent="0.3">
      <c r="A350" s="1" t="str">
        <f t="shared" si="5"/>
        <v>11 ARABINOSE 10</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93" t="s">
        <v>3557</v>
      </c>
      <c r="D350" s="193" t="s">
        <v>3558</v>
      </c>
      <c r="E350" s="193" t="s">
        <v>3559</v>
      </c>
      <c r="F350" s="193" t="s">
        <v>112</v>
      </c>
      <c r="G350" s="193">
        <v>161848</v>
      </c>
      <c r="H350" s="193"/>
      <c r="I350" s="193"/>
      <c r="J350" s="193"/>
    </row>
    <row r="351" spans="1:10" x14ac:dyDescent="0.3">
      <c r="A351" s="1" t="str">
        <f t="shared" si="5"/>
        <v>11 ARABINOSE 10</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93" t="s">
        <v>3560</v>
      </c>
      <c r="D351" s="193"/>
      <c r="E351" s="193"/>
      <c r="F351" s="193"/>
      <c r="G351" s="193"/>
      <c r="H351" s="193"/>
      <c r="I351" s="193"/>
      <c r="J351" s="193"/>
    </row>
    <row r="352" spans="1:10" x14ac:dyDescent="0.3">
      <c r="A352" s="1" t="str">
        <f t="shared" si="5"/>
        <v>11 ARABINOSE 10</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93" t="s">
        <v>3561</v>
      </c>
      <c r="D352" s="193" t="s">
        <v>214</v>
      </c>
      <c r="E352" s="193" t="s">
        <v>881</v>
      </c>
      <c r="F352" s="193" t="s">
        <v>112</v>
      </c>
      <c r="G352" s="193">
        <v>26170</v>
      </c>
      <c r="H352" s="193"/>
      <c r="I352" s="193"/>
      <c r="J352" s="193"/>
    </row>
    <row r="353" spans="1:10" x14ac:dyDescent="0.3">
      <c r="A353" s="1" t="str">
        <f t="shared" si="5"/>
        <v>11 ARABINOSE 10</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93" t="s">
        <v>3562</v>
      </c>
      <c r="D353" s="193" t="s">
        <v>3563</v>
      </c>
      <c r="E353" s="193" t="s">
        <v>3564</v>
      </c>
      <c r="F353" s="193" t="s">
        <v>112</v>
      </c>
      <c r="G353" s="193">
        <v>205508</v>
      </c>
      <c r="H353" s="193"/>
      <c r="I353" s="193"/>
      <c r="J353" s="193"/>
    </row>
    <row r="354" spans="1:10" x14ac:dyDescent="0.3">
      <c r="A354" s="1" t="str">
        <f t="shared" si="5"/>
        <v>11 ARABINOSE 10</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93" t="s">
        <v>3565</v>
      </c>
      <c r="D354" s="193" t="s">
        <v>690</v>
      </c>
      <c r="E354" s="193" t="s">
        <v>3566</v>
      </c>
      <c r="F354" s="193" t="s">
        <v>112</v>
      </c>
      <c r="G354" s="193">
        <v>23233</v>
      </c>
      <c r="H354" s="193"/>
      <c r="I354" s="193"/>
      <c r="J354" s="193"/>
    </row>
    <row r="355" spans="1:10" x14ac:dyDescent="0.3">
      <c r="A355" s="1" t="str">
        <f t="shared" si="5"/>
        <v>11 ARABINOSE 10</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93" t="s">
        <v>3567</v>
      </c>
      <c r="D355" s="193" t="s">
        <v>306</v>
      </c>
      <c r="E355" s="193" t="s">
        <v>3196</v>
      </c>
      <c r="F355" s="193" t="s">
        <v>112</v>
      </c>
      <c r="G355" s="193">
        <v>49098</v>
      </c>
      <c r="H355" s="193"/>
      <c r="I355" s="193"/>
      <c r="J355" s="193"/>
    </row>
    <row r="356" spans="1:10" x14ac:dyDescent="0.3">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93" t="s">
        <v>112</v>
      </c>
      <c r="D356" s="193"/>
      <c r="E356" s="193"/>
      <c r="F356" s="193"/>
      <c r="G356" s="193"/>
      <c r="H356" s="193"/>
      <c r="I356" s="193"/>
      <c r="J356" s="193"/>
    </row>
    <row r="357" spans="1:10" x14ac:dyDescent="0.3">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93" t="s">
        <v>229</v>
      </c>
      <c r="D357" s="193" t="s">
        <v>112</v>
      </c>
      <c r="E357" s="193" t="s">
        <v>230</v>
      </c>
      <c r="F357" s="193" t="s">
        <v>231</v>
      </c>
      <c r="G357" s="193" t="s">
        <v>232</v>
      </c>
      <c r="H357" s="193" t="s">
        <v>233</v>
      </c>
      <c r="I357" s="193" t="s">
        <v>234</v>
      </c>
      <c r="J357" s="193" t="s">
        <v>235</v>
      </c>
    </row>
    <row r="358" spans="1:10" x14ac:dyDescent="0.3">
      <c r="A358" s="1" t="str">
        <f t="shared" si="5"/>
        <v>11 ARABINOSE 10</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93" t="s">
        <v>3568</v>
      </c>
      <c r="D358" s="193" t="s">
        <v>112</v>
      </c>
      <c r="E358" s="193" t="s">
        <v>3569</v>
      </c>
      <c r="F358" s="193" t="s">
        <v>3570</v>
      </c>
      <c r="G358" s="193" t="s">
        <v>3571</v>
      </c>
      <c r="H358" s="193" t="s">
        <v>3572</v>
      </c>
      <c r="I358" s="193">
        <v>24</v>
      </c>
      <c r="J358" s="193">
        <v>24</v>
      </c>
    </row>
    <row r="359" spans="1:10" x14ac:dyDescent="0.3">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93" t="s">
        <v>112</v>
      </c>
      <c r="D359" s="193"/>
      <c r="E359" s="193"/>
      <c r="F359" s="193"/>
      <c r="G359" s="193"/>
      <c r="H359" s="193"/>
      <c r="I359" s="193"/>
      <c r="J359" s="193"/>
    </row>
    <row r="360" spans="1:10" x14ac:dyDescent="0.3">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93" t="s">
        <v>112</v>
      </c>
      <c r="D360" s="193"/>
      <c r="E360" s="193"/>
      <c r="F360" s="193"/>
      <c r="G360" s="193"/>
      <c r="H360" s="193"/>
      <c r="I360" s="193"/>
      <c r="J360" s="193"/>
    </row>
    <row r="361" spans="1:10" x14ac:dyDescent="0.3">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93" t="s">
        <v>112</v>
      </c>
      <c r="D361" s="193"/>
      <c r="E361" s="193"/>
      <c r="F361" s="193"/>
      <c r="G361" s="193"/>
      <c r="H361" s="193"/>
      <c r="I361" s="193"/>
      <c r="J361" s="193"/>
    </row>
    <row r="362" spans="1:10" x14ac:dyDescent="0.3">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93" t="s">
        <v>112</v>
      </c>
      <c r="D362" s="193"/>
      <c r="E362" s="193"/>
      <c r="F362" s="193"/>
      <c r="G362" s="193"/>
      <c r="H362" s="193"/>
      <c r="I362" s="193"/>
      <c r="J362" s="193"/>
    </row>
    <row r="363" spans="1:10" x14ac:dyDescent="0.3">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93" t="s">
        <v>112</v>
      </c>
      <c r="D363" s="193"/>
      <c r="E363" s="193"/>
      <c r="F363" s="193"/>
      <c r="G363" s="193"/>
      <c r="H363" s="193"/>
      <c r="I363" s="193"/>
      <c r="J363" s="193"/>
    </row>
    <row r="364" spans="1:10" x14ac:dyDescent="0.3">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93" t="s">
        <v>241</v>
      </c>
      <c r="D364" s="193" t="s">
        <v>110</v>
      </c>
      <c r="E364" s="193" t="s">
        <v>111</v>
      </c>
      <c r="F364" s="193" t="s">
        <v>112</v>
      </c>
      <c r="G364" s="193" t="s">
        <v>113</v>
      </c>
      <c r="H364" s="193"/>
      <c r="I364" s="193"/>
      <c r="J364" s="193"/>
    </row>
    <row r="365" spans="1:10" x14ac:dyDescent="0.3">
      <c r="A365" s="1" t="str">
        <f t="shared" si="5"/>
        <v>12 ARABINOSE 100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93" t="s">
        <v>3573</v>
      </c>
      <c r="D365" s="193" t="s">
        <v>826</v>
      </c>
      <c r="E365" s="193" t="s">
        <v>832</v>
      </c>
      <c r="F365" s="193" t="s">
        <v>112</v>
      </c>
      <c r="G365" s="193">
        <v>57734</v>
      </c>
      <c r="H365" s="193"/>
      <c r="I365" s="193"/>
      <c r="J365" s="193"/>
    </row>
    <row r="366" spans="1:10" x14ac:dyDescent="0.3">
      <c r="A366" s="1" t="str">
        <f t="shared" si="5"/>
        <v>12 ARABINOSE 100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93" t="s">
        <v>3574</v>
      </c>
      <c r="D366" s="193" t="s">
        <v>3575</v>
      </c>
      <c r="E366" s="193" t="s">
        <v>3576</v>
      </c>
      <c r="F366" s="193" t="s">
        <v>112</v>
      </c>
      <c r="G366" s="193">
        <v>171050</v>
      </c>
      <c r="H366" s="193"/>
      <c r="I366" s="193"/>
      <c r="J366" s="193"/>
    </row>
    <row r="367" spans="1:10" x14ac:dyDescent="0.3">
      <c r="A367" s="1" t="str">
        <f t="shared" si="5"/>
        <v>12 ARABINOSE 100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93" t="s">
        <v>3577</v>
      </c>
      <c r="D367" s="193" t="s">
        <v>1258</v>
      </c>
      <c r="E367" s="193" t="s">
        <v>3578</v>
      </c>
      <c r="F367" s="193" t="s">
        <v>112</v>
      </c>
      <c r="G367" s="193">
        <v>75855</v>
      </c>
      <c r="H367" s="193"/>
      <c r="I367" s="193"/>
      <c r="J367" s="193"/>
    </row>
    <row r="368" spans="1:10" x14ac:dyDescent="0.3">
      <c r="A368" s="1" t="str">
        <f t="shared" si="5"/>
        <v>12 ARABINOSE 100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93" t="s">
        <v>3579</v>
      </c>
      <c r="D368" s="193" t="s">
        <v>401</v>
      </c>
      <c r="E368" s="193" t="s">
        <v>3580</v>
      </c>
      <c r="F368" s="193" t="s">
        <v>112</v>
      </c>
      <c r="G368" s="193">
        <v>142313</v>
      </c>
      <c r="H368" s="193"/>
      <c r="I368" s="193"/>
      <c r="J368" s="193"/>
    </row>
    <row r="369" spans="1:10" x14ac:dyDescent="0.3">
      <c r="A369" s="1" t="str">
        <f t="shared" si="5"/>
        <v>12 ARABINOSE 100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93" t="s">
        <v>3581</v>
      </c>
      <c r="D369" s="193" t="s">
        <v>675</v>
      </c>
      <c r="E369" s="193" t="s">
        <v>3582</v>
      </c>
      <c r="F369" s="193" t="s">
        <v>112</v>
      </c>
      <c r="G369" s="193">
        <v>58931</v>
      </c>
      <c r="H369" s="193"/>
      <c r="I369" s="193"/>
      <c r="J369" s="193"/>
    </row>
    <row r="370" spans="1:10" x14ac:dyDescent="0.3">
      <c r="A370" s="1" t="str">
        <f t="shared" si="5"/>
        <v>12 ARABINOSE 100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93" t="s">
        <v>3583</v>
      </c>
      <c r="D370" s="193" t="s">
        <v>3145</v>
      </c>
      <c r="E370" s="193" t="s">
        <v>3584</v>
      </c>
      <c r="F370" s="193" t="s">
        <v>112</v>
      </c>
      <c r="G370" s="193">
        <v>277556</v>
      </c>
      <c r="H370" s="193"/>
      <c r="I370" s="193"/>
      <c r="J370" s="193"/>
    </row>
    <row r="371" spans="1:10" x14ac:dyDescent="0.3">
      <c r="A371" s="1" t="str">
        <f t="shared" si="5"/>
        <v>12 ARABINOSE 100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93" t="s">
        <v>3585</v>
      </c>
      <c r="D371" s="193" t="s">
        <v>1127</v>
      </c>
      <c r="E371" s="193" t="s">
        <v>3586</v>
      </c>
      <c r="F371" s="193" t="s">
        <v>112</v>
      </c>
      <c r="G371" s="193">
        <v>104527</v>
      </c>
      <c r="H371" s="193"/>
      <c r="I371" s="193"/>
      <c r="J371" s="193"/>
    </row>
    <row r="372" spans="1:10" x14ac:dyDescent="0.3">
      <c r="A372" s="1" t="str">
        <f t="shared" si="5"/>
        <v>12 ARABINOSE 100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93" t="s">
        <v>3587</v>
      </c>
      <c r="D372" s="193"/>
      <c r="E372" s="193"/>
      <c r="F372" s="193"/>
      <c r="G372" s="193"/>
      <c r="H372" s="193"/>
      <c r="I372" s="193"/>
      <c r="J372" s="193"/>
    </row>
    <row r="373" spans="1:10" x14ac:dyDescent="0.3">
      <c r="A373" s="1" t="str">
        <f t="shared" si="5"/>
        <v>12 ARABINOSE 100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93" t="s">
        <v>3588</v>
      </c>
      <c r="D373" s="193"/>
      <c r="E373" s="193"/>
      <c r="F373" s="193"/>
      <c r="G373" s="193"/>
      <c r="H373" s="193"/>
      <c r="I373" s="193"/>
      <c r="J373" s="193"/>
    </row>
    <row r="374" spans="1:10" x14ac:dyDescent="0.3">
      <c r="A374" s="1" t="str">
        <f t="shared" si="5"/>
        <v>12 ARABINOSE 100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93" t="s">
        <v>3589</v>
      </c>
      <c r="D374" s="193" t="s">
        <v>168</v>
      </c>
      <c r="E374" s="193" t="s">
        <v>3590</v>
      </c>
      <c r="F374" s="193" t="s">
        <v>112</v>
      </c>
      <c r="G374" s="193">
        <v>7113</v>
      </c>
      <c r="H374" s="193"/>
      <c r="I374" s="193"/>
      <c r="J374" s="193"/>
    </row>
    <row r="375" spans="1:10" x14ac:dyDescent="0.3">
      <c r="A375" s="1" t="str">
        <f t="shared" si="5"/>
        <v>12 ARABINOSE 100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93" t="s">
        <v>3591</v>
      </c>
      <c r="D375" s="193" t="s">
        <v>222</v>
      </c>
      <c r="E375" s="193">
        <v>64</v>
      </c>
      <c r="F375" s="193" t="s">
        <v>112</v>
      </c>
      <c r="G375" s="193">
        <v>15315</v>
      </c>
      <c r="H375" s="193"/>
      <c r="I375" s="193"/>
      <c r="J375" s="193"/>
    </row>
    <row r="376" spans="1:10" x14ac:dyDescent="0.3">
      <c r="A376" s="1" t="str">
        <f t="shared" si="5"/>
        <v>12 ARABINOSE 100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93" t="s">
        <v>3592</v>
      </c>
      <c r="D376" s="193" t="s">
        <v>171</v>
      </c>
      <c r="E376" s="193" t="s">
        <v>3418</v>
      </c>
      <c r="F376" s="193" t="s">
        <v>112</v>
      </c>
      <c r="G376" s="193">
        <v>18164</v>
      </c>
      <c r="H376" s="193"/>
      <c r="I376" s="193"/>
      <c r="J376" s="193"/>
    </row>
    <row r="377" spans="1:10" x14ac:dyDescent="0.3">
      <c r="A377" s="1" t="str">
        <f t="shared" si="5"/>
        <v>12 ARABINOSE 100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93" t="s">
        <v>3593</v>
      </c>
      <c r="D377" s="193" t="s">
        <v>192</v>
      </c>
      <c r="E377" s="193" t="s">
        <v>3594</v>
      </c>
      <c r="F377" s="193" t="s">
        <v>112</v>
      </c>
      <c r="G377" s="193">
        <v>21058</v>
      </c>
      <c r="H377" s="193"/>
      <c r="I377" s="193"/>
      <c r="J377" s="193"/>
    </row>
    <row r="378" spans="1:10" x14ac:dyDescent="0.3">
      <c r="A378" s="1" t="str">
        <f t="shared" si="5"/>
        <v>12 ARABINOSE 100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93" t="s">
        <v>3595</v>
      </c>
      <c r="D378" s="193" t="s">
        <v>174</v>
      </c>
      <c r="E378" s="193" t="s">
        <v>3114</v>
      </c>
      <c r="F378" s="193" t="s">
        <v>112</v>
      </c>
      <c r="G378" s="193">
        <v>16946</v>
      </c>
      <c r="H378" s="193"/>
      <c r="I378" s="193"/>
      <c r="J378" s="193"/>
    </row>
    <row r="379" spans="1:10" x14ac:dyDescent="0.3">
      <c r="A379" s="1" t="str">
        <f t="shared" si="5"/>
        <v>12 ARABINOSE 100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93" t="s">
        <v>3596</v>
      </c>
      <c r="D379" s="193" t="s">
        <v>383</v>
      </c>
      <c r="E379" s="193" t="s">
        <v>280</v>
      </c>
      <c r="F379" s="193" t="s">
        <v>112</v>
      </c>
      <c r="G379" s="193">
        <v>9767</v>
      </c>
      <c r="H379" s="193"/>
      <c r="I379" s="193"/>
      <c r="J379" s="193"/>
    </row>
    <row r="380" spans="1:10" x14ac:dyDescent="0.3">
      <c r="A380" s="1" t="str">
        <f t="shared" si="5"/>
        <v>12 ARABINOSE 100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93" t="s">
        <v>3597</v>
      </c>
      <c r="D380" s="193" t="s">
        <v>3598</v>
      </c>
      <c r="E380" s="193" t="s">
        <v>3599</v>
      </c>
      <c r="F380" s="193" t="s">
        <v>112</v>
      </c>
      <c r="G380" s="193">
        <v>231939</v>
      </c>
      <c r="H380" s="193"/>
      <c r="I380" s="193"/>
      <c r="J380" s="193"/>
    </row>
    <row r="381" spans="1:10" x14ac:dyDescent="0.3">
      <c r="A381" s="1" t="str">
        <f t="shared" si="5"/>
        <v>12 ARABINOSE 100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93" t="s">
        <v>3600</v>
      </c>
      <c r="D381" s="193" t="s">
        <v>3601</v>
      </c>
      <c r="E381" s="193" t="s">
        <v>3602</v>
      </c>
      <c r="F381" s="193" t="s">
        <v>112</v>
      </c>
      <c r="G381" s="193">
        <v>263199</v>
      </c>
      <c r="H381" s="193"/>
      <c r="I381" s="193"/>
      <c r="J381" s="193"/>
    </row>
    <row r="382" spans="1:10" x14ac:dyDescent="0.3">
      <c r="A382" s="1" t="str">
        <f t="shared" si="5"/>
        <v>12 ARABINOSE 100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93" t="s">
        <v>3603</v>
      </c>
      <c r="D382" s="193" t="s">
        <v>309</v>
      </c>
      <c r="E382" s="193" t="s">
        <v>3604</v>
      </c>
      <c r="F382" s="193" t="s">
        <v>112</v>
      </c>
      <c r="G382" s="193">
        <v>136962</v>
      </c>
      <c r="H382" s="193"/>
      <c r="I382" s="193"/>
      <c r="J382" s="193"/>
    </row>
    <row r="383" spans="1:10" x14ac:dyDescent="0.3">
      <c r="A383" s="1" t="str">
        <f t="shared" si="5"/>
        <v>12 ARABINOSE 100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93" t="s">
        <v>3605</v>
      </c>
      <c r="D383" s="193" t="s">
        <v>177</v>
      </c>
      <c r="E383" s="193" t="s">
        <v>3606</v>
      </c>
      <c r="F383" s="193" t="s">
        <v>112</v>
      </c>
      <c r="G383" s="193">
        <v>63303</v>
      </c>
      <c r="H383" s="193"/>
      <c r="I383" s="193"/>
      <c r="J383" s="193"/>
    </row>
    <row r="384" spans="1:10" x14ac:dyDescent="0.3">
      <c r="A384" s="1" t="str">
        <f t="shared" si="5"/>
        <v>12 ARABINOSE 100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93" t="s">
        <v>3607</v>
      </c>
      <c r="D384" s="193" t="s">
        <v>186</v>
      </c>
      <c r="E384" s="193">
        <v>65</v>
      </c>
      <c r="F384" s="193" t="s">
        <v>112</v>
      </c>
      <c r="G384" s="193">
        <v>11312</v>
      </c>
      <c r="H384" s="193"/>
      <c r="I384" s="193"/>
      <c r="J384" s="193"/>
    </row>
    <row r="385" spans="1:10" x14ac:dyDescent="0.3">
      <c r="A385" s="1" t="str">
        <f t="shared" si="5"/>
        <v>12 ARABINOSE 100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93" t="s">
        <v>3608</v>
      </c>
      <c r="D385" s="193" t="s">
        <v>186</v>
      </c>
      <c r="E385" s="193" t="s">
        <v>3054</v>
      </c>
      <c r="F385" s="193" t="s">
        <v>112</v>
      </c>
      <c r="G385" s="193">
        <v>10942</v>
      </c>
      <c r="H385" s="193"/>
      <c r="I385" s="193"/>
      <c r="J385" s="193"/>
    </row>
    <row r="386" spans="1:10" x14ac:dyDescent="0.3">
      <c r="A386" s="1" t="str">
        <f t="shared" ref="A386:A449" si="6">IFERROR(LEFT(RIGHT(C386,LEN(C386)-SEARCH("@",C386)),SEARCH("/",RIGHT(C386,LEN(C386)-SEARCH("@",C386)-1))),"")</f>
        <v>12 ARABINOSE 100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93" t="s">
        <v>3609</v>
      </c>
      <c r="D386" s="193" t="s">
        <v>3610</v>
      </c>
      <c r="E386" s="193" t="s">
        <v>3611</v>
      </c>
      <c r="F386" s="193" t="s">
        <v>112</v>
      </c>
      <c r="G386" s="193">
        <v>377819</v>
      </c>
      <c r="H386" s="193"/>
      <c r="I386" s="193"/>
      <c r="J386" s="193"/>
    </row>
    <row r="387" spans="1:10" x14ac:dyDescent="0.3">
      <c r="A387" s="1" t="str">
        <f t="shared" si="6"/>
        <v>12 ARABINOSE 100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93" t="s">
        <v>3612</v>
      </c>
      <c r="D387" s="193"/>
      <c r="E387" s="193"/>
      <c r="F387" s="193"/>
      <c r="G387" s="193"/>
      <c r="H387" s="193"/>
      <c r="I387" s="193"/>
      <c r="J387" s="193"/>
    </row>
    <row r="388" spans="1:10" x14ac:dyDescent="0.3">
      <c r="A388" s="1" t="str">
        <f t="shared" si="6"/>
        <v>12 ARABINOSE 100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93" t="s">
        <v>3613</v>
      </c>
      <c r="D388" s="193"/>
      <c r="E388" s="193"/>
      <c r="F388" s="193"/>
      <c r="G388" s="193"/>
      <c r="H388" s="193"/>
      <c r="I388" s="193"/>
      <c r="J388" s="193"/>
    </row>
    <row r="389" spans="1:10" x14ac:dyDescent="0.3">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93" t="s">
        <v>112</v>
      </c>
      <c r="D389" s="193"/>
      <c r="E389" s="193"/>
      <c r="F389" s="193"/>
      <c r="G389" s="193"/>
      <c r="H389" s="193"/>
      <c r="I389" s="193"/>
      <c r="J389" s="193"/>
    </row>
    <row r="390" spans="1:10" x14ac:dyDescent="0.3">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93" t="s">
        <v>229</v>
      </c>
      <c r="D390" s="193" t="s">
        <v>112</v>
      </c>
      <c r="E390" s="193" t="s">
        <v>230</v>
      </c>
      <c r="F390" s="193" t="s">
        <v>231</v>
      </c>
      <c r="G390" s="193" t="s">
        <v>232</v>
      </c>
      <c r="H390" s="193" t="s">
        <v>233</v>
      </c>
      <c r="I390" s="193" t="s">
        <v>234</v>
      </c>
      <c r="J390" s="193" t="s">
        <v>235</v>
      </c>
    </row>
    <row r="391" spans="1:10" x14ac:dyDescent="0.3">
      <c r="A391" s="1" t="str">
        <f t="shared" si="6"/>
        <v>12 ARABINOSE 100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93" t="s">
        <v>3614</v>
      </c>
      <c r="D391" s="193" t="s">
        <v>112</v>
      </c>
      <c r="E391" s="193" t="s">
        <v>3615</v>
      </c>
      <c r="F391" s="193" t="s">
        <v>3616</v>
      </c>
      <c r="G391" s="193" t="s">
        <v>3617</v>
      </c>
      <c r="H391" s="193" t="s">
        <v>3618</v>
      </c>
      <c r="I391" s="193">
        <v>24</v>
      </c>
      <c r="J391" s="193">
        <v>24</v>
      </c>
    </row>
    <row r="392" spans="1:10" x14ac:dyDescent="0.3">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93" t="s">
        <v>112</v>
      </c>
      <c r="D392" s="193"/>
      <c r="E392" s="193"/>
      <c r="F392" s="193"/>
      <c r="G392" s="193"/>
      <c r="H392" s="193"/>
      <c r="I392" s="193"/>
      <c r="J392" s="193"/>
    </row>
    <row r="393" spans="1:10" x14ac:dyDescent="0.3">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93" t="s">
        <v>112</v>
      </c>
      <c r="D393" s="193"/>
      <c r="E393" s="193"/>
      <c r="F393" s="193"/>
      <c r="G393" s="193"/>
      <c r="H393" s="193"/>
      <c r="I393" s="193"/>
      <c r="J393" s="193"/>
    </row>
    <row r="394" spans="1:10" x14ac:dyDescent="0.3">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93" t="s">
        <v>112</v>
      </c>
      <c r="D394" s="193"/>
      <c r="E394" s="193"/>
      <c r="F394" s="193"/>
      <c r="G394" s="193"/>
      <c r="H394" s="193"/>
      <c r="I394" s="193"/>
      <c r="J394" s="193"/>
    </row>
    <row r="395" spans="1:10" x14ac:dyDescent="0.3">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93" t="s">
        <v>112</v>
      </c>
      <c r="D395" s="193"/>
      <c r="E395" s="193"/>
      <c r="F395" s="193"/>
      <c r="G395" s="193"/>
      <c r="H395" s="193"/>
      <c r="I395" s="193"/>
      <c r="J395" s="193"/>
    </row>
    <row r="396" spans="1:10" x14ac:dyDescent="0.3">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93" t="s">
        <v>112</v>
      </c>
      <c r="D396" s="193"/>
      <c r="E396" s="193"/>
      <c r="F396" s="193"/>
      <c r="G396" s="193"/>
      <c r="H396" s="193"/>
      <c r="I396" s="193"/>
      <c r="J396" s="193"/>
    </row>
    <row r="397" spans="1:10" x14ac:dyDescent="0.3">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93" t="s">
        <v>241</v>
      </c>
      <c r="D397" s="193" t="s">
        <v>110</v>
      </c>
      <c r="E397" s="193" t="s">
        <v>111</v>
      </c>
      <c r="F397" s="193" t="s">
        <v>112</v>
      </c>
      <c r="G397" s="193" t="s">
        <v>113</v>
      </c>
      <c r="H397" s="193"/>
      <c r="I397" s="193"/>
      <c r="J397" s="193"/>
    </row>
    <row r="398" spans="1:10" x14ac:dyDescent="0.3">
      <c r="A398" s="1" t="str">
        <f t="shared" si="6"/>
        <v>13 TESTO 0.2</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93" t="s">
        <v>3619</v>
      </c>
      <c r="D398" s="193"/>
      <c r="E398" s="193"/>
      <c r="F398" s="193"/>
      <c r="G398" s="193"/>
      <c r="H398" s="193"/>
      <c r="I398" s="193"/>
      <c r="J398" s="193"/>
    </row>
    <row r="399" spans="1:10" x14ac:dyDescent="0.3">
      <c r="A399" s="1" t="str">
        <f t="shared" si="6"/>
        <v>13 TESTO 0.2</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93" t="s">
        <v>3620</v>
      </c>
      <c r="D399" s="193" t="s">
        <v>3621</v>
      </c>
      <c r="E399" s="193" t="s">
        <v>3622</v>
      </c>
      <c r="F399" s="193" t="s">
        <v>112</v>
      </c>
      <c r="G399" s="193">
        <v>561595</v>
      </c>
      <c r="H399" s="193"/>
      <c r="I399" s="193"/>
      <c r="J399" s="193"/>
    </row>
    <row r="400" spans="1:10" x14ac:dyDescent="0.3">
      <c r="A400" s="1" t="str">
        <f t="shared" si="6"/>
        <v>13 TESTO 0.2</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93" t="s">
        <v>3623</v>
      </c>
      <c r="D400" s="193" t="s">
        <v>3624</v>
      </c>
      <c r="E400" s="193" t="s">
        <v>3625</v>
      </c>
      <c r="F400" s="193" t="s">
        <v>112</v>
      </c>
      <c r="G400" s="193">
        <v>794969</v>
      </c>
      <c r="H400" s="193"/>
      <c r="I400" s="193"/>
      <c r="J400" s="193"/>
    </row>
    <row r="401" spans="1:10" x14ac:dyDescent="0.3">
      <c r="A401" s="1" t="str">
        <f t="shared" si="6"/>
        <v>13 TESTO 0.2</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93" t="s">
        <v>3626</v>
      </c>
      <c r="D401" s="193" t="s">
        <v>3627</v>
      </c>
      <c r="E401" s="193" t="s">
        <v>3628</v>
      </c>
      <c r="F401" s="193" t="s">
        <v>112</v>
      </c>
      <c r="G401" s="193">
        <v>1848852</v>
      </c>
      <c r="H401" s="193"/>
      <c r="I401" s="193"/>
      <c r="J401" s="193"/>
    </row>
    <row r="402" spans="1:10" x14ac:dyDescent="0.3">
      <c r="A402" s="1" t="str">
        <f t="shared" si="6"/>
        <v>13 TESTO 0.2</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93" t="s">
        <v>3629</v>
      </c>
      <c r="D402" s="193"/>
      <c r="E402" s="193"/>
      <c r="F402" s="193"/>
      <c r="G402" s="193"/>
      <c r="H402" s="193"/>
      <c r="I402" s="193"/>
      <c r="J402" s="193"/>
    </row>
    <row r="403" spans="1:10" x14ac:dyDescent="0.3">
      <c r="A403" s="1" t="str">
        <f t="shared" si="6"/>
        <v>13 TESTO 0.2</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93" t="s">
        <v>3630</v>
      </c>
      <c r="D403" s="193" t="s">
        <v>3631</v>
      </c>
      <c r="E403" s="193" t="s">
        <v>3632</v>
      </c>
      <c r="F403" s="193" t="s">
        <v>112</v>
      </c>
      <c r="G403" s="193">
        <v>1412841</v>
      </c>
      <c r="H403" s="193"/>
      <c r="I403" s="193"/>
      <c r="J403" s="193"/>
    </row>
    <row r="404" spans="1:10" x14ac:dyDescent="0.3">
      <c r="A404" s="1" t="str">
        <f t="shared" si="6"/>
        <v>13 TESTO 0.2</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93" t="s">
        <v>3633</v>
      </c>
      <c r="D404" s="193" t="s">
        <v>3634</v>
      </c>
      <c r="E404" s="193" t="s">
        <v>3635</v>
      </c>
      <c r="F404" s="193" t="s">
        <v>112</v>
      </c>
      <c r="G404" s="193">
        <v>837650</v>
      </c>
      <c r="H404" s="193"/>
      <c r="I404" s="193"/>
      <c r="J404" s="193"/>
    </row>
    <row r="405" spans="1:10" x14ac:dyDescent="0.3">
      <c r="A405" s="1" t="str">
        <f t="shared" si="6"/>
        <v>13 TESTO 0.2</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93" t="s">
        <v>3636</v>
      </c>
      <c r="D405" s="193" t="s">
        <v>3637</v>
      </c>
      <c r="E405" s="193" t="s">
        <v>3638</v>
      </c>
      <c r="F405" s="193" t="s">
        <v>112</v>
      </c>
      <c r="G405" s="193">
        <v>900366</v>
      </c>
      <c r="H405" s="193"/>
      <c r="I405" s="193"/>
      <c r="J405" s="193"/>
    </row>
    <row r="406" spans="1:10" x14ac:dyDescent="0.3">
      <c r="A406" s="1" t="str">
        <f t="shared" si="6"/>
        <v>13 TESTO 0.2</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93" t="s">
        <v>3639</v>
      </c>
      <c r="D406" s="193"/>
      <c r="E406" s="193"/>
      <c r="F406" s="193"/>
      <c r="G406" s="193"/>
      <c r="H406" s="193"/>
      <c r="I406" s="193"/>
      <c r="J406" s="193"/>
    </row>
    <row r="407" spans="1:10" x14ac:dyDescent="0.3">
      <c r="A407" s="1" t="str">
        <f t="shared" si="6"/>
        <v>13 TESTO 0.2</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93" t="s">
        <v>3640</v>
      </c>
      <c r="D407" s="193" t="s">
        <v>3641</v>
      </c>
      <c r="E407" s="193" t="s">
        <v>3642</v>
      </c>
      <c r="F407" s="193" t="s">
        <v>112</v>
      </c>
      <c r="G407" s="193">
        <v>946571</v>
      </c>
      <c r="H407" s="193"/>
      <c r="I407" s="193"/>
      <c r="J407" s="193"/>
    </row>
    <row r="408" spans="1:10" x14ac:dyDescent="0.3">
      <c r="A408" s="1" t="str">
        <f t="shared" si="6"/>
        <v>13 TESTO 0.2</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93" t="s">
        <v>3643</v>
      </c>
      <c r="D408" s="193" t="s">
        <v>3497</v>
      </c>
      <c r="E408" s="193" t="s">
        <v>3644</v>
      </c>
      <c r="F408" s="193" t="s">
        <v>112</v>
      </c>
      <c r="G408" s="193">
        <v>746872</v>
      </c>
      <c r="H408" s="193"/>
      <c r="I408" s="193"/>
      <c r="J408" s="193"/>
    </row>
    <row r="409" spans="1:10" x14ac:dyDescent="0.3">
      <c r="A409" s="1" t="str">
        <f t="shared" si="6"/>
        <v>13 TESTO 0.2</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93" t="s">
        <v>3645</v>
      </c>
      <c r="D409" s="193" t="s">
        <v>3164</v>
      </c>
      <c r="E409" s="193" t="s">
        <v>3646</v>
      </c>
      <c r="F409" s="193" t="s">
        <v>112</v>
      </c>
      <c r="G409" s="193">
        <v>933867</v>
      </c>
      <c r="H409" s="193"/>
      <c r="I409" s="193"/>
      <c r="J409" s="193"/>
    </row>
    <row r="410" spans="1:10" x14ac:dyDescent="0.3">
      <c r="A410" s="1" t="str">
        <f t="shared" si="6"/>
        <v>13 TESTO 0.2</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93" t="s">
        <v>3647</v>
      </c>
      <c r="D410" s="193" t="s">
        <v>3648</v>
      </c>
      <c r="E410" s="193" t="s">
        <v>3649</v>
      </c>
      <c r="F410" s="193" t="s">
        <v>112</v>
      </c>
      <c r="G410" s="193">
        <v>2183598</v>
      </c>
      <c r="H410" s="193"/>
      <c r="I410" s="193"/>
      <c r="J410" s="193"/>
    </row>
    <row r="411" spans="1:10" x14ac:dyDescent="0.3">
      <c r="A411" s="1" t="str">
        <f t="shared" si="6"/>
        <v>13 TESTO 0.2</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93" t="s">
        <v>3650</v>
      </c>
      <c r="D411" s="193" t="s">
        <v>3651</v>
      </c>
      <c r="E411" s="193" t="s">
        <v>3652</v>
      </c>
      <c r="F411" s="193" t="s">
        <v>112</v>
      </c>
      <c r="G411" s="193">
        <v>2548235</v>
      </c>
      <c r="H411" s="193"/>
      <c r="I411" s="193"/>
      <c r="J411" s="193"/>
    </row>
    <row r="412" spans="1:10" x14ac:dyDescent="0.3">
      <c r="A412" s="1" t="str">
        <f t="shared" si="6"/>
        <v>13 TESTO 0.2</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93" t="s">
        <v>3653</v>
      </c>
      <c r="D412" s="193" t="s">
        <v>3654</v>
      </c>
      <c r="E412" s="193" t="s">
        <v>3655</v>
      </c>
      <c r="F412" s="193" t="s">
        <v>112</v>
      </c>
      <c r="G412" s="193">
        <v>2204547</v>
      </c>
      <c r="H412" s="193"/>
      <c r="I412" s="193"/>
      <c r="J412" s="193"/>
    </row>
    <row r="413" spans="1:10" x14ac:dyDescent="0.3">
      <c r="A413" s="1" t="str">
        <f t="shared" si="6"/>
        <v>13 TESTO 0.2</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93" t="s">
        <v>3656</v>
      </c>
      <c r="D413" s="193" t="s">
        <v>3657</v>
      </c>
      <c r="E413" s="193" t="s">
        <v>3658</v>
      </c>
      <c r="F413" s="193" t="s">
        <v>112</v>
      </c>
      <c r="G413" s="193">
        <v>1257367</v>
      </c>
      <c r="H413" s="193"/>
      <c r="I413" s="193"/>
      <c r="J413" s="193"/>
    </row>
    <row r="414" spans="1:10" x14ac:dyDescent="0.3">
      <c r="A414" s="1" t="str">
        <f t="shared" si="6"/>
        <v>13 TESTO 0.2</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93" t="s">
        <v>3659</v>
      </c>
      <c r="D414" s="193" t="s">
        <v>3660</v>
      </c>
      <c r="E414" s="193" t="s">
        <v>3661</v>
      </c>
      <c r="F414" s="193" t="s">
        <v>112</v>
      </c>
      <c r="G414" s="193">
        <v>1221191</v>
      </c>
      <c r="H414" s="193"/>
      <c r="I414" s="193"/>
      <c r="J414" s="193"/>
    </row>
    <row r="415" spans="1:10" x14ac:dyDescent="0.3">
      <c r="A415" s="1" t="str">
        <f t="shared" si="6"/>
        <v>13 TESTO 0.2</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93" t="s">
        <v>3662</v>
      </c>
      <c r="D415" s="193" t="s">
        <v>3663</v>
      </c>
      <c r="E415" s="193" t="s">
        <v>3664</v>
      </c>
      <c r="F415" s="193" t="s">
        <v>112</v>
      </c>
      <c r="G415" s="193">
        <v>788095</v>
      </c>
      <c r="H415" s="193"/>
      <c r="I415" s="193"/>
      <c r="J415" s="193"/>
    </row>
    <row r="416" spans="1:10" x14ac:dyDescent="0.3">
      <c r="A416" s="1" t="str">
        <f t="shared" si="6"/>
        <v>13 TESTO 0.2</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93" t="s">
        <v>3665</v>
      </c>
      <c r="D416" s="193" t="s">
        <v>3666</v>
      </c>
      <c r="E416" s="193" t="s">
        <v>3667</v>
      </c>
      <c r="F416" s="193" t="s">
        <v>112</v>
      </c>
      <c r="G416" s="193">
        <v>386042</v>
      </c>
      <c r="H416" s="193"/>
      <c r="I416" s="193"/>
      <c r="J416" s="193"/>
    </row>
    <row r="417" spans="1:10" x14ac:dyDescent="0.3">
      <c r="A417" s="1" t="str">
        <f t="shared" si="6"/>
        <v>13 TESTO 0.2</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93" t="s">
        <v>3668</v>
      </c>
      <c r="D417" s="193" t="s">
        <v>3669</v>
      </c>
      <c r="E417" s="193" t="s">
        <v>3670</v>
      </c>
      <c r="F417" s="193" t="s">
        <v>112</v>
      </c>
      <c r="G417" s="193">
        <v>491461</v>
      </c>
      <c r="H417" s="193"/>
      <c r="I417" s="193"/>
      <c r="J417" s="193"/>
    </row>
    <row r="418" spans="1:10" x14ac:dyDescent="0.3">
      <c r="A418" s="1" t="str">
        <f t="shared" si="6"/>
        <v>13 TESTO 0.2</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93" t="s">
        <v>3671</v>
      </c>
      <c r="D418" s="193" t="s">
        <v>3672</v>
      </c>
      <c r="E418" s="193" t="s">
        <v>3673</v>
      </c>
      <c r="F418" s="193" t="s">
        <v>112</v>
      </c>
      <c r="G418" s="193">
        <v>707345</v>
      </c>
      <c r="H418" s="193"/>
      <c r="I418" s="193"/>
      <c r="J418" s="193"/>
    </row>
    <row r="419" spans="1:10" x14ac:dyDescent="0.3">
      <c r="A419" s="1" t="str">
        <f t="shared" si="6"/>
        <v>13 TESTO 0.2</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93" t="s">
        <v>3674</v>
      </c>
      <c r="D419" s="193" t="s">
        <v>3675</v>
      </c>
      <c r="E419" s="193" t="s">
        <v>3676</v>
      </c>
      <c r="F419" s="193" t="s">
        <v>112</v>
      </c>
      <c r="G419" s="193">
        <v>505731</v>
      </c>
      <c r="H419" s="193"/>
      <c r="I419" s="193"/>
      <c r="J419" s="193"/>
    </row>
    <row r="420" spans="1:10" x14ac:dyDescent="0.3">
      <c r="A420" s="1" t="str">
        <f t="shared" si="6"/>
        <v>13 TESTO 0.2</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93" t="s">
        <v>3677</v>
      </c>
      <c r="D420" s="193" t="s">
        <v>3678</v>
      </c>
      <c r="E420" s="193" t="s">
        <v>3679</v>
      </c>
      <c r="F420" s="193" t="s">
        <v>112</v>
      </c>
      <c r="G420" s="193">
        <v>681349</v>
      </c>
      <c r="H420" s="193"/>
      <c r="I420" s="193"/>
      <c r="J420" s="193"/>
    </row>
    <row r="421" spans="1:10" x14ac:dyDescent="0.3">
      <c r="A421" s="1" t="str">
        <f t="shared" si="6"/>
        <v>13 TESTO 0.2</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93" t="s">
        <v>3680</v>
      </c>
      <c r="D421" s="193" t="s">
        <v>3681</v>
      </c>
      <c r="E421" s="193" t="s">
        <v>3682</v>
      </c>
      <c r="F421" s="193" t="s">
        <v>112</v>
      </c>
      <c r="G421" s="193">
        <v>416323</v>
      </c>
      <c r="H421" s="193"/>
      <c r="I421" s="193"/>
      <c r="J421" s="193"/>
    </row>
    <row r="422" spans="1:10" x14ac:dyDescent="0.3">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93" t="s">
        <v>112</v>
      </c>
      <c r="D422" s="193"/>
      <c r="E422" s="193"/>
      <c r="F422" s="193"/>
      <c r="G422" s="193"/>
      <c r="H422" s="193"/>
      <c r="I422" s="193"/>
      <c r="J422" s="193"/>
    </row>
    <row r="423" spans="1:10" x14ac:dyDescent="0.3">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93" t="s">
        <v>229</v>
      </c>
      <c r="D423" s="193" t="s">
        <v>112</v>
      </c>
      <c r="E423" s="193" t="s">
        <v>230</v>
      </c>
      <c r="F423" s="193" t="s">
        <v>231</v>
      </c>
      <c r="G423" s="193" t="s">
        <v>232</v>
      </c>
      <c r="H423" s="193" t="s">
        <v>233</v>
      </c>
      <c r="I423" s="193" t="s">
        <v>234</v>
      </c>
      <c r="J423" s="193" t="s">
        <v>235</v>
      </c>
    </row>
    <row r="424" spans="1:10" x14ac:dyDescent="0.3">
      <c r="A424" s="1" t="str">
        <f t="shared" si="6"/>
        <v>13 TESTO 0.2</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93" t="s">
        <v>3683</v>
      </c>
      <c r="D424" s="193" t="s">
        <v>112</v>
      </c>
      <c r="E424" s="193" t="s">
        <v>3684</v>
      </c>
      <c r="F424" s="193" t="s">
        <v>3685</v>
      </c>
      <c r="G424" s="193" t="s">
        <v>3686</v>
      </c>
      <c r="H424" s="193" t="s">
        <v>3687</v>
      </c>
      <c r="I424" s="193">
        <v>24</v>
      </c>
      <c r="J424" s="193">
        <v>24</v>
      </c>
    </row>
    <row r="425" spans="1:10" x14ac:dyDescent="0.3">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93" t="s">
        <v>112</v>
      </c>
      <c r="D425" s="193"/>
      <c r="E425" s="193"/>
      <c r="F425" s="193"/>
      <c r="G425" s="193"/>
      <c r="H425" s="193"/>
      <c r="I425" s="193"/>
      <c r="J425" s="193"/>
    </row>
    <row r="426" spans="1:10" x14ac:dyDescent="0.3">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93" t="s">
        <v>112</v>
      </c>
      <c r="D426" s="193"/>
      <c r="E426" s="193"/>
      <c r="F426" s="193"/>
      <c r="G426" s="193"/>
      <c r="H426" s="193"/>
      <c r="I426" s="193"/>
      <c r="J426" s="193"/>
    </row>
    <row r="427" spans="1:10" x14ac:dyDescent="0.3">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93" t="s">
        <v>112</v>
      </c>
      <c r="D427" s="193"/>
      <c r="E427" s="193"/>
      <c r="F427" s="193"/>
      <c r="G427" s="193"/>
      <c r="H427" s="193"/>
      <c r="I427" s="193"/>
      <c r="J427" s="193"/>
    </row>
    <row r="428" spans="1:10" x14ac:dyDescent="0.3">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93" t="s">
        <v>112</v>
      </c>
      <c r="D428" s="193"/>
      <c r="E428" s="193"/>
      <c r="F428" s="193"/>
      <c r="G428" s="193"/>
      <c r="H428" s="193"/>
      <c r="I428" s="193"/>
      <c r="J428" s="193"/>
    </row>
    <row r="429" spans="1:10" x14ac:dyDescent="0.3">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93" t="s">
        <v>112</v>
      </c>
      <c r="D429" s="193"/>
      <c r="E429" s="193"/>
      <c r="F429" s="193"/>
      <c r="G429" s="193"/>
      <c r="H429" s="193"/>
      <c r="I429" s="193"/>
      <c r="J429" s="193"/>
    </row>
    <row r="430" spans="1:10" x14ac:dyDescent="0.3">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93" t="s">
        <v>241</v>
      </c>
      <c r="D430" s="193" t="s">
        <v>110</v>
      </c>
      <c r="E430" s="193" t="s">
        <v>111</v>
      </c>
      <c r="F430" s="193" t="s">
        <v>112</v>
      </c>
      <c r="G430" s="193" t="s">
        <v>113</v>
      </c>
      <c r="H430" s="193"/>
      <c r="I430" s="193"/>
      <c r="J430" s="193"/>
    </row>
    <row r="431" spans="1:10" x14ac:dyDescent="0.3">
      <c r="A431" s="1" t="str">
        <f t="shared" si="6"/>
        <v>14 TESTO 0.2</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93" t="s">
        <v>3688</v>
      </c>
      <c r="D431" s="193" t="s">
        <v>3689</v>
      </c>
      <c r="E431" s="193" t="s">
        <v>3690</v>
      </c>
      <c r="F431" s="193" t="s">
        <v>112</v>
      </c>
      <c r="G431" s="193">
        <v>295938</v>
      </c>
      <c r="H431" s="193"/>
      <c r="I431" s="193"/>
      <c r="J431" s="193"/>
    </row>
    <row r="432" spans="1:10" x14ac:dyDescent="0.3">
      <c r="A432" s="1" t="str">
        <f t="shared" si="6"/>
        <v>14 TESTO 0.2</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93" t="s">
        <v>3691</v>
      </c>
      <c r="D432" s="193"/>
      <c r="E432" s="193"/>
      <c r="F432" s="193"/>
      <c r="G432" s="193"/>
      <c r="H432" s="193"/>
      <c r="I432" s="193"/>
      <c r="J432" s="193"/>
    </row>
    <row r="433" spans="1:10" x14ac:dyDescent="0.3">
      <c r="A433" s="1" t="str">
        <f t="shared" si="6"/>
        <v>14 TESTO 0.2</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93" t="s">
        <v>3692</v>
      </c>
      <c r="D433" s="193" t="s">
        <v>758</v>
      </c>
      <c r="E433" s="193" t="s">
        <v>3693</v>
      </c>
      <c r="F433" s="193" t="s">
        <v>112</v>
      </c>
      <c r="G433" s="193">
        <v>97044</v>
      </c>
      <c r="H433" s="193"/>
      <c r="I433" s="193"/>
      <c r="J433" s="193"/>
    </row>
    <row r="434" spans="1:10" x14ac:dyDescent="0.3">
      <c r="A434" s="1" t="str">
        <f t="shared" si="6"/>
        <v>14 TESTO 0.2</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93" t="s">
        <v>3694</v>
      </c>
      <c r="D434" s="193" t="s">
        <v>3695</v>
      </c>
      <c r="E434" s="193" t="s">
        <v>3696</v>
      </c>
      <c r="F434" s="193" t="s">
        <v>112</v>
      </c>
      <c r="G434" s="193">
        <v>1826402</v>
      </c>
      <c r="H434" s="193"/>
      <c r="I434" s="193"/>
      <c r="J434" s="193"/>
    </row>
    <row r="435" spans="1:10" x14ac:dyDescent="0.3">
      <c r="A435" s="1" t="str">
        <f t="shared" si="6"/>
        <v>14 TESTO 0.2</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93" t="s">
        <v>3697</v>
      </c>
      <c r="D435" s="193" t="s">
        <v>3698</v>
      </c>
      <c r="E435" s="193" t="s">
        <v>3699</v>
      </c>
      <c r="F435" s="193" t="s">
        <v>112</v>
      </c>
      <c r="G435" s="193">
        <v>1792727</v>
      </c>
      <c r="H435" s="193"/>
      <c r="I435" s="193"/>
      <c r="J435" s="193"/>
    </row>
    <row r="436" spans="1:10" x14ac:dyDescent="0.3">
      <c r="A436" s="1" t="str">
        <f t="shared" si="6"/>
        <v>14 TESTO 0.2</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93" t="s">
        <v>3700</v>
      </c>
      <c r="D436" s="193" t="s">
        <v>3701</v>
      </c>
      <c r="E436" s="193" t="s">
        <v>3702</v>
      </c>
      <c r="F436" s="193" t="s">
        <v>112</v>
      </c>
      <c r="G436" s="193">
        <v>1622917</v>
      </c>
      <c r="H436" s="193"/>
      <c r="I436" s="193"/>
      <c r="J436" s="193"/>
    </row>
    <row r="437" spans="1:10" x14ac:dyDescent="0.3">
      <c r="A437" s="1" t="str">
        <f t="shared" si="6"/>
        <v>14 TESTO 0.2</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93" t="s">
        <v>3703</v>
      </c>
      <c r="D437" s="193"/>
      <c r="E437" s="193"/>
      <c r="F437" s="193"/>
      <c r="G437" s="193"/>
      <c r="H437" s="193"/>
      <c r="I437" s="193"/>
      <c r="J437" s="193"/>
    </row>
    <row r="438" spans="1:10" x14ac:dyDescent="0.3">
      <c r="A438" s="1" t="str">
        <f t="shared" si="6"/>
        <v>14 TESTO 0.2</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93" t="s">
        <v>3704</v>
      </c>
      <c r="D438" s="193"/>
      <c r="E438" s="193"/>
      <c r="F438" s="193"/>
      <c r="G438" s="193"/>
      <c r="H438" s="193"/>
      <c r="I438" s="193"/>
      <c r="J438" s="193"/>
    </row>
    <row r="439" spans="1:10" x14ac:dyDescent="0.3">
      <c r="A439" s="1" t="str">
        <f t="shared" si="6"/>
        <v>14 TESTO 0.2</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93" t="s">
        <v>3705</v>
      </c>
      <c r="D439" s="193"/>
      <c r="E439" s="193"/>
      <c r="F439" s="193"/>
      <c r="G439" s="193"/>
      <c r="H439" s="193"/>
      <c r="I439" s="193"/>
      <c r="J439" s="193"/>
    </row>
    <row r="440" spans="1:10" x14ac:dyDescent="0.3">
      <c r="A440" s="1" t="str">
        <f t="shared" si="6"/>
        <v>14 TESTO 0.2</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93" t="s">
        <v>3706</v>
      </c>
      <c r="D440" s="193" t="s">
        <v>3707</v>
      </c>
      <c r="E440" s="193" t="s">
        <v>3708</v>
      </c>
      <c r="F440" s="193" t="s">
        <v>112</v>
      </c>
      <c r="G440" s="193">
        <v>1455239</v>
      </c>
      <c r="H440" s="193"/>
      <c r="I440" s="193"/>
      <c r="J440" s="193"/>
    </row>
    <row r="441" spans="1:10" x14ac:dyDescent="0.3">
      <c r="A441" s="1" t="str">
        <f t="shared" si="6"/>
        <v>14 TESTO 0.2</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93" t="s">
        <v>3709</v>
      </c>
      <c r="D441" s="193"/>
      <c r="E441" s="193"/>
      <c r="F441" s="193"/>
      <c r="G441" s="193"/>
      <c r="H441" s="193"/>
      <c r="I441" s="193"/>
      <c r="J441" s="193"/>
    </row>
    <row r="442" spans="1:10" x14ac:dyDescent="0.3">
      <c r="A442" s="1" t="str">
        <f t="shared" si="6"/>
        <v>14 TESTO 0.2</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93" t="s">
        <v>3710</v>
      </c>
      <c r="D442" s="193"/>
      <c r="E442" s="193"/>
      <c r="F442" s="193"/>
      <c r="G442" s="193"/>
      <c r="H442" s="193"/>
      <c r="I442" s="193"/>
      <c r="J442" s="193"/>
    </row>
    <row r="443" spans="1:10" x14ac:dyDescent="0.3">
      <c r="A443" s="1" t="str">
        <f t="shared" si="6"/>
        <v>14 TESTO 0.2</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93" t="s">
        <v>3711</v>
      </c>
      <c r="D443" s="193" t="s">
        <v>3712</v>
      </c>
      <c r="E443" s="193" t="s">
        <v>3713</v>
      </c>
      <c r="F443" s="193" t="s">
        <v>112</v>
      </c>
      <c r="G443" s="193">
        <v>1866081</v>
      </c>
      <c r="H443" s="193"/>
      <c r="I443" s="193"/>
      <c r="J443" s="193"/>
    </row>
    <row r="444" spans="1:10" x14ac:dyDescent="0.3">
      <c r="A444" s="1" t="str">
        <f t="shared" si="6"/>
        <v>14 TESTO 0.2</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93" t="s">
        <v>3714</v>
      </c>
      <c r="D444" s="193" t="s">
        <v>3715</v>
      </c>
      <c r="E444" s="193" t="s">
        <v>3716</v>
      </c>
      <c r="F444" s="193" t="s">
        <v>112</v>
      </c>
      <c r="G444" s="193">
        <v>1817069</v>
      </c>
      <c r="H444" s="193"/>
      <c r="I444" s="193"/>
      <c r="J444" s="193"/>
    </row>
    <row r="445" spans="1:10" x14ac:dyDescent="0.3">
      <c r="A445" s="1" t="str">
        <f t="shared" si="6"/>
        <v>14 TESTO 0.2</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93" t="s">
        <v>3717</v>
      </c>
      <c r="D445" s="193" t="s">
        <v>3718</v>
      </c>
      <c r="E445" s="193" t="s">
        <v>3719</v>
      </c>
      <c r="F445" s="193" t="s">
        <v>112</v>
      </c>
      <c r="G445" s="193">
        <v>1436335</v>
      </c>
      <c r="H445" s="193"/>
      <c r="I445" s="193"/>
      <c r="J445" s="193"/>
    </row>
    <row r="446" spans="1:10" x14ac:dyDescent="0.3">
      <c r="A446" s="1" t="str">
        <f t="shared" si="6"/>
        <v>14 TESTO 0.2</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93" t="s">
        <v>3720</v>
      </c>
      <c r="D446" s="193" t="s">
        <v>3563</v>
      </c>
      <c r="E446" s="193" t="s">
        <v>3721</v>
      </c>
      <c r="F446" s="193" t="s">
        <v>112</v>
      </c>
      <c r="G446" s="193">
        <v>198460</v>
      </c>
      <c r="H446" s="193"/>
      <c r="I446" s="193"/>
      <c r="J446" s="193"/>
    </row>
    <row r="447" spans="1:10" x14ac:dyDescent="0.3">
      <c r="A447" s="1" t="str">
        <f t="shared" si="6"/>
        <v>14 TESTO 0.2</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93" t="s">
        <v>3722</v>
      </c>
      <c r="D447" s="193" t="s">
        <v>3723</v>
      </c>
      <c r="E447" s="193" t="s">
        <v>3724</v>
      </c>
      <c r="F447" s="193" t="s">
        <v>112</v>
      </c>
      <c r="G447" s="193">
        <v>370205</v>
      </c>
      <c r="H447" s="193"/>
      <c r="I447" s="193"/>
      <c r="J447" s="193"/>
    </row>
    <row r="448" spans="1:10" x14ac:dyDescent="0.3">
      <c r="A448" s="1" t="str">
        <f t="shared" si="6"/>
        <v>14 TESTO 0.2</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93" t="s">
        <v>3725</v>
      </c>
      <c r="D448" s="193" t="s">
        <v>208</v>
      </c>
      <c r="E448" s="193" t="s">
        <v>3726</v>
      </c>
      <c r="F448" s="193" t="s">
        <v>112</v>
      </c>
      <c r="G448" s="193">
        <v>199525</v>
      </c>
      <c r="H448" s="193"/>
      <c r="I448" s="193"/>
      <c r="J448" s="193"/>
    </row>
    <row r="449" spans="1:10" x14ac:dyDescent="0.3">
      <c r="A449" s="1" t="str">
        <f t="shared" si="6"/>
        <v>14 TESTO 0.2</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93" t="s">
        <v>3727</v>
      </c>
      <c r="D449" s="193" t="s">
        <v>3728</v>
      </c>
      <c r="E449" s="193" t="s">
        <v>3729</v>
      </c>
      <c r="F449" s="193" t="s">
        <v>112</v>
      </c>
      <c r="G449" s="193">
        <v>587591</v>
      </c>
      <c r="H449" s="193"/>
      <c r="I449" s="193"/>
      <c r="J449" s="193"/>
    </row>
    <row r="450" spans="1:10" x14ac:dyDescent="0.3">
      <c r="A450" s="1" t="str">
        <f t="shared" ref="A450:A513" si="7">IFERROR(LEFT(RIGHT(C450,LEN(C450)-SEARCH("@",C450)),SEARCH("/",RIGHT(C450,LEN(C450)-SEARCH("@",C450)-1))),"")</f>
        <v>14 TESTO 0.2</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93" t="s">
        <v>3730</v>
      </c>
      <c r="D450" s="193" t="s">
        <v>3621</v>
      </c>
      <c r="E450" s="193" t="s">
        <v>3731</v>
      </c>
      <c r="F450" s="193" t="s">
        <v>112</v>
      </c>
      <c r="G450" s="193">
        <v>568687</v>
      </c>
      <c r="H450" s="193"/>
      <c r="I450" s="193"/>
      <c r="J450" s="193"/>
    </row>
    <row r="451" spans="1:10" x14ac:dyDescent="0.3">
      <c r="A451" s="1" t="str">
        <f t="shared" si="7"/>
        <v>14 TESTO 0.2</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93" t="s">
        <v>3732</v>
      </c>
      <c r="D451" s="193" t="s">
        <v>3733</v>
      </c>
      <c r="E451" s="193" t="s">
        <v>3734</v>
      </c>
      <c r="F451" s="193" t="s">
        <v>112</v>
      </c>
      <c r="G451" s="193">
        <v>680827</v>
      </c>
      <c r="H451" s="193"/>
      <c r="I451" s="193"/>
      <c r="J451" s="193"/>
    </row>
    <row r="452" spans="1:10" x14ac:dyDescent="0.3">
      <c r="A452" s="1" t="str">
        <f t="shared" si="7"/>
        <v>14 TESTO 0.2</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93" t="s">
        <v>3735</v>
      </c>
      <c r="D452" s="193" t="s">
        <v>3736</v>
      </c>
      <c r="E452" s="193" t="s">
        <v>3737</v>
      </c>
      <c r="F452" s="193" t="s">
        <v>112</v>
      </c>
      <c r="G452" s="193">
        <v>1807802</v>
      </c>
      <c r="H452" s="193"/>
      <c r="I452" s="193"/>
      <c r="J452" s="193"/>
    </row>
    <row r="453" spans="1:10" x14ac:dyDescent="0.3">
      <c r="A453" s="1" t="str">
        <f t="shared" si="7"/>
        <v>14 TESTO 0.2</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93" t="s">
        <v>3738</v>
      </c>
      <c r="D453" s="193" t="s">
        <v>3739</v>
      </c>
      <c r="E453" s="193" t="s">
        <v>3740</v>
      </c>
      <c r="F453" s="193" t="s">
        <v>112</v>
      </c>
      <c r="G453" s="193">
        <v>1603904</v>
      </c>
      <c r="H453" s="193"/>
      <c r="I453" s="193"/>
      <c r="J453" s="193"/>
    </row>
    <row r="454" spans="1:10" x14ac:dyDescent="0.3">
      <c r="A454" s="1" t="str">
        <f t="shared" si="7"/>
        <v>14 TESTO 0.2</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93" t="s">
        <v>3741</v>
      </c>
      <c r="D454" s="193" t="s">
        <v>3742</v>
      </c>
      <c r="E454" s="193" t="s">
        <v>3743</v>
      </c>
      <c r="F454" s="193" t="s">
        <v>112</v>
      </c>
      <c r="G454" s="193">
        <v>1807737</v>
      </c>
      <c r="H454" s="193"/>
      <c r="I454" s="193"/>
      <c r="J454" s="193"/>
    </row>
    <row r="455" spans="1:10" x14ac:dyDescent="0.3">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93" t="s">
        <v>112</v>
      </c>
      <c r="D455" s="193"/>
      <c r="E455" s="193"/>
      <c r="F455" s="193"/>
      <c r="G455" s="193"/>
      <c r="H455" s="193"/>
      <c r="I455" s="193"/>
      <c r="J455" s="193"/>
    </row>
    <row r="456" spans="1:10" x14ac:dyDescent="0.3">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93" t="s">
        <v>229</v>
      </c>
      <c r="D456" s="193" t="s">
        <v>112</v>
      </c>
      <c r="E456" s="193" t="s">
        <v>230</v>
      </c>
      <c r="F456" s="193" t="s">
        <v>231</v>
      </c>
      <c r="G456" s="193" t="s">
        <v>232</v>
      </c>
      <c r="H456" s="193" t="s">
        <v>233</v>
      </c>
      <c r="I456" s="193" t="s">
        <v>234</v>
      </c>
      <c r="J456" s="193" t="s">
        <v>235</v>
      </c>
    </row>
    <row r="457" spans="1:10" x14ac:dyDescent="0.3">
      <c r="A457" s="1" t="str">
        <f t="shared" si="7"/>
        <v>14 TESTO 0.2</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93" t="s">
        <v>3744</v>
      </c>
      <c r="D457" s="193" t="s">
        <v>112</v>
      </c>
      <c r="E457" s="193" t="s">
        <v>3745</v>
      </c>
      <c r="F457" s="193" t="s">
        <v>3746</v>
      </c>
      <c r="G457" s="193" t="s">
        <v>3747</v>
      </c>
      <c r="H457" s="193" t="s">
        <v>3748</v>
      </c>
      <c r="I457" s="193">
        <v>24</v>
      </c>
      <c r="J457" s="193">
        <v>24</v>
      </c>
    </row>
    <row r="458" spans="1:10" x14ac:dyDescent="0.3">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93" t="s">
        <v>112</v>
      </c>
      <c r="D458" s="193"/>
      <c r="E458" s="193"/>
      <c r="F458" s="193"/>
      <c r="G458" s="193"/>
      <c r="H458" s="193"/>
      <c r="I458" s="193"/>
      <c r="J458" s="193"/>
    </row>
    <row r="459" spans="1:10" x14ac:dyDescent="0.3">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93" t="s">
        <v>112</v>
      </c>
      <c r="D459" s="193"/>
      <c r="E459" s="193"/>
      <c r="F459" s="193"/>
      <c r="G459" s="193"/>
      <c r="H459" s="193"/>
      <c r="I459" s="193"/>
      <c r="J459" s="193"/>
    </row>
    <row r="460" spans="1:10" x14ac:dyDescent="0.3">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93" t="s">
        <v>112</v>
      </c>
      <c r="D460" s="193"/>
      <c r="E460" s="193"/>
      <c r="F460" s="193"/>
      <c r="G460" s="193"/>
      <c r="H460" s="193"/>
      <c r="I460" s="193"/>
      <c r="J460" s="193"/>
    </row>
    <row r="461" spans="1:10" x14ac:dyDescent="0.3">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93" t="s">
        <v>112</v>
      </c>
      <c r="D461" s="193"/>
      <c r="E461" s="193"/>
      <c r="F461" s="193"/>
      <c r="G461" s="193"/>
      <c r="H461" s="193"/>
      <c r="I461" s="193"/>
      <c r="J461" s="193"/>
    </row>
    <row r="462" spans="1:10" x14ac:dyDescent="0.3">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93" t="s">
        <v>112</v>
      </c>
      <c r="D462" s="193"/>
      <c r="E462" s="193"/>
      <c r="F462" s="193"/>
      <c r="G462" s="193"/>
      <c r="H462" s="193"/>
      <c r="I462" s="193"/>
      <c r="J462" s="193"/>
    </row>
    <row r="463" spans="1:10" x14ac:dyDescent="0.3">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93" t="s">
        <v>241</v>
      </c>
      <c r="D463" s="193" t="s">
        <v>110</v>
      </c>
      <c r="E463" s="193" t="s">
        <v>111</v>
      </c>
      <c r="F463" s="193" t="s">
        <v>112</v>
      </c>
      <c r="G463" s="193" t="s">
        <v>113</v>
      </c>
      <c r="H463" s="193"/>
      <c r="I463" s="193"/>
      <c r="J463" s="193"/>
    </row>
    <row r="464" spans="1:10" x14ac:dyDescent="0.3">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93" t="s">
        <v>3749</v>
      </c>
      <c r="D464" s="193"/>
      <c r="E464" s="193"/>
      <c r="F464" s="193"/>
      <c r="G464" s="193"/>
      <c r="H464" s="193"/>
      <c r="I464" s="193"/>
      <c r="J464" s="193"/>
    </row>
    <row r="465" spans="1:10" x14ac:dyDescent="0.3">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93" t="s">
        <v>3750</v>
      </c>
      <c r="D465" s="193" t="s">
        <v>3751</v>
      </c>
      <c r="E465" s="193" t="s">
        <v>3752</v>
      </c>
      <c r="F465" s="193" t="s">
        <v>112</v>
      </c>
      <c r="G465" s="193">
        <v>535251</v>
      </c>
      <c r="H465" s="193"/>
      <c r="I465" s="193"/>
      <c r="J465" s="193"/>
    </row>
    <row r="466" spans="1:10" x14ac:dyDescent="0.3">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93" t="s">
        <v>3753</v>
      </c>
      <c r="D466" s="193" t="s">
        <v>3754</v>
      </c>
      <c r="E466" s="193" t="s">
        <v>3755</v>
      </c>
      <c r="F466" s="193" t="s">
        <v>112</v>
      </c>
      <c r="G466" s="193">
        <v>573059</v>
      </c>
      <c r="H466" s="193"/>
      <c r="I466" s="193"/>
      <c r="J466" s="193"/>
    </row>
    <row r="467" spans="1:10" x14ac:dyDescent="0.3">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93" t="s">
        <v>3756</v>
      </c>
      <c r="D467" s="193" t="s">
        <v>3353</v>
      </c>
      <c r="E467" s="193" t="s">
        <v>3757</v>
      </c>
      <c r="F467" s="193" t="s">
        <v>112</v>
      </c>
      <c r="G467" s="193">
        <v>2313164</v>
      </c>
      <c r="H467" s="193"/>
      <c r="I467" s="193"/>
      <c r="J467" s="193"/>
    </row>
    <row r="468" spans="1:10" x14ac:dyDescent="0.3">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93" t="s">
        <v>3758</v>
      </c>
      <c r="D468" s="193" t="s">
        <v>3759</v>
      </c>
      <c r="E468" s="193" t="s">
        <v>3760</v>
      </c>
      <c r="F468" s="193" t="s">
        <v>112</v>
      </c>
      <c r="G468" s="193">
        <v>2193322</v>
      </c>
      <c r="H468" s="193"/>
      <c r="I468" s="193"/>
      <c r="J468" s="193"/>
    </row>
    <row r="469" spans="1:10" x14ac:dyDescent="0.3">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93" t="s">
        <v>3761</v>
      </c>
      <c r="D469" s="193" t="s">
        <v>3762</v>
      </c>
      <c r="E469" s="193" t="s">
        <v>3763</v>
      </c>
      <c r="F469" s="193" t="s">
        <v>112</v>
      </c>
      <c r="G469" s="193">
        <v>2378077</v>
      </c>
      <c r="H469" s="193"/>
      <c r="I469" s="193"/>
      <c r="J469" s="193"/>
    </row>
    <row r="470" spans="1:10" x14ac:dyDescent="0.3">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93" t="s">
        <v>3764</v>
      </c>
      <c r="D470" s="193" t="s">
        <v>3765</v>
      </c>
      <c r="E470" s="193" t="s">
        <v>3766</v>
      </c>
      <c r="F470" s="193" t="s">
        <v>112</v>
      </c>
      <c r="G470" s="193">
        <v>2945306</v>
      </c>
      <c r="H470" s="193"/>
      <c r="I470" s="193"/>
      <c r="J470" s="193"/>
    </row>
    <row r="471" spans="1:10" x14ac:dyDescent="0.3">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93" t="s">
        <v>3767</v>
      </c>
      <c r="D471" s="193" t="s">
        <v>3768</v>
      </c>
      <c r="E471" s="193" t="s">
        <v>3769</v>
      </c>
      <c r="F471" s="193" t="s">
        <v>112</v>
      </c>
      <c r="G471" s="193">
        <v>2746194</v>
      </c>
      <c r="H471" s="193"/>
      <c r="I471" s="193"/>
      <c r="J471" s="193"/>
    </row>
    <row r="472" spans="1:10" x14ac:dyDescent="0.3">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93" t="s">
        <v>3770</v>
      </c>
      <c r="D472" s="193" t="s">
        <v>3324</v>
      </c>
      <c r="E472" s="193" t="s">
        <v>3771</v>
      </c>
      <c r="F472" s="193" t="s">
        <v>112</v>
      </c>
      <c r="G472" s="193">
        <v>2914916</v>
      </c>
      <c r="H472" s="193"/>
      <c r="I472" s="193"/>
      <c r="J472" s="193"/>
    </row>
    <row r="473" spans="1:10" x14ac:dyDescent="0.3">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93" t="s">
        <v>3772</v>
      </c>
      <c r="D473" s="193"/>
      <c r="E473" s="193"/>
      <c r="F473" s="193"/>
      <c r="G473" s="193"/>
      <c r="H473" s="193"/>
      <c r="I473" s="193"/>
      <c r="J473" s="193"/>
    </row>
    <row r="474" spans="1:10" x14ac:dyDescent="0.3">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93" t="s">
        <v>3773</v>
      </c>
      <c r="D474" s="193"/>
      <c r="E474" s="193"/>
      <c r="F474" s="193"/>
      <c r="G474" s="193"/>
      <c r="H474" s="193"/>
      <c r="I474" s="193"/>
      <c r="J474" s="193"/>
    </row>
    <row r="475" spans="1:10" x14ac:dyDescent="0.3">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93" t="s">
        <v>3774</v>
      </c>
      <c r="D475" s="193" t="s">
        <v>3775</v>
      </c>
      <c r="E475" s="193" t="s">
        <v>3776</v>
      </c>
      <c r="F475" s="193" t="s">
        <v>112</v>
      </c>
      <c r="G475" s="193">
        <v>2464657</v>
      </c>
      <c r="H475" s="193"/>
      <c r="I475" s="193"/>
      <c r="J475" s="193"/>
    </row>
    <row r="476" spans="1:10" x14ac:dyDescent="0.3">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93" t="s">
        <v>3777</v>
      </c>
      <c r="D476" s="193" t="s">
        <v>3778</v>
      </c>
      <c r="E476" s="193" t="s">
        <v>3779</v>
      </c>
      <c r="F476" s="193" t="s">
        <v>112</v>
      </c>
      <c r="G476" s="193">
        <v>3197323</v>
      </c>
      <c r="H476" s="193"/>
      <c r="I476" s="193"/>
      <c r="J476" s="193"/>
    </row>
    <row r="477" spans="1:10" x14ac:dyDescent="0.3">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93" t="s">
        <v>3780</v>
      </c>
      <c r="D477" s="193" t="s">
        <v>497</v>
      </c>
      <c r="E477" s="193" t="s">
        <v>3781</v>
      </c>
      <c r="F477" s="193" t="s">
        <v>112</v>
      </c>
      <c r="G477" s="193">
        <v>2793226</v>
      </c>
      <c r="H477" s="193"/>
      <c r="I477" s="193"/>
      <c r="J477" s="193"/>
    </row>
    <row r="478" spans="1:10" x14ac:dyDescent="0.3">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93" t="s">
        <v>3782</v>
      </c>
      <c r="D478" s="193" t="s">
        <v>3783</v>
      </c>
      <c r="E478" s="193" t="s">
        <v>3784</v>
      </c>
      <c r="F478" s="193" t="s">
        <v>112</v>
      </c>
      <c r="G478" s="193">
        <v>2905954</v>
      </c>
      <c r="H478" s="193"/>
      <c r="I478" s="193"/>
      <c r="J478" s="193"/>
    </row>
    <row r="479" spans="1:10" x14ac:dyDescent="0.3">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93" t="s">
        <v>3785</v>
      </c>
      <c r="D479" s="193" t="s">
        <v>3786</v>
      </c>
      <c r="E479" s="193" t="s">
        <v>3787</v>
      </c>
      <c r="F479" s="193" t="s">
        <v>112</v>
      </c>
      <c r="G479" s="193">
        <v>3141090</v>
      </c>
      <c r="H479" s="193"/>
      <c r="I479" s="193"/>
      <c r="J479" s="193"/>
    </row>
    <row r="480" spans="1:10" x14ac:dyDescent="0.3">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93" t="s">
        <v>3788</v>
      </c>
      <c r="D480" s="193" t="s">
        <v>3789</v>
      </c>
      <c r="E480" s="193" t="s">
        <v>3790</v>
      </c>
      <c r="F480" s="193" t="s">
        <v>112</v>
      </c>
      <c r="G480" s="193">
        <v>2907194</v>
      </c>
      <c r="H480" s="193"/>
      <c r="I480" s="193"/>
      <c r="J480" s="193"/>
    </row>
    <row r="481" spans="1:10" x14ac:dyDescent="0.3">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93" t="s">
        <v>3791</v>
      </c>
      <c r="D481" s="193" t="s">
        <v>3792</v>
      </c>
      <c r="E481" s="193" t="s">
        <v>3793</v>
      </c>
      <c r="F481" s="193" t="s">
        <v>112</v>
      </c>
      <c r="G481" s="193">
        <v>3196954</v>
      </c>
      <c r="H481" s="193"/>
      <c r="I481" s="193"/>
      <c r="J481" s="193"/>
    </row>
    <row r="482" spans="1:10" x14ac:dyDescent="0.3">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93" t="s">
        <v>3794</v>
      </c>
      <c r="D482" s="193" t="s">
        <v>3795</v>
      </c>
      <c r="E482" s="193" t="s">
        <v>3796</v>
      </c>
      <c r="F482" s="193" t="s">
        <v>112</v>
      </c>
      <c r="G482" s="193">
        <v>3691199</v>
      </c>
      <c r="H482" s="193"/>
      <c r="I482" s="193"/>
      <c r="J482" s="193"/>
    </row>
    <row r="483" spans="1:10" x14ac:dyDescent="0.3">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93" t="s">
        <v>3797</v>
      </c>
      <c r="D483" s="193" t="s">
        <v>3798</v>
      </c>
      <c r="E483" s="193" t="s">
        <v>2666</v>
      </c>
      <c r="F483" s="193" t="s">
        <v>112</v>
      </c>
      <c r="G483" s="193">
        <v>4397804</v>
      </c>
      <c r="H483" s="193"/>
      <c r="I483" s="193"/>
      <c r="J483" s="193"/>
    </row>
    <row r="484" spans="1:10" x14ac:dyDescent="0.3">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93" t="s">
        <v>3799</v>
      </c>
      <c r="D484" s="193" t="s">
        <v>3800</v>
      </c>
      <c r="E484" s="193" t="s">
        <v>2618</v>
      </c>
      <c r="F484" s="193" t="s">
        <v>112</v>
      </c>
      <c r="G484" s="193">
        <v>3986593</v>
      </c>
      <c r="H484" s="193"/>
      <c r="I484" s="193"/>
      <c r="J484" s="193"/>
    </row>
    <row r="485" spans="1:10" x14ac:dyDescent="0.3">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93" t="s">
        <v>3801</v>
      </c>
      <c r="D485" s="193" t="s">
        <v>3802</v>
      </c>
      <c r="E485" s="193" t="s">
        <v>3803</v>
      </c>
      <c r="F485" s="193" t="s">
        <v>112</v>
      </c>
      <c r="G485" s="193">
        <v>2281512</v>
      </c>
      <c r="H485" s="193"/>
      <c r="I485" s="193"/>
      <c r="J485" s="193"/>
    </row>
    <row r="486" spans="1:10" x14ac:dyDescent="0.3">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93" t="s">
        <v>3804</v>
      </c>
      <c r="D486" s="193" t="s">
        <v>3805</v>
      </c>
      <c r="E486" s="193" t="s">
        <v>3806</v>
      </c>
      <c r="F486" s="193" t="s">
        <v>112</v>
      </c>
      <c r="G486" s="193">
        <v>2560700</v>
      </c>
      <c r="H486" s="193"/>
      <c r="I486" s="193"/>
      <c r="J486" s="193"/>
    </row>
    <row r="487" spans="1:10" x14ac:dyDescent="0.3">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93" t="s">
        <v>3807</v>
      </c>
      <c r="D487" s="193" t="s">
        <v>3808</v>
      </c>
      <c r="E487" s="193" t="s">
        <v>3809</v>
      </c>
      <c r="F487" s="193" t="s">
        <v>112</v>
      </c>
      <c r="G487" s="193">
        <v>2250687</v>
      </c>
      <c r="H487" s="193"/>
      <c r="I487" s="193"/>
      <c r="J487" s="193"/>
    </row>
    <row r="488" spans="1:10" x14ac:dyDescent="0.3">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93" t="s">
        <v>112</v>
      </c>
      <c r="D488" s="193"/>
      <c r="E488" s="193"/>
      <c r="F488" s="193"/>
      <c r="G488" s="193"/>
      <c r="H488" s="193"/>
      <c r="I488" s="193"/>
      <c r="J488" s="193"/>
    </row>
    <row r="489" spans="1:10" x14ac:dyDescent="0.3">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93" t="s">
        <v>229</v>
      </c>
      <c r="D489" s="193" t="s">
        <v>112</v>
      </c>
      <c r="E489" s="193" t="s">
        <v>230</v>
      </c>
      <c r="F489" s="193" t="s">
        <v>231</v>
      </c>
      <c r="G489" s="193" t="s">
        <v>232</v>
      </c>
      <c r="H489" s="193" t="s">
        <v>233</v>
      </c>
      <c r="I489" s="193" t="s">
        <v>234</v>
      </c>
      <c r="J489" s="193" t="s">
        <v>235</v>
      </c>
    </row>
    <row r="490" spans="1:10" x14ac:dyDescent="0.3">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93" t="s">
        <v>3810</v>
      </c>
      <c r="D490" s="193" t="s">
        <v>112</v>
      </c>
      <c r="E490" s="193" t="s">
        <v>3811</v>
      </c>
      <c r="F490" s="193" t="s">
        <v>3812</v>
      </c>
      <c r="G490" s="193" t="s">
        <v>3813</v>
      </c>
      <c r="H490" s="193" t="s">
        <v>3814</v>
      </c>
      <c r="I490" s="193">
        <v>24</v>
      </c>
      <c r="J490" s="193">
        <v>24</v>
      </c>
    </row>
    <row r="491" spans="1:10" x14ac:dyDescent="0.3">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93" t="s">
        <v>112</v>
      </c>
      <c r="D491" s="193"/>
      <c r="E491" s="193"/>
      <c r="F491" s="193"/>
      <c r="G491" s="193"/>
      <c r="H491" s="193"/>
      <c r="I491" s="193"/>
      <c r="J491" s="193"/>
    </row>
    <row r="492" spans="1:10" x14ac:dyDescent="0.3">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93" t="s">
        <v>112</v>
      </c>
      <c r="D492" s="193"/>
      <c r="E492" s="193"/>
      <c r="F492" s="193"/>
      <c r="G492" s="193"/>
      <c r="H492" s="193"/>
      <c r="I492" s="193"/>
      <c r="J492" s="193"/>
    </row>
    <row r="493" spans="1:10" x14ac:dyDescent="0.3">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93" t="s">
        <v>112</v>
      </c>
      <c r="D493" s="193"/>
      <c r="E493" s="193"/>
      <c r="F493" s="193"/>
      <c r="G493" s="193"/>
      <c r="H493" s="193"/>
      <c r="I493" s="193"/>
      <c r="J493" s="193"/>
    </row>
    <row r="494" spans="1:10" x14ac:dyDescent="0.3">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93" t="s">
        <v>112</v>
      </c>
      <c r="D494" s="193"/>
      <c r="E494" s="193"/>
      <c r="F494" s="193"/>
      <c r="G494" s="193"/>
      <c r="H494" s="193"/>
      <c r="I494" s="193"/>
      <c r="J494" s="193"/>
    </row>
    <row r="495" spans="1:10" x14ac:dyDescent="0.3">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93" t="s">
        <v>112</v>
      </c>
      <c r="D495" s="193"/>
      <c r="E495" s="193"/>
      <c r="F495" s="193"/>
      <c r="G495" s="193"/>
      <c r="H495" s="193"/>
      <c r="I495" s="193"/>
      <c r="J495" s="193"/>
    </row>
    <row r="496" spans="1:10" x14ac:dyDescent="0.3">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93" t="s">
        <v>241</v>
      </c>
      <c r="D496" s="193" t="s">
        <v>110</v>
      </c>
      <c r="E496" s="193" t="s">
        <v>111</v>
      </c>
      <c r="F496" s="193" t="s">
        <v>112</v>
      </c>
      <c r="G496" s="193" t="s">
        <v>113</v>
      </c>
      <c r="H496" s="193"/>
      <c r="I496" s="193"/>
      <c r="J496" s="193"/>
    </row>
    <row r="497" spans="1:10" x14ac:dyDescent="0.3">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93" t="s">
        <v>3815</v>
      </c>
      <c r="D497" s="193" t="s">
        <v>3439</v>
      </c>
      <c r="E497" s="193" t="s">
        <v>3816</v>
      </c>
      <c r="F497" s="193" t="s">
        <v>112</v>
      </c>
      <c r="G497" s="193">
        <v>86667</v>
      </c>
      <c r="H497" s="193"/>
      <c r="I497" s="193"/>
      <c r="J497" s="193"/>
    </row>
    <row r="498" spans="1:10" x14ac:dyDescent="0.3">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93" t="s">
        <v>3817</v>
      </c>
      <c r="D498" s="193" t="s">
        <v>816</v>
      </c>
      <c r="E498" s="193" t="s">
        <v>3818</v>
      </c>
      <c r="F498" s="193" t="s">
        <v>112</v>
      </c>
      <c r="G498" s="193">
        <v>159085</v>
      </c>
      <c r="H498" s="193"/>
      <c r="I498" s="193"/>
      <c r="J498" s="193"/>
    </row>
    <row r="499" spans="1:10" x14ac:dyDescent="0.3">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93" t="s">
        <v>3819</v>
      </c>
      <c r="D499" s="193" t="s">
        <v>3540</v>
      </c>
      <c r="E499" s="193" t="s">
        <v>3820</v>
      </c>
      <c r="F499" s="193" t="s">
        <v>112</v>
      </c>
      <c r="G499" s="193">
        <v>224303</v>
      </c>
      <c r="H499" s="193"/>
      <c r="I499" s="193"/>
      <c r="J499" s="193"/>
    </row>
    <row r="500" spans="1:10" x14ac:dyDescent="0.3">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93" t="s">
        <v>3821</v>
      </c>
      <c r="D500" s="193" t="s">
        <v>3822</v>
      </c>
      <c r="E500" s="193" t="s">
        <v>3823</v>
      </c>
      <c r="F500" s="193" t="s">
        <v>112</v>
      </c>
      <c r="G500" s="193">
        <v>254954</v>
      </c>
      <c r="H500" s="193"/>
      <c r="I500" s="193"/>
      <c r="J500" s="193"/>
    </row>
    <row r="501" spans="1:10" x14ac:dyDescent="0.3">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93" t="s">
        <v>3824</v>
      </c>
      <c r="D501" s="193"/>
      <c r="E501" s="193"/>
      <c r="F501" s="193"/>
      <c r="G501" s="193"/>
      <c r="H501" s="193"/>
      <c r="I501" s="193"/>
      <c r="J501" s="193"/>
    </row>
    <row r="502" spans="1:10" x14ac:dyDescent="0.3">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93" t="s">
        <v>3825</v>
      </c>
      <c r="D502" s="193" t="s">
        <v>3535</v>
      </c>
      <c r="E502" s="193" t="s">
        <v>3826</v>
      </c>
      <c r="F502" s="193" t="s">
        <v>112</v>
      </c>
      <c r="G502" s="193">
        <v>281407</v>
      </c>
      <c r="H502" s="193"/>
      <c r="I502" s="193"/>
      <c r="J502" s="193"/>
    </row>
    <row r="503" spans="1:10" x14ac:dyDescent="0.3">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93" t="s">
        <v>3827</v>
      </c>
      <c r="D503" s="193"/>
      <c r="E503" s="193"/>
      <c r="F503" s="193"/>
      <c r="G503" s="193"/>
      <c r="H503" s="193"/>
      <c r="I503" s="193"/>
      <c r="J503" s="193"/>
    </row>
    <row r="504" spans="1:10" x14ac:dyDescent="0.3">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93" t="s">
        <v>3828</v>
      </c>
      <c r="D504" s="193" t="s">
        <v>171</v>
      </c>
      <c r="E504" s="193" t="s">
        <v>3829</v>
      </c>
      <c r="F504" s="193" t="s">
        <v>112</v>
      </c>
      <c r="G504" s="193">
        <v>18121</v>
      </c>
      <c r="H504" s="193"/>
      <c r="I504" s="193"/>
      <c r="J504" s="193"/>
    </row>
    <row r="505" spans="1:10" x14ac:dyDescent="0.3">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93" t="s">
        <v>3830</v>
      </c>
      <c r="D505" s="193" t="s">
        <v>197</v>
      </c>
      <c r="E505" s="193" t="s">
        <v>3831</v>
      </c>
      <c r="F505" s="193" t="s">
        <v>112</v>
      </c>
      <c r="G505" s="193">
        <v>66719</v>
      </c>
      <c r="H505" s="193"/>
      <c r="I505" s="193"/>
      <c r="J505" s="193"/>
    </row>
    <row r="506" spans="1:10" x14ac:dyDescent="0.3">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93" t="s">
        <v>3832</v>
      </c>
      <c r="D506" s="193" t="s">
        <v>680</v>
      </c>
      <c r="E506" s="193" t="s">
        <v>3833</v>
      </c>
      <c r="F506" s="193" t="s">
        <v>112</v>
      </c>
      <c r="G506" s="193">
        <v>26844</v>
      </c>
      <c r="H506" s="193"/>
      <c r="I506" s="193"/>
      <c r="J506" s="193"/>
    </row>
    <row r="507" spans="1:10" x14ac:dyDescent="0.3">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93" t="s">
        <v>3834</v>
      </c>
      <c r="D507" s="193" t="s">
        <v>383</v>
      </c>
      <c r="E507" s="193" t="s">
        <v>3085</v>
      </c>
      <c r="F507" s="193" t="s">
        <v>112</v>
      </c>
      <c r="G507" s="193">
        <v>9615</v>
      </c>
      <c r="H507" s="193"/>
      <c r="I507" s="193"/>
      <c r="J507" s="193"/>
    </row>
    <row r="508" spans="1:10" x14ac:dyDescent="0.3">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93" t="s">
        <v>3835</v>
      </c>
      <c r="D508" s="193" t="s">
        <v>657</v>
      </c>
      <c r="E508" s="193" t="s">
        <v>3836</v>
      </c>
      <c r="F508" s="193" t="s">
        <v>112</v>
      </c>
      <c r="G508" s="193">
        <v>31826</v>
      </c>
      <c r="H508" s="193"/>
      <c r="I508" s="193"/>
      <c r="J508" s="193"/>
    </row>
    <row r="509" spans="1:10" x14ac:dyDescent="0.3">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93" t="s">
        <v>3837</v>
      </c>
      <c r="D509" s="193"/>
      <c r="E509" s="193"/>
      <c r="F509" s="193"/>
      <c r="G509" s="193"/>
      <c r="H509" s="193"/>
      <c r="I509" s="193"/>
      <c r="J509" s="193"/>
    </row>
    <row r="510" spans="1:10" x14ac:dyDescent="0.3">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93" t="s">
        <v>3838</v>
      </c>
      <c r="D510" s="193" t="s">
        <v>657</v>
      </c>
      <c r="E510" s="193" t="s">
        <v>3839</v>
      </c>
      <c r="F510" s="193" t="s">
        <v>112</v>
      </c>
      <c r="G510" s="193">
        <v>29694</v>
      </c>
      <c r="H510" s="193"/>
      <c r="I510" s="193"/>
      <c r="J510" s="193"/>
    </row>
    <row r="511" spans="1:10" x14ac:dyDescent="0.3">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93" t="s">
        <v>3840</v>
      </c>
      <c r="D511" s="193" t="s">
        <v>302</v>
      </c>
      <c r="E511" s="193" t="s">
        <v>3841</v>
      </c>
      <c r="F511" s="193" t="s">
        <v>112</v>
      </c>
      <c r="G511" s="193">
        <v>47119</v>
      </c>
      <c r="H511" s="193"/>
      <c r="I511" s="193"/>
      <c r="J511" s="193"/>
    </row>
    <row r="512" spans="1:10" x14ac:dyDescent="0.3">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93" t="s">
        <v>3842</v>
      </c>
      <c r="D512" s="193" t="s">
        <v>255</v>
      </c>
      <c r="E512" s="193" t="s">
        <v>3843</v>
      </c>
      <c r="F512" s="193" t="s">
        <v>112</v>
      </c>
      <c r="G512" s="193">
        <v>32043</v>
      </c>
      <c r="H512" s="193"/>
      <c r="I512" s="193"/>
      <c r="J512" s="193"/>
    </row>
    <row r="513" spans="1:10" x14ac:dyDescent="0.3">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93" t="s">
        <v>3844</v>
      </c>
      <c r="D513" s="193" t="s">
        <v>174</v>
      </c>
      <c r="E513" s="193" t="s">
        <v>276</v>
      </c>
      <c r="F513" s="193" t="s">
        <v>112</v>
      </c>
      <c r="G513" s="193">
        <v>16315</v>
      </c>
      <c r="H513" s="193"/>
      <c r="I513" s="193"/>
      <c r="J513" s="193"/>
    </row>
    <row r="514" spans="1:10" x14ac:dyDescent="0.3">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93" t="s">
        <v>3845</v>
      </c>
      <c r="D514" s="193"/>
      <c r="E514" s="193"/>
      <c r="F514" s="193"/>
      <c r="G514" s="193"/>
      <c r="H514" s="193"/>
      <c r="I514" s="193"/>
      <c r="J514" s="193"/>
    </row>
    <row r="515" spans="1:10" x14ac:dyDescent="0.3">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93" t="s">
        <v>3846</v>
      </c>
      <c r="D515" s="193" t="s">
        <v>3847</v>
      </c>
      <c r="E515" s="193" t="s">
        <v>3848</v>
      </c>
      <c r="F515" s="193" t="s">
        <v>112</v>
      </c>
      <c r="G515" s="193">
        <v>91997</v>
      </c>
      <c r="H515" s="193"/>
      <c r="I515" s="193"/>
      <c r="J515" s="193"/>
    </row>
    <row r="516" spans="1:10" x14ac:dyDescent="0.3">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93" t="s">
        <v>3849</v>
      </c>
      <c r="D516" s="193"/>
      <c r="E516" s="193"/>
      <c r="F516" s="193"/>
      <c r="G516" s="193"/>
      <c r="H516" s="193"/>
      <c r="I516" s="193"/>
      <c r="J516" s="193"/>
    </row>
    <row r="517" spans="1:10" x14ac:dyDescent="0.3">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93" t="s">
        <v>3850</v>
      </c>
      <c r="D517" s="193" t="s">
        <v>3851</v>
      </c>
      <c r="E517" s="193" t="s">
        <v>3852</v>
      </c>
      <c r="F517" s="193" t="s">
        <v>112</v>
      </c>
      <c r="G517" s="193">
        <v>87820</v>
      </c>
      <c r="H517" s="193"/>
      <c r="I517" s="193"/>
      <c r="J517" s="193"/>
    </row>
    <row r="518" spans="1:10" x14ac:dyDescent="0.3">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93" t="s">
        <v>3853</v>
      </c>
      <c r="D518" s="193" t="s">
        <v>335</v>
      </c>
      <c r="E518" s="193" t="s">
        <v>3854</v>
      </c>
      <c r="F518" s="193" t="s">
        <v>112</v>
      </c>
      <c r="G518" s="193">
        <v>28215</v>
      </c>
      <c r="H518" s="193"/>
      <c r="I518" s="193"/>
      <c r="J518" s="193"/>
    </row>
    <row r="519" spans="1:10" x14ac:dyDescent="0.3">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93" t="s">
        <v>3855</v>
      </c>
      <c r="D519" s="193" t="s">
        <v>186</v>
      </c>
      <c r="E519" s="193" t="s">
        <v>3856</v>
      </c>
      <c r="F519" s="193" t="s">
        <v>112</v>
      </c>
      <c r="G519" s="193">
        <v>11595</v>
      </c>
      <c r="H519" s="193"/>
      <c r="I519" s="193"/>
      <c r="J519" s="193"/>
    </row>
    <row r="520" spans="1:10" x14ac:dyDescent="0.3">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93" t="s">
        <v>3857</v>
      </c>
      <c r="D520" s="193" t="s">
        <v>192</v>
      </c>
      <c r="E520" s="193" t="s">
        <v>3858</v>
      </c>
      <c r="F520" s="193" t="s">
        <v>112</v>
      </c>
      <c r="G520" s="193">
        <v>20797</v>
      </c>
      <c r="H520" s="193"/>
      <c r="I520" s="193"/>
      <c r="J520" s="193"/>
    </row>
    <row r="521" spans="1:10" x14ac:dyDescent="0.3">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93" t="s">
        <v>112</v>
      </c>
      <c r="D521" s="193"/>
      <c r="E521" s="193"/>
      <c r="F521" s="193"/>
      <c r="G521" s="193"/>
      <c r="H521" s="193"/>
      <c r="I521" s="193"/>
      <c r="J521" s="193"/>
    </row>
    <row r="522" spans="1:10" x14ac:dyDescent="0.3">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93" t="s">
        <v>229</v>
      </c>
      <c r="D522" s="193" t="s">
        <v>112</v>
      </c>
      <c r="E522" s="193" t="s">
        <v>230</v>
      </c>
      <c r="F522" s="193" t="s">
        <v>231</v>
      </c>
      <c r="G522" s="193" t="s">
        <v>232</v>
      </c>
      <c r="H522" s="193" t="s">
        <v>233</v>
      </c>
      <c r="I522" s="193" t="s">
        <v>234</v>
      </c>
      <c r="J522" s="193" t="s">
        <v>235</v>
      </c>
    </row>
    <row r="523" spans="1:10" x14ac:dyDescent="0.3">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93" t="s">
        <v>3859</v>
      </c>
      <c r="D523" s="193" t="s">
        <v>112</v>
      </c>
      <c r="E523" s="193" t="s">
        <v>3860</v>
      </c>
      <c r="F523" s="193" t="s">
        <v>3861</v>
      </c>
      <c r="G523" s="193" t="s">
        <v>3862</v>
      </c>
      <c r="H523" s="193" t="s">
        <v>3863</v>
      </c>
      <c r="I523" s="193">
        <v>24</v>
      </c>
      <c r="J523" s="193">
        <v>24</v>
      </c>
    </row>
    <row r="524" spans="1:10" x14ac:dyDescent="0.3">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93" t="s">
        <v>112</v>
      </c>
      <c r="D524" s="193"/>
      <c r="E524" s="193"/>
      <c r="F524" s="193"/>
      <c r="G524" s="193"/>
      <c r="H524" s="193"/>
      <c r="I524" s="193"/>
      <c r="J524" s="193"/>
    </row>
    <row r="525" spans="1:10" x14ac:dyDescent="0.3">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93" t="s">
        <v>112</v>
      </c>
      <c r="D525" s="193"/>
      <c r="E525" s="193"/>
      <c r="F525" s="193"/>
      <c r="G525" s="193"/>
      <c r="H525" s="193"/>
      <c r="I525" s="193"/>
      <c r="J525" s="193"/>
    </row>
    <row r="526" spans="1:10" x14ac:dyDescent="0.3">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93" t="s">
        <v>112</v>
      </c>
      <c r="D526" s="193"/>
      <c r="E526" s="193"/>
      <c r="F526" s="193"/>
      <c r="G526" s="193"/>
      <c r="H526" s="193"/>
      <c r="I526" s="193"/>
      <c r="J526" s="193"/>
    </row>
    <row r="527" spans="1:10" x14ac:dyDescent="0.3">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93" t="s">
        <v>112</v>
      </c>
      <c r="D527" s="193"/>
      <c r="E527" s="193"/>
      <c r="F527" s="193"/>
      <c r="G527" s="193"/>
      <c r="H527" s="193"/>
      <c r="I527" s="193"/>
      <c r="J527" s="193"/>
    </row>
    <row r="528" spans="1:10" x14ac:dyDescent="0.3">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93" t="s">
        <v>112</v>
      </c>
      <c r="D528" s="193"/>
      <c r="E528" s="193"/>
      <c r="F528" s="193"/>
      <c r="G528" s="193"/>
      <c r="H528" s="193"/>
      <c r="I528" s="193"/>
      <c r="J528" s="193"/>
    </row>
    <row r="529" spans="1:10" x14ac:dyDescent="0.3">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93" t="s">
        <v>241</v>
      </c>
      <c r="D529" s="193" t="s">
        <v>110</v>
      </c>
      <c r="E529" s="193" t="s">
        <v>111</v>
      </c>
      <c r="F529" s="193" t="s">
        <v>112</v>
      </c>
      <c r="G529" s="193" t="s">
        <v>113</v>
      </c>
      <c r="H529" s="193"/>
      <c r="I529" s="193"/>
      <c r="J529" s="193"/>
    </row>
    <row r="530" spans="1:10" x14ac:dyDescent="0.3">
      <c r="A530" s="1" t="str">
        <f t="shared" si="8"/>
        <v>17 ARABINOSE 0.01 + TESTO</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93" t="s">
        <v>3864</v>
      </c>
      <c r="D530" s="193" t="s">
        <v>3535</v>
      </c>
      <c r="E530" s="193" t="s">
        <v>3865</v>
      </c>
      <c r="F530" s="193" t="s">
        <v>112</v>
      </c>
      <c r="G530" s="193">
        <v>271922</v>
      </c>
      <c r="H530" s="193"/>
      <c r="I530" s="193"/>
      <c r="J530" s="193"/>
    </row>
    <row r="531" spans="1:10" x14ac:dyDescent="0.3">
      <c r="A531" s="1" t="str">
        <f t="shared" si="8"/>
        <v>17 ARABINOSE 0.01 + TESTO</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93" t="s">
        <v>3866</v>
      </c>
      <c r="D531" s="193" t="s">
        <v>3598</v>
      </c>
      <c r="E531" s="193" t="s">
        <v>3867</v>
      </c>
      <c r="F531" s="193" t="s">
        <v>112</v>
      </c>
      <c r="G531" s="193">
        <v>229176</v>
      </c>
      <c r="H531" s="193"/>
      <c r="I531" s="193"/>
      <c r="J531" s="193"/>
    </row>
    <row r="532" spans="1:10" x14ac:dyDescent="0.3">
      <c r="A532" s="1" t="str">
        <f t="shared" si="8"/>
        <v>17 ARABINOSE 0.01 + TESTO</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93" t="s">
        <v>3868</v>
      </c>
      <c r="D532" s="193" t="s">
        <v>3869</v>
      </c>
      <c r="E532" s="193" t="s">
        <v>3870</v>
      </c>
      <c r="F532" s="193" t="s">
        <v>112</v>
      </c>
      <c r="G532" s="193">
        <v>257151</v>
      </c>
      <c r="H532" s="193"/>
      <c r="I532" s="193"/>
      <c r="J532" s="193"/>
    </row>
    <row r="533" spans="1:10" x14ac:dyDescent="0.3">
      <c r="A533" s="1" t="str">
        <f t="shared" si="8"/>
        <v>17 ARABINOSE 0.01 + TESTO</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93" t="s">
        <v>3871</v>
      </c>
      <c r="D533" s="193" t="s">
        <v>335</v>
      </c>
      <c r="E533" s="193" t="s">
        <v>3872</v>
      </c>
      <c r="F533" s="193" t="s">
        <v>112</v>
      </c>
      <c r="G533" s="193">
        <v>29868</v>
      </c>
      <c r="H533" s="193"/>
      <c r="I533" s="193"/>
      <c r="J533" s="193"/>
    </row>
    <row r="534" spans="1:10" x14ac:dyDescent="0.3">
      <c r="A534" s="1" t="str">
        <f t="shared" si="8"/>
        <v>17 ARABINOSE 0.01 + TESTO</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93" t="s">
        <v>3873</v>
      </c>
      <c r="D534" s="193" t="s">
        <v>715</v>
      </c>
      <c r="E534" s="193" t="s">
        <v>1574</v>
      </c>
      <c r="F534" s="193" t="s">
        <v>112</v>
      </c>
      <c r="G534" s="193">
        <v>34915</v>
      </c>
      <c r="H534" s="193"/>
      <c r="I534" s="193"/>
      <c r="J534" s="193"/>
    </row>
    <row r="535" spans="1:10" x14ac:dyDescent="0.3">
      <c r="A535" s="1" t="str">
        <f t="shared" si="8"/>
        <v>17 ARABINOSE 0.01 + TESTO</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93" t="s">
        <v>3874</v>
      </c>
      <c r="D535" s="193"/>
      <c r="E535" s="193"/>
      <c r="F535" s="193"/>
      <c r="G535" s="193"/>
      <c r="H535" s="193"/>
      <c r="I535" s="193"/>
      <c r="J535" s="193"/>
    </row>
    <row r="536" spans="1:10" x14ac:dyDescent="0.3">
      <c r="A536" s="1" t="str">
        <f t="shared" si="8"/>
        <v>17 ARABINOSE 0.01 + TESTO</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93" t="s">
        <v>3875</v>
      </c>
      <c r="D536" s="193" t="s">
        <v>3876</v>
      </c>
      <c r="E536" s="193" t="s">
        <v>3877</v>
      </c>
      <c r="F536" s="193" t="s">
        <v>112</v>
      </c>
      <c r="G536" s="193">
        <v>1914135</v>
      </c>
      <c r="H536" s="193"/>
      <c r="I536" s="193"/>
      <c r="J536" s="193"/>
    </row>
    <row r="537" spans="1:10" x14ac:dyDescent="0.3">
      <c r="A537" s="1" t="str">
        <f t="shared" si="8"/>
        <v>17 ARABINOSE 0.01 + TESTO</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93" t="s">
        <v>3878</v>
      </c>
      <c r="D537" s="193" t="s">
        <v>3879</v>
      </c>
      <c r="E537" s="193" t="s">
        <v>3880</v>
      </c>
      <c r="F537" s="193" t="s">
        <v>112</v>
      </c>
      <c r="G537" s="193">
        <v>2431221</v>
      </c>
      <c r="H537" s="193"/>
      <c r="I537" s="193"/>
      <c r="J537" s="193"/>
    </row>
    <row r="538" spans="1:10" x14ac:dyDescent="0.3">
      <c r="A538" s="1" t="str">
        <f t="shared" si="8"/>
        <v>17 ARABINOSE 0.01 + TESTO</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93" t="s">
        <v>3881</v>
      </c>
      <c r="D538" s="193" t="s">
        <v>3882</v>
      </c>
      <c r="E538" s="193" t="s">
        <v>3883</v>
      </c>
      <c r="F538" s="193" t="s">
        <v>112</v>
      </c>
      <c r="G538" s="193">
        <v>1996951</v>
      </c>
      <c r="H538" s="193"/>
      <c r="I538" s="193"/>
      <c r="J538" s="193"/>
    </row>
    <row r="539" spans="1:10" x14ac:dyDescent="0.3">
      <c r="A539" s="1" t="str">
        <f t="shared" si="8"/>
        <v>17 ARABINOSE 0.01 + TESTO</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93" t="s">
        <v>3884</v>
      </c>
      <c r="D539" s="193" t="s">
        <v>3885</v>
      </c>
      <c r="E539" s="193" t="s">
        <v>3886</v>
      </c>
      <c r="F539" s="193" t="s">
        <v>112</v>
      </c>
      <c r="G539" s="193">
        <v>2468551</v>
      </c>
      <c r="H539" s="193"/>
      <c r="I539" s="193"/>
      <c r="J539" s="193"/>
    </row>
    <row r="540" spans="1:10" x14ac:dyDescent="0.3">
      <c r="A540" s="1" t="str">
        <f t="shared" si="8"/>
        <v>17 ARABINOSE 0.01 + TESTO</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93" t="s">
        <v>3887</v>
      </c>
      <c r="D540" s="193" t="s">
        <v>3888</v>
      </c>
      <c r="E540" s="193" t="s">
        <v>3889</v>
      </c>
      <c r="F540" s="193" t="s">
        <v>112</v>
      </c>
      <c r="G540" s="193">
        <v>2436834</v>
      </c>
      <c r="H540" s="193"/>
      <c r="I540" s="193"/>
      <c r="J540" s="193"/>
    </row>
    <row r="541" spans="1:10" x14ac:dyDescent="0.3">
      <c r="A541" s="1" t="str">
        <f t="shared" si="8"/>
        <v>17 ARABINOSE 0.01 + TESTO</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93" t="s">
        <v>3890</v>
      </c>
      <c r="D541" s="193" t="s">
        <v>3891</v>
      </c>
      <c r="E541" s="193" t="s">
        <v>3892</v>
      </c>
      <c r="F541" s="193" t="s">
        <v>112</v>
      </c>
      <c r="G541" s="193">
        <v>2925119</v>
      </c>
      <c r="H541" s="193"/>
      <c r="I541" s="193"/>
      <c r="J541" s="193"/>
    </row>
    <row r="542" spans="1:10" x14ac:dyDescent="0.3">
      <c r="A542" s="1" t="str">
        <f t="shared" si="8"/>
        <v>17 ARABINOSE 0.01 + TESTO</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93" t="s">
        <v>3893</v>
      </c>
      <c r="D542" s="193" t="s">
        <v>3894</v>
      </c>
      <c r="E542" s="193" t="s">
        <v>3895</v>
      </c>
      <c r="F542" s="193" t="s">
        <v>112</v>
      </c>
      <c r="G542" s="193">
        <v>164654</v>
      </c>
      <c r="H542" s="193"/>
      <c r="I542" s="193"/>
      <c r="J542" s="193"/>
    </row>
    <row r="543" spans="1:10" x14ac:dyDescent="0.3">
      <c r="A543" s="1" t="str">
        <f t="shared" si="8"/>
        <v>17 ARABINOSE 0.01 + TESTO</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93" t="s">
        <v>3896</v>
      </c>
      <c r="D543" s="193" t="s">
        <v>3543</v>
      </c>
      <c r="E543" s="193" t="s">
        <v>3897</v>
      </c>
      <c r="F543" s="193" t="s">
        <v>112</v>
      </c>
      <c r="G543" s="193">
        <v>147316</v>
      </c>
      <c r="H543" s="193"/>
      <c r="I543" s="193"/>
      <c r="J543" s="193"/>
    </row>
    <row r="544" spans="1:10" x14ac:dyDescent="0.3">
      <c r="A544" s="1" t="str">
        <f t="shared" si="8"/>
        <v>17 ARABINOSE 0.01 + TESTO</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93" t="s">
        <v>3898</v>
      </c>
      <c r="D544" s="193" t="s">
        <v>332</v>
      </c>
      <c r="E544" s="193" t="s">
        <v>3899</v>
      </c>
      <c r="F544" s="193" t="s">
        <v>112</v>
      </c>
      <c r="G544" s="193">
        <v>73810</v>
      </c>
      <c r="H544" s="193"/>
      <c r="I544" s="193"/>
      <c r="J544" s="193"/>
    </row>
    <row r="545" spans="1:10" x14ac:dyDescent="0.3">
      <c r="A545" s="1" t="str">
        <f t="shared" si="8"/>
        <v>17 ARABINOSE 0.01 + TESTO</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93" t="s">
        <v>3900</v>
      </c>
      <c r="D545" s="193"/>
      <c r="E545" s="193"/>
      <c r="F545" s="193"/>
      <c r="G545" s="193"/>
      <c r="H545" s="193"/>
      <c r="I545" s="193"/>
      <c r="J545" s="193"/>
    </row>
    <row r="546" spans="1:10" x14ac:dyDescent="0.3">
      <c r="A546" s="1" t="str">
        <f t="shared" si="8"/>
        <v>17 ARABINOSE 0.01 + TESTO</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93" t="s">
        <v>3901</v>
      </c>
      <c r="D546" s="193" t="s">
        <v>3902</v>
      </c>
      <c r="E546" s="193" t="s">
        <v>3903</v>
      </c>
      <c r="F546" s="193" t="s">
        <v>112</v>
      </c>
      <c r="G546" s="193">
        <v>694010</v>
      </c>
      <c r="H546" s="193"/>
      <c r="I546" s="193"/>
      <c r="J546" s="193"/>
    </row>
    <row r="547" spans="1:10" x14ac:dyDescent="0.3">
      <c r="A547" s="1" t="str">
        <f t="shared" si="8"/>
        <v>17 ARABINOSE 0.01 + TESTO</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93" t="s">
        <v>3904</v>
      </c>
      <c r="D547" s="193" t="s">
        <v>1278</v>
      </c>
      <c r="E547" s="193" t="s">
        <v>3905</v>
      </c>
      <c r="F547" s="193" t="s">
        <v>112</v>
      </c>
      <c r="G547" s="193">
        <v>940350</v>
      </c>
      <c r="H547" s="193"/>
      <c r="I547" s="193"/>
      <c r="J547" s="193"/>
    </row>
    <row r="548" spans="1:10" x14ac:dyDescent="0.3">
      <c r="A548" s="1" t="str">
        <f t="shared" si="8"/>
        <v>17 ARABINOSE 0.01 + TESTO</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93" t="s">
        <v>3906</v>
      </c>
      <c r="D548" s="193" t="s">
        <v>3907</v>
      </c>
      <c r="E548" s="193" t="s">
        <v>3908</v>
      </c>
      <c r="F548" s="193" t="s">
        <v>112</v>
      </c>
      <c r="G548" s="193">
        <v>903934</v>
      </c>
      <c r="H548" s="193"/>
      <c r="I548" s="193"/>
      <c r="J548" s="193"/>
    </row>
    <row r="549" spans="1:10" x14ac:dyDescent="0.3">
      <c r="A549" s="1" t="str">
        <f t="shared" si="8"/>
        <v>17 ARABINOSE 0.01 + TESTO</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93" t="s">
        <v>3909</v>
      </c>
      <c r="D549" s="193" t="s">
        <v>3910</v>
      </c>
      <c r="E549" s="193" t="s">
        <v>3911</v>
      </c>
      <c r="F549" s="193" t="s">
        <v>112</v>
      </c>
      <c r="G549" s="193">
        <v>732449</v>
      </c>
      <c r="H549" s="193"/>
      <c r="I549" s="193"/>
      <c r="J549" s="193"/>
    </row>
    <row r="550" spans="1:10" x14ac:dyDescent="0.3">
      <c r="A550" s="1" t="str">
        <f t="shared" si="8"/>
        <v>17 ARABINOSE 0.01 + TESTO</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93" t="s">
        <v>3912</v>
      </c>
      <c r="D550" s="193" t="s">
        <v>3913</v>
      </c>
      <c r="E550" s="193" t="s">
        <v>3914</v>
      </c>
      <c r="F550" s="193" t="s">
        <v>112</v>
      </c>
      <c r="G550" s="193">
        <v>540189</v>
      </c>
      <c r="H550" s="193"/>
      <c r="I550" s="193"/>
      <c r="J550" s="193"/>
    </row>
    <row r="551" spans="1:10" x14ac:dyDescent="0.3">
      <c r="A551" s="1" t="str">
        <f t="shared" si="8"/>
        <v>17 ARABINOSE 0.01 + TESTO</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93" t="s">
        <v>3915</v>
      </c>
      <c r="D551" s="193" t="s">
        <v>3916</v>
      </c>
      <c r="E551" s="193" t="s">
        <v>3917</v>
      </c>
      <c r="F551" s="193" t="s">
        <v>112</v>
      </c>
      <c r="G551" s="193">
        <v>496203</v>
      </c>
      <c r="H551" s="193"/>
      <c r="I551" s="193"/>
      <c r="J551" s="193"/>
    </row>
    <row r="552" spans="1:10" x14ac:dyDescent="0.3">
      <c r="A552" s="1" t="str">
        <f t="shared" si="8"/>
        <v>17 ARABINOSE 0.01 + TESTO</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93" t="s">
        <v>3918</v>
      </c>
      <c r="D552" s="193"/>
      <c r="E552" s="193"/>
      <c r="F552" s="193"/>
      <c r="G552" s="193"/>
      <c r="H552" s="193"/>
      <c r="I552" s="193"/>
      <c r="J552" s="193"/>
    </row>
    <row r="553" spans="1:10" x14ac:dyDescent="0.3">
      <c r="A553" s="1" t="str">
        <f t="shared" si="8"/>
        <v>17 ARABINOSE 0.01 + TESTO</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93" t="s">
        <v>3919</v>
      </c>
      <c r="D553" s="193"/>
      <c r="E553" s="193"/>
      <c r="F553" s="193"/>
      <c r="G553" s="193"/>
      <c r="H553" s="193"/>
      <c r="I553" s="193"/>
      <c r="J553" s="193"/>
    </row>
    <row r="554" spans="1:10" x14ac:dyDescent="0.3">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93" t="s">
        <v>112</v>
      </c>
      <c r="D554" s="193"/>
      <c r="E554" s="193"/>
      <c r="F554" s="193"/>
      <c r="G554" s="193"/>
      <c r="H554" s="193"/>
      <c r="I554" s="193"/>
      <c r="J554" s="193"/>
    </row>
    <row r="555" spans="1:10" x14ac:dyDescent="0.3">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93" t="s">
        <v>229</v>
      </c>
      <c r="D555" s="193" t="s">
        <v>112</v>
      </c>
      <c r="E555" s="193" t="s">
        <v>230</v>
      </c>
      <c r="F555" s="193" t="s">
        <v>231</v>
      </c>
      <c r="G555" s="193" t="s">
        <v>232</v>
      </c>
      <c r="H555" s="193" t="s">
        <v>233</v>
      </c>
      <c r="I555" s="193" t="s">
        <v>234</v>
      </c>
      <c r="J555" s="193" t="s">
        <v>235</v>
      </c>
    </row>
    <row r="556" spans="1:10" x14ac:dyDescent="0.3">
      <c r="A556" s="1" t="str">
        <f t="shared" si="8"/>
        <v>17 ARABINOSE 0.01 + TESTO</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93" t="s">
        <v>3920</v>
      </c>
      <c r="D556" s="193" t="s">
        <v>112</v>
      </c>
      <c r="E556" s="193" t="s">
        <v>3921</v>
      </c>
      <c r="F556" s="193" t="s">
        <v>3922</v>
      </c>
      <c r="G556" s="193" t="s">
        <v>3923</v>
      </c>
      <c r="H556" s="193" t="s">
        <v>3924</v>
      </c>
      <c r="I556" s="193">
        <v>24</v>
      </c>
      <c r="J556" s="193">
        <v>24</v>
      </c>
    </row>
    <row r="557" spans="1:10" x14ac:dyDescent="0.3">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93" t="s">
        <v>112</v>
      </c>
      <c r="D557" s="193"/>
      <c r="E557" s="193"/>
      <c r="F557" s="193"/>
      <c r="G557" s="193"/>
      <c r="H557" s="193"/>
      <c r="I557" s="193"/>
      <c r="J557" s="193"/>
    </row>
    <row r="558" spans="1:10" x14ac:dyDescent="0.3">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93" t="s">
        <v>112</v>
      </c>
      <c r="D558" s="193"/>
      <c r="E558" s="193"/>
      <c r="F558" s="193"/>
      <c r="G558" s="193"/>
      <c r="H558" s="193"/>
      <c r="I558" s="193"/>
      <c r="J558" s="193"/>
    </row>
    <row r="559" spans="1:10" x14ac:dyDescent="0.3">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93" t="s">
        <v>112</v>
      </c>
      <c r="D559" s="193"/>
      <c r="E559" s="193"/>
      <c r="F559" s="193"/>
      <c r="G559" s="193"/>
      <c r="H559" s="193"/>
      <c r="I559" s="193"/>
      <c r="J559" s="193"/>
    </row>
    <row r="560" spans="1:10" x14ac:dyDescent="0.3">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93" t="s">
        <v>112</v>
      </c>
      <c r="D560" s="193"/>
      <c r="E560" s="193"/>
      <c r="F560" s="193"/>
      <c r="G560" s="193"/>
      <c r="H560" s="193"/>
      <c r="I560" s="193"/>
      <c r="J560" s="193"/>
    </row>
    <row r="561" spans="1:10" x14ac:dyDescent="0.3">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93" t="s">
        <v>112</v>
      </c>
      <c r="D561" s="193"/>
      <c r="E561" s="193"/>
      <c r="F561" s="193"/>
      <c r="G561" s="193"/>
      <c r="H561" s="193"/>
      <c r="I561" s="193"/>
      <c r="J561" s="193"/>
    </row>
    <row r="562" spans="1:10" x14ac:dyDescent="0.3">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93" t="s">
        <v>241</v>
      </c>
      <c r="D562" s="193" t="s">
        <v>110</v>
      </c>
      <c r="E562" s="193" t="s">
        <v>111</v>
      </c>
      <c r="F562" s="193" t="s">
        <v>112</v>
      </c>
      <c r="G562" s="193" t="s">
        <v>113</v>
      </c>
      <c r="H562" s="193"/>
      <c r="I562" s="193"/>
      <c r="J562" s="193"/>
    </row>
    <row r="563" spans="1:10" x14ac:dyDescent="0.3">
      <c r="A563" s="1" t="str">
        <f t="shared" si="8"/>
        <v>18 ARABINOSE 0.1 + TESTO</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93" t="s">
        <v>3925</v>
      </c>
      <c r="D563" s="193" t="s">
        <v>3926</v>
      </c>
      <c r="E563" s="193" t="s">
        <v>3927</v>
      </c>
      <c r="F563" s="193" t="s">
        <v>112</v>
      </c>
      <c r="G563" s="193">
        <v>192651</v>
      </c>
      <c r="H563" s="193"/>
      <c r="I563" s="193"/>
      <c r="J563" s="193"/>
    </row>
    <row r="564" spans="1:10" x14ac:dyDescent="0.3">
      <c r="A564" s="1" t="str">
        <f t="shared" si="8"/>
        <v>18 ARABINOSE 0.1 + TESTO</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93" t="s">
        <v>3928</v>
      </c>
      <c r="D564" s="193" t="s">
        <v>3929</v>
      </c>
      <c r="E564" s="193" t="s">
        <v>3930</v>
      </c>
      <c r="F564" s="193" t="s">
        <v>112</v>
      </c>
      <c r="G564" s="193">
        <v>165350</v>
      </c>
      <c r="H564" s="193"/>
      <c r="I564" s="193"/>
      <c r="J564" s="193"/>
    </row>
    <row r="565" spans="1:10" x14ac:dyDescent="0.3">
      <c r="A565" s="1" t="str">
        <f t="shared" si="8"/>
        <v>18 ARABINOSE 0.1 + TESTO</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93" t="s">
        <v>3931</v>
      </c>
      <c r="D565" s="193" t="s">
        <v>1414</v>
      </c>
      <c r="E565" s="193" t="s">
        <v>3932</v>
      </c>
      <c r="F565" s="193" t="s">
        <v>112</v>
      </c>
      <c r="G565" s="193">
        <v>240705</v>
      </c>
      <c r="H565" s="193"/>
      <c r="I565" s="193"/>
      <c r="J565" s="193"/>
    </row>
    <row r="566" spans="1:10" x14ac:dyDescent="0.3">
      <c r="A566" s="1" t="str">
        <f t="shared" si="8"/>
        <v>18 ARABINOSE 0.1 + TESTO</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93" t="s">
        <v>3933</v>
      </c>
      <c r="D566" s="193"/>
      <c r="E566" s="193"/>
      <c r="F566" s="193"/>
      <c r="G566" s="193"/>
      <c r="H566" s="193"/>
      <c r="I566" s="193"/>
      <c r="J566" s="193"/>
    </row>
    <row r="567" spans="1:10" x14ac:dyDescent="0.3">
      <c r="A567" s="1" t="str">
        <f t="shared" si="8"/>
        <v>18 ARABINOSE 0.1 + TESTO</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93" t="s">
        <v>3934</v>
      </c>
      <c r="D567" s="193" t="s">
        <v>1258</v>
      </c>
      <c r="E567" s="193" t="s">
        <v>3935</v>
      </c>
      <c r="F567" s="193" t="s">
        <v>112</v>
      </c>
      <c r="G567" s="193">
        <v>73919</v>
      </c>
      <c r="H567" s="193"/>
      <c r="I567" s="193"/>
      <c r="J567" s="193"/>
    </row>
    <row r="568" spans="1:10" x14ac:dyDescent="0.3">
      <c r="A568" s="1" t="str">
        <f t="shared" si="8"/>
        <v>18 ARABINOSE 0.1 + TESTO</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93" t="s">
        <v>3936</v>
      </c>
      <c r="D568" s="193" t="s">
        <v>675</v>
      </c>
      <c r="E568" s="193" t="s">
        <v>3937</v>
      </c>
      <c r="F568" s="193" t="s">
        <v>112</v>
      </c>
      <c r="G568" s="193">
        <v>56473</v>
      </c>
      <c r="H568" s="193"/>
      <c r="I568" s="193"/>
      <c r="J568" s="193"/>
    </row>
    <row r="569" spans="1:10" x14ac:dyDescent="0.3">
      <c r="A569" s="1" t="str">
        <f t="shared" si="8"/>
        <v>18 ARABINOSE 0.1 + TESTO</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93" t="s">
        <v>3938</v>
      </c>
      <c r="D569" s="193" t="s">
        <v>3939</v>
      </c>
      <c r="E569" s="193" t="s">
        <v>3940</v>
      </c>
      <c r="F569" s="193" t="s">
        <v>112</v>
      </c>
      <c r="G569" s="193">
        <v>380321</v>
      </c>
      <c r="H569" s="193"/>
      <c r="I569" s="193"/>
      <c r="J569" s="193"/>
    </row>
    <row r="570" spans="1:10" x14ac:dyDescent="0.3">
      <c r="A570" s="1" t="str">
        <f t="shared" si="8"/>
        <v>18 ARABINOSE 0.1 + TESTO</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93" t="s">
        <v>3941</v>
      </c>
      <c r="D570" s="193"/>
      <c r="E570" s="193"/>
      <c r="F570" s="193"/>
      <c r="G570" s="193"/>
      <c r="H570" s="193"/>
      <c r="I570" s="193"/>
      <c r="J570" s="193"/>
    </row>
    <row r="571" spans="1:10" x14ac:dyDescent="0.3">
      <c r="A571" s="1" t="str">
        <f t="shared" si="8"/>
        <v>18 ARABINOSE 0.1 + TESTO</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93" t="s">
        <v>3942</v>
      </c>
      <c r="D571" s="193"/>
      <c r="E571" s="193"/>
      <c r="F571" s="193"/>
      <c r="G571" s="193"/>
      <c r="H571" s="193"/>
      <c r="I571" s="193"/>
      <c r="J571" s="193"/>
    </row>
    <row r="572" spans="1:10" x14ac:dyDescent="0.3">
      <c r="A572" s="1" t="str">
        <f t="shared" si="8"/>
        <v>18 ARABINOSE 0.1 + TESTO</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93" t="s">
        <v>3943</v>
      </c>
      <c r="D572" s="193" t="s">
        <v>3944</v>
      </c>
      <c r="E572" s="193" t="s">
        <v>3945</v>
      </c>
      <c r="F572" s="193" t="s">
        <v>112</v>
      </c>
      <c r="G572" s="193">
        <v>916964</v>
      </c>
      <c r="H572" s="193"/>
      <c r="I572" s="193"/>
      <c r="J572" s="193"/>
    </row>
    <row r="573" spans="1:10" x14ac:dyDescent="0.3">
      <c r="A573" s="1" t="str">
        <f t="shared" si="8"/>
        <v>18 ARABINOSE 0.1 + TESTO</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93" t="s">
        <v>3946</v>
      </c>
      <c r="D573" s="193" t="s">
        <v>3947</v>
      </c>
      <c r="E573" s="193" t="s">
        <v>3948</v>
      </c>
      <c r="F573" s="193" t="s">
        <v>112</v>
      </c>
      <c r="G573" s="193">
        <v>616371</v>
      </c>
      <c r="H573" s="193"/>
      <c r="I573" s="193"/>
      <c r="J573" s="193"/>
    </row>
    <row r="574" spans="1:10" x14ac:dyDescent="0.3">
      <c r="A574" s="1" t="str">
        <f t="shared" si="8"/>
        <v>18 ARABINOSE 0.1 + TESTO</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93" t="s">
        <v>3949</v>
      </c>
      <c r="D574" s="193" t="s">
        <v>3950</v>
      </c>
      <c r="E574" s="193" t="s">
        <v>3951</v>
      </c>
      <c r="F574" s="193" t="s">
        <v>112</v>
      </c>
      <c r="G574" s="193">
        <v>759880</v>
      </c>
      <c r="H574" s="193"/>
      <c r="I574" s="193"/>
      <c r="J574" s="193"/>
    </row>
    <row r="575" spans="1:10" x14ac:dyDescent="0.3">
      <c r="A575" s="1" t="str">
        <f t="shared" si="8"/>
        <v>18 ARABINOSE 0.1 + TESTO</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93" t="s">
        <v>3952</v>
      </c>
      <c r="D575" s="193" t="s">
        <v>3953</v>
      </c>
      <c r="E575" s="193" t="s">
        <v>3954</v>
      </c>
      <c r="F575" s="193" t="s">
        <v>112</v>
      </c>
      <c r="G575" s="193">
        <v>81120</v>
      </c>
      <c r="H575" s="193"/>
      <c r="I575" s="193"/>
      <c r="J575" s="193"/>
    </row>
    <row r="576" spans="1:10" x14ac:dyDescent="0.3">
      <c r="A576" s="1" t="str">
        <f t="shared" si="8"/>
        <v>18 ARABINOSE 0.1 + TESTO</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93" t="s">
        <v>3955</v>
      </c>
      <c r="D576" s="193" t="s">
        <v>657</v>
      </c>
      <c r="E576" s="193" t="s">
        <v>2163</v>
      </c>
      <c r="F576" s="193" t="s">
        <v>112</v>
      </c>
      <c r="G576" s="193">
        <v>29977</v>
      </c>
      <c r="H576" s="193"/>
      <c r="I576" s="193"/>
      <c r="J576" s="193"/>
    </row>
    <row r="577" spans="1:10" x14ac:dyDescent="0.3">
      <c r="A577" s="1" t="str">
        <f t="shared" si="8"/>
        <v>18 ARABINOSE 0.1 + TESTO</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93" t="s">
        <v>3956</v>
      </c>
      <c r="D577" s="193" t="s">
        <v>180</v>
      </c>
      <c r="E577" s="193" t="s">
        <v>723</v>
      </c>
      <c r="F577" s="193" t="s">
        <v>112</v>
      </c>
      <c r="G577" s="193">
        <v>44008</v>
      </c>
      <c r="H577" s="193"/>
      <c r="I577" s="193"/>
      <c r="J577" s="193"/>
    </row>
    <row r="578" spans="1:10" x14ac:dyDescent="0.3">
      <c r="A578" s="1" t="str">
        <f t="shared" ref="A578:A641" si="9">IFERROR(LEFT(RIGHT(C578,LEN(C578)-SEARCH("@",C578)),SEARCH("/",RIGHT(C578,LEN(C578)-SEARCH("@",C578)-1))),"")</f>
        <v>18 ARABINOSE 0.1 + TESTO</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93" t="s">
        <v>3957</v>
      </c>
      <c r="D578" s="193" t="s">
        <v>3958</v>
      </c>
      <c r="E578" s="193" t="s">
        <v>2718</v>
      </c>
      <c r="F578" s="193" t="s">
        <v>112</v>
      </c>
      <c r="G578" s="193">
        <v>1095889</v>
      </c>
      <c r="H578" s="193"/>
      <c r="I578" s="193"/>
      <c r="J578" s="193"/>
    </row>
    <row r="579" spans="1:10" x14ac:dyDescent="0.3">
      <c r="A579" s="1" t="str">
        <f t="shared" si="9"/>
        <v>18 ARABINOSE 0.1 + TESTO</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93" t="s">
        <v>3959</v>
      </c>
      <c r="D579" s="193" t="s">
        <v>3960</v>
      </c>
      <c r="E579" s="193" t="s">
        <v>3961</v>
      </c>
      <c r="F579" s="193" t="s">
        <v>112</v>
      </c>
      <c r="G579" s="193">
        <v>1253103</v>
      </c>
      <c r="H579" s="193"/>
      <c r="I579" s="193"/>
      <c r="J579" s="193"/>
    </row>
    <row r="580" spans="1:10" x14ac:dyDescent="0.3">
      <c r="A580" s="1" t="str">
        <f t="shared" si="9"/>
        <v>18 ARABINOSE 0.1 + TESTO</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93" t="s">
        <v>3962</v>
      </c>
      <c r="D580" s="193" t="s">
        <v>3963</v>
      </c>
      <c r="E580" s="193" t="s">
        <v>3964</v>
      </c>
      <c r="F580" s="193" t="s">
        <v>112</v>
      </c>
      <c r="G580" s="193">
        <v>1029105</v>
      </c>
      <c r="H580" s="193"/>
      <c r="I580" s="193"/>
      <c r="J580" s="193"/>
    </row>
    <row r="581" spans="1:10" x14ac:dyDescent="0.3">
      <c r="A581" s="1" t="str">
        <f t="shared" si="9"/>
        <v>18 ARABINOSE 0.1 + TESTO</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93" t="s">
        <v>3965</v>
      </c>
      <c r="D581" s="193" t="s">
        <v>3966</v>
      </c>
      <c r="E581" s="193" t="s">
        <v>3967</v>
      </c>
      <c r="F581" s="193" t="s">
        <v>112</v>
      </c>
      <c r="G581" s="193">
        <v>484108</v>
      </c>
      <c r="H581" s="193"/>
      <c r="I581" s="193"/>
      <c r="J581" s="193"/>
    </row>
    <row r="582" spans="1:10" x14ac:dyDescent="0.3">
      <c r="A582" s="1" t="str">
        <f t="shared" si="9"/>
        <v>18 ARABINOSE 0.1 + TESTO</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93" t="s">
        <v>3968</v>
      </c>
      <c r="D582" s="193" t="s">
        <v>3969</v>
      </c>
      <c r="E582" s="193" t="s">
        <v>3970</v>
      </c>
      <c r="F582" s="193" t="s">
        <v>112</v>
      </c>
      <c r="G582" s="193">
        <v>461593</v>
      </c>
      <c r="H582" s="193"/>
      <c r="I582" s="193"/>
      <c r="J582" s="193"/>
    </row>
    <row r="583" spans="1:10" x14ac:dyDescent="0.3">
      <c r="A583" s="1" t="str">
        <f t="shared" si="9"/>
        <v>18 ARABINOSE 0.1 + TESTO</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93" t="s">
        <v>3971</v>
      </c>
      <c r="D583" s="193" t="s">
        <v>3972</v>
      </c>
      <c r="E583" s="193" t="s">
        <v>3973</v>
      </c>
      <c r="F583" s="193" t="s">
        <v>112</v>
      </c>
      <c r="G583" s="193">
        <v>401553</v>
      </c>
      <c r="H583" s="193"/>
      <c r="I583" s="193"/>
      <c r="J583" s="193"/>
    </row>
    <row r="584" spans="1:10" x14ac:dyDescent="0.3">
      <c r="A584" s="1" t="str">
        <f t="shared" si="9"/>
        <v>18 ARABINOSE 0.1 + TESTO</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93" t="s">
        <v>3974</v>
      </c>
      <c r="D584" s="193" t="s">
        <v>3792</v>
      </c>
      <c r="E584" s="193" t="s">
        <v>3975</v>
      </c>
      <c r="F584" s="193" t="s">
        <v>112</v>
      </c>
      <c r="G584" s="193">
        <v>3049681</v>
      </c>
      <c r="H584" s="193"/>
      <c r="I584" s="193"/>
      <c r="J584" s="193"/>
    </row>
    <row r="585" spans="1:10" x14ac:dyDescent="0.3">
      <c r="A585" s="1" t="str">
        <f t="shared" si="9"/>
        <v>18 ARABINOSE 0.1 + TESTO</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93" t="s">
        <v>3976</v>
      </c>
      <c r="D585" s="193" t="s">
        <v>3977</v>
      </c>
      <c r="E585" s="193" t="s">
        <v>3978</v>
      </c>
      <c r="F585" s="193" t="s">
        <v>112</v>
      </c>
      <c r="G585" s="193">
        <v>3058752</v>
      </c>
      <c r="H585" s="193"/>
      <c r="I585" s="193"/>
      <c r="J585" s="193"/>
    </row>
    <row r="586" spans="1:10" x14ac:dyDescent="0.3">
      <c r="A586" s="1" t="str">
        <f t="shared" si="9"/>
        <v>18 ARABINOSE 0.1 + TESTO</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93" t="s">
        <v>3979</v>
      </c>
      <c r="D586" s="193" t="s">
        <v>3980</v>
      </c>
      <c r="E586" s="193" t="s">
        <v>3981</v>
      </c>
      <c r="F586" s="193" t="s">
        <v>112</v>
      </c>
      <c r="G586" s="193">
        <v>3622044</v>
      </c>
      <c r="H586" s="193"/>
      <c r="I586" s="193"/>
      <c r="J586" s="193"/>
    </row>
    <row r="587" spans="1:10" x14ac:dyDescent="0.3">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93" t="s">
        <v>112</v>
      </c>
      <c r="D587" s="193"/>
      <c r="E587" s="193"/>
      <c r="F587" s="193"/>
      <c r="G587" s="193"/>
      <c r="H587" s="193"/>
      <c r="I587" s="193"/>
      <c r="J587" s="193"/>
    </row>
    <row r="588" spans="1:10" x14ac:dyDescent="0.3">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93" t="s">
        <v>229</v>
      </c>
      <c r="D588" s="193" t="s">
        <v>112</v>
      </c>
      <c r="E588" s="193" t="s">
        <v>230</v>
      </c>
      <c r="F588" s="193" t="s">
        <v>231</v>
      </c>
      <c r="G588" s="193" t="s">
        <v>232</v>
      </c>
      <c r="H588" s="193" t="s">
        <v>233</v>
      </c>
      <c r="I588" s="193" t="s">
        <v>234</v>
      </c>
      <c r="J588" s="193" t="s">
        <v>235</v>
      </c>
    </row>
    <row r="589" spans="1:10" x14ac:dyDescent="0.3">
      <c r="A589" s="1" t="str">
        <f t="shared" si="9"/>
        <v>18 ARABINOSE 0.1 + TESTO</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93" t="s">
        <v>3982</v>
      </c>
      <c r="D589" s="193" t="s">
        <v>112</v>
      </c>
      <c r="E589" s="193" t="s">
        <v>3983</v>
      </c>
      <c r="F589" s="193" t="s">
        <v>3984</v>
      </c>
      <c r="G589" s="193" t="s">
        <v>3985</v>
      </c>
      <c r="H589" s="193" t="s">
        <v>3986</v>
      </c>
      <c r="I589" s="193">
        <v>24</v>
      </c>
      <c r="J589" s="193">
        <v>24</v>
      </c>
    </row>
    <row r="590" spans="1:10" x14ac:dyDescent="0.3">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93" t="s">
        <v>112</v>
      </c>
      <c r="D590" s="193"/>
      <c r="E590" s="193"/>
      <c r="F590" s="193"/>
      <c r="G590" s="193"/>
      <c r="H590" s="193"/>
      <c r="I590" s="193"/>
      <c r="J590" s="193"/>
    </row>
    <row r="591" spans="1:10" x14ac:dyDescent="0.3">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93" t="s">
        <v>112</v>
      </c>
      <c r="D591" s="193"/>
      <c r="E591" s="193"/>
      <c r="F591" s="193"/>
      <c r="G591" s="193"/>
      <c r="H591" s="193"/>
      <c r="I591" s="193"/>
      <c r="J591" s="193"/>
    </row>
    <row r="592" spans="1:10" x14ac:dyDescent="0.3">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93" t="s">
        <v>112</v>
      </c>
      <c r="D592" s="193"/>
      <c r="E592" s="193"/>
      <c r="F592" s="193"/>
      <c r="G592" s="193"/>
      <c r="H592" s="193"/>
      <c r="I592" s="193"/>
      <c r="J592" s="193"/>
    </row>
    <row r="593" spans="1:10" x14ac:dyDescent="0.3">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93" t="s">
        <v>112</v>
      </c>
      <c r="D593" s="193"/>
      <c r="E593" s="193"/>
      <c r="F593" s="193"/>
      <c r="G593" s="193"/>
      <c r="H593" s="193"/>
      <c r="I593" s="193"/>
      <c r="J593" s="193"/>
    </row>
    <row r="594" spans="1:10" x14ac:dyDescent="0.3">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93" t="s">
        <v>112</v>
      </c>
      <c r="D594" s="193"/>
      <c r="E594" s="193"/>
      <c r="F594" s="193"/>
      <c r="G594" s="193"/>
      <c r="H594" s="193"/>
      <c r="I594" s="193"/>
      <c r="J594" s="193"/>
    </row>
    <row r="595" spans="1:10" x14ac:dyDescent="0.3">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93" t="s">
        <v>241</v>
      </c>
      <c r="D595" s="193" t="s">
        <v>110</v>
      </c>
      <c r="E595" s="193" t="s">
        <v>111</v>
      </c>
      <c r="F595" s="193" t="s">
        <v>112</v>
      </c>
      <c r="G595" s="193" t="s">
        <v>113</v>
      </c>
      <c r="H595" s="193"/>
      <c r="I595" s="193"/>
      <c r="J595" s="193"/>
    </row>
    <row r="596" spans="1:10" x14ac:dyDescent="0.3">
      <c r="A596" s="1" t="str">
        <f t="shared" si="9"/>
        <v>19 ARABINOSE 1 + TESTO</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93" t="s">
        <v>3987</v>
      </c>
      <c r="D596" s="193"/>
      <c r="E596" s="193"/>
      <c r="F596" s="193"/>
      <c r="G596" s="193"/>
      <c r="H596" s="193"/>
      <c r="I596" s="193"/>
      <c r="J596" s="193"/>
    </row>
    <row r="597" spans="1:10" x14ac:dyDescent="0.3">
      <c r="A597" s="1" t="str">
        <f t="shared" si="9"/>
        <v>19 ARABINOSE 1 + TESTO</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93" t="s">
        <v>3988</v>
      </c>
      <c r="D597" s="193" t="s">
        <v>3989</v>
      </c>
      <c r="E597" s="193" t="s">
        <v>3990</v>
      </c>
      <c r="F597" s="193" t="s">
        <v>112</v>
      </c>
      <c r="G597" s="193">
        <v>645891</v>
      </c>
      <c r="H597" s="193"/>
      <c r="I597" s="193"/>
      <c r="J597" s="193"/>
    </row>
    <row r="598" spans="1:10" x14ac:dyDescent="0.3">
      <c r="A598" s="1" t="str">
        <f t="shared" si="9"/>
        <v>19 ARABINOSE 1 + TESTO</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93" t="s">
        <v>3991</v>
      </c>
      <c r="D598" s="193"/>
      <c r="E598" s="193"/>
      <c r="F598" s="193"/>
      <c r="G598" s="193"/>
      <c r="H598" s="193"/>
      <c r="I598" s="193"/>
      <c r="J598" s="193"/>
    </row>
    <row r="599" spans="1:10" x14ac:dyDescent="0.3">
      <c r="A599" s="1" t="str">
        <f t="shared" si="9"/>
        <v>19 ARABINOSE 1 + TESTO</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93" t="s">
        <v>3992</v>
      </c>
      <c r="D599" s="193" t="s">
        <v>208</v>
      </c>
      <c r="E599" s="193" t="s">
        <v>3993</v>
      </c>
      <c r="F599" s="193" t="s">
        <v>112</v>
      </c>
      <c r="G599" s="193">
        <v>213883</v>
      </c>
      <c r="H599" s="193"/>
      <c r="I599" s="193"/>
      <c r="J599" s="193"/>
    </row>
    <row r="600" spans="1:10" x14ac:dyDescent="0.3">
      <c r="A600" s="1" t="str">
        <f t="shared" si="9"/>
        <v>19 ARABINOSE 1 + TESTO</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93" t="s">
        <v>3994</v>
      </c>
      <c r="D600" s="193"/>
      <c r="E600" s="193"/>
      <c r="F600" s="193"/>
      <c r="G600" s="193"/>
      <c r="H600" s="193"/>
      <c r="I600" s="193"/>
      <c r="J600" s="193"/>
    </row>
    <row r="601" spans="1:10" x14ac:dyDescent="0.3">
      <c r="A601" s="1" t="str">
        <f t="shared" si="9"/>
        <v>19 ARABINOSE 1 + TESTO</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93" t="s">
        <v>3995</v>
      </c>
      <c r="D601" s="193"/>
      <c r="E601" s="193"/>
      <c r="F601" s="193"/>
      <c r="G601" s="193"/>
      <c r="H601" s="193"/>
      <c r="I601" s="193"/>
      <c r="J601" s="193"/>
    </row>
    <row r="602" spans="1:10" x14ac:dyDescent="0.3">
      <c r="A602" s="1" t="str">
        <f t="shared" si="9"/>
        <v>19 ARABINOSE 1 + TESTO</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93" t="s">
        <v>3996</v>
      </c>
      <c r="D602" s="193" t="s">
        <v>3997</v>
      </c>
      <c r="E602" s="193" t="s">
        <v>3998</v>
      </c>
      <c r="F602" s="193" t="s">
        <v>112</v>
      </c>
      <c r="G602" s="193">
        <v>1526635</v>
      </c>
      <c r="H602" s="193"/>
      <c r="I602" s="193"/>
      <c r="J602" s="193"/>
    </row>
    <row r="603" spans="1:10" x14ac:dyDescent="0.3">
      <c r="A603" s="1" t="str">
        <f t="shared" si="9"/>
        <v>19 ARABINOSE 1 + TESTO</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93" t="s">
        <v>3999</v>
      </c>
      <c r="D603" s="193" t="s">
        <v>1230</v>
      </c>
      <c r="E603" s="193" t="s">
        <v>4000</v>
      </c>
      <c r="F603" s="193" t="s">
        <v>112</v>
      </c>
      <c r="G603" s="193">
        <v>1544190</v>
      </c>
      <c r="H603" s="193"/>
      <c r="I603" s="193"/>
      <c r="J603" s="193"/>
    </row>
    <row r="604" spans="1:10" x14ac:dyDescent="0.3">
      <c r="A604" s="1" t="str">
        <f t="shared" si="9"/>
        <v>19 ARABINOSE 1 + TESTO</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93" t="s">
        <v>4001</v>
      </c>
      <c r="D604" s="193" t="s">
        <v>4002</v>
      </c>
      <c r="E604" s="193" t="s">
        <v>4003</v>
      </c>
      <c r="F604" s="193" t="s">
        <v>112</v>
      </c>
      <c r="G604" s="193">
        <v>1222974</v>
      </c>
      <c r="H604" s="193"/>
      <c r="I604" s="193"/>
      <c r="J604" s="193"/>
    </row>
    <row r="605" spans="1:10" x14ac:dyDescent="0.3">
      <c r="A605" s="1" t="str">
        <f t="shared" si="9"/>
        <v>19 ARABINOSE 1 + TESTO</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93" t="s">
        <v>4004</v>
      </c>
      <c r="D605" s="193" t="s">
        <v>4005</v>
      </c>
      <c r="E605" s="193" t="s">
        <v>4006</v>
      </c>
      <c r="F605" s="193" t="s">
        <v>112</v>
      </c>
      <c r="G605" s="193">
        <v>1476906</v>
      </c>
      <c r="H605" s="193"/>
      <c r="I605" s="193"/>
      <c r="J605" s="193"/>
    </row>
    <row r="606" spans="1:10" x14ac:dyDescent="0.3">
      <c r="A606" s="1" t="str">
        <f t="shared" si="9"/>
        <v>19 ARABINOSE 1 + TESTO</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93" t="s">
        <v>4007</v>
      </c>
      <c r="D606" s="193" t="s">
        <v>4008</v>
      </c>
      <c r="E606" s="193" t="s">
        <v>4009</v>
      </c>
      <c r="F606" s="193" t="s">
        <v>112</v>
      </c>
      <c r="G606" s="193">
        <v>1479234</v>
      </c>
      <c r="H606" s="193"/>
      <c r="I606" s="193"/>
      <c r="J606" s="193"/>
    </row>
    <row r="607" spans="1:10" x14ac:dyDescent="0.3">
      <c r="A607" s="1" t="str">
        <f t="shared" si="9"/>
        <v>19 ARABINOSE 1 + TESTO</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93" t="s">
        <v>4010</v>
      </c>
      <c r="D607" s="193" t="s">
        <v>4011</v>
      </c>
      <c r="E607" s="193" t="s">
        <v>4012</v>
      </c>
      <c r="F607" s="193" t="s">
        <v>112</v>
      </c>
      <c r="G607" s="193">
        <v>1267700</v>
      </c>
      <c r="H607" s="193"/>
      <c r="I607" s="193"/>
      <c r="J607" s="193"/>
    </row>
    <row r="608" spans="1:10" x14ac:dyDescent="0.3">
      <c r="A608" s="1" t="str">
        <f t="shared" si="9"/>
        <v>19 ARABINOSE 1 + TESTO</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93" t="s">
        <v>4013</v>
      </c>
      <c r="D608" s="193" t="s">
        <v>4014</v>
      </c>
      <c r="E608" s="193" t="s">
        <v>4015</v>
      </c>
      <c r="F608" s="193" t="s">
        <v>112</v>
      </c>
      <c r="G608" s="193">
        <v>965649</v>
      </c>
      <c r="H608" s="193"/>
      <c r="I608" s="193"/>
      <c r="J608" s="193"/>
    </row>
    <row r="609" spans="1:10" x14ac:dyDescent="0.3">
      <c r="A609" s="1" t="str">
        <f t="shared" si="9"/>
        <v>19 ARABINOSE 1 + TESTO</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93" t="s">
        <v>4016</v>
      </c>
      <c r="D609" s="193" t="s">
        <v>4017</v>
      </c>
      <c r="E609" s="193" t="s">
        <v>4018</v>
      </c>
      <c r="F609" s="193" t="s">
        <v>112</v>
      </c>
      <c r="G609" s="193">
        <v>1346731</v>
      </c>
      <c r="H609" s="193"/>
      <c r="I609" s="193"/>
      <c r="J609" s="193"/>
    </row>
    <row r="610" spans="1:10" x14ac:dyDescent="0.3">
      <c r="A610" s="1" t="str">
        <f t="shared" si="9"/>
        <v>19 ARABINOSE 1 + TESTO</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93" t="s">
        <v>4019</v>
      </c>
      <c r="D610" s="193" t="s">
        <v>4020</v>
      </c>
      <c r="E610" s="193" t="s">
        <v>4021</v>
      </c>
      <c r="F610" s="193" t="s">
        <v>112</v>
      </c>
      <c r="G610" s="193">
        <v>891338</v>
      </c>
      <c r="H610" s="193"/>
      <c r="I610" s="193"/>
      <c r="J610" s="193"/>
    </row>
    <row r="611" spans="1:10" x14ac:dyDescent="0.3">
      <c r="A611" s="1" t="str">
        <f t="shared" si="9"/>
        <v>19 ARABINOSE 1 + TESTO</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93" t="s">
        <v>4022</v>
      </c>
      <c r="D611" s="193" t="s">
        <v>4023</v>
      </c>
      <c r="E611" s="193" t="s">
        <v>4024</v>
      </c>
      <c r="F611" s="193" t="s">
        <v>112</v>
      </c>
      <c r="G611" s="193">
        <v>1402508</v>
      </c>
      <c r="H611" s="193"/>
      <c r="I611" s="193"/>
      <c r="J611" s="193"/>
    </row>
    <row r="612" spans="1:10" x14ac:dyDescent="0.3">
      <c r="A612" s="1" t="str">
        <f t="shared" si="9"/>
        <v>19 ARABINOSE 1 + TESTO</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93" t="s">
        <v>4025</v>
      </c>
      <c r="D612" s="193" t="s">
        <v>1036</v>
      </c>
      <c r="E612" s="193" t="s">
        <v>4026</v>
      </c>
      <c r="F612" s="193" t="s">
        <v>112</v>
      </c>
      <c r="G612" s="193">
        <v>1620024</v>
      </c>
      <c r="H612" s="193"/>
      <c r="I612" s="193"/>
      <c r="J612" s="193"/>
    </row>
    <row r="613" spans="1:10" x14ac:dyDescent="0.3">
      <c r="A613" s="1" t="str">
        <f t="shared" si="9"/>
        <v>19 ARABINOSE 1 + TESTO</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93" t="s">
        <v>4027</v>
      </c>
      <c r="D613" s="193" t="s">
        <v>4028</v>
      </c>
      <c r="E613" s="193" t="s">
        <v>4029</v>
      </c>
      <c r="F613" s="193" t="s">
        <v>112</v>
      </c>
      <c r="G613" s="193">
        <v>1324543</v>
      </c>
      <c r="H613" s="193"/>
      <c r="I613" s="193"/>
      <c r="J613" s="193"/>
    </row>
    <row r="614" spans="1:10" x14ac:dyDescent="0.3">
      <c r="A614" s="1" t="str">
        <f t="shared" si="9"/>
        <v>19 ARABINOSE 1 + TESTO</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93" t="s">
        <v>4030</v>
      </c>
      <c r="D614" s="193" t="s">
        <v>922</v>
      </c>
      <c r="E614" s="193" t="s">
        <v>4031</v>
      </c>
      <c r="F614" s="193" t="s">
        <v>112</v>
      </c>
      <c r="G614" s="193">
        <v>3045395</v>
      </c>
      <c r="H614" s="193"/>
      <c r="I614" s="193"/>
      <c r="J614" s="193"/>
    </row>
    <row r="615" spans="1:10" x14ac:dyDescent="0.3">
      <c r="A615" s="1" t="str">
        <f t="shared" si="9"/>
        <v>19 ARABINOSE 1 + TESTO</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93" t="s">
        <v>4032</v>
      </c>
      <c r="D615" s="193" t="s">
        <v>4033</v>
      </c>
      <c r="E615" s="193" t="s">
        <v>4034</v>
      </c>
      <c r="F615" s="193" t="s">
        <v>112</v>
      </c>
      <c r="G615" s="193">
        <v>3003432</v>
      </c>
      <c r="H615" s="193"/>
      <c r="I615" s="193"/>
      <c r="J615" s="193"/>
    </row>
    <row r="616" spans="1:10" x14ac:dyDescent="0.3">
      <c r="A616" s="1" t="str">
        <f t="shared" si="9"/>
        <v>19 ARABINOSE 1 + TESTO</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93" t="s">
        <v>4035</v>
      </c>
      <c r="D616" s="193" t="s">
        <v>4036</v>
      </c>
      <c r="E616" s="193" t="s">
        <v>4037</v>
      </c>
      <c r="F616" s="193" t="s">
        <v>112</v>
      </c>
      <c r="G616" s="193">
        <v>3139110</v>
      </c>
      <c r="H616" s="193"/>
      <c r="I616" s="193"/>
      <c r="J616" s="193"/>
    </row>
    <row r="617" spans="1:10" x14ac:dyDescent="0.3">
      <c r="A617" s="1" t="str">
        <f t="shared" si="9"/>
        <v>19 ARABINOSE 1 + TESTO</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93" t="s">
        <v>4038</v>
      </c>
      <c r="D617" s="193" t="s">
        <v>4039</v>
      </c>
      <c r="E617" s="193" t="s">
        <v>4040</v>
      </c>
      <c r="F617" s="193" t="s">
        <v>112</v>
      </c>
      <c r="G617" s="193">
        <v>3282272</v>
      </c>
      <c r="H617" s="193"/>
      <c r="I617" s="193"/>
      <c r="J617" s="193"/>
    </row>
    <row r="618" spans="1:10" x14ac:dyDescent="0.3">
      <c r="A618" s="1" t="str">
        <f t="shared" si="9"/>
        <v>19 ARABINOSE 1 + TESTO</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93" t="s">
        <v>4041</v>
      </c>
      <c r="D618" s="193" t="s">
        <v>4042</v>
      </c>
      <c r="E618" s="193" t="s">
        <v>4043</v>
      </c>
      <c r="F618" s="193" t="s">
        <v>112</v>
      </c>
      <c r="G618" s="193">
        <v>3512970</v>
      </c>
      <c r="H618" s="193"/>
      <c r="I618" s="193"/>
      <c r="J618" s="193"/>
    </row>
    <row r="619" spans="1:10" x14ac:dyDescent="0.3">
      <c r="A619" s="1" t="str">
        <f t="shared" si="9"/>
        <v>19 ARABINOSE 1 + TESTO</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93" t="s">
        <v>4044</v>
      </c>
      <c r="D619" s="193" t="s">
        <v>4045</v>
      </c>
      <c r="E619" s="193" t="s">
        <v>4046</v>
      </c>
      <c r="F619" s="193" t="s">
        <v>112</v>
      </c>
      <c r="G619" s="193">
        <v>3127472</v>
      </c>
      <c r="H619" s="193"/>
      <c r="I619" s="193"/>
      <c r="J619" s="193"/>
    </row>
    <row r="620" spans="1:10" x14ac:dyDescent="0.3">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93" t="s">
        <v>112</v>
      </c>
      <c r="D620" s="193"/>
      <c r="E620" s="193"/>
      <c r="F620" s="193"/>
      <c r="G620" s="193"/>
      <c r="H620" s="193"/>
      <c r="I620" s="193"/>
      <c r="J620" s="193"/>
    </row>
    <row r="621" spans="1:10" x14ac:dyDescent="0.3">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93" t="s">
        <v>229</v>
      </c>
      <c r="D621" s="193" t="s">
        <v>112</v>
      </c>
      <c r="E621" s="193" t="s">
        <v>230</v>
      </c>
      <c r="F621" s="193" t="s">
        <v>231</v>
      </c>
      <c r="G621" s="193" t="s">
        <v>232</v>
      </c>
      <c r="H621" s="193" t="s">
        <v>233</v>
      </c>
      <c r="I621" s="193" t="s">
        <v>234</v>
      </c>
      <c r="J621" s="193" t="s">
        <v>235</v>
      </c>
    </row>
    <row r="622" spans="1:10" x14ac:dyDescent="0.3">
      <c r="A622" s="1" t="str">
        <f t="shared" si="9"/>
        <v>19 ARABINOSE 1 + TESTO</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93" t="s">
        <v>4047</v>
      </c>
      <c r="D622" s="193" t="s">
        <v>112</v>
      </c>
      <c r="E622" s="193" t="s">
        <v>4048</v>
      </c>
      <c r="F622" s="193" t="s">
        <v>4049</v>
      </c>
      <c r="G622" s="193" t="s">
        <v>4050</v>
      </c>
      <c r="H622" s="193" t="s">
        <v>4051</v>
      </c>
      <c r="I622" s="193">
        <v>24</v>
      </c>
      <c r="J622" s="193">
        <v>24</v>
      </c>
    </row>
    <row r="623" spans="1:10" x14ac:dyDescent="0.3">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93" t="s">
        <v>112</v>
      </c>
      <c r="D623" s="193"/>
      <c r="E623" s="193"/>
      <c r="F623" s="193"/>
      <c r="G623" s="193"/>
      <c r="H623" s="193"/>
      <c r="I623" s="193"/>
      <c r="J623" s="193"/>
    </row>
    <row r="624" spans="1:10" x14ac:dyDescent="0.3">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93" t="s">
        <v>112</v>
      </c>
      <c r="D624" s="193"/>
      <c r="E624" s="193"/>
      <c r="F624" s="193"/>
      <c r="G624" s="193"/>
      <c r="H624" s="193"/>
      <c r="I624" s="193"/>
      <c r="J624" s="193"/>
    </row>
    <row r="625" spans="1:10" x14ac:dyDescent="0.3">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93" t="s">
        <v>112</v>
      </c>
      <c r="D625" s="193"/>
      <c r="E625" s="193"/>
      <c r="F625" s="193"/>
      <c r="G625" s="193"/>
      <c r="H625" s="193"/>
      <c r="I625" s="193"/>
      <c r="J625" s="193"/>
    </row>
    <row r="626" spans="1:10" x14ac:dyDescent="0.3">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93" t="s">
        <v>112</v>
      </c>
      <c r="D626" s="193"/>
      <c r="E626" s="193"/>
      <c r="F626" s="193"/>
      <c r="G626" s="193"/>
      <c r="H626" s="193"/>
      <c r="I626" s="193"/>
      <c r="J626" s="193"/>
    </row>
    <row r="627" spans="1:10" x14ac:dyDescent="0.3">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93" t="s">
        <v>112</v>
      </c>
      <c r="D627" s="193"/>
      <c r="E627" s="193"/>
      <c r="F627" s="193"/>
      <c r="G627" s="193"/>
      <c r="H627" s="193"/>
      <c r="I627" s="193"/>
      <c r="J627" s="193"/>
    </row>
    <row r="628" spans="1:10" x14ac:dyDescent="0.3">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93" t="s">
        <v>241</v>
      </c>
      <c r="D628" s="193" t="s">
        <v>110</v>
      </c>
      <c r="E628" s="193" t="s">
        <v>111</v>
      </c>
      <c r="F628" s="193" t="s">
        <v>112</v>
      </c>
      <c r="G628" s="193" t="s">
        <v>113</v>
      </c>
      <c r="H628" s="193"/>
      <c r="I628" s="193"/>
      <c r="J628" s="193"/>
    </row>
    <row r="629" spans="1:10" x14ac:dyDescent="0.3">
      <c r="A629" s="1" t="str">
        <f t="shared" si="9"/>
        <v>20 ARABINOSE 10 + TESTO</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93" t="s">
        <v>4052</v>
      </c>
      <c r="D629" s="193" t="s">
        <v>4053</v>
      </c>
      <c r="E629" s="193" t="s">
        <v>4054</v>
      </c>
      <c r="F629" s="193" t="s">
        <v>112</v>
      </c>
      <c r="G629" s="193">
        <v>824467</v>
      </c>
      <c r="H629" s="193"/>
      <c r="I629" s="193"/>
      <c r="J629" s="193"/>
    </row>
    <row r="630" spans="1:10" x14ac:dyDescent="0.3">
      <c r="A630" s="1" t="str">
        <f t="shared" si="9"/>
        <v>20 ARABINOSE 10 + TESTO</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93" t="s">
        <v>4055</v>
      </c>
      <c r="D630" s="193" t="s">
        <v>4056</v>
      </c>
      <c r="E630" s="193" t="s">
        <v>4057</v>
      </c>
      <c r="F630" s="193" t="s">
        <v>112</v>
      </c>
      <c r="G630" s="193">
        <v>1032651</v>
      </c>
      <c r="H630" s="193"/>
      <c r="I630" s="193"/>
      <c r="J630" s="193"/>
    </row>
    <row r="631" spans="1:10" x14ac:dyDescent="0.3">
      <c r="A631" s="1" t="str">
        <f t="shared" si="9"/>
        <v>20 ARABINOSE 10 + TESTO</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93" t="s">
        <v>4058</v>
      </c>
      <c r="D631" s="193" t="s">
        <v>4059</v>
      </c>
      <c r="E631" s="193" t="s">
        <v>4060</v>
      </c>
      <c r="F631" s="193" t="s">
        <v>112</v>
      </c>
      <c r="G631" s="193">
        <v>648305</v>
      </c>
      <c r="H631" s="193"/>
      <c r="I631" s="193"/>
      <c r="J631" s="193"/>
    </row>
    <row r="632" spans="1:10" x14ac:dyDescent="0.3">
      <c r="A632" s="1" t="str">
        <f t="shared" si="9"/>
        <v>20 ARABINOSE 10 + TESTO</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93" t="s">
        <v>4061</v>
      </c>
      <c r="D632" s="193" t="s">
        <v>4062</v>
      </c>
      <c r="E632" s="193" t="s">
        <v>4063</v>
      </c>
      <c r="F632" s="193" t="s">
        <v>112</v>
      </c>
      <c r="G632" s="193">
        <v>1645324</v>
      </c>
      <c r="H632" s="193"/>
      <c r="I632" s="193"/>
      <c r="J632" s="193"/>
    </row>
    <row r="633" spans="1:10" x14ac:dyDescent="0.3">
      <c r="A633" s="1" t="str">
        <f t="shared" si="9"/>
        <v>20 ARABINOSE 10 + TESTO</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93" t="s">
        <v>4064</v>
      </c>
      <c r="D633" s="193" t="s">
        <v>4065</v>
      </c>
      <c r="E633" s="193" t="s">
        <v>4066</v>
      </c>
      <c r="F633" s="193" t="s">
        <v>112</v>
      </c>
      <c r="G633" s="193">
        <v>1641103</v>
      </c>
      <c r="H633" s="193"/>
      <c r="I633" s="193"/>
      <c r="J633" s="193"/>
    </row>
    <row r="634" spans="1:10" x14ac:dyDescent="0.3">
      <c r="A634" s="1" t="str">
        <f t="shared" si="9"/>
        <v>20 ARABINOSE 10 + TESTO</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93" t="s">
        <v>4067</v>
      </c>
      <c r="D634" s="193" t="s">
        <v>1437</v>
      </c>
      <c r="E634" s="193" t="s">
        <v>4068</v>
      </c>
      <c r="F634" s="193" t="s">
        <v>112</v>
      </c>
      <c r="G634" s="193">
        <v>1332787</v>
      </c>
      <c r="H634" s="193"/>
      <c r="I634" s="193"/>
      <c r="J634" s="193"/>
    </row>
    <row r="635" spans="1:10" x14ac:dyDescent="0.3">
      <c r="A635" s="1" t="str">
        <f t="shared" si="9"/>
        <v>20 ARABINOSE 10 + TESTO</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93" t="s">
        <v>4069</v>
      </c>
      <c r="D635" s="193" t="s">
        <v>4070</v>
      </c>
      <c r="E635" s="193" t="s">
        <v>4071</v>
      </c>
      <c r="F635" s="193" t="s">
        <v>112</v>
      </c>
      <c r="G635" s="193">
        <v>1280165</v>
      </c>
      <c r="H635" s="193"/>
      <c r="I635" s="193"/>
      <c r="J635" s="193"/>
    </row>
    <row r="636" spans="1:10" x14ac:dyDescent="0.3">
      <c r="A636" s="1" t="str">
        <f t="shared" si="9"/>
        <v>20 ARABINOSE 10 + TESTO</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93" t="s">
        <v>4072</v>
      </c>
      <c r="D636" s="193" t="s">
        <v>4073</v>
      </c>
      <c r="E636" s="193" t="s">
        <v>4074</v>
      </c>
      <c r="F636" s="193" t="s">
        <v>112</v>
      </c>
      <c r="G636" s="193">
        <v>1606167</v>
      </c>
      <c r="H636" s="193"/>
      <c r="I636" s="193"/>
      <c r="J636" s="193"/>
    </row>
    <row r="637" spans="1:10" x14ac:dyDescent="0.3">
      <c r="A637" s="1" t="str">
        <f t="shared" si="9"/>
        <v>20 ARABINOSE 10 + TESTO</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93" t="s">
        <v>4075</v>
      </c>
      <c r="D637" s="193" t="s">
        <v>4076</v>
      </c>
      <c r="E637" s="193" t="s">
        <v>4077</v>
      </c>
      <c r="F637" s="193" t="s">
        <v>112</v>
      </c>
      <c r="G637" s="193">
        <v>1287387</v>
      </c>
      <c r="H637" s="193"/>
      <c r="I637" s="193"/>
      <c r="J637" s="193"/>
    </row>
    <row r="638" spans="1:10" x14ac:dyDescent="0.3">
      <c r="A638" s="1" t="str">
        <f t="shared" si="9"/>
        <v>20 ARABINOSE 10 + TESTO</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93" t="s">
        <v>4078</v>
      </c>
      <c r="D638" s="193" t="s">
        <v>1455</v>
      </c>
      <c r="E638" s="193" t="s">
        <v>4079</v>
      </c>
      <c r="F638" s="193" t="s">
        <v>112</v>
      </c>
      <c r="G638" s="193">
        <v>1960492</v>
      </c>
      <c r="H638" s="193"/>
      <c r="I638" s="193"/>
      <c r="J638" s="193"/>
    </row>
    <row r="639" spans="1:10" x14ac:dyDescent="0.3">
      <c r="A639" s="1" t="str">
        <f t="shared" si="9"/>
        <v>20 ARABINOSE 10 + TESTO</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93" t="s">
        <v>4080</v>
      </c>
      <c r="D639" s="193" t="s">
        <v>4081</v>
      </c>
      <c r="E639" s="193" t="s">
        <v>4082</v>
      </c>
      <c r="F639" s="193" t="s">
        <v>112</v>
      </c>
      <c r="G639" s="193">
        <v>1834233</v>
      </c>
      <c r="H639" s="193"/>
      <c r="I639" s="193"/>
      <c r="J639" s="193"/>
    </row>
    <row r="640" spans="1:10" x14ac:dyDescent="0.3">
      <c r="A640" s="1" t="str">
        <f t="shared" si="9"/>
        <v>20 ARABINOSE 10 + TESTO</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93" t="s">
        <v>4083</v>
      </c>
      <c r="D640" s="193" t="s">
        <v>943</v>
      </c>
      <c r="E640" s="193" t="s">
        <v>4084</v>
      </c>
      <c r="F640" s="193" t="s">
        <v>112</v>
      </c>
      <c r="G640" s="193">
        <v>2297806</v>
      </c>
      <c r="H640" s="193"/>
      <c r="I640" s="193"/>
      <c r="J640" s="193"/>
    </row>
    <row r="641" spans="1:10" x14ac:dyDescent="0.3">
      <c r="A641" s="1" t="str">
        <f t="shared" si="9"/>
        <v>20 ARABINOSE 10 + TESTO</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93" t="s">
        <v>4085</v>
      </c>
      <c r="D641" s="193" t="s">
        <v>4086</v>
      </c>
      <c r="E641" s="193" t="s">
        <v>4087</v>
      </c>
      <c r="F641" s="193" t="s">
        <v>112</v>
      </c>
      <c r="G641" s="193">
        <v>2302504</v>
      </c>
      <c r="H641" s="193"/>
      <c r="I641" s="193"/>
      <c r="J641" s="193"/>
    </row>
    <row r="642" spans="1:10" x14ac:dyDescent="0.3">
      <c r="A642" s="1" t="str">
        <f t="shared" ref="A642:A705" si="10">IFERROR(LEFT(RIGHT(C642,LEN(C642)-SEARCH("@",C642)),SEARCH("/",RIGHT(C642,LEN(C642)-SEARCH("@",C642)-1))),"")</f>
        <v>20 ARABINOSE 10 + TESTO</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93" t="s">
        <v>4088</v>
      </c>
      <c r="D642" s="193" t="s">
        <v>540</v>
      </c>
      <c r="E642" s="193" t="s">
        <v>4089</v>
      </c>
      <c r="F642" s="193" t="s">
        <v>112</v>
      </c>
      <c r="G642" s="193">
        <v>2455477</v>
      </c>
      <c r="H642" s="193"/>
      <c r="I642" s="193"/>
      <c r="J642" s="193"/>
    </row>
    <row r="643" spans="1:10" x14ac:dyDescent="0.3">
      <c r="A643" s="1" t="str">
        <f t="shared" si="10"/>
        <v>20 ARABINOSE 10 + TESTO</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93" t="s">
        <v>4090</v>
      </c>
      <c r="D643" s="193" t="s">
        <v>4091</v>
      </c>
      <c r="E643" s="193" t="s">
        <v>4092</v>
      </c>
      <c r="F643" s="193" t="s">
        <v>112</v>
      </c>
      <c r="G643" s="193">
        <v>2359934</v>
      </c>
      <c r="H643" s="193"/>
      <c r="I643" s="193"/>
      <c r="J643" s="193"/>
    </row>
    <row r="644" spans="1:10" x14ac:dyDescent="0.3">
      <c r="A644" s="1" t="str">
        <f t="shared" si="10"/>
        <v>20 ARABINOSE 10 + TESTO</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93" t="s">
        <v>4093</v>
      </c>
      <c r="D644" s="193" t="s">
        <v>4094</v>
      </c>
      <c r="E644" s="193" t="s">
        <v>4095</v>
      </c>
      <c r="F644" s="193" t="s">
        <v>112</v>
      </c>
      <c r="G644" s="193">
        <v>1998256</v>
      </c>
      <c r="H644" s="193"/>
      <c r="I644" s="193"/>
      <c r="J644" s="193"/>
    </row>
    <row r="645" spans="1:10" x14ac:dyDescent="0.3">
      <c r="A645" s="1" t="str">
        <f t="shared" si="10"/>
        <v>20 ARABINOSE 10 + TESTO</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93" t="s">
        <v>4096</v>
      </c>
      <c r="D645" s="193"/>
      <c r="E645" s="193"/>
      <c r="F645" s="193"/>
      <c r="G645" s="193"/>
      <c r="H645" s="193"/>
      <c r="I645" s="193"/>
      <c r="J645" s="193"/>
    </row>
    <row r="646" spans="1:10" x14ac:dyDescent="0.3">
      <c r="A646" s="1" t="str">
        <f t="shared" si="10"/>
        <v>20 ARABINOSE 10 + TESTO</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93" t="s">
        <v>4097</v>
      </c>
      <c r="D646" s="193"/>
      <c r="E646" s="193"/>
      <c r="F646" s="193"/>
      <c r="G646" s="193"/>
      <c r="H646" s="193"/>
      <c r="I646" s="193"/>
      <c r="J646" s="193"/>
    </row>
    <row r="647" spans="1:10" x14ac:dyDescent="0.3">
      <c r="A647" s="1" t="str">
        <f t="shared" si="10"/>
        <v>20 ARABINOSE 10 + TESTO</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93" t="s">
        <v>4098</v>
      </c>
      <c r="D647" s="193" t="s">
        <v>4099</v>
      </c>
      <c r="E647" s="193" t="s">
        <v>4100</v>
      </c>
      <c r="F647" s="193" t="s">
        <v>112</v>
      </c>
      <c r="G647" s="193">
        <v>3027601</v>
      </c>
      <c r="H647" s="193"/>
      <c r="I647" s="193"/>
      <c r="J647" s="193"/>
    </row>
    <row r="648" spans="1:10" x14ac:dyDescent="0.3">
      <c r="A648" s="1" t="str">
        <f t="shared" si="10"/>
        <v>20 ARABINOSE 10 + TESTO</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93" t="s">
        <v>4101</v>
      </c>
      <c r="D648" s="193" t="s">
        <v>4102</v>
      </c>
      <c r="E648" s="193" t="s">
        <v>4103</v>
      </c>
      <c r="F648" s="193" t="s">
        <v>112</v>
      </c>
      <c r="G648" s="193">
        <v>2644191</v>
      </c>
      <c r="H648" s="193"/>
      <c r="I648" s="193"/>
      <c r="J648" s="193"/>
    </row>
    <row r="649" spans="1:10" x14ac:dyDescent="0.3">
      <c r="A649" s="1" t="str">
        <f t="shared" si="10"/>
        <v>20 ARABINOSE 10 + TESTO</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93" t="s">
        <v>4104</v>
      </c>
      <c r="D649" s="193" t="s">
        <v>4099</v>
      </c>
      <c r="E649" s="193" t="s">
        <v>4105</v>
      </c>
      <c r="F649" s="193" t="s">
        <v>112</v>
      </c>
      <c r="G649" s="193">
        <v>3010111</v>
      </c>
      <c r="H649" s="193"/>
      <c r="I649" s="193"/>
      <c r="J649" s="193"/>
    </row>
    <row r="650" spans="1:10" x14ac:dyDescent="0.3">
      <c r="A650" s="1" t="str">
        <f t="shared" si="10"/>
        <v>20 ARABINOSE 10 + TESTO</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93" t="s">
        <v>4106</v>
      </c>
      <c r="D650" s="193" t="s">
        <v>4107</v>
      </c>
      <c r="E650" s="193" t="s">
        <v>4108</v>
      </c>
      <c r="F650" s="193" t="s">
        <v>112</v>
      </c>
      <c r="G650" s="193">
        <v>1638058</v>
      </c>
      <c r="H650" s="193"/>
      <c r="I650" s="193"/>
      <c r="J650" s="193"/>
    </row>
    <row r="651" spans="1:10" x14ac:dyDescent="0.3">
      <c r="A651" s="1" t="str">
        <f t="shared" si="10"/>
        <v>20 ARABINOSE 10 + TESTO</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93" t="s">
        <v>4109</v>
      </c>
      <c r="D651" s="193" t="s">
        <v>1398</v>
      </c>
      <c r="E651" s="193" t="s">
        <v>4110</v>
      </c>
      <c r="F651" s="193" t="s">
        <v>112</v>
      </c>
      <c r="G651" s="193">
        <v>1873107</v>
      </c>
      <c r="H651" s="193"/>
      <c r="I651" s="193"/>
      <c r="J651" s="193"/>
    </row>
    <row r="652" spans="1:10" x14ac:dyDescent="0.3">
      <c r="A652" s="1" t="str">
        <f t="shared" si="10"/>
        <v>20 ARABINOSE 10 + TESTO</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93" t="s">
        <v>4111</v>
      </c>
      <c r="D652" s="193" t="s">
        <v>3742</v>
      </c>
      <c r="E652" s="193" t="s">
        <v>4112</v>
      </c>
      <c r="F652" s="193" t="s">
        <v>112</v>
      </c>
      <c r="G652" s="193">
        <v>1786810</v>
      </c>
      <c r="H652" s="193"/>
      <c r="I652" s="193"/>
      <c r="J652" s="193"/>
    </row>
    <row r="653" spans="1:10" x14ac:dyDescent="0.3">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93" t="s">
        <v>112</v>
      </c>
      <c r="D653" s="193"/>
      <c r="E653" s="193"/>
      <c r="F653" s="193"/>
      <c r="G653" s="193"/>
      <c r="H653" s="193"/>
      <c r="I653" s="193"/>
      <c r="J653" s="193"/>
    </row>
    <row r="654" spans="1:10" x14ac:dyDescent="0.3">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93" t="s">
        <v>229</v>
      </c>
      <c r="D654" s="193" t="s">
        <v>112</v>
      </c>
      <c r="E654" s="193" t="s">
        <v>230</v>
      </c>
      <c r="F654" s="193" t="s">
        <v>231</v>
      </c>
      <c r="G654" s="193" t="s">
        <v>232</v>
      </c>
      <c r="H654" s="193" t="s">
        <v>233</v>
      </c>
      <c r="I654" s="193" t="s">
        <v>234</v>
      </c>
      <c r="J654" s="193" t="s">
        <v>235</v>
      </c>
    </row>
    <row r="655" spans="1:10" x14ac:dyDescent="0.3">
      <c r="A655" s="1" t="str">
        <f t="shared" si="10"/>
        <v>20 ARABINOSE 10 + TESTO</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93" t="s">
        <v>4113</v>
      </c>
      <c r="D655" s="193" t="s">
        <v>112</v>
      </c>
      <c r="E655" s="193" t="s">
        <v>4114</v>
      </c>
      <c r="F655" s="193" t="s">
        <v>4115</v>
      </c>
      <c r="G655" s="193" t="s">
        <v>4116</v>
      </c>
      <c r="H655" s="193" t="s">
        <v>4117</v>
      </c>
      <c r="I655" s="193">
        <v>24</v>
      </c>
      <c r="J655" s="193">
        <v>24</v>
      </c>
    </row>
    <row r="656" spans="1:10" x14ac:dyDescent="0.3">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93" t="s">
        <v>112</v>
      </c>
      <c r="D656" s="193"/>
      <c r="E656" s="193"/>
      <c r="F656" s="193"/>
      <c r="G656" s="193"/>
      <c r="H656" s="193"/>
      <c r="I656" s="193"/>
      <c r="J656" s="193"/>
    </row>
    <row r="657" spans="1:10" x14ac:dyDescent="0.3">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93" t="s">
        <v>112</v>
      </c>
      <c r="D657" s="193"/>
      <c r="E657" s="193"/>
      <c r="F657" s="193"/>
      <c r="G657" s="193"/>
      <c r="H657" s="193"/>
      <c r="I657" s="193"/>
      <c r="J657" s="193"/>
    </row>
    <row r="658" spans="1:10" x14ac:dyDescent="0.3">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93" t="s">
        <v>112</v>
      </c>
      <c r="D658" s="193"/>
      <c r="E658" s="193"/>
      <c r="F658" s="193"/>
      <c r="G658" s="193"/>
      <c r="H658" s="193"/>
      <c r="I658" s="193"/>
      <c r="J658" s="193"/>
    </row>
    <row r="659" spans="1:10" x14ac:dyDescent="0.3">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93" t="s">
        <v>112</v>
      </c>
      <c r="D659" s="193"/>
      <c r="E659" s="193"/>
      <c r="F659" s="193"/>
      <c r="G659" s="193"/>
      <c r="H659" s="193"/>
      <c r="I659" s="193"/>
      <c r="J659" s="193"/>
    </row>
    <row r="660" spans="1:10" x14ac:dyDescent="0.3">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93" t="s">
        <v>112</v>
      </c>
      <c r="D660" s="193"/>
      <c r="E660" s="193"/>
      <c r="F660" s="193"/>
      <c r="G660" s="193"/>
      <c r="H660" s="193"/>
      <c r="I660" s="193"/>
      <c r="J660" s="193"/>
    </row>
    <row r="661" spans="1:10" x14ac:dyDescent="0.3">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93" t="s">
        <v>241</v>
      </c>
      <c r="D661" s="193" t="s">
        <v>110</v>
      </c>
      <c r="E661" s="193" t="s">
        <v>111</v>
      </c>
      <c r="F661" s="193" t="s">
        <v>112</v>
      </c>
      <c r="G661" s="193" t="s">
        <v>113</v>
      </c>
      <c r="H661" s="193"/>
      <c r="I661" s="193"/>
      <c r="J661" s="193"/>
    </row>
    <row r="662" spans="1:10" x14ac:dyDescent="0.3">
      <c r="A662" s="1" t="str">
        <f t="shared" si="10"/>
        <v>21 ARABINOSE 100 + TESTO</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93" t="s">
        <v>4118</v>
      </c>
      <c r="D662" s="193" t="s">
        <v>4119</v>
      </c>
      <c r="E662" s="193" t="s">
        <v>4120</v>
      </c>
      <c r="F662" s="193" t="s">
        <v>112</v>
      </c>
      <c r="G662" s="193">
        <v>114381</v>
      </c>
      <c r="H662" s="193"/>
      <c r="I662" s="193"/>
      <c r="J662" s="193"/>
    </row>
    <row r="663" spans="1:10" x14ac:dyDescent="0.3">
      <c r="A663" s="1" t="str">
        <f t="shared" si="10"/>
        <v>21 ARABINOSE 100 + TESTO</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93" t="s">
        <v>4121</v>
      </c>
      <c r="D663" s="193" t="s">
        <v>4122</v>
      </c>
      <c r="E663" s="193" t="s">
        <v>4123</v>
      </c>
      <c r="F663" s="193" t="s">
        <v>112</v>
      </c>
      <c r="G663" s="193">
        <v>60280</v>
      </c>
      <c r="H663" s="193"/>
      <c r="I663" s="193"/>
      <c r="J663" s="193"/>
    </row>
    <row r="664" spans="1:10" x14ac:dyDescent="0.3">
      <c r="A664" s="1" t="str">
        <f t="shared" si="10"/>
        <v>21 ARABINOSE 100 + TESTO</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93" t="s">
        <v>4124</v>
      </c>
      <c r="D664" s="193"/>
      <c r="E664" s="193"/>
      <c r="F664" s="193"/>
      <c r="G664" s="193"/>
      <c r="H664" s="193"/>
      <c r="I664" s="193"/>
      <c r="J664" s="193"/>
    </row>
    <row r="665" spans="1:10" x14ac:dyDescent="0.3">
      <c r="A665" s="1" t="str">
        <f t="shared" si="10"/>
        <v>21 ARABINOSE 100 + TESTO</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93" t="s">
        <v>4125</v>
      </c>
      <c r="D665" s="193" t="s">
        <v>4126</v>
      </c>
      <c r="E665" s="193" t="s">
        <v>4127</v>
      </c>
      <c r="F665" s="193" t="s">
        <v>112</v>
      </c>
      <c r="G665" s="193">
        <v>882289</v>
      </c>
      <c r="H665" s="193"/>
      <c r="I665" s="193"/>
      <c r="J665" s="193"/>
    </row>
    <row r="666" spans="1:10" x14ac:dyDescent="0.3">
      <c r="A666" s="1" t="str">
        <f t="shared" si="10"/>
        <v>21 ARABINOSE 100 + TESTO</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93" t="s">
        <v>4128</v>
      </c>
      <c r="D666" s="193" t="s">
        <v>4129</v>
      </c>
      <c r="E666" s="193" t="s">
        <v>4130</v>
      </c>
      <c r="F666" s="193" t="s">
        <v>112</v>
      </c>
      <c r="G666" s="193">
        <v>1045790</v>
      </c>
      <c r="H666" s="193"/>
      <c r="I666" s="193"/>
      <c r="J666" s="193"/>
    </row>
    <row r="667" spans="1:10" x14ac:dyDescent="0.3">
      <c r="A667" s="1" t="str">
        <f t="shared" si="10"/>
        <v>21 ARABINOSE 100 + TESTO</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93" t="s">
        <v>4131</v>
      </c>
      <c r="D667" s="193" t="s">
        <v>4132</v>
      </c>
      <c r="E667" s="193" t="s">
        <v>4133</v>
      </c>
      <c r="F667" s="193" t="s">
        <v>112</v>
      </c>
      <c r="G667" s="193">
        <v>1047117</v>
      </c>
      <c r="H667" s="193"/>
      <c r="I667" s="193"/>
      <c r="J667" s="193"/>
    </row>
    <row r="668" spans="1:10" x14ac:dyDescent="0.3">
      <c r="A668" s="1" t="str">
        <f t="shared" si="10"/>
        <v>21 ARABINOSE 100 + TESTO</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93" t="s">
        <v>4134</v>
      </c>
      <c r="D668" s="193" t="s">
        <v>4135</v>
      </c>
      <c r="E668" s="193" t="s">
        <v>4136</v>
      </c>
      <c r="F668" s="193" t="s">
        <v>112</v>
      </c>
      <c r="G668" s="193">
        <v>688245</v>
      </c>
      <c r="H668" s="193"/>
      <c r="I668" s="193"/>
      <c r="J668" s="193"/>
    </row>
    <row r="669" spans="1:10" x14ac:dyDescent="0.3">
      <c r="A669" s="1" t="str">
        <f t="shared" si="10"/>
        <v>21 ARABINOSE 100 + TESTO</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93" t="s">
        <v>4137</v>
      </c>
      <c r="D669" s="193" t="s">
        <v>4138</v>
      </c>
      <c r="E669" s="193" t="s">
        <v>4009</v>
      </c>
      <c r="F669" s="193" t="s">
        <v>112</v>
      </c>
      <c r="G669" s="193">
        <v>784332</v>
      </c>
      <c r="H669" s="193"/>
      <c r="I669" s="193"/>
      <c r="J669" s="193"/>
    </row>
    <row r="670" spans="1:10" x14ac:dyDescent="0.3">
      <c r="A670" s="1" t="str">
        <f t="shared" si="10"/>
        <v>21 ARABINOSE 100 + TESTO</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93" t="s">
        <v>4139</v>
      </c>
      <c r="D670" s="193" t="s">
        <v>4140</v>
      </c>
      <c r="E670" s="193" t="s">
        <v>4141</v>
      </c>
      <c r="F670" s="193" t="s">
        <v>112</v>
      </c>
      <c r="G670" s="193">
        <v>721985</v>
      </c>
      <c r="H670" s="193"/>
      <c r="I670" s="193"/>
      <c r="J670" s="193"/>
    </row>
    <row r="671" spans="1:10" x14ac:dyDescent="0.3">
      <c r="A671" s="1" t="str">
        <f t="shared" si="10"/>
        <v>21 ARABINOSE 100 + TESTO</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93" t="s">
        <v>4142</v>
      </c>
      <c r="D671" s="193" t="s">
        <v>4143</v>
      </c>
      <c r="E671" s="193" t="s">
        <v>4144</v>
      </c>
      <c r="F671" s="193" t="s">
        <v>112</v>
      </c>
      <c r="G671" s="193">
        <v>1497354</v>
      </c>
      <c r="H671" s="193"/>
      <c r="I671" s="193"/>
      <c r="J671" s="193"/>
    </row>
    <row r="672" spans="1:10" x14ac:dyDescent="0.3">
      <c r="A672" s="1" t="str">
        <f t="shared" si="10"/>
        <v>21 ARABINOSE 100 + TESTO</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93" t="s">
        <v>4145</v>
      </c>
      <c r="D672" s="193" t="s">
        <v>4146</v>
      </c>
      <c r="E672" s="193" t="s">
        <v>4147</v>
      </c>
      <c r="F672" s="193" t="s">
        <v>112</v>
      </c>
      <c r="G672" s="193">
        <v>2020859</v>
      </c>
      <c r="H672" s="193"/>
      <c r="I672" s="193"/>
      <c r="J672" s="193"/>
    </row>
    <row r="673" spans="1:10" x14ac:dyDescent="0.3">
      <c r="A673" s="1" t="str">
        <f t="shared" si="10"/>
        <v>21 ARABINOSE 100 + TESTO</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93" t="s">
        <v>4148</v>
      </c>
      <c r="D673" s="193" t="s">
        <v>4149</v>
      </c>
      <c r="E673" s="193" t="s">
        <v>4150</v>
      </c>
      <c r="F673" s="193" t="s">
        <v>112</v>
      </c>
      <c r="G673" s="193">
        <v>1507165</v>
      </c>
      <c r="H673" s="193"/>
      <c r="I673" s="193"/>
      <c r="J673" s="193"/>
    </row>
    <row r="674" spans="1:10" x14ac:dyDescent="0.3">
      <c r="A674" s="1" t="str">
        <f t="shared" si="10"/>
        <v>21 ARABINOSE 100 + TESTO</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93" t="s">
        <v>4151</v>
      </c>
      <c r="D674" s="193" t="s">
        <v>4152</v>
      </c>
      <c r="E674" s="193" t="s">
        <v>4153</v>
      </c>
      <c r="F674" s="193" t="s">
        <v>112</v>
      </c>
      <c r="G674" s="193">
        <v>2687459</v>
      </c>
      <c r="H674" s="193"/>
      <c r="I674" s="193"/>
      <c r="J674" s="193"/>
    </row>
    <row r="675" spans="1:10" x14ac:dyDescent="0.3">
      <c r="A675" s="1" t="str">
        <f t="shared" si="10"/>
        <v>21 ARABINOSE 100 + TESTO</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93" t="s">
        <v>4154</v>
      </c>
      <c r="D675" s="193" t="s">
        <v>4155</v>
      </c>
      <c r="E675" s="193" t="s">
        <v>4156</v>
      </c>
      <c r="F675" s="193" t="s">
        <v>112</v>
      </c>
      <c r="G675" s="193">
        <v>2655176</v>
      </c>
      <c r="H675" s="193"/>
      <c r="I675" s="193"/>
      <c r="J675" s="193"/>
    </row>
    <row r="676" spans="1:10" x14ac:dyDescent="0.3">
      <c r="A676" s="1" t="str">
        <f t="shared" si="10"/>
        <v>21 ARABINOSE 100 + TESTO</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93" t="s">
        <v>4157</v>
      </c>
      <c r="D676" s="193"/>
      <c r="E676" s="193"/>
      <c r="F676" s="193"/>
      <c r="G676" s="193"/>
      <c r="H676" s="193"/>
      <c r="I676" s="193"/>
      <c r="J676" s="193"/>
    </row>
    <row r="677" spans="1:10" x14ac:dyDescent="0.3">
      <c r="A677" s="1" t="str">
        <f t="shared" si="10"/>
        <v>21 ARABINOSE 100 + TESTO</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93" t="s">
        <v>4158</v>
      </c>
      <c r="D677" s="193" t="s">
        <v>4159</v>
      </c>
      <c r="E677" s="193" t="s">
        <v>4160</v>
      </c>
      <c r="F677" s="193" t="s">
        <v>112</v>
      </c>
      <c r="G677" s="193">
        <v>935651</v>
      </c>
      <c r="H677" s="193"/>
      <c r="I677" s="193"/>
      <c r="J677" s="193"/>
    </row>
    <row r="678" spans="1:10" x14ac:dyDescent="0.3">
      <c r="A678" s="1" t="str">
        <f t="shared" si="10"/>
        <v>21 ARABINOSE 100 + TESTO</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93" t="s">
        <v>4161</v>
      </c>
      <c r="D678" s="193" t="s">
        <v>4162</v>
      </c>
      <c r="E678" s="193" t="s">
        <v>4163</v>
      </c>
      <c r="F678" s="193" t="s">
        <v>112</v>
      </c>
      <c r="G678" s="193">
        <v>1432485</v>
      </c>
      <c r="H678" s="193"/>
      <c r="I678" s="193"/>
      <c r="J678" s="193"/>
    </row>
    <row r="679" spans="1:10" x14ac:dyDescent="0.3">
      <c r="A679" s="1" t="str">
        <f t="shared" si="10"/>
        <v>21 ARABINOSE 100 + TESTO</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93" t="s">
        <v>4164</v>
      </c>
      <c r="D679" s="193" t="s">
        <v>4165</v>
      </c>
      <c r="E679" s="193" t="s">
        <v>4166</v>
      </c>
      <c r="F679" s="193" t="s">
        <v>112</v>
      </c>
      <c r="G679" s="193">
        <v>1104851</v>
      </c>
      <c r="H679" s="193"/>
      <c r="I679" s="193"/>
      <c r="J679" s="193"/>
    </row>
    <row r="680" spans="1:10" x14ac:dyDescent="0.3">
      <c r="A680" s="1" t="str">
        <f t="shared" si="10"/>
        <v>21 ARABINOSE 100 + TESTO</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93" t="s">
        <v>4167</v>
      </c>
      <c r="D680" s="193" t="s">
        <v>4168</v>
      </c>
      <c r="E680" s="193" t="s">
        <v>4169</v>
      </c>
      <c r="F680" s="193" t="s">
        <v>112</v>
      </c>
      <c r="G680" s="193">
        <v>1859903</v>
      </c>
      <c r="H680" s="193"/>
      <c r="I680" s="193"/>
      <c r="J680" s="193"/>
    </row>
    <row r="681" spans="1:10" x14ac:dyDescent="0.3">
      <c r="A681" s="1" t="str">
        <f t="shared" si="10"/>
        <v>21 ARABINOSE 100 + TESTO</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93" t="s">
        <v>4170</v>
      </c>
      <c r="D681" s="193" t="s">
        <v>4171</v>
      </c>
      <c r="E681" s="193" t="s">
        <v>4172</v>
      </c>
      <c r="F681" s="193" t="s">
        <v>112</v>
      </c>
      <c r="G681" s="193">
        <v>2086337</v>
      </c>
      <c r="H681" s="193"/>
      <c r="I681" s="193"/>
      <c r="J681" s="193"/>
    </row>
    <row r="682" spans="1:10" x14ac:dyDescent="0.3">
      <c r="A682" s="1" t="str">
        <f t="shared" si="10"/>
        <v>21 ARABINOSE 100 + TESTO</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93" t="s">
        <v>4173</v>
      </c>
      <c r="D682" s="193" t="s">
        <v>4174</v>
      </c>
      <c r="E682" s="193" t="s">
        <v>4175</v>
      </c>
      <c r="F682" s="193" t="s">
        <v>112</v>
      </c>
      <c r="G682" s="193">
        <v>2008698</v>
      </c>
      <c r="H682" s="193"/>
      <c r="I682" s="193"/>
      <c r="J682" s="193"/>
    </row>
    <row r="683" spans="1:10" x14ac:dyDescent="0.3">
      <c r="A683" s="1" t="str">
        <f t="shared" si="10"/>
        <v>21 ARABINOSE 100 + TESTO</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93" t="s">
        <v>4176</v>
      </c>
      <c r="D683" s="193" t="s">
        <v>4177</v>
      </c>
      <c r="E683" s="193" t="s">
        <v>4178</v>
      </c>
      <c r="F683" s="193" t="s">
        <v>112</v>
      </c>
      <c r="G683" s="193">
        <v>1710150</v>
      </c>
      <c r="H683" s="193"/>
      <c r="I683" s="193"/>
      <c r="J683" s="193"/>
    </row>
    <row r="684" spans="1:10" x14ac:dyDescent="0.3">
      <c r="A684" s="1" t="str">
        <f t="shared" si="10"/>
        <v>21 ARABINOSE 100 + TESTO</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93" t="s">
        <v>4179</v>
      </c>
      <c r="D684" s="193"/>
      <c r="E684" s="193"/>
      <c r="F684" s="193"/>
      <c r="G684" s="193"/>
      <c r="H684" s="193"/>
      <c r="I684" s="193"/>
      <c r="J684" s="193"/>
    </row>
    <row r="685" spans="1:10" x14ac:dyDescent="0.3">
      <c r="A685" s="1" t="str">
        <f t="shared" si="10"/>
        <v>21 ARABINOSE 100 + TESTO</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93" t="s">
        <v>4180</v>
      </c>
      <c r="D685" s="193" t="s">
        <v>1341</v>
      </c>
      <c r="E685" s="193" t="s">
        <v>4181</v>
      </c>
      <c r="F685" s="193" t="s">
        <v>112</v>
      </c>
      <c r="G685" s="193">
        <v>1786244</v>
      </c>
      <c r="H685" s="193"/>
      <c r="I685" s="193"/>
      <c r="J685" s="193"/>
    </row>
    <row r="686" spans="1:10" x14ac:dyDescent="0.3">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93" t="s">
        <v>112</v>
      </c>
      <c r="D686" s="193"/>
      <c r="E686" s="193"/>
      <c r="F686" s="193"/>
      <c r="G686" s="193"/>
      <c r="H686" s="193"/>
      <c r="I686" s="193"/>
      <c r="J686" s="193"/>
    </row>
    <row r="687" spans="1:10" x14ac:dyDescent="0.3">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93" t="s">
        <v>229</v>
      </c>
      <c r="D687" s="193" t="s">
        <v>112</v>
      </c>
      <c r="E687" s="193" t="s">
        <v>230</v>
      </c>
      <c r="F687" s="193" t="s">
        <v>231</v>
      </c>
      <c r="G687" s="193" t="s">
        <v>232</v>
      </c>
      <c r="H687" s="193" t="s">
        <v>233</v>
      </c>
      <c r="I687" s="193" t="s">
        <v>234</v>
      </c>
      <c r="J687" s="193" t="s">
        <v>235</v>
      </c>
    </row>
    <row r="688" spans="1:10" x14ac:dyDescent="0.3">
      <c r="A688" s="1" t="str">
        <f t="shared" si="10"/>
        <v>21 ARABINOSE 100 + TESTO</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93" t="s">
        <v>4182</v>
      </c>
      <c r="D688" s="193" t="s">
        <v>112</v>
      </c>
      <c r="E688" s="193" t="s">
        <v>4183</v>
      </c>
      <c r="F688" s="193" t="s">
        <v>4184</v>
      </c>
      <c r="G688" s="193" t="s">
        <v>4185</v>
      </c>
      <c r="H688" s="193" t="s">
        <v>4186</v>
      </c>
      <c r="I688" s="193">
        <v>24</v>
      </c>
      <c r="J688" s="193">
        <v>24</v>
      </c>
    </row>
    <row r="689" spans="1:10" x14ac:dyDescent="0.3">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93" t="s">
        <v>112</v>
      </c>
      <c r="D689" s="193"/>
      <c r="E689" s="193"/>
      <c r="F689" s="193"/>
      <c r="G689" s="193"/>
      <c r="H689" s="193"/>
      <c r="I689" s="193"/>
      <c r="J689" s="193"/>
    </row>
    <row r="690" spans="1:10" x14ac:dyDescent="0.3">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93" t="s">
        <v>112</v>
      </c>
      <c r="D690" s="193"/>
      <c r="E690" s="193"/>
      <c r="F690" s="193"/>
      <c r="G690" s="193"/>
      <c r="H690" s="193"/>
      <c r="I690" s="193"/>
      <c r="J690" s="193"/>
    </row>
    <row r="691" spans="1:10" x14ac:dyDescent="0.3">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93" t="s">
        <v>112</v>
      </c>
      <c r="D691" s="193"/>
      <c r="E691" s="193"/>
      <c r="F691" s="193"/>
      <c r="G691" s="193"/>
      <c r="H691" s="193"/>
      <c r="I691" s="193"/>
      <c r="J691" s="193"/>
    </row>
    <row r="692" spans="1:10" x14ac:dyDescent="0.3">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93" t="s">
        <v>112</v>
      </c>
      <c r="D692" s="193"/>
      <c r="E692" s="193"/>
      <c r="F692" s="193"/>
      <c r="G692" s="193"/>
      <c r="H692" s="193"/>
      <c r="I692" s="193"/>
      <c r="J692" s="193"/>
    </row>
    <row r="693" spans="1:10" x14ac:dyDescent="0.3">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93" t="s">
        <v>112</v>
      </c>
      <c r="D693" s="193"/>
      <c r="E693" s="193"/>
      <c r="F693" s="193"/>
      <c r="G693" s="193"/>
      <c r="H693" s="193"/>
      <c r="I693" s="193"/>
      <c r="J693" s="193"/>
    </row>
    <row r="694" spans="1:10" x14ac:dyDescent="0.3">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93" t="s">
        <v>112</v>
      </c>
      <c r="D694" s="193"/>
      <c r="E694" s="193"/>
      <c r="F694" s="193"/>
      <c r="G694" s="193"/>
      <c r="H694" s="193"/>
      <c r="I694" s="193"/>
      <c r="J694" s="193"/>
    </row>
    <row r="695" spans="1:10" x14ac:dyDescent="0.3">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5" s="193"/>
      <c r="D695" s="193" t="s">
        <v>1486</v>
      </c>
      <c r="E695" s="193"/>
      <c r="F695" s="193"/>
      <c r="G695" s="193"/>
      <c r="H695" s="193"/>
      <c r="I695" s="193"/>
      <c r="J695" s="193"/>
    </row>
    <row r="696" spans="1:10" x14ac:dyDescent="0.3">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6" s="193"/>
      <c r="D696" s="193">
        <v>504</v>
      </c>
      <c r="E696" s="193"/>
      <c r="F696" s="193"/>
      <c r="G696" s="193"/>
      <c r="H696" s="193"/>
      <c r="I696" s="193"/>
      <c r="J696" s="193"/>
    </row>
    <row r="697" spans="1:10" x14ac:dyDescent="0.3">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10" x14ac:dyDescent="0.3">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10" x14ac:dyDescent="0.3">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10" x14ac:dyDescent="0.3">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10" x14ac:dyDescent="0.3">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10" x14ac:dyDescent="0.3">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10" x14ac:dyDescent="0.3">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10" x14ac:dyDescent="0.3">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3">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3">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3">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3">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3">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3">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3">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3">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3">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3">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3">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3">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3">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3">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3">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3">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3">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3">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3">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3">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3">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3">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3">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3">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3">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3">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3">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3">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3">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3">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3">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3">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3">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3">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3">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3">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3">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3">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3">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3">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3">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3">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3">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3">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3">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3">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3">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3">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3">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3">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3">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3">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3">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3">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3">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3">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3">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3">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3">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3">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3">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3">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3">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3">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3">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3">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3">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3">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3">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3">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3">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3">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3">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3">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3">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3">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3">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3">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3">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3">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3">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3">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3">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3">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3">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3">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3">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3">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3">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3">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3">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3">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3">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3">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3">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3">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3">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3">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3">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3">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3">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3">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3">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3">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3">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3">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3">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3">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3">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3">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3">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3">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3">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3">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3">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3">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3">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3">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3">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3">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3">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3">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3">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3">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3">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3">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3">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3">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3">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3">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3">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3">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3">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3">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3">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3">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3">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3">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3">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3">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3">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3">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3">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3">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3">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3">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3">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3">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3">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3">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3">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3">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3">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3">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3">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3">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3">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3">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3">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3">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3">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3">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3">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3">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3">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3">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3">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3">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3">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3">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3">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3">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3">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3">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3">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3">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3">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3">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3">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3">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3">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3">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3">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3">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3">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3">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3">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3">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3">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3">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3">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3">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3">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3">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3">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3">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3">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3">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3">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3">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3">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3">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3">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3">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3">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3">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3">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3">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3">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3">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3">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3">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3">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3">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3">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3">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3">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3">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3">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3">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3">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3">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3">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3">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3">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3">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3">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3">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3">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3">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3">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3">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3">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3">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3">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3">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3">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3">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3">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3">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3">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3">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3">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3">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3">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3">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3">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3">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3">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3">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3">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3">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3">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3">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3">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3">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3">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3">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3">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3">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3">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3">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3">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3">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3">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3">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3">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3">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3">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3">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3">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3">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3">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3">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3">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3">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3">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3">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3">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3">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3">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3">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3">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3">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3">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3">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3">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3">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3">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3">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3">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3">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3">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3">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3">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3">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3">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3">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3">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3">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3">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3">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3">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3">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3">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3">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3">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3">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3">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3">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3">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3">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3">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3">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3">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3">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3">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3">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3">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3">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3">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3">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3">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3">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3">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3">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3">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3">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3">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3">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3">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3">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3">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3">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3">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3">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3">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3">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3">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3">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3">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3">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3">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3">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3">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3">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3">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3">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3">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3">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3">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3">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3">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3">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3">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3">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3">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3">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3">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3">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3">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3">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3">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3">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3">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3">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3">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3">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3">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3">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3">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3">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3">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3">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3">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3">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3">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3">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3">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3">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3">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3">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3">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3">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3">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3">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3">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3">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3">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3">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3">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3">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3">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3">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3">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3">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3">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3">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3">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3">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3">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3">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3">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3">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3">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3">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3">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3">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3">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3">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3">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3">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3">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3">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3">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3">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3">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3">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3">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3">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3">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3">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3">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3">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3">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3">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3">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3">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3">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3">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3">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3">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3">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3">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3">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3">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3">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3">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3">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3">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3">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3">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3">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3">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3">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3">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3">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3">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3">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3">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3">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3">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3">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3">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3">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3">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3">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3">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3">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3">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3">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3">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3">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3">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3">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3">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3">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3">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3">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3">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3">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3">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3">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3">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3">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3">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3">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3">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3">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3">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3">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3">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3">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3">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3">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3">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3">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3">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3">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3">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3">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3">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3">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3">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3">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3">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3">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3">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3">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3">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3">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3">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3">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3">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3">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3">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3">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3">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3">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3">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3">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3">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3">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3">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3">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3">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3">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3">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3">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3">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3">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3">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3">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3">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3">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3">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3">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3">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3">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3">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3">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3">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3">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3">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3">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3">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3">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3">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3">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3">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3">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3">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3">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3">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3">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3">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3">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3">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3">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3">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3">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3">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3">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3">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3">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3">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3">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3">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3">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3">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3">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3">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3">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3">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3">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3">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3">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3">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3">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3">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3">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3">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3">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3">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3">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3">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3">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3">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3">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3">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3">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3">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3">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3">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3">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3">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3">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3">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3">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3">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3">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3">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3">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3">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3">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3">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3">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3">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3">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3">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3">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3">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3">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3">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3">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3">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3">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3">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3">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3">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3">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3">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3">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3">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3">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3">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3">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3">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3">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3">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3">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3">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3">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3">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3">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3">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3">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3">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3">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3">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3">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3">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3">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3">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3">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3">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3">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3">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3">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3">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3">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3">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3">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3">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3">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3">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3">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3">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3">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3">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3">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3">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3">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3">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3">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3">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3">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3">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3">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3">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3">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3">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3">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3">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3">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3">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3">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3">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3">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3">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3">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3">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3">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3">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3">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3">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3">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3">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3">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3">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3">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3">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3">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3">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3">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3">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3">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3">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3">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3">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3">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3">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3">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3">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3">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3">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3">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3">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3">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3">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3">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3">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3">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3">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3">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3">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3">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3">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3">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3">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3">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3">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3">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3">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3">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3">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3">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3">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3">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3">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3">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3">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3">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3">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3">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3">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3">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3">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3">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3">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3">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3">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3">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3">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3">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3">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3">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3">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3">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3">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3">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3">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3">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3">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3">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3">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3">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3">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3">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3">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3">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3">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3">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3">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3">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3">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3">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3">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3">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3">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3">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3">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3">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3">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3">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3">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3">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3">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3">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3">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3">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3">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3">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3">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3">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3">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3">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3">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3">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3">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3">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3">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3">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3">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3">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3">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3">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3">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3">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3">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3">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3">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3">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3">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3">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3">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3">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3">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3">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3">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3">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3">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3">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3">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3">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3">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3">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3">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3">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3">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3">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3">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3">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3">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3">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3">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3">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3">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3">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3">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3">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3">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3">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3">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3">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3">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3">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3">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3">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3">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3">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3">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3">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3">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3">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3">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3">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3">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3">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3">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3">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3">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3">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3">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3">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3">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3">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3">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3">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3">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3">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3">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3">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3">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3">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3">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3">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3">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3">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3">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3">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3">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3">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3">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3">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3">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3">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3">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3">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3">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3">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3">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3">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3">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3">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3">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3">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3">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3">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3">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3">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3">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3">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3">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3">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3">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3">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3">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3">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3">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3">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3">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3">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3">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3">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3">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3">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3">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3">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3">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3">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3">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3">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3">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3">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3">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3">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3">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3">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3">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3">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3">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3">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3">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3">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3">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3">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3">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3">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3">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3">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3">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3">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3">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3">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3">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3">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3">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3">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3">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3">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3">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3">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3">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3">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3">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3">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3">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3">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3">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3">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3">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3">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3">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3">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3">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3">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3">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3">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3">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3">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3">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3">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3">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3">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3">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3">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3">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3">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3">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3">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3">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3">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3">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3">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3">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3">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3">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3">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3">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3">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3">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3">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3">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3">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3">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3">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3">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3">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3">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3">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3">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3">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3">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3">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3">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3">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3">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3">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3">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3">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3">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3">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3">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3">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3">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3">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3">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3">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3">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3">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3">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3">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3">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3">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3">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3">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24" priority="1" operator="containsText" text="ERREUR">
      <formula>NOT(ISERROR(SEARCH("ERREUR",A1)))</formula>
    </cfRule>
    <cfRule type="containsText" dxfId="23" priority="2" operator="containsText" text="OK">
      <formula>NOT(ISERROR(SEARCH("OK",A1)))</formula>
    </cfRule>
  </conditionalFormatting>
  <pageMargins left="0.7" right="0.7" top="0.75" bottom="0.75" header="0.3" footer="0.3"/>
  <pageSetup paperSize="9" orientation="portrait" horizontalDpi="300" verticalDpi="300" r:id="rId2"/>
  <headerFooter>
    <oddFooter>&amp;C&amp;1#&amp;"Arial"&amp;10&amp;K000000Internal</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B1" zoomScale="50" zoomScaleNormal="50" zoomScaleSheetLayoutView="40" zoomScalePageLayoutView="30" workbookViewId="0">
      <selection activeCell="F14" sqref="F14"/>
    </sheetView>
  </sheetViews>
  <sheetFormatPr defaultColWidth="9.21875" defaultRowHeight="14.4" x14ac:dyDescent="0.3"/>
  <cols>
    <col min="1" max="1" width="33.5546875" style="1" customWidth="1"/>
    <col min="2" max="2" width="14.77734375" style="1" customWidth="1"/>
    <col min="3" max="5" width="25.77734375" style="1" bestFit="1" customWidth="1"/>
    <col min="6" max="8" width="26.44140625" style="1" bestFit="1" customWidth="1"/>
    <col min="9" max="9" width="26.44140625" style="1" customWidth="1"/>
    <col min="10" max="10" width="25.77734375" style="1" bestFit="1" customWidth="1"/>
    <col min="11" max="11" width="26.44140625" style="1" bestFit="1" customWidth="1"/>
    <col min="12" max="13" width="26.44140625" style="1" customWidth="1"/>
    <col min="14" max="14" width="11.77734375" style="1" customWidth="1"/>
    <col min="15" max="15" width="14.77734375" style="1" customWidth="1"/>
    <col min="16" max="16" width="17.77734375" style="1" customWidth="1"/>
    <col min="17" max="18" width="25.77734375" style="1" bestFit="1" customWidth="1"/>
    <col min="19" max="22" width="25.77734375" style="1" customWidth="1"/>
    <col min="23" max="16384" width="9.21875" style="1"/>
  </cols>
  <sheetData>
    <row r="1" spans="1:22" ht="26.4" thickBot="1" x14ac:dyDescent="0.55000000000000004">
      <c r="A1" s="216" t="s">
        <v>43</v>
      </c>
      <c r="B1" s="217"/>
      <c r="C1" s="217"/>
      <c r="D1" s="217"/>
      <c r="E1" s="217"/>
      <c r="F1" s="217"/>
      <c r="G1" s="217"/>
      <c r="H1" s="217"/>
      <c r="I1" s="217"/>
      <c r="J1" s="217"/>
      <c r="K1" s="217"/>
      <c r="L1" s="217"/>
      <c r="M1" s="217"/>
      <c r="N1" s="217"/>
      <c r="O1" s="217"/>
      <c r="P1" s="217"/>
      <c r="Q1" s="217"/>
      <c r="R1" s="217"/>
      <c r="S1" s="217"/>
      <c r="T1" s="217"/>
      <c r="U1" s="217"/>
      <c r="V1" s="217"/>
    </row>
    <row r="2" spans="1:22" ht="15" thickBot="1" x14ac:dyDescent="0.35"/>
    <row r="3" spans="1:22" ht="15" thickBot="1" x14ac:dyDescent="0.35">
      <c r="A3" s="150" t="s">
        <v>22</v>
      </c>
      <c r="B3" s="224" t="s">
        <v>6</v>
      </c>
      <c r="C3" s="225"/>
      <c r="D3" s="225"/>
      <c r="E3" s="225"/>
      <c r="F3" s="225"/>
      <c r="G3" s="225"/>
      <c r="H3" s="225"/>
      <c r="I3" s="225"/>
      <c r="J3" s="225"/>
      <c r="K3" s="225"/>
      <c r="L3" s="225"/>
      <c r="M3" s="225"/>
      <c r="O3" s="224" t="s">
        <v>3</v>
      </c>
      <c r="P3" s="225"/>
      <c r="Q3" s="225"/>
      <c r="R3" s="225"/>
      <c r="S3" s="225"/>
      <c r="T3" s="225"/>
      <c r="U3" s="225"/>
      <c r="V3" s="225"/>
    </row>
    <row r="4" spans="1:22" x14ac:dyDescent="0.3">
      <c r="A4" s="34" t="s">
        <v>41</v>
      </c>
      <c r="B4" s="35" t="str">
        <f>'Page de garde'!A7</f>
        <v>Témoin solvant</v>
      </c>
      <c r="C4" s="35" t="str">
        <f>'Page de garde'!A9</f>
        <v>EE2-33.8ng/L</v>
      </c>
      <c r="D4" s="35" t="str">
        <f>'Page de garde'!A10</f>
        <v>EE2-50.6ng/L</v>
      </c>
      <c r="E4" s="35" t="str">
        <f>'Page de garde'!A11</f>
        <v>EE2-76ng/L</v>
      </c>
      <c r="F4" s="35" t="str">
        <f>'Page de garde'!A12</f>
        <v>EE2-114ng/L</v>
      </c>
      <c r="G4" s="35" t="str">
        <f>'Page de garde'!A13</f>
        <v>EE2-170.9ng/L</v>
      </c>
      <c r="H4" s="35" t="str">
        <f>'Page de garde'!A14</f>
        <v>EE2-488ng/L</v>
      </c>
      <c r="I4" s="35" t="str">
        <f>'Page de garde'!A15</f>
        <v>Arabinose-0.01mg/L</v>
      </c>
      <c r="J4" s="35" t="str">
        <f>'Page de garde'!A16</f>
        <v>Arabinose-0.1mg/L</v>
      </c>
      <c r="K4" s="35" t="str">
        <f>'Page de garde'!A17</f>
        <v>Arabinose-1mg/L</v>
      </c>
      <c r="L4" s="35" t="str">
        <f>'Page de garde'!A18</f>
        <v>Arabinose-10mg/L</v>
      </c>
      <c r="M4" s="35" t="str">
        <f>'Page de garde'!A19</f>
        <v>Arabinose-100mg/L</v>
      </c>
      <c r="N4" s="3"/>
      <c r="O4" s="36" t="str">
        <f>'Page de garde'!A36</f>
        <v>Testo -30µg/L</v>
      </c>
      <c r="P4" s="36" t="str">
        <f>'Page de garde'!A37</f>
        <v>Testo 30µg/L + EE2 -64ng/L</v>
      </c>
      <c r="Q4" s="36" t="str">
        <f>'Page de garde'!A38</f>
        <v>Testo 30µg/L + FAD-10µg/L</v>
      </c>
      <c r="R4" s="36" t="str">
        <f>'Page de garde'!A39</f>
        <v>Arabinose-0.01mg/L + Testostérone</v>
      </c>
      <c r="S4" s="36" t="str">
        <f>'Page de garde'!A40</f>
        <v>Arabinose-0.1mg/L + Testostérone</v>
      </c>
      <c r="T4" s="36" t="str">
        <f>'Page de garde'!A41</f>
        <v>Arabinose-1mg/L + Testostérone</v>
      </c>
      <c r="U4" s="36" t="str">
        <f>'Page de garde'!A42</f>
        <v>Arabinose-10mg/L + Testostérone</v>
      </c>
      <c r="V4" s="36" t="str">
        <f>'Page de garde'!A43</f>
        <v>Arabinose-100mg/L + Testostérone</v>
      </c>
    </row>
    <row r="5" spans="1:22" x14ac:dyDescent="0.3">
      <c r="A5" s="226" t="s">
        <v>33</v>
      </c>
      <c r="B5" s="197">
        <v>164774</v>
      </c>
      <c r="C5" s="197">
        <v>169233</v>
      </c>
      <c r="D5" s="197"/>
      <c r="E5" s="197">
        <v>251886.5</v>
      </c>
      <c r="F5" s="197">
        <v>1085621</v>
      </c>
      <c r="G5" s="197">
        <v>3328933.3333333335</v>
      </c>
      <c r="H5" s="197">
        <v>4815509</v>
      </c>
      <c r="I5" s="197">
        <v>1399854.5</v>
      </c>
      <c r="J5" s="197">
        <v>404554.66666666669</v>
      </c>
      <c r="K5" s="197">
        <v>50969</v>
      </c>
      <c r="L5" s="197">
        <v>190461.33333333334</v>
      </c>
      <c r="M5" s="197">
        <v>101546.33333333333</v>
      </c>
      <c r="N5" s="3"/>
      <c r="O5" s="197">
        <v>196491</v>
      </c>
      <c r="P5" s="197">
        <v>554155</v>
      </c>
      <c r="Q5" s="197">
        <v>156685</v>
      </c>
      <c r="R5" s="197">
        <v>252749.66666666666</v>
      </c>
      <c r="S5" s="197">
        <v>199568.66666666666</v>
      </c>
      <c r="T5" s="197">
        <v>645891</v>
      </c>
      <c r="U5" s="197">
        <v>835141</v>
      </c>
      <c r="V5" s="197">
        <v>87330.5</v>
      </c>
    </row>
    <row r="6" spans="1:22" x14ac:dyDescent="0.3">
      <c r="A6" s="226"/>
      <c r="B6" s="197">
        <v>164966</v>
      </c>
      <c r="C6" s="197">
        <v>52481</v>
      </c>
      <c r="D6" s="197">
        <v>174487</v>
      </c>
      <c r="E6" s="197"/>
      <c r="F6" s="197">
        <v>302953.5</v>
      </c>
      <c r="G6" s="197">
        <v>2895696.5</v>
      </c>
      <c r="H6" s="197">
        <v>4168889.3333333335</v>
      </c>
      <c r="I6" s="197">
        <v>310698</v>
      </c>
      <c r="J6" s="197">
        <v>170339</v>
      </c>
      <c r="K6" s="197">
        <v>108486</v>
      </c>
      <c r="L6" s="197">
        <v>17628</v>
      </c>
      <c r="M6" s="197">
        <v>159600</v>
      </c>
      <c r="N6" s="3"/>
      <c r="O6" s="197">
        <v>1747348.6666666667</v>
      </c>
      <c r="P6" s="197">
        <v>2294854.3333333335</v>
      </c>
      <c r="Q6" s="197">
        <v>268180.5</v>
      </c>
      <c r="R6" s="197">
        <v>32391.5</v>
      </c>
      <c r="S6" s="197">
        <v>65196</v>
      </c>
      <c r="T6" s="197">
        <v>213883</v>
      </c>
      <c r="U6" s="197">
        <v>1539738</v>
      </c>
      <c r="V6" s="197">
        <v>991732</v>
      </c>
    </row>
    <row r="7" spans="1:22" x14ac:dyDescent="0.3">
      <c r="A7" s="226"/>
      <c r="B7" s="197">
        <v>320933</v>
      </c>
      <c r="C7" s="197">
        <v>525168.5</v>
      </c>
      <c r="D7" s="197">
        <v>30781.5</v>
      </c>
      <c r="E7" s="197">
        <v>103754.5</v>
      </c>
      <c r="F7" s="197">
        <v>746966.33333333337</v>
      </c>
      <c r="G7" s="197">
        <v>1565530.6666666667</v>
      </c>
      <c r="H7" s="197">
        <v>2417509.6666666665</v>
      </c>
      <c r="I7" s="197">
        <v>167830.33333333334</v>
      </c>
      <c r="J7" s="197">
        <v>29009</v>
      </c>
      <c r="K7" s="197">
        <v>27083</v>
      </c>
      <c r="L7" s="197">
        <v>180331.33333333334</v>
      </c>
      <c r="M7" s="197">
        <v>104527</v>
      </c>
      <c r="N7" s="3"/>
      <c r="O7" s="197"/>
      <c r="P7" s="197">
        <v>2868805.3333333335</v>
      </c>
      <c r="Q7" s="197">
        <v>42420</v>
      </c>
      <c r="R7" s="197">
        <v>2114102.3333333335</v>
      </c>
      <c r="S7" s="197">
        <v>380321</v>
      </c>
      <c r="T7" s="197">
        <v>1431266.3333333333</v>
      </c>
      <c r="U7" s="197">
        <v>1391239.6666666667</v>
      </c>
      <c r="V7" s="197">
        <v>731520.66666666663</v>
      </c>
    </row>
    <row r="8" spans="1:22" x14ac:dyDescent="0.3">
      <c r="A8" s="226"/>
      <c r="B8" s="197">
        <v>54514.666666666664</v>
      </c>
      <c r="C8" s="197">
        <v>94889.666666666672</v>
      </c>
      <c r="D8" s="197">
        <v>19324.666666666668</v>
      </c>
      <c r="E8" s="197">
        <v>28280</v>
      </c>
      <c r="F8" s="197">
        <v>1514097.6666666667</v>
      </c>
      <c r="G8" s="197">
        <v>2936518</v>
      </c>
      <c r="H8" s="197">
        <v>7612922.5</v>
      </c>
      <c r="I8" s="197">
        <v>15278.666666666666</v>
      </c>
      <c r="J8" s="197">
        <v>14879.5</v>
      </c>
      <c r="K8" s="197">
        <v>43101.333333333336</v>
      </c>
      <c r="L8" s="197">
        <v>89966.333333333328</v>
      </c>
      <c r="M8" s="197">
        <v>13530.666666666666</v>
      </c>
      <c r="N8" s="3"/>
      <c r="O8" s="197">
        <v>1455239</v>
      </c>
      <c r="P8" s="197">
        <v>2464657</v>
      </c>
      <c r="Q8" s="197">
        <v>22761.666666666668</v>
      </c>
      <c r="R8" s="197">
        <v>2610168</v>
      </c>
      <c r="S8" s="197">
        <v>764405</v>
      </c>
      <c r="T8" s="197">
        <v>1407946.6666666667</v>
      </c>
      <c r="U8" s="197">
        <v>2030843.6666666667</v>
      </c>
      <c r="V8" s="197">
        <v>1675126</v>
      </c>
    </row>
    <row r="9" spans="1:22" x14ac:dyDescent="0.3">
      <c r="A9" s="226"/>
      <c r="B9" s="197">
        <v>101118.66666666667</v>
      </c>
      <c r="C9" s="197">
        <v>21079</v>
      </c>
      <c r="D9" s="197">
        <v>148556</v>
      </c>
      <c r="E9" s="197">
        <v>80837</v>
      </c>
      <c r="F9" s="197">
        <v>6722</v>
      </c>
      <c r="G9" s="197">
        <v>3682591.6666666665</v>
      </c>
      <c r="H9" s="197">
        <v>5468045.5</v>
      </c>
      <c r="I9" s="197">
        <v>67970</v>
      </c>
      <c r="J9" s="197">
        <v>70489.333333333328</v>
      </c>
      <c r="K9" s="197">
        <v>879026</v>
      </c>
      <c r="L9" s="197">
        <v>27312</v>
      </c>
      <c r="M9" s="197">
        <v>15923.666666666666</v>
      </c>
      <c r="N9" s="3"/>
      <c r="O9" s="197">
        <v>1706495</v>
      </c>
      <c r="P9" s="197">
        <v>2965501</v>
      </c>
      <c r="Q9" s="197">
        <v>38406.5</v>
      </c>
      <c r="R9" s="197">
        <v>128593.33333333333</v>
      </c>
      <c r="S9" s="197">
        <v>51701.666666666664</v>
      </c>
      <c r="T9" s="197">
        <v>1067906</v>
      </c>
      <c r="U9" s="197">
        <v>2372638.3333333335</v>
      </c>
      <c r="V9" s="197">
        <v>2671317.5</v>
      </c>
    </row>
    <row r="10" spans="1:22" x14ac:dyDescent="0.3">
      <c r="A10" s="226"/>
      <c r="B10" s="197"/>
      <c r="C10" s="197">
        <v>30259.5</v>
      </c>
      <c r="D10" s="197">
        <v>30662</v>
      </c>
      <c r="E10" s="197">
        <v>911569</v>
      </c>
      <c r="F10" s="197">
        <v>658326.33333333337</v>
      </c>
      <c r="G10" s="197">
        <v>3781070.6666666665</v>
      </c>
      <c r="H10" s="197">
        <v>2677038.5</v>
      </c>
      <c r="I10" s="197">
        <v>216805.33333333334</v>
      </c>
      <c r="J10" s="197">
        <v>56052.333333333336</v>
      </c>
      <c r="K10" s="197">
        <v>105234</v>
      </c>
      <c r="L10" s="197">
        <v>69517.666666666672</v>
      </c>
      <c r="M10" s="197">
        <v>210700</v>
      </c>
      <c r="N10" s="3"/>
      <c r="O10" s="197">
        <v>256063.33333333334</v>
      </c>
      <c r="P10" s="197">
        <v>3081746</v>
      </c>
      <c r="Q10" s="197">
        <v>24179</v>
      </c>
      <c r="R10" s="197">
        <v>817180</v>
      </c>
      <c r="S10" s="197">
        <v>1126032.3333333333</v>
      </c>
      <c r="T10" s="197">
        <v>1449025</v>
      </c>
      <c r="U10" s="197">
        <v>1998256</v>
      </c>
      <c r="V10" s="197">
        <v>1157662.3333333333</v>
      </c>
    </row>
    <row r="11" spans="1:22" x14ac:dyDescent="0.3">
      <c r="A11" s="226"/>
      <c r="B11" s="197">
        <v>85862</v>
      </c>
      <c r="C11" s="197">
        <v>88545</v>
      </c>
      <c r="D11" s="197">
        <v>62738</v>
      </c>
      <c r="E11" s="197">
        <v>295989</v>
      </c>
      <c r="F11" s="197">
        <v>419749.5</v>
      </c>
      <c r="G11" s="197">
        <v>1458669</v>
      </c>
      <c r="H11" s="197">
        <v>2592221</v>
      </c>
      <c r="I11" s="197">
        <v>76065.666666666672</v>
      </c>
      <c r="J11" s="197">
        <v>12327</v>
      </c>
      <c r="K11" s="197">
        <v>17925</v>
      </c>
      <c r="L11" s="197">
        <v>94009</v>
      </c>
      <c r="M11" s="197">
        <v>28519</v>
      </c>
      <c r="N11" s="3"/>
      <c r="O11" s="197">
        <v>612368.33333333337</v>
      </c>
      <c r="P11" s="197">
        <v>4025198.6666666665</v>
      </c>
      <c r="Q11" s="197">
        <v>89908.5</v>
      </c>
      <c r="R11" s="197">
        <v>725524</v>
      </c>
      <c r="S11" s="197">
        <v>449084.66666666669</v>
      </c>
      <c r="T11" s="197">
        <v>3062645.6666666665</v>
      </c>
      <c r="U11" s="197">
        <v>2893967.6666666665</v>
      </c>
      <c r="V11" s="197">
        <v>1984979.3333333333</v>
      </c>
    </row>
    <row r="12" spans="1:22" x14ac:dyDescent="0.3">
      <c r="A12" s="226"/>
      <c r="B12" s="197">
        <v>10442</v>
      </c>
      <c r="C12" s="197">
        <v>12653.333333333334</v>
      </c>
      <c r="D12" s="197">
        <v>137614.5</v>
      </c>
      <c r="E12" s="197">
        <v>40708.666666666664</v>
      </c>
      <c r="F12" s="197">
        <v>92366</v>
      </c>
      <c r="G12" s="197">
        <v>2432686.3333333335</v>
      </c>
      <c r="H12" s="197">
        <v>5835162</v>
      </c>
      <c r="I12" s="197">
        <v>14256</v>
      </c>
      <c r="J12" s="197">
        <v>130610</v>
      </c>
      <c r="K12" s="197">
        <v>215253</v>
      </c>
      <c r="L12" s="197">
        <v>92613</v>
      </c>
      <c r="M12" s="197">
        <v>377819</v>
      </c>
      <c r="N12" s="3"/>
      <c r="O12" s="197">
        <v>1739814.3333333333</v>
      </c>
      <c r="P12" s="197">
        <v>2364299.6666666665</v>
      </c>
      <c r="Q12" s="197">
        <v>20202.333333333332</v>
      </c>
      <c r="R12" s="197">
        <v>496203</v>
      </c>
      <c r="S12" s="197">
        <v>3243492.3333333335</v>
      </c>
      <c r="T12" s="197">
        <v>3307571.3333333335</v>
      </c>
      <c r="U12" s="197">
        <v>1765991.6666666667</v>
      </c>
      <c r="V12" s="197">
        <v>1748197</v>
      </c>
    </row>
    <row r="13" spans="1:22" ht="16.8" x14ac:dyDescent="0.3">
      <c r="A13" s="226"/>
      <c r="B13" s="14"/>
      <c r="C13" s="13"/>
      <c r="D13" s="32"/>
      <c r="E13" s="32"/>
      <c r="F13" s="32"/>
      <c r="G13" s="32"/>
      <c r="H13" s="32"/>
      <c r="I13" s="32"/>
      <c r="J13" s="32"/>
      <c r="K13" s="13"/>
      <c r="L13" s="13"/>
      <c r="M13" s="13"/>
      <c r="N13" s="3"/>
      <c r="O13" s="197">
        <v>678282</v>
      </c>
      <c r="P13" s="13"/>
      <c r="Q13" s="13"/>
      <c r="R13" s="32"/>
      <c r="S13" s="32"/>
      <c r="T13" s="32"/>
      <c r="U13" s="32"/>
      <c r="V13" s="32"/>
    </row>
    <row r="14" spans="1:22" ht="16.8" x14ac:dyDescent="0.3">
      <c r="A14" s="226"/>
      <c r="B14" s="14"/>
      <c r="C14" s="32"/>
      <c r="D14" s="32"/>
      <c r="E14" s="32"/>
      <c r="F14" s="32"/>
      <c r="G14" s="32"/>
      <c r="H14" s="32"/>
      <c r="I14" s="32"/>
      <c r="J14" s="32"/>
      <c r="K14" s="13"/>
      <c r="L14" s="13"/>
      <c r="M14" s="13"/>
      <c r="N14" s="3"/>
      <c r="O14" s="197">
        <v>1630846.5</v>
      </c>
      <c r="P14" s="13"/>
      <c r="Q14" s="13"/>
      <c r="R14" s="32"/>
      <c r="S14" s="32"/>
      <c r="T14" s="32"/>
      <c r="U14" s="32"/>
      <c r="V14" s="32"/>
    </row>
    <row r="15" spans="1:22" ht="16.8" x14ac:dyDescent="0.3">
      <c r="A15" s="226"/>
      <c r="B15" s="14"/>
      <c r="C15" s="32"/>
      <c r="D15" s="32"/>
      <c r="E15" s="32"/>
      <c r="F15" s="32"/>
      <c r="G15" s="32"/>
      <c r="H15" s="32"/>
      <c r="I15" s="32"/>
      <c r="J15" s="32"/>
      <c r="K15" s="13"/>
      <c r="L15" s="13"/>
      <c r="M15" s="13"/>
      <c r="N15" s="3"/>
      <c r="O15" s="197">
        <v>869008</v>
      </c>
      <c r="P15" s="13"/>
      <c r="Q15" s="13"/>
      <c r="R15" s="32"/>
      <c r="S15" s="32"/>
      <c r="T15" s="32"/>
      <c r="U15" s="32"/>
      <c r="V15" s="32"/>
    </row>
    <row r="16" spans="1:22" ht="16.8" x14ac:dyDescent="0.3">
      <c r="A16" s="226"/>
      <c r="B16" s="14"/>
      <c r="C16" s="32"/>
      <c r="D16" s="32"/>
      <c r="E16" s="32"/>
      <c r="F16" s="32"/>
      <c r="G16" s="32"/>
      <c r="H16" s="32"/>
      <c r="I16" s="32"/>
      <c r="J16" s="32"/>
      <c r="K16" s="13"/>
      <c r="L16" s="13"/>
      <c r="M16" s="13"/>
      <c r="N16" s="3"/>
      <c r="O16" s="197">
        <v>875770</v>
      </c>
      <c r="P16" s="13"/>
      <c r="Q16" s="13"/>
      <c r="R16" s="32"/>
      <c r="S16" s="32"/>
      <c r="T16" s="32"/>
      <c r="U16" s="32"/>
      <c r="V16" s="32"/>
    </row>
    <row r="17" spans="1:22" ht="16.8" x14ac:dyDescent="0.3">
      <c r="A17" s="226"/>
      <c r="B17" s="14"/>
      <c r="C17" s="32"/>
      <c r="D17" s="32"/>
      <c r="E17" s="32"/>
      <c r="F17" s="32"/>
      <c r="G17" s="32"/>
      <c r="H17" s="32"/>
      <c r="I17" s="32"/>
      <c r="J17" s="32"/>
      <c r="K17" s="13"/>
      <c r="L17" s="13"/>
      <c r="M17" s="13"/>
      <c r="N17" s="3"/>
      <c r="O17" s="197">
        <v>2312126.6666666665</v>
      </c>
      <c r="P17" s="13"/>
      <c r="Q17" s="13"/>
      <c r="R17" s="32"/>
      <c r="S17" s="32"/>
      <c r="T17" s="32"/>
      <c r="U17" s="32"/>
      <c r="V17" s="32"/>
    </row>
    <row r="18" spans="1:22" ht="16.8" x14ac:dyDescent="0.3">
      <c r="A18" s="226"/>
      <c r="B18" s="14"/>
      <c r="C18" s="32"/>
      <c r="D18" s="32"/>
      <c r="E18" s="32"/>
      <c r="F18" s="32"/>
      <c r="G18" s="32"/>
      <c r="H18" s="32"/>
      <c r="I18" s="32"/>
      <c r="J18" s="32"/>
      <c r="K18" s="13"/>
      <c r="L18" s="13"/>
      <c r="M18" s="13"/>
      <c r="N18" s="3"/>
      <c r="O18" s="197">
        <v>1088884.3333333333</v>
      </c>
      <c r="P18" s="13"/>
      <c r="Q18" s="13"/>
      <c r="R18" s="32"/>
      <c r="S18" s="32"/>
      <c r="T18" s="32"/>
      <c r="U18" s="32"/>
      <c r="V18" s="32"/>
    </row>
    <row r="19" spans="1:22" ht="16.8" x14ac:dyDescent="0.3">
      <c r="A19" s="226"/>
      <c r="B19" s="14"/>
      <c r="C19" s="32"/>
      <c r="D19" s="32"/>
      <c r="E19" s="32"/>
      <c r="F19" s="32"/>
      <c r="G19" s="32"/>
      <c r="H19" s="32"/>
      <c r="I19" s="32"/>
      <c r="J19" s="32"/>
      <c r="K19" s="13"/>
      <c r="L19" s="13"/>
      <c r="M19" s="13"/>
      <c r="N19" s="3"/>
      <c r="O19" s="197">
        <v>528282.66666666663</v>
      </c>
      <c r="P19" s="13"/>
      <c r="Q19" s="13"/>
      <c r="R19" s="32"/>
      <c r="S19" s="32"/>
      <c r="T19" s="32"/>
      <c r="U19" s="32"/>
      <c r="V19" s="32"/>
    </row>
    <row r="20" spans="1:22" ht="16.8" x14ac:dyDescent="0.3">
      <c r="A20" s="226"/>
      <c r="B20" s="14"/>
      <c r="C20" s="32"/>
      <c r="D20" s="32"/>
      <c r="E20" s="32"/>
      <c r="F20" s="32"/>
      <c r="G20" s="32"/>
      <c r="H20" s="32"/>
      <c r="I20" s="32"/>
      <c r="J20" s="32"/>
      <c r="K20" s="13"/>
      <c r="L20" s="13"/>
      <c r="M20" s="13"/>
      <c r="N20" s="3"/>
      <c r="O20" s="197">
        <v>534467.66666666663</v>
      </c>
      <c r="P20" s="13"/>
      <c r="Q20" s="13"/>
      <c r="R20" s="32"/>
      <c r="S20" s="32"/>
      <c r="T20" s="32"/>
      <c r="U20" s="32"/>
      <c r="V20" s="32"/>
    </row>
    <row r="21" spans="1:22" x14ac:dyDescent="0.3">
      <c r="A21" s="3"/>
      <c r="B21" s="7"/>
      <c r="C21" s="7"/>
      <c r="D21" s="7"/>
      <c r="E21" s="7"/>
      <c r="F21" s="7"/>
      <c r="G21" s="7"/>
      <c r="H21" s="7"/>
      <c r="I21" s="7"/>
      <c r="J21" s="7"/>
      <c r="N21" s="3"/>
      <c r="O21" s="7"/>
      <c r="R21" s="7"/>
      <c r="S21" s="7"/>
      <c r="T21" s="7"/>
      <c r="U21" s="7"/>
      <c r="V21" s="7"/>
    </row>
    <row r="22" spans="1:22" x14ac:dyDescent="0.3">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Arabinose-0.01mg/L</v>
      </c>
      <c r="J22" s="3" t="str">
        <f t="shared" si="0"/>
        <v>Arabinose-0.1mg/L</v>
      </c>
      <c r="K22" s="3" t="str">
        <f t="shared" si="0"/>
        <v>Arabinose-1mg/L</v>
      </c>
      <c r="L22" s="3" t="str">
        <f t="shared" si="0"/>
        <v>Arabinose-10mg/L</v>
      </c>
      <c r="M22" s="3" t="str">
        <f t="shared" si="0"/>
        <v>Arabinose-100mg/L</v>
      </c>
      <c r="N22" s="3" t="s">
        <v>41</v>
      </c>
      <c r="O22" s="3" t="str">
        <f t="shared" si="0"/>
        <v>Testo -30µg/L</v>
      </c>
      <c r="P22" s="3" t="str">
        <f t="shared" si="0"/>
        <v>Testo 30µg/L + EE2 -64ng/L</v>
      </c>
      <c r="Q22" s="3" t="str">
        <f t="shared" si="0"/>
        <v>Testo 30µg/L + FAD-10µg/L</v>
      </c>
      <c r="R22" s="3" t="str">
        <f t="shared" si="0"/>
        <v>Arabinose-0.01mg/L + Testostérone</v>
      </c>
      <c r="S22" s="3" t="str">
        <f t="shared" si="0"/>
        <v>Arabinose-0.1mg/L + Testostérone</v>
      </c>
      <c r="T22" s="3" t="str">
        <f t="shared" si="0"/>
        <v>Arabinose-1mg/L + Testostérone</v>
      </c>
      <c r="U22" s="3" t="str">
        <f t="shared" si="0"/>
        <v>Arabinose-10mg/L + Testostérone</v>
      </c>
      <c r="V22" s="3" t="str">
        <f t="shared" si="0"/>
        <v>Arabinose-100mg/L + Testostérone</v>
      </c>
    </row>
    <row r="23" spans="1:22" x14ac:dyDescent="0.3">
      <c r="A23" s="5" t="s">
        <v>0</v>
      </c>
      <c r="B23" s="5">
        <f t="shared" ref="B23:J23" si="1">AVERAGE(B5:B20)</f>
        <v>128944.33333333333</v>
      </c>
      <c r="C23" s="5">
        <f t="shared" si="1"/>
        <v>124288.625</v>
      </c>
      <c r="D23" s="5">
        <f t="shared" si="1"/>
        <v>86309.095238095237</v>
      </c>
      <c r="E23" s="5">
        <f t="shared" si="1"/>
        <v>244717.80952380953</v>
      </c>
      <c r="F23" s="5">
        <f t="shared" si="1"/>
        <v>603350.29166666663</v>
      </c>
      <c r="G23" s="5">
        <f t="shared" si="1"/>
        <v>2760212.020833333</v>
      </c>
      <c r="H23" s="5">
        <f t="shared" si="1"/>
        <v>4448412.1875</v>
      </c>
      <c r="I23" s="5">
        <f t="shared" si="1"/>
        <v>283594.8125</v>
      </c>
      <c r="J23" s="5">
        <f t="shared" si="1"/>
        <v>111032.60416666669</v>
      </c>
      <c r="K23" s="5"/>
      <c r="L23" s="5">
        <f>AVERAGE(L5:L20)</f>
        <v>95229.833333333328</v>
      </c>
      <c r="M23" s="5"/>
      <c r="N23" s="5" t="s">
        <v>0</v>
      </c>
      <c r="O23" s="5">
        <f>AVERAGE(O5:O20)</f>
        <v>1082099.1666666665</v>
      </c>
      <c r="P23" s="5">
        <f>AVERAGE(P5:P20)</f>
        <v>2577402.1250000005</v>
      </c>
      <c r="Q23" s="5">
        <f>AVERAGE(Q5:Q20)</f>
        <v>82842.937500000015</v>
      </c>
      <c r="R23" s="5">
        <f>AVERAGE(R5:R20)</f>
        <v>897113.97916666663</v>
      </c>
      <c r="S23" s="5">
        <f>AVERAGE(S5:S20)</f>
        <v>784975.20833333326</v>
      </c>
      <c r="T23" s="5">
        <f t="shared" ref="T23:V23" si="2">AVERAGE(T5:T20)</f>
        <v>1573266.875</v>
      </c>
      <c r="U23" s="5">
        <f t="shared" si="2"/>
        <v>1853477</v>
      </c>
      <c r="V23" s="5">
        <f t="shared" si="2"/>
        <v>1380983.1666666665</v>
      </c>
    </row>
    <row r="24" spans="1:22" x14ac:dyDescent="0.3">
      <c r="A24" s="3" t="s">
        <v>1</v>
      </c>
      <c r="B24" s="3">
        <f t="shared" ref="B24:J24" si="3">STDEV(B5:B20)</f>
        <v>101368.88663669424</v>
      </c>
      <c r="C24" s="3">
        <f t="shared" si="3"/>
        <v>169865.09474871546</v>
      </c>
      <c r="D24" s="3">
        <f t="shared" si="3"/>
        <v>65198.016127215116</v>
      </c>
      <c r="E24" s="3">
        <f t="shared" si="3"/>
        <v>311598.90496661386</v>
      </c>
      <c r="F24" s="3">
        <f t="shared" si="3"/>
        <v>510841.25262138312</v>
      </c>
      <c r="G24" s="3">
        <f t="shared" si="3"/>
        <v>885951.56337633624</v>
      </c>
      <c r="H24" s="3">
        <f t="shared" si="3"/>
        <v>1847682.7673967229</v>
      </c>
      <c r="I24" s="3">
        <f t="shared" si="3"/>
        <v>462714.33304609999</v>
      </c>
      <c r="J24" s="3">
        <f t="shared" si="3"/>
        <v>131169.68212132339</v>
      </c>
      <c r="K24" s="3"/>
      <c r="L24" s="3">
        <f>STDEV(L5:L20)</f>
        <v>62841.454372498381</v>
      </c>
      <c r="M24" s="3"/>
      <c r="N24" s="3" t="s">
        <v>1</v>
      </c>
      <c r="O24" s="3">
        <f>STDEV(O5:O20)</f>
        <v>641612.471110894</v>
      </c>
      <c r="P24" s="3">
        <f>STDEV(P5:P20)</f>
        <v>986878.22676723055</v>
      </c>
      <c r="Q24" s="3">
        <f>STDEV(Q5:Q20)</f>
        <v>88185.079117950474</v>
      </c>
      <c r="R24" s="3">
        <f>STDEV(R5:R20)</f>
        <v>953621.010669676</v>
      </c>
      <c r="S24" s="3">
        <f>STDEV(S5:S20)</f>
        <v>1058036.5946202208</v>
      </c>
      <c r="T24" s="3">
        <f t="shared" ref="T24:V24" si="4">STDEV(T5:T20)</f>
        <v>1085773.7369534259</v>
      </c>
      <c r="U24" s="3">
        <f t="shared" si="4"/>
        <v>628072.63179017883</v>
      </c>
      <c r="V24" s="3">
        <f t="shared" si="4"/>
        <v>806036.82060096762</v>
      </c>
    </row>
    <row r="25" spans="1:22" ht="15" thickBot="1" x14ac:dyDescent="0.35"/>
    <row r="26" spans="1:22" ht="15" thickBot="1" x14ac:dyDescent="0.35">
      <c r="B26" s="224" t="s">
        <v>6</v>
      </c>
      <c r="C26" s="225"/>
      <c r="D26" s="225"/>
      <c r="E26" s="225"/>
      <c r="F26" s="225"/>
      <c r="G26" s="225"/>
      <c r="H26" s="225"/>
      <c r="I26" s="225"/>
      <c r="J26" s="225"/>
      <c r="K26" s="225"/>
      <c r="L26" s="225"/>
      <c r="M26" s="225"/>
      <c r="O26" s="224" t="s">
        <v>3</v>
      </c>
      <c r="P26" s="225"/>
      <c r="Q26" s="225"/>
      <c r="R26" s="225"/>
      <c r="S26" s="225"/>
      <c r="T26" s="225"/>
      <c r="U26" s="225"/>
      <c r="V26" s="225"/>
    </row>
    <row r="27" spans="1:22" x14ac:dyDescent="0.3">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Arabinose-0.01mg/L</v>
      </c>
      <c r="J27" s="35" t="str">
        <f t="shared" si="5"/>
        <v>Arabinose-0.1mg/L</v>
      </c>
      <c r="K27" s="35" t="str">
        <f t="shared" si="5"/>
        <v>Arabinose-1mg/L</v>
      </c>
      <c r="L27" s="35" t="str">
        <f t="shared" si="5"/>
        <v>Arabinose-10mg/L</v>
      </c>
      <c r="M27" s="35" t="str">
        <f t="shared" si="5"/>
        <v>Arabinose-100mg/L</v>
      </c>
      <c r="N27" s="3"/>
      <c r="O27" s="36" t="str">
        <f>O4</f>
        <v>Testo -30µg/L</v>
      </c>
      <c r="P27" s="36" t="str">
        <f t="shared" ref="P27:V27" si="6">P4</f>
        <v>Testo 30µg/L + EE2 -64ng/L</v>
      </c>
      <c r="Q27" s="36" t="str">
        <f t="shared" si="6"/>
        <v>Testo 30µg/L + FAD-10µg/L</v>
      </c>
      <c r="R27" s="36" t="str">
        <f t="shared" si="6"/>
        <v>Arabinose-0.01mg/L + Testostérone</v>
      </c>
      <c r="S27" s="36" t="str">
        <f t="shared" si="6"/>
        <v>Arabinose-0.1mg/L + Testostérone</v>
      </c>
      <c r="T27" s="36" t="str">
        <f t="shared" si="6"/>
        <v>Arabinose-1mg/L + Testostérone</v>
      </c>
      <c r="U27" s="36" t="str">
        <f t="shared" si="6"/>
        <v>Arabinose-10mg/L + Testostérone</v>
      </c>
      <c r="V27" s="36" t="str">
        <f t="shared" si="6"/>
        <v>Arabinose-100mg/L + Testostérone</v>
      </c>
    </row>
    <row r="28" spans="1:22" x14ac:dyDescent="0.3">
      <c r="A28" s="227" t="s">
        <v>34</v>
      </c>
      <c r="B28" s="11">
        <f t="shared" ref="B28:M28" si="7">IF(B5="","",(B5/$O$23))</f>
        <v>0.15227255049791341</v>
      </c>
      <c r="C28" s="11">
        <f t="shared" si="7"/>
        <v>0.15639324491978943</v>
      </c>
      <c r="D28" s="11" t="str">
        <f t="shared" si="7"/>
        <v/>
      </c>
      <c r="E28" s="11">
        <f t="shared" si="7"/>
        <v>0.23277580073914977</v>
      </c>
      <c r="F28" s="11">
        <f t="shared" si="7"/>
        <v>1.003254630852533</v>
      </c>
      <c r="G28" s="11">
        <f t="shared" si="7"/>
        <v>3.0763662295276393</v>
      </c>
      <c r="H28" s="11">
        <f t="shared" si="7"/>
        <v>4.4501549842551409</v>
      </c>
      <c r="I28" s="11">
        <f t="shared" si="7"/>
        <v>1.2936471472500597</v>
      </c>
      <c r="J28" s="11">
        <f t="shared" si="7"/>
        <v>0.37386099086728813</v>
      </c>
      <c r="K28" s="11">
        <f t="shared" si="7"/>
        <v>4.7101967703206508E-2</v>
      </c>
      <c r="L28" s="11">
        <f t="shared" si="7"/>
        <v>0.17601097866107468</v>
      </c>
      <c r="M28" s="11">
        <f t="shared" si="7"/>
        <v>9.3841984599378217E-2</v>
      </c>
      <c r="N28" s="6"/>
      <c r="O28" s="11">
        <f t="shared" ref="O28:V37" si="8">IF(O5="","",(O5/$O$23))</f>
        <v>0.18158317282997016</v>
      </c>
      <c r="P28" s="11">
        <f t="shared" si="8"/>
        <v>0.51211110503581392</v>
      </c>
      <c r="Q28" s="11">
        <f t="shared" si="8"/>
        <v>0.14479726519211503</v>
      </c>
      <c r="R28" s="11">
        <f t="shared" si="8"/>
        <v>0.23357347870920644</v>
      </c>
      <c r="S28" s="11">
        <f t="shared" si="8"/>
        <v>0.18442733606516348</v>
      </c>
      <c r="T28" s="11">
        <f t="shared" si="8"/>
        <v>0.59688706903788091</v>
      </c>
      <c r="U28" s="11">
        <f t="shared" si="8"/>
        <v>0.77177861856468799</v>
      </c>
      <c r="V28" s="11">
        <f t="shared" si="8"/>
        <v>8.0704710520215731E-2</v>
      </c>
    </row>
    <row r="29" spans="1:22" x14ac:dyDescent="0.3">
      <c r="A29" s="227"/>
      <c r="B29" s="11">
        <f t="shared" ref="B29:M29" si="9">IF(B6="","",(B6/$O$23))</f>
        <v>0.15244998340417046</v>
      </c>
      <c r="C29" s="11">
        <f t="shared" si="9"/>
        <v>4.8499251839980786E-2</v>
      </c>
      <c r="D29" s="11">
        <f t="shared" si="9"/>
        <v>0.16124862246913602</v>
      </c>
      <c r="E29" s="11" t="str">
        <f t="shared" si="9"/>
        <v/>
      </c>
      <c r="F29" s="11">
        <f t="shared" si="9"/>
        <v>0.27996833315492498</v>
      </c>
      <c r="G29" s="11">
        <f t="shared" si="9"/>
        <v>2.6759991960071439</v>
      </c>
      <c r="H29" s="11">
        <f t="shared" si="9"/>
        <v>3.852594532694555</v>
      </c>
      <c r="I29" s="11">
        <f t="shared" si="9"/>
        <v>0.28712525577215275</v>
      </c>
      <c r="J29" s="11">
        <f t="shared" si="9"/>
        <v>0.15741533239020764</v>
      </c>
      <c r="K29" s="11">
        <f t="shared" si="9"/>
        <v>0.10025513681355454</v>
      </c>
      <c r="L29" s="11">
        <f t="shared" si="9"/>
        <v>1.6290558705725527E-2</v>
      </c>
      <c r="M29" s="11">
        <f t="shared" si="9"/>
        <v>0.14749110332617391</v>
      </c>
      <c r="N29" s="6"/>
      <c r="O29" s="11">
        <f t="shared" si="8"/>
        <v>1.6147768342242204</v>
      </c>
      <c r="P29" s="11">
        <f t="shared" si="8"/>
        <v>2.120743092707924</v>
      </c>
      <c r="Q29" s="11">
        <f t="shared" si="8"/>
        <v>0.24783357039827683</v>
      </c>
      <c r="R29" s="11">
        <f t="shared" si="8"/>
        <v>2.9933947828256657E-2</v>
      </c>
      <c r="S29" s="11">
        <f t="shared" si="8"/>
        <v>6.0249561230909993E-2</v>
      </c>
      <c r="T29" s="11">
        <f t="shared" si="8"/>
        <v>0.19765563692175472</v>
      </c>
      <c r="U29" s="11">
        <f t="shared" si="8"/>
        <v>1.4229176469501026</v>
      </c>
      <c r="V29" s="11">
        <f t="shared" si="8"/>
        <v>0.91648901556311468</v>
      </c>
    </row>
    <row r="30" spans="1:22" x14ac:dyDescent="0.3">
      <c r="A30" s="227"/>
      <c r="B30" s="11">
        <f t="shared" ref="B30:M30" si="10">IF(B7="","",(B7/$O$23))</f>
        <v>0.29658372345726175</v>
      </c>
      <c r="C30" s="11">
        <f t="shared" si="10"/>
        <v>0.48532381890445969</v>
      </c>
      <c r="D30" s="11">
        <f t="shared" si="10"/>
        <v>2.8446098978913675E-2</v>
      </c>
      <c r="E30" s="11">
        <f t="shared" si="10"/>
        <v>9.5882617042954338E-2</v>
      </c>
      <c r="F30" s="11">
        <f t="shared" si="10"/>
        <v>0.6902937885390974</v>
      </c>
      <c r="G30" s="11">
        <f t="shared" si="10"/>
        <v>1.4467534167771132</v>
      </c>
      <c r="H30" s="11">
        <f t="shared" si="10"/>
        <v>2.2340925315686566</v>
      </c>
      <c r="I30" s="11">
        <f t="shared" si="10"/>
        <v>0.15509699896574486</v>
      </c>
      <c r="J30" s="11">
        <f t="shared" si="10"/>
        <v>2.680807905005626E-2</v>
      </c>
      <c r="K30" s="11">
        <f t="shared" si="10"/>
        <v>2.5028205209165214E-2</v>
      </c>
      <c r="L30" s="11">
        <f t="shared" si="10"/>
        <v>0.16664954459657505</v>
      </c>
      <c r="M30" s="11">
        <f t="shared" si="10"/>
        <v>9.6596507251722932E-2</v>
      </c>
      <c r="N30" s="6"/>
      <c r="O30" s="11" t="str">
        <f t="shared" si="8"/>
        <v/>
      </c>
      <c r="P30" s="11">
        <f t="shared" si="8"/>
        <v>2.6511482696826159</v>
      </c>
      <c r="Q30" s="11">
        <f t="shared" si="8"/>
        <v>3.9201582726167278E-2</v>
      </c>
      <c r="R30" s="11">
        <f t="shared" si="8"/>
        <v>1.9537047975424315</v>
      </c>
      <c r="S30" s="11">
        <f t="shared" si="8"/>
        <v>0.35146593927389591</v>
      </c>
      <c r="T30" s="11">
        <f t="shared" si="8"/>
        <v>1.3226757559958693</v>
      </c>
      <c r="U30" s="11">
        <f t="shared" si="8"/>
        <v>1.2856859237331146</v>
      </c>
      <c r="V30" s="11">
        <f t="shared" si="8"/>
        <v>0.67601998892584558</v>
      </c>
    </row>
    <row r="31" spans="1:22" x14ac:dyDescent="0.3">
      <c r="A31" s="227"/>
      <c r="B31" s="11">
        <f t="shared" ref="B31:M31" si="11">IF(B8="","",(B8/$O$23))</f>
        <v>5.0378623647401394E-2</v>
      </c>
      <c r="C31" s="11">
        <f t="shared" si="11"/>
        <v>8.769036109598706E-2</v>
      </c>
      <c r="D31" s="11">
        <f t="shared" si="11"/>
        <v>1.7858498797476207E-2</v>
      </c>
      <c r="E31" s="11">
        <f t="shared" si="11"/>
        <v>2.613438848411152E-2</v>
      </c>
      <c r="F31" s="11">
        <f t="shared" si="11"/>
        <v>1.3992226528837857</v>
      </c>
      <c r="G31" s="11">
        <f t="shared" si="11"/>
        <v>2.7137235573757494</v>
      </c>
      <c r="H31" s="11">
        <f t="shared" si="11"/>
        <v>7.0353279389827961</v>
      </c>
      <c r="I31" s="11">
        <f t="shared" si="11"/>
        <v>1.4119469949996882E-2</v>
      </c>
      <c r="J31" s="11">
        <f t="shared" si="11"/>
        <v>1.3750588170061433E-2</v>
      </c>
      <c r="K31" s="11">
        <f t="shared" si="11"/>
        <v>3.983122310878779E-2</v>
      </c>
      <c r="L31" s="11">
        <f t="shared" si="11"/>
        <v>8.3140562440749813E-2</v>
      </c>
      <c r="M31" s="11">
        <f t="shared" si="11"/>
        <v>1.2504091199281645E-2</v>
      </c>
      <c r="N31" s="6"/>
      <c r="O31" s="11">
        <f t="shared" si="8"/>
        <v>1.3448296097323182</v>
      </c>
      <c r="P31" s="11">
        <f t="shared" si="8"/>
        <v>2.2776627835249239</v>
      </c>
      <c r="Q31" s="11">
        <f t="shared" si="8"/>
        <v>2.1034732645421442E-2</v>
      </c>
      <c r="R31" s="11">
        <f t="shared" si="8"/>
        <v>2.4121338232247664</v>
      </c>
      <c r="S31" s="11">
        <f t="shared" si="8"/>
        <v>0.70640937868448606</v>
      </c>
      <c r="T31" s="11">
        <f t="shared" si="8"/>
        <v>1.3011253589666385</v>
      </c>
      <c r="U31" s="11">
        <f t="shared" si="8"/>
        <v>1.8767629892207973</v>
      </c>
      <c r="V31" s="11">
        <f t="shared" si="8"/>
        <v>1.5480337214934863</v>
      </c>
    </row>
    <row r="32" spans="1:22" x14ac:dyDescent="0.3">
      <c r="A32" s="227"/>
      <c r="B32" s="11">
        <f t="shared" ref="B32:M32" si="12">IF(B9="","",(B9/$O$23))</f>
        <v>9.3446765122420256E-2</v>
      </c>
      <c r="C32" s="11">
        <f t="shared" si="12"/>
        <v>1.9479730369752004E-2</v>
      </c>
      <c r="D32" s="11">
        <f t="shared" si="12"/>
        <v>0.13728501469751311</v>
      </c>
      <c r="E32" s="11">
        <f t="shared" si="12"/>
        <v>7.4703874182819055E-2</v>
      </c>
      <c r="F32" s="11">
        <f t="shared" si="12"/>
        <v>6.211999978436974E-3</v>
      </c>
      <c r="G32" s="11">
        <f t="shared" si="12"/>
        <v>3.403192406118047</v>
      </c>
      <c r="H32" s="11">
        <f t="shared" si="12"/>
        <v>5.0531833573478719</v>
      </c>
      <c r="I32" s="11">
        <f t="shared" si="12"/>
        <v>6.2813097074436344E-2</v>
      </c>
      <c r="J32" s="11">
        <f t="shared" si="12"/>
        <v>6.5141287882580085E-2</v>
      </c>
      <c r="K32" s="11">
        <f t="shared" si="12"/>
        <v>0.8123340513307854</v>
      </c>
      <c r="L32" s="11">
        <f t="shared" si="12"/>
        <v>2.5239830915065552E-2</v>
      </c>
      <c r="M32" s="11">
        <f t="shared" si="12"/>
        <v>1.4715533619454164E-2</v>
      </c>
      <c r="N32" s="6"/>
      <c r="O32" s="11">
        <f t="shared" si="8"/>
        <v>1.5770227466829521</v>
      </c>
      <c r="P32" s="11">
        <f t="shared" si="8"/>
        <v>2.7405076090530831</v>
      </c>
      <c r="Q32" s="11">
        <f t="shared" si="8"/>
        <v>3.5492588094590841E-2</v>
      </c>
      <c r="R32" s="11">
        <f t="shared" si="8"/>
        <v>0.11883692113862024</v>
      </c>
      <c r="S32" s="11">
        <f t="shared" si="8"/>
        <v>4.7779046744791574E-2</v>
      </c>
      <c r="T32" s="11">
        <f t="shared" si="8"/>
        <v>0.98688367286115963</v>
      </c>
      <c r="U32" s="11">
        <f t="shared" si="8"/>
        <v>2.1926255988553116</v>
      </c>
      <c r="V32" s="11">
        <f t="shared" si="8"/>
        <v>2.4686438935433372</v>
      </c>
    </row>
    <row r="33" spans="1:22" x14ac:dyDescent="0.3">
      <c r="A33" s="227"/>
      <c r="B33" s="11" t="str">
        <f t="shared" ref="B33:M33" si="13">IF(B10="","",(B10/$O$23))</f>
        <v/>
      </c>
      <c r="C33" s="11">
        <f t="shared" si="13"/>
        <v>2.7963703265027316E-2</v>
      </c>
      <c r="D33" s="11">
        <f t="shared" si="13"/>
        <v>2.8335665477363062E-2</v>
      </c>
      <c r="E33" s="11">
        <f t="shared" si="13"/>
        <v>0.84240800481163558</v>
      </c>
      <c r="F33" s="11">
        <f t="shared" si="13"/>
        <v>0.60837893015042532</v>
      </c>
      <c r="G33" s="11">
        <f t="shared" si="13"/>
        <v>3.4941997768226729</v>
      </c>
      <c r="H33" s="11">
        <f t="shared" si="13"/>
        <v>2.473930839671965</v>
      </c>
      <c r="I33" s="11">
        <f t="shared" si="13"/>
        <v>0.20035625200709428</v>
      </c>
      <c r="J33" s="11">
        <f t="shared" si="13"/>
        <v>5.1799627113657952E-2</v>
      </c>
      <c r="K33" s="11">
        <f t="shared" si="13"/>
        <v>9.7249866963825732E-2</v>
      </c>
      <c r="L33" s="11">
        <f t="shared" si="13"/>
        <v>6.4243341837893805E-2</v>
      </c>
      <c r="M33" s="11">
        <f t="shared" si="13"/>
        <v>0.19471413202271207</v>
      </c>
      <c r="N33" s="6"/>
      <c r="O33" s="11">
        <f t="shared" si="8"/>
        <v>0.23663573655834075</v>
      </c>
      <c r="P33" s="11">
        <f t="shared" si="8"/>
        <v>2.847933068364807</v>
      </c>
      <c r="Q33" s="11">
        <f t="shared" si="8"/>
        <v>2.2344532502027312E-2</v>
      </c>
      <c r="R33" s="11">
        <f t="shared" si="8"/>
        <v>0.75518032466217289</v>
      </c>
      <c r="S33" s="11">
        <f t="shared" si="8"/>
        <v>1.0405999450142818</v>
      </c>
      <c r="T33" s="11">
        <f t="shared" si="8"/>
        <v>1.3390870676516864</v>
      </c>
      <c r="U33" s="11">
        <f t="shared" si="8"/>
        <v>1.8466477579457832</v>
      </c>
      <c r="V33" s="11">
        <f t="shared" si="8"/>
        <v>1.0698301680606908</v>
      </c>
    </row>
    <row r="34" spans="1:22" x14ac:dyDescent="0.3">
      <c r="A34" s="227"/>
      <c r="B34" s="11">
        <f t="shared" ref="B34:M34" si="14">IF(B11="","",(B11/$O$23))</f>
        <v>7.9347626026265314E-2</v>
      </c>
      <c r="C34" s="11">
        <f t="shared" si="14"/>
        <v>8.182706606526359E-2</v>
      </c>
      <c r="D34" s="11">
        <f t="shared" si="14"/>
        <v>5.7978050378931702E-2</v>
      </c>
      <c r="E34" s="11">
        <f t="shared" si="14"/>
        <v>0.27353223171936647</v>
      </c>
      <c r="F34" s="11">
        <f t="shared" si="14"/>
        <v>0.38790298794241751</v>
      </c>
      <c r="G34" s="11">
        <f t="shared" si="14"/>
        <v>1.347999374672223</v>
      </c>
      <c r="H34" s="11">
        <f t="shared" si="14"/>
        <v>2.3955484671383327</v>
      </c>
      <c r="I34" s="11">
        <f t="shared" si="14"/>
        <v>7.0294543245035326E-2</v>
      </c>
      <c r="J34" s="11">
        <f t="shared" si="14"/>
        <v>1.1391747059534749E-2</v>
      </c>
      <c r="K34" s="11">
        <f t="shared" si="14"/>
        <v>1.6565025232591901E-2</v>
      </c>
      <c r="L34" s="11">
        <f t="shared" si="14"/>
        <v>8.6876510855828842E-2</v>
      </c>
      <c r="M34" s="11">
        <f t="shared" si="14"/>
        <v>2.6355255487212743E-2</v>
      </c>
      <c r="N34" s="6"/>
      <c r="O34" s="11">
        <f t="shared" si="8"/>
        <v>0.5659077764745839</v>
      </c>
      <c r="P34" s="11">
        <f t="shared" si="8"/>
        <v>3.7198057171285139</v>
      </c>
      <c r="Q34" s="11">
        <f t="shared" si="8"/>
        <v>8.3087116938604683E-2</v>
      </c>
      <c r="R34" s="11">
        <f t="shared" si="8"/>
        <v>0.67047829103771306</v>
      </c>
      <c r="S34" s="11">
        <f t="shared" si="8"/>
        <v>0.41501248730284279</v>
      </c>
      <c r="T34" s="11">
        <f t="shared" si="8"/>
        <v>2.8302818826678702</v>
      </c>
      <c r="U34" s="11">
        <f t="shared" si="8"/>
        <v>2.6744015297427302</v>
      </c>
      <c r="V34" s="11">
        <f t="shared" si="8"/>
        <v>1.8343783956954041</v>
      </c>
    </row>
    <row r="35" spans="1:22" x14ac:dyDescent="0.3">
      <c r="A35" s="227"/>
      <c r="B35" s="11">
        <f t="shared" ref="B35:M35" si="15">IF(B12="","",(B12/$O$23))</f>
        <v>9.6497625371673428E-3</v>
      </c>
      <c r="C35" s="11">
        <f t="shared" si="15"/>
        <v>1.169332139152373E-2</v>
      </c>
      <c r="D35" s="11">
        <f t="shared" si="15"/>
        <v>0.1271736493651614</v>
      </c>
      <c r="E35" s="11">
        <f t="shared" si="15"/>
        <v>3.7620088731855295E-2</v>
      </c>
      <c r="F35" s="11">
        <f t="shared" si="15"/>
        <v>8.5358165725722926E-2</v>
      </c>
      <c r="G35" s="11">
        <f t="shared" si="15"/>
        <v>2.2481177402872046</v>
      </c>
      <c r="H35" s="11">
        <f t="shared" si="15"/>
        <v>5.3924466257328545</v>
      </c>
      <c r="I35" s="11">
        <f t="shared" si="15"/>
        <v>1.3174393289586061E-2</v>
      </c>
      <c r="J35" s="11">
        <f t="shared" si="15"/>
        <v>0.12070058274079934</v>
      </c>
      <c r="K35" s="11">
        <f t="shared" si="15"/>
        <v>0.19892169463827641</v>
      </c>
      <c r="L35" s="11">
        <f t="shared" si="15"/>
        <v>8.5586425766584873E-2</v>
      </c>
      <c r="M35" s="11">
        <f t="shared" si="15"/>
        <v>0.3491537667142337</v>
      </c>
      <c r="N35" s="6"/>
      <c r="O35" s="11">
        <f t="shared" si="8"/>
        <v>1.607814132869831</v>
      </c>
      <c r="P35" s="11">
        <f t="shared" si="8"/>
        <v>2.1849195891627309</v>
      </c>
      <c r="Q35" s="11">
        <f t="shared" si="8"/>
        <v>1.866957664847415E-2</v>
      </c>
      <c r="R35" s="11">
        <f t="shared" si="8"/>
        <v>0.45855593949722728</v>
      </c>
      <c r="S35" s="11">
        <f t="shared" si="8"/>
        <v>2.9974076621135315</v>
      </c>
      <c r="T35" s="11">
        <f t="shared" si="8"/>
        <v>3.0566249704471025</v>
      </c>
      <c r="U35" s="11">
        <f t="shared" si="8"/>
        <v>1.632005384595836</v>
      </c>
      <c r="V35" s="11">
        <f t="shared" si="8"/>
        <v>1.6155608042700955</v>
      </c>
    </row>
    <row r="36" spans="1:22" x14ac:dyDescent="0.3">
      <c r="A36" s="227"/>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0.62682055480127752</v>
      </c>
      <c r="P36" s="11" t="str">
        <f t="shared" si="8"/>
        <v/>
      </c>
      <c r="Q36" s="11" t="str">
        <f t="shared" si="8"/>
        <v/>
      </c>
      <c r="R36" s="11" t="str">
        <f t="shared" si="8"/>
        <v/>
      </c>
      <c r="S36" s="11" t="str">
        <f t="shared" si="8"/>
        <v/>
      </c>
      <c r="T36" s="11" t="str">
        <f t="shared" si="8"/>
        <v/>
      </c>
      <c r="U36" s="11" t="str">
        <f t="shared" si="8"/>
        <v/>
      </c>
      <c r="V36" s="11" t="str">
        <f t="shared" si="8"/>
        <v/>
      </c>
    </row>
    <row r="37" spans="1:22" x14ac:dyDescent="0.3">
      <c r="A37" s="227"/>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1.5071137195528139</v>
      </c>
      <c r="P37" s="11" t="str">
        <f t="shared" si="8"/>
        <v/>
      </c>
      <c r="Q37" s="11" t="str">
        <f t="shared" si="8"/>
        <v/>
      </c>
      <c r="R37" s="11" t="str">
        <f t="shared" si="8"/>
        <v/>
      </c>
      <c r="S37" s="11" t="str">
        <f t="shared" si="8"/>
        <v/>
      </c>
      <c r="T37" s="11" t="str">
        <f t="shared" si="8"/>
        <v/>
      </c>
      <c r="U37" s="11" t="str">
        <f t="shared" si="8"/>
        <v/>
      </c>
      <c r="V37" s="11" t="str">
        <f t="shared" si="8"/>
        <v/>
      </c>
    </row>
    <row r="38" spans="1:22" x14ac:dyDescent="0.3">
      <c r="A38" s="227"/>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ref="O38:V43" si="19">IF(O15="","",(O15/$O$23))</f>
        <v>0.80307611979493576</v>
      </c>
      <c r="P38" s="11" t="str">
        <f t="shared" si="19"/>
        <v/>
      </c>
      <c r="Q38" s="11" t="str">
        <f t="shared" si="19"/>
        <v/>
      </c>
      <c r="R38" s="11" t="str">
        <f t="shared" si="19"/>
        <v/>
      </c>
      <c r="S38" s="11" t="str">
        <f t="shared" si="19"/>
        <v/>
      </c>
      <c r="T38" s="11" t="str">
        <f t="shared" si="19"/>
        <v/>
      </c>
      <c r="U38" s="11" t="str">
        <f t="shared" si="19"/>
        <v/>
      </c>
      <c r="V38" s="11" t="str">
        <f t="shared" si="19"/>
        <v/>
      </c>
    </row>
    <row r="39" spans="1:22" x14ac:dyDescent="0.3">
      <c r="A39" s="227"/>
      <c r="B39" s="11" t="str">
        <f t="shared" ref="B39:M39" si="20">IF(B16="","",(B16/$O$23))</f>
        <v/>
      </c>
      <c r="C39" s="11" t="str">
        <f t="shared" si="20"/>
        <v/>
      </c>
      <c r="D39" s="11" t="str">
        <f t="shared" si="20"/>
        <v/>
      </c>
      <c r="E39" s="11" t="str">
        <f t="shared" si="20"/>
        <v/>
      </c>
      <c r="F39" s="11" t="str">
        <f t="shared" si="20"/>
        <v/>
      </c>
      <c r="G39" s="11" t="str">
        <f t="shared" si="20"/>
        <v/>
      </c>
      <c r="H39" s="11" t="str">
        <f t="shared" si="20"/>
        <v/>
      </c>
      <c r="I39" s="11" t="str">
        <f t="shared" si="20"/>
        <v/>
      </c>
      <c r="J39" s="11" t="str">
        <f t="shared" si="20"/>
        <v/>
      </c>
      <c r="K39" s="11" t="str">
        <f t="shared" si="20"/>
        <v/>
      </c>
      <c r="L39" s="11" t="str">
        <f t="shared" si="20"/>
        <v/>
      </c>
      <c r="M39" s="11" t="str">
        <f t="shared" si="20"/>
        <v/>
      </c>
      <c r="N39" s="6"/>
      <c r="O39" s="11">
        <f t="shared" si="19"/>
        <v>0.80932508496217626</v>
      </c>
      <c r="P39" s="11" t="str">
        <f t="shared" si="19"/>
        <v/>
      </c>
      <c r="Q39" s="11" t="str">
        <f t="shared" si="19"/>
        <v/>
      </c>
      <c r="R39" s="11" t="str">
        <f t="shared" si="19"/>
        <v/>
      </c>
      <c r="S39" s="11" t="str">
        <f t="shared" si="19"/>
        <v/>
      </c>
      <c r="T39" s="11" t="str">
        <f t="shared" si="19"/>
        <v/>
      </c>
      <c r="U39" s="11" t="str">
        <f t="shared" si="19"/>
        <v/>
      </c>
      <c r="V39" s="11" t="str">
        <f t="shared" si="19"/>
        <v/>
      </c>
    </row>
    <row r="40" spans="1:22" x14ac:dyDescent="0.3">
      <c r="A40" s="227"/>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si="19"/>
        <v>2.1367049692765376</v>
      </c>
      <c r="P40" s="11" t="str">
        <f t="shared" si="19"/>
        <v/>
      </c>
      <c r="Q40" s="11" t="str">
        <f t="shared" si="19"/>
        <v/>
      </c>
      <c r="R40" s="11" t="str">
        <f t="shared" si="19"/>
        <v/>
      </c>
      <c r="S40" s="11" t="str">
        <f t="shared" si="19"/>
        <v/>
      </c>
      <c r="T40" s="11" t="str">
        <f t="shared" si="19"/>
        <v/>
      </c>
      <c r="U40" s="11" t="str">
        <f t="shared" si="19"/>
        <v/>
      </c>
      <c r="V40" s="11" t="str">
        <f t="shared" si="19"/>
        <v/>
      </c>
    </row>
    <row r="41" spans="1:22" x14ac:dyDescent="0.3">
      <c r="A41" s="227"/>
      <c r="B41" s="11" t="str">
        <f t="shared" ref="B41:M41" si="22">IF(B18="","",(B18/$O$23))</f>
        <v/>
      </c>
      <c r="C41" s="11" t="str">
        <f t="shared" si="22"/>
        <v/>
      </c>
      <c r="D41" s="11" t="str">
        <f t="shared" si="22"/>
        <v/>
      </c>
      <c r="E41" s="11" t="str">
        <f t="shared" si="22"/>
        <v/>
      </c>
      <c r="F41" s="11" t="str">
        <f t="shared" si="22"/>
        <v/>
      </c>
      <c r="G41" s="11" t="str">
        <f t="shared" si="22"/>
        <v/>
      </c>
      <c r="H41" s="11" t="str">
        <f t="shared" si="22"/>
        <v/>
      </c>
      <c r="I41" s="11" t="str">
        <f t="shared" si="22"/>
        <v/>
      </c>
      <c r="J41" s="11" t="str">
        <f t="shared" si="22"/>
        <v/>
      </c>
      <c r="K41" s="11" t="str">
        <f t="shared" si="22"/>
        <v/>
      </c>
      <c r="L41" s="11" t="str">
        <f t="shared" si="22"/>
        <v/>
      </c>
      <c r="M41" s="11" t="str">
        <f t="shared" si="22"/>
        <v/>
      </c>
      <c r="N41" s="6"/>
      <c r="O41" s="11">
        <f t="shared" si="19"/>
        <v>1.0062703741724226</v>
      </c>
      <c r="P41" s="11" t="str">
        <f t="shared" si="19"/>
        <v/>
      </c>
      <c r="Q41" s="11" t="str">
        <f t="shared" si="19"/>
        <v/>
      </c>
      <c r="R41" s="11" t="str">
        <f t="shared" si="19"/>
        <v/>
      </c>
      <c r="S41" s="11" t="str">
        <f t="shared" si="19"/>
        <v/>
      </c>
      <c r="T41" s="11" t="str">
        <f t="shared" si="19"/>
        <v/>
      </c>
      <c r="U41" s="11" t="str">
        <f t="shared" si="19"/>
        <v/>
      </c>
      <c r="V41" s="11" t="str">
        <f t="shared" si="19"/>
        <v/>
      </c>
    </row>
    <row r="42" spans="1:22" x14ac:dyDescent="0.3">
      <c r="A42" s="227"/>
      <c r="B42" s="11" t="str">
        <f t="shared" ref="B42:M42" si="23">IF(B19="","",(B19/$O$23))</f>
        <v/>
      </c>
      <c r="C42" s="11" t="str">
        <f t="shared" si="23"/>
        <v/>
      </c>
      <c r="D42" s="11" t="str">
        <f t="shared" si="23"/>
        <v/>
      </c>
      <c r="E42" s="11" t="str">
        <f t="shared" si="23"/>
        <v/>
      </c>
      <c r="F42" s="11" t="str">
        <f t="shared" si="23"/>
        <v/>
      </c>
      <c r="G42" s="11" t="str">
        <f t="shared" si="23"/>
        <v/>
      </c>
      <c r="H42" s="11" t="str">
        <f t="shared" si="23"/>
        <v/>
      </c>
      <c r="I42" s="11" t="str">
        <f t="shared" si="23"/>
        <v/>
      </c>
      <c r="J42" s="11" t="str">
        <f t="shared" si="23"/>
        <v/>
      </c>
      <c r="K42" s="11" t="str">
        <f t="shared" si="23"/>
        <v/>
      </c>
      <c r="L42" s="11" t="str">
        <f t="shared" si="23"/>
        <v/>
      </c>
      <c r="M42" s="11" t="str">
        <f t="shared" si="23"/>
        <v/>
      </c>
      <c r="N42" s="6"/>
      <c r="O42" s="11">
        <f t="shared" si="19"/>
        <v>0.4882017128744362</v>
      </c>
      <c r="P42" s="11" t="str">
        <f t="shared" si="19"/>
        <v/>
      </c>
      <c r="Q42" s="11" t="str">
        <f t="shared" si="19"/>
        <v/>
      </c>
      <c r="R42" s="11" t="str">
        <f t="shared" si="19"/>
        <v/>
      </c>
      <c r="S42" s="11" t="str">
        <f t="shared" si="19"/>
        <v/>
      </c>
      <c r="T42" s="11" t="str">
        <f t="shared" si="19"/>
        <v/>
      </c>
      <c r="U42" s="11" t="str">
        <f t="shared" si="19"/>
        <v/>
      </c>
      <c r="V42" s="11" t="str">
        <f t="shared" si="19"/>
        <v/>
      </c>
    </row>
    <row r="43" spans="1:22" x14ac:dyDescent="0.3">
      <c r="A43" s="227"/>
      <c r="B43" s="11" t="str">
        <f t="shared" ref="B43:M43" si="24">IF(B20="","",(B20/$O$23))</f>
        <v/>
      </c>
      <c r="C43" s="11" t="str">
        <f t="shared" si="24"/>
        <v/>
      </c>
      <c r="D43" s="11" t="str">
        <f t="shared" si="24"/>
        <v/>
      </c>
      <c r="E43" s="11" t="str">
        <f t="shared" si="24"/>
        <v/>
      </c>
      <c r="F43" s="11" t="str">
        <f t="shared" si="24"/>
        <v/>
      </c>
      <c r="G43" s="11" t="str">
        <f t="shared" si="24"/>
        <v/>
      </c>
      <c r="H43" s="11" t="str">
        <f t="shared" si="24"/>
        <v/>
      </c>
      <c r="I43" s="11" t="str">
        <f t="shared" si="24"/>
        <v/>
      </c>
      <c r="J43" s="11" t="str">
        <f t="shared" si="24"/>
        <v/>
      </c>
      <c r="K43" s="11" t="str">
        <f t="shared" si="24"/>
        <v/>
      </c>
      <c r="L43" s="11" t="str">
        <f t="shared" si="24"/>
        <v/>
      </c>
      <c r="M43" s="11" t="str">
        <f t="shared" si="24"/>
        <v/>
      </c>
      <c r="N43" s="6"/>
      <c r="O43" s="11">
        <f t="shared" si="19"/>
        <v>0.49391745519318553</v>
      </c>
      <c r="P43" s="11" t="str">
        <f t="shared" si="19"/>
        <v/>
      </c>
      <c r="Q43" s="11" t="str">
        <f t="shared" si="19"/>
        <v/>
      </c>
      <c r="R43" s="11" t="str">
        <f t="shared" si="19"/>
        <v/>
      </c>
      <c r="S43" s="11" t="str">
        <f t="shared" si="19"/>
        <v/>
      </c>
      <c r="T43" s="11" t="str">
        <f t="shared" si="19"/>
        <v/>
      </c>
      <c r="U43" s="11" t="str">
        <f t="shared" si="19"/>
        <v/>
      </c>
      <c r="V43" s="11" t="str">
        <f t="shared" si="19"/>
        <v/>
      </c>
    </row>
    <row r="44" spans="1:22" x14ac:dyDescent="0.3">
      <c r="A44" s="7"/>
      <c r="B44" s="3"/>
      <c r="C44" s="3"/>
      <c r="D44" s="3"/>
      <c r="E44" s="3"/>
      <c r="F44" s="3"/>
      <c r="G44" s="3"/>
      <c r="H44" s="3"/>
      <c r="I44" s="3"/>
      <c r="J44" s="3"/>
      <c r="K44" s="3"/>
      <c r="L44" s="3"/>
      <c r="M44" s="3"/>
      <c r="N44" s="7"/>
      <c r="O44" s="3"/>
      <c r="P44" s="3"/>
      <c r="Q44" s="3"/>
      <c r="R44" s="3"/>
      <c r="S44" s="3"/>
      <c r="T44" s="3"/>
      <c r="U44" s="3"/>
      <c r="V44" s="3"/>
    </row>
    <row r="45" spans="1:22" x14ac:dyDescent="0.3">
      <c r="A45" s="7" t="str">
        <f>A4</f>
        <v>Noms des groupes</v>
      </c>
      <c r="B45" s="7" t="str">
        <f t="shared" ref="B45:V45" si="25">B4</f>
        <v>Témoin solvant</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Arabinose-0.01mg/L</v>
      </c>
      <c r="J45" s="7" t="str">
        <f t="shared" si="25"/>
        <v>Arabinose-0.1mg/L</v>
      </c>
      <c r="K45" s="7" t="str">
        <f t="shared" si="25"/>
        <v>Arabinose-1mg/L</v>
      </c>
      <c r="L45" s="7" t="str">
        <f t="shared" si="25"/>
        <v>Arabinose-10mg/L</v>
      </c>
      <c r="M45" s="7" t="str">
        <f t="shared" si="25"/>
        <v>Arabinose-100mg/L</v>
      </c>
      <c r="N45" s="7"/>
      <c r="O45" s="7" t="str">
        <f t="shared" si="25"/>
        <v>Testo -30µg/L</v>
      </c>
      <c r="P45" s="7" t="str">
        <f t="shared" si="25"/>
        <v>Testo 30µg/L + EE2 -64ng/L</v>
      </c>
      <c r="Q45" s="7" t="str">
        <f t="shared" si="25"/>
        <v>Testo 30µg/L + FAD-10µg/L</v>
      </c>
      <c r="R45" s="7" t="str">
        <f t="shared" si="25"/>
        <v>Arabinose-0.01mg/L + Testostérone</v>
      </c>
      <c r="S45" s="7" t="str">
        <f t="shared" si="25"/>
        <v>Arabinose-0.1mg/L + Testostérone</v>
      </c>
      <c r="T45" s="7" t="str">
        <f t="shared" si="25"/>
        <v>Arabinose-1mg/L + Testostérone</v>
      </c>
      <c r="U45" s="7" t="str">
        <f t="shared" si="25"/>
        <v>Arabinose-10mg/L + Testostérone</v>
      </c>
      <c r="V45" s="7" t="str">
        <f t="shared" si="25"/>
        <v>Arabinose-100mg/L + Testostérone</v>
      </c>
    </row>
    <row r="46" spans="1:22" x14ac:dyDescent="0.3">
      <c r="A46" s="8" t="s">
        <v>0</v>
      </c>
      <c r="B46" s="10">
        <f t="shared" ref="B46:H46" si="26">AVERAGE(B28:B43)</f>
        <v>0.11916129067037141</v>
      </c>
      <c r="C46" s="10">
        <f t="shared" si="26"/>
        <v>0.11485881223147294</v>
      </c>
      <c r="D46" s="10">
        <f t="shared" si="26"/>
        <v>7.9760800023499306E-2</v>
      </c>
      <c r="E46" s="10">
        <f t="shared" si="26"/>
        <v>0.22615100081598458</v>
      </c>
      <c r="F46" s="10">
        <f t="shared" si="26"/>
        <v>0.55757393615341799</v>
      </c>
      <c r="G46" s="10">
        <f t="shared" si="26"/>
        <v>2.5507939621984743</v>
      </c>
      <c r="H46" s="10">
        <f t="shared" si="26"/>
        <v>4.1109099096740218</v>
      </c>
      <c r="I46" s="10">
        <f>AVERAGE(I28:I43)</f>
        <v>0.26207839469426331</v>
      </c>
      <c r="J46" s="9">
        <f>AVERAGE(J28:J43)</f>
        <v>0.10260852940927319</v>
      </c>
      <c r="K46" s="9">
        <f t="shared" ref="K46:M46" si="27">AVERAGE(K28:K43)</f>
        <v>0.16716089637502418</v>
      </c>
      <c r="L46" s="9">
        <f t="shared" si="27"/>
        <v>8.8004719222437244E-2</v>
      </c>
      <c r="M46" s="9">
        <f t="shared" si="27"/>
        <v>0.11692154677752117</v>
      </c>
      <c r="N46" s="8" t="s">
        <v>0</v>
      </c>
      <c r="O46" s="10">
        <f t="shared" ref="O46:V46" si="28">AVERAGE(O28:O43)</f>
        <v>1.0000000000000002</v>
      </c>
      <c r="P46" s="10">
        <f t="shared" si="28"/>
        <v>2.3818539043325515</v>
      </c>
      <c r="Q46" s="10">
        <f t="shared" si="28"/>
        <v>7.6557620643209701E-2</v>
      </c>
      <c r="R46" s="10">
        <f t="shared" si="28"/>
        <v>0.82904969045504939</v>
      </c>
      <c r="S46" s="10">
        <f t="shared" si="28"/>
        <v>0.72541891955373794</v>
      </c>
      <c r="T46" s="10">
        <f t="shared" si="28"/>
        <v>1.4539026768187453</v>
      </c>
      <c r="U46" s="10">
        <f t="shared" si="28"/>
        <v>1.7128531812010452</v>
      </c>
      <c r="V46" s="10">
        <f t="shared" si="28"/>
        <v>1.2762075872590239</v>
      </c>
    </row>
    <row r="47" spans="1:22" x14ac:dyDescent="0.3">
      <c r="A47" s="8" t="s">
        <v>1</v>
      </c>
      <c r="B47" s="8">
        <f t="shared" ref="B47:M47" si="29">STDEV(B28:B43)</f>
        <v>9.3678000833282427E-2</v>
      </c>
      <c r="C47" s="8">
        <f t="shared" si="29"/>
        <v>0.15697738246298948</v>
      </c>
      <c r="D47" s="8">
        <f t="shared" si="29"/>
        <v>6.0251424393988971E-2</v>
      </c>
      <c r="E47" s="8">
        <f t="shared" si="29"/>
        <v>0.28795780882677624</v>
      </c>
      <c r="F47" s="8">
        <f t="shared" si="29"/>
        <v>0.47208358379481535</v>
      </c>
      <c r="G47" s="8">
        <f t="shared" si="29"/>
        <v>0.81873417027521456</v>
      </c>
      <c r="H47" s="8">
        <f t="shared" si="29"/>
        <v>1.7074985586472489</v>
      </c>
      <c r="I47" s="8">
        <f t="shared" si="29"/>
        <v>0.42760806707897225</v>
      </c>
      <c r="J47" s="8">
        <f t="shared" si="29"/>
        <v>0.12121780162291666</v>
      </c>
      <c r="K47" s="8">
        <f t="shared" si="29"/>
        <v>0.26729568732260023</v>
      </c>
      <c r="L47" s="8">
        <f t="shared" si="29"/>
        <v>5.8073655639230622E-2</v>
      </c>
      <c r="M47" s="8">
        <f t="shared" si="29"/>
        <v>0.11427728731885115</v>
      </c>
      <c r="N47" s="8" t="s">
        <v>1</v>
      </c>
      <c r="O47" s="8">
        <f t="shared" ref="O47:V47" si="30">STDEV(O28:O43)</f>
        <v>0.59293315333319918</v>
      </c>
      <c r="P47" s="8">
        <f t="shared" si="30"/>
        <v>0.91200349946414205</v>
      </c>
      <c r="Q47" s="8">
        <f t="shared" si="30"/>
        <v>8.1494452481281038E-2</v>
      </c>
      <c r="R47" s="8">
        <f t="shared" si="30"/>
        <v>0.88126951766097483</v>
      </c>
      <c r="S47" s="8">
        <f t="shared" si="30"/>
        <v>0.97776306203010144</v>
      </c>
      <c r="T47" s="8">
        <f t="shared" si="30"/>
        <v>1.0033957796105497</v>
      </c>
      <c r="U47" s="8">
        <f t="shared" si="30"/>
        <v>0.58042058541169972</v>
      </c>
      <c r="V47" s="8">
        <f t="shared" si="30"/>
        <v>0.74488258140324526</v>
      </c>
    </row>
    <row r="48" spans="1:22" x14ac:dyDescent="0.3">
      <c r="A48" s="8" t="s">
        <v>2</v>
      </c>
      <c r="B48" s="8">
        <f t="shared" ref="B48:M48" si="31" xml:space="preserve"> B47/SQRT(COUNT(B28:B43))</f>
        <v>3.5406956217509541E-2</v>
      </c>
      <c r="C48" s="8">
        <f t="shared" si="31"/>
        <v>5.5499885816247041E-2</v>
      </c>
      <c r="D48" s="8">
        <f t="shared" si="31"/>
        <v>2.2772897869129338E-2</v>
      </c>
      <c r="E48" s="8">
        <f t="shared" si="31"/>
        <v>0.10883782146210427</v>
      </c>
      <c r="F48" s="8">
        <f t="shared" si="31"/>
        <v>0.16690675169408081</v>
      </c>
      <c r="G48" s="8">
        <f t="shared" si="31"/>
        <v>0.28946624189537284</v>
      </c>
      <c r="H48" s="8">
        <f t="shared" si="31"/>
        <v>0.60369190484286273</v>
      </c>
      <c r="I48" s="8">
        <f t="shared" si="31"/>
        <v>0.15118228196080669</v>
      </c>
      <c r="J48" s="8">
        <f t="shared" si="31"/>
        <v>4.2856964764045026E-2</v>
      </c>
      <c r="K48" s="8">
        <f t="shared" si="31"/>
        <v>9.4503296543864843E-2</v>
      </c>
      <c r="L48" s="8">
        <f t="shared" si="31"/>
        <v>2.0532137855396176E-2</v>
      </c>
      <c r="M48" s="8">
        <f t="shared" si="31"/>
        <v>4.0403122399381548E-2</v>
      </c>
      <c r="N48" s="8" t="s">
        <v>2</v>
      </c>
      <c r="O48" s="8">
        <f t="shared" ref="O48:V48" si="32" xml:space="preserve"> O47/SQRT(COUNT(O28:O43))</f>
        <v>0.15309468188491526</v>
      </c>
      <c r="P48" s="8">
        <f t="shared" si="32"/>
        <v>0.32244192946847833</v>
      </c>
      <c r="Q48" s="8">
        <f t="shared" si="32"/>
        <v>2.8812639989299341E-2</v>
      </c>
      <c r="R48" s="8">
        <f t="shared" si="32"/>
        <v>0.31157582599553657</v>
      </c>
      <c r="S48" s="8">
        <f t="shared" si="32"/>
        <v>0.3456914457776038</v>
      </c>
      <c r="T48" s="8">
        <f t="shared" si="32"/>
        <v>0.35475397998829111</v>
      </c>
      <c r="U48" s="8">
        <f t="shared" si="32"/>
        <v>0.20520966594243928</v>
      </c>
      <c r="V48" s="8">
        <f t="shared" si="32"/>
        <v>0.2633557622489876</v>
      </c>
    </row>
    <row r="49" spans="1:22" ht="15" thickBot="1" x14ac:dyDescent="0.35">
      <c r="A49" s="8"/>
      <c r="B49" s="8"/>
      <c r="C49" s="8"/>
      <c r="D49" s="8"/>
      <c r="E49" s="8"/>
      <c r="F49" s="8"/>
      <c r="G49" s="8"/>
      <c r="H49" s="8"/>
      <c r="I49" s="8"/>
      <c r="J49" s="8"/>
      <c r="K49" s="8"/>
      <c r="L49" s="8"/>
      <c r="M49" s="8"/>
      <c r="N49" s="8"/>
      <c r="O49" s="8"/>
      <c r="P49" s="8"/>
      <c r="Q49" s="8"/>
      <c r="R49" s="8"/>
      <c r="S49" s="8"/>
      <c r="T49" s="8"/>
      <c r="U49" s="8"/>
      <c r="V49" s="8"/>
    </row>
    <row r="50" spans="1:22" ht="26.4" thickBot="1" x14ac:dyDescent="0.55000000000000004">
      <c r="A50" s="218" t="s">
        <v>44</v>
      </c>
      <c r="B50" s="219"/>
      <c r="C50" s="219"/>
      <c r="D50" s="219"/>
      <c r="E50" s="219"/>
      <c r="F50" s="219"/>
      <c r="G50" s="219"/>
      <c r="H50" s="219"/>
      <c r="I50" s="219"/>
      <c r="J50" s="219"/>
      <c r="K50" s="219"/>
      <c r="L50" s="219"/>
      <c r="M50" s="219"/>
      <c r="N50" s="219"/>
      <c r="O50" s="219"/>
      <c r="P50" s="219"/>
      <c r="Q50" s="219"/>
      <c r="R50" s="219"/>
      <c r="S50" s="219"/>
      <c r="T50" s="219"/>
      <c r="U50" s="219"/>
      <c r="V50" s="219"/>
    </row>
    <row r="51" spans="1:22" ht="15" thickBot="1" x14ac:dyDescent="0.35"/>
    <row r="52" spans="1:22" x14ac:dyDescent="0.3">
      <c r="A52" s="45" t="str">
        <f t="shared" ref="A52:H52" si="33">A27</f>
        <v>Noms des groupes</v>
      </c>
      <c r="B52" s="46" t="str">
        <f t="shared" si="33"/>
        <v>Témoin solvant</v>
      </c>
      <c r="C52" s="46" t="str">
        <f t="shared" si="33"/>
        <v>EE2-33.8ng/L</v>
      </c>
      <c r="D52" s="46" t="str">
        <f t="shared" si="33"/>
        <v>EE2-50.6ng/L</v>
      </c>
      <c r="E52" s="46" t="str">
        <f t="shared" si="33"/>
        <v>EE2-76ng/L</v>
      </c>
      <c r="F52" s="46" t="str">
        <f t="shared" si="33"/>
        <v>EE2-114ng/L</v>
      </c>
      <c r="G52" s="46" t="str">
        <f t="shared" si="33"/>
        <v>EE2-170.9ng/L</v>
      </c>
      <c r="H52" s="46" t="str">
        <f t="shared" si="33"/>
        <v>EE2-488ng/L</v>
      </c>
      <c r="I52" s="46" t="str">
        <f>I4</f>
        <v>Arabinose-0.01mg/L</v>
      </c>
      <c r="J52" s="46" t="str">
        <f>J4</f>
        <v>Arabinose-0.1mg/L</v>
      </c>
      <c r="K52" s="46" t="str">
        <f t="shared" ref="K52:M52" si="34">K4</f>
        <v>Arabinose-1mg/L</v>
      </c>
      <c r="L52" s="46" t="str">
        <f t="shared" si="34"/>
        <v>Arabinose-10mg/L</v>
      </c>
      <c r="M52" s="46" t="str">
        <f t="shared" si="34"/>
        <v>Arabinose-100mg/L</v>
      </c>
      <c r="N52" s="47"/>
      <c r="O52" s="46" t="str">
        <f>O27</f>
        <v>Testo -30µg/L</v>
      </c>
      <c r="P52" s="46" t="str">
        <f>P27</f>
        <v>Testo 30µg/L + EE2 -64ng/L</v>
      </c>
      <c r="Q52" s="46" t="str">
        <f>Q27</f>
        <v>Testo 30µg/L + FAD-10µg/L</v>
      </c>
      <c r="R52" s="46" t="str">
        <f>R27</f>
        <v>Arabinose-0.01mg/L + Testostérone</v>
      </c>
      <c r="S52" s="46" t="str">
        <f t="shared" ref="S52:V52" si="35">S27</f>
        <v>Arabinose-0.1mg/L + Testostérone</v>
      </c>
      <c r="T52" s="46" t="str">
        <f t="shared" si="35"/>
        <v>Arabinose-1mg/L + Testostérone</v>
      </c>
      <c r="U52" s="46" t="str">
        <f t="shared" si="35"/>
        <v>Arabinose-10mg/L + Testostérone</v>
      </c>
      <c r="V52" s="46" t="str">
        <f t="shared" si="35"/>
        <v>Arabinose-100mg/L + Testostérone</v>
      </c>
    </row>
    <row r="53" spans="1:22" s="3" customFormat="1" x14ac:dyDescent="0.3">
      <c r="A53" s="61" t="s">
        <v>32</v>
      </c>
      <c r="B53" s="140">
        <f t="shared" ref="B53:V53" si="36">B46</f>
        <v>0.11916129067037141</v>
      </c>
      <c r="C53" s="140">
        <f t="shared" si="36"/>
        <v>0.11485881223147294</v>
      </c>
      <c r="D53" s="140">
        <f t="shared" si="36"/>
        <v>7.9760800023499306E-2</v>
      </c>
      <c r="E53" s="140">
        <f t="shared" si="36"/>
        <v>0.22615100081598458</v>
      </c>
      <c r="F53" s="140">
        <f t="shared" si="36"/>
        <v>0.55757393615341799</v>
      </c>
      <c r="G53" s="140">
        <f t="shared" si="36"/>
        <v>2.5507939621984743</v>
      </c>
      <c r="H53" s="140">
        <f t="shared" si="36"/>
        <v>4.1109099096740218</v>
      </c>
      <c r="I53" s="140">
        <f t="shared" si="36"/>
        <v>0.26207839469426331</v>
      </c>
      <c r="J53" s="140">
        <f t="shared" si="36"/>
        <v>0.10260852940927319</v>
      </c>
      <c r="K53" s="140">
        <f t="shared" si="36"/>
        <v>0.16716089637502418</v>
      </c>
      <c r="L53" s="140">
        <f t="shared" si="36"/>
        <v>8.8004719222437244E-2</v>
      </c>
      <c r="M53" s="140">
        <f t="shared" si="36"/>
        <v>0.11692154677752117</v>
      </c>
      <c r="N53" s="140"/>
      <c r="O53" s="140">
        <f t="shared" si="36"/>
        <v>1.0000000000000002</v>
      </c>
      <c r="P53" s="140">
        <f t="shared" si="36"/>
        <v>2.3818539043325515</v>
      </c>
      <c r="Q53" s="140">
        <f t="shared" si="36"/>
        <v>7.6557620643209701E-2</v>
      </c>
      <c r="R53" s="140">
        <f t="shared" si="36"/>
        <v>0.82904969045504939</v>
      </c>
      <c r="S53" s="140">
        <f t="shared" si="36"/>
        <v>0.72541891955373794</v>
      </c>
      <c r="T53" s="140">
        <f t="shared" si="36"/>
        <v>1.4539026768187453</v>
      </c>
      <c r="U53" s="140">
        <f t="shared" si="36"/>
        <v>1.7128531812010452</v>
      </c>
      <c r="V53" s="140">
        <f t="shared" si="36"/>
        <v>1.2762075872590239</v>
      </c>
    </row>
    <row r="54" spans="1:22" s="3" customFormat="1" x14ac:dyDescent="0.3">
      <c r="A54" s="61" t="s">
        <v>2</v>
      </c>
      <c r="B54" s="140">
        <f t="shared" ref="B54:V54" si="37">B48</f>
        <v>3.5406956217509541E-2</v>
      </c>
      <c r="C54" s="140">
        <f t="shared" si="37"/>
        <v>5.5499885816247041E-2</v>
      </c>
      <c r="D54" s="140">
        <f t="shared" si="37"/>
        <v>2.2772897869129338E-2</v>
      </c>
      <c r="E54" s="140">
        <f t="shared" si="37"/>
        <v>0.10883782146210427</v>
      </c>
      <c r="F54" s="140">
        <f t="shared" si="37"/>
        <v>0.16690675169408081</v>
      </c>
      <c r="G54" s="140">
        <f t="shared" si="37"/>
        <v>0.28946624189537284</v>
      </c>
      <c r="H54" s="140">
        <f t="shared" si="37"/>
        <v>0.60369190484286273</v>
      </c>
      <c r="I54" s="140">
        <f t="shared" si="37"/>
        <v>0.15118228196080669</v>
      </c>
      <c r="J54" s="140">
        <f t="shared" si="37"/>
        <v>4.2856964764045026E-2</v>
      </c>
      <c r="K54" s="140">
        <f t="shared" si="37"/>
        <v>9.4503296543864843E-2</v>
      </c>
      <c r="L54" s="140">
        <f t="shared" si="37"/>
        <v>2.0532137855396176E-2</v>
      </c>
      <c r="M54" s="140">
        <f t="shared" si="37"/>
        <v>4.0403122399381548E-2</v>
      </c>
      <c r="N54" s="140"/>
      <c r="O54" s="140">
        <f t="shared" si="37"/>
        <v>0.15309468188491526</v>
      </c>
      <c r="P54" s="140">
        <f t="shared" si="37"/>
        <v>0.32244192946847833</v>
      </c>
      <c r="Q54" s="140">
        <f t="shared" si="37"/>
        <v>2.8812639989299341E-2</v>
      </c>
      <c r="R54" s="140">
        <f t="shared" si="37"/>
        <v>0.31157582599553657</v>
      </c>
      <c r="S54" s="140">
        <f t="shared" si="37"/>
        <v>0.3456914457776038</v>
      </c>
      <c r="T54" s="140">
        <f t="shared" si="37"/>
        <v>0.35475397998829111</v>
      </c>
      <c r="U54" s="140">
        <f t="shared" si="37"/>
        <v>0.20520966594243928</v>
      </c>
      <c r="V54" s="140">
        <f t="shared" si="37"/>
        <v>0.2633557622489876</v>
      </c>
    </row>
    <row r="55" spans="1:22" s="3" customFormat="1" x14ac:dyDescent="0.3">
      <c r="A55" s="61" t="s">
        <v>79</v>
      </c>
      <c r="B55" s="140">
        <f>(B53*100/$B53)-100</f>
        <v>0</v>
      </c>
      <c r="C55" s="140">
        <f t="shared" ref="C55:M55" si="38">(C53*100/$B53)-100</f>
        <v>-3.6106343047258207</v>
      </c>
      <c r="D55" s="140">
        <f t="shared" si="38"/>
        <v>-33.064840457177723</v>
      </c>
      <c r="E55" s="140">
        <f t="shared" si="38"/>
        <v>89.78562546924087</v>
      </c>
      <c r="F55" s="140">
        <f t="shared" si="38"/>
        <v>367.91532134021662</v>
      </c>
      <c r="G55" s="140">
        <f t="shared" si="38"/>
        <v>2040.6229723162196</v>
      </c>
      <c r="H55" s="140">
        <f t="shared" si="38"/>
        <v>3349.8702443948687</v>
      </c>
      <c r="I55" s="140">
        <f t="shared" si="38"/>
        <v>119.9358476396792</v>
      </c>
      <c r="J55" s="140">
        <f t="shared" si="38"/>
        <v>-13.891055701038965</v>
      </c>
      <c r="K55" s="140">
        <f t="shared" si="38"/>
        <v>40.281206618876865</v>
      </c>
      <c r="L55" s="140">
        <f t="shared" si="38"/>
        <v>-26.146554197806296</v>
      </c>
      <c r="M55" s="140">
        <f t="shared" si="38"/>
        <v>-1.8795901590608821</v>
      </c>
      <c r="N55" s="140"/>
      <c r="O55" s="140">
        <f t="shared" ref="O55:V55" si="39">(O53*100/$O53)-100</f>
        <v>0</v>
      </c>
      <c r="P55" s="140">
        <f t="shared" si="39"/>
        <v>138.18539043325509</v>
      </c>
      <c r="Q55" s="140">
        <f t="shared" si="39"/>
        <v>-92.344237935679033</v>
      </c>
      <c r="R55" s="140">
        <f t="shared" si="39"/>
        <v>-17.095030954495073</v>
      </c>
      <c r="S55" s="140">
        <f t="shared" si="39"/>
        <v>-27.458108044626215</v>
      </c>
      <c r="T55" s="140">
        <f t="shared" si="39"/>
        <v>45.390267681874491</v>
      </c>
      <c r="U55" s="140">
        <f t="shared" si="39"/>
        <v>71.285318120104506</v>
      </c>
      <c r="V55" s="140">
        <f t="shared" si="39"/>
        <v>27.620758725902363</v>
      </c>
    </row>
    <row r="56" spans="1:22" s="3" customFormat="1" x14ac:dyDescent="0.3">
      <c r="A56" s="61" t="s">
        <v>81</v>
      </c>
      <c r="B56" s="140" t="e">
        <f ca="1">[1]!SWTEST(B28:B43)</f>
        <v>#NAME?</v>
      </c>
      <c r="C56" s="140" t="e">
        <f ca="1">[1]!SWTEST(C28:C43)</f>
        <v>#NAME?</v>
      </c>
      <c r="D56" s="140" t="e">
        <f ca="1">[1]!SWTEST(D28:D43)</f>
        <v>#NAME?</v>
      </c>
      <c r="E56" s="140" t="e">
        <f ca="1">[1]!SWTEST(E28:E43)</f>
        <v>#NAME?</v>
      </c>
      <c r="F56" s="140" t="e">
        <f ca="1">[1]!SWTEST(F28:F43)</f>
        <v>#NAME?</v>
      </c>
      <c r="G56" s="140" t="e">
        <f ca="1">[1]!SWTEST(G28:G43)</f>
        <v>#NAME?</v>
      </c>
      <c r="H56" s="140" t="e">
        <f ca="1">[1]!SWTEST(H28:H43)</f>
        <v>#NAME?</v>
      </c>
      <c r="I56" s="140" t="e">
        <f ca="1">[1]!SWTEST(I28:I43)</f>
        <v>#NAME?</v>
      </c>
      <c r="J56" s="140" t="e">
        <f ca="1">[1]!SWTEST(J28:J43)</f>
        <v>#NAME?</v>
      </c>
      <c r="K56" s="140" t="e">
        <f ca="1">[1]!SWTEST(K28:K43)</f>
        <v>#NAME?</v>
      </c>
      <c r="L56" s="140" t="e">
        <f ca="1">[1]!SWTEST(L28:L43)</f>
        <v>#NAME?</v>
      </c>
      <c r="M56" s="140" t="e">
        <f ca="1">[1]!SWTEST(M28:M43)</f>
        <v>#NAME?</v>
      </c>
      <c r="N56" s="140"/>
      <c r="O56" s="140" t="e">
        <f ca="1">[1]!SWTEST(O28:O43)</f>
        <v>#NAME?</v>
      </c>
      <c r="P56" s="140" t="e">
        <f ca="1">[1]!SWTEST(P28:P43)</f>
        <v>#NAME?</v>
      </c>
      <c r="Q56" s="140" t="e">
        <f ca="1">[1]!SWTEST(Q28:Q43)</f>
        <v>#NAME?</v>
      </c>
      <c r="R56" s="140" t="e">
        <f ca="1">[1]!SWTEST(R28:R43)</f>
        <v>#NAME?</v>
      </c>
      <c r="S56" s="140" t="e">
        <f ca="1">[1]!SWTEST(S28:S43)</f>
        <v>#NAME?</v>
      </c>
      <c r="T56" s="140" t="e">
        <f ca="1">[1]!SWTEST(T28:T43)</f>
        <v>#NAME?</v>
      </c>
      <c r="U56" s="140" t="e">
        <f ca="1">[1]!SWTEST(U28:U43)</f>
        <v>#NAME?</v>
      </c>
      <c r="V56" s="140" t="e">
        <f ca="1">[1]!SWTEST(V28:V43)</f>
        <v>#NAME?</v>
      </c>
    </row>
    <row r="57" spans="1:22" s="3" customFormat="1" x14ac:dyDescent="0.3">
      <c r="A57" s="61" t="s">
        <v>85</v>
      </c>
      <c r="B57" s="140" t="e">
        <f ca="1">IF(B56&gt;0.05,"Oui","Non")</f>
        <v>#NAME?</v>
      </c>
      <c r="C57" s="140" t="e">
        <f t="shared" ref="C57:V57" ca="1" si="40">IF(C56&gt;0.05,"Oui","Non")</f>
        <v>#NAME?</v>
      </c>
      <c r="D57" s="140" t="e">
        <f t="shared" ca="1" si="40"/>
        <v>#NAME?</v>
      </c>
      <c r="E57" s="140" t="e">
        <f t="shared" ca="1" si="40"/>
        <v>#NAME?</v>
      </c>
      <c r="F57" s="140" t="e">
        <f t="shared" ca="1" si="40"/>
        <v>#NAME?</v>
      </c>
      <c r="G57" s="140" t="e">
        <f t="shared" ca="1" si="40"/>
        <v>#NAME?</v>
      </c>
      <c r="H57" s="140" t="e">
        <f t="shared" ca="1" si="40"/>
        <v>#NAME?</v>
      </c>
      <c r="I57" s="140" t="e">
        <f t="shared" ca="1" si="40"/>
        <v>#NAME?</v>
      </c>
      <c r="J57" s="140" t="e">
        <f t="shared" ca="1" si="40"/>
        <v>#NAME?</v>
      </c>
      <c r="K57" s="140" t="e">
        <f t="shared" ca="1" si="40"/>
        <v>#NAME?</v>
      </c>
      <c r="L57" s="140" t="e">
        <f t="shared" ca="1" si="40"/>
        <v>#NAME?</v>
      </c>
      <c r="M57" s="140" t="e">
        <f t="shared" ca="1" si="40"/>
        <v>#NAME?</v>
      </c>
      <c r="N57" s="140"/>
      <c r="O57" s="140" t="e">
        <f t="shared" ca="1" si="40"/>
        <v>#NAME?</v>
      </c>
      <c r="P57" s="140" t="e">
        <f t="shared" ca="1" si="40"/>
        <v>#NAME?</v>
      </c>
      <c r="Q57" s="140" t="e">
        <f t="shared" ca="1" si="40"/>
        <v>#NAME?</v>
      </c>
      <c r="R57" s="140" t="e">
        <f t="shared" ca="1" si="40"/>
        <v>#NAME?</v>
      </c>
      <c r="S57" s="140" t="e">
        <f t="shared" ca="1" si="40"/>
        <v>#NAME?</v>
      </c>
      <c r="T57" s="140" t="e">
        <f t="shared" ca="1" si="40"/>
        <v>#NAME?</v>
      </c>
      <c r="U57" s="140" t="e">
        <f t="shared" ca="1" si="40"/>
        <v>#NAME?</v>
      </c>
      <c r="V57" s="140" t="e">
        <f t="shared" ca="1" si="40"/>
        <v>#NAME?</v>
      </c>
    </row>
    <row r="58" spans="1:22" s="3" customFormat="1" x14ac:dyDescent="0.3">
      <c r="A58" s="61"/>
      <c r="B58" s="140"/>
      <c r="C58" s="140"/>
      <c r="D58" s="140"/>
      <c r="E58" s="140"/>
      <c r="F58" s="140"/>
      <c r="G58" s="140"/>
      <c r="H58" s="140"/>
      <c r="I58" s="140"/>
      <c r="J58" s="140"/>
      <c r="K58" s="140"/>
      <c r="L58" s="140"/>
      <c r="M58" s="140"/>
      <c r="N58" s="146"/>
      <c r="O58" s="147"/>
      <c r="P58" s="140"/>
      <c r="Q58" s="140"/>
      <c r="R58" s="140"/>
      <c r="S58" s="140"/>
      <c r="T58" s="140"/>
      <c r="U58" s="140"/>
      <c r="V58" s="140"/>
    </row>
    <row r="59" spans="1:22" s="3" customFormat="1" x14ac:dyDescent="0.3">
      <c r="A59" s="61" t="s">
        <v>82</v>
      </c>
      <c r="B59" s="148"/>
      <c r="C59" s="148" t="e">
        <f t="shared" ref="C59:O59" ca="1" si="41">IF($B57="Non",IF(C57="Non","MW",IF(C57="Oui","MW","")),IF($B57="Oui",IF(C57="Oui","T-Test Welch",IF(C57="Non","MW",""))))</f>
        <v>#NAME?</v>
      </c>
      <c r="D59" s="148" t="e">
        <f t="shared" ca="1" si="41"/>
        <v>#NAME?</v>
      </c>
      <c r="E59" s="148" t="e">
        <f t="shared" ca="1" si="41"/>
        <v>#NAME?</v>
      </c>
      <c r="F59" s="148" t="e">
        <f t="shared" ca="1" si="41"/>
        <v>#NAME?</v>
      </c>
      <c r="G59" s="148" t="e">
        <f t="shared" ca="1" si="41"/>
        <v>#NAME?</v>
      </c>
      <c r="H59" s="148" t="e">
        <f t="shared" ca="1" si="41"/>
        <v>#NAME?</v>
      </c>
      <c r="I59" s="148" t="e">
        <f t="shared" ca="1" si="41"/>
        <v>#NAME?</v>
      </c>
      <c r="J59" s="148" t="e">
        <f t="shared" ca="1" si="41"/>
        <v>#NAME?</v>
      </c>
      <c r="K59" s="148" t="e">
        <f t="shared" ca="1" si="41"/>
        <v>#NAME?</v>
      </c>
      <c r="L59" s="148" t="e">
        <f t="shared" ca="1" si="41"/>
        <v>#NAME?</v>
      </c>
      <c r="M59" s="148" t="e">
        <f t="shared" ca="1" si="41"/>
        <v>#NAME?</v>
      </c>
      <c r="N59" s="148"/>
      <c r="O59" s="148" t="e">
        <f t="shared" ca="1" si="41"/>
        <v>#NAME?</v>
      </c>
      <c r="P59" s="148" t="e">
        <f t="shared" ref="P59:V59" ca="1" si="42">IF($O57="Non",IF(P57="Non","MW",IF(P57="Oui","MW","")),IF($O57="Oui",IF(P57="Oui","T-Test Welch",IF(P57="Non","MW",""))))</f>
        <v>#NAME?</v>
      </c>
      <c r="Q59" s="148" t="e">
        <f t="shared" ca="1" si="42"/>
        <v>#NAME?</v>
      </c>
      <c r="R59" s="148" t="e">
        <f t="shared" ca="1" si="42"/>
        <v>#NAME?</v>
      </c>
      <c r="S59" s="148" t="e">
        <f t="shared" ca="1" si="42"/>
        <v>#NAME?</v>
      </c>
      <c r="T59" s="148" t="e">
        <f t="shared" ca="1" si="42"/>
        <v>#NAME?</v>
      </c>
      <c r="U59" s="148" t="e">
        <f t="shared" ca="1" si="42"/>
        <v>#NAME?</v>
      </c>
      <c r="V59" s="148" t="e">
        <f t="shared" ca="1" si="42"/>
        <v>#NAME?</v>
      </c>
    </row>
    <row r="60" spans="1:22" s="3" customFormat="1" x14ac:dyDescent="0.3">
      <c r="A60" s="61" t="s">
        <v>83</v>
      </c>
      <c r="B60" s="149"/>
      <c r="C60" s="149" t="e">
        <f ca="1">IF(C59="MW",[1]!MTEST($B28:$B43,C28:C43,2), IF(C59="T-Test Welch",_xlfn.T.TEST($B28:$B43,C28:C43,2,3),""))</f>
        <v>#NAME?</v>
      </c>
      <c r="D60" s="149" t="e">
        <f ca="1">IF(D59="MW",[1]!MTEST($B28:$B43,D28:D43,2), IF(D59="T-Test Welch",_xlfn.T.TEST($B28:$B43,D28:D43,2,3),""))</f>
        <v>#NAME?</v>
      </c>
      <c r="E60" s="149" t="e">
        <f ca="1">IF(E59="MW",[1]!MTEST($B28:$B43,E28:E43,2), IF(E59="T-Test Welch",_xlfn.T.TEST($B28:$B43,E28:E43,2,3),""))</f>
        <v>#NAME?</v>
      </c>
      <c r="F60" s="149" t="e">
        <f ca="1">IF(F59="MW",[1]!MTEST($B28:$B43,F28:F43,2), IF(F59="T-Test Welch",_xlfn.T.TEST($B28:$B43,F28:F43,2,3),""))</f>
        <v>#NAME?</v>
      </c>
      <c r="G60" s="149" t="e">
        <f ca="1">IF(G59="MW",[1]!MTEST($B28:$B43,G28:G43,2), IF(G59="T-Test Welch",_xlfn.T.TEST($B28:$B43,G28:G43,2,3),""))</f>
        <v>#NAME?</v>
      </c>
      <c r="H60" s="149" t="e">
        <f ca="1">IF(H59="MW",[1]!MTEST($B28:$B43,H28:H43,2), IF(H59="T-Test Welch",_xlfn.T.TEST($B28:$B43,H28:H43,2,3),""))</f>
        <v>#NAME?</v>
      </c>
      <c r="I60" s="149" t="e">
        <f ca="1">IF(I59="MW",[1]!MTEST($B28:$B43,I28:I43,2), IF(I59="T-Test Welch",_xlfn.T.TEST($B28:$B43,I28:I43,2,3),""))</f>
        <v>#NAME?</v>
      </c>
      <c r="J60" s="149" t="e">
        <f ca="1">IF(J59="MW",[1]!MTEST($B28:$B43,J28:J43,2), IF(J59="T-Test Welch",_xlfn.T.TEST($B28:$B43,J28:J43,2,3),""))</f>
        <v>#NAME?</v>
      </c>
      <c r="K60" s="149" t="e">
        <f ca="1">IF(K59="MW",[1]!MTEST($B28:$B43,K28:K43,2), IF(K59="T-Test Welch",_xlfn.T.TEST($B28:$B43,K28:K43,2,3),""))</f>
        <v>#NAME?</v>
      </c>
      <c r="L60" s="149" t="e">
        <f ca="1">IF(L59="MW",[1]!MTEST($B28:$B43,L28:L43,2), IF(L59="T-Test Welch",_xlfn.T.TEST($B28:$B43,L28:L43,2,3),""))</f>
        <v>#NAME?</v>
      </c>
      <c r="M60" s="149" t="e">
        <f ca="1">IF(M59="MW",[1]!MTEST($B28:$B43,M28:M43,2), IF(M59="T-Test Welch",_xlfn.T.TEST($B28:$B43,M28:M43,2,3),""))</f>
        <v>#NAME?</v>
      </c>
      <c r="N60" s="149"/>
      <c r="O60" s="149" t="e">
        <f ca="1">IF(O59="MW",[1]!MTEST($B28:$B43,O28:O43,2), IF(O59="T-Test Welch",_xlfn.T.TEST($B28:$B43,O28:O43,2,3),""))</f>
        <v>#NAME?</v>
      </c>
      <c r="P60" s="149" t="e">
        <f ca="1">IF(P59="MW",[1]!MTEST($O28:$O43,P28:P43,2), IF(P59="T-Test Welch",_xlfn.T.TEST($O28:$O43,P28:P43,2,3),""))</f>
        <v>#NAME?</v>
      </c>
      <c r="Q60" s="149" t="e">
        <f ca="1">IF(Q59="MW",[1]!MTEST($O28:$O43,Q28:Q43,2), IF(Q59="T-Test Welch",_xlfn.T.TEST($O28:$O43,Q28:Q43,2,3),""))</f>
        <v>#NAME?</v>
      </c>
      <c r="R60" s="149" t="e">
        <f ca="1">IF(R59="MW",[1]!MTEST($O28:$O43,R28:R43,2), IF(R59="T-Test Welch",_xlfn.T.TEST($O28:$O43,R28:R43,2,3),""))</f>
        <v>#NAME?</v>
      </c>
      <c r="S60" s="149" t="e">
        <f ca="1">IF(S59="MW",[1]!MTEST($O28:$O43,S28:S43,2), IF(S59="T-Test Welch",_xlfn.T.TEST($O28:$O43,S28:S43,2,3),""))</f>
        <v>#NAME?</v>
      </c>
      <c r="T60" s="149" t="e">
        <f ca="1">IF(T59="MW",[1]!MTEST($O28:$O43,T28:T43,2), IF(T59="T-Test Welch",_xlfn.T.TEST($O28:$O43,T28:T43,2,3),""))</f>
        <v>#NAME?</v>
      </c>
      <c r="U60" s="149" t="e">
        <f ca="1">IF(U59="MW",[1]!MTEST($O28:$O43,U28:U43,2), IF(U59="T-Test Welch",_xlfn.T.TEST($O28:$O43,U28:U43,2,3),""))</f>
        <v>#NAME?</v>
      </c>
      <c r="V60" s="149" t="e">
        <f ca="1">IF(V59="MW",[1]!MTEST($O28:$O43,V28:V43,2), IF(V59="T-Test Welch",_xlfn.T.TEST($O28:$O43,V28:V43,2,3),""))</f>
        <v>#NAME?</v>
      </c>
    </row>
    <row r="61" spans="1:22" s="3" customFormat="1" ht="15" thickBot="1" x14ac:dyDescent="0.35">
      <c r="A61" s="62" t="s">
        <v>84</v>
      </c>
      <c r="B61" s="141"/>
      <c r="C61" s="141" t="e">
        <f t="shared" ref="C61:O61" ca="1" si="43">IF(C60&gt;0.05,"NS",IF(C60&gt;0.01,"*",IF(C60&gt;0.001,"**","***")))</f>
        <v>#NAME?</v>
      </c>
      <c r="D61" s="141" t="e">
        <f t="shared" ca="1" si="43"/>
        <v>#NAME?</v>
      </c>
      <c r="E61" s="141" t="e">
        <f t="shared" ca="1" si="43"/>
        <v>#NAME?</v>
      </c>
      <c r="F61" s="141" t="e">
        <f t="shared" ca="1" si="43"/>
        <v>#NAME?</v>
      </c>
      <c r="G61" s="141" t="e">
        <f t="shared" ca="1" si="43"/>
        <v>#NAME?</v>
      </c>
      <c r="H61" s="141" t="e">
        <f t="shared" ca="1" si="43"/>
        <v>#NAME?</v>
      </c>
      <c r="I61" s="141" t="e">
        <f t="shared" ca="1" si="43"/>
        <v>#NAME?</v>
      </c>
      <c r="J61" s="141" t="e">
        <f t="shared" ca="1" si="43"/>
        <v>#NAME?</v>
      </c>
      <c r="K61" s="141" t="e">
        <f t="shared" ca="1" si="43"/>
        <v>#NAME?</v>
      </c>
      <c r="L61" s="141" t="e">
        <f t="shared" ca="1" si="43"/>
        <v>#NAME?</v>
      </c>
      <c r="M61" s="141" t="e">
        <f t="shared" ca="1" si="43"/>
        <v>#NAME?</v>
      </c>
      <c r="N61" s="141"/>
      <c r="O61" s="141" t="e">
        <f t="shared" ca="1" si="43"/>
        <v>#NAME?</v>
      </c>
      <c r="P61" s="141" t="e">
        <f ca="1">IF(P60&gt;0.05,"NS",IF(P60&gt;0.01,"*",IF(P60&gt;0.001,"**","***")))</f>
        <v>#NAME?</v>
      </c>
      <c r="Q61" s="141" t="e">
        <f t="shared" ref="Q61:V61" ca="1" si="44">IF(Q60&gt;0.05,"NS",IF(Q60&gt;0.01,"*",IF(Q60&gt;0.001,"**","***")))</f>
        <v>#NAME?</v>
      </c>
      <c r="R61" s="141" t="e">
        <f t="shared" ca="1" si="44"/>
        <v>#NAME?</v>
      </c>
      <c r="S61" s="141" t="e">
        <f t="shared" ca="1" si="44"/>
        <v>#NAME?</v>
      </c>
      <c r="T61" s="141" t="e">
        <f t="shared" ca="1" si="44"/>
        <v>#NAME?</v>
      </c>
      <c r="U61" s="141" t="e">
        <f t="shared" ca="1" si="44"/>
        <v>#NAME?</v>
      </c>
      <c r="V61" s="141" t="e">
        <f t="shared" ca="1" si="44"/>
        <v>#NAME?</v>
      </c>
    </row>
    <row r="63" spans="1:22" x14ac:dyDescent="0.3">
      <c r="A63" s="2" t="s">
        <v>39</v>
      </c>
    </row>
    <row r="64" spans="1:22" x14ac:dyDescent="0.3">
      <c r="A64" s="1" t="s">
        <v>23</v>
      </c>
      <c r="B64" s="1">
        <f>B46+(3*B47)</f>
        <v>0.40019529317021868</v>
      </c>
    </row>
    <row r="65" spans="1:22" x14ac:dyDescent="0.3">
      <c r="A65" s="1" t="s">
        <v>24</v>
      </c>
      <c r="B65" s="1">
        <f>B46+(10*B47)</f>
        <v>1.0559412990031958</v>
      </c>
    </row>
    <row r="66" spans="1:22" ht="15" thickBot="1" x14ac:dyDescent="0.35"/>
    <row r="67" spans="1:22" ht="26.4" thickBot="1" x14ac:dyDescent="0.55000000000000004">
      <c r="A67" s="218" t="s">
        <v>45</v>
      </c>
      <c r="B67" s="219"/>
      <c r="C67" s="219"/>
      <c r="D67" s="219"/>
      <c r="E67" s="219"/>
      <c r="F67" s="219"/>
      <c r="G67" s="219"/>
      <c r="H67" s="219"/>
      <c r="I67" s="219"/>
      <c r="J67" s="219"/>
      <c r="K67" s="219"/>
      <c r="L67" s="219"/>
      <c r="M67" s="219"/>
      <c r="N67" s="219"/>
      <c r="O67" s="219"/>
      <c r="P67" s="219"/>
      <c r="Q67" s="219"/>
      <c r="R67" s="219"/>
      <c r="S67" s="219"/>
      <c r="T67" s="219"/>
      <c r="U67" s="219"/>
      <c r="V67" s="219"/>
    </row>
    <row r="68" spans="1:22" ht="16.8" x14ac:dyDescent="0.3">
      <c r="A68" s="12"/>
      <c r="B68" s="12"/>
      <c r="C68" s="12"/>
      <c r="D68" s="12"/>
      <c r="E68" s="12"/>
      <c r="F68" s="12"/>
      <c r="N68" s="12"/>
      <c r="O68" s="12"/>
      <c r="P68" s="12"/>
      <c r="Q68" s="12"/>
      <c r="R68" s="12"/>
      <c r="S68" s="12"/>
      <c r="T68" s="12"/>
      <c r="U68" s="12"/>
      <c r="V68" s="12"/>
    </row>
    <row r="69" spans="1:22" ht="16.8" x14ac:dyDescent="0.3">
      <c r="A69" s="12"/>
      <c r="B69" s="12"/>
      <c r="C69" s="12"/>
      <c r="D69" s="12"/>
      <c r="E69" s="12"/>
      <c r="F69" s="12"/>
      <c r="N69" s="12"/>
      <c r="O69" s="12"/>
      <c r="P69" s="12"/>
      <c r="Q69" s="12"/>
      <c r="R69" s="12"/>
      <c r="S69" s="12"/>
      <c r="T69" s="12"/>
      <c r="U69" s="12"/>
      <c r="V69" s="12"/>
    </row>
    <row r="70" spans="1:22" ht="16.8" x14ac:dyDescent="0.3">
      <c r="A70" s="12"/>
      <c r="B70" s="12"/>
      <c r="C70" s="12"/>
      <c r="D70" s="12"/>
      <c r="E70" s="12"/>
      <c r="F70" s="12"/>
      <c r="N70" s="12"/>
      <c r="O70" s="12"/>
      <c r="P70" s="12"/>
      <c r="Q70" s="12"/>
      <c r="R70" s="12"/>
      <c r="S70" s="12"/>
      <c r="T70" s="12"/>
      <c r="U70" s="12"/>
      <c r="V70" s="12"/>
    </row>
    <row r="71" spans="1:22" ht="16.8" x14ac:dyDescent="0.3">
      <c r="A71" s="12"/>
      <c r="B71" s="12"/>
      <c r="C71" s="12"/>
      <c r="D71" s="12"/>
      <c r="E71" s="12"/>
      <c r="F71" s="12"/>
      <c r="N71" s="12"/>
      <c r="O71" s="12"/>
      <c r="P71" s="12"/>
      <c r="Q71" s="12"/>
      <c r="R71" s="12"/>
      <c r="S71" s="12"/>
      <c r="T71" s="12"/>
      <c r="U71" s="12"/>
      <c r="V71" s="12"/>
    </row>
    <row r="72" spans="1:22" ht="16.8" x14ac:dyDescent="0.3">
      <c r="A72" s="12"/>
      <c r="B72" s="12"/>
      <c r="C72" s="12"/>
      <c r="D72" s="12"/>
      <c r="E72" s="12"/>
      <c r="F72" s="12"/>
      <c r="N72" s="12"/>
      <c r="O72" s="12"/>
      <c r="P72" s="12"/>
      <c r="Q72" s="12"/>
      <c r="R72" s="12"/>
      <c r="S72" s="12"/>
      <c r="T72" s="12"/>
      <c r="U72" s="12"/>
      <c r="V72" s="12"/>
    </row>
    <row r="73" spans="1:22" ht="16.8" x14ac:dyDescent="0.3">
      <c r="A73" s="12"/>
      <c r="B73" s="12"/>
      <c r="C73" s="12"/>
      <c r="D73" s="12"/>
      <c r="E73" s="12"/>
      <c r="F73" s="12"/>
      <c r="N73" s="12"/>
      <c r="O73" s="12"/>
      <c r="P73" s="12"/>
      <c r="Q73" s="12"/>
      <c r="R73" s="12"/>
      <c r="S73" s="12"/>
      <c r="T73" s="12"/>
      <c r="U73" s="12"/>
      <c r="V73" s="12"/>
    </row>
    <row r="74" spans="1:22" ht="16.8" x14ac:dyDescent="0.3">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130"/>
  <sheetViews>
    <sheetView showGridLines="0" topLeftCell="A12" zoomScale="55" zoomScaleNormal="55" workbookViewId="0">
      <selection activeCell="V6" sqref="B6:V53"/>
    </sheetView>
  </sheetViews>
  <sheetFormatPr defaultColWidth="11.5546875" defaultRowHeight="14.4" x14ac:dyDescent="0.3"/>
  <cols>
    <col min="1" max="1" width="42.77734375" customWidth="1"/>
    <col min="2" max="2" width="14" bestFit="1" customWidth="1"/>
    <col min="3" max="13" width="22.77734375" bestFit="1" customWidth="1"/>
    <col min="14" max="14" width="8.44140625" customWidth="1"/>
    <col min="15" max="15" width="22.77734375" customWidth="1"/>
    <col min="18" max="22" width="29.21875" customWidth="1"/>
  </cols>
  <sheetData>
    <row r="1" spans="1:22" s="1" customFormat="1" ht="21.6" thickBot="1" x14ac:dyDescent="0.35">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 thickBot="1" x14ac:dyDescent="0.35">
      <c r="A2" s="1"/>
      <c r="B2" s="1"/>
      <c r="C2" s="1"/>
      <c r="D2" s="1"/>
      <c r="E2" s="1"/>
      <c r="F2" s="1"/>
      <c r="G2" s="1"/>
      <c r="H2" s="1"/>
      <c r="I2" s="1"/>
      <c r="J2" s="1"/>
      <c r="K2" s="1"/>
      <c r="L2" s="1"/>
      <c r="M2" s="1"/>
    </row>
    <row r="3" spans="1:22" s="33" customFormat="1" ht="15" thickBot="1" x14ac:dyDescent="0.35">
      <c r="B3" s="224" t="s">
        <v>6</v>
      </c>
      <c r="C3" s="225"/>
      <c r="D3" s="225"/>
      <c r="E3" s="225"/>
      <c r="F3" s="225"/>
      <c r="G3" s="225"/>
      <c r="H3" s="225"/>
      <c r="I3" s="225"/>
      <c r="J3" s="225"/>
      <c r="K3" s="225"/>
      <c r="L3" s="225"/>
      <c r="M3" s="225"/>
      <c r="N3" s="72"/>
      <c r="O3" s="224" t="s">
        <v>3</v>
      </c>
      <c r="P3" s="225"/>
      <c r="Q3" s="225"/>
      <c r="R3" s="225"/>
      <c r="S3" s="225"/>
      <c r="T3" s="225"/>
      <c r="U3" s="225"/>
      <c r="V3" s="225"/>
    </row>
    <row r="4" spans="1:22" x14ac:dyDescent="0.3">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Arabinose-0.01mg/L</v>
      </c>
      <c r="J4" s="35" t="str">
        <f>'R1'!J4</f>
        <v>Arabinose-0.1mg/L</v>
      </c>
      <c r="K4" s="35" t="str">
        <f>'R1'!K4</f>
        <v>Arabinose-1mg/L</v>
      </c>
      <c r="L4" s="35" t="str">
        <f>'R1'!L4</f>
        <v>Arabinose-10mg/L</v>
      </c>
      <c r="M4" s="35" t="str">
        <f>'R1'!M4</f>
        <v>Arabinose-100mg/L</v>
      </c>
      <c r="O4" s="35" t="str">
        <f>'R1'!O4</f>
        <v>Testo -30µg/L</v>
      </c>
      <c r="P4" s="35" t="str">
        <f>'R1'!P4</f>
        <v>Testo 30µg/L + EE2 -64ng/L</v>
      </c>
      <c r="Q4" s="35" t="str">
        <f>'R1'!Q4</f>
        <v>Testo 30µg/L + FAD-10µg/L</v>
      </c>
      <c r="R4" s="35" t="str">
        <f>'R1'!R4</f>
        <v>Arabinose-0.01mg/L + Testostérone</v>
      </c>
      <c r="S4" s="35" t="str">
        <f>'R1'!S4</f>
        <v>Arabinose-0.1mg/L + Testostérone</v>
      </c>
      <c r="T4" s="35" t="str">
        <f>'R1'!T4</f>
        <v>Arabinose-1mg/L + Testostérone</v>
      </c>
      <c r="U4" s="35" t="str">
        <f>'R1'!U4</f>
        <v>Arabinose-10mg/L + Testostérone</v>
      </c>
      <c r="V4" s="35" t="str">
        <f>'R1'!V4</f>
        <v>Arabinose-100mg/L + Testostérone</v>
      </c>
    </row>
    <row r="5" spans="1:22" s="1" customFormat="1" x14ac:dyDescent="0.3">
      <c r="A5" s="34"/>
      <c r="B5" s="35"/>
      <c r="C5" s="191" t="s">
        <v>164</v>
      </c>
      <c r="D5" s="35"/>
      <c r="E5" s="35"/>
      <c r="F5" s="35"/>
      <c r="G5" s="35"/>
      <c r="H5" s="35"/>
      <c r="I5" s="35"/>
      <c r="J5" s="35"/>
      <c r="K5" s="35"/>
      <c r="L5" s="35"/>
      <c r="M5" s="35"/>
      <c r="O5" s="35"/>
      <c r="P5" s="35"/>
      <c r="Q5" s="35"/>
      <c r="R5" s="35"/>
      <c r="S5" s="35"/>
      <c r="T5" s="35"/>
      <c r="U5" s="35"/>
      <c r="V5" s="35"/>
    </row>
    <row r="6" spans="1:22" s="1" customFormat="1" x14ac:dyDescent="0.3">
      <c r="A6" s="71" t="s">
        <v>4</v>
      </c>
      <c r="B6" s="53">
        <f>'R1'!B28</f>
        <v>7.3872147915313539E-3</v>
      </c>
      <c r="C6" s="53">
        <f>'R1'!C28</f>
        <v>9.971406145869265E-3</v>
      </c>
      <c r="D6" s="53">
        <f>'R1'!D28</f>
        <v>1.1104344330823647E-2</v>
      </c>
      <c r="E6" s="53" t="str">
        <f>'R1'!E28</f>
        <v/>
      </c>
      <c r="F6" s="53">
        <f>'R1'!F28</f>
        <v>0.4915448468472034</v>
      </c>
      <c r="G6" s="53">
        <f>'R1'!G28</f>
        <v>0.90043396281974042</v>
      </c>
      <c r="H6" s="53" t="str">
        <f>'R1'!H28</f>
        <v/>
      </c>
      <c r="I6" s="53">
        <f>'R1'!I28</f>
        <v>7.4382244974166593E-3</v>
      </c>
      <c r="J6" s="53">
        <f>'R1'!J28</f>
        <v>1.0098569917961433E-2</v>
      </c>
      <c r="K6" s="53">
        <f>'R1'!K28</f>
        <v>5.2592809230855769E-2</v>
      </c>
      <c r="L6" s="53">
        <f>'R1'!L28</f>
        <v>7.8852353475776429E-3</v>
      </c>
      <c r="M6" s="53">
        <f>'R1'!M28</f>
        <v>6.9825798489803886E-2</v>
      </c>
      <c r="N6"/>
      <c r="O6" s="53">
        <f>'R1'!O28</f>
        <v>1.6583112988727584</v>
      </c>
      <c r="P6" s="53">
        <f>'R1'!P28</f>
        <v>2.282720207383234</v>
      </c>
      <c r="Q6" s="53">
        <f>'R1'!Q28</f>
        <v>3.4489410538267574E-2</v>
      </c>
      <c r="R6" s="53">
        <f>'R1'!R28</f>
        <v>0.51673751317998573</v>
      </c>
      <c r="S6" s="53">
        <f>'R1'!S28</f>
        <v>0.83912101733084499</v>
      </c>
      <c r="T6" s="53">
        <f>'R1'!T28</f>
        <v>1.29376872342347</v>
      </c>
      <c r="U6" s="53">
        <f>'R1'!U28</f>
        <v>1.3144874960821211</v>
      </c>
      <c r="V6" s="53">
        <f>'R1'!V28</f>
        <v>0.82981237686886367</v>
      </c>
    </row>
    <row r="7" spans="1:22" s="1" customFormat="1" x14ac:dyDescent="0.3">
      <c r="A7" s="228" t="s">
        <v>34</v>
      </c>
      <c r="B7" s="53">
        <f>'R1'!B29</f>
        <v>2.0852154928457149E-2</v>
      </c>
      <c r="C7" s="53">
        <f>'R1'!C29</f>
        <v>0.34705868332605611</v>
      </c>
      <c r="D7" s="53">
        <f>'R1'!D29</f>
        <v>2.6302352743675993E-2</v>
      </c>
      <c r="E7" s="53">
        <f>'R1'!E29</f>
        <v>5.1381283654502119E-2</v>
      </c>
      <c r="F7" s="53">
        <f>'R1'!F29</f>
        <v>0.15607293710215472</v>
      </c>
      <c r="G7" s="53">
        <f>'R1'!G29</f>
        <v>1.1696523757037516</v>
      </c>
      <c r="H7" s="53">
        <f>'R1'!H29</f>
        <v>4.2667868781382881</v>
      </c>
      <c r="I7" s="53">
        <f>'R1'!I29</f>
        <v>9.7790833325137137E-3</v>
      </c>
      <c r="J7" s="53">
        <f>'R1'!J29</f>
        <v>1.717413883855394E-2</v>
      </c>
      <c r="K7" s="53">
        <f>'R1'!K29</f>
        <v>9.3987636172557787E-3</v>
      </c>
      <c r="L7" s="53" t="str">
        <f>'R1'!L29</f>
        <v/>
      </c>
      <c r="M7" s="53">
        <f>'R1'!M29</f>
        <v>3.5877307129493212E-2</v>
      </c>
      <c r="N7"/>
      <c r="O7" s="53">
        <f>'R1'!O29</f>
        <v>0.92370916890090482</v>
      </c>
      <c r="P7" s="53">
        <f>'R1'!P29</f>
        <v>2.956879440807211</v>
      </c>
      <c r="Q7" s="53">
        <f>'R1'!Q29</f>
        <v>6.9359140791793089E-2</v>
      </c>
      <c r="R7" s="53">
        <f>'R1'!R29</f>
        <v>1.6073731507727405</v>
      </c>
      <c r="S7" s="53">
        <f>'R1'!S29</f>
        <v>1.4683918898220636</v>
      </c>
      <c r="T7" s="53">
        <f>'R1'!T29</f>
        <v>1.2051298965164476</v>
      </c>
      <c r="U7" s="53">
        <f>'R1'!U29</f>
        <v>0.62058606451004639</v>
      </c>
      <c r="V7" s="53">
        <f>'R1'!V29</f>
        <v>0.73519387860938512</v>
      </c>
    </row>
    <row r="8" spans="1:22" s="1" customFormat="1" x14ac:dyDescent="0.3">
      <c r="A8" s="229"/>
      <c r="B8" s="53">
        <f>'R1'!B30</f>
        <v>1.0673105032835681E-2</v>
      </c>
      <c r="C8" s="53">
        <f>'R1'!C30</f>
        <v>8.6732722172969245E-3</v>
      </c>
      <c r="D8" s="53">
        <f>'R1'!D30</f>
        <v>6.0744628871735061E-2</v>
      </c>
      <c r="E8" s="53">
        <f>'R1'!E30</f>
        <v>5.9540763763579738E-2</v>
      </c>
      <c r="F8" s="53">
        <f>'R1'!F30</f>
        <v>0.51822742918298204</v>
      </c>
      <c r="G8" s="53">
        <f>'R1'!G30</f>
        <v>1.446367412889797</v>
      </c>
      <c r="H8" s="53">
        <f>'R1'!H30</f>
        <v>3.4331830201270299</v>
      </c>
      <c r="I8" s="53">
        <f>'R1'!I30</f>
        <v>9.2770973576353499E-3</v>
      </c>
      <c r="J8" s="53">
        <f>'R1'!J30</f>
        <v>0.12052475973572359</v>
      </c>
      <c r="K8" s="53">
        <f>'R1'!K30</f>
        <v>6.3783401421277003E-2</v>
      </c>
      <c r="L8" s="53">
        <f>'R1'!L30</f>
        <v>9.8825807640308252E-2</v>
      </c>
      <c r="M8" s="53">
        <f>'R1'!M30</f>
        <v>7.9381556643547652E-2</v>
      </c>
      <c r="N8"/>
      <c r="O8" s="53" t="str">
        <f>'R1'!O30</f>
        <v/>
      </c>
      <c r="P8" s="53" t="str">
        <f>'R1'!P30</f>
        <v/>
      </c>
      <c r="Q8" s="53">
        <f>'R1'!Q30</f>
        <v>5.0128391549877527E-2</v>
      </c>
      <c r="R8" s="53">
        <f>'R1'!R30</f>
        <v>2.1249455648631881</v>
      </c>
      <c r="S8" s="53">
        <f>'R1'!S30</f>
        <v>1.8795239908830694</v>
      </c>
      <c r="T8" s="53">
        <f>'R1'!T30</f>
        <v>0.44706456356152724</v>
      </c>
      <c r="U8" s="53">
        <f>'R1'!U30</f>
        <v>1.293690496524692</v>
      </c>
      <c r="V8" s="53">
        <f>'R1'!V30</f>
        <v>1.1843914770099466</v>
      </c>
    </row>
    <row r="9" spans="1:22" s="1" customFormat="1" x14ac:dyDescent="0.3">
      <c r="A9" s="229"/>
      <c r="B9" s="53">
        <f>'R1'!B31</f>
        <v>3.6218693641672607E-2</v>
      </c>
      <c r="C9" s="53" t="str">
        <f>'R1'!C31</f>
        <v/>
      </c>
      <c r="D9" s="53">
        <f>'R1'!D31</f>
        <v>0.14614479007081718</v>
      </c>
      <c r="E9" s="53">
        <f>'R1'!E31</f>
        <v>7.0119960468619499E-2</v>
      </c>
      <c r="F9" s="53">
        <f>'R1'!F31</f>
        <v>2.0215009455150672</v>
      </c>
      <c r="G9" s="53">
        <f>'R1'!G31</f>
        <v>1.3138444673692384</v>
      </c>
      <c r="H9" s="53">
        <f>'R1'!H31</f>
        <v>3.1426420094440299</v>
      </c>
      <c r="I9" s="53">
        <f>'R1'!I31</f>
        <v>3.7189049654511988E-2</v>
      </c>
      <c r="J9" s="53">
        <f>'R1'!J31</f>
        <v>2.6729626622831886E-2</v>
      </c>
      <c r="K9" s="53">
        <f>'R1'!K31</f>
        <v>1.3790284727466347E-2</v>
      </c>
      <c r="L9" s="53">
        <f>'R1'!L31</f>
        <v>0.23475639978494695</v>
      </c>
      <c r="M9" s="53">
        <f>'R1'!M31</f>
        <v>0.1509910726225423</v>
      </c>
      <c r="N9"/>
      <c r="O9" s="53">
        <f>'R1'!O31</f>
        <v>1.4222845230910635</v>
      </c>
      <c r="P9" s="53">
        <f>'R1'!P31</f>
        <v>3.1286792289973682</v>
      </c>
      <c r="Q9" s="53">
        <f>'R1'!Q31</f>
        <v>9.4027290360878535E-3</v>
      </c>
      <c r="R9" s="53">
        <f>'R1'!R31</f>
        <v>1.615744510419868</v>
      </c>
      <c r="S9" s="53">
        <f>'R1'!S31</f>
        <v>3.3026891974474747E-2</v>
      </c>
      <c r="T9" s="53">
        <f>'R1'!T31</f>
        <v>0.10460324263232842</v>
      </c>
      <c r="U9" s="53">
        <f>'R1'!U31</f>
        <v>4.1335706151842032E-2</v>
      </c>
      <c r="V9" s="53">
        <f>'R1'!V31</f>
        <v>1.1006068634923134</v>
      </c>
    </row>
    <row r="10" spans="1:22" s="1" customFormat="1" x14ac:dyDescent="0.3">
      <c r="A10" s="229"/>
      <c r="B10" s="53">
        <f>'R1'!B32</f>
        <v>8.2814167381638701E-3</v>
      </c>
      <c r="C10" s="53">
        <f>'R1'!C32</f>
        <v>2.0989142124474221E-2</v>
      </c>
      <c r="D10" s="53">
        <f>'R1'!D32</f>
        <v>9.7915924264657991E-2</v>
      </c>
      <c r="E10" s="53">
        <f>'R1'!E32</f>
        <v>7.1833562143006789E-3</v>
      </c>
      <c r="F10" s="53">
        <f>'R1'!F32</f>
        <v>0.20451719724941969</v>
      </c>
      <c r="G10" s="53">
        <f>'R1'!G32</f>
        <v>0.79834209203228823</v>
      </c>
      <c r="H10" s="53">
        <f>'R1'!H32</f>
        <v>2.5796168832224948</v>
      </c>
      <c r="I10" s="53">
        <f>'R1'!I32</f>
        <v>3.4042399688106594E-2</v>
      </c>
      <c r="J10" s="53">
        <f>'R1'!J32</f>
        <v>2.8407900020351613E-2</v>
      </c>
      <c r="K10" s="53">
        <f>'R1'!K32</f>
        <v>5.797424307860026E-2</v>
      </c>
      <c r="L10" s="53">
        <f>'R1'!L32</f>
        <v>4.4217303918585436E-2</v>
      </c>
      <c r="M10" s="53">
        <f>'R1'!M32</f>
        <v>1.2069022584880736E-2</v>
      </c>
      <c r="N10"/>
      <c r="O10" s="53">
        <f>'R1'!O32</f>
        <v>0.39084880348864093</v>
      </c>
      <c r="P10" s="53">
        <f>'R1'!P32</f>
        <v>2.8992753335273225</v>
      </c>
      <c r="Q10" s="53">
        <f>'R1'!Q32</f>
        <v>9.9869073285764609E-3</v>
      </c>
      <c r="R10" s="53">
        <f>'R1'!R32</f>
        <v>2.7666907437685562E-2</v>
      </c>
      <c r="S10" s="53">
        <f>'R1'!S32</f>
        <v>0.90215342249922048</v>
      </c>
      <c r="T10" s="53">
        <f>'R1'!T32</f>
        <v>7.5170281843885869E-2</v>
      </c>
      <c r="U10" s="53">
        <f>'R1'!U32</f>
        <v>7.0837340784603658E-2</v>
      </c>
      <c r="V10" s="53">
        <f>'R1'!V32</f>
        <v>1.7372806322040808</v>
      </c>
    </row>
    <row r="11" spans="1:22" s="1" customFormat="1" x14ac:dyDescent="0.3">
      <c r="A11" s="229"/>
      <c r="B11" s="53">
        <f>'R1'!B33</f>
        <v>5.2886971209671382E-2</v>
      </c>
      <c r="C11" s="53">
        <f>'R1'!C33</f>
        <v>7.3518865146637918E-3</v>
      </c>
      <c r="D11" s="53">
        <f>'R1'!D33</f>
        <v>3.1379981434990503E-2</v>
      </c>
      <c r="E11" s="53">
        <f>'R1'!E33</f>
        <v>8.0600742688099622E-2</v>
      </c>
      <c r="F11" s="53">
        <f>'R1'!F33</f>
        <v>0.45652605289485404</v>
      </c>
      <c r="G11" s="53">
        <f>'R1'!G33</f>
        <v>2.2326681501458738</v>
      </c>
      <c r="H11" s="53">
        <f>'R1'!H33</f>
        <v>3.4686762223687442</v>
      </c>
      <c r="I11" s="53">
        <f>'R1'!I33</f>
        <v>3.8332081632857097E-2</v>
      </c>
      <c r="J11" s="53">
        <f>'R1'!J33</f>
        <v>2.9423587980294007E-2</v>
      </c>
      <c r="K11" s="53">
        <f>'R1'!K33</f>
        <v>5.4427896918552938E-2</v>
      </c>
      <c r="L11" s="53">
        <f>'R1'!L33</f>
        <v>2.5345515204127776E-2</v>
      </c>
      <c r="M11" s="53">
        <f>'R1'!M33</f>
        <v>0.11516080978010233</v>
      </c>
      <c r="N11"/>
      <c r="O11" s="53">
        <f>'R1'!O33</f>
        <v>0.87699815727587693</v>
      </c>
      <c r="P11" s="53">
        <f>'R1'!P33</f>
        <v>2.5485937894823913</v>
      </c>
      <c r="Q11" s="53">
        <f>'R1'!Q33</f>
        <v>2.2114600087540827E-2</v>
      </c>
      <c r="R11" s="53">
        <f>'R1'!R33</f>
        <v>0.38358884259235704</v>
      </c>
      <c r="S11" s="53" t="str">
        <f>'R1'!S33</f>
        <v/>
      </c>
      <c r="T11" s="53">
        <f>'R1'!T33</f>
        <v>0.68880001036776783</v>
      </c>
      <c r="U11" s="53">
        <f>'R1'!U33</f>
        <v>0.93304520680208958</v>
      </c>
      <c r="V11" s="53">
        <f>'R1'!V33</f>
        <v>0.50086700578247589</v>
      </c>
    </row>
    <row r="12" spans="1:22" s="1" customFormat="1" x14ac:dyDescent="0.3">
      <c r="A12" s="229"/>
      <c r="B12" s="53">
        <f>'R1'!B34</f>
        <v>1.3425646441226157E-2</v>
      </c>
      <c r="C12" s="53">
        <f>'R1'!C34</f>
        <v>1.4288305283512638E-2</v>
      </c>
      <c r="D12" s="53">
        <f>'R1'!D34</f>
        <v>9.3399131968616017E-3</v>
      </c>
      <c r="E12" s="53">
        <f>'R1'!E34</f>
        <v>8.4623660093237935E-2</v>
      </c>
      <c r="F12" s="53">
        <f>'R1'!F34</f>
        <v>0.12661023567247162</v>
      </c>
      <c r="G12" s="53">
        <f>'R1'!G34</f>
        <v>1.3025753779105733</v>
      </c>
      <c r="H12" s="53">
        <f>'R1'!H34</f>
        <v>1.7280662605625163</v>
      </c>
      <c r="I12" s="53">
        <f>'R1'!I34</f>
        <v>0.15050891374182429</v>
      </c>
      <c r="J12" s="53">
        <f>'R1'!J34</f>
        <v>0.24458432986761938</v>
      </c>
      <c r="K12" s="53">
        <f>'R1'!K34</f>
        <v>5.2165264982234054E-2</v>
      </c>
      <c r="L12" s="53">
        <f>'R1'!L34</f>
        <v>2.4826135460281454E-2</v>
      </c>
      <c r="M12" s="53" t="str">
        <f>'R1'!M34</f>
        <v/>
      </c>
      <c r="N12"/>
      <c r="O12" s="53">
        <f>'R1'!O34</f>
        <v>1.1111894848772534</v>
      </c>
      <c r="P12" s="53">
        <f>'R1'!P34</f>
        <v>3.6440719244543494</v>
      </c>
      <c r="Q12" s="53">
        <f>'R1'!Q34</f>
        <v>4.3782279448075945E-2</v>
      </c>
      <c r="R12" s="53">
        <f>'R1'!R34</f>
        <v>1.1333888007307523E-2</v>
      </c>
      <c r="S12" s="53">
        <f>'R1'!S34</f>
        <v>0.38850001381587973</v>
      </c>
      <c r="T12" s="53">
        <f>'R1'!T34</f>
        <v>0.76496633332374631</v>
      </c>
      <c r="U12" s="53">
        <f>'R1'!U34</f>
        <v>0.80405896426396395</v>
      </c>
      <c r="V12" s="53">
        <f>'R1'!V34</f>
        <v>6.0772206557249027E-2</v>
      </c>
    </row>
    <row r="13" spans="1:22" s="1" customFormat="1" x14ac:dyDescent="0.3">
      <c r="A13" s="229"/>
      <c r="B13" s="53">
        <f>'R1'!B35</f>
        <v>2.949784946024011E-2</v>
      </c>
      <c r="C13" s="53">
        <f>'R1'!C35</f>
        <v>6.1285548049691959E-3</v>
      </c>
      <c r="D13" s="53" t="str">
        <f>'R1'!D35</f>
        <v/>
      </c>
      <c r="E13" s="53">
        <f>'R1'!E35</f>
        <v>6.9531816757298817E-2</v>
      </c>
      <c r="F13" s="53">
        <f>'R1'!F35</f>
        <v>0.98004677547972208</v>
      </c>
      <c r="G13" s="53">
        <f>'R1'!G35</f>
        <v>0.89265074688393342</v>
      </c>
      <c r="H13" s="53">
        <f>'R1'!H35</f>
        <v>2.9943840116283384</v>
      </c>
      <c r="I13" s="53">
        <f>'R1'!I35</f>
        <v>2.6890406331841404E-2</v>
      </c>
      <c r="J13" s="53">
        <f>'R1'!J35</f>
        <v>2.4761517157949716E-2</v>
      </c>
      <c r="K13" s="53">
        <f>'R1'!K35</f>
        <v>1.1123901055518189E-2</v>
      </c>
      <c r="L13" s="53">
        <f>'R1'!L35</f>
        <v>9.9845100526461616E-2</v>
      </c>
      <c r="M13" s="53">
        <f>'R1'!M35</f>
        <v>9.0328816314728042E-2</v>
      </c>
      <c r="N13"/>
      <c r="O13" s="53">
        <f>'R1'!O35</f>
        <v>0.82409928980970937</v>
      </c>
      <c r="P13" s="53">
        <f>'R1'!P35</f>
        <v>2.5695831118531762</v>
      </c>
      <c r="Q13" s="53">
        <f>'R1'!Q35</f>
        <v>0.16380117791324436</v>
      </c>
      <c r="R13" s="53">
        <f>'R1'!R35</f>
        <v>0.27571935656657409</v>
      </c>
      <c r="S13" s="53">
        <f>'R1'!S35</f>
        <v>1.2997247825092442</v>
      </c>
      <c r="T13" s="53">
        <f>'R1'!T35</f>
        <v>0.46329565370328996</v>
      </c>
      <c r="U13" s="53">
        <f>'R1'!U35</f>
        <v>0.13197003996295026</v>
      </c>
      <c r="V13" s="53">
        <f>'R1'!V35</f>
        <v>8.4539124573590561E-3</v>
      </c>
    </row>
    <row r="14" spans="1:22" s="1" customFormat="1" x14ac:dyDescent="0.3">
      <c r="A14" s="229"/>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9.766312881411332E-2</v>
      </c>
      <c r="P14" s="53" t="str">
        <f>'R1'!P36</f>
        <v/>
      </c>
      <c r="Q14" s="53" t="str">
        <f>'R1'!Q36</f>
        <v/>
      </c>
      <c r="R14" s="53" t="str">
        <f>'R1'!R36</f>
        <v/>
      </c>
      <c r="S14" s="53" t="str">
        <f>'R1'!S36</f>
        <v/>
      </c>
      <c r="T14" s="53" t="str">
        <f>'R1'!T36</f>
        <v/>
      </c>
      <c r="U14" s="53" t="str">
        <f>'R1'!U36</f>
        <v/>
      </c>
      <c r="V14" s="53" t="str">
        <f>'R1'!V36</f>
        <v/>
      </c>
    </row>
    <row r="15" spans="1:22" s="1" customFormat="1" x14ac:dyDescent="0.3">
      <c r="A15" s="229"/>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1.5454167259551859</v>
      </c>
      <c r="P15" s="53" t="str">
        <f>'R1'!P37</f>
        <v/>
      </c>
      <c r="Q15" s="53" t="str">
        <f>'R1'!Q37</f>
        <v/>
      </c>
      <c r="R15" s="53" t="str">
        <f>'R1'!R37</f>
        <v/>
      </c>
      <c r="S15" s="53" t="str">
        <f>'R1'!S37</f>
        <v/>
      </c>
      <c r="T15" s="53" t="str">
        <f>'R1'!T37</f>
        <v/>
      </c>
      <c r="U15" s="53" t="str">
        <f>'R1'!U37</f>
        <v/>
      </c>
      <c r="V15" s="53" t="str">
        <f>'R1'!V37</f>
        <v/>
      </c>
    </row>
    <row r="16" spans="1:22" s="1" customFormat="1" x14ac:dyDescent="0.3">
      <c r="A16" s="229"/>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f>'R1'!O38</f>
        <v>2.0860568826233563</v>
      </c>
      <c r="P16" s="53" t="str">
        <f>'R1'!P38</f>
        <v/>
      </c>
      <c r="Q16" s="53" t="str">
        <f>'R1'!Q38</f>
        <v/>
      </c>
      <c r="R16" s="53" t="str">
        <f>'R1'!R38</f>
        <v/>
      </c>
      <c r="S16" s="53" t="str">
        <f>'R1'!S38</f>
        <v/>
      </c>
      <c r="T16" s="53" t="str">
        <f>'R1'!T38</f>
        <v/>
      </c>
      <c r="U16" s="53" t="str">
        <f>'R1'!U38</f>
        <v/>
      </c>
      <c r="V16" s="53" t="str">
        <f>'R1'!V38</f>
        <v/>
      </c>
    </row>
    <row r="17" spans="1:22" s="1" customFormat="1" x14ac:dyDescent="0.3">
      <c r="A17" s="229"/>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1.0589378819122666</v>
      </c>
      <c r="P17" s="53" t="str">
        <f>'R1'!P39</f>
        <v/>
      </c>
      <c r="Q17" s="53" t="str">
        <f>'R1'!Q39</f>
        <v/>
      </c>
      <c r="R17" s="53" t="str">
        <f>'R1'!R39</f>
        <v/>
      </c>
      <c r="S17" s="53" t="str">
        <f>'R1'!S39</f>
        <v/>
      </c>
      <c r="T17" s="53" t="str">
        <f>'R1'!T39</f>
        <v/>
      </c>
      <c r="U17" s="53" t="str">
        <f>'R1'!U39</f>
        <v/>
      </c>
      <c r="V17" s="53" t="str">
        <f>'R1'!V39</f>
        <v/>
      </c>
    </row>
    <row r="18" spans="1:22" s="1" customFormat="1" x14ac:dyDescent="0.3">
      <c r="A18" s="229"/>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1.0895536189905304</v>
      </c>
      <c r="P18" s="53" t="str">
        <f>'R1'!P40</f>
        <v/>
      </c>
      <c r="Q18" s="53" t="str">
        <f>'R1'!Q40</f>
        <v/>
      </c>
      <c r="R18" s="53" t="str">
        <f>'R1'!R40</f>
        <v/>
      </c>
      <c r="S18" s="53" t="str">
        <f>'R1'!S40</f>
        <v/>
      </c>
      <c r="T18" s="53" t="str">
        <f>'R1'!T40</f>
        <v/>
      </c>
      <c r="U18" s="53" t="str">
        <f>'R1'!U40</f>
        <v/>
      </c>
      <c r="V18" s="53" t="str">
        <f>'R1'!V40</f>
        <v/>
      </c>
    </row>
    <row r="19" spans="1:22" s="1" customFormat="1" x14ac:dyDescent="0.3">
      <c r="A19" s="229"/>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0.2966300915459596</v>
      </c>
      <c r="P19" s="53" t="str">
        <f>'R1'!P41</f>
        <v/>
      </c>
      <c r="Q19" s="53" t="str">
        <f>'R1'!Q41</f>
        <v/>
      </c>
      <c r="R19" s="53" t="str">
        <f>'R1'!R41</f>
        <v/>
      </c>
      <c r="S19" s="53" t="str">
        <f>'R1'!S41</f>
        <v/>
      </c>
      <c r="T19" s="53" t="str">
        <f>'R1'!T41</f>
        <v/>
      </c>
      <c r="U19" s="53" t="str">
        <f>'R1'!U41</f>
        <v/>
      </c>
      <c r="V19" s="53" t="str">
        <f>'R1'!V41</f>
        <v/>
      </c>
    </row>
    <row r="20" spans="1:22" s="1" customFormat="1" x14ac:dyDescent="0.3">
      <c r="A20" s="229"/>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0.20519167894349322</v>
      </c>
      <c r="P20" s="53" t="str">
        <f>'R1'!P42</f>
        <v/>
      </c>
      <c r="Q20" s="53" t="str">
        <f>'R1'!Q42</f>
        <v/>
      </c>
      <c r="R20" s="53" t="str">
        <f>'R1'!R42</f>
        <v/>
      </c>
      <c r="S20" s="53" t="str">
        <f>'R1'!S42</f>
        <v/>
      </c>
      <c r="T20" s="53" t="str">
        <f>'R1'!T42</f>
        <v/>
      </c>
      <c r="U20" s="53" t="str">
        <f>'R1'!U42</f>
        <v/>
      </c>
      <c r="V20" s="53" t="str">
        <f>'R1'!V42</f>
        <v/>
      </c>
    </row>
    <row r="21" spans="1:22" s="1" customFormat="1" x14ac:dyDescent="0.3">
      <c r="A21" s="230"/>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1.4131092648988883</v>
      </c>
      <c r="P21" s="53" t="str">
        <f>'R1'!P43</f>
        <v/>
      </c>
      <c r="Q21" s="53" t="str">
        <f>'R1'!Q43</f>
        <v/>
      </c>
      <c r="R21" s="53" t="str">
        <f>'R1'!R43</f>
        <v/>
      </c>
      <c r="S21" s="53" t="str">
        <f>'R1'!S43</f>
        <v/>
      </c>
      <c r="T21" s="53" t="str">
        <f>'R1'!T43</f>
        <v/>
      </c>
      <c r="U21" s="53" t="str">
        <f>'R1'!U43</f>
        <v/>
      </c>
      <c r="V21" s="53" t="str">
        <f>'R1'!V43</f>
        <v/>
      </c>
    </row>
    <row r="22" spans="1:22" x14ac:dyDescent="0.3">
      <c r="A22" s="39" t="s">
        <v>5</v>
      </c>
      <c r="B22" s="54">
        <f>'R2'!B28</f>
        <v>0.1933876529233256</v>
      </c>
      <c r="C22" s="54">
        <f>'R2'!C28</f>
        <v>0.22745656077235529</v>
      </c>
      <c r="D22" s="54">
        <f>'R2'!D28</f>
        <v>0.19045199205385274</v>
      </c>
      <c r="E22" s="54">
        <f>'R2'!E28</f>
        <v>0.17561300060780585</v>
      </c>
      <c r="F22" s="54">
        <f>'R2'!F28</f>
        <v>0.6742085288852897</v>
      </c>
      <c r="G22" s="54">
        <f>'R2'!G28</f>
        <v>2.6240031339659371</v>
      </c>
      <c r="H22" s="54">
        <f>'R2'!H28</f>
        <v>3.4398363423789684</v>
      </c>
      <c r="I22" s="54">
        <f>'R2'!I28</f>
        <v>9.1531165635726247E-2</v>
      </c>
      <c r="J22" s="54">
        <f>'R2'!J28</f>
        <v>0.30906598718670375</v>
      </c>
      <c r="K22" s="54">
        <f>'R2'!K28</f>
        <v>0.1131178802015253</v>
      </c>
      <c r="L22" s="54">
        <f>'R2'!L28</f>
        <v>0.11410016319226082</v>
      </c>
      <c r="M22" s="54">
        <f>'R2'!M28</f>
        <v>0.27400085175512551</v>
      </c>
      <c r="O22" s="54">
        <f>'R2'!O28</f>
        <v>0.28133424773102444</v>
      </c>
      <c r="P22" s="54">
        <f>'R2'!P28</f>
        <v>2.2601827341469245</v>
      </c>
      <c r="Q22" s="54">
        <f>'R2'!Q28</f>
        <v>0.27477234440450149</v>
      </c>
      <c r="R22" s="54">
        <f>'R2'!R28</f>
        <v>1.4849665544640489</v>
      </c>
      <c r="S22" s="54">
        <f>'R2'!S28</f>
        <v>0.89166243937446843</v>
      </c>
      <c r="T22" s="54">
        <f>'R2'!T28</f>
        <v>1.3031493455243659</v>
      </c>
      <c r="U22" s="54">
        <f>'R2'!U28</f>
        <v>1.9238450168879548</v>
      </c>
      <c r="V22" s="54">
        <f>'R2'!V28</f>
        <v>1.4049461629307187</v>
      </c>
    </row>
    <row r="23" spans="1:22" x14ac:dyDescent="0.3">
      <c r="A23" s="228" t="s">
        <v>34</v>
      </c>
      <c r="B23" s="54">
        <f>'R2'!B29</f>
        <v>0.10875516872104826</v>
      </c>
      <c r="C23" s="54">
        <f>'R2'!C29</f>
        <v>0.15705274890468071</v>
      </c>
      <c r="D23" s="54">
        <f>'R2'!D29</f>
        <v>0.20478265448439023</v>
      </c>
      <c r="E23" s="54">
        <f>'R2'!E29</f>
        <v>0.12813247621656634</v>
      </c>
      <c r="F23" s="54">
        <f>'R2'!F29</f>
        <v>0.67501504516061461</v>
      </c>
      <c r="G23" s="54">
        <f>'R2'!G29</f>
        <v>0.13902579676519522</v>
      </c>
      <c r="H23" s="54">
        <f>'R2'!H29</f>
        <v>2.630691349350859</v>
      </c>
      <c r="I23" s="54">
        <f>'R2'!I29</f>
        <v>9.4645511856105438E-2</v>
      </c>
      <c r="J23" s="54">
        <f>'R2'!J29</f>
        <v>0.16885814304573074</v>
      </c>
      <c r="K23" s="54">
        <f>'R2'!K29</f>
        <v>6.073793969142402E-2</v>
      </c>
      <c r="L23" s="54">
        <f>'R2'!L29</f>
        <v>4.5101025730123019E-3</v>
      </c>
      <c r="M23" s="54">
        <f>'R2'!M29</f>
        <v>0.242018606139139</v>
      </c>
      <c r="O23" s="54">
        <f>'R2'!O29</f>
        <v>0.47923573259494023</v>
      </c>
      <c r="P23" s="54">
        <f>'R2'!P29</f>
        <v>0.27179825483433462</v>
      </c>
      <c r="Q23" s="54">
        <f>'R2'!Q29</f>
        <v>0.25251904592075697</v>
      </c>
      <c r="R23" s="54">
        <f>'R2'!R29</f>
        <v>1.4194099475691457</v>
      </c>
      <c r="S23" s="54">
        <f>'R2'!S29</f>
        <v>0.88888827633576029</v>
      </c>
      <c r="T23" s="54">
        <f>'R2'!T29</f>
        <v>1.2362073596474807</v>
      </c>
      <c r="U23" s="54">
        <f>'R2'!U29</f>
        <v>0.68044792298953238</v>
      </c>
      <c r="V23" s="54">
        <f>'R2'!V29</f>
        <v>1.1828415689254825</v>
      </c>
    </row>
    <row r="24" spans="1:22" x14ac:dyDescent="0.3">
      <c r="A24" s="229"/>
      <c r="B24" s="54">
        <f>'R2'!B30</f>
        <v>5.0268794168177131E-2</v>
      </c>
      <c r="C24" s="54">
        <f>'R2'!C30</f>
        <v>6.0334519407345126E-2</v>
      </c>
      <c r="D24" s="54">
        <f>'R2'!D30</f>
        <v>3.5226308969510074E-2</v>
      </c>
      <c r="E24" s="54">
        <f>'R2'!E30</f>
        <v>4.0708317162606346E-2</v>
      </c>
      <c r="F24" s="54">
        <f>'R2'!F30</f>
        <v>0.54786128471362239</v>
      </c>
      <c r="G24" s="54">
        <f>'R2'!G30</f>
        <v>1.2477040270116473</v>
      </c>
      <c r="H24" s="54">
        <f>'R2'!H30</f>
        <v>2.6195737803083068</v>
      </c>
      <c r="I24" s="54">
        <f>'R2'!I30</f>
        <v>4.2549489721173832E-2</v>
      </c>
      <c r="J24" s="54">
        <f>'R2'!J30</f>
        <v>5.7251629591753429E-2</v>
      </c>
      <c r="K24" s="54">
        <f>'R2'!K30</f>
        <v>0.59466841503742629</v>
      </c>
      <c r="L24" s="54">
        <f>'R2'!L30</f>
        <v>8.7739858126750017E-2</v>
      </c>
      <c r="M24" s="54">
        <f>'R2'!M30</f>
        <v>5.5768152027831468E-2</v>
      </c>
      <c r="O24" s="54">
        <f>'R2'!O30</f>
        <v>1.8456867148009115</v>
      </c>
      <c r="P24" s="54">
        <f>'R2'!P30</f>
        <v>1.1155138367239097</v>
      </c>
      <c r="Q24" s="54">
        <f>'R2'!Q30</f>
        <v>7.939612783007316E-2</v>
      </c>
      <c r="R24" s="54">
        <f>'R2'!R30</f>
        <v>0.67719315797252444</v>
      </c>
      <c r="S24" s="54">
        <f>'R2'!S30</f>
        <v>0.22732343856446591</v>
      </c>
      <c r="T24" s="54">
        <f>'R2'!T30</f>
        <v>1.8220235532263045</v>
      </c>
      <c r="U24" s="54">
        <f>'R2'!U30</f>
        <v>0.1083903392840798</v>
      </c>
      <c r="V24" s="54">
        <f>'R2'!V30</f>
        <v>1.5523787649485823</v>
      </c>
    </row>
    <row r="25" spans="1:22" x14ac:dyDescent="0.3">
      <c r="A25" s="229"/>
      <c r="B25" s="54">
        <f>'R2'!B31</f>
        <v>2.0681937562117281E-2</v>
      </c>
      <c r="C25" s="54">
        <f>'R2'!C31</f>
        <v>0.14810615823171552</v>
      </c>
      <c r="D25" s="54">
        <f>'R2'!D31</f>
        <v>0.1560077152507866</v>
      </c>
      <c r="E25" s="54">
        <f>'R2'!E31</f>
        <v>0.17159031016258341</v>
      </c>
      <c r="F25" s="54">
        <f>'R2'!F31</f>
        <v>0.60948989467049863</v>
      </c>
      <c r="G25" s="54">
        <f>'R2'!G31</f>
        <v>1.5937603140322079</v>
      </c>
      <c r="H25" s="54">
        <f>'R2'!H31</f>
        <v>2.6392912709854963</v>
      </c>
      <c r="I25" s="54">
        <f>'R2'!I31</f>
        <v>2.945697732649908E-2</v>
      </c>
      <c r="J25" s="54">
        <f>'R2'!J31</f>
        <v>0.35252722620746585</v>
      </c>
      <c r="K25" s="54">
        <f>'R2'!K31</f>
        <v>8.6203682977488164E-2</v>
      </c>
      <c r="L25" s="54">
        <f>'R2'!L31</f>
        <v>4.9027401203985785E-2</v>
      </c>
      <c r="M25" s="54">
        <f>'R2'!M31</f>
        <v>0.13901185217338219</v>
      </c>
      <c r="O25" s="54" t="str">
        <f>'R2'!O31</f>
        <v/>
      </c>
      <c r="P25" s="54">
        <f>'R2'!P31</f>
        <v>2.3908826367212503</v>
      </c>
      <c r="Q25" s="54">
        <f>'R2'!Q31</f>
        <v>2.7212546630269122E-2</v>
      </c>
      <c r="R25" s="54">
        <f>'R2'!R31</f>
        <v>0.94806896184378642</v>
      </c>
      <c r="S25" s="54">
        <f>'R2'!S31</f>
        <v>0.52507152481111774</v>
      </c>
      <c r="T25" s="54">
        <f>'R2'!T31</f>
        <v>1.9544733399267471</v>
      </c>
      <c r="U25" s="54">
        <f>'R2'!U31</f>
        <v>1.374994639034107</v>
      </c>
      <c r="V25" s="54">
        <f>'R2'!V31</f>
        <v>0.72814945294636668</v>
      </c>
    </row>
    <row r="26" spans="1:22" x14ac:dyDescent="0.3">
      <c r="A26" s="229"/>
      <c r="B26" s="54">
        <f>'R2'!B32</f>
        <v>8.5063955816398695E-2</v>
      </c>
      <c r="C26" s="54">
        <f>'R2'!C32</f>
        <v>8.6853727960957746E-3</v>
      </c>
      <c r="D26" s="54">
        <f>'R2'!D32</f>
        <v>9.6160770117647773E-2</v>
      </c>
      <c r="E26" s="54">
        <f>'R2'!E32</f>
        <v>0.1628275124526421</v>
      </c>
      <c r="F26" s="54">
        <f>'R2'!F32</f>
        <v>0.49854639791330541</v>
      </c>
      <c r="G26" s="54">
        <f>'R2'!G32</f>
        <v>1.1534548009972978</v>
      </c>
      <c r="H26" s="54">
        <f>'R2'!H32</f>
        <v>3.0694365274204589</v>
      </c>
      <c r="I26" s="54">
        <f>'R2'!I32</f>
        <v>6.4985040776986178E-2</v>
      </c>
      <c r="J26" s="54">
        <f>'R2'!J32</f>
        <v>0.13764739007912016</v>
      </c>
      <c r="K26" s="54">
        <f>'R2'!K32</f>
        <v>0.48639028107351634</v>
      </c>
      <c r="L26" s="54">
        <f>'R2'!L32</f>
        <v>0.16594712843155529</v>
      </c>
      <c r="M26" s="54">
        <f>'R2'!M32</f>
        <v>4.8083871206777144E-2</v>
      </c>
      <c r="O26" s="54">
        <f>'R2'!O32</f>
        <v>1.0134363438707155</v>
      </c>
      <c r="P26" s="54">
        <f>'R2'!P32</f>
        <v>1.7583150911858751</v>
      </c>
      <c r="Q26" s="54">
        <f>'R2'!Q32</f>
        <v>0.2387779478603605</v>
      </c>
      <c r="R26" s="54">
        <f>'R2'!R32</f>
        <v>0.87692511373152338</v>
      </c>
      <c r="S26" s="54">
        <f>'R2'!S32</f>
        <v>0.59799679452749366</v>
      </c>
      <c r="T26" s="54">
        <f>'R2'!T32</f>
        <v>0.5453256390534833</v>
      </c>
      <c r="U26" s="54">
        <f>'R2'!U32</f>
        <v>1.3623791613965703</v>
      </c>
      <c r="V26" s="54">
        <f>'R2'!V32</f>
        <v>0.2986566736911197</v>
      </c>
    </row>
    <row r="27" spans="1:22" x14ac:dyDescent="0.3">
      <c r="A27" s="229"/>
      <c r="B27" s="54">
        <f>'R2'!B33</f>
        <v>9.0941439119168778E-3</v>
      </c>
      <c r="C27" s="54">
        <f>'R2'!C33</f>
        <v>0.37361615127482356</v>
      </c>
      <c r="D27" s="54">
        <f>'R2'!D33</f>
        <v>3.8737265324478083E-2</v>
      </c>
      <c r="E27" s="54">
        <f>'R2'!E33</f>
        <v>0.19869032717984983</v>
      </c>
      <c r="F27" s="54">
        <f>'R2'!F33</f>
        <v>2.4659227010739204E-2</v>
      </c>
      <c r="G27" s="54">
        <f>'R2'!G33</f>
        <v>1.6845830619745494</v>
      </c>
      <c r="H27" s="54">
        <f>'R2'!H33</f>
        <v>3.2749308425265626</v>
      </c>
      <c r="I27" s="54">
        <f>'R2'!I33</f>
        <v>8.0329118310213832E-2</v>
      </c>
      <c r="J27" s="54">
        <f>'R2'!J33</f>
        <v>0.10438840358016045</v>
      </c>
      <c r="K27" s="54">
        <f>'R2'!K33</f>
        <v>0.14960698546219553</v>
      </c>
      <c r="L27" s="54">
        <f>'R2'!L33</f>
        <v>6.4301107192482637E-2</v>
      </c>
      <c r="M27" s="54">
        <f>'R2'!M33</f>
        <v>0.15024178868252064</v>
      </c>
      <c r="O27" s="54">
        <f>'R2'!O33</f>
        <v>0.65735292245809762</v>
      </c>
      <c r="P27" s="54">
        <f>'R2'!P33</f>
        <v>1.6276889652310251</v>
      </c>
      <c r="Q27" s="54">
        <f>'R2'!Q33</f>
        <v>0.22060003740717829</v>
      </c>
      <c r="R27" s="54">
        <f>'R2'!R33</f>
        <v>2.0446157215057466</v>
      </c>
      <c r="S27" s="54">
        <f>'R2'!S33</f>
        <v>0.5514876893170888</v>
      </c>
      <c r="T27" s="54">
        <f>'R2'!T33</f>
        <v>1.2432005724417086</v>
      </c>
      <c r="U27" s="54">
        <f>'R2'!U33</f>
        <v>1.4231662314521729</v>
      </c>
      <c r="V27" s="54">
        <f>'R2'!V33</f>
        <v>0.99097257933844429</v>
      </c>
    </row>
    <row r="28" spans="1:22" x14ac:dyDescent="0.3">
      <c r="A28" s="229"/>
      <c r="B28" s="54">
        <f>'R2'!B34</f>
        <v>3.8172509356050911E-2</v>
      </c>
      <c r="C28" s="54">
        <f>'R2'!C34</f>
        <v>0.17936571726967163</v>
      </c>
      <c r="D28" s="54">
        <f>'R2'!D34</f>
        <v>0.11359150988391858</v>
      </c>
      <c r="E28" s="54">
        <f>'R2'!E34</f>
        <v>7.4570326184270813E-2</v>
      </c>
      <c r="F28" s="54">
        <f>'R2'!F34</f>
        <v>0.66387282986276497</v>
      </c>
      <c r="G28" s="54">
        <f>'R2'!G34</f>
        <v>1.0087822552799131</v>
      </c>
      <c r="H28" s="54">
        <f>'R2'!H34</f>
        <v>1.3845624937016252</v>
      </c>
      <c r="I28" s="54">
        <f>'R2'!I34</f>
        <v>0.14217889597910127</v>
      </c>
      <c r="J28" s="54">
        <f>'R2'!J34</f>
        <v>0.14015871377679459</v>
      </c>
      <c r="K28" s="54">
        <f>'R2'!K34</f>
        <v>1.2734655253612805E-2</v>
      </c>
      <c r="L28" s="54">
        <f>'R2'!L34</f>
        <v>0.53165442609856828</v>
      </c>
      <c r="M28" s="54">
        <f>'R2'!M34</f>
        <v>1.0981041759917747E-2</v>
      </c>
      <c r="O28" s="54">
        <f>'R2'!O34</f>
        <v>1.8921327450553249</v>
      </c>
      <c r="P28" s="54">
        <f>'R2'!P34</f>
        <v>2.1051044421551173</v>
      </c>
      <c r="Q28" s="54">
        <f>'R2'!Q34</f>
        <v>0.10899709117436246</v>
      </c>
      <c r="R28" s="54">
        <f>'R2'!R34</f>
        <v>1.1089376645127409</v>
      </c>
      <c r="S28" s="54">
        <f>'R2'!S34</f>
        <v>1.2820782565628155</v>
      </c>
      <c r="T28" s="54">
        <f>'R2'!T34</f>
        <v>1.8096465929673371</v>
      </c>
      <c r="U28" s="54">
        <f>'R2'!U34</f>
        <v>1.3104830657930977</v>
      </c>
      <c r="V28" s="54">
        <f>'R2'!V34</f>
        <v>1.3293342081672987</v>
      </c>
    </row>
    <row r="29" spans="1:22" x14ac:dyDescent="0.3">
      <c r="A29" s="229"/>
      <c r="B29" s="54">
        <f>'R2'!B35</f>
        <v>1.8444479161793832E-2</v>
      </c>
      <c r="C29" s="54">
        <f>'R2'!C35</f>
        <v>3.6862366311293071E-3</v>
      </c>
      <c r="D29" s="54">
        <f>'R2'!D35</f>
        <v>6.4757062915484997E-2</v>
      </c>
      <c r="E29" s="54">
        <f>'R2'!E35</f>
        <v>0.2941391123829516</v>
      </c>
      <c r="F29" s="54">
        <f>'R2'!F35</f>
        <v>0.69147096067130565</v>
      </c>
      <c r="G29" s="54">
        <f>'R2'!G35</f>
        <v>1.0371275567753653</v>
      </c>
      <c r="H29" s="54">
        <f>'R2'!H35</f>
        <v>0.61116989369113439</v>
      </c>
      <c r="I29" s="54">
        <f>'R2'!I35</f>
        <v>5.8920764802488238E-3</v>
      </c>
      <c r="J29" s="54">
        <f>'R2'!J35</f>
        <v>8.9938725679963027E-2</v>
      </c>
      <c r="K29" s="54">
        <f>'R2'!K35</f>
        <v>5.006902978313485E-2</v>
      </c>
      <c r="L29" s="54">
        <f>'R2'!L35</f>
        <v>0.23417453002469249</v>
      </c>
      <c r="M29" s="54">
        <f>'R2'!M35</f>
        <v>2.565529244687131E-2</v>
      </c>
      <c r="O29" s="54">
        <f>'R2'!O35</f>
        <v>1.2931225354251412</v>
      </c>
      <c r="P29" s="54">
        <f>'R2'!P35</f>
        <v>8.2980536511684147E-2</v>
      </c>
      <c r="Q29" s="54">
        <f>'R2'!Q35</f>
        <v>5.5277172678880132E-2</v>
      </c>
      <c r="R29" s="54">
        <f>'R2'!R35</f>
        <v>1.245080497993803</v>
      </c>
      <c r="S29" s="54">
        <f>'R2'!S35</f>
        <v>0.16778489591537776</v>
      </c>
      <c r="T29" s="54">
        <f>'R2'!T35</f>
        <v>0.30444351714710521</v>
      </c>
      <c r="U29" s="54">
        <f>'R2'!U35</f>
        <v>1.0584866177724959</v>
      </c>
      <c r="V29" s="54">
        <f>'R2'!V35</f>
        <v>1.0979600278275681</v>
      </c>
    </row>
    <row r="30" spans="1:22" x14ac:dyDescent="0.3">
      <c r="A30" s="229"/>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1.5367997372579469</v>
      </c>
      <c r="P30" s="54" t="str">
        <f>'R2'!P36</f>
        <v/>
      </c>
      <c r="Q30" s="54" t="str">
        <f>'R2'!Q36</f>
        <v/>
      </c>
      <c r="R30" s="54" t="str">
        <f>'R2'!R36</f>
        <v/>
      </c>
      <c r="S30" s="54" t="str">
        <f>'R2'!S36</f>
        <v/>
      </c>
      <c r="T30" s="54" t="str">
        <f>'R2'!T36</f>
        <v/>
      </c>
      <c r="U30" s="54" t="str">
        <f>'R2'!U36</f>
        <v/>
      </c>
      <c r="V30" s="54" t="str">
        <f>'R2'!V36</f>
        <v/>
      </c>
    </row>
    <row r="31" spans="1:22" s="1" customFormat="1" x14ac:dyDescent="0.3">
      <c r="A31" s="229"/>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0.57792144670924261</v>
      </c>
      <c r="P31" s="54" t="str">
        <f>'R2'!P37</f>
        <v/>
      </c>
      <c r="Q31" s="54" t="str">
        <f>'R2'!Q37</f>
        <v/>
      </c>
      <c r="R31" s="54" t="str">
        <f>'R2'!R37</f>
        <v/>
      </c>
      <c r="S31" s="54" t="str">
        <f>'R2'!S37</f>
        <v/>
      </c>
      <c r="T31" s="54" t="str">
        <f>'R2'!T37</f>
        <v/>
      </c>
      <c r="U31" s="54" t="str">
        <f>'R2'!U37</f>
        <v/>
      </c>
      <c r="V31" s="54" t="str">
        <f>'R2'!V37</f>
        <v/>
      </c>
    </row>
    <row r="32" spans="1:22" s="1" customFormat="1" x14ac:dyDescent="0.3">
      <c r="A32" s="229"/>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t="str">
        <f>'R2'!O38</f>
        <v/>
      </c>
      <c r="P32" s="54" t="str">
        <f>'R2'!P38</f>
        <v/>
      </c>
      <c r="Q32" s="54" t="str">
        <f>'R2'!Q38</f>
        <v/>
      </c>
      <c r="R32" s="54" t="str">
        <f>'R2'!R38</f>
        <v/>
      </c>
      <c r="S32" s="54" t="str">
        <f>'R2'!S38</f>
        <v/>
      </c>
      <c r="T32" s="54" t="str">
        <f>'R2'!T38</f>
        <v/>
      </c>
      <c r="U32" s="54" t="str">
        <f>'R2'!U38</f>
        <v/>
      </c>
      <c r="V32" s="54" t="str">
        <f>'R2'!V38</f>
        <v/>
      </c>
    </row>
    <row r="33" spans="1:22" s="1" customFormat="1" x14ac:dyDescent="0.3">
      <c r="A33" s="229"/>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0.73960396224226133</v>
      </c>
      <c r="P33" s="54" t="str">
        <f>'R2'!P39</f>
        <v/>
      </c>
      <c r="Q33" s="54" t="str">
        <f>'R2'!Q39</f>
        <v/>
      </c>
      <c r="R33" s="54" t="str">
        <f>'R2'!R39</f>
        <v/>
      </c>
      <c r="S33" s="54" t="str">
        <f>'R2'!S39</f>
        <v/>
      </c>
      <c r="T33" s="54" t="str">
        <f>'R2'!T39</f>
        <v/>
      </c>
      <c r="U33" s="54" t="str">
        <f>'R2'!U39</f>
        <v/>
      </c>
      <c r="V33" s="54" t="str">
        <f>'R2'!V39</f>
        <v/>
      </c>
    </row>
    <row r="34" spans="1:22" s="1" customFormat="1" x14ac:dyDescent="0.3">
      <c r="A34" s="229"/>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0.5807098786325966</v>
      </c>
      <c r="P34" s="54" t="str">
        <f>'R2'!P40</f>
        <v/>
      </c>
      <c r="Q34" s="54" t="str">
        <f>'R2'!Q40</f>
        <v/>
      </c>
      <c r="R34" s="54" t="str">
        <f>'R2'!R40</f>
        <v/>
      </c>
      <c r="S34" s="54" t="str">
        <f>'R2'!S40</f>
        <v/>
      </c>
      <c r="T34" s="54" t="str">
        <f>'R2'!T40</f>
        <v/>
      </c>
      <c r="U34" s="54" t="str">
        <f>'R2'!U40</f>
        <v/>
      </c>
      <c r="V34" s="54" t="str">
        <f>'R2'!V40</f>
        <v/>
      </c>
    </row>
    <row r="35" spans="1:22" s="1" customFormat="1" x14ac:dyDescent="0.3">
      <c r="A35" s="229"/>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0.79441820690223242</v>
      </c>
      <c r="P35" s="54" t="str">
        <f>'R2'!P41</f>
        <v/>
      </c>
      <c r="Q35" s="54" t="str">
        <f>'R2'!Q41</f>
        <v/>
      </c>
      <c r="R35" s="54" t="str">
        <f>'R2'!R41</f>
        <v/>
      </c>
      <c r="S35" s="54" t="str">
        <f>'R2'!S41</f>
        <v/>
      </c>
      <c r="T35" s="54" t="str">
        <f>'R2'!T41</f>
        <v/>
      </c>
      <c r="U35" s="54" t="str">
        <f>'R2'!U41</f>
        <v/>
      </c>
      <c r="V35" s="54" t="str">
        <f>'R2'!V41</f>
        <v/>
      </c>
    </row>
    <row r="36" spans="1:22" x14ac:dyDescent="0.3">
      <c r="A36" s="229"/>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0.69538501301751965</v>
      </c>
      <c r="P36" s="54" t="str">
        <f>'R2'!P42</f>
        <v/>
      </c>
      <c r="Q36" s="54" t="str">
        <f>'R2'!Q42</f>
        <v/>
      </c>
      <c r="R36" s="54" t="str">
        <f>'R2'!R42</f>
        <v/>
      </c>
      <c r="S36" s="54" t="str">
        <f>'R2'!S42</f>
        <v/>
      </c>
      <c r="T36" s="54" t="str">
        <f>'R2'!T42</f>
        <v/>
      </c>
      <c r="U36" s="54" t="str">
        <f>'R2'!U42</f>
        <v/>
      </c>
      <c r="V36" s="54" t="str">
        <f>'R2'!V42</f>
        <v/>
      </c>
    </row>
    <row r="37" spans="1:22" x14ac:dyDescent="0.3">
      <c r="A37" s="230"/>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1.6128605133020464</v>
      </c>
      <c r="P37" s="54" t="str">
        <f>'R2'!P43</f>
        <v/>
      </c>
      <c r="Q37" s="54" t="str">
        <f>'R2'!Q43</f>
        <v/>
      </c>
      <c r="R37" s="54" t="str">
        <f>'R2'!R43</f>
        <v/>
      </c>
      <c r="S37" s="54" t="str">
        <f>'R2'!S43</f>
        <v/>
      </c>
      <c r="T37" s="54" t="str">
        <f>'R2'!T43</f>
        <v/>
      </c>
      <c r="U37" s="54" t="str">
        <f>'R2'!U43</f>
        <v/>
      </c>
      <c r="V37" s="54" t="str">
        <f>'R2'!V43</f>
        <v/>
      </c>
    </row>
    <row r="38" spans="1:22" s="1" customFormat="1" x14ac:dyDescent="0.3">
      <c r="A38" s="151" t="s">
        <v>116</v>
      </c>
      <c r="B38" s="152">
        <f>'R3'!B28</f>
        <v>0.15227255049791341</v>
      </c>
      <c r="C38" s="152">
        <f>'R3'!C28</f>
        <v>0.15639324491978943</v>
      </c>
      <c r="D38" s="152" t="str">
        <f>'R3'!D28</f>
        <v/>
      </c>
      <c r="E38" s="152">
        <f>'R3'!E28</f>
        <v>0.23277580073914977</v>
      </c>
      <c r="F38" s="152">
        <f>'R3'!F28</f>
        <v>1.003254630852533</v>
      </c>
      <c r="G38" s="152">
        <f>'R3'!G28</f>
        <v>3.0763662295276393</v>
      </c>
      <c r="H38" s="152">
        <f>'R3'!H28</f>
        <v>4.4501549842551409</v>
      </c>
      <c r="I38" s="152">
        <f>'R3'!I28</f>
        <v>1.2936471472500597</v>
      </c>
      <c r="J38" s="152">
        <f>'R3'!J28</f>
        <v>0.37386099086728813</v>
      </c>
      <c r="K38" s="152">
        <f>'R3'!K28</f>
        <v>4.7101967703206508E-2</v>
      </c>
      <c r="L38" s="152">
        <f>'R3'!L28</f>
        <v>0.17601097866107468</v>
      </c>
      <c r="M38" s="152">
        <f>'R3'!M28</f>
        <v>9.3841984599378217E-2</v>
      </c>
      <c r="N38"/>
      <c r="O38" s="152">
        <f>'R3'!O28</f>
        <v>0.18158317282997016</v>
      </c>
      <c r="P38" s="152">
        <f>'R3'!P28</f>
        <v>0.51211110503581392</v>
      </c>
      <c r="Q38" s="152">
        <f>'R3'!Q28</f>
        <v>0.14479726519211503</v>
      </c>
      <c r="R38" s="152">
        <f>'R3'!R28</f>
        <v>0.23357347870920644</v>
      </c>
      <c r="S38" s="152">
        <f>'R3'!S28</f>
        <v>0.18442733606516348</v>
      </c>
      <c r="T38" s="152">
        <f>'R3'!T28</f>
        <v>0.59688706903788091</v>
      </c>
      <c r="U38" s="152">
        <f>'R3'!U28</f>
        <v>0.77177861856468799</v>
      </c>
      <c r="V38" s="152">
        <f>'R3'!V28</f>
        <v>8.0704710520215731E-2</v>
      </c>
    </row>
    <row r="39" spans="1:22" s="1" customFormat="1" x14ac:dyDescent="0.3">
      <c r="A39" s="228" t="s">
        <v>34</v>
      </c>
      <c r="B39" s="152">
        <f>'R3'!B29</f>
        <v>0.15244998340417046</v>
      </c>
      <c r="C39" s="152">
        <f>'R3'!C29</f>
        <v>4.8499251839980786E-2</v>
      </c>
      <c r="D39" s="152">
        <f>'R3'!D29</f>
        <v>0.16124862246913602</v>
      </c>
      <c r="E39" s="152" t="str">
        <f>'R3'!E29</f>
        <v/>
      </c>
      <c r="F39" s="152">
        <f>'R3'!F29</f>
        <v>0.27996833315492498</v>
      </c>
      <c r="G39" s="152">
        <f>'R3'!G29</f>
        <v>2.6759991960071439</v>
      </c>
      <c r="H39" s="152">
        <f>'R3'!H29</f>
        <v>3.852594532694555</v>
      </c>
      <c r="I39" s="152">
        <f>'R3'!I29</f>
        <v>0.28712525577215275</v>
      </c>
      <c r="J39" s="152">
        <f>'R3'!J29</f>
        <v>0.15741533239020764</v>
      </c>
      <c r="K39" s="152">
        <f>'R3'!K29</f>
        <v>0.10025513681355454</v>
      </c>
      <c r="L39" s="152">
        <f>'R3'!L29</f>
        <v>1.6290558705725527E-2</v>
      </c>
      <c r="M39" s="152">
        <f>'R3'!M29</f>
        <v>0.14749110332617391</v>
      </c>
      <c r="N39"/>
      <c r="O39" s="152">
        <f>'R3'!O29</f>
        <v>1.6147768342242204</v>
      </c>
      <c r="P39" s="152">
        <f>'R3'!P29</f>
        <v>2.120743092707924</v>
      </c>
      <c r="Q39" s="152">
        <f>'R3'!Q29</f>
        <v>0.24783357039827683</v>
      </c>
      <c r="R39" s="152">
        <f>'R3'!R29</f>
        <v>2.9933947828256657E-2</v>
      </c>
      <c r="S39" s="152">
        <f>'R3'!S29</f>
        <v>6.0249561230909993E-2</v>
      </c>
      <c r="T39" s="152">
        <f>'R3'!T29</f>
        <v>0.19765563692175472</v>
      </c>
      <c r="U39" s="152">
        <f>'R3'!U29</f>
        <v>1.4229176469501026</v>
      </c>
      <c r="V39" s="152">
        <f>'R3'!V29</f>
        <v>0.91648901556311468</v>
      </c>
    </row>
    <row r="40" spans="1:22" s="1" customFormat="1" x14ac:dyDescent="0.3">
      <c r="A40" s="229"/>
      <c r="B40" s="152">
        <f>'R3'!B30</f>
        <v>0.29658372345726175</v>
      </c>
      <c r="C40" s="152">
        <f>'R3'!C30</f>
        <v>0.48532381890445969</v>
      </c>
      <c r="D40" s="152">
        <f>'R3'!D30</f>
        <v>2.8446098978913675E-2</v>
      </c>
      <c r="E40" s="152">
        <f>'R3'!E30</f>
        <v>9.5882617042954338E-2</v>
      </c>
      <c r="F40" s="152">
        <f>'R3'!F30</f>
        <v>0.6902937885390974</v>
      </c>
      <c r="G40" s="152">
        <f>'R3'!G30</f>
        <v>1.4467534167771132</v>
      </c>
      <c r="H40" s="152">
        <f>'R3'!H30</f>
        <v>2.2340925315686566</v>
      </c>
      <c r="I40" s="152">
        <f>'R3'!I30</f>
        <v>0.15509699896574486</v>
      </c>
      <c r="J40" s="152">
        <f>'R3'!J30</f>
        <v>2.680807905005626E-2</v>
      </c>
      <c r="K40" s="152">
        <f>'R3'!K30</f>
        <v>2.5028205209165214E-2</v>
      </c>
      <c r="L40" s="152">
        <f>'R3'!L30</f>
        <v>0.16664954459657505</v>
      </c>
      <c r="M40" s="152">
        <f>'R3'!M30</f>
        <v>9.6596507251722932E-2</v>
      </c>
      <c r="N40"/>
      <c r="O40" s="152" t="str">
        <f>'R3'!O30</f>
        <v/>
      </c>
      <c r="P40" s="152">
        <f>'R3'!P30</f>
        <v>2.6511482696826159</v>
      </c>
      <c r="Q40" s="152">
        <f>'R3'!Q30</f>
        <v>3.9201582726167278E-2</v>
      </c>
      <c r="R40" s="152">
        <f>'R3'!R30</f>
        <v>1.9537047975424315</v>
      </c>
      <c r="S40" s="152">
        <f>'R3'!S30</f>
        <v>0.35146593927389591</v>
      </c>
      <c r="T40" s="152">
        <f>'R3'!T30</f>
        <v>1.3226757559958693</v>
      </c>
      <c r="U40" s="152">
        <f>'R3'!U30</f>
        <v>1.2856859237331146</v>
      </c>
      <c r="V40" s="152">
        <f>'R3'!V30</f>
        <v>0.67601998892584558</v>
      </c>
    </row>
    <row r="41" spans="1:22" s="1" customFormat="1" x14ac:dyDescent="0.3">
      <c r="A41" s="229"/>
      <c r="B41" s="152">
        <f>'R3'!B31</f>
        <v>5.0378623647401394E-2</v>
      </c>
      <c r="C41" s="152">
        <f>'R3'!C31</f>
        <v>8.769036109598706E-2</v>
      </c>
      <c r="D41" s="152">
        <f>'R3'!D31</f>
        <v>1.7858498797476207E-2</v>
      </c>
      <c r="E41" s="152">
        <f>'R3'!E31</f>
        <v>2.613438848411152E-2</v>
      </c>
      <c r="F41" s="152">
        <f>'R3'!F31</f>
        <v>1.3992226528837857</v>
      </c>
      <c r="G41" s="152">
        <f>'R3'!G31</f>
        <v>2.7137235573757494</v>
      </c>
      <c r="H41" s="152">
        <f>'R3'!H31</f>
        <v>7.0353279389827961</v>
      </c>
      <c r="I41" s="152">
        <f>'R3'!I31</f>
        <v>1.4119469949996882E-2</v>
      </c>
      <c r="J41" s="152">
        <f>'R3'!J31</f>
        <v>1.3750588170061433E-2</v>
      </c>
      <c r="K41" s="152">
        <f>'R3'!K31</f>
        <v>3.983122310878779E-2</v>
      </c>
      <c r="L41" s="152">
        <f>'R3'!L31</f>
        <v>8.3140562440749813E-2</v>
      </c>
      <c r="M41" s="152">
        <f>'R3'!M31</f>
        <v>1.2504091199281645E-2</v>
      </c>
      <c r="N41"/>
      <c r="O41" s="152">
        <f>'R3'!O31</f>
        <v>1.3448296097323182</v>
      </c>
      <c r="P41" s="152">
        <f>'R3'!P31</f>
        <v>2.2776627835249239</v>
      </c>
      <c r="Q41" s="152">
        <f>'R3'!Q31</f>
        <v>2.1034732645421442E-2</v>
      </c>
      <c r="R41" s="152">
        <f>'R3'!R31</f>
        <v>2.4121338232247664</v>
      </c>
      <c r="S41" s="152">
        <f>'R3'!S31</f>
        <v>0.70640937868448606</v>
      </c>
      <c r="T41" s="152">
        <f>'R3'!T31</f>
        <v>1.3011253589666385</v>
      </c>
      <c r="U41" s="152">
        <f>'R3'!U31</f>
        <v>1.8767629892207973</v>
      </c>
      <c r="V41" s="152">
        <f>'R3'!V31</f>
        <v>1.5480337214934863</v>
      </c>
    </row>
    <row r="42" spans="1:22" s="1" customFormat="1" x14ac:dyDescent="0.3">
      <c r="A42" s="229"/>
      <c r="B42" s="152">
        <f>'R3'!B32</f>
        <v>9.3446765122420256E-2</v>
      </c>
      <c r="C42" s="152">
        <f>'R3'!C32</f>
        <v>1.9479730369752004E-2</v>
      </c>
      <c r="D42" s="152">
        <f>'R3'!D32</f>
        <v>0.13728501469751311</v>
      </c>
      <c r="E42" s="152">
        <f>'R3'!E32</f>
        <v>7.4703874182819055E-2</v>
      </c>
      <c r="F42" s="152">
        <f>'R3'!F32</f>
        <v>6.211999978436974E-3</v>
      </c>
      <c r="G42" s="152">
        <f>'R3'!G32</f>
        <v>3.403192406118047</v>
      </c>
      <c r="H42" s="152">
        <f>'R3'!H32</f>
        <v>5.0531833573478719</v>
      </c>
      <c r="I42" s="152">
        <f>'R3'!I32</f>
        <v>6.2813097074436344E-2</v>
      </c>
      <c r="J42" s="152">
        <f>'R3'!J32</f>
        <v>6.5141287882580085E-2</v>
      </c>
      <c r="K42" s="152">
        <f>'R3'!K32</f>
        <v>0.8123340513307854</v>
      </c>
      <c r="L42" s="152">
        <f>'R3'!L32</f>
        <v>2.5239830915065552E-2</v>
      </c>
      <c r="M42" s="152">
        <f>'R3'!M32</f>
        <v>1.4715533619454164E-2</v>
      </c>
      <c r="N42"/>
      <c r="O42" s="152">
        <f>'R3'!O32</f>
        <v>1.5770227466829521</v>
      </c>
      <c r="P42" s="152">
        <f>'R3'!P32</f>
        <v>2.7405076090530831</v>
      </c>
      <c r="Q42" s="152">
        <f>'R3'!Q32</f>
        <v>3.5492588094590841E-2</v>
      </c>
      <c r="R42" s="152">
        <f>'R3'!R32</f>
        <v>0.11883692113862024</v>
      </c>
      <c r="S42" s="152">
        <f>'R3'!S32</f>
        <v>4.7779046744791574E-2</v>
      </c>
      <c r="T42" s="152">
        <f>'R3'!T32</f>
        <v>0.98688367286115963</v>
      </c>
      <c r="U42" s="152">
        <f>'R3'!U32</f>
        <v>2.1926255988553116</v>
      </c>
      <c r="V42" s="152">
        <f>'R3'!V32</f>
        <v>2.4686438935433372</v>
      </c>
    </row>
    <row r="43" spans="1:22" s="1" customFormat="1" x14ac:dyDescent="0.3">
      <c r="A43" s="229"/>
      <c r="B43" s="152" t="str">
        <f>'R3'!B33</f>
        <v/>
      </c>
      <c r="C43" s="152">
        <f>'R3'!C33</f>
        <v>2.7963703265027316E-2</v>
      </c>
      <c r="D43" s="152">
        <f>'R3'!D33</f>
        <v>2.8335665477363062E-2</v>
      </c>
      <c r="E43" s="152">
        <f>'R3'!E33</f>
        <v>0.84240800481163558</v>
      </c>
      <c r="F43" s="152">
        <f>'R3'!F33</f>
        <v>0.60837893015042532</v>
      </c>
      <c r="G43" s="152">
        <f>'R3'!G33</f>
        <v>3.4941997768226729</v>
      </c>
      <c r="H43" s="152">
        <f>'R3'!H33</f>
        <v>2.473930839671965</v>
      </c>
      <c r="I43" s="152">
        <f>'R3'!I33</f>
        <v>0.20035625200709428</v>
      </c>
      <c r="J43" s="152">
        <f>'R3'!J33</f>
        <v>5.1799627113657952E-2</v>
      </c>
      <c r="K43" s="152">
        <f>'R3'!K33</f>
        <v>9.7249866963825732E-2</v>
      </c>
      <c r="L43" s="152">
        <f>'R3'!L33</f>
        <v>6.4243341837893805E-2</v>
      </c>
      <c r="M43" s="152">
        <f>'R3'!M33</f>
        <v>0.19471413202271207</v>
      </c>
      <c r="N43"/>
      <c r="O43" s="152">
        <f>'R3'!O33</f>
        <v>0.23663573655834075</v>
      </c>
      <c r="P43" s="152">
        <f>'R3'!P33</f>
        <v>2.847933068364807</v>
      </c>
      <c r="Q43" s="152">
        <f>'R3'!Q33</f>
        <v>2.2344532502027312E-2</v>
      </c>
      <c r="R43" s="152">
        <f>'R3'!R33</f>
        <v>0.75518032466217289</v>
      </c>
      <c r="S43" s="152">
        <f>'R3'!S33</f>
        <v>1.0405999450142818</v>
      </c>
      <c r="T43" s="152">
        <f>'R3'!T33</f>
        <v>1.3390870676516864</v>
      </c>
      <c r="U43" s="152">
        <f>'R3'!U33</f>
        <v>1.8466477579457832</v>
      </c>
      <c r="V43" s="152">
        <f>'R3'!V33</f>
        <v>1.0698301680606908</v>
      </c>
    </row>
    <row r="44" spans="1:22" s="1" customFormat="1" x14ac:dyDescent="0.3">
      <c r="A44" s="229"/>
      <c r="B44" s="152">
        <f>'R3'!B34</f>
        <v>7.9347626026265314E-2</v>
      </c>
      <c r="C44" s="152">
        <f>'R3'!C34</f>
        <v>8.182706606526359E-2</v>
      </c>
      <c r="D44" s="152">
        <f>'R3'!D34</f>
        <v>5.7978050378931702E-2</v>
      </c>
      <c r="E44" s="152">
        <f>'R3'!E34</f>
        <v>0.27353223171936647</v>
      </c>
      <c r="F44" s="152">
        <f>'R3'!F34</f>
        <v>0.38790298794241751</v>
      </c>
      <c r="G44" s="152">
        <f>'R3'!G34</f>
        <v>1.347999374672223</v>
      </c>
      <c r="H44" s="152">
        <f>'R3'!H34</f>
        <v>2.3955484671383327</v>
      </c>
      <c r="I44" s="152">
        <f>'R3'!I34</f>
        <v>7.0294543245035326E-2</v>
      </c>
      <c r="J44" s="152">
        <f>'R3'!J34</f>
        <v>1.1391747059534749E-2</v>
      </c>
      <c r="K44" s="152">
        <f>'R3'!K34</f>
        <v>1.6565025232591901E-2</v>
      </c>
      <c r="L44" s="152">
        <f>'R3'!L34</f>
        <v>8.6876510855828842E-2</v>
      </c>
      <c r="M44" s="152">
        <f>'R3'!M34</f>
        <v>2.6355255487212743E-2</v>
      </c>
      <c r="N44"/>
      <c r="O44" s="152">
        <f>'R3'!O34</f>
        <v>0.5659077764745839</v>
      </c>
      <c r="P44" s="152">
        <f>'R3'!P34</f>
        <v>3.7198057171285139</v>
      </c>
      <c r="Q44" s="152">
        <f>'R3'!Q34</f>
        <v>8.3087116938604683E-2</v>
      </c>
      <c r="R44" s="152">
        <f>'R3'!R34</f>
        <v>0.67047829103771306</v>
      </c>
      <c r="S44" s="152">
        <f>'R3'!S34</f>
        <v>0.41501248730284279</v>
      </c>
      <c r="T44" s="152">
        <f>'R3'!T34</f>
        <v>2.8302818826678702</v>
      </c>
      <c r="U44" s="152">
        <f>'R3'!U34</f>
        <v>2.6744015297427302</v>
      </c>
      <c r="V44" s="152">
        <f>'R3'!V34</f>
        <v>1.8343783956954041</v>
      </c>
    </row>
    <row r="45" spans="1:22" s="1" customFormat="1" x14ac:dyDescent="0.3">
      <c r="A45" s="229"/>
      <c r="B45" s="152">
        <f>'R3'!B35</f>
        <v>9.6497625371673428E-3</v>
      </c>
      <c r="C45" s="152">
        <f>'R3'!C35</f>
        <v>1.169332139152373E-2</v>
      </c>
      <c r="D45" s="152">
        <f>'R3'!D35</f>
        <v>0.1271736493651614</v>
      </c>
      <c r="E45" s="152">
        <f>'R3'!E35</f>
        <v>3.7620088731855295E-2</v>
      </c>
      <c r="F45" s="152">
        <f>'R3'!F35</f>
        <v>8.5358165725722926E-2</v>
      </c>
      <c r="G45" s="152">
        <f>'R3'!G35</f>
        <v>2.2481177402872046</v>
      </c>
      <c r="H45" s="152">
        <f>'R3'!H35</f>
        <v>5.3924466257328545</v>
      </c>
      <c r="I45" s="152">
        <f>'R3'!I35</f>
        <v>1.3174393289586061E-2</v>
      </c>
      <c r="J45" s="152">
        <f>'R3'!J35</f>
        <v>0.12070058274079934</v>
      </c>
      <c r="K45" s="152">
        <f>'R3'!K35</f>
        <v>0.19892169463827641</v>
      </c>
      <c r="L45" s="152">
        <f>'R3'!L35</f>
        <v>8.5586425766584873E-2</v>
      </c>
      <c r="M45" s="152">
        <f>'R3'!M35</f>
        <v>0.3491537667142337</v>
      </c>
      <c r="N45"/>
      <c r="O45" s="152">
        <f>'R3'!O35</f>
        <v>1.607814132869831</v>
      </c>
      <c r="P45" s="152">
        <f>'R3'!P35</f>
        <v>2.1849195891627309</v>
      </c>
      <c r="Q45" s="152">
        <f>'R3'!Q35</f>
        <v>1.866957664847415E-2</v>
      </c>
      <c r="R45" s="152">
        <f>'R3'!R35</f>
        <v>0.45855593949722728</v>
      </c>
      <c r="S45" s="152">
        <f>'R3'!S35</f>
        <v>2.9974076621135315</v>
      </c>
      <c r="T45" s="152">
        <f>'R3'!T35</f>
        <v>3.0566249704471025</v>
      </c>
      <c r="U45" s="152">
        <f>'R3'!U35</f>
        <v>1.632005384595836</v>
      </c>
      <c r="V45" s="152">
        <f>'R3'!V35</f>
        <v>1.6155608042700955</v>
      </c>
    </row>
    <row r="46" spans="1:22" s="1" customFormat="1" x14ac:dyDescent="0.3">
      <c r="A46" s="229"/>
      <c r="B46" s="152" t="str">
        <f>'R3'!B36</f>
        <v/>
      </c>
      <c r="C46" s="152" t="str">
        <f>'R3'!C36</f>
        <v/>
      </c>
      <c r="D46" s="152" t="str">
        <f>'R3'!D36</f>
        <v/>
      </c>
      <c r="E46" s="152" t="str">
        <f>'R3'!E36</f>
        <v/>
      </c>
      <c r="F46" s="152" t="str">
        <f>'R3'!F36</f>
        <v/>
      </c>
      <c r="G46" s="152" t="str">
        <f>'R3'!G36</f>
        <v/>
      </c>
      <c r="H46" s="152" t="str">
        <f>'R3'!H36</f>
        <v/>
      </c>
      <c r="I46" s="152" t="str">
        <f>'R3'!I36</f>
        <v/>
      </c>
      <c r="J46" s="152" t="str">
        <f>'R3'!J36</f>
        <v/>
      </c>
      <c r="K46" s="152" t="str">
        <f>'R3'!K36</f>
        <v/>
      </c>
      <c r="L46" s="152" t="str">
        <f>'R3'!L36</f>
        <v/>
      </c>
      <c r="M46" s="152" t="str">
        <f>'R3'!M36</f>
        <v/>
      </c>
      <c r="N46"/>
      <c r="O46" s="152">
        <f>'R3'!O36</f>
        <v>0.62682055480127752</v>
      </c>
      <c r="P46" s="152" t="str">
        <f>'R3'!P36</f>
        <v/>
      </c>
      <c r="Q46" s="152" t="str">
        <f>'R3'!Q36</f>
        <v/>
      </c>
      <c r="R46" s="152" t="str">
        <f>'R3'!R36</f>
        <v/>
      </c>
      <c r="S46" s="152" t="str">
        <f>'R3'!S36</f>
        <v/>
      </c>
      <c r="T46" s="152" t="str">
        <f>'R3'!T36</f>
        <v/>
      </c>
      <c r="U46" s="152" t="str">
        <f>'R3'!U36</f>
        <v/>
      </c>
      <c r="V46" s="152" t="str">
        <f>'R3'!V36</f>
        <v/>
      </c>
    </row>
    <row r="47" spans="1:22" s="1" customFormat="1" x14ac:dyDescent="0.3">
      <c r="A47" s="229"/>
      <c r="B47" s="152" t="str">
        <f>'R3'!B37</f>
        <v/>
      </c>
      <c r="C47" s="152" t="str">
        <f>'R3'!C37</f>
        <v/>
      </c>
      <c r="D47" s="152" t="str">
        <f>'R3'!D37</f>
        <v/>
      </c>
      <c r="E47" s="152" t="str">
        <f>'R3'!E37</f>
        <v/>
      </c>
      <c r="F47" s="152" t="str">
        <f>'R3'!F37</f>
        <v/>
      </c>
      <c r="G47" s="152" t="str">
        <f>'R3'!G37</f>
        <v/>
      </c>
      <c r="H47" s="152" t="str">
        <f>'R3'!H37</f>
        <v/>
      </c>
      <c r="I47" s="152" t="str">
        <f>'R3'!I37</f>
        <v/>
      </c>
      <c r="J47" s="152" t="str">
        <f>'R3'!J37</f>
        <v/>
      </c>
      <c r="K47" s="152" t="str">
        <f>'R3'!K37</f>
        <v/>
      </c>
      <c r="L47" s="152" t="str">
        <f>'R3'!L37</f>
        <v/>
      </c>
      <c r="M47" s="152" t="str">
        <f>'R3'!M37</f>
        <v/>
      </c>
      <c r="N47"/>
      <c r="O47" s="152">
        <f>'R3'!O37</f>
        <v>1.5071137195528139</v>
      </c>
      <c r="P47" s="152" t="str">
        <f>'R3'!P37</f>
        <v/>
      </c>
      <c r="Q47" s="152" t="str">
        <f>'R3'!Q37</f>
        <v/>
      </c>
      <c r="R47" s="152" t="str">
        <f>'R3'!R37</f>
        <v/>
      </c>
      <c r="S47" s="152" t="str">
        <f>'R3'!S37</f>
        <v/>
      </c>
      <c r="T47" s="152" t="str">
        <f>'R3'!T37</f>
        <v/>
      </c>
      <c r="U47" s="152" t="str">
        <f>'R3'!U37</f>
        <v/>
      </c>
      <c r="V47" s="152" t="str">
        <f>'R3'!V37</f>
        <v/>
      </c>
    </row>
    <row r="48" spans="1:22" s="1" customFormat="1" x14ac:dyDescent="0.3">
      <c r="A48" s="229"/>
      <c r="B48" s="152" t="str">
        <f>'R3'!B38</f>
        <v/>
      </c>
      <c r="C48" s="152" t="str">
        <f>'R3'!C38</f>
        <v/>
      </c>
      <c r="D48" s="152" t="str">
        <f>'R3'!D38</f>
        <v/>
      </c>
      <c r="E48" s="152" t="str">
        <f>'R3'!E38</f>
        <v/>
      </c>
      <c r="F48" s="152" t="str">
        <f>'R3'!F38</f>
        <v/>
      </c>
      <c r="G48" s="152" t="str">
        <f>'R3'!G38</f>
        <v/>
      </c>
      <c r="H48" s="152" t="str">
        <f>'R3'!H38</f>
        <v/>
      </c>
      <c r="I48" s="152" t="str">
        <f>'R3'!I38</f>
        <v/>
      </c>
      <c r="J48" s="152" t="str">
        <f>'R3'!J38</f>
        <v/>
      </c>
      <c r="K48" s="152" t="str">
        <f>'R3'!K38</f>
        <v/>
      </c>
      <c r="L48" s="152" t="str">
        <f>'R3'!L38</f>
        <v/>
      </c>
      <c r="M48" s="152" t="str">
        <f>'R3'!M38</f>
        <v/>
      </c>
      <c r="N48"/>
      <c r="O48" s="152">
        <f>'R3'!O38</f>
        <v>0.80307611979493576</v>
      </c>
      <c r="P48" s="152" t="str">
        <f>'R3'!P38</f>
        <v/>
      </c>
      <c r="Q48" s="152" t="str">
        <f>'R3'!Q38</f>
        <v/>
      </c>
      <c r="R48" s="152" t="str">
        <f>'R3'!R38</f>
        <v/>
      </c>
      <c r="S48" s="152" t="str">
        <f>'R3'!S38</f>
        <v/>
      </c>
      <c r="T48" s="152" t="str">
        <f>'R3'!T38</f>
        <v/>
      </c>
      <c r="U48" s="152" t="str">
        <f>'R3'!U38</f>
        <v/>
      </c>
      <c r="V48" s="152" t="str">
        <f>'R3'!V38</f>
        <v/>
      </c>
    </row>
    <row r="49" spans="1:24" s="1" customFormat="1" x14ac:dyDescent="0.3">
      <c r="A49" s="229"/>
      <c r="B49" s="152" t="str">
        <f>'R3'!B39</f>
        <v/>
      </c>
      <c r="C49" s="152" t="str">
        <f>'R3'!C39</f>
        <v/>
      </c>
      <c r="D49" s="152" t="str">
        <f>'R3'!D39</f>
        <v/>
      </c>
      <c r="E49" s="152" t="str">
        <f>'R3'!E39</f>
        <v/>
      </c>
      <c r="F49" s="152" t="str">
        <f>'R3'!F39</f>
        <v/>
      </c>
      <c r="G49" s="152" t="str">
        <f>'R3'!G39</f>
        <v/>
      </c>
      <c r="H49" s="152" t="str">
        <f>'R3'!H39</f>
        <v/>
      </c>
      <c r="I49" s="152" t="str">
        <f>'R3'!I39</f>
        <v/>
      </c>
      <c r="J49" s="152" t="str">
        <f>'R3'!J39</f>
        <v/>
      </c>
      <c r="K49" s="152" t="str">
        <f>'R3'!K39</f>
        <v/>
      </c>
      <c r="L49" s="152" t="str">
        <f>'R3'!L39</f>
        <v/>
      </c>
      <c r="M49" s="152" t="str">
        <f>'R3'!M39</f>
        <v/>
      </c>
      <c r="N49"/>
      <c r="O49" s="152">
        <f>'R3'!O39</f>
        <v>0.80932508496217626</v>
      </c>
      <c r="P49" s="152" t="str">
        <f>'R3'!P39</f>
        <v/>
      </c>
      <c r="Q49" s="152" t="str">
        <f>'R3'!Q39</f>
        <v/>
      </c>
      <c r="R49" s="152" t="str">
        <f>'R3'!R39</f>
        <v/>
      </c>
      <c r="S49" s="152" t="str">
        <f>'R3'!S39</f>
        <v/>
      </c>
      <c r="T49" s="152" t="str">
        <f>'R3'!T39</f>
        <v/>
      </c>
      <c r="U49" s="152" t="str">
        <f>'R3'!U39</f>
        <v/>
      </c>
      <c r="V49" s="152" t="str">
        <f>'R3'!V39</f>
        <v/>
      </c>
    </row>
    <row r="50" spans="1:24" s="1" customFormat="1" x14ac:dyDescent="0.3">
      <c r="A50" s="229"/>
      <c r="B50" s="152" t="str">
        <f>'R3'!B40</f>
        <v/>
      </c>
      <c r="C50" s="152" t="str">
        <f>'R3'!C40</f>
        <v/>
      </c>
      <c r="D50" s="152" t="str">
        <f>'R3'!D40</f>
        <v/>
      </c>
      <c r="E50" s="152" t="str">
        <f>'R3'!E40</f>
        <v/>
      </c>
      <c r="F50" s="152" t="str">
        <f>'R3'!F40</f>
        <v/>
      </c>
      <c r="G50" s="152" t="str">
        <f>'R3'!G40</f>
        <v/>
      </c>
      <c r="H50" s="152" t="str">
        <f>'R3'!H40</f>
        <v/>
      </c>
      <c r="I50" s="152" t="str">
        <f>'R3'!I40</f>
        <v/>
      </c>
      <c r="J50" s="152" t="str">
        <f>'R3'!J40</f>
        <v/>
      </c>
      <c r="K50" s="152" t="str">
        <f>'R3'!K40</f>
        <v/>
      </c>
      <c r="L50" s="152" t="str">
        <f>'R3'!L40</f>
        <v/>
      </c>
      <c r="M50" s="152" t="str">
        <f>'R3'!M40</f>
        <v/>
      </c>
      <c r="N50"/>
      <c r="O50" s="152">
        <f>'R3'!O40</f>
        <v>2.1367049692765376</v>
      </c>
      <c r="P50" s="152" t="str">
        <f>'R3'!P40</f>
        <v/>
      </c>
      <c r="Q50" s="152" t="str">
        <f>'R3'!Q40</f>
        <v/>
      </c>
      <c r="R50" s="152" t="str">
        <f>'R3'!R40</f>
        <v/>
      </c>
      <c r="S50" s="152" t="str">
        <f>'R3'!S40</f>
        <v/>
      </c>
      <c r="T50" s="152" t="str">
        <f>'R3'!T40</f>
        <v/>
      </c>
      <c r="U50" s="152" t="str">
        <f>'R3'!U40</f>
        <v/>
      </c>
      <c r="V50" s="152" t="str">
        <f>'R3'!V40</f>
        <v/>
      </c>
    </row>
    <row r="51" spans="1:24" s="1" customFormat="1" x14ac:dyDescent="0.3">
      <c r="A51" s="229"/>
      <c r="B51" s="152" t="str">
        <f>'R3'!B41</f>
        <v/>
      </c>
      <c r="C51" s="152" t="str">
        <f>'R3'!C41</f>
        <v/>
      </c>
      <c r="D51" s="152" t="str">
        <f>'R3'!D41</f>
        <v/>
      </c>
      <c r="E51" s="152" t="str">
        <f>'R3'!E41</f>
        <v/>
      </c>
      <c r="F51" s="152" t="str">
        <f>'R3'!F41</f>
        <v/>
      </c>
      <c r="G51" s="152" t="str">
        <f>'R3'!G41</f>
        <v/>
      </c>
      <c r="H51" s="152" t="str">
        <f>'R3'!H41</f>
        <v/>
      </c>
      <c r="I51" s="152" t="str">
        <f>'R3'!I41</f>
        <v/>
      </c>
      <c r="J51" s="152" t="str">
        <f>'R3'!J41</f>
        <v/>
      </c>
      <c r="K51" s="152" t="str">
        <f>'R3'!K41</f>
        <v/>
      </c>
      <c r="L51" s="152" t="str">
        <f>'R3'!L41</f>
        <v/>
      </c>
      <c r="M51" s="152" t="str">
        <f>'R3'!M41</f>
        <v/>
      </c>
      <c r="N51"/>
      <c r="O51" s="152">
        <f>'R3'!O41</f>
        <v>1.0062703741724226</v>
      </c>
      <c r="P51" s="152" t="str">
        <f>'R3'!P41</f>
        <v/>
      </c>
      <c r="Q51" s="152" t="str">
        <f>'R3'!Q41</f>
        <v/>
      </c>
      <c r="R51" s="152" t="str">
        <f>'R3'!R41</f>
        <v/>
      </c>
      <c r="S51" s="152" t="str">
        <f>'R3'!S41</f>
        <v/>
      </c>
      <c r="T51" s="152" t="str">
        <f>'R3'!T41</f>
        <v/>
      </c>
      <c r="U51" s="152" t="str">
        <f>'R3'!U41</f>
        <v/>
      </c>
      <c r="V51" s="152" t="str">
        <f>'R3'!V41</f>
        <v/>
      </c>
    </row>
    <row r="52" spans="1:24" s="1" customFormat="1" x14ac:dyDescent="0.3">
      <c r="A52" s="229"/>
      <c r="B52" s="152" t="str">
        <f>'R3'!B42</f>
        <v/>
      </c>
      <c r="C52" s="152" t="str">
        <f>'R3'!C42</f>
        <v/>
      </c>
      <c r="D52" s="152" t="str">
        <f>'R3'!D42</f>
        <v/>
      </c>
      <c r="E52" s="152" t="str">
        <f>'R3'!E42</f>
        <v/>
      </c>
      <c r="F52" s="152" t="str">
        <f>'R3'!F42</f>
        <v/>
      </c>
      <c r="G52" s="152" t="str">
        <f>'R3'!G42</f>
        <v/>
      </c>
      <c r="H52" s="152" t="str">
        <f>'R3'!H42</f>
        <v/>
      </c>
      <c r="I52" s="152" t="str">
        <f>'R3'!I42</f>
        <v/>
      </c>
      <c r="J52" s="152" t="str">
        <f>'R3'!J42</f>
        <v/>
      </c>
      <c r="K52" s="152" t="str">
        <f>'R3'!K42</f>
        <v/>
      </c>
      <c r="L52" s="152" t="str">
        <f>'R3'!L42</f>
        <v/>
      </c>
      <c r="M52" s="152" t="str">
        <f>'R3'!M42</f>
        <v/>
      </c>
      <c r="N52"/>
      <c r="O52" s="152">
        <f>'R3'!O42</f>
        <v>0.4882017128744362</v>
      </c>
      <c r="P52" s="152" t="str">
        <f>'R3'!P42</f>
        <v/>
      </c>
      <c r="Q52" s="152" t="str">
        <f>'R3'!Q42</f>
        <v/>
      </c>
      <c r="R52" s="152" t="str">
        <f>'R3'!R42</f>
        <v/>
      </c>
      <c r="S52" s="152" t="str">
        <f>'R3'!S42</f>
        <v/>
      </c>
      <c r="T52" s="152" t="str">
        <f>'R3'!T42</f>
        <v/>
      </c>
      <c r="U52" s="152" t="str">
        <f>'R3'!U42</f>
        <v/>
      </c>
      <c r="V52" s="152" t="str">
        <f>'R3'!V42</f>
        <v/>
      </c>
    </row>
    <row r="53" spans="1:24" s="1" customFormat="1" x14ac:dyDescent="0.3">
      <c r="A53" s="230"/>
      <c r="B53" s="152" t="str">
        <f>'R3'!B43</f>
        <v/>
      </c>
      <c r="C53" s="152" t="str">
        <f>'R3'!C43</f>
        <v/>
      </c>
      <c r="D53" s="152" t="str">
        <f>'R3'!D43</f>
        <v/>
      </c>
      <c r="E53" s="152" t="str">
        <f>'R3'!E43</f>
        <v/>
      </c>
      <c r="F53" s="152" t="str">
        <f>'R3'!F43</f>
        <v/>
      </c>
      <c r="G53" s="152" t="str">
        <f>'R3'!G43</f>
        <v/>
      </c>
      <c r="H53" s="152" t="str">
        <f>'R3'!H43</f>
        <v/>
      </c>
      <c r="I53" s="152" t="str">
        <f>'R3'!I43</f>
        <v/>
      </c>
      <c r="J53" s="152" t="str">
        <f>'R3'!J43</f>
        <v/>
      </c>
      <c r="K53" s="152" t="str">
        <f>'R3'!K43</f>
        <v/>
      </c>
      <c r="L53" s="152" t="str">
        <f>'R3'!L43</f>
        <v/>
      </c>
      <c r="M53" s="152" t="str">
        <f>'R3'!M43</f>
        <v/>
      </c>
      <c r="N53"/>
      <c r="O53" s="152">
        <f>'R3'!O43</f>
        <v>0.49391745519318553</v>
      </c>
      <c r="P53" s="152" t="str">
        <f>'R3'!P43</f>
        <v/>
      </c>
      <c r="Q53" s="152" t="str">
        <f>'R3'!Q43</f>
        <v/>
      </c>
      <c r="R53" s="152" t="str">
        <f>'R3'!R43</f>
        <v/>
      </c>
      <c r="S53" s="152" t="str">
        <f>'R3'!S43</f>
        <v/>
      </c>
      <c r="T53" s="152" t="str">
        <f>'R3'!T43</f>
        <v/>
      </c>
      <c r="U53" s="152" t="str">
        <f>'R3'!U43</f>
        <v/>
      </c>
      <c r="V53" s="152" t="str">
        <f>'R3'!V43</f>
        <v/>
      </c>
    </row>
    <row r="54" spans="1:24" s="60" customFormat="1" x14ac:dyDescent="0.3">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3">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Arabinose-0.01mg/L</v>
      </c>
      <c r="J55" s="15" t="str">
        <f t="shared" si="0"/>
        <v>Arabinose-0.1mg/L</v>
      </c>
      <c r="K55" s="15" t="str">
        <f t="shared" si="0"/>
        <v>Arabinose-1mg/L</v>
      </c>
      <c r="L55" s="15" t="str">
        <f t="shared" si="0"/>
        <v>Arabinose-10mg/L</v>
      </c>
      <c r="M55" s="15" t="str">
        <f t="shared" si="0"/>
        <v>Arabinose-100mg/L</v>
      </c>
      <c r="O55" s="15" t="str">
        <f t="shared" ref="O55:V55" si="1">O4</f>
        <v>Testo -30µg/L</v>
      </c>
      <c r="P55" s="15" t="str">
        <f t="shared" si="1"/>
        <v>Testo 30µg/L + EE2 -64ng/L</v>
      </c>
      <c r="Q55" s="15" t="str">
        <f t="shared" si="1"/>
        <v>Testo 30µg/L + FAD-10µg/L</v>
      </c>
      <c r="R55" s="15" t="str">
        <f t="shared" si="1"/>
        <v>Arabinose-0.01mg/L + Testostérone</v>
      </c>
      <c r="S55" s="15" t="str">
        <f t="shared" si="1"/>
        <v>Arabinose-0.1mg/L + Testostérone</v>
      </c>
      <c r="T55" s="15" t="str">
        <f t="shared" si="1"/>
        <v>Arabinose-1mg/L + Testostérone</v>
      </c>
      <c r="U55" s="15" t="str">
        <f t="shared" si="1"/>
        <v>Arabinose-10mg/L + Testostérone</v>
      </c>
      <c r="V55" s="15" t="str">
        <f t="shared" si="1"/>
        <v>Arabinose-100mg/L + Testostérone</v>
      </c>
    </row>
    <row r="56" spans="1:24" x14ac:dyDescent="0.3">
      <c r="A56" t="s">
        <v>48</v>
      </c>
      <c r="B56" s="9">
        <f t="shared" ref="B56:V56" si="2">AVERAGE(B6:B53)</f>
        <v>6.6835683850314201E-2</v>
      </c>
      <c r="C56" s="9">
        <f t="shared" si="2"/>
        <v>0.10833196580680184</v>
      </c>
      <c r="D56" s="9">
        <f t="shared" si="2"/>
        <v>8.3680582458096647E-2</v>
      </c>
      <c r="E56" s="9">
        <f t="shared" si="2"/>
        <v>0.14783227144094574</v>
      </c>
      <c r="F56" s="9">
        <f t="shared" si="2"/>
        <v>0.57503175325247324</v>
      </c>
      <c r="G56" s="9">
        <f t="shared" si="2"/>
        <v>1.7063053012560461</v>
      </c>
      <c r="H56" s="9">
        <f t="shared" si="2"/>
        <v>3.2247881331846533</v>
      </c>
      <c r="I56" s="9">
        <f t="shared" si="2"/>
        <v>0.12340219541153614</v>
      </c>
      <c r="J56" s="9">
        <f t="shared" si="2"/>
        <v>0.11176703685679847</v>
      </c>
      <c r="K56" s="9">
        <f t="shared" si="2"/>
        <v>0.13358635856301154</v>
      </c>
      <c r="L56" s="9">
        <f t="shared" si="2"/>
        <v>0.10831278123935195</v>
      </c>
      <c r="M56" s="9">
        <f t="shared" si="2"/>
        <v>0.10585948756421013</v>
      </c>
      <c r="N56" s="9"/>
      <c r="O56" s="9">
        <f t="shared" si="2"/>
        <v>1</v>
      </c>
      <c r="P56" s="9">
        <f t="shared" si="2"/>
        <v>2.2042217725511128</v>
      </c>
      <c r="Q56" s="9">
        <f t="shared" si="2"/>
        <v>9.4711579822730138E-2</v>
      </c>
      <c r="R56" s="9">
        <f t="shared" si="2"/>
        <v>0.95836270321139272</v>
      </c>
      <c r="S56" s="9">
        <f t="shared" si="2"/>
        <v>0.77156898611622982</v>
      </c>
      <c r="T56" s="9">
        <f t="shared" si="2"/>
        <v>1.1205204183273734</v>
      </c>
      <c r="U56" s="9">
        <f t="shared" si="2"/>
        <v>1.173126239970862</v>
      </c>
      <c r="V56" s="9">
        <f t="shared" si="2"/>
        <v>1.0396782704095602</v>
      </c>
    </row>
    <row r="57" spans="1:24" x14ac:dyDescent="0.3">
      <c r="A57" t="s">
        <v>1</v>
      </c>
      <c r="B57" s="3">
        <f>STDEV(B6:B53)</f>
        <v>7.2749964782238788E-2</v>
      </c>
      <c r="C57" s="3">
        <f t="shared" ref="C57:V57" si="3">STDEV(C6:C53)</f>
        <v>0.1353947882831866</v>
      </c>
      <c r="D57" s="3">
        <f t="shared" si="3"/>
        <v>6.1880912492333781E-2</v>
      </c>
      <c r="E57" s="3">
        <f t="shared" si="3"/>
        <v>0.17468407865436308</v>
      </c>
      <c r="F57" s="3">
        <f t="shared" si="3"/>
        <v>0.45247568695646445</v>
      </c>
      <c r="G57" s="3">
        <f t="shared" si="3"/>
        <v>0.89065295381154497</v>
      </c>
      <c r="H57" s="3">
        <f t="shared" si="3"/>
        <v>1.3808404573244757</v>
      </c>
      <c r="I57" s="3">
        <f t="shared" si="3"/>
        <v>0.25897040578628505</v>
      </c>
      <c r="J57" s="3">
        <f t="shared" si="3"/>
        <v>0.10918466955523576</v>
      </c>
      <c r="K57" s="3">
        <f t="shared" si="3"/>
        <v>0.20332431087079531</v>
      </c>
      <c r="L57" s="3">
        <f t="shared" si="3"/>
        <v>0.11405121510353486</v>
      </c>
      <c r="M57" s="3">
        <f t="shared" si="3"/>
        <v>9.085797378017603E-2</v>
      </c>
      <c r="N57" s="3"/>
      <c r="O57" s="3">
        <f t="shared" si="3"/>
        <v>0.55597482242020591</v>
      </c>
      <c r="P57" s="3">
        <f t="shared" si="3"/>
        <v>0.96078886013068332</v>
      </c>
      <c r="Q57" s="3">
        <f t="shared" si="3"/>
        <v>8.9188211593199354E-2</v>
      </c>
      <c r="R57" s="3">
        <f t="shared" si="3"/>
        <v>0.73423907967181323</v>
      </c>
      <c r="S57" s="3">
        <f t="shared" si="3"/>
        <v>0.69097915348922168</v>
      </c>
      <c r="T57" s="3">
        <f t="shared" si="3"/>
        <v>0.78069575972994942</v>
      </c>
      <c r="U57" s="3">
        <f t="shared" si="3"/>
        <v>0.68883623884243839</v>
      </c>
      <c r="V57" s="3">
        <f t="shared" si="3"/>
        <v>0.60591957924203677</v>
      </c>
      <c r="W57" s="3"/>
      <c r="X57" s="3"/>
    </row>
    <row r="58" spans="1:24" x14ac:dyDescent="0.3">
      <c r="A58" t="s">
        <v>2</v>
      </c>
      <c r="B58" s="3">
        <f xml:space="preserve"> B57/SQRT(COUNT(B6:B53))</f>
        <v>1.5169416279241347E-2</v>
      </c>
      <c r="C58" s="3">
        <f t="shared" ref="C58:V58" si="4" xml:space="preserve"> C57/SQRT(COUNT(C6:C53))</f>
        <v>2.823176494525035E-2</v>
      </c>
      <c r="D58" s="3">
        <f t="shared" si="4"/>
        <v>1.3193054872104404E-2</v>
      </c>
      <c r="E58" s="3">
        <f t="shared" si="4"/>
        <v>3.7242770705030008E-2</v>
      </c>
      <c r="F58" s="3">
        <f t="shared" si="4"/>
        <v>9.2361212838219339E-2</v>
      </c>
      <c r="G58" s="3">
        <f t="shared" si="4"/>
        <v>0.1818037728950766</v>
      </c>
      <c r="H58" s="3">
        <f t="shared" si="4"/>
        <v>0.28792513886531623</v>
      </c>
      <c r="I58" s="3">
        <f t="shared" si="4"/>
        <v>5.286211272149189E-2</v>
      </c>
      <c r="J58" s="3">
        <f t="shared" si="4"/>
        <v>2.2287227345393398E-2</v>
      </c>
      <c r="K58" s="3">
        <f t="shared" si="4"/>
        <v>4.1503401161372612E-2</v>
      </c>
      <c r="L58" s="3">
        <f t="shared" si="4"/>
        <v>2.3781322289810967E-2</v>
      </c>
      <c r="M58" s="3">
        <f t="shared" si="4"/>
        <v>1.8945197165186469E-2</v>
      </c>
      <c r="N58" s="3"/>
      <c r="O58" s="3">
        <f t="shared" si="4"/>
        <v>8.3816358129649826E-2</v>
      </c>
      <c r="P58" s="3">
        <f t="shared" si="4"/>
        <v>0.20033832620271422</v>
      </c>
      <c r="Q58" s="3">
        <f t="shared" si="4"/>
        <v>1.8205467456226462E-2</v>
      </c>
      <c r="R58" s="3">
        <f t="shared" si="4"/>
        <v>0.14987592453388895</v>
      </c>
      <c r="S58" s="3">
        <f t="shared" si="4"/>
        <v>0.14407911331545858</v>
      </c>
      <c r="T58" s="3">
        <f t="shared" si="4"/>
        <v>0.1593588546410693</v>
      </c>
      <c r="U58" s="3">
        <f t="shared" si="4"/>
        <v>0.14060810845849137</v>
      </c>
      <c r="V58" s="3">
        <f t="shared" si="4"/>
        <v>0.12368281619207236</v>
      </c>
      <c r="W58" s="3"/>
      <c r="X58" s="3"/>
    </row>
    <row r="59" spans="1:24" s="1" customFormat="1" ht="15" thickBot="1" x14ac:dyDescent="0.35">
      <c r="B59" s="3"/>
      <c r="C59" s="3"/>
      <c r="D59" s="3"/>
      <c r="E59" s="3"/>
      <c r="F59" s="3"/>
      <c r="G59" s="3"/>
      <c r="H59" s="3"/>
      <c r="I59" s="3"/>
      <c r="J59" s="3"/>
      <c r="K59" s="3"/>
      <c r="L59" s="3"/>
      <c r="M59" s="3"/>
      <c r="N59" s="3"/>
      <c r="O59" s="3"/>
      <c r="P59" s="3"/>
      <c r="Q59" s="3"/>
      <c r="R59" s="3"/>
      <c r="S59" s="3"/>
      <c r="T59" s="3"/>
      <c r="U59" s="3"/>
      <c r="V59" s="3"/>
    </row>
    <row r="60" spans="1:24" s="48" customFormat="1" ht="26.4" thickBot="1" x14ac:dyDescent="0.35">
      <c r="A60" s="231" t="s">
        <v>46</v>
      </c>
      <c r="B60" s="232"/>
      <c r="C60" s="232"/>
      <c r="D60" s="232"/>
      <c r="E60" s="232"/>
      <c r="F60" s="232"/>
      <c r="G60" s="232"/>
      <c r="H60" s="232"/>
      <c r="I60" s="232"/>
      <c r="J60" s="232"/>
      <c r="K60" s="232"/>
      <c r="L60" s="232"/>
      <c r="M60" s="232"/>
      <c r="N60" s="232"/>
      <c r="O60" s="232"/>
      <c r="P60" s="232"/>
      <c r="Q60" s="232"/>
      <c r="R60" s="232"/>
      <c r="S60" s="232"/>
      <c r="T60" s="232"/>
      <c r="U60" s="232"/>
      <c r="V60" s="232"/>
    </row>
    <row r="61" spans="1:24" s="1" customFormat="1" x14ac:dyDescent="0.3">
      <c r="B61" s="3"/>
      <c r="C61" s="3"/>
      <c r="D61" s="3"/>
      <c r="E61" s="3"/>
      <c r="F61" s="3"/>
      <c r="G61" s="3"/>
      <c r="H61" s="3"/>
      <c r="I61" s="3"/>
      <c r="J61" s="3"/>
      <c r="K61" s="3"/>
      <c r="L61" s="3"/>
      <c r="M61" s="3"/>
      <c r="N61" s="3"/>
      <c r="O61" s="3"/>
      <c r="P61" s="3"/>
      <c r="Q61" s="3"/>
      <c r="R61" s="3"/>
      <c r="S61" s="3"/>
      <c r="T61" s="3"/>
      <c r="U61" s="3"/>
      <c r="V61" s="3"/>
    </row>
    <row r="62" spans="1:24" s="1" customFormat="1" x14ac:dyDescent="0.3">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Arabinose-0.01mg/L</v>
      </c>
      <c r="J62" s="3" t="str">
        <f t="shared" si="6"/>
        <v>Arabinose-0.1mg/L</v>
      </c>
      <c r="K62" s="3" t="str">
        <f t="shared" si="6"/>
        <v>Arabinose-1mg/L</v>
      </c>
      <c r="L62" s="3" t="str">
        <f t="shared" si="6"/>
        <v>Arabinose-10mg/L</v>
      </c>
      <c r="M62" s="3" t="str">
        <f t="shared" si="6"/>
        <v>Arabinose-100mg/L</v>
      </c>
      <c r="N62" s="3"/>
      <c r="O62" s="3" t="str">
        <f t="shared" si="6"/>
        <v>Testo -30µg/L</v>
      </c>
      <c r="P62" s="3" t="str">
        <f t="shared" si="6"/>
        <v>Testo 30µg/L + EE2 -64ng/L</v>
      </c>
      <c r="Q62" s="3" t="str">
        <f t="shared" si="6"/>
        <v>Testo 30µg/L + FAD-10µg/L</v>
      </c>
      <c r="R62" s="3" t="str">
        <f t="shared" si="6"/>
        <v>Arabinose-0.01mg/L + Testostérone</v>
      </c>
      <c r="S62" s="3" t="str">
        <f t="shared" si="6"/>
        <v>Arabinose-0.1mg/L + Testostérone</v>
      </c>
      <c r="T62" s="3" t="str">
        <f t="shared" si="6"/>
        <v>Arabinose-1mg/L + Testostérone</v>
      </c>
      <c r="U62" s="3" t="str">
        <f t="shared" si="6"/>
        <v>Arabinose-10mg/L + Testostérone</v>
      </c>
      <c r="V62" s="3" t="str">
        <f t="shared" si="6"/>
        <v>Arabinose-100mg/L + Testostérone</v>
      </c>
    </row>
    <row r="63" spans="1:24" s="1" customFormat="1" x14ac:dyDescent="0.3">
      <c r="A63" s="1" t="s">
        <v>49</v>
      </c>
      <c r="B63" s="3">
        <f>COUNT(B6:B53)</f>
        <v>23</v>
      </c>
      <c r="C63" s="3">
        <f t="shared" ref="C63:V63" si="7">COUNT(C6:C53)</f>
        <v>23</v>
      </c>
      <c r="D63" s="3">
        <f t="shared" si="7"/>
        <v>22</v>
      </c>
      <c r="E63" s="3">
        <f t="shared" si="7"/>
        <v>22</v>
      </c>
      <c r="F63" s="3">
        <f t="shared" si="7"/>
        <v>24</v>
      </c>
      <c r="G63" s="3">
        <f t="shared" si="7"/>
        <v>24</v>
      </c>
      <c r="H63" s="3">
        <f t="shared" si="7"/>
        <v>23</v>
      </c>
      <c r="I63" s="3">
        <f t="shared" si="7"/>
        <v>24</v>
      </c>
      <c r="J63" s="3">
        <f t="shared" si="7"/>
        <v>24</v>
      </c>
      <c r="K63" s="3">
        <f t="shared" si="7"/>
        <v>24</v>
      </c>
      <c r="L63" s="3">
        <f t="shared" si="7"/>
        <v>23</v>
      </c>
      <c r="M63" s="3">
        <f t="shared" si="7"/>
        <v>23</v>
      </c>
      <c r="N63" s="3"/>
      <c r="O63" s="3">
        <f t="shared" si="7"/>
        <v>44</v>
      </c>
      <c r="P63" s="3">
        <f t="shared" si="7"/>
        <v>23</v>
      </c>
      <c r="Q63" s="3">
        <f t="shared" si="7"/>
        <v>24</v>
      </c>
      <c r="R63" s="3">
        <f t="shared" si="7"/>
        <v>24</v>
      </c>
      <c r="S63" s="3">
        <f t="shared" si="7"/>
        <v>23</v>
      </c>
      <c r="T63" s="3">
        <f t="shared" si="7"/>
        <v>24</v>
      </c>
      <c r="U63" s="3">
        <f t="shared" si="7"/>
        <v>24</v>
      </c>
      <c r="V63" s="3">
        <f t="shared" si="7"/>
        <v>24</v>
      </c>
    </row>
    <row r="64" spans="1:24" s="1" customFormat="1" ht="15" thickBot="1" x14ac:dyDescent="0.35">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6.4" thickBot="1" x14ac:dyDescent="0.35">
      <c r="A65" s="231" t="s">
        <v>58</v>
      </c>
      <c r="B65" s="232"/>
      <c r="C65" s="232"/>
      <c r="D65" s="232"/>
      <c r="E65" s="232"/>
      <c r="F65" s="232"/>
      <c r="G65" s="232"/>
      <c r="H65" s="232"/>
      <c r="I65" s="232"/>
      <c r="J65" s="232"/>
      <c r="K65" s="232"/>
      <c r="L65" s="232"/>
      <c r="M65" s="232"/>
      <c r="N65" s="232"/>
      <c r="O65" s="232"/>
      <c r="P65" s="232"/>
      <c r="Q65" s="232"/>
      <c r="R65" s="232"/>
      <c r="S65" s="232"/>
      <c r="T65" s="232"/>
      <c r="U65" s="232"/>
      <c r="V65" s="232"/>
    </row>
    <row r="66" spans="1:22" s="1" customFormat="1" x14ac:dyDescent="0.3">
      <c r="B66" s="1" t="s">
        <v>61</v>
      </c>
      <c r="C66" s="3"/>
      <c r="D66" s="3"/>
      <c r="E66" s="3"/>
      <c r="F66" s="3"/>
      <c r="G66" s="3"/>
      <c r="H66" s="3"/>
      <c r="I66" s="3"/>
      <c r="J66" s="3"/>
      <c r="K66" s="3"/>
      <c r="L66" s="3"/>
      <c r="M66" s="3"/>
      <c r="N66" s="3"/>
      <c r="O66" s="3"/>
      <c r="P66" s="3"/>
      <c r="Q66" s="3"/>
      <c r="R66" s="3"/>
      <c r="S66" s="3"/>
      <c r="T66" s="3"/>
      <c r="U66" s="3"/>
      <c r="V66" s="3"/>
    </row>
    <row r="67" spans="1:22" s="1" customFormat="1" x14ac:dyDescent="0.3">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3">
      <c r="A68" s="1" t="s">
        <v>62</v>
      </c>
      <c r="B68" s="3">
        <v>2</v>
      </c>
      <c r="C68" s="3"/>
      <c r="D68" s="3"/>
      <c r="E68" s="3"/>
      <c r="F68" s="3"/>
      <c r="G68" s="3"/>
      <c r="H68" s="3"/>
      <c r="I68" s="3"/>
      <c r="J68" s="3"/>
      <c r="K68" s="3"/>
      <c r="L68" s="3"/>
      <c r="M68" s="3"/>
      <c r="N68" s="3"/>
      <c r="O68" s="3"/>
      <c r="P68" s="3"/>
      <c r="Q68" s="3"/>
      <c r="R68" s="3"/>
      <c r="S68" s="3"/>
      <c r="T68" s="3"/>
      <c r="U68" s="3"/>
      <c r="V68" s="3"/>
    </row>
    <row r="69" spans="1:22" s="1" customFormat="1" ht="15" thickBot="1" x14ac:dyDescent="0.35">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6.4" thickBot="1" x14ac:dyDescent="0.35">
      <c r="A70" s="231" t="s">
        <v>53</v>
      </c>
      <c r="B70" s="232"/>
      <c r="C70" s="232"/>
      <c r="D70" s="232"/>
      <c r="E70" s="232"/>
      <c r="F70" s="232"/>
      <c r="G70" s="232"/>
      <c r="H70" s="232"/>
      <c r="I70" s="232"/>
      <c r="J70" s="232"/>
      <c r="K70" s="232"/>
      <c r="L70" s="232"/>
      <c r="M70" s="232"/>
      <c r="N70" s="232"/>
      <c r="O70" s="232"/>
      <c r="P70" s="232"/>
      <c r="Q70" s="232"/>
      <c r="R70" s="232"/>
      <c r="S70" s="232"/>
      <c r="T70" s="232"/>
      <c r="U70" s="232"/>
      <c r="V70" s="232"/>
    </row>
    <row r="71" spans="1:22" ht="15" thickBot="1" x14ac:dyDescent="0.35"/>
    <row r="72" spans="1:22" s="48" customFormat="1" ht="26.4" thickBot="1" x14ac:dyDescent="0.35">
      <c r="A72" s="231" t="s">
        <v>54</v>
      </c>
      <c r="B72" s="232"/>
      <c r="C72" s="232"/>
      <c r="D72" s="232"/>
      <c r="E72" s="232"/>
      <c r="F72" s="232"/>
      <c r="G72" s="232"/>
      <c r="H72" s="232"/>
      <c r="I72" s="232"/>
      <c r="J72" s="232"/>
      <c r="K72" s="232"/>
      <c r="L72" s="232"/>
      <c r="M72" s="232"/>
      <c r="N72" s="232"/>
      <c r="O72" s="232"/>
      <c r="P72" s="232"/>
      <c r="Q72" s="232"/>
      <c r="R72" s="232"/>
      <c r="S72" s="232"/>
      <c r="T72" s="232"/>
      <c r="U72" s="232"/>
      <c r="V72" s="232"/>
    </row>
    <row r="73" spans="1:22" ht="15" thickBot="1" x14ac:dyDescent="0.35">
      <c r="J73" s="3">
        <v>1</v>
      </c>
      <c r="K73" s="3">
        <v>2</v>
      </c>
      <c r="L73" s="3">
        <v>3</v>
      </c>
      <c r="M73" s="3">
        <v>4</v>
      </c>
      <c r="R73" s="3">
        <v>1</v>
      </c>
      <c r="S73" s="3">
        <v>2</v>
      </c>
      <c r="T73" s="3">
        <v>3</v>
      </c>
      <c r="U73" s="3">
        <v>4</v>
      </c>
      <c r="V73" s="3">
        <v>5</v>
      </c>
    </row>
    <row r="74" spans="1:22" s="1" customFormat="1" x14ac:dyDescent="0.3">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Arabinose-0.01mg/L</v>
      </c>
      <c r="J74" s="46" t="str">
        <f t="shared" si="9"/>
        <v>Arabinose-0.1mg/L</v>
      </c>
      <c r="K74" s="46" t="str">
        <f t="shared" si="9"/>
        <v>Arabinose-1mg/L</v>
      </c>
      <c r="L74" s="46" t="str">
        <f t="shared" si="9"/>
        <v>Arabinose-10mg/L</v>
      </c>
      <c r="M74" s="46" t="str">
        <f t="shared" si="9"/>
        <v>Arabinose-100mg/L</v>
      </c>
      <c r="N74" s="46"/>
      <c r="O74" s="46" t="str">
        <f t="shared" ref="O74:V74" si="10">O4</f>
        <v>Testo -30µg/L</v>
      </c>
      <c r="P74" s="46" t="str">
        <f t="shared" si="10"/>
        <v>Testo 30µg/L + EE2 -64ng/L</v>
      </c>
      <c r="Q74" s="46" t="str">
        <f t="shared" si="10"/>
        <v>Testo 30µg/L + FAD-10µg/L</v>
      </c>
      <c r="R74" s="46" t="str">
        <f t="shared" si="10"/>
        <v>Arabinose-0.01mg/L + Testostérone</v>
      </c>
      <c r="S74" s="46" t="str">
        <f t="shared" si="10"/>
        <v>Arabinose-0.1mg/L + Testostérone</v>
      </c>
      <c r="T74" s="46" t="str">
        <f t="shared" si="10"/>
        <v>Arabinose-1mg/L + Testostérone</v>
      </c>
      <c r="U74" s="46" t="str">
        <f t="shared" si="10"/>
        <v>Arabinose-10mg/L + Testostérone</v>
      </c>
      <c r="V74" s="46" t="str">
        <f t="shared" si="10"/>
        <v>Arabinose-100mg/L + Testostérone</v>
      </c>
    </row>
    <row r="75" spans="1:22" s="3" customFormat="1" x14ac:dyDescent="0.3">
      <c r="A75" s="61" t="s">
        <v>32</v>
      </c>
      <c r="B75" s="140">
        <f>B56</f>
        <v>6.6835683850314201E-2</v>
      </c>
      <c r="C75" s="140">
        <f t="shared" ref="C75:V75" si="11">C56</f>
        <v>0.10833196580680184</v>
      </c>
      <c r="D75" s="140">
        <f t="shared" si="11"/>
        <v>8.3680582458096647E-2</v>
      </c>
      <c r="E75" s="140">
        <f t="shared" si="11"/>
        <v>0.14783227144094574</v>
      </c>
      <c r="F75" s="140">
        <f t="shared" si="11"/>
        <v>0.57503175325247324</v>
      </c>
      <c r="G75" s="140">
        <f t="shared" si="11"/>
        <v>1.7063053012560461</v>
      </c>
      <c r="H75" s="140">
        <f t="shared" si="11"/>
        <v>3.2247881331846533</v>
      </c>
      <c r="I75" s="140">
        <f t="shared" si="11"/>
        <v>0.12340219541153614</v>
      </c>
      <c r="J75" s="140">
        <f t="shared" si="11"/>
        <v>0.11176703685679847</v>
      </c>
      <c r="K75" s="140">
        <f t="shared" si="11"/>
        <v>0.13358635856301154</v>
      </c>
      <c r="L75" s="140">
        <f t="shared" si="11"/>
        <v>0.10831278123935195</v>
      </c>
      <c r="M75" s="140">
        <f t="shared" si="11"/>
        <v>0.10585948756421013</v>
      </c>
      <c r="N75" s="140"/>
      <c r="O75" s="140">
        <f t="shared" si="11"/>
        <v>1</v>
      </c>
      <c r="P75" s="140">
        <f t="shared" si="11"/>
        <v>2.2042217725511128</v>
      </c>
      <c r="Q75" s="140">
        <f t="shared" si="11"/>
        <v>9.4711579822730138E-2</v>
      </c>
      <c r="R75" s="140">
        <f t="shared" si="11"/>
        <v>0.95836270321139272</v>
      </c>
      <c r="S75" s="140">
        <f t="shared" si="11"/>
        <v>0.77156898611622982</v>
      </c>
      <c r="T75" s="140">
        <f t="shared" si="11"/>
        <v>1.1205204183273734</v>
      </c>
      <c r="U75" s="140">
        <f t="shared" si="11"/>
        <v>1.173126239970862</v>
      </c>
      <c r="V75" s="140">
        <f t="shared" si="11"/>
        <v>1.0396782704095602</v>
      </c>
    </row>
    <row r="76" spans="1:22" s="3" customFormat="1" x14ac:dyDescent="0.3">
      <c r="A76" s="61" t="s">
        <v>2</v>
      </c>
      <c r="B76" s="140">
        <f>B58</f>
        <v>1.5169416279241347E-2</v>
      </c>
      <c r="C76" s="140">
        <f t="shared" ref="C76:V76" si="12">C58</f>
        <v>2.823176494525035E-2</v>
      </c>
      <c r="D76" s="140">
        <f t="shared" si="12"/>
        <v>1.3193054872104404E-2</v>
      </c>
      <c r="E76" s="140">
        <f t="shared" si="12"/>
        <v>3.7242770705030008E-2</v>
      </c>
      <c r="F76" s="140">
        <f t="shared" si="12"/>
        <v>9.2361212838219339E-2</v>
      </c>
      <c r="G76" s="140">
        <f t="shared" si="12"/>
        <v>0.1818037728950766</v>
      </c>
      <c r="H76" s="140">
        <f t="shared" si="12"/>
        <v>0.28792513886531623</v>
      </c>
      <c r="I76" s="140">
        <f t="shared" si="12"/>
        <v>5.286211272149189E-2</v>
      </c>
      <c r="J76" s="140">
        <f t="shared" si="12"/>
        <v>2.2287227345393398E-2</v>
      </c>
      <c r="K76" s="140">
        <f t="shared" si="12"/>
        <v>4.1503401161372612E-2</v>
      </c>
      <c r="L76" s="140">
        <f t="shared" si="12"/>
        <v>2.3781322289810967E-2</v>
      </c>
      <c r="M76" s="140">
        <f t="shared" si="12"/>
        <v>1.8945197165186469E-2</v>
      </c>
      <c r="N76" s="140"/>
      <c r="O76" s="140">
        <f t="shared" si="12"/>
        <v>8.3816358129649826E-2</v>
      </c>
      <c r="P76" s="140">
        <f t="shared" si="12"/>
        <v>0.20033832620271422</v>
      </c>
      <c r="Q76" s="140">
        <f t="shared" si="12"/>
        <v>1.8205467456226462E-2</v>
      </c>
      <c r="R76" s="140">
        <f t="shared" si="12"/>
        <v>0.14987592453388895</v>
      </c>
      <c r="S76" s="140">
        <f t="shared" si="12"/>
        <v>0.14407911331545858</v>
      </c>
      <c r="T76" s="140">
        <f t="shared" si="12"/>
        <v>0.1593588546410693</v>
      </c>
      <c r="U76" s="140">
        <f t="shared" si="12"/>
        <v>0.14060810845849137</v>
      </c>
      <c r="V76" s="140">
        <f t="shared" si="12"/>
        <v>0.12368281619207236</v>
      </c>
    </row>
    <row r="77" spans="1:22" s="3" customFormat="1" x14ac:dyDescent="0.3">
      <c r="A77" s="61" t="s">
        <v>79</v>
      </c>
      <c r="B77" s="140">
        <f>(B75*100/$B$75)-100</f>
        <v>0</v>
      </c>
      <c r="C77" s="140">
        <f t="shared" ref="C77:M77" si="13">(C75*100/$B$75)-100</f>
        <v>62.087016345075625</v>
      </c>
      <c r="D77" s="140">
        <f t="shared" si="13"/>
        <v>25.203450667922311</v>
      </c>
      <c r="E77" s="140">
        <f t="shared" si="13"/>
        <v>121.18763948317223</v>
      </c>
      <c r="F77" s="140">
        <f t="shared" si="13"/>
        <v>760.36637934358475</v>
      </c>
      <c r="G77" s="140">
        <f t="shared" si="13"/>
        <v>2452.985475659234</v>
      </c>
      <c r="H77" s="140">
        <f t="shared" si="13"/>
        <v>4724.949708612121</v>
      </c>
      <c r="I77" s="140">
        <f t="shared" si="13"/>
        <v>84.635195306610171</v>
      </c>
      <c r="J77" s="140">
        <f t="shared" si="13"/>
        <v>67.226592769085642</v>
      </c>
      <c r="K77" s="140">
        <f t="shared" si="13"/>
        <v>99.872808756161987</v>
      </c>
      <c r="L77" s="140">
        <f t="shared" si="13"/>
        <v>62.058312266139495</v>
      </c>
      <c r="M77" s="140">
        <f t="shared" si="13"/>
        <v>58.387677758028161</v>
      </c>
      <c r="N77" s="140"/>
      <c r="O77" s="140">
        <f t="shared" ref="O77:V77" si="14">(O75*100/$O$75)-100</f>
        <v>0</v>
      </c>
      <c r="P77" s="140">
        <f t="shared" si="14"/>
        <v>120.42217725511128</v>
      </c>
      <c r="Q77" s="140">
        <f t="shared" si="14"/>
        <v>-90.528842017726987</v>
      </c>
      <c r="R77" s="140">
        <f t="shared" si="14"/>
        <v>-4.163729678860733</v>
      </c>
      <c r="S77" s="140">
        <f t="shared" si="14"/>
        <v>-22.843101388377022</v>
      </c>
      <c r="T77" s="140">
        <f t="shared" si="14"/>
        <v>12.052041832737331</v>
      </c>
      <c r="U77" s="140">
        <f t="shared" si="14"/>
        <v>17.312623997086192</v>
      </c>
      <c r="V77" s="140">
        <f t="shared" si="14"/>
        <v>3.9678270409560241</v>
      </c>
    </row>
    <row r="78" spans="1:22" s="3" customFormat="1" x14ac:dyDescent="0.3">
      <c r="A78" s="61" t="s">
        <v>81</v>
      </c>
      <c r="B78" s="140" t="e">
        <f ca="1">[1]!DPTEST(B6:B53)</f>
        <v>#NAME?</v>
      </c>
      <c r="C78" s="140" t="e">
        <f ca="1">[1]!DPTEST(C6:C53)</f>
        <v>#NAME?</v>
      </c>
      <c r="D78" s="140" t="e">
        <f ca="1">[1]!DPTEST(D6:D53)</f>
        <v>#NAME?</v>
      </c>
      <c r="E78" s="140" t="e">
        <f ca="1">[1]!DPTEST(E6:E53)</f>
        <v>#NAME?</v>
      </c>
      <c r="F78" s="140" t="e">
        <f ca="1">[1]!DPTEST(F6:F53)</f>
        <v>#NAME?</v>
      </c>
      <c r="G78" s="140" t="e">
        <f ca="1">[1]!DPTEST(G6:G53)</f>
        <v>#NAME?</v>
      </c>
      <c r="H78" s="140" t="e">
        <f ca="1">[1]!DPTEST(H6:H53)</f>
        <v>#NAME?</v>
      </c>
      <c r="I78" s="140" t="e">
        <f ca="1">[1]!DPTEST(I6:I53)</f>
        <v>#NAME?</v>
      </c>
      <c r="J78" s="140" t="e">
        <f ca="1">[1]!DPTEST(J6:J53)</f>
        <v>#NAME?</v>
      </c>
      <c r="K78" s="140" t="e">
        <f ca="1">[1]!DPTEST(K6:K53)</f>
        <v>#NAME?</v>
      </c>
      <c r="L78" s="140" t="e">
        <f ca="1">[1]!DPTEST(L6:L53)</f>
        <v>#NAME?</v>
      </c>
      <c r="M78" s="140" t="e">
        <f ca="1">[1]!DPTEST(M6:M53)</f>
        <v>#NAME?</v>
      </c>
      <c r="N78" s="140"/>
      <c r="O78" s="140" t="e">
        <f ca="1">[1]!DPTEST(O6:O53)</f>
        <v>#NAME?</v>
      </c>
      <c r="P78" s="140" t="e">
        <f ca="1">[1]!DPTEST(P6:P53)</f>
        <v>#NAME?</v>
      </c>
      <c r="Q78" s="140" t="e">
        <f ca="1">[1]!DPTEST(Q6:Q53)</f>
        <v>#NAME?</v>
      </c>
      <c r="R78" s="140" t="e">
        <f ca="1">[1]!DPTEST(R6:R53)</f>
        <v>#NAME?</v>
      </c>
      <c r="S78" s="140" t="e">
        <f ca="1">[1]!DPTEST(S6:S53)</f>
        <v>#NAME?</v>
      </c>
      <c r="T78" s="140" t="e">
        <f ca="1">[1]!DPTEST(T6:T53)</f>
        <v>#NAME?</v>
      </c>
      <c r="U78" s="140" t="e">
        <f ca="1">[1]!DPTEST(U6:U53)</f>
        <v>#NAME?</v>
      </c>
      <c r="V78" s="140" t="e">
        <f ca="1">[1]!DPTEST(V6:V53)</f>
        <v>#NAME?</v>
      </c>
    </row>
    <row r="79" spans="1:22" s="3" customFormat="1" x14ac:dyDescent="0.3">
      <c r="A79" s="61" t="s">
        <v>85</v>
      </c>
      <c r="B79" s="140" t="e">
        <f ca="1">IF(B78&gt;0.05,"Oui","Non")</f>
        <v>#NAME?</v>
      </c>
      <c r="C79" s="140" t="e">
        <f t="shared" ref="C79:V79" ca="1" si="15">IF(C78&gt;0.05,"Oui","Non")</f>
        <v>#NAME?</v>
      </c>
      <c r="D79" s="140" t="e">
        <f t="shared" ca="1" si="15"/>
        <v>#NAME?</v>
      </c>
      <c r="E79" s="140" t="e">
        <f t="shared" ca="1" si="15"/>
        <v>#NAME?</v>
      </c>
      <c r="F79" s="140" t="e">
        <f t="shared" ca="1" si="15"/>
        <v>#NAME?</v>
      </c>
      <c r="G79" s="140" t="e">
        <f t="shared" ca="1" si="15"/>
        <v>#NAME?</v>
      </c>
      <c r="H79" s="140" t="e">
        <f t="shared" ca="1" si="15"/>
        <v>#NAME?</v>
      </c>
      <c r="I79" s="140" t="e">
        <f t="shared" ca="1" si="15"/>
        <v>#NAME?</v>
      </c>
      <c r="J79" s="140" t="e">
        <f t="shared" ca="1" si="15"/>
        <v>#NAME?</v>
      </c>
      <c r="K79" s="140" t="e">
        <f t="shared" ca="1" si="15"/>
        <v>#NAME?</v>
      </c>
      <c r="L79" s="140" t="e">
        <f t="shared" ca="1" si="15"/>
        <v>#NAME?</v>
      </c>
      <c r="M79" s="140" t="e">
        <f t="shared" ca="1" si="15"/>
        <v>#NAME?</v>
      </c>
      <c r="N79" s="140"/>
      <c r="O79" s="140" t="e">
        <f t="shared" ca="1" si="15"/>
        <v>#NAME?</v>
      </c>
      <c r="P79" s="140" t="e">
        <f t="shared" ca="1" si="15"/>
        <v>#NAME?</v>
      </c>
      <c r="Q79" s="140" t="e">
        <f t="shared" ca="1" si="15"/>
        <v>#NAME?</v>
      </c>
      <c r="R79" s="140" t="e">
        <f t="shared" ca="1" si="15"/>
        <v>#NAME?</v>
      </c>
      <c r="S79" s="140" t="e">
        <f t="shared" ca="1" si="15"/>
        <v>#NAME?</v>
      </c>
      <c r="T79" s="140" t="e">
        <f t="shared" ca="1" si="15"/>
        <v>#NAME?</v>
      </c>
      <c r="U79" s="140" t="e">
        <f t="shared" ca="1" si="15"/>
        <v>#NAME?</v>
      </c>
      <c r="V79" s="140" t="e">
        <f t="shared" ca="1" si="15"/>
        <v>#NAME?</v>
      </c>
    </row>
    <row r="80" spans="1:22" s="3" customFormat="1" x14ac:dyDescent="0.3">
      <c r="A80" s="61" t="s">
        <v>122</v>
      </c>
      <c r="B80" s="140"/>
      <c r="C80" s="140"/>
      <c r="D80" s="140"/>
      <c r="E80" s="140"/>
      <c r="F80" s="140"/>
      <c r="G80" s="140"/>
      <c r="H80" s="140"/>
      <c r="I80" s="140"/>
      <c r="J80" s="140"/>
      <c r="K80" s="140"/>
      <c r="L80" s="140"/>
      <c r="M80" s="140"/>
      <c r="N80" s="140"/>
      <c r="O80" s="140"/>
      <c r="P80" s="140"/>
      <c r="Q80" s="140"/>
      <c r="R80" s="140"/>
      <c r="S80" s="140"/>
      <c r="T80" s="140"/>
      <c r="U80" s="140"/>
      <c r="V80" s="140"/>
    </row>
    <row r="81" spans="1:22" s="3" customFormat="1" x14ac:dyDescent="0.3">
      <c r="A81" s="61" t="s">
        <v>82</v>
      </c>
      <c r="B81" s="140"/>
      <c r="C81" s="140" t="s">
        <v>4192</v>
      </c>
      <c r="D81" s="140" t="s">
        <v>4192</v>
      </c>
      <c r="E81" s="140" t="s">
        <v>4192</v>
      </c>
      <c r="F81" s="140" t="s">
        <v>4192</v>
      </c>
      <c r="G81" s="140" t="s">
        <v>4192</v>
      </c>
      <c r="H81" s="140" t="s">
        <v>4192</v>
      </c>
      <c r="I81" s="140" t="s">
        <v>4192</v>
      </c>
      <c r="J81" s="140" t="s">
        <v>4192</v>
      </c>
      <c r="K81" s="140" t="s">
        <v>4192</v>
      </c>
      <c r="L81" s="140" t="s">
        <v>4192</v>
      </c>
      <c r="M81" s="140" t="s">
        <v>4192</v>
      </c>
      <c r="N81" s="140"/>
      <c r="O81" s="140" t="e">
        <f ca="1">IF($B79="Non",IF(O79="Non","Mann Withney",IF(O79="Oui","Mann Withney","")),IF($B79="Oui",IF(O79="Oui","T-Test Welch",IF(O79="Non","Mann Withney",""))))</f>
        <v>#NAME?</v>
      </c>
      <c r="P81" s="140" t="e">
        <f t="shared" ref="P81:Q81" ca="1" si="16">IF($O79="Non",IF(P79="Non","Mann Withney",IF(P$79="Oui","Mann Withney","")),IF($O79="Oui",IF(P79="Oui","T-Test Welch",IF(P79="Non","Mann Withney",""))))</f>
        <v>#NAME?</v>
      </c>
      <c r="Q81" s="140" t="e">
        <f t="shared" ca="1" si="16"/>
        <v>#NAME?</v>
      </c>
      <c r="R81" s="140" t="s">
        <v>4192</v>
      </c>
      <c r="S81" s="140" t="s">
        <v>4192</v>
      </c>
      <c r="T81" s="140" t="s">
        <v>4192</v>
      </c>
      <c r="U81" s="140" t="s">
        <v>4192</v>
      </c>
      <c r="V81" s="140" t="s">
        <v>4192</v>
      </c>
    </row>
    <row r="82" spans="1:22" s="3" customFormat="1" x14ac:dyDescent="0.3">
      <c r="A82" s="61" t="s">
        <v>83</v>
      </c>
      <c r="B82" s="140"/>
      <c r="C82" s="140" t="s">
        <v>4189</v>
      </c>
      <c r="D82" s="140" t="s">
        <v>4189</v>
      </c>
      <c r="E82" s="140">
        <v>0.74</v>
      </c>
      <c r="F82" s="140" t="s">
        <v>4191</v>
      </c>
      <c r="G82" s="140" t="s">
        <v>4191</v>
      </c>
      <c r="H82" s="140" t="s">
        <v>4191</v>
      </c>
      <c r="I82" s="140" t="s">
        <v>4189</v>
      </c>
      <c r="J82" s="140">
        <v>0.44</v>
      </c>
      <c r="K82" s="140" t="s">
        <v>4189</v>
      </c>
      <c r="L82" s="140">
        <v>0.49</v>
      </c>
      <c r="M82" s="140">
        <v>0.38</v>
      </c>
      <c r="N82" s="140"/>
      <c r="O82" s="140" t="e">
        <f ca="1">IF(O81="Mann Withney",[1]!MTEST($B6:$B53,O6:O53,2), IF(O81="T-Test Welch",_xlfn.T.TEST($B6:$B53,O6:O53,2,3),""))</f>
        <v>#NAME?</v>
      </c>
      <c r="P82" s="140" t="e">
        <f ca="1">IF(P81="Mann Withney",[1]!MTEST($O6:$O53,P6:P53,2), IF(P81="T-Test Welch",_xlfn.T.TEST($O6:$O53,P6:P53,2,3),""))</f>
        <v>#NAME?</v>
      </c>
      <c r="Q82" s="140" t="e">
        <f ca="1">IF(Q81="Mann Withney",[1]!MTEST($O6:$O53,Q6:Q53,2), IF(Q81="T-Test Welch",_xlfn.T.TEST($O6:$O53,Q6:Q53,2,3),""))</f>
        <v>#NAME?</v>
      </c>
      <c r="R82" s="140" t="s">
        <v>4189</v>
      </c>
      <c r="S82" s="140">
        <v>0.37</v>
      </c>
      <c r="T82" s="140" t="s">
        <v>4189</v>
      </c>
      <c r="U82" s="140" t="s">
        <v>4189</v>
      </c>
      <c r="V82" s="140" t="s">
        <v>4189</v>
      </c>
    </row>
    <row r="83" spans="1:22" s="3" customFormat="1" ht="15" thickBot="1" x14ac:dyDescent="0.35">
      <c r="A83" s="62" t="s">
        <v>84</v>
      </c>
      <c r="B83" s="141"/>
      <c r="C83" s="141" t="s">
        <v>4188</v>
      </c>
      <c r="D83" s="141" t="s">
        <v>4188</v>
      </c>
      <c r="E83" s="141" t="s">
        <v>4188</v>
      </c>
      <c r="F83" s="141" t="s">
        <v>4190</v>
      </c>
      <c r="G83" s="141" t="s">
        <v>4190</v>
      </c>
      <c r="H83" s="141" t="s">
        <v>4190</v>
      </c>
      <c r="I83" s="141" t="s">
        <v>4188</v>
      </c>
      <c r="J83" s="141" t="s">
        <v>4188</v>
      </c>
      <c r="K83" s="141" t="s">
        <v>4188</v>
      </c>
      <c r="L83" s="141" t="s">
        <v>4188</v>
      </c>
      <c r="M83" s="141" t="s">
        <v>4188</v>
      </c>
      <c r="N83" s="141"/>
      <c r="O83" s="141" t="e">
        <f t="shared" ref="O83" ca="1" si="17">IF(O82&gt;0.05,"NS",IF(O82&gt;0.01,"*",IF(O82&gt;0.001,"**","***")))</f>
        <v>#NAME?</v>
      </c>
      <c r="P83" s="141" t="e">
        <f t="shared" ref="P83" ca="1" si="18">IF(P82&gt;0.05,"NS",IF(P82&gt;0.01,"*",IF(P82&gt;0.001,"**","***")))</f>
        <v>#NAME?</v>
      </c>
      <c r="Q83" s="141" t="e">
        <f t="shared" ref="Q83" ca="1" si="19">IF(Q82&gt;0.05,"NS",IF(Q82&gt;0.01,"*",IF(Q82&gt;0.001,"**","***")))</f>
        <v>#NAME?</v>
      </c>
      <c r="R83" s="141" t="s">
        <v>4188</v>
      </c>
      <c r="S83" s="141" t="s">
        <v>4188</v>
      </c>
      <c r="T83" s="141" t="s">
        <v>4188</v>
      </c>
      <c r="U83" s="141" t="s">
        <v>4188</v>
      </c>
      <c r="V83" s="141" t="s">
        <v>4188</v>
      </c>
    </row>
    <row r="84" spans="1:22" s="1" customFormat="1" x14ac:dyDescent="0.3"/>
    <row r="85" spans="1:22" s="1" customFormat="1" x14ac:dyDescent="0.3">
      <c r="A85" s="2" t="s">
        <v>39</v>
      </c>
    </row>
    <row r="86" spans="1:22" x14ac:dyDescent="0.3">
      <c r="A86" s="1" t="s">
        <v>23</v>
      </c>
      <c r="B86" s="1">
        <f>B56+(3*B57)</f>
        <v>0.28508557819703056</v>
      </c>
    </row>
    <row r="87" spans="1:22" x14ac:dyDescent="0.3">
      <c r="A87" s="1" t="s">
        <v>24</v>
      </c>
      <c r="B87" s="1">
        <f>B56+(10*B57)</f>
        <v>0.79433533167270209</v>
      </c>
    </row>
    <row r="88" spans="1:22" ht="15" thickBot="1" x14ac:dyDescent="0.35"/>
    <row r="89" spans="1:22" s="48" customFormat="1" ht="26.4" thickBot="1" x14ac:dyDescent="0.35">
      <c r="A89" s="49" t="s">
        <v>55</v>
      </c>
      <c r="B89" s="50"/>
      <c r="C89" s="50"/>
      <c r="D89" s="50"/>
      <c r="E89" s="50"/>
      <c r="F89" s="50"/>
      <c r="G89" s="50"/>
      <c r="H89" s="50"/>
      <c r="I89" s="50"/>
      <c r="J89" s="50"/>
      <c r="K89" s="50"/>
      <c r="L89" s="50"/>
      <c r="M89" s="50"/>
      <c r="N89" s="50"/>
      <c r="O89" s="50"/>
      <c r="P89" s="50"/>
      <c r="Q89" s="50"/>
      <c r="R89" s="50"/>
      <c r="S89" s="50"/>
      <c r="T89" s="50"/>
      <c r="U89" s="50"/>
      <c r="V89" s="50"/>
    </row>
    <row r="90" spans="1:22" ht="15" thickBot="1" x14ac:dyDescent="0.35"/>
    <row r="91" spans="1:22" s="48" customFormat="1" ht="26.4" thickBot="1" x14ac:dyDescent="0.35">
      <c r="A91" s="49" t="s">
        <v>56</v>
      </c>
      <c r="B91" s="50"/>
      <c r="C91" s="50"/>
      <c r="D91" s="50"/>
      <c r="E91" s="50"/>
      <c r="F91" s="50"/>
      <c r="G91" s="50"/>
      <c r="H91" s="50"/>
      <c r="I91" s="50"/>
      <c r="J91" s="50"/>
      <c r="K91" s="50"/>
      <c r="L91" s="50"/>
      <c r="M91" s="50"/>
      <c r="N91" s="50"/>
      <c r="O91" s="50"/>
      <c r="P91" s="50"/>
      <c r="Q91" s="50"/>
      <c r="R91" s="50"/>
      <c r="S91" s="50"/>
      <c r="T91" s="50"/>
      <c r="U91" s="50"/>
      <c r="V91" s="50"/>
    </row>
    <row r="92" spans="1:22" ht="15" thickBot="1" x14ac:dyDescent="0.35"/>
    <row r="93" spans="1:22" s="48" customFormat="1" ht="26.4" thickBot="1" x14ac:dyDescent="0.35">
      <c r="A93" s="231" t="s">
        <v>57</v>
      </c>
      <c r="B93" s="232"/>
      <c r="C93" s="232"/>
      <c r="D93" s="232"/>
      <c r="E93" s="232"/>
      <c r="F93" s="232"/>
      <c r="G93" s="232"/>
      <c r="H93" s="232"/>
      <c r="I93" s="232"/>
      <c r="J93" s="232"/>
      <c r="K93" s="232"/>
      <c r="L93" s="232"/>
      <c r="M93" s="232"/>
      <c r="N93" s="232"/>
      <c r="O93" s="232"/>
      <c r="P93" s="232"/>
      <c r="Q93" s="232"/>
      <c r="R93" s="232"/>
      <c r="S93" s="232"/>
      <c r="T93" s="232"/>
      <c r="U93" s="232"/>
      <c r="V93" s="232"/>
    </row>
    <row r="109" spans="6:29" x14ac:dyDescent="0.3">
      <c r="I109" s="193"/>
      <c r="J109" s="193"/>
      <c r="K109" s="193"/>
      <c r="L109" s="193"/>
      <c r="M109" s="193"/>
      <c r="N109" s="193"/>
      <c r="O109" s="193"/>
      <c r="P109" s="193"/>
      <c r="Q109" s="193"/>
      <c r="R109" s="193"/>
      <c r="S109" s="193"/>
      <c r="T109" s="193"/>
      <c r="U109" s="193"/>
      <c r="V109" s="193"/>
      <c r="W109" s="193"/>
      <c r="X109" s="193"/>
      <c r="Y109" s="193"/>
      <c r="Z109" s="193"/>
      <c r="AA109" s="193"/>
      <c r="AB109" s="193"/>
      <c r="AC109" s="193"/>
    </row>
    <row r="110" spans="6:29" x14ac:dyDescent="0.3">
      <c r="F110" s="193"/>
      <c r="G110" s="193"/>
      <c r="I110" s="193"/>
      <c r="J110" s="193"/>
      <c r="K110" s="193"/>
      <c r="L110" s="193"/>
      <c r="M110" s="193"/>
      <c r="N110" s="193"/>
      <c r="O110" s="193"/>
      <c r="P110" s="193"/>
      <c r="Q110" s="193"/>
      <c r="R110" s="193"/>
      <c r="S110" s="193"/>
      <c r="T110" s="193"/>
      <c r="U110" s="193"/>
      <c r="V110" s="193"/>
      <c r="W110" s="193"/>
      <c r="X110" s="193"/>
      <c r="Y110" s="193"/>
      <c r="Z110" s="193"/>
      <c r="AA110" s="193"/>
      <c r="AB110" s="193"/>
      <c r="AC110" s="193"/>
    </row>
    <row r="111" spans="6:29" x14ac:dyDescent="0.3">
      <c r="F111" s="193"/>
      <c r="G111" s="193"/>
    </row>
    <row r="112" spans="6:29" x14ac:dyDescent="0.3">
      <c r="F112" s="193"/>
      <c r="G112" s="193"/>
    </row>
    <row r="113" spans="6:7" x14ac:dyDescent="0.3">
      <c r="F113" s="193"/>
      <c r="G113" s="193"/>
    </row>
    <row r="114" spans="6:7" x14ac:dyDescent="0.3">
      <c r="F114" s="193"/>
      <c r="G114" s="193"/>
    </row>
    <row r="115" spans="6:7" x14ac:dyDescent="0.3">
      <c r="F115" s="193"/>
      <c r="G115" s="193"/>
    </row>
    <row r="116" spans="6:7" x14ac:dyDescent="0.3">
      <c r="F116" s="193"/>
      <c r="G116" s="193"/>
    </row>
    <row r="117" spans="6:7" x14ac:dyDescent="0.3">
      <c r="F117" s="193"/>
      <c r="G117" s="193"/>
    </row>
    <row r="118" spans="6:7" x14ac:dyDescent="0.3">
      <c r="F118" s="193"/>
      <c r="G118" s="193"/>
    </row>
    <row r="119" spans="6:7" x14ac:dyDescent="0.3">
      <c r="F119" s="193"/>
      <c r="G119" s="193"/>
    </row>
    <row r="120" spans="6:7" x14ac:dyDescent="0.3">
      <c r="F120" s="193"/>
      <c r="G120" s="193"/>
    </row>
    <row r="126" spans="6:7" x14ac:dyDescent="0.3">
      <c r="F126" s="193"/>
      <c r="G126" s="193"/>
    </row>
    <row r="127" spans="6:7" x14ac:dyDescent="0.3">
      <c r="F127" s="193"/>
      <c r="G127" s="193"/>
    </row>
    <row r="128" spans="6:7" x14ac:dyDescent="0.3">
      <c r="F128" s="193"/>
      <c r="G128" s="193"/>
    </row>
    <row r="129" spans="6:7" x14ac:dyDescent="0.3">
      <c r="F129" s="193"/>
      <c r="G129" s="193"/>
    </row>
    <row r="130" spans="6:7" x14ac:dyDescent="0.3">
      <c r="F130" s="193"/>
      <c r="G130" s="193"/>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defaultColWidth="9.21875" defaultRowHeight="14.4" x14ac:dyDescent="0.3"/>
  <cols>
    <col min="1" max="1" width="33.77734375" style="41" bestFit="1" customWidth="1"/>
    <col min="2" max="3" width="14" style="41" bestFit="1" customWidth="1"/>
    <col min="4" max="4" width="14" style="41" customWidth="1"/>
    <col min="5" max="5" width="16" style="15" bestFit="1" customWidth="1"/>
    <col min="6" max="8" width="16" style="15" customWidth="1"/>
    <col min="9" max="13" width="19.21875" style="15" customWidth="1"/>
    <col min="14" max="14" width="32.21875" style="15" bestFit="1" customWidth="1"/>
    <col min="15" max="15" width="19.5546875" style="41" customWidth="1"/>
    <col min="16" max="16384" width="9.21875" style="41"/>
  </cols>
  <sheetData>
    <row r="1" spans="1:15" s="48" customFormat="1" ht="26.4" thickBot="1" x14ac:dyDescent="0.35">
      <c r="A1" s="231" t="s">
        <v>104</v>
      </c>
      <c r="B1" s="232"/>
      <c r="C1" s="232"/>
      <c r="D1" s="232"/>
      <c r="E1" s="232"/>
      <c r="F1" s="232"/>
      <c r="G1" s="232"/>
      <c r="H1" s="232"/>
      <c r="I1" s="232"/>
      <c r="J1" s="232"/>
      <c r="K1" s="232"/>
      <c r="L1" s="232"/>
      <c r="M1" s="232"/>
      <c r="N1" s="232"/>
      <c r="O1" s="233"/>
    </row>
    <row r="2" spans="1:15" s="48" customFormat="1" ht="26.4" thickBot="1" x14ac:dyDescent="0.35">
      <c r="A2" s="231" t="s">
        <v>105</v>
      </c>
      <c r="B2" s="232"/>
      <c r="C2" s="232"/>
      <c r="D2" s="232"/>
      <c r="E2" s="232"/>
      <c r="F2" s="232"/>
      <c r="G2" s="232"/>
      <c r="H2" s="232"/>
      <c r="I2" s="232"/>
      <c r="J2" s="232"/>
      <c r="K2" s="232"/>
      <c r="L2" s="232"/>
      <c r="M2" s="232"/>
      <c r="N2" s="232"/>
      <c r="O2" s="233"/>
    </row>
    <row r="3" spans="1:15" s="76" customFormat="1" ht="15.6" x14ac:dyDescent="0.3">
      <c r="H3" s="77"/>
      <c r="I3" s="77"/>
      <c r="J3" s="77"/>
      <c r="K3" s="77"/>
      <c r="L3" s="77"/>
      <c r="M3" s="77"/>
      <c r="N3" s="77"/>
    </row>
    <row r="4" spans="1:15" s="76" customFormat="1" ht="15.6" x14ac:dyDescent="0.3">
      <c r="O4"/>
    </row>
    <row r="5" spans="1:15" s="76" customFormat="1" ht="45.75" customHeight="1" thickBot="1" x14ac:dyDescent="0.35">
      <c r="A5" s="78"/>
      <c r="B5" s="87" t="s">
        <v>25</v>
      </c>
      <c r="C5" s="87" t="s">
        <v>26</v>
      </c>
      <c r="D5" s="87" t="s">
        <v>27</v>
      </c>
      <c r="E5" s="88" t="s">
        <v>64</v>
      </c>
      <c r="F5" s="125" t="s">
        <v>80</v>
      </c>
      <c r="G5" s="94" t="s">
        <v>42</v>
      </c>
      <c r="H5" s="94" t="s">
        <v>65</v>
      </c>
      <c r="I5" s="94" t="s">
        <v>66</v>
      </c>
      <c r="J5" s="95" t="s">
        <v>77</v>
      </c>
      <c r="K5" s="95" t="s">
        <v>67</v>
      </c>
      <c r="L5" s="96" t="s">
        <v>76</v>
      </c>
      <c r="M5" s="96" t="s">
        <v>68</v>
      </c>
      <c r="N5" s="96" t="s">
        <v>69</v>
      </c>
      <c r="O5"/>
    </row>
    <row r="6" spans="1:15" s="76" customFormat="1" ht="15.6" x14ac:dyDescent="0.3">
      <c r="A6" s="79" t="s">
        <v>28</v>
      </c>
      <c r="B6" s="99">
        <v>64</v>
      </c>
      <c r="C6" s="79"/>
      <c r="D6" s="79"/>
      <c r="E6" s="89"/>
      <c r="F6" s="90"/>
      <c r="G6" s="127">
        <f>IF(F6="NS","NC",ROUND(B6,2-(1+INT(LOG10(ABS(B6))))))</f>
        <v>64</v>
      </c>
      <c r="H6" s="119"/>
      <c r="I6" s="119"/>
      <c r="J6" s="120"/>
      <c r="K6" s="121"/>
      <c r="L6" s="123"/>
      <c r="M6" s="120"/>
      <c r="N6" s="91"/>
      <c r="O6"/>
    </row>
    <row r="7" spans="1:15" s="76" customFormat="1" ht="15.6" x14ac:dyDescent="0.3">
      <c r="A7" s="79" t="str">
        <f>'Page de garde'!A15</f>
        <v>Arabinose-0.01mg/L</v>
      </c>
      <c r="B7" s="98"/>
      <c r="C7" s="80"/>
      <c r="D7" s="80"/>
      <c r="E7" s="81"/>
      <c r="F7" s="97" t="str">
        <f>HLOOKUP(A7,'pooled normalised values'!$B$74:$V$83,10,FALSE)</f>
        <v>ns</v>
      </c>
      <c r="G7" s="127" t="str">
        <f>IF(F7="NS","NC",ROUND(B7,2-(1+INT(LOG10(ABS(B7))))))</f>
        <v>NC</v>
      </c>
      <c r="H7" s="118" t="str">
        <f>IF(VLOOKUP(A7,liste_groupe[],4,FALSE)="%",VLOOKUP(A7,liste_groupe[],3,FALSE)/100,IF(ISBLANK(VLOOKUP(A7,liste_groupe[],4,FALSE)),"Non","Non"))</f>
        <v>Non</v>
      </c>
      <c r="I7" s="127" t="str">
        <f>IF(F7="NS","NC",IF(H7="Non",G7,G7*(1/H7)))</f>
        <v>NC</v>
      </c>
      <c r="J7" s="128">
        <v>64</v>
      </c>
      <c r="K7" s="129">
        <f>IF(F7="NS",0,ROUND(I7/J7*100,0))</f>
        <v>0</v>
      </c>
      <c r="L7" s="124">
        <v>1</v>
      </c>
      <c r="M7" s="130">
        <f>IF(K7&gt;100,125,K7)</f>
        <v>0</v>
      </c>
      <c r="N7" s="92" t="str">
        <f>IF(H7="Non",CONCATENATE(VLOOKUP(A7,liste_groupe[],5,FALSE),"-",VLOOKUP(A7,liste_groupe[],3,FALSE),VLOOKUP(A7,liste_groupe[],4,FALSE)," : ",ROUND(K7,0),"%"),CONCATENATE(VLOOKUP(A7,liste_groupe[],5,FALSE)," : ",ROUND(K7,0),"%"))</f>
        <v>Arabinose-0.01mg/L : 0%</v>
      </c>
      <c r="O7"/>
    </row>
    <row r="8" spans="1:15" s="76" customFormat="1" ht="15.6" x14ac:dyDescent="0.3">
      <c r="A8" s="79" t="str">
        <f>'Page de garde'!A16</f>
        <v>Arabinose-0.1mg/L</v>
      </c>
      <c r="B8" s="98"/>
      <c r="C8" s="82"/>
      <c r="D8" s="80"/>
      <c r="E8" s="81"/>
      <c r="F8" s="97" t="str">
        <f>HLOOKUP(A8,'pooled normalised values'!$B$74:$V$83,10,FALSE)</f>
        <v>ns</v>
      </c>
      <c r="G8" s="127" t="str">
        <f t="shared" ref="G8:G13" si="0">IF(F8="NS","NC",ROUND(B8,2-(1+INT(LOG10(ABS(B8))))))</f>
        <v>NC</v>
      </c>
      <c r="H8" s="118" t="str">
        <f>IF(VLOOKUP(A8,liste_groupe[],4,FALSE)="%",VLOOKUP(A8,liste_groupe[],3,FALSE)/100,IF(ISBLANK(VLOOKUP(A8,liste_groupe[],4,FALSE)),"Non","Non"))</f>
        <v>Non</v>
      </c>
      <c r="I8" s="127" t="str">
        <f t="shared" ref="I8:I26" si="1">IF(F8="NS","NC",IF(H8="Non",G8,G8*(1/H8)))</f>
        <v>NC</v>
      </c>
      <c r="J8" s="128">
        <v>64</v>
      </c>
      <c r="K8" s="129">
        <f t="shared" ref="K8:K26" si="2">IF(F8="NS",0,ROUND(I8/J8*100,0))</f>
        <v>0</v>
      </c>
      <c r="L8" s="124"/>
      <c r="M8" s="130">
        <f t="shared" ref="M8:M26" si="3">IF(K8&gt;100,125,K8)</f>
        <v>0</v>
      </c>
      <c r="N8" s="92" t="str">
        <f>IF(H8="Non",CONCATENATE(VLOOKUP(A8,liste_groupe[],5,FALSE),"-",VLOOKUP(A8,liste_groupe[],3,FALSE),VLOOKUP(A8,liste_groupe[],4,FALSE)," : ",ROUND(K8,0),"%"),CONCATENATE(VLOOKUP(A8,liste_groupe[],5,FALSE)," : ",ROUND(K8,0),"%"))</f>
        <v>Arabinose-0.1mg/L : 0%</v>
      </c>
      <c r="O8"/>
    </row>
    <row r="9" spans="1:15" s="76" customFormat="1" ht="15.6" x14ac:dyDescent="0.3">
      <c r="A9" s="79" t="str">
        <f>'Page de garde'!A17</f>
        <v>Arabinose-1mg/L</v>
      </c>
      <c r="B9" s="98"/>
      <c r="C9" s="82"/>
      <c r="D9" s="80"/>
      <c r="E9" s="81"/>
      <c r="F9" s="97" t="str">
        <f>HLOOKUP(A9,'pooled normalised values'!$B$74:$V$83,10,FALSE)</f>
        <v>ns</v>
      </c>
      <c r="G9" s="127" t="str">
        <f t="shared" si="0"/>
        <v>NC</v>
      </c>
      <c r="H9" s="118" t="str">
        <f>IF(VLOOKUP(A9,liste_groupe[],4,FALSE)="%",VLOOKUP(A9,liste_groupe[],3,FALSE)/100,IF(ISBLANK(VLOOKUP(A9,liste_groupe[],4,FALSE)),"Non","Non"))</f>
        <v>Non</v>
      </c>
      <c r="I9" s="127" t="str">
        <f t="shared" si="1"/>
        <v>NC</v>
      </c>
      <c r="J9" s="128">
        <v>64</v>
      </c>
      <c r="K9" s="129">
        <f t="shared" si="2"/>
        <v>0</v>
      </c>
      <c r="L9" s="124"/>
      <c r="M9" s="130">
        <f t="shared" si="3"/>
        <v>0</v>
      </c>
      <c r="N9" s="92" t="str">
        <f>IF(H9="Non",CONCATENATE(VLOOKUP(A9,liste_groupe[],5,FALSE),"-",VLOOKUP(A9,liste_groupe[],3,FALSE),VLOOKUP(A9,liste_groupe[],4,FALSE)," : ",ROUND(K9,0),"%"),CONCATENATE(VLOOKUP(A9,liste_groupe[],5,FALSE)," : ",ROUND(K9,0),"%"))</f>
        <v>Arabinose-1mg/L : 0%</v>
      </c>
      <c r="O9"/>
    </row>
    <row r="10" spans="1:15" s="76" customFormat="1" ht="15.6" x14ac:dyDescent="0.3">
      <c r="A10" s="79" t="str">
        <f>'Page de garde'!A18</f>
        <v>Arabinose-10mg/L</v>
      </c>
      <c r="B10" s="99"/>
      <c r="C10" s="79"/>
      <c r="D10" s="84"/>
      <c r="E10" s="81"/>
      <c r="F10" s="97" t="str">
        <f>HLOOKUP(A10,'pooled normalised values'!$B$74:$V$83,10,FALSE)</f>
        <v>ns</v>
      </c>
      <c r="G10" s="127" t="str">
        <f t="shared" si="0"/>
        <v>NC</v>
      </c>
      <c r="H10" s="118" t="str">
        <f>IF(VLOOKUP(A10,liste_groupe[],4,FALSE)="%",VLOOKUP(A10,liste_groupe[],3,FALSE)/100,IF(ISBLANK(VLOOKUP(A10,liste_groupe[],4,FALSE)),"Non","Non"))</f>
        <v>Non</v>
      </c>
      <c r="I10" s="127" t="str">
        <f t="shared" si="1"/>
        <v>NC</v>
      </c>
      <c r="J10" s="128">
        <v>64</v>
      </c>
      <c r="K10" s="129">
        <f t="shared" si="2"/>
        <v>0</v>
      </c>
      <c r="L10" s="124"/>
      <c r="M10" s="130">
        <f t="shared" si="3"/>
        <v>0</v>
      </c>
      <c r="N10" s="92" t="str">
        <f>IF(H10="Non",CONCATENATE(VLOOKUP(A10,liste_groupe[],5,FALSE),"-",VLOOKUP(A10,liste_groupe[],3,FALSE),VLOOKUP(A10,liste_groupe[],4,FALSE)," : ",ROUND(K10,0),"%"),CONCATENATE(VLOOKUP(A10,liste_groupe[],5,FALSE)," : ",ROUND(K10,0),"%"))</f>
        <v>Arabinose-10mg/L : 0%</v>
      </c>
      <c r="O10"/>
    </row>
    <row r="11" spans="1:15" s="76" customFormat="1" ht="15.6" x14ac:dyDescent="0.3">
      <c r="A11" s="79" t="str">
        <f>'Page de garde'!A19</f>
        <v>Arabinose-100mg/L</v>
      </c>
      <c r="B11" s="99"/>
      <c r="C11" s="79"/>
      <c r="D11" s="84"/>
      <c r="E11" s="81"/>
      <c r="F11" s="97" t="str">
        <f>HLOOKUP(A11,'pooled normalised values'!$B$74:$V$83,10,FALSE)</f>
        <v>ns</v>
      </c>
      <c r="G11" s="127" t="str">
        <f t="shared" si="0"/>
        <v>NC</v>
      </c>
      <c r="H11" s="118" t="str">
        <f>IF(VLOOKUP(A11,liste_groupe[],4,FALSE)="%",VLOOKUP(A11,liste_groupe[],3,FALSE)/100,IF(ISBLANK(VLOOKUP(A11,liste_groupe[],4,FALSE)),"Non","Non"))</f>
        <v>Non</v>
      </c>
      <c r="I11" s="127" t="str">
        <f t="shared" si="1"/>
        <v>NC</v>
      </c>
      <c r="J11" s="128">
        <v>64</v>
      </c>
      <c r="K11" s="129">
        <f t="shared" si="2"/>
        <v>0</v>
      </c>
      <c r="L11" s="124"/>
      <c r="M11" s="130">
        <f t="shared" si="3"/>
        <v>0</v>
      </c>
      <c r="N11" s="92" t="str">
        <f>IF(H11="Non",CONCATENATE(VLOOKUP(A11,liste_groupe[],5,FALSE),"-",VLOOKUP(A11,liste_groupe[],3,FALSE),VLOOKUP(A11,liste_groupe[],4,FALSE)," : ",ROUND(K11,0),"%"),CONCATENATE(VLOOKUP(A11,liste_groupe[],5,FALSE)," : ",ROUND(K11,0),"%"))</f>
        <v>Arabinose-100mg/L : 0%</v>
      </c>
      <c r="O11"/>
    </row>
    <row r="12" spans="1:15" s="76" customFormat="1" ht="15.6" x14ac:dyDescent="0.3">
      <c r="A12" s="79" t="str">
        <f>'Page de garde'!A20</f>
        <v xml:space="preserve"> </v>
      </c>
      <c r="B12" s="99"/>
      <c r="C12" s="79"/>
      <c r="D12" s="84"/>
      <c r="E12" s="81"/>
      <c r="F12" s="97" t="e">
        <f>HLOOKUP(A12,'pooled normalised values'!$B$74:$V$83,10,FALSE)</f>
        <v>#N/A</v>
      </c>
      <c r="G12" s="127" t="e">
        <f t="shared" si="0"/>
        <v>#N/A</v>
      </c>
      <c r="H12" s="118" t="str">
        <f>IF(VLOOKUP(A12,liste_groupe[],4,FALSE)="%",VLOOKUP(A12,liste_groupe[],3,FALSE)/100,IF(ISBLANK(VLOOKUP(A12,liste_groupe[],4,FALSE)),"Non","Non"))</f>
        <v>Non</v>
      </c>
      <c r="I12" s="127" t="e">
        <f t="shared" si="1"/>
        <v>#N/A</v>
      </c>
      <c r="J12" s="128">
        <v>64</v>
      </c>
      <c r="K12" s="129" t="e">
        <f t="shared" si="2"/>
        <v>#N/A</v>
      </c>
      <c r="L12" s="124"/>
      <c r="M12" s="130" t="e">
        <f t="shared" si="3"/>
        <v>#N/A</v>
      </c>
      <c r="N12" s="92" t="e">
        <f>IF(H12="Non",CONCATENATE(VLOOKUP(A12,liste_groupe[],5,FALSE),"-",VLOOKUP(A12,liste_groupe[],3,FALSE),VLOOKUP(A12,liste_groupe[],4,FALSE)," : ",ROUND(K12,0),"%"),CONCATENATE(VLOOKUP(A12,liste_groupe[],5,FALSE)," : ",ROUND(K12,0),"%"))</f>
        <v>#N/A</v>
      </c>
      <c r="O12"/>
    </row>
    <row r="13" spans="1:15" s="76" customFormat="1" ht="15.6" x14ac:dyDescent="0.3">
      <c r="A13" s="79" t="str">
        <f>'Page de garde'!A21</f>
        <v xml:space="preserve"> </v>
      </c>
      <c r="B13" s="99"/>
      <c r="C13" s="79"/>
      <c r="D13" s="79"/>
      <c r="E13" s="81"/>
      <c r="F13" s="97" t="e">
        <f>HLOOKUP(A13,'pooled normalised values'!$B$74:$V$83,10,FALSE)</f>
        <v>#N/A</v>
      </c>
      <c r="G13" s="127" t="e">
        <f t="shared" si="0"/>
        <v>#N/A</v>
      </c>
      <c r="H13" s="118" t="str">
        <f>IF(VLOOKUP(A13,liste_groupe[],4,FALSE)="%",VLOOKUP(A13,liste_groupe[],3,FALSE)/100,IF(ISBLANK(VLOOKUP(A13,liste_groupe[],4,FALSE)),"Non","Non"))</f>
        <v>Non</v>
      </c>
      <c r="I13" s="127" t="e">
        <f t="shared" si="1"/>
        <v>#N/A</v>
      </c>
      <c r="J13" s="128">
        <v>64</v>
      </c>
      <c r="K13" s="129" t="e">
        <f t="shared" si="2"/>
        <v>#N/A</v>
      </c>
      <c r="L13" s="124"/>
      <c r="M13" s="130" t="e">
        <f t="shared" si="3"/>
        <v>#N/A</v>
      </c>
      <c r="N13" s="92" t="e">
        <f>IF(H13="Non",CONCATENATE(VLOOKUP(A13,liste_groupe[],5,FALSE),"-",VLOOKUP(A13,liste_groupe[],3,FALSE),VLOOKUP(A13,liste_groupe[],4,FALSE)," : ",ROUND(K13,0),"%"),CONCATENATE(VLOOKUP(A13,liste_groupe[],5,FALSE)," : ",ROUND(K13,0),"%"))</f>
        <v>#N/A</v>
      </c>
      <c r="O13"/>
    </row>
    <row r="14" spans="1:15" s="76" customFormat="1" ht="15.6" x14ac:dyDescent="0.3">
      <c r="A14" s="79" t="str">
        <f>'Page de garde'!A22</f>
        <v xml:space="preserve"> </v>
      </c>
      <c r="B14" s="99"/>
      <c r="C14" s="79"/>
      <c r="D14" s="79"/>
      <c r="E14" s="81"/>
      <c r="F14" s="97" t="e">
        <f>HLOOKUP(A14,'pooled normalised values'!$B$74:$V$83,10,FALSE)</f>
        <v>#N/A</v>
      </c>
      <c r="G14" s="127" t="e">
        <f t="shared" ref="G14:G25" si="4">IF(F14="NS","NC",ROUND(B14,2-(1+INT(LOG10(ABS(B14))))))</f>
        <v>#N/A</v>
      </c>
      <c r="H14" s="118" t="str">
        <f>IF(VLOOKUP(A14,liste_groupe[],4,FALSE)="%",VLOOKUP(A14,liste_groupe[],3,FALSE)/100,IF(ISBLANK(VLOOKUP(A14,liste_groupe[],4,FALSE)),"Non","Non"))</f>
        <v>Non</v>
      </c>
      <c r="I14" s="127" t="e">
        <f t="shared" si="1"/>
        <v>#N/A</v>
      </c>
      <c r="J14" s="128">
        <v>64</v>
      </c>
      <c r="K14" s="129" t="e">
        <f t="shared" si="2"/>
        <v>#N/A</v>
      </c>
      <c r="L14" s="124"/>
      <c r="M14" s="130" t="e">
        <f t="shared" si="3"/>
        <v>#N/A</v>
      </c>
      <c r="N14" s="92" t="e">
        <f>IF(H14="Non",CONCATENATE(VLOOKUP(A14,liste_groupe[],5,FALSE),"-",VLOOKUP(A14,liste_groupe[],3,FALSE),VLOOKUP(A14,liste_groupe[],4,FALSE)," : ",ROUND(K14,0),"%"),CONCATENATE(VLOOKUP(A14,liste_groupe[],5,FALSE)," : ",ROUND(K14,0),"%"))</f>
        <v>#N/A</v>
      </c>
      <c r="O14" s="1"/>
    </row>
    <row r="15" spans="1:15" s="76" customFormat="1" ht="15.6" x14ac:dyDescent="0.3">
      <c r="A15" s="79" t="str">
        <f>'Page de garde'!A23</f>
        <v xml:space="preserve"> </v>
      </c>
      <c r="B15" s="99"/>
      <c r="C15" s="79"/>
      <c r="D15" s="79"/>
      <c r="E15" s="81"/>
      <c r="F15" s="97" t="e">
        <f>HLOOKUP(A15,'pooled normalised values'!$B$74:$V$83,10,FALSE)</f>
        <v>#N/A</v>
      </c>
      <c r="G15" s="127" t="e">
        <f t="shared" si="4"/>
        <v>#N/A</v>
      </c>
      <c r="H15" s="118" t="str">
        <f>IF(VLOOKUP(A15,liste_groupe[],4,FALSE)="%",VLOOKUP(A15,liste_groupe[],3,FALSE)/100,IF(ISBLANK(VLOOKUP(A15,liste_groupe[],4,FALSE)),"Non","Non"))</f>
        <v>Non</v>
      </c>
      <c r="I15" s="127" t="e">
        <f t="shared" si="1"/>
        <v>#N/A</v>
      </c>
      <c r="J15" s="128">
        <v>64</v>
      </c>
      <c r="K15" s="129" t="e">
        <f t="shared" si="2"/>
        <v>#N/A</v>
      </c>
      <c r="L15" s="124"/>
      <c r="M15" s="130" t="e">
        <f t="shared" si="3"/>
        <v>#N/A</v>
      </c>
      <c r="N15" s="92" t="e">
        <f>IF(H15="Non",CONCATENATE(VLOOKUP(A15,liste_groupe[],5,FALSE),"-",VLOOKUP(A15,liste_groupe[],3,FALSE),VLOOKUP(A15,liste_groupe[],4,FALSE)," : ",ROUND(K15,0),"%"),CONCATENATE(VLOOKUP(A15,liste_groupe[],5,FALSE)," : ",ROUND(K15,0),"%"))</f>
        <v>#N/A</v>
      </c>
      <c r="O15" s="1"/>
    </row>
    <row r="16" spans="1:15" s="76" customFormat="1" ht="15.6" x14ac:dyDescent="0.3">
      <c r="A16" s="79" t="str">
        <f>'Page de garde'!A24</f>
        <v xml:space="preserve"> </v>
      </c>
      <c r="B16" s="99"/>
      <c r="C16" s="79"/>
      <c r="D16" s="79"/>
      <c r="E16" s="81"/>
      <c r="F16" s="97" t="e">
        <f>HLOOKUP(A16,'pooled normalised values'!$B$74:$V$83,10,FALSE)</f>
        <v>#N/A</v>
      </c>
      <c r="G16" s="127" t="e">
        <f t="shared" si="4"/>
        <v>#N/A</v>
      </c>
      <c r="H16" s="118" t="str">
        <f>IF(VLOOKUP(A16,liste_groupe[],4,FALSE)="%",VLOOKUP(A16,liste_groupe[],3,FALSE)/100,IF(ISBLANK(VLOOKUP(A16,liste_groupe[],4,FALSE)),"Non","Non"))</f>
        <v>Non</v>
      </c>
      <c r="I16" s="127" t="e">
        <f t="shared" si="1"/>
        <v>#N/A</v>
      </c>
      <c r="J16" s="128">
        <v>64</v>
      </c>
      <c r="K16" s="129" t="e">
        <f t="shared" si="2"/>
        <v>#N/A</v>
      </c>
      <c r="L16" s="124"/>
      <c r="M16" s="130" t="e">
        <f t="shared" si="3"/>
        <v>#N/A</v>
      </c>
      <c r="N16" s="92" t="e">
        <f>IF(H16="Non",CONCATENATE(VLOOKUP(A16,liste_groupe[],5,FALSE),"-",VLOOKUP(A16,liste_groupe[],3,FALSE),VLOOKUP(A16,liste_groupe[],4,FALSE)," : ",ROUND(K16,0),"%"),CONCATENATE(VLOOKUP(A16,liste_groupe[],5,FALSE)," : ",ROUND(K16,0),"%"))</f>
        <v>#N/A</v>
      </c>
      <c r="O16" s="1"/>
    </row>
    <row r="17" spans="1:15" s="76" customFormat="1" ht="15.6" x14ac:dyDescent="0.3">
      <c r="A17" s="79" t="str">
        <f>'Page de garde'!A25</f>
        <v xml:space="preserve"> </v>
      </c>
      <c r="B17" s="99"/>
      <c r="C17" s="79"/>
      <c r="D17" s="79"/>
      <c r="E17" s="81"/>
      <c r="F17" s="97" t="e">
        <f>HLOOKUP(A17,'pooled normalised values'!$B$74:$V$83,10,FALSE)</f>
        <v>#N/A</v>
      </c>
      <c r="G17" s="127" t="e">
        <f t="shared" si="4"/>
        <v>#N/A</v>
      </c>
      <c r="H17" s="118" t="str">
        <f>IF(VLOOKUP(A17,liste_groupe[],4,FALSE)="%",VLOOKUP(A17,liste_groupe[],3,FALSE)/100,IF(ISBLANK(VLOOKUP(A17,liste_groupe[],4,FALSE)),"Non","Non"))</f>
        <v>Non</v>
      </c>
      <c r="I17" s="127" t="e">
        <f t="shared" si="1"/>
        <v>#N/A</v>
      </c>
      <c r="J17" s="128">
        <v>64</v>
      </c>
      <c r="K17" s="129" t="e">
        <f t="shared" si="2"/>
        <v>#N/A</v>
      </c>
      <c r="L17" s="124"/>
      <c r="M17" s="130" t="e">
        <f t="shared" si="3"/>
        <v>#N/A</v>
      </c>
      <c r="N17" s="92" t="e">
        <f>IF(H17="Non",CONCATENATE(VLOOKUP(A17,liste_groupe[],5,FALSE),"-",VLOOKUP(A17,liste_groupe[],3,FALSE),VLOOKUP(A17,liste_groupe[],4,FALSE)," : ",ROUND(K17,0),"%"),CONCATENATE(VLOOKUP(A17,liste_groupe[],5,FALSE)," : ",ROUND(K17,0),"%"))</f>
        <v>#N/A</v>
      </c>
      <c r="O17" s="1"/>
    </row>
    <row r="18" spans="1:15" s="76" customFormat="1" ht="15.6" x14ac:dyDescent="0.3">
      <c r="A18" s="79" t="str">
        <f>'Page de garde'!A26</f>
        <v xml:space="preserve"> </v>
      </c>
      <c r="B18" s="99"/>
      <c r="C18" s="79"/>
      <c r="D18" s="79"/>
      <c r="E18" s="81"/>
      <c r="F18" s="97" t="e">
        <f>HLOOKUP(A18,'pooled normalised values'!$B$74:$V$83,10,FALSE)</f>
        <v>#N/A</v>
      </c>
      <c r="G18" s="127" t="e">
        <f t="shared" si="4"/>
        <v>#N/A</v>
      </c>
      <c r="H18" s="118" t="str">
        <f>IF(VLOOKUP(A18,liste_groupe[],4,FALSE)="%",VLOOKUP(A18,liste_groupe[],3,FALSE)/100,IF(ISBLANK(VLOOKUP(A18,liste_groupe[],4,FALSE)),"Non","Non"))</f>
        <v>Non</v>
      </c>
      <c r="I18" s="127" t="e">
        <f t="shared" si="1"/>
        <v>#N/A</v>
      </c>
      <c r="J18" s="128">
        <v>64</v>
      </c>
      <c r="K18" s="129" t="e">
        <f t="shared" si="2"/>
        <v>#N/A</v>
      </c>
      <c r="L18" s="124"/>
      <c r="M18" s="130" t="e">
        <f t="shared" si="3"/>
        <v>#N/A</v>
      </c>
      <c r="N18" s="92" t="e">
        <f>IF(H18="Non",CONCATENATE(VLOOKUP(A18,liste_groupe[],5,FALSE),"-",VLOOKUP(A18,liste_groupe[],3,FALSE),VLOOKUP(A18,liste_groupe[],4,FALSE)," : ",ROUND(K18,0),"%"),CONCATENATE(VLOOKUP(A18,liste_groupe[],5,FALSE)," : ",ROUND(K18,0),"%"))</f>
        <v>#N/A</v>
      </c>
      <c r="O18" s="1"/>
    </row>
    <row r="19" spans="1:15" s="76" customFormat="1" ht="15.6" x14ac:dyDescent="0.3">
      <c r="A19" s="79" t="str">
        <f>'Page de garde'!A27</f>
        <v xml:space="preserve"> </v>
      </c>
      <c r="B19" s="99"/>
      <c r="C19" s="79"/>
      <c r="D19" s="79"/>
      <c r="E19" s="81"/>
      <c r="F19" s="97" t="e">
        <f>HLOOKUP(A19,'pooled normalised values'!$B$74:$V$83,10,FALSE)</f>
        <v>#N/A</v>
      </c>
      <c r="G19" s="127" t="e">
        <f t="shared" si="4"/>
        <v>#N/A</v>
      </c>
      <c r="H19" s="118" t="str">
        <f>IF(VLOOKUP(A19,liste_groupe[],4,FALSE)="%",VLOOKUP(A19,liste_groupe[],3,FALSE)/100,IF(ISBLANK(VLOOKUP(A19,liste_groupe[],4,FALSE)),"Non","Non"))</f>
        <v>Non</v>
      </c>
      <c r="I19" s="127" t="e">
        <f t="shared" si="1"/>
        <v>#N/A</v>
      </c>
      <c r="J19" s="128">
        <v>64</v>
      </c>
      <c r="K19" s="129" t="e">
        <f t="shared" si="2"/>
        <v>#N/A</v>
      </c>
      <c r="L19" s="124"/>
      <c r="M19" s="130" t="e">
        <f t="shared" si="3"/>
        <v>#N/A</v>
      </c>
      <c r="N19" s="92" t="e">
        <f>IF(H19="Non",CONCATENATE(VLOOKUP(A19,liste_groupe[],5,FALSE),"-",VLOOKUP(A19,liste_groupe[],3,FALSE),VLOOKUP(A19,liste_groupe[],4,FALSE)," : ",ROUND(K19,0),"%"),CONCATENATE(VLOOKUP(A19,liste_groupe[],5,FALSE)," : ",ROUND(K19,0),"%"))</f>
        <v>#N/A</v>
      </c>
      <c r="O19" s="1"/>
    </row>
    <row r="20" spans="1:15" s="76" customFormat="1" ht="15.6" x14ac:dyDescent="0.3">
      <c r="A20" s="79" t="str">
        <f>'Page de garde'!A28</f>
        <v xml:space="preserve"> </v>
      </c>
      <c r="B20" s="99"/>
      <c r="C20" s="79"/>
      <c r="D20" s="79"/>
      <c r="E20" s="81"/>
      <c r="F20" s="97" t="e">
        <f>HLOOKUP(A20,'pooled normalised values'!$B$74:$V$83,10,FALSE)</f>
        <v>#N/A</v>
      </c>
      <c r="G20" s="127" t="e">
        <f t="shared" si="4"/>
        <v>#N/A</v>
      </c>
      <c r="H20" s="118" t="str">
        <f>IF(VLOOKUP(A20,liste_groupe[],4,FALSE)="%",VLOOKUP(A20,liste_groupe[],3,FALSE)/100,IF(ISBLANK(VLOOKUP(A20,liste_groupe[],4,FALSE)),"Non","Non"))</f>
        <v>Non</v>
      </c>
      <c r="I20" s="127" t="e">
        <f t="shared" si="1"/>
        <v>#N/A</v>
      </c>
      <c r="J20" s="128">
        <v>64</v>
      </c>
      <c r="K20" s="129" t="e">
        <f t="shared" si="2"/>
        <v>#N/A</v>
      </c>
      <c r="L20" s="124"/>
      <c r="M20" s="130" t="e">
        <f t="shared" si="3"/>
        <v>#N/A</v>
      </c>
      <c r="N20" s="92" t="e">
        <f>IF(H20="Non",CONCATENATE(VLOOKUP(A20,liste_groupe[],5,FALSE),"-",VLOOKUP(A20,liste_groupe[],3,FALSE),VLOOKUP(A20,liste_groupe[],4,FALSE)," : ",ROUND(K20,0),"%"),CONCATENATE(VLOOKUP(A20,liste_groupe[],5,FALSE)," : ",ROUND(K20,0),"%"))</f>
        <v>#N/A</v>
      </c>
      <c r="O20" s="1"/>
    </row>
    <row r="21" spans="1:15" s="76" customFormat="1" ht="15.6" x14ac:dyDescent="0.3">
      <c r="A21" s="79" t="str">
        <f>'Page de garde'!A29</f>
        <v xml:space="preserve"> </v>
      </c>
      <c r="B21" s="99"/>
      <c r="C21" s="79"/>
      <c r="D21" s="79"/>
      <c r="E21" s="81"/>
      <c r="F21" s="97" t="e">
        <f>HLOOKUP(A21,'pooled normalised values'!$B$74:$V$83,10,FALSE)</f>
        <v>#N/A</v>
      </c>
      <c r="G21" s="127" t="e">
        <f t="shared" si="4"/>
        <v>#N/A</v>
      </c>
      <c r="H21" s="118" t="str">
        <f>IF(VLOOKUP(A21,liste_groupe[],4,FALSE)="%",VLOOKUP(A21,liste_groupe[],3,FALSE)/100,IF(ISBLANK(VLOOKUP(A21,liste_groupe[],4,FALSE)),"Non","Non"))</f>
        <v>Non</v>
      </c>
      <c r="I21" s="127" t="e">
        <f t="shared" si="1"/>
        <v>#N/A</v>
      </c>
      <c r="J21" s="128">
        <v>64</v>
      </c>
      <c r="K21" s="129" t="e">
        <f t="shared" si="2"/>
        <v>#N/A</v>
      </c>
      <c r="L21" s="124"/>
      <c r="M21" s="130" t="e">
        <f t="shared" si="3"/>
        <v>#N/A</v>
      </c>
      <c r="N21" s="92" t="e">
        <f>IF(H21="Non",CONCATENATE(VLOOKUP(A21,liste_groupe[],5,FALSE),"-",VLOOKUP(A21,liste_groupe[],3,FALSE),VLOOKUP(A21,liste_groupe[],4,FALSE)," : ",ROUND(K21,0),"%"),CONCATENATE(VLOOKUP(A21,liste_groupe[],5,FALSE)," : ",ROUND(K21,0),"%"))</f>
        <v>#N/A</v>
      </c>
      <c r="O21" s="1"/>
    </row>
    <row r="22" spans="1:15" s="76" customFormat="1" ht="15.6" x14ac:dyDescent="0.3">
      <c r="A22" s="79" t="str">
        <f>'Page de garde'!A30</f>
        <v xml:space="preserve"> </v>
      </c>
      <c r="B22" s="99"/>
      <c r="C22" s="79"/>
      <c r="D22" s="79"/>
      <c r="E22" s="81"/>
      <c r="F22" s="97" t="e">
        <f>HLOOKUP(A22,'pooled normalised values'!$B$74:$V$83,10,FALSE)</f>
        <v>#N/A</v>
      </c>
      <c r="G22" s="127" t="e">
        <f t="shared" si="4"/>
        <v>#N/A</v>
      </c>
      <c r="H22" s="118" t="str">
        <f>IF(VLOOKUP(A22,liste_groupe[],4,FALSE)="%",VLOOKUP(A22,liste_groupe[],3,FALSE)/100,IF(ISBLANK(VLOOKUP(A22,liste_groupe[],4,FALSE)),"Non","Non"))</f>
        <v>Non</v>
      </c>
      <c r="I22" s="127" t="e">
        <f t="shared" si="1"/>
        <v>#N/A</v>
      </c>
      <c r="J22" s="128">
        <v>64</v>
      </c>
      <c r="K22" s="129" t="e">
        <f t="shared" si="2"/>
        <v>#N/A</v>
      </c>
      <c r="L22" s="124"/>
      <c r="M22" s="130" t="e">
        <f t="shared" si="3"/>
        <v>#N/A</v>
      </c>
      <c r="N22" s="92" t="e">
        <f>IF(H22="Non",CONCATENATE(VLOOKUP(A22,liste_groupe[],5,FALSE),"-",VLOOKUP(A22,liste_groupe[],3,FALSE),VLOOKUP(A22,liste_groupe[],4,FALSE)," : ",ROUND(K22,0),"%"),CONCATENATE(VLOOKUP(A22,liste_groupe[],5,FALSE)," : ",ROUND(K22,0),"%"))</f>
        <v>#N/A</v>
      </c>
      <c r="O22" s="1"/>
    </row>
    <row r="23" spans="1:15" s="76" customFormat="1" ht="15.6" x14ac:dyDescent="0.3">
      <c r="A23" s="79" t="str">
        <f>'Page de garde'!A31</f>
        <v xml:space="preserve"> </v>
      </c>
      <c r="B23" s="99"/>
      <c r="C23" s="79"/>
      <c r="D23" s="79"/>
      <c r="E23" s="81"/>
      <c r="F23" s="97" t="e">
        <f>HLOOKUP(A23,'pooled normalised values'!$B$74:$V$83,10,FALSE)</f>
        <v>#N/A</v>
      </c>
      <c r="G23" s="127" t="e">
        <f t="shared" si="4"/>
        <v>#N/A</v>
      </c>
      <c r="H23" s="118" t="str">
        <f>IF(VLOOKUP(A23,liste_groupe[],4,FALSE)="%",VLOOKUP(A23,liste_groupe[],3,FALSE)/100,IF(ISBLANK(VLOOKUP(A23,liste_groupe[],4,FALSE)),"Non","Non"))</f>
        <v>Non</v>
      </c>
      <c r="I23" s="127" t="e">
        <f t="shared" si="1"/>
        <v>#N/A</v>
      </c>
      <c r="J23" s="128">
        <v>64</v>
      </c>
      <c r="K23" s="129" t="e">
        <f t="shared" si="2"/>
        <v>#N/A</v>
      </c>
      <c r="L23" s="124"/>
      <c r="M23" s="130" t="e">
        <f t="shared" si="3"/>
        <v>#N/A</v>
      </c>
      <c r="N23" s="92" t="e">
        <f>IF(H23="Non",CONCATENATE(VLOOKUP(A23,liste_groupe[],5,FALSE),"-",VLOOKUP(A23,liste_groupe[],3,FALSE),VLOOKUP(A23,liste_groupe[],4,FALSE)," : ",ROUND(K23,0),"%"),CONCATENATE(VLOOKUP(A23,liste_groupe[],5,FALSE)," : ",ROUND(K23,0),"%"))</f>
        <v>#N/A</v>
      </c>
      <c r="O23" s="1"/>
    </row>
    <row r="24" spans="1:15" s="76" customFormat="1" ht="15.6" x14ac:dyDescent="0.3">
      <c r="A24" s="79" t="str">
        <f>'Page de garde'!A32</f>
        <v xml:space="preserve"> </v>
      </c>
      <c r="B24" s="99"/>
      <c r="C24" s="79"/>
      <c r="D24" s="79"/>
      <c r="E24" s="81"/>
      <c r="F24" s="97" t="e">
        <f>HLOOKUP(A24,'pooled normalised values'!$B$74:$V$83,10,FALSE)</f>
        <v>#N/A</v>
      </c>
      <c r="G24" s="127" t="e">
        <f t="shared" si="4"/>
        <v>#N/A</v>
      </c>
      <c r="H24" s="118" t="str">
        <f>IF(VLOOKUP(A24,liste_groupe[],4,FALSE)="%",VLOOKUP(A24,liste_groupe[],3,FALSE)/100,IF(ISBLANK(VLOOKUP(A24,liste_groupe[],4,FALSE)),"Non","Non"))</f>
        <v>Non</v>
      </c>
      <c r="I24" s="127" t="e">
        <f t="shared" si="1"/>
        <v>#N/A</v>
      </c>
      <c r="J24" s="128">
        <v>64</v>
      </c>
      <c r="K24" s="129" t="e">
        <f t="shared" si="2"/>
        <v>#N/A</v>
      </c>
      <c r="L24" s="124"/>
      <c r="M24" s="130" t="e">
        <f t="shared" si="3"/>
        <v>#N/A</v>
      </c>
      <c r="N24" s="92" t="e">
        <f>IF(H24="Non",CONCATENATE(VLOOKUP(A24,liste_groupe[],5,FALSE),"-",VLOOKUP(A24,liste_groupe[],3,FALSE),VLOOKUP(A24,liste_groupe[],4,FALSE)," : ",ROUND(K24,0),"%"),CONCATENATE(VLOOKUP(A24,liste_groupe[],5,FALSE)," : ",ROUND(K24,0),"%"))</f>
        <v>#N/A</v>
      </c>
      <c r="O24" s="1"/>
    </row>
    <row r="25" spans="1:15" s="76" customFormat="1" ht="15.6" x14ac:dyDescent="0.3">
      <c r="A25" s="79" t="str">
        <f>'Page de garde'!A33</f>
        <v xml:space="preserve"> </v>
      </c>
      <c r="B25" s="99"/>
      <c r="C25" s="79"/>
      <c r="D25" s="79"/>
      <c r="E25" s="81"/>
      <c r="F25" s="97" t="e">
        <f>HLOOKUP(A25,'pooled normalised values'!$B$74:$V$83,10,FALSE)</f>
        <v>#N/A</v>
      </c>
      <c r="G25" s="127" t="e">
        <f t="shared" si="4"/>
        <v>#N/A</v>
      </c>
      <c r="H25" s="118" t="str">
        <f>IF(VLOOKUP(A25,liste_groupe[],4,FALSE)="%",VLOOKUP(A25,liste_groupe[],3,FALSE)/100,IF(ISBLANK(VLOOKUP(A25,liste_groupe[],4,FALSE)),"Non","Non"))</f>
        <v>Non</v>
      </c>
      <c r="I25" s="127" t="e">
        <f t="shared" si="1"/>
        <v>#N/A</v>
      </c>
      <c r="J25" s="128">
        <v>64</v>
      </c>
      <c r="K25" s="129" t="e">
        <f t="shared" si="2"/>
        <v>#N/A</v>
      </c>
      <c r="L25" s="124"/>
      <c r="M25" s="130" t="e">
        <f t="shared" si="3"/>
        <v>#N/A</v>
      </c>
      <c r="N25" s="92" t="e">
        <f>IF(H25="Non",CONCATENATE(VLOOKUP(A25,liste_groupe[],5,FALSE),"-",VLOOKUP(A25,liste_groupe[],3,FALSE),VLOOKUP(A25,liste_groupe[],4,FALSE)," : ",ROUND(K25,0),"%"),CONCATENATE(VLOOKUP(A25,liste_groupe[],5,FALSE)," : ",ROUND(K25,0),"%"))</f>
        <v>#N/A</v>
      </c>
      <c r="O25" s="1"/>
    </row>
    <row r="26" spans="1:15" s="76" customFormat="1" ht="15.6" x14ac:dyDescent="0.3">
      <c r="A26" s="79" t="str">
        <f>'Page de garde'!A34</f>
        <v xml:space="preserve"> </v>
      </c>
      <c r="B26" s="98"/>
      <c r="C26" s="85"/>
      <c r="D26" s="85"/>
      <c r="E26" s="81"/>
      <c r="F26" s="97" t="e">
        <f>HLOOKUP(A26,'pooled normalised values'!$B$74:$V$83,10,FALSE)</f>
        <v>#N/A</v>
      </c>
      <c r="G26" s="127" t="e">
        <f t="shared" ref="G26" si="5">IF(F26="NS","NC",ROUND(B26,2-(1+INT(LOG10(ABS(B26))))))</f>
        <v>#N/A</v>
      </c>
      <c r="H26" s="118" t="str">
        <f>IF(VLOOKUP(A26,liste_groupe[],4,FALSE)="%",VLOOKUP(A26,liste_groupe[],3,FALSE)/100,IF(ISBLANK(VLOOKUP(A26,liste_groupe[],4,FALSE)),"Non","Non"))</f>
        <v>Non</v>
      </c>
      <c r="I26" s="127" t="e">
        <f t="shared" si="1"/>
        <v>#N/A</v>
      </c>
      <c r="J26" s="128">
        <v>64</v>
      </c>
      <c r="K26" s="129" t="e">
        <f t="shared" si="2"/>
        <v>#N/A</v>
      </c>
      <c r="L26" s="124"/>
      <c r="M26" s="130" t="e">
        <f t="shared" si="3"/>
        <v>#N/A</v>
      </c>
      <c r="N26" s="92" t="e">
        <f>IF(H26="Non",CONCATENATE(VLOOKUP(A26,liste_groupe[],5,FALSE),"-",VLOOKUP(A26,liste_groupe[],3,FALSE),VLOOKUP(A26,liste_groupe[],4,FALSE)," : ",ROUND(K26,0),"%"),CONCATENATE(VLOOKUP(A26,liste_groupe[],5,FALSE)," : ",ROUND(K26,0),"%"))</f>
        <v>#N/A</v>
      </c>
      <c r="O26"/>
    </row>
    <row r="27" spans="1:15" s="76" customFormat="1" ht="15.6" x14ac:dyDescent="0.3">
      <c r="A27"/>
      <c r="B27"/>
      <c r="C27"/>
      <c r="D27"/>
      <c r="E27"/>
      <c r="F27"/>
      <c r="G27"/>
      <c r="H27"/>
      <c r="I27"/>
      <c r="J27"/>
      <c r="K27"/>
      <c r="L27"/>
      <c r="M27"/>
      <c r="N27"/>
      <c r="O27" s="1"/>
    </row>
    <row r="28" spans="1:15" s="76" customFormat="1" ht="31.8" thickBot="1" x14ac:dyDescent="0.35">
      <c r="A28"/>
      <c r="B28" s="87" t="s">
        <v>25</v>
      </c>
      <c r="C28" s="87" t="s">
        <v>26</v>
      </c>
      <c r="D28" s="87" t="s">
        <v>27</v>
      </c>
      <c r="E28" s="88" t="s">
        <v>64</v>
      </c>
      <c r="F28" s="125" t="s">
        <v>80</v>
      </c>
      <c r="G28" s="94" t="s">
        <v>42</v>
      </c>
      <c r="H28" s="94" t="s">
        <v>65</v>
      </c>
      <c r="I28" s="94" t="s">
        <v>66</v>
      </c>
      <c r="J28" s="95" t="s">
        <v>77</v>
      </c>
      <c r="K28" s="95" t="s">
        <v>67</v>
      </c>
      <c r="L28" s="96" t="s">
        <v>76</v>
      </c>
      <c r="M28" s="96" t="s">
        <v>68</v>
      </c>
      <c r="N28" s="96" t="s">
        <v>69</v>
      </c>
      <c r="O28" s="1"/>
    </row>
    <row r="29" spans="1:15" s="76" customFormat="1" ht="15.6" x14ac:dyDescent="0.3">
      <c r="A29" s="83" t="s">
        <v>29</v>
      </c>
      <c r="B29" s="99"/>
      <c r="C29" s="79"/>
      <c r="D29" s="79"/>
      <c r="E29" s="81"/>
      <c r="F29" s="90"/>
      <c r="G29" s="132"/>
      <c r="H29" s="119"/>
      <c r="I29" s="119"/>
      <c r="J29" s="120"/>
      <c r="K29" s="121"/>
      <c r="L29" s="123"/>
      <c r="M29" s="120"/>
      <c r="N29" s="91"/>
      <c r="O29"/>
    </row>
    <row r="30" spans="1:15" s="76" customFormat="1" ht="15.6" x14ac:dyDescent="0.3">
      <c r="A30" s="83" t="s">
        <v>31</v>
      </c>
      <c r="B30" s="99"/>
      <c r="C30" s="79"/>
      <c r="D30" s="79"/>
      <c r="E30" s="81"/>
      <c r="F30" s="90"/>
      <c r="G30" s="131" t="e">
        <f>IF(F30="NS","NC",ROUND(B30-$B$29,2-(1+INT(LOG10(ABS(B30-$B$29))))))</f>
        <v>#NUM!</v>
      </c>
      <c r="H30" s="119"/>
      <c r="I30" s="132"/>
      <c r="J30" s="133"/>
      <c r="K30" s="134"/>
      <c r="L30" s="133"/>
      <c r="M30" s="133"/>
      <c r="N30" s="135"/>
      <c r="O30"/>
    </row>
    <row r="31" spans="1:15" s="76" customFormat="1" ht="15.6" x14ac:dyDescent="0.3">
      <c r="A31" s="83" t="s">
        <v>30</v>
      </c>
      <c r="B31" s="99"/>
      <c r="C31" s="79"/>
      <c r="D31" s="79"/>
      <c r="E31" s="81"/>
      <c r="F31" s="90"/>
      <c r="G31" s="131" t="e">
        <f t="shared" ref="G31:G51" si="6">IF(F31="NS","NC",ROUND(B31-$B$29,2-(1+INT(LOG10(ABS(B31-$B$29))))))</f>
        <v>#NUM!</v>
      </c>
      <c r="H31" s="119"/>
      <c r="I31" s="132"/>
      <c r="J31" s="133"/>
      <c r="K31" s="134"/>
      <c r="L31" s="133"/>
      <c r="M31" s="133"/>
      <c r="N31" s="135"/>
    </row>
    <row r="32" spans="1:15" s="76" customFormat="1" ht="15.6" x14ac:dyDescent="0.3">
      <c r="A32" s="126" t="str">
        <f>'Page de garde'!A39</f>
        <v>Arabinose-0.01mg/L + Testostérone</v>
      </c>
      <c r="B32" s="99"/>
      <c r="C32" s="79"/>
      <c r="D32" s="79"/>
      <c r="E32" s="81"/>
      <c r="F32" s="93" t="str">
        <f>HLOOKUP(A32,'pooled normalised values'!$B$74:$V$83,10,FALSE)</f>
        <v>ns</v>
      </c>
      <c r="G32" s="131" t="str">
        <f t="shared" si="6"/>
        <v>NC</v>
      </c>
      <c r="H32" s="122" t="str">
        <f>IF(VLOOKUP(A32,liste_groupe[],4,FALSE)="%",VLOOKUP(A32,liste_groupe[],3,FALSE)/100,IF(ISBLANK(VLOOKUP(A32,liste_groupe[],4,FALSE)),"Non","Non"))</f>
        <v>Non</v>
      </c>
      <c r="I32" s="131" t="str">
        <f>IF(F32="NS","NC",IF(H32="Non",G32,G32*(1/H32)))</f>
        <v>NC</v>
      </c>
      <c r="J32" s="136" t="e">
        <f>IF(G32&lt;0,$G$31,$G$30)</f>
        <v>#NUM!</v>
      </c>
      <c r="K32" s="137">
        <f>IF(F32="NS",0,IF(I32&lt;0,-ROUND(I32/J32*100,0),ROUND(I32/J32*100,0)))</f>
        <v>0</v>
      </c>
      <c r="L32" s="138">
        <v>1</v>
      </c>
      <c r="M32" s="130">
        <f>IF(I32&lt;0,IF(K32&lt;-100,-125,K32),IF(K32&gt;100,125,K32))</f>
        <v>0</v>
      </c>
      <c r="N32" s="139" t="str">
        <f>IF(H32="Non",CONCATENATE(VLOOKUP(A32,liste_groupe[],5,FALSE),"-",VLOOKUP(A32,liste_groupe[],3,FALSE),VLOOKUP(A32,liste_groupe[],4,FALSE)," : ",ROUND(K32,0),"%"),CONCATENATE(VLOOKUP(A32,liste_groupe[],5,FALSE)," : ",ROUND(K32,0),"%"))</f>
        <v>Arabinose-0.01mg/L : 0%</v>
      </c>
    </row>
    <row r="33" spans="1:14" s="76" customFormat="1" ht="15.6" x14ac:dyDescent="0.3">
      <c r="A33" s="126" t="str">
        <f>'Page de garde'!A40</f>
        <v>Arabinose-0.1mg/L + Testostérone</v>
      </c>
      <c r="B33" s="98"/>
      <c r="C33" s="86"/>
      <c r="D33" s="86"/>
      <c r="E33" s="81"/>
      <c r="F33" s="93" t="str">
        <f>HLOOKUP(A33,'pooled normalised values'!$B$74:$V$83,10,FALSE)</f>
        <v>ns</v>
      </c>
      <c r="G33" s="131" t="str">
        <f>IF(F33="NS","NC",ROUND(B33-$B$29,2-(1+INT(LOG10(ABS(B33-$B$29))))))</f>
        <v>NC</v>
      </c>
      <c r="H33" s="122" t="str">
        <f>IF(VLOOKUP(A33,liste_groupe[],4,FALSE)="%",VLOOKUP(A33,liste_groupe[],3,FALSE)/100,IF(ISBLANK(VLOOKUP(A33,liste_groupe[],4,FALSE)),"Non","Non"))</f>
        <v>Non</v>
      </c>
      <c r="I33" s="131" t="str">
        <f t="shared" ref="I33:I51" si="7">IF(F33="NS","NC",IF(H33="Non",G33,G33*(1/H33)))</f>
        <v>NC</v>
      </c>
      <c r="J33" s="136" t="e">
        <f t="shared" ref="J33:J51" si="8">IF(G33&lt;0,$G$31,$G$30)</f>
        <v>#NUM!</v>
      </c>
      <c r="K33" s="137">
        <f t="shared" ref="K33:K51" si="9">IF(F33="NS",0,IF(I33&lt;0,-ROUND(I33/J33*100,0),ROUND(I33/J33*100,0)))</f>
        <v>0</v>
      </c>
      <c r="L33" s="138"/>
      <c r="M33" s="130">
        <f t="shared" ref="M33:M51" si="10">IF(I33&lt;0,IF(K33&lt;-100,-125,K33),IF(K33&gt;100,125,K33))</f>
        <v>0</v>
      </c>
      <c r="N33" s="139" t="str">
        <f>IF(H33="Non",CONCATENATE(VLOOKUP(A33,liste_groupe[],5,FALSE),"-",VLOOKUP(A33,liste_groupe[],3,FALSE),VLOOKUP(A33,liste_groupe[],4,FALSE)," : ",ROUND(K33,0),"%"),CONCATENATE(VLOOKUP(A33,liste_groupe[],5,FALSE)," : ",ROUND(K33,0),"%"))</f>
        <v>Arabinose-0.1mg/L : 0%</v>
      </c>
    </row>
    <row r="34" spans="1:14" s="76" customFormat="1" ht="15.6" x14ac:dyDescent="0.3">
      <c r="A34" s="126" t="str">
        <f>'Page de garde'!A41</f>
        <v>Arabinose-1mg/L + Testostérone</v>
      </c>
      <c r="B34" s="99"/>
      <c r="C34" s="79"/>
      <c r="D34" s="79"/>
      <c r="E34" s="81"/>
      <c r="F34" s="93" t="str">
        <f>HLOOKUP(A34,'pooled normalised values'!$B$74:$V$83,10,FALSE)</f>
        <v>ns</v>
      </c>
      <c r="G34" s="131" t="str">
        <f t="shared" si="6"/>
        <v>NC</v>
      </c>
      <c r="H34" s="122" t="str">
        <f>IF(VLOOKUP(A34,liste_groupe[],4,FALSE)="%",VLOOKUP(A34,liste_groupe[],3,FALSE)/100,IF(ISBLANK(VLOOKUP(A34,liste_groupe[],4,FALSE)),"Non","Non"))</f>
        <v>Non</v>
      </c>
      <c r="I34" s="131" t="str">
        <f t="shared" si="7"/>
        <v>NC</v>
      </c>
      <c r="J34" s="136" t="e">
        <f t="shared" si="8"/>
        <v>#NUM!</v>
      </c>
      <c r="K34" s="137">
        <f t="shared" si="9"/>
        <v>0</v>
      </c>
      <c r="L34" s="138"/>
      <c r="M34" s="130">
        <f t="shared" si="10"/>
        <v>0</v>
      </c>
      <c r="N34" s="139" t="str">
        <f>IF(H34="Non",CONCATENATE(VLOOKUP(A34,liste_groupe[],5,FALSE),"-",VLOOKUP(A34,liste_groupe[],3,FALSE),VLOOKUP(A34,liste_groupe[],4,FALSE)," : ",ROUND(K34,0),"%"),CONCATENATE(VLOOKUP(A34,liste_groupe[],5,FALSE)," : ",ROUND(K34,0),"%"))</f>
        <v>Arabinose-1mg/L : 0%</v>
      </c>
    </row>
    <row r="35" spans="1:14" s="76" customFormat="1" ht="15.6" x14ac:dyDescent="0.3">
      <c r="A35" s="126" t="str">
        <f>'Page de garde'!A42</f>
        <v>Arabinose-10mg/L + Testostérone</v>
      </c>
      <c r="B35" s="98"/>
      <c r="C35" s="86"/>
      <c r="D35" s="86"/>
      <c r="E35" s="81"/>
      <c r="F35" s="93" t="str">
        <f>HLOOKUP(A35,'pooled normalised values'!$B$74:$V$83,10,FALSE)</f>
        <v>ns</v>
      </c>
      <c r="G35" s="131" t="str">
        <f t="shared" si="6"/>
        <v>NC</v>
      </c>
      <c r="H35" s="122" t="str">
        <f>IF(VLOOKUP(A35,liste_groupe[],4,FALSE)="%",VLOOKUP(A35,liste_groupe[],3,FALSE)/100,IF(ISBLANK(VLOOKUP(A35,liste_groupe[],4,FALSE)),"Non","Non"))</f>
        <v>Non</v>
      </c>
      <c r="I35" s="131" t="str">
        <f t="shared" si="7"/>
        <v>NC</v>
      </c>
      <c r="J35" s="136" t="e">
        <f t="shared" si="8"/>
        <v>#NUM!</v>
      </c>
      <c r="K35" s="137">
        <f t="shared" si="9"/>
        <v>0</v>
      </c>
      <c r="L35" s="138"/>
      <c r="M35" s="130">
        <f t="shared" si="10"/>
        <v>0</v>
      </c>
      <c r="N35" s="139" t="str">
        <f>IF(H35="Non",CONCATENATE(VLOOKUP(A35,liste_groupe[],5,FALSE),"-",VLOOKUP(A35,liste_groupe[],3,FALSE),VLOOKUP(A35,liste_groupe[],4,FALSE)," : ",ROUND(K35,0),"%"),CONCATENATE(VLOOKUP(A35,liste_groupe[],5,FALSE)," : ",ROUND(K35,0),"%"))</f>
        <v>Arabinose-10mg/L : 0%</v>
      </c>
    </row>
    <row r="36" spans="1:14" s="76" customFormat="1" ht="15.6" x14ac:dyDescent="0.3">
      <c r="A36" s="126" t="str">
        <f>'Page de garde'!A43</f>
        <v>Arabinose-100mg/L + Testostérone</v>
      </c>
      <c r="B36" s="98"/>
      <c r="C36" s="86"/>
      <c r="D36" s="86"/>
      <c r="E36" s="81"/>
      <c r="F36" s="93" t="str">
        <f>HLOOKUP(A36,'pooled normalised values'!$B$74:$V$83,10,FALSE)</f>
        <v>ns</v>
      </c>
      <c r="G36" s="131" t="str">
        <f t="shared" si="6"/>
        <v>NC</v>
      </c>
      <c r="H36" s="122" t="str">
        <f>IF(VLOOKUP(A36,liste_groupe[],4,FALSE)="%",VLOOKUP(A36,liste_groupe[],3,FALSE)/100,IF(ISBLANK(VLOOKUP(A36,liste_groupe[],4,FALSE)),"Non","Non"))</f>
        <v>Non</v>
      </c>
      <c r="I36" s="131" t="str">
        <f t="shared" si="7"/>
        <v>NC</v>
      </c>
      <c r="J36" s="136" t="e">
        <f t="shared" si="8"/>
        <v>#NUM!</v>
      </c>
      <c r="K36" s="137">
        <f t="shared" si="9"/>
        <v>0</v>
      </c>
      <c r="L36" s="138"/>
      <c r="M36" s="130">
        <f t="shared" si="10"/>
        <v>0</v>
      </c>
      <c r="N36" s="139" t="str">
        <f>IF(H36="Non",CONCATENATE(VLOOKUP(A36,liste_groupe[],5,FALSE),"-",VLOOKUP(A36,liste_groupe[],3,FALSE),VLOOKUP(A36,liste_groupe[],4,FALSE)," : ",ROUND(K36,0),"%"),CONCATENATE(VLOOKUP(A36,liste_groupe[],5,FALSE)," : ",ROUND(K36,0),"%"))</f>
        <v>Arabinose-100mg/L : 0%</v>
      </c>
    </row>
    <row r="37" spans="1:14" s="76" customFormat="1" ht="15.6" x14ac:dyDescent="0.3">
      <c r="A37" s="126" t="str">
        <f>'Page de garde'!A44</f>
        <v>0-00 + Testostérone</v>
      </c>
      <c r="B37" s="98"/>
      <c r="C37" s="86"/>
      <c r="D37" s="86"/>
      <c r="E37" s="81"/>
      <c r="F37" s="93" t="e">
        <f>HLOOKUP(A37,'pooled normalised values'!$B$74:$V$83,10,FALSE)</f>
        <v>#N/A</v>
      </c>
      <c r="G37" s="131" t="e">
        <f t="shared" si="6"/>
        <v>#N/A</v>
      </c>
      <c r="H37" s="122" t="str">
        <f>IF(VLOOKUP(A37,liste_groupe[],4,FALSE)="%",VLOOKUP(A37,liste_groupe[],3,FALSE)/100,IF(ISBLANK(VLOOKUP(A37,liste_groupe[],4,FALSE)),"Non","Non"))</f>
        <v>Non</v>
      </c>
      <c r="I37" s="131" t="e">
        <f t="shared" si="7"/>
        <v>#N/A</v>
      </c>
      <c r="J37" s="136" t="e">
        <f t="shared" si="8"/>
        <v>#N/A</v>
      </c>
      <c r="K37" s="137" t="e">
        <f t="shared" si="9"/>
        <v>#N/A</v>
      </c>
      <c r="L37" s="138"/>
      <c r="M37" s="130" t="e">
        <f t="shared" si="10"/>
        <v>#N/A</v>
      </c>
      <c r="N37" s="139" t="e">
        <f>IF(H37="Non",CONCATENATE(VLOOKUP(A37,liste_groupe[],5,FALSE),"-",VLOOKUP(A37,liste_groupe[],3,FALSE),VLOOKUP(A37,liste_groupe[],4,FALSE)," : ",ROUND(K37,0),"%"),CONCATENATE(VLOOKUP(A37,liste_groupe[],5,FALSE)," : ",ROUND(K37,0),"%"))</f>
        <v>#N/A</v>
      </c>
    </row>
    <row r="38" spans="1:14" s="76" customFormat="1" ht="15.6" x14ac:dyDescent="0.3">
      <c r="A38" s="126" t="str">
        <f>'Page de garde'!A45</f>
        <v>0-00 + Testostérone</v>
      </c>
      <c r="B38" s="98"/>
      <c r="C38" s="86"/>
      <c r="D38" s="86"/>
      <c r="E38" s="81"/>
      <c r="F38" s="93" t="e">
        <f>HLOOKUP(A38,'pooled normalised values'!$B$74:$V$83,10,FALSE)</f>
        <v>#N/A</v>
      </c>
      <c r="G38" s="131" t="e">
        <f t="shared" si="6"/>
        <v>#N/A</v>
      </c>
      <c r="H38" s="122" t="str">
        <f>IF(VLOOKUP(A38,liste_groupe[],4,FALSE)="%",VLOOKUP(A38,liste_groupe[],3,FALSE)/100,IF(ISBLANK(VLOOKUP(A38,liste_groupe[],4,FALSE)),"Non","Non"))</f>
        <v>Non</v>
      </c>
      <c r="I38" s="131" t="e">
        <f t="shared" si="7"/>
        <v>#N/A</v>
      </c>
      <c r="J38" s="136" t="e">
        <f t="shared" si="8"/>
        <v>#N/A</v>
      </c>
      <c r="K38" s="137" t="e">
        <f t="shared" si="9"/>
        <v>#N/A</v>
      </c>
      <c r="L38" s="138"/>
      <c r="M38" s="130" t="e">
        <f t="shared" si="10"/>
        <v>#N/A</v>
      </c>
      <c r="N38" s="139" t="e">
        <f>IF(H38="Non",CONCATENATE(VLOOKUP(A38,liste_groupe[],5,FALSE),"-",VLOOKUP(A38,liste_groupe[],3,FALSE),VLOOKUP(A38,liste_groupe[],4,FALSE)," : ",ROUND(K38,0),"%"),CONCATENATE(VLOOKUP(A38,liste_groupe[],5,FALSE)," : ",ROUND(K38,0),"%"))</f>
        <v>#N/A</v>
      </c>
    </row>
    <row r="39" spans="1:14" s="76" customFormat="1" ht="15.6" x14ac:dyDescent="0.3">
      <c r="A39" s="126" t="str">
        <f>'Page de garde'!A46</f>
        <v>0-00 + Testostérone</v>
      </c>
      <c r="B39" s="98"/>
      <c r="C39" s="86"/>
      <c r="D39" s="86"/>
      <c r="E39" s="81"/>
      <c r="F39" s="93" t="e">
        <f>HLOOKUP(A39,'pooled normalised values'!$B$74:$V$83,10,FALSE)</f>
        <v>#N/A</v>
      </c>
      <c r="G39" s="131" t="e">
        <f t="shared" ref="G39:G50" si="11">IF(F39="NS","NC",ROUND(B39-$B$29,2-(1+INT(LOG10(ABS(B39-$B$29))))))</f>
        <v>#N/A</v>
      </c>
      <c r="H39" s="122" t="str">
        <f>IF(VLOOKUP(A39,liste_groupe[],4,FALSE)="%",VLOOKUP(A39,liste_groupe[],3,FALSE)/100,IF(ISBLANK(VLOOKUP(A39,liste_groupe[],4,FALSE)),"Non","Non"))</f>
        <v>Non</v>
      </c>
      <c r="I39" s="131" t="e">
        <f t="shared" si="7"/>
        <v>#N/A</v>
      </c>
      <c r="J39" s="136" t="e">
        <f t="shared" ref="J39:J50" si="12">IF(G39&lt;0,$G$31,$G$30)</f>
        <v>#N/A</v>
      </c>
      <c r="K39" s="137" t="e">
        <f t="shared" si="9"/>
        <v>#N/A</v>
      </c>
      <c r="L39" s="138"/>
      <c r="M39" s="130" t="e">
        <f t="shared" si="10"/>
        <v>#N/A</v>
      </c>
      <c r="N39" s="139" t="e">
        <f>IF(H39="Non",CONCATENATE(VLOOKUP(A39,liste_groupe[],5,FALSE),"-",VLOOKUP(A39,liste_groupe[],3,FALSE),VLOOKUP(A39,liste_groupe[],4,FALSE)," : ",ROUND(K39,0),"%"),CONCATENATE(VLOOKUP(A39,liste_groupe[],5,FALSE)," : ",ROUND(K39,0),"%"))</f>
        <v>#N/A</v>
      </c>
    </row>
    <row r="40" spans="1:14" s="76" customFormat="1" ht="15.6" x14ac:dyDescent="0.3">
      <c r="A40" s="126" t="str">
        <f>'Page de garde'!A47</f>
        <v>0-00 + Testostérone</v>
      </c>
      <c r="B40" s="98"/>
      <c r="C40" s="86"/>
      <c r="D40" s="86"/>
      <c r="E40" s="81"/>
      <c r="F40" s="93" t="e">
        <f>HLOOKUP(A40,'pooled normalised values'!$B$74:$V$83,10,FALSE)</f>
        <v>#N/A</v>
      </c>
      <c r="G40" s="131" t="e">
        <f t="shared" si="11"/>
        <v>#N/A</v>
      </c>
      <c r="H40" s="122" t="str">
        <f>IF(VLOOKUP(A40,liste_groupe[],4,FALSE)="%",VLOOKUP(A40,liste_groupe[],3,FALSE)/100,IF(ISBLANK(VLOOKUP(A40,liste_groupe[],4,FALSE)),"Non","Non"))</f>
        <v>Non</v>
      </c>
      <c r="I40" s="131" t="e">
        <f t="shared" si="7"/>
        <v>#N/A</v>
      </c>
      <c r="J40" s="136" t="e">
        <f t="shared" si="12"/>
        <v>#N/A</v>
      </c>
      <c r="K40" s="137" t="e">
        <f t="shared" si="9"/>
        <v>#N/A</v>
      </c>
      <c r="L40" s="138"/>
      <c r="M40" s="130" t="e">
        <f t="shared" si="10"/>
        <v>#N/A</v>
      </c>
      <c r="N40" s="139" t="e">
        <f>IF(H40="Non",CONCATENATE(VLOOKUP(A40,liste_groupe[],5,FALSE),"-",VLOOKUP(A40,liste_groupe[],3,FALSE),VLOOKUP(A40,liste_groupe[],4,FALSE)," : ",ROUND(K40,0),"%"),CONCATENATE(VLOOKUP(A40,liste_groupe[],5,FALSE)," : ",ROUND(K40,0),"%"))</f>
        <v>#N/A</v>
      </c>
    </row>
    <row r="41" spans="1:14" s="76" customFormat="1" ht="15.6" x14ac:dyDescent="0.3">
      <c r="A41" s="126" t="str">
        <f>'Page de garde'!A48</f>
        <v>0-00 + Testostérone</v>
      </c>
      <c r="B41" s="98"/>
      <c r="C41" s="86"/>
      <c r="D41" s="86"/>
      <c r="E41" s="81"/>
      <c r="F41" s="93" t="e">
        <f>HLOOKUP(A41,'pooled normalised values'!$B$74:$V$83,10,FALSE)</f>
        <v>#N/A</v>
      </c>
      <c r="G41" s="131" t="e">
        <f t="shared" si="11"/>
        <v>#N/A</v>
      </c>
      <c r="H41" s="122" t="str">
        <f>IF(VLOOKUP(A41,liste_groupe[],4,FALSE)="%",VLOOKUP(A41,liste_groupe[],3,FALSE)/100,IF(ISBLANK(VLOOKUP(A41,liste_groupe[],4,FALSE)),"Non","Non"))</f>
        <v>Non</v>
      </c>
      <c r="I41" s="131" t="e">
        <f t="shared" si="7"/>
        <v>#N/A</v>
      </c>
      <c r="J41" s="136" t="e">
        <f t="shared" si="12"/>
        <v>#N/A</v>
      </c>
      <c r="K41" s="137" t="e">
        <f t="shared" si="9"/>
        <v>#N/A</v>
      </c>
      <c r="L41" s="138"/>
      <c r="M41" s="130" t="e">
        <f t="shared" si="10"/>
        <v>#N/A</v>
      </c>
      <c r="N41" s="139" t="e">
        <f>IF(H41="Non",CONCATENATE(VLOOKUP(A41,liste_groupe[],5,FALSE),"-",VLOOKUP(A41,liste_groupe[],3,FALSE),VLOOKUP(A41,liste_groupe[],4,FALSE)," : ",ROUND(K41,0),"%"),CONCATENATE(VLOOKUP(A41,liste_groupe[],5,FALSE)," : ",ROUND(K41,0),"%"))</f>
        <v>#N/A</v>
      </c>
    </row>
    <row r="42" spans="1:14" s="76" customFormat="1" ht="15.6" x14ac:dyDescent="0.3">
      <c r="A42" s="126" t="str">
        <f>'Page de garde'!A49</f>
        <v>0-00 + Testostérone</v>
      </c>
      <c r="B42" s="98"/>
      <c r="C42" s="86"/>
      <c r="D42" s="86"/>
      <c r="E42" s="81"/>
      <c r="F42" s="93" t="e">
        <f>HLOOKUP(A42,'pooled normalised values'!$B$74:$V$83,10,FALSE)</f>
        <v>#N/A</v>
      </c>
      <c r="G42" s="131" t="e">
        <f t="shared" si="11"/>
        <v>#N/A</v>
      </c>
      <c r="H42" s="122" t="str">
        <f>IF(VLOOKUP(A42,liste_groupe[],4,FALSE)="%",VLOOKUP(A42,liste_groupe[],3,FALSE)/100,IF(ISBLANK(VLOOKUP(A42,liste_groupe[],4,FALSE)),"Non","Non"))</f>
        <v>Non</v>
      </c>
      <c r="I42" s="131" t="e">
        <f t="shared" si="7"/>
        <v>#N/A</v>
      </c>
      <c r="J42" s="136" t="e">
        <f t="shared" si="12"/>
        <v>#N/A</v>
      </c>
      <c r="K42" s="137" t="e">
        <f t="shared" si="9"/>
        <v>#N/A</v>
      </c>
      <c r="L42" s="138"/>
      <c r="M42" s="130" t="e">
        <f t="shared" si="10"/>
        <v>#N/A</v>
      </c>
      <c r="N42" s="139" t="e">
        <f>IF(H42="Non",CONCATENATE(VLOOKUP(A42,liste_groupe[],5,FALSE),"-",VLOOKUP(A42,liste_groupe[],3,FALSE),VLOOKUP(A42,liste_groupe[],4,FALSE)," : ",ROUND(K42,0),"%"),CONCATENATE(VLOOKUP(A42,liste_groupe[],5,FALSE)," : ",ROUND(K42,0),"%"))</f>
        <v>#N/A</v>
      </c>
    </row>
    <row r="43" spans="1:14" s="76" customFormat="1" ht="15.6" x14ac:dyDescent="0.3">
      <c r="A43" s="126" t="str">
        <f>'Page de garde'!A50</f>
        <v>0-00 + Testostérone</v>
      </c>
      <c r="B43" s="98"/>
      <c r="C43" s="86"/>
      <c r="D43" s="86"/>
      <c r="E43" s="81"/>
      <c r="F43" s="93" t="e">
        <f>HLOOKUP(A43,'pooled normalised values'!$B$74:$V$83,10,FALSE)</f>
        <v>#N/A</v>
      </c>
      <c r="G43" s="131" t="e">
        <f t="shared" si="11"/>
        <v>#N/A</v>
      </c>
      <c r="H43" s="122" t="str">
        <f>IF(VLOOKUP(A43,liste_groupe[],4,FALSE)="%",VLOOKUP(A43,liste_groupe[],3,FALSE)/100,IF(ISBLANK(VLOOKUP(A43,liste_groupe[],4,FALSE)),"Non","Non"))</f>
        <v>Non</v>
      </c>
      <c r="I43" s="131" t="e">
        <f t="shared" si="7"/>
        <v>#N/A</v>
      </c>
      <c r="J43" s="136" t="e">
        <f t="shared" si="12"/>
        <v>#N/A</v>
      </c>
      <c r="K43" s="137" t="e">
        <f t="shared" si="9"/>
        <v>#N/A</v>
      </c>
      <c r="L43" s="138"/>
      <c r="M43" s="130" t="e">
        <f t="shared" si="10"/>
        <v>#N/A</v>
      </c>
      <c r="N43" s="139" t="e">
        <f>IF(H43="Non",CONCATENATE(VLOOKUP(A43,liste_groupe[],5,FALSE),"-",VLOOKUP(A43,liste_groupe[],3,FALSE),VLOOKUP(A43,liste_groupe[],4,FALSE)," : ",ROUND(K43,0),"%"),CONCATENATE(VLOOKUP(A43,liste_groupe[],5,FALSE)," : ",ROUND(K43,0),"%"))</f>
        <v>#N/A</v>
      </c>
    </row>
    <row r="44" spans="1:14" s="76" customFormat="1" ht="15.6" x14ac:dyDescent="0.3">
      <c r="A44" s="126" t="str">
        <f>'Page de garde'!A51</f>
        <v>0-00 + Testostérone</v>
      </c>
      <c r="B44" s="98"/>
      <c r="C44" s="86"/>
      <c r="D44" s="86"/>
      <c r="E44" s="81"/>
      <c r="F44" s="93" t="e">
        <f>HLOOKUP(A44,'pooled normalised values'!$B$74:$V$83,10,FALSE)</f>
        <v>#N/A</v>
      </c>
      <c r="G44" s="131" t="e">
        <f t="shared" si="11"/>
        <v>#N/A</v>
      </c>
      <c r="H44" s="122" t="str">
        <f>IF(VLOOKUP(A44,liste_groupe[],4,FALSE)="%",VLOOKUP(A44,liste_groupe[],3,FALSE)/100,IF(ISBLANK(VLOOKUP(A44,liste_groupe[],4,FALSE)),"Non","Non"))</f>
        <v>Non</v>
      </c>
      <c r="I44" s="131" t="e">
        <f t="shared" si="7"/>
        <v>#N/A</v>
      </c>
      <c r="J44" s="136" t="e">
        <f t="shared" si="12"/>
        <v>#N/A</v>
      </c>
      <c r="K44" s="137" t="e">
        <f t="shared" si="9"/>
        <v>#N/A</v>
      </c>
      <c r="L44" s="138"/>
      <c r="M44" s="130" t="e">
        <f t="shared" si="10"/>
        <v>#N/A</v>
      </c>
      <c r="N44" s="139" t="e">
        <f>IF(H44="Non",CONCATENATE(VLOOKUP(A44,liste_groupe[],5,FALSE),"-",VLOOKUP(A44,liste_groupe[],3,FALSE),VLOOKUP(A44,liste_groupe[],4,FALSE)," : ",ROUND(K44,0),"%"),CONCATENATE(VLOOKUP(A44,liste_groupe[],5,FALSE)," : ",ROUND(K44,0),"%"))</f>
        <v>#N/A</v>
      </c>
    </row>
    <row r="45" spans="1:14" s="76" customFormat="1" ht="15.6" x14ac:dyDescent="0.3">
      <c r="A45" s="126" t="str">
        <f>'Page de garde'!A52</f>
        <v>0-00 + Testostérone</v>
      </c>
      <c r="B45" s="98"/>
      <c r="C45" s="86"/>
      <c r="D45" s="86"/>
      <c r="E45" s="81"/>
      <c r="F45" s="93" t="e">
        <f>HLOOKUP(A45,'pooled normalised values'!$B$74:$V$83,10,FALSE)</f>
        <v>#N/A</v>
      </c>
      <c r="G45" s="131" t="e">
        <f t="shared" si="11"/>
        <v>#N/A</v>
      </c>
      <c r="H45" s="122" t="str">
        <f>IF(VLOOKUP(A45,liste_groupe[],4,FALSE)="%",VLOOKUP(A45,liste_groupe[],3,FALSE)/100,IF(ISBLANK(VLOOKUP(A45,liste_groupe[],4,FALSE)),"Non","Non"))</f>
        <v>Non</v>
      </c>
      <c r="I45" s="131" t="e">
        <f t="shared" si="7"/>
        <v>#N/A</v>
      </c>
      <c r="J45" s="136" t="e">
        <f t="shared" si="12"/>
        <v>#N/A</v>
      </c>
      <c r="K45" s="137" t="e">
        <f t="shared" si="9"/>
        <v>#N/A</v>
      </c>
      <c r="L45" s="138"/>
      <c r="M45" s="130" t="e">
        <f t="shared" si="10"/>
        <v>#N/A</v>
      </c>
      <c r="N45" s="139" t="e">
        <f>IF(H45="Non",CONCATENATE(VLOOKUP(A45,liste_groupe[],5,FALSE),"-",VLOOKUP(A45,liste_groupe[],3,FALSE),VLOOKUP(A45,liste_groupe[],4,FALSE)," : ",ROUND(K45,0),"%"),CONCATENATE(VLOOKUP(A45,liste_groupe[],5,FALSE)," : ",ROUND(K45,0),"%"))</f>
        <v>#N/A</v>
      </c>
    </row>
    <row r="46" spans="1:14" s="76" customFormat="1" ht="15.6" x14ac:dyDescent="0.3">
      <c r="A46" s="126" t="str">
        <f>'Page de garde'!A53</f>
        <v>0-00 + Testostérone</v>
      </c>
      <c r="B46" s="98"/>
      <c r="C46" s="86"/>
      <c r="D46" s="86"/>
      <c r="E46" s="81"/>
      <c r="F46" s="93" t="e">
        <f>HLOOKUP(A46,'pooled normalised values'!$B$74:$V$83,10,FALSE)</f>
        <v>#N/A</v>
      </c>
      <c r="G46" s="131" t="e">
        <f t="shared" si="11"/>
        <v>#N/A</v>
      </c>
      <c r="H46" s="122" t="str">
        <f>IF(VLOOKUP(A46,liste_groupe[],4,FALSE)="%",VLOOKUP(A46,liste_groupe[],3,FALSE)/100,IF(ISBLANK(VLOOKUP(A46,liste_groupe[],4,FALSE)),"Non","Non"))</f>
        <v>Non</v>
      </c>
      <c r="I46" s="131" t="e">
        <f t="shared" si="7"/>
        <v>#N/A</v>
      </c>
      <c r="J46" s="136" t="e">
        <f t="shared" si="12"/>
        <v>#N/A</v>
      </c>
      <c r="K46" s="137" t="e">
        <f t="shared" si="9"/>
        <v>#N/A</v>
      </c>
      <c r="L46" s="138"/>
      <c r="M46" s="130" t="e">
        <f t="shared" si="10"/>
        <v>#N/A</v>
      </c>
      <c r="N46" s="139" t="e">
        <f>IF(H46="Non",CONCATENATE(VLOOKUP(A46,liste_groupe[],5,FALSE),"-",VLOOKUP(A46,liste_groupe[],3,FALSE),VLOOKUP(A46,liste_groupe[],4,FALSE)," : ",ROUND(K46,0),"%"),CONCATENATE(VLOOKUP(A46,liste_groupe[],5,FALSE)," : ",ROUND(K46,0),"%"))</f>
        <v>#N/A</v>
      </c>
    </row>
    <row r="47" spans="1:14" s="76" customFormat="1" ht="15.6" x14ac:dyDescent="0.3">
      <c r="A47" s="126" t="str">
        <f>'Page de garde'!A54</f>
        <v>0-00 + Testostérone</v>
      </c>
      <c r="B47" s="98"/>
      <c r="C47" s="86"/>
      <c r="D47" s="86"/>
      <c r="E47" s="81"/>
      <c r="F47" s="93" t="e">
        <f>HLOOKUP(A47,'pooled normalised values'!$B$74:$V$83,10,FALSE)</f>
        <v>#N/A</v>
      </c>
      <c r="G47" s="131" t="e">
        <f t="shared" si="11"/>
        <v>#N/A</v>
      </c>
      <c r="H47" s="122" t="str">
        <f>IF(VLOOKUP(A47,liste_groupe[],4,FALSE)="%",VLOOKUP(A47,liste_groupe[],3,FALSE)/100,IF(ISBLANK(VLOOKUP(A47,liste_groupe[],4,FALSE)),"Non","Non"))</f>
        <v>Non</v>
      </c>
      <c r="I47" s="131" t="e">
        <f t="shared" si="7"/>
        <v>#N/A</v>
      </c>
      <c r="J47" s="136" t="e">
        <f t="shared" si="12"/>
        <v>#N/A</v>
      </c>
      <c r="K47" s="137" t="e">
        <f t="shared" si="9"/>
        <v>#N/A</v>
      </c>
      <c r="L47" s="138"/>
      <c r="M47" s="130" t="e">
        <f t="shared" si="10"/>
        <v>#N/A</v>
      </c>
      <c r="N47" s="139" t="e">
        <f>IF(H47="Non",CONCATENATE(VLOOKUP(A47,liste_groupe[],5,FALSE),"-",VLOOKUP(A47,liste_groupe[],3,FALSE),VLOOKUP(A47,liste_groupe[],4,FALSE)," : ",ROUND(K47,0),"%"),CONCATENATE(VLOOKUP(A47,liste_groupe[],5,FALSE)," : ",ROUND(K47,0),"%"))</f>
        <v>#N/A</v>
      </c>
    </row>
    <row r="48" spans="1:14" s="76" customFormat="1" ht="15.6" x14ac:dyDescent="0.3">
      <c r="A48" s="126" t="str">
        <f>'Page de garde'!A55</f>
        <v>0-00 + Testostérone</v>
      </c>
      <c r="B48" s="98"/>
      <c r="C48" s="86"/>
      <c r="D48" s="86"/>
      <c r="E48" s="81"/>
      <c r="F48" s="93" t="e">
        <f>HLOOKUP(A48,'pooled normalised values'!$B$74:$V$83,10,FALSE)</f>
        <v>#N/A</v>
      </c>
      <c r="G48" s="131" t="e">
        <f t="shared" si="11"/>
        <v>#N/A</v>
      </c>
      <c r="H48" s="122" t="str">
        <f>IF(VLOOKUP(A48,liste_groupe[],4,FALSE)="%",VLOOKUP(A48,liste_groupe[],3,FALSE)/100,IF(ISBLANK(VLOOKUP(A48,liste_groupe[],4,FALSE)),"Non","Non"))</f>
        <v>Non</v>
      </c>
      <c r="I48" s="131" t="e">
        <f t="shared" si="7"/>
        <v>#N/A</v>
      </c>
      <c r="J48" s="136" t="e">
        <f t="shared" si="12"/>
        <v>#N/A</v>
      </c>
      <c r="K48" s="137" t="e">
        <f t="shared" si="9"/>
        <v>#N/A</v>
      </c>
      <c r="L48" s="138"/>
      <c r="M48" s="130" t="e">
        <f t="shared" si="10"/>
        <v>#N/A</v>
      </c>
      <c r="N48" s="139" t="e">
        <f>IF(H48="Non",CONCATENATE(VLOOKUP(A48,liste_groupe[],5,FALSE),"-",VLOOKUP(A48,liste_groupe[],3,FALSE),VLOOKUP(A48,liste_groupe[],4,FALSE)," : ",ROUND(K48,0),"%"),CONCATENATE(VLOOKUP(A48,liste_groupe[],5,FALSE)," : ",ROUND(K48,0),"%"))</f>
        <v>#N/A</v>
      </c>
    </row>
    <row r="49" spans="1:15" s="76" customFormat="1" ht="15.6" x14ac:dyDescent="0.3">
      <c r="A49" s="126" t="str">
        <f>'Page de garde'!A56</f>
        <v>0-00 + Testostérone</v>
      </c>
      <c r="B49" s="98"/>
      <c r="C49" s="86"/>
      <c r="D49" s="86"/>
      <c r="E49" s="81"/>
      <c r="F49" s="93" t="e">
        <f>HLOOKUP(A49,'pooled normalised values'!$B$74:$V$83,10,FALSE)</f>
        <v>#N/A</v>
      </c>
      <c r="G49" s="131" t="e">
        <f t="shared" si="11"/>
        <v>#N/A</v>
      </c>
      <c r="H49" s="122" t="str">
        <f>IF(VLOOKUP(A49,liste_groupe[],4,FALSE)="%",VLOOKUP(A49,liste_groupe[],3,FALSE)/100,IF(ISBLANK(VLOOKUP(A49,liste_groupe[],4,FALSE)),"Non","Non"))</f>
        <v>Non</v>
      </c>
      <c r="I49" s="131" t="e">
        <f t="shared" si="7"/>
        <v>#N/A</v>
      </c>
      <c r="J49" s="136" t="e">
        <f t="shared" si="12"/>
        <v>#N/A</v>
      </c>
      <c r="K49" s="137" t="e">
        <f t="shared" si="9"/>
        <v>#N/A</v>
      </c>
      <c r="L49" s="138"/>
      <c r="M49" s="130" t="e">
        <f t="shared" si="10"/>
        <v>#N/A</v>
      </c>
      <c r="N49" s="139" t="e">
        <f>IF(H49="Non",CONCATENATE(VLOOKUP(A49,liste_groupe[],5,FALSE),"-",VLOOKUP(A49,liste_groupe[],3,FALSE),VLOOKUP(A49,liste_groupe[],4,FALSE)," : ",ROUND(K49,0),"%"),CONCATENATE(VLOOKUP(A49,liste_groupe[],5,FALSE)," : ",ROUND(K49,0),"%"))</f>
        <v>#N/A</v>
      </c>
    </row>
    <row r="50" spans="1:15" s="76" customFormat="1" ht="15.6" x14ac:dyDescent="0.3">
      <c r="A50" s="126" t="str">
        <f>'Page de garde'!A57</f>
        <v>0-00 + Testostérone</v>
      </c>
      <c r="B50" s="98"/>
      <c r="C50" s="86"/>
      <c r="D50" s="86"/>
      <c r="E50" s="81"/>
      <c r="F50" s="93" t="e">
        <f>HLOOKUP(A50,'pooled normalised values'!$B$74:$V$83,10,FALSE)</f>
        <v>#N/A</v>
      </c>
      <c r="G50" s="131" t="e">
        <f t="shared" si="11"/>
        <v>#N/A</v>
      </c>
      <c r="H50" s="122" t="str">
        <f>IF(VLOOKUP(A50,liste_groupe[],4,FALSE)="%",VLOOKUP(A50,liste_groupe[],3,FALSE)/100,IF(ISBLANK(VLOOKUP(A50,liste_groupe[],4,FALSE)),"Non","Non"))</f>
        <v>Non</v>
      </c>
      <c r="I50" s="131" t="e">
        <f t="shared" si="7"/>
        <v>#N/A</v>
      </c>
      <c r="J50" s="136" t="e">
        <f t="shared" si="12"/>
        <v>#N/A</v>
      </c>
      <c r="K50" s="137" t="e">
        <f t="shared" si="9"/>
        <v>#N/A</v>
      </c>
      <c r="L50" s="138"/>
      <c r="M50" s="130" t="e">
        <f t="shared" si="10"/>
        <v>#N/A</v>
      </c>
      <c r="N50" s="139" t="e">
        <f>IF(H50="Non",CONCATENATE(VLOOKUP(A50,liste_groupe[],5,FALSE),"-",VLOOKUP(A50,liste_groupe[],3,FALSE),VLOOKUP(A50,liste_groupe[],4,FALSE)," : ",ROUND(K50,0),"%"),CONCATENATE(VLOOKUP(A50,liste_groupe[],5,FALSE)," : ",ROUND(K50,0),"%"))</f>
        <v>#N/A</v>
      </c>
    </row>
    <row r="51" spans="1:15" s="76" customFormat="1" ht="15.6" x14ac:dyDescent="0.3">
      <c r="A51" s="126" t="str">
        <f>'Page de garde'!A58</f>
        <v>0-00 + Testostérone</v>
      </c>
      <c r="B51" s="98"/>
      <c r="C51" s="86"/>
      <c r="D51" s="86"/>
      <c r="E51" s="81"/>
      <c r="F51" s="93" t="e">
        <f>HLOOKUP(A51,'pooled normalised values'!$B$74:$V$83,10,FALSE)</f>
        <v>#N/A</v>
      </c>
      <c r="G51" s="131" t="e">
        <f t="shared" si="6"/>
        <v>#N/A</v>
      </c>
      <c r="H51" s="122" t="str">
        <f>IF(VLOOKUP(A51,liste_groupe[],4,FALSE)="%",VLOOKUP(A51,liste_groupe[],3,FALSE)/100,IF(ISBLANK(VLOOKUP(A51,liste_groupe[],4,FALSE)),"Non","Non"))</f>
        <v>Non</v>
      </c>
      <c r="I51" s="131" t="e">
        <f t="shared" si="7"/>
        <v>#N/A</v>
      </c>
      <c r="J51" s="136" t="e">
        <f t="shared" si="8"/>
        <v>#N/A</v>
      </c>
      <c r="K51" s="137" t="e">
        <f t="shared" si="9"/>
        <v>#N/A</v>
      </c>
      <c r="L51" s="138"/>
      <c r="M51" s="130" t="e">
        <f t="shared" si="10"/>
        <v>#N/A</v>
      </c>
      <c r="N51" s="139" t="e">
        <f>IF(H51="Non",CONCATENATE(VLOOKUP(A51,liste_groupe[],5,FALSE),"-",VLOOKUP(A51,liste_groupe[],3,FALSE),VLOOKUP(A51,liste_groupe[],4,FALSE)," : ",ROUND(K51,0),"%"),CONCATENATE(VLOOKUP(A51,liste_groupe[],5,FALSE)," : ",ROUND(K51,0),"%"))</f>
        <v>#N/A</v>
      </c>
    </row>
    <row r="52" spans="1:15" s="76" customFormat="1" ht="16.2" thickBot="1" x14ac:dyDescent="0.35">
      <c r="E52" s="77"/>
      <c r="F52" s="77"/>
      <c r="G52" s="77"/>
      <c r="H52" s="77"/>
      <c r="I52" s="77"/>
      <c r="J52" s="77"/>
      <c r="K52" s="77"/>
      <c r="L52" s="77"/>
      <c r="M52" s="77"/>
      <c r="N52" s="77"/>
    </row>
    <row r="53" spans="1:15" s="48" customFormat="1" ht="26.4" thickBot="1" x14ac:dyDescent="0.35">
      <c r="A53" s="231" t="s">
        <v>60</v>
      </c>
      <c r="B53" s="232"/>
      <c r="C53" s="232"/>
      <c r="D53" s="232"/>
      <c r="E53" s="232"/>
      <c r="F53" s="232"/>
      <c r="G53" s="232"/>
      <c r="H53" s="232"/>
      <c r="I53" s="232"/>
      <c r="J53" s="232"/>
      <c r="K53" s="232"/>
      <c r="L53" s="232"/>
      <c r="M53" s="232"/>
      <c r="N53" s="232"/>
      <c r="O53" s="233"/>
    </row>
  </sheetData>
  <mergeCells count="3">
    <mergeCell ref="A2:O2"/>
    <mergeCell ref="A1:O1"/>
    <mergeCell ref="A53:O53"/>
  </mergeCells>
  <pageMargins left="0.7" right="0.7" top="0.75" bottom="0.75" header="0.3" footer="0.3"/>
  <pageSetup paperSize="9" orientation="portrait" r:id="rId1"/>
  <headerFooter>
    <oddFooter>&amp;C&amp;1#&amp;"Arial"&amp;10&amp;K000000Internal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defaultColWidth="11.44140625" defaultRowHeight="14.4" x14ac:dyDescent="0.3"/>
  <cols>
    <col min="1" max="1" width="22.77734375" style="176" customWidth="1"/>
    <col min="2" max="2" width="46.21875" style="176" customWidth="1"/>
    <col min="3" max="3" width="15.21875" style="176" customWidth="1"/>
    <col min="4" max="4" width="24.77734375" style="176" customWidth="1"/>
    <col min="5" max="5" width="24.44140625" style="176" customWidth="1"/>
    <col min="6" max="6" width="23.21875" style="176" customWidth="1"/>
    <col min="7" max="7" width="21.21875" style="176" customWidth="1"/>
    <col min="8" max="16384" width="11.44140625" style="176"/>
  </cols>
  <sheetData>
    <row r="1" spans="1:7" ht="29.4" thickBot="1" x14ac:dyDescent="0.35">
      <c r="A1" s="181" t="s">
        <v>131</v>
      </c>
      <c r="B1" s="182" t="s">
        <v>132</v>
      </c>
      <c r="C1" s="182" t="s">
        <v>138</v>
      </c>
      <c r="D1" s="182" t="s">
        <v>137</v>
      </c>
      <c r="E1" s="182" t="s">
        <v>139</v>
      </c>
      <c r="F1" s="183" t="s">
        <v>140</v>
      </c>
      <c r="G1" s="184" t="s">
        <v>141</v>
      </c>
    </row>
    <row r="2" spans="1:7" ht="57.6" x14ac:dyDescent="0.3">
      <c r="A2" s="177" t="s">
        <v>133</v>
      </c>
      <c r="B2" s="178" t="s">
        <v>134</v>
      </c>
      <c r="C2" s="178" t="s">
        <v>135</v>
      </c>
      <c r="D2" s="178" t="s">
        <v>142</v>
      </c>
      <c r="E2" s="178" t="s">
        <v>136</v>
      </c>
      <c r="F2" s="179" t="s">
        <v>135</v>
      </c>
      <c r="G2" s="180" t="s">
        <v>135</v>
      </c>
    </row>
  </sheetData>
  <pageMargins left="0.7" right="0.7" top="0.75" bottom="0.75" header="0.3" footer="0.3"/>
  <pageSetup paperSize="9" orientation="portrait" horizontalDpi="300" verticalDpi="300" r:id="rId1"/>
  <headerFooter>
    <oddFooter>&amp;C&amp;1#&amp;"Arial"&amp;10&amp;K000000Internal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19" width="14.77734375" style="17" customWidth="1"/>
    <col min="20" max="21" width="11.44140625" style="17"/>
    <col min="22" max="22" width="13.5546875" style="17" bestFit="1" customWidth="1"/>
    <col min="23" max="34" width="13.5546875" style="17" customWidth="1"/>
    <col min="35" max="35" width="13.5546875" style="17" bestFit="1" customWidth="1"/>
    <col min="36" max="282" width="11.44140625" style="17"/>
    <col min="283" max="283" width="18.77734375" style="17" customWidth="1"/>
    <col min="284" max="284" width="13.77734375" style="17" bestFit="1" customWidth="1"/>
    <col min="285" max="285" width="17.21875" style="17" customWidth="1"/>
    <col min="286" max="286" width="11" style="17" customWidth="1"/>
    <col min="287" max="287" width="12" style="17" bestFit="1" customWidth="1"/>
    <col min="288" max="288" width="14.77734375" style="17" customWidth="1"/>
    <col min="289" max="538" width="11.44140625" style="17"/>
    <col min="539" max="539" width="18.77734375" style="17" customWidth="1"/>
    <col min="540" max="540" width="13.77734375" style="17" bestFit="1" customWidth="1"/>
    <col min="541" max="541" width="17.21875" style="17" customWidth="1"/>
    <col min="542" max="542" width="11" style="17" customWidth="1"/>
    <col min="543" max="543" width="12" style="17" bestFit="1" customWidth="1"/>
    <col min="544" max="544" width="14.77734375" style="17" customWidth="1"/>
    <col min="545" max="794" width="11.44140625" style="17"/>
    <col min="795" max="795" width="18.77734375" style="17" customWidth="1"/>
    <col min="796" max="796" width="13.77734375" style="17" bestFit="1" customWidth="1"/>
    <col min="797" max="797" width="17.21875" style="17" customWidth="1"/>
    <col min="798" max="798" width="11" style="17" customWidth="1"/>
    <col min="799" max="799" width="12" style="17" bestFit="1" customWidth="1"/>
    <col min="800" max="800" width="14.77734375" style="17" customWidth="1"/>
    <col min="801" max="1050" width="11.44140625" style="17"/>
    <col min="1051" max="1051" width="18.77734375" style="17" customWidth="1"/>
    <col min="1052" max="1052" width="13.77734375" style="17" bestFit="1" customWidth="1"/>
    <col min="1053" max="1053" width="17.21875" style="17" customWidth="1"/>
    <col min="1054" max="1054" width="11" style="17" customWidth="1"/>
    <col min="1055" max="1055" width="12" style="17" bestFit="1" customWidth="1"/>
    <col min="1056" max="1056" width="14.77734375" style="17" customWidth="1"/>
    <col min="1057" max="1306" width="11.44140625" style="17"/>
    <col min="1307" max="1307" width="18.77734375" style="17" customWidth="1"/>
    <col min="1308" max="1308" width="13.77734375" style="17" bestFit="1" customWidth="1"/>
    <col min="1309" max="1309" width="17.21875" style="17" customWidth="1"/>
    <col min="1310" max="1310" width="11" style="17" customWidth="1"/>
    <col min="1311" max="1311" width="12" style="17" bestFit="1" customWidth="1"/>
    <col min="1312" max="1312" width="14.77734375" style="17" customWidth="1"/>
    <col min="1313" max="1562" width="11.44140625" style="17"/>
    <col min="1563" max="1563" width="18.77734375" style="17" customWidth="1"/>
    <col min="1564" max="1564" width="13.77734375" style="17" bestFit="1" customWidth="1"/>
    <col min="1565" max="1565" width="17.21875" style="17" customWidth="1"/>
    <col min="1566" max="1566" width="11" style="17" customWidth="1"/>
    <col min="1567" max="1567" width="12" style="17" bestFit="1" customWidth="1"/>
    <col min="1568" max="1568" width="14.77734375" style="17" customWidth="1"/>
    <col min="1569" max="1818" width="11.44140625" style="17"/>
    <col min="1819" max="1819" width="18.77734375" style="17" customWidth="1"/>
    <col min="1820" max="1820" width="13.77734375" style="17" bestFit="1" customWidth="1"/>
    <col min="1821" max="1821" width="17.21875" style="17" customWidth="1"/>
    <col min="1822" max="1822" width="11" style="17" customWidth="1"/>
    <col min="1823" max="1823" width="12" style="17" bestFit="1" customWidth="1"/>
    <col min="1824" max="1824" width="14.77734375" style="17" customWidth="1"/>
    <col min="1825" max="2074" width="11.44140625" style="17"/>
    <col min="2075" max="2075" width="18.77734375" style="17" customWidth="1"/>
    <col min="2076" max="2076" width="13.77734375" style="17" bestFit="1" customWidth="1"/>
    <col min="2077" max="2077" width="17.21875" style="17" customWidth="1"/>
    <col min="2078" max="2078" width="11" style="17" customWidth="1"/>
    <col min="2079" max="2079" width="12" style="17" bestFit="1" customWidth="1"/>
    <col min="2080" max="2080" width="14.77734375" style="17" customWidth="1"/>
    <col min="2081" max="2330" width="11.44140625" style="17"/>
    <col min="2331" max="2331" width="18.77734375" style="17" customWidth="1"/>
    <col min="2332" max="2332" width="13.77734375" style="17" bestFit="1" customWidth="1"/>
    <col min="2333" max="2333" width="17.21875" style="17" customWidth="1"/>
    <col min="2334" max="2334" width="11" style="17" customWidth="1"/>
    <col min="2335" max="2335" width="12" style="17" bestFit="1" customWidth="1"/>
    <col min="2336" max="2336" width="14.77734375" style="17" customWidth="1"/>
    <col min="2337" max="2586" width="11.44140625" style="17"/>
    <col min="2587" max="2587" width="18.77734375" style="17" customWidth="1"/>
    <col min="2588" max="2588" width="13.77734375" style="17" bestFit="1" customWidth="1"/>
    <col min="2589" max="2589" width="17.21875" style="17" customWidth="1"/>
    <col min="2590" max="2590" width="11" style="17" customWidth="1"/>
    <col min="2591" max="2591" width="12" style="17" bestFit="1" customWidth="1"/>
    <col min="2592" max="2592" width="14.77734375" style="17" customWidth="1"/>
    <col min="2593" max="2842" width="11.44140625" style="17"/>
    <col min="2843" max="2843" width="18.77734375" style="17" customWidth="1"/>
    <col min="2844" max="2844" width="13.77734375" style="17" bestFit="1" customWidth="1"/>
    <col min="2845" max="2845" width="17.21875" style="17" customWidth="1"/>
    <col min="2846" max="2846" width="11" style="17" customWidth="1"/>
    <col min="2847" max="2847" width="12" style="17" bestFit="1" customWidth="1"/>
    <col min="2848" max="2848" width="14.77734375" style="17" customWidth="1"/>
    <col min="2849" max="3098" width="11.44140625" style="17"/>
    <col min="3099" max="3099" width="18.77734375" style="17" customWidth="1"/>
    <col min="3100" max="3100" width="13.77734375" style="17" bestFit="1" customWidth="1"/>
    <col min="3101" max="3101" width="17.21875" style="17" customWidth="1"/>
    <col min="3102" max="3102" width="11" style="17" customWidth="1"/>
    <col min="3103" max="3103" width="12" style="17" bestFit="1" customWidth="1"/>
    <col min="3104" max="3104" width="14.77734375" style="17" customWidth="1"/>
    <col min="3105" max="3354" width="11.44140625" style="17"/>
    <col min="3355" max="3355" width="18.77734375" style="17" customWidth="1"/>
    <col min="3356" max="3356" width="13.77734375" style="17" bestFit="1" customWidth="1"/>
    <col min="3357" max="3357" width="17.21875" style="17" customWidth="1"/>
    <col min="3358" max="3358" width="11" style="17" customWidth="1"/>
    <col min="3359" max="3359" width="12" style="17" bestFit="1" customWidth="1"/>
    <col min="3360" max="3360" width="14.77734375" style="17" customWidth="1"/>
    <col min="3361" max="3610" width="11.44140625" style="17"/>
    <col min="3611" max="3611" width="18.77734375" style="17" customWidth="1"/>
    <col min="3612" max="3612" width="13.77734375" style="17" bestFit="1" customWidth="1"/>
    <col min="3613" max="3613" width="17.21875" style="17" customWidth="1"/>
    <col min="3614" max="3614" width="11" style="17" customWidth="1"/>
    <col min="3615" max="3615" width="12" style="17" bestFit="1" customWidth="1"/>
    <col min="3616" max="3616" width="14.77734375" style="17" customWidth="1"/>
    <col min="3617" max="3866" width="11.44140625" style="17"/>
    <col min="3867" max="3867" width="18.77734375" style="17" customWidth="1"/>
    <col min="3868" max="3868" width="13.77734375" style="17" bestFit="1" customWidth="1"/>
    <col min="3869" max="3869" width="17.21875" style="17" customWidth="1"/>
    <col min="3870" max="3870" width="11" style="17" customWidth="1"/>
    <col min="3871" max="3871" width="12" style="17" bestFit="1" customWidth="1"/>
    <col min="3872" max="3872" width="14.77734375" style="17" customWidth="1"/>
    <col min="3873" max="4122" width="11.44140625" style="17"/>
    <col min="4123" max="4123" width="18.77734375" style="17" customWidth="1"/>
    <col min="4124" max="4124" width="13.77734375" style="17" bestFit="1" customWidth="1"/>
    <col min="4125" max="4125" width="17.21875" style="17" customWidth="1"/>
    <col min="4126" max="4126" width="11" style="17" customWidth="1"/>
    <col min="4127" max="4127" width="12" style="17" bestFit="1" customWidth="1"/>
    <col min="4128" max="4128" width="14.77734375" style="17" customWidth="1"/>
    <col min="4129" max="4378" width="11.44140625" style="17"/>
    <col min="4379" max="4379" width="18.77734375" style="17" customWidth="1"/>
    <col min="4380" max="4380" width="13.77734375" style="17" bestFit="1" customWidth="1"/>
    <col min="4381" max="4381" width="17.21875" style="17" customWidth="1"/>
    <col min="4382" max="4382" width="11" style="17" customWidth="1"/>
    <col min="4383" max="4383" width="12" style="17" bestFit="1" customWidth="1"/>
    <col min="4384" max="4384" width="14.77734375" style="17" customWidth="1"/>
    <col min="4385" max="4634" width="11.44140625" style="17"/>
    <col min="4635" max="4635" width="18.77734375" style="17" customWidth="1"/>
    <col min="4636" max="4636" width="13.77734375" style="17" bestFit="1" customWidth="1"/>
    <col min="4637" max="4637" width="17.21875" style="17" customWidth="1"/>
    <col min="4638" max="4638" width="11" style="17" customWidth="1"/>
    <col min="4639" max="4639" width="12" style="17" bestFit="1" customWidth="1"/>
    <col min="4640" max="4640" width="14.77734375" style="17" customWidth="1"/>
    <col min="4641" max="4890" width="11.44140625" style="17"/>
    <col min="4891" max="4891" width="18.77734375" style="17" customWidth="1"/>
    <col min="4892" max="4892" width="13.77734375" style="17" bestFit="1" customWidth="1"/>
    <col min="4893" max="4893" width="17.21875" style="17" customWidth="1"/>
    <col min="4894" max="4894" width="11" style="17" customWidth="1"/>
    <col min="4895" max="4895" width="12" style="17" bestFit="1" customWidth="1"/>
    <col min="4896" max="4896" width="14.77734375" style="17" customWidth="1"/>
    <col min="4897" max="5146" width="11.44140625" style="17"/>
    <col min="5147" max="5147" width="18.77734375" style="17" customWidth="1"/>
    <col min="5148" max="5148" width="13.77734375" style="17" bestFit="1" customWidth="1"/>
    <col min="5149" max="5149" width="17.21875" style="17" customWidth="1"/>
    <col min="5150" max="5150" width="11" style="17" customWidth="1"/>
    <col min="5151" max="5151" width="12" style="17" bestFit="1" customWidth="1"/>
    <col min="5152" max="5152" width="14.77734375" style="17" customWidth="1"/>
    <col min="5153" max="5402" width="11.44140625" style="17"/>
    <col min="5403" max="5403" width="18.77734375" style="17" customWidth="1"/>
    <col min="5404" max="5404" width="13.77734375" style="17" bestFit="1" customWidth="1"/>
    <col min="5405" max="5405" width="17.21875" style="17" customWidth="1"/>
    <col min="5406" max="5406" width="11" style="17" customWidth="1"/>
    <col min="5407" max="5407" width="12" style="17" bestFit="1" customWidth="1"/>
    <col min="5408" max="5408" width="14.77734375" style="17" customWidth="1"/>
    <col min="5409" max="5658" width="11.44140625" style="17"/>
    <col min="5659" max="5659" width="18.77734375" style="17" customWidth="1"/>
    <col min="5660" max="5660" width="13.77734375" style="17" bestFit="1" customWidth="1"/>
    <col min="5661" max="5661" width="17.21875" style="17" customWidth="1"/>
    <col min="5662" max="5662" width="11" style="17" customWidth="1"/>
    <col min="5663" max="5663" width="12" style="17" bestFit="1" customWidth="1"/>
    <col min="5664" max="5664" width="14.77734375" style="17" customWidth="1"/>
    <col min="5665" max="5914" width="11.44140625" style="17"/>
    <col min="5915" max="5915" width="18.77734375" style="17" customWidth="1"/>
    <col min="5916" max="5916" width="13.77734375" style="17" bestFit="1" customWidth="1"/>
    <col min="5917" max="5917" width="17.21875" style="17" customWidth="1"/>
    <col min="5918" max="5918" width="11" style="17" customWidth="1"/>
    <col min="5919" max="5919" width="12" style="17" bestFit="1" customWidth="1"/>
    <col min="5920" max="5920" width="14.77734375" style="17" customWidth="1"/>
    <col min="5921" max="6170" width="11.44140625" style="17"/>
    <col min="6171" max="6171" width="18.77734375" style="17" customWidth="1"/>
    <col min="6172" max="6172" width="13.77734375" style="17" bestFit="1" customWidth="1"/>
    <col min="6173" max="6173" width="17.21875" style="17" customWidth="1"/>
    <col min="6174" max="6174" width="11" style="17" customWidth="1"/>
    <col min="6175" max="6175" width="12" style="17" bestFit="1" customWidth="1"/>
    <col min="6176" max="6176" width="14.77734375" style="17" customWidth="1"/>
    <col min="6177" max="6426" width="11.44140625" style="17"/>
    <col min="6427" max="6427" width="18.77734375" style="17" customWidth="1"/>
    <col min="6428" max="6428" width="13.77734375" style="17" bestFit="1" customWidth="1"/>
    <col min="6429" max="6429" width="17.21875" style="17" customWidth="1"/>
    <col min="6430" max="6430" width="11" style="17" customWidth="1"/>
    <col min="6431" max="6431" width="12" style="17" bestFit="1" customWidth="1"/>
    <col min="6432" max="6432" width="14.77734375" style="17" customWidth="1"/>
    <col min="6433" max="6682" width="11.44140625" style="17"/>
    <col min="6683" max="6683" width="18.77734375" style="17" customWidth="1"/>
    <col min="6684" max="6684" width="13.77734375" style="17" bestFit="1" customWidth="1"/>
    <col min="6685" max="6685" width="17.21875" style="17" customWidth="1"/>
    <col min="6686" max="6686" width="11" style="17" customWidth="1"/>
    <col min="6687" max="6687" width="12" style="17" bestFit="1" customWidth="1"/>
    <col min="6688" max="6688" width="14.77734375" style="17" customWidth="1"/>
    <col min="6689" max="6938" width="11.44140625" style="17"/>
    <col min="6939" max="6939" width="18.77734375" style="17" customWidth="1"/>
    <col min="6940" max="6940" width="13.77734375" style="17" bestFit="1" customWidth="1"/>
    <col min="6941" max="6941" width="17.21875" style="17" customWidth="1"/>
    <col min="6942" max="6942" width="11" style="17" customWidth="1"/>
    <col min="6943" max="6943" width="12" style="17" bestFit="1" customWidth="1"/>
    <col min="6944" max="6944" width="14.77734375" style="17" customWidth="1"/>
    <col min="6945" max="7194" width="11.44140625" style="17"/>
    <col min="7195" max="7195" width="18.77734375" style="17" customWidth="1"/>
    <col min="7196" max="7196" width="13.77734375" style="17" bestFit="1" customWidth="1"/>
    <col min="7197" max="7197" width="17.21875" style="17" customWidth="1"/>
    <col min="7198" max="7198" width="11" style="17" customWidth="1"/>
    <col min="7199" max="7199" width="12" style="17" bestFit="1" customWidth="1"/>
    <col min="7200" max="7200" width="14.77734375" style="17" customWidth="1"/>
    <col min="7201" max="7450" width="11.44140625" style="17"/>
    <col min="7451" max="7451" width="18.77734375" style="17" customWidth="1"/>
    <col min="7452" max="7452" width="13.77734375" style="17" bestFit="1" customWidth="1"/>
    <col min="7453" max="7453" width="17.21875" style="17" customWidth="1"/>
    <col min="7454" max="7454" width="11" style="17" customWidth="1"/>
    <col min="7455" max="7455" width="12" style="17" bestFit="1" customWidth="1"/>
    <col min="7456" max="7456" width="14.77734375" style="17" customWidth="1"/>
    <col min="7457" max="7706" width="11.44140625" style="17"/>
    <col min="7707" max="7707" width="18.77734375" style="17" customWidth="1"/>
    <col min="7708" max="7708" width="13.77734375" style="17" bestFit="1" customWidth="1"/>
    <col min="7709" max="7709" width="17.21875" style="17" customWidth="1"/>
    <col min="7710" max="7710" width="11" style="17" customWidth="1"/>
    <col min="7711" max="7711" width="12" style="17" bestFit="1" customWidth="1"/>
    <col min="7712" max="7712" width="14.77734375" style="17" customWidth="1"/>
    <col min="7713" max="7962" width="11.44140625" style="17"/>
    <col min="7963" max="7963" width="18.77734375" style="17" customWidth="1"/>
    <col min="7964" max="7964" width="13.77734375" style="17" bestFit="1" customWidth="1"/>
    <col min="7965" max="7965" width="17.21875" style="17" customWidth="1"/>
    <col min="7966" max="7966" width="11" style="17" customWidth="1"/>
    <col min="7967" max="7967" width="12" style="17" bestFit="1" customWidth="1"/>
    <col min="7968" max="7968" width="14.77734375" style="17" customWidth="1"/>
    <col min="7969" max="8218" width="11.44140625" style="17"/>
    <col min="8219" max="8219" width="18.77734375" style="17" customWidth="1"/>
    <col min="8220" max="8220" width="13.77734375" style="17" bestFit="1" customWidth="1"/>
    <col min="8221" max="8221" width="17.21875" style="17" customWidth="1"/>
    <col min="8222" max="8222" width="11" style="17" customWidth="1"/>
    <col min="8223" max="8223" width="12" style="17" bestFit="1" customWidth="1"/>
    <col min="8224" max="8224" width="14.77734375" style="17" customWidth="1"/>
    <col min="8225" max="8474" width="11.44140625" style="17"/>
    <col min="8475" max="8475" width="18.77734375" style="17" customWidth="1"/>
    <col min="8476" max="8476" width="13.77734375" style="17" bestFit="1" customWidth="1"/>
    <col min="8477" max="8477" width="17.21875" style="17" customWidth="1"/>
    <col min="8478" max="8478" width="11" style="17" customWidth="1"/>
    <col min="8479" max="8479" width="12" style="17" bestFit="1" customWidth="1"/>
    <col min="8480" max="8480" width="14.77734375" style="17" customWidth="1"/>
    <col min="8481" max="8730" width="11.44140625" style="17"/>
    <col min="8731" max="8731" width="18.77734375" style="17" customWidth="1"/>
    <col min="8732" max="8732" width="13.77734375" style="17" bestFit="1" customWidth="1"/>
    <col min="8733" max="8733" width="17.21875" style="17" customWidth="1"/>
    <col min="8734" max="8734" width="11" style="17" customWidth="1"/>
    <col min="8735" max="8735" width="12" style="17" bestFit="1" customWidth="1"/>
    <col min="8736" max="8736" width="14.77734375" style="17" customWidth="1"/>
    <col min="8737" max="8986" width="11.44140625" style="17"/>
    <col min="8987" max="8987" width="18.77734375" style="17" customWidth="1"/>
    <col min="8988" max="8988" width="13.77734375" style="17" bestFit="1" customWidth="1"/>
    <col min="8989" max="8989" width="17.21875" style="17" customWidth="1"/>
    <col min="8990" max="8990" width="11" style="17" customWidth="1"/>
    <col min="8991" max="8991" width="12" style="17" bestFit="1" customWidth="1"/>
    <col min="8992" max="8992" width="14.77734375" style="17" customWidth="1"/>
    <col min="8993" max="9242" width="11.44140625" style="17"/>
    <col min="9243" max="9243" width="18.77734375" style="17" customWidth="1"/>
    <col min="9244" max="9244" width="13.77734375" style="17" bestFit="1" customWidth="1"/>
    <col min="9245" max="9245" width="17.21875" style="17" customWidth="1"/>
    <col min="9246" max="9246" width="11" style="17" customWidth="1"/>
    <col min="9247" max="9247" width="12" style="17" bestFit="1" customWidth="1"/>
    <col min="9248" max="9248" width="14.77734375" style="17" customWidth="1"/>
    <col min="9249" max="9498" width="11.44140625" style="17"/>
    <col min="9499" max="9499" width="18.77734375" style="17" customWidth="1"/>
    <col min="9500" max="9500" width="13.77734375" style="17" bestFit="1" customWidth="1"/>
    <col min="9501" max="9501" width="17.21875" style="17" customWidth="1"/>
    <col min="9502" max="9502" width="11" style="17" customWidth="1"/>
    <col min="9503" max="9503" width="12" style="17" bestFit="1" customWidth="1"/>
    <col min="9504" max="9504" width="14.77734375" style="17" customWidth="1"/>
    <col min="9505" max="9754" width="11.44140625" style="17"/>
    <col min="9755" max="9755" width="18.77734375" style="17" customWidth="1"/>
    <col min="9756" max="9756" width="13.77734375" style="17" bestFit="1" customWidth="1"/>
    <col min="9757" max="9757" width="17.21875" style="17" customWidth="1"/>
    <col min="9758" max="9758" width="11" style="17" customWidth="1"/>
    <col min="9759" max="9759" width="12" style="17" bestFit="1" customWidth="1"/>
    <col min="9760" max="9760" width="14.77734375" style="17" customWidth="1"/>
    <col min="9761" max="10010" width="11.44140625" style="17"/>
    <col min="10011" max="10011" width="18.77734375" style="17" customWidth="1"/>
    <col min="10012" max="10012" width="13.77734375" style="17" bestFit="1" customWidth="1"/>
    <col min="10013" max="10013" width="17.21875" style="17" customWidth="1"/>
    <col min="10014" max="10014" width="11" style="17" customWidth="1"/>
    <col min="10015" max="10015" width="12" style="17" bestFit="1" customWidth="1"/>
    <col min="10016" max="10016" width="14.77734375" style="17" customWidth="1"/>
    <col min="10017" max="10266" width="11.44140625" style="17"/>
    <col min="10267" max="10267" width="18.77734375" style="17" customWidth="1"/>
    <col min="10268" max="10268" width="13.77734375" style="17" bestFit="1" customWidth="1"/>
    <col min="10269" max="10269" width="17.21875" style="17" customWidth="1"/>
    <col min="10270" max="10270" width="11" style="17" customWidth="1"/>
    <col min="10271" max="10271" width="12" style="17" bestFit="1" customWidth="1"/>
    <col min="10272" max="10272" width="14.77734375" style="17" customWidth="1"/>
    <col min="10273" max="10522" width="11.44140625" style="17"/>
    <col min="10523" max="10523" width="18.77734375" style="17" customWidth="1"/>
    <col min="10524" max="10524" width="13.77734375" style="17" bestFit="1" customWidth="1"/>
    <col min="10525" max="10525" width="17.21875" style="17" customWidth="1"/>
    <col min="10526" max="10526" width="11" style="17" customWidth="1"/>
    <col min="10527" max="10527" width="12" style="17" bestFit="1" customWidth="1"/>
    <col min="10528" max="10528" width="14.77734375" style="17" customWidth="1"/>
    <col min="10529" max="10778" width="11.44140625" style="17"/>
    <col min="10779" max="10779" width="18.77734375" style="17" customWidth="1"/>
    <col min="10780" max="10780" width="13.77734375" style="17" bestFit="1" customWidth="1"/>
    <col min="10781" max="10781" width="17.21875" style="17" customWidth="1"/>
    <col min="10782" max="10782" width="11" style="17" customWidth="1"/>
    <col min="10783" max="10783" width="12" style="17" bestFit="1" customWidth="1"/>
    <col min="10784" max="10784" width="14.77734375" style="17" customWidth="1"/>
    <col min="10785" max="11034" width="11.44140625" style="17"/>
    <col min="11035" max="11035" width="18.77734375" style="17" customWidth="1"/>
    <col min="11036" max="11036" width="13.77734375" style="17" bestFit="1" customWidth="1"/>
    <col min="11037" max="11037" width="17.21875" style="17" customWidth="1"/>
    <col min="11038" max="11038" width="11" style="17" customWidth="1"/>
    <col min="11039" max="11039" width="12" style="17" bestFit="1" customWidth="1"/>
    <col min="11040" max="11040" width="14.77734375" style="17" customWidth="1"/>
    <col min="11041" max="11290" width="11.44140625" style="17"/>
    <col min="11291" max="11291" width="18.77734375" style="17" customWidth="1"/>
    <col min="11292" max="11292" width="13.77734375" style="17" bestFit="1" customWidth="1"/>
    <col min="11293" max="11293" width="17.21875" style="17" customWidth="1"/>
    <col min="11294" max="11294" width="11" style="17" customWidth="1"/>
    <col min="11295" max="11295" width="12" style="17" bestFit="1" customWidth="1"/>
    <col min="11296" max="11296" width="14.77734375" style="17" customWidth="1"/>
    <col min="11297" max="11546" width="11.44140625" style="17"/>
    <col min="11547" max="11547" width="18.77734375" style="17" customWidth="1"/>
    <col min="11548" max="11548" width="13.77734375" style="17" bestFit="1" customWidth="1"/>
    <col min="11549" max="11549" width="17.21875" style="17" customWidth="1"/>
    <col min="11550" max="11550" width="11" style="17" customWidth="1"/>
    <col min="11551" max="11551" width="12" style="17" bestFit="1" customWidth="1"/>
    <col min="11552" max="11552" width="14.77734375" style="17" customWidth="1"/>
    <col min="11553" max="11802" width="11.44140625" style="17"/>
    <col min="11803" max="11803" width="18.77734375" style="17" customWidth="1"/>
    <col min="11804" max="11804" width="13.77734375" style="17" bestFit="1" customWidth="1"/>
    <col min="11805" max="11805" width="17.21875" style="17" customWidth="1"/>
    <col min="11806" max="11806" width="11" style="17" customWidth="1"/>
    <col min="11807" max="11807" width="12" style="17" bestFit="1" customWidth="1"/>
    <col min="11808" max="11808" width="14.77734375" style="17" customWidth="1"/>
    <col min="11809" max="12058" width="11.44140625" style="17"/>
    <col min="12059" max="12059" width="18.77734375" style="17" customWidth="1"/>
    <col min="12060" max="12060" width="13.77734375" style="17" bestFit="1" customWidth="1"/>
    <col min="12061" max="12061" width="17.21875" style="17" customWidth="1"/>
    <col min="12062" max="12062" width="11" style="17" customWidth="1"/>
    <col min="12063" max="12063" width="12" style="17" bestFit="1" customWidth="1"/>
    <col min="12064" max="12064" width="14.77734375" style="17" customWidth="1"/>
    <col min="12065" max="12314" width="11.44140625" style="17"/>
    <col min="12315" max="12315" width="18.77734375" style="17" customWidth="1"/>
    <col min="12316" max="12316" width="13.77734375" style="17" bestFit="1" customWidth="1"/>
    <col min="12317" max="12317" width="17.21875" style="17" customWidth="1"/>
    <col min="12318" max="12318" width="11" style="17" customWidth="1"/>
    <col min="12319" max="12319" width="12" style="17" bestFit="1" customWidth="1"/>
    <col min="12320" max="12320" width="14.77734375" style="17" customWidth="1"/>
    <col min="12321" max="12570" width="11.44140625" style="17"/>
    <col min="12571" max="12571" width="18.77734375" style="17" customWidth="1"/>
    <col min="12572" max="12572" width="13.77734375" style="17" bestFit="1" customWidth="1"/>
    <col min="12573" max="12573" width="17.21875" style="17" customWidth="1"/>
    <col min="12574" max="12574" width="11" style="17" customWidth="1"/>
    <col min="12575" max="12575" width="12" style="17" bestFit="1" customWidth="1"/>
    <col min="12576" max="12576" width="14.77734375" style="17" customWidth="1"/>
    <col min="12577" max="12826" width="11.44140625" style="17"/>
    <col min="12827" max="12827" width="18.77734375" style="17" customWidth="1"/>
    <col min="12828" max="12828" width="13.77734375" style="17" bestFit="1" customWidth="1"/>
    <col min="12829" max="12829" width="17.21875" style="17" customWidth="1"/>
    <col min="12830" max="12830" width="11" style="17" customWidth="1"/>
    <col min="12831" max="12831" width="12" style="17" bestFit="1" customWidth="1"/>
    <col min="12832" max="12832" width="14.77734375" style="17" customWidth="1"/>
    <col min="12833" max="13082" width="11.44140625" style="17"/>
    <col min="13083" max="13083" width="18.77734375" style="17" customWidth="1"/>
    <col min="13084" max="13084" width="13.77734375" style="17" bestFit="1" customWidth="1"/>
    <col min="13085" max="13085" width="17.21875" style="17" customWidth="1"/>
    <col min="13086" max="13086" width="11" style="17" customWidth="1"/>
    <col min="13087" max="13087" width="12" style="17" bestFit="1" customWidth="1"/>
    <col min="13088" max="13088" width="14.77734375" style="17" customWidth="1"/>
    <col min="13089" max="13338" width="11.44140625" style="17"/>
    <col min="13339" max="13339" width="18.77734375" style="17" customWidth="1"/>
    <col min="13340" max="13340" width="13.77734375" style="17" bestFit="1" customWidth="1"/>
    <col min="13341" max="13341" width="17.21875" style="17" customWidth="1"/>
    <col min="13342" max="13342" width="11" style="17" customWidth="1"/>
    <col min="13343" max="13343" width="12" style="17" bestFit="1" customWidth="1"/>
    <col min="13344" max="13344" width="14.77734375" style="17" customWidth="1"/>
    <col min="13345" max="13594" width="11.44140625" style="17"/>
    <col min="13595" max="13595" width="18.77734375" style="17" customWidth="1"/>
    <col min="13596" max="13596" width="13.77734375" style="17" bestFit="1" customWidth="1"/>
    <col min="13597" max="13597" width="17.21875" style="17" customWidth="1"/>
    <col min="13598" max="13598" width="11" style="17" customWidth="1"/>
    <col min="13599" max="13599" width="12" style="17" bestFit="1" customWidth="1"/>
    <col min="13600" max="13600" width="14.77734375" style="17" customWidth="1"/>
    <col min="13601" max="13850" width="11.44140625" style="17"/>
    <col min="13851" max="13851" width="18.77734375" style="17" customWidth="1"/>
    <col min="13852" max="13852" width="13.77734375" style="17" bestFit="1" customWidth="1"/>
    <col min="13853" max="13853" width="17.21875" style="17" customWidth="1"/>
    <col min="13854" max="13854" width="11" style="17" customWidth="1"/>
    <col min="13855" max="13855" width="12" style="17" bestFit="1" customWidth="1"/>
    <col min="13856" max="13856" width="14.77734375" style="17" customWidth="1"/>
    <col min="13857" max="14106" width="11.44140625" style="17"/>
    <col min="14107" max="14107" width="18.77734375" style="17" customWidth="1"/>
    <col min="14108" max="14108" width="13.77734375" style="17" bestFit="1" customWidth="1"/>
    <col min="14109" max="14109" width="17.21875" style="17" customWidth="1"/>
    <col min="14110" max="14110" width="11" style="17" customWidth="1"/>
    <col min="14111" max="14111" width="12" style="17" bestFit="1" customWidth="1"/>
    <col min="14112" max="14112" width="14.77734375" style="17" customWidth="1"/>
    <col min="14113" max="14362" width="11.44140625" style="17"/>
    <col min="14363" max="14363" width="18.77734375" style="17" customWidth="1"/>
    <col min="14364" max="14364" width="13.77734375" style="17" bestFit="1" customWidth="1"/>
    <col min="14365" max="14365" width="17.21875" style="17" customWidth="1"/>
    <col min="14366" max="14366" width="11" style="17" customWidth="1"/>
    <col min="14367" max="14367" width="12" style="17" bestFit="1" customWidth="1"/>
    <col min="14368" max="14368" width="14.77734375" style="17" customWidth="1"/>
    <col min="14369" max="14618" width="11.44140625" style="17"/>
    <col min="14619" max="14619" width="18.77734375" style="17" customWidth="1"/>
    <col min="14620" max="14620" width="13.77734375" style="17" bestFit="1" customWidth="1"/>
    <col min="14621" max="14621" width="17.21875" style="17" customWidth="1"/>
    <col min="14622" max="14622" width="11" style="17" customWidth="1"/>
    <col min="14623" max="14623" width="12" style="17" bestFit="1" customWidth="1"/>
    <col min="14624" max="14624" width="14.77734375" style="17" customWidth="1"/>
    <col min="14625" max="14874" width="11.44140625" style="17"/>
    <col min="14875" max="14875" width="18.77734375" style="17" customWidth="1"/>
    <col min="14876" max="14876" width="13.77734375" style="17" bestFit="1" customWidth="1"/>
    <col min="14877" max="14877" width="17.21875" style="17" customWidth="1"/>
    <col min="14878" max="14878" width="11" style="17" customWidth="1"/>
    <col min="14879" max="14879" width="12" style="17" bestFit="1" customWidth="1"/>
    <col min="14880" max="14880" width="14.77734375" style="17" customWidth="1"/>
    <col min="14881" max="15130" width="11.44140625" style="17"/>
    <col min="15131" max="15131" width="18.77734375" style="17" customWidth="1"/>
    <col min="15132" max="15132" width="13.77734375" style="17" bestFit="1" customWidth="1"/>
    <col min="15133" max="15133" width="17.21875" style="17" customWidth="1"/>
    <col min="15134" max="15134" width="11" style="17" customWidth="1"/>
    <col min="15135" max="15135" width="12" style="17" bestFit="1" customWidth="1"/>
    <col min="15136" max="15136" width="14.77734375" style="17" customWidth="1"/>
    <col min="15137" max="15386" width="11.44140625" style="17"/>
    <col min="15387" max="15387" width="18.77734375" style="17" customWidth="1"/>
    <col min="15388" max="15388" width="13.77734375" style="17" bestFit="1" customWidth="1"/>
    <col min="15389" max="15389" width="17.21875" style="17" customWidth="1"/>
    <col min="15390" max="15390" width="11" style="17" customWidth="1"/>
    <col min="15391" max="15391" width="12" style="17" bestFit="1" customWidth="1"/>
    <col min="15392" max="15392" width="14.77734375" style="17" customWidth="1"/>
    <col min="15393" max="15642" width="11.44140625" style="17"/>
    <col min="15643" max="15643" width="18.77734375" style="17" customWidth="1"/>
    <col min="15644" max="15644" width="13.77734375" style="17" bestFit="1" customWidth="1"/>
    <col min="15645" max="15645" width="17.21875" style="17" customWidth="1"/>
    <col min="15646" max="15646" width="11" style="17" customWidth="1"/>
    <col min="15647" max="15647" width="12" style="17" bestFit="1" customWidth="1"/>
    <col min="15648" max="15648" width="14.77734375" style="17" customWidth="1"/>
    <col min="15649" max="15898" width="11.44140625" style="17"/>
    <col min="15899" max="15899" width="18.77734375" style="17" customWidth="1"/>
    <col min="15900" max="15900" width="13.77734375" style="17" bestFit="1" customWidth="1"/>
    <col min="15901" max="15901" width="17.21875" style="17" customWidth="1"/>
    <col min="15902" max="15902" width="11" style="17" customWidth="1"/>
    <col min="15903" max="15903" width="12" style="17" bestFit="1" customWidth="1"/>
    <col min="15904" max="15904" width="14.77734375" style="17" customWidth="1"/>
    <col min="15905" max="16154" width="11.44140625" style="17"/>
    <col min="16155" max="16155" width="18.77734375" style="17" customWidth="1"/>
    <col min="16156" max="16156" width="13.77734375" style="17" bestFit="1" customWidth="1"/>
    <col min="16157" max="16157" width="17.21875" style="17" customWidth="1"/>
    <col min="16158" max="16158" width="11" style="17" customWidth="1"/>
    <col min="16159" max="16159" width="12" style="17" bestFit="1" customWidth="1"/>
    <col min="16160" max="16160" width="14.77734375" style="17" customWidth="1"/>
    <col min="16161" max="16384" width="11.44140625" style="17"/>
  </cols>
  <sheetData>
    <row r="2" spans="1:37" x14ac:dyDescent="0.25">
      <c r="A2" s="17" t="s">
        <v>70</v>
      </c>
      <c r="B2" s="63">
        <f>'pooled normalised values'!B75</f>
        <v>6.6835683850314201E-2</v>
      </c>
      <c r="D2" s="17" t="s">
        <v>9</v>
      </c>
      <c r="E2" s="18"/>
      <c r="F2" s="19" t="str">
        <f>'pooled normalised values'!J74</f>
        <v>Arabinose-0.1mg/L</v>
      </c>
      <c r="G2" s="19" t="str">
        <f>'pooled normalised values'!K74</f>
        <v>Arabinose-1mg/L</v>
      </c>
      <c r="H2" s="19" t="str">
        <f>'pooled normalised values'!L74</f>
        <v>Arabinose-10mg/L</v>
      </c>
      <c r="I2" s="19" t="str">
        <f>'pooled normalised values'!M74</f>
        <v>Arabinose-100mg/L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Arabinose-0.01mg/L + Testostérone</v>
      </c>
      <c r="W2" s="19" t="str">
        <f>'pooled normalised values'!S74</f>
        <v>Arabinose-0.1mg/L + Testostérone</v>
      </c>
      <c r="X2" s="19" t="str">
        <f>'pooled normalised values'!T74</f>
        <v>Arabinose-1mg/L + Testostérone</v>
      </c>
      <c r="Y2" s="19" t="str">
        <f>'pooled normalised values'!U74</f>
        <v>Arabinose-10mg/L + Testostérone</v>
      </c>
      <c r="Z2" s="19" t="str">
        <f>'pooled normalised values'!V74</f>
        <v>Arabinose-100mg/L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5">
      <c r="A3" s="17" t="s">
        <v>71</v>
      </c>
      <c r="B3" s="63">
        <f>'summary results'!E6</f>
        <v>0</v>
      </c>
      <c r="D3" s="21" t="s">
        <v>10</v>
      </c>
      <c r="E3" s="22"/>
      <c r="F3" s="19">
        <f>HLOOKUP(F2,'pooled normalised values'!B74:V83,2,FALSE)</f>
        <v>0.11176703685679847</v>
      </c>
      <c r="G3" s="19">
        <f>HLOOKUP(G2,'pooled normalised values'!C74:W83,2,FALSE)</f>
        <v>0.13358635856301154</v>
      </c>
      <c r="H3" s="19">
        <f>HLOOKUP(H2,'pooled normalised values'!C74:X83,2,FALSE)</f>
        <v>0.10831278123935195</v>
      </c>
      <c r="I3" s="19">
        <f>HLOOKUP(I2,'pooled normalised values'!D74:Y83,2,FALSE)</f>
        <v>0.10585948756421013</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0.95836270321139272</v>
      </c>
      <c r="W3" s="19">
        <f>HLOOKUP(W2,'pooled normalised values'!N74:AM83,2,FALSE)</f>
        <v>0.77156898611622982</v>
      </c>
      <c r="X3" s="19">
        <f>HLOOKUP(X2,'pooled normalised values'!N74:AN83,2,FALSE)</f>
        <v>1.1205204183273734</v>
      </c>
      <c r="Y3" s="19">
        <f>HLOOKUP(Y2,'pooled normalised values'!N74:AO83,2,FALSE)</f>
        <v>1.173126239970862</v>
      </c>
      <c r="Z3" s="19">
        <f>HLOOKUP(Z2,'pooled normalised values'!N74:AP83,2,FALSE)</f>
        <v>1.0396782704095602</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5">
      <c r="A4" s="17" t="s">
        <v>72</v>
      </c>
      <c r="B4" s="63">
        <f>'pooled normalised values'!O75</f>
        <v>1</v>
      </c>
      <c r="D4" s="21" t="s">
        <v>2</v>
      </c>
      <c r="E4" s="22"/>
      <c r="F4" s="19">
        <f>HLOOKUP(F2,'pooled normalised values'!B74:V83,3,FALSE)</f>
        <v>2.2287227345393398E-2</v>
      </c>
      <c r="G4" s="19">
        <f>HLOOKUP(G2,'pooled normalised values'!C74:W83,3,FALSE)</f>
        <v>4.1503401161372612E-2</v>
      </c>
      <c r="H4" s="19">
        <f>HLOOKUP(H2,'pooled normalised values'!C74:X83,3,FALSE)</f>
        <v>2.3781322289810967E-2</v>
      </c>
      <c r="I4" s="19">
        <f>HLOOKUP(I2,'pooled normalised values'!D74:Y83,3,FALSE)</f>
        <v>1.8945197165186469E-2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0.14987592453388895</v>
      </c>
      <c r="W4" s="19">
        <f>HLOOKUP(W2,'pooled normalised values'!N74:AM83,3,FALSE)</f>
        <v>0.14407911331545858</v>
      </c>
      <c r="X4" s="19">
        <f>HLOOKUP(X2,'pooled normalised values'!N74:AN83,3,FALSE)</f>
        <v>0.1593588546410693</v>
      </c>
      <c r="Y4" s="19">
        <f>HLOOKUP(Y2,'pooled normalised values'!N74:AO83,3,FALSE)</f>
        <v>0.14060810845849137</v>
      </c>
      <c r="Z4" s="19">
        <f>HLOOKUP(Z2,'pooled normalised values'!N74:AP83,3,FALSE)</f>
        <v>0.12368281619207236</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5">
      <c r="A5" s="17" t="s">
        <v>73</v>
      </c>
      <c r="B5" s="63">
        <f>'pooled normalised values'!P75</f>
        <v>2.2042217725511128</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ns</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5">
      <c r="A6" s="17" t="s">
        <v>74</v>
      </c>
      <c r="B6" s="63">
        <f>'pooled normalised values'!Q75</f>
        <v>9.4711579822730138E-2</v>
      </c>
      <c r="D6" s="21" t="s">
        <v>12</v>
      </c>
      <c r="E6" s="24">
        <f>$B$2</f>
        <v>6.6835683850314201E-2</v>
      </c>
      <c r="F6" s="24">
        <f>$B$2</f>
        <v>6.6835683850314201E-2</v>
      </c>
      <c r="G6" s="24">
        <f t="shared" ref="G6:R6" si="0">$B$2</f>
        <v>6.6835683850314201E-2</v>
      </c>
      <c r="H6" s="24">
        <f t="shared" si="0"/>
        <v>6.6835683850314201E-2</v>
      </c>
      <c r="I6" s="24">
        <f t="shared" si="0"/>
        <v>6.6835683850314201E-2</v>
      </c>
      <c r="J6" s="24">
        <f t="shared" si="0"/>
        <v>6.6835683850314201E-2</v>
      </c>
      <c r="K6" s="24">
        <f t="shared" si="0"/>
        <v>6.6835683850314201E-2</v>
      </c>
      <c r="L6" s="24">
        <f t="shared" si="0"/>
        <v>6.6835683850314201E-2</v>
      </c>
      <c r="M6" s="24">
        <f t="shared" si="0"/>
        <v>6.6835683850314201E-2</v>
      </c>
      <c r="N6" s="24">
        <f t="shared" si="0"/>
        <v>6.6835683850314201E-2</v>
      </c>
      <c r="O6" s="24">
        <f t="shared" si="0"/>
        <v>6.6835683850314201E-2</v>
      </c>
      <c r="P6" s="24">
        <f t="shared" si="0"/>
        <v>6.6835683850314201E-2</v>
      </c>
      <c r="Q6" s="24">
        <f t="shared" si="0"/>
        <v>6.6835683850314201E-2</v>
      </c>
      <c r="R6" s="24">
        <f t="shared" si="0"/>
        <v>6.6835683850314201E-2</v>
      </c>
      <c r="S6" s="24">
        <f>$B$2</f>
        <v>6.6835683850314201E-2</v>
      </c>
      <c r="T6" s="24">
        <f>$B$2</f>
        <v>6.6835683850314201E-2</v>
      </c>
      <c r="U6" s="25"/>
      <c r="V6" s="25"/>
      <c r="W6" s="25"/>
      <c r="X6" s="25"/>
      <c r="Y6" s="25"/>
      <c r="Z6" s="25"/>
      <c r="AA6" s="25"/>
      <c r="AB6" s="25"/>
      <c r="AC6" s="25"/>
      <c r="AD6" s="25"/>
      <c r="AE6" s="25"/>
      <c r="AF6" s="25"/>
      <c r="AG6" s="25"/>
      <c r="AH6" s="25"/>
      <c r="AI6" s="25"/>
      <c r="AJ6" s="25"/>
      <c r="AK6" s="21" t="s">
        <v>12</v>
      </c>
    </row>
    <row r="7" spans="1:37" x14ac:dyDescent="0.25">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5">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9.4711579822730138E-2</v>
      </c>
      <c r="V8" s="25">
        <f t="shared" ref="V8:AJ8" si="2">$B$6</f>
        <v>9.4711579822730138E-2</v>
      </c>
      <c r="W8" s="25">
        <f t="shared" si="2"/>
        <v>9.4711579822730138E-2</v>
      </c>
      <c r="X8" s="25">
        <f t="shared" si="2"/>
        <v>9.4711579822730138E-2</v>
      </c>
      <c r="Y8" s="25">
        <f t="shared" si="2"/>
        <v>9.4711579822730138E-2</v>
      </c>
      <c r="Z8" s="25">
        <f t="shared" si="2"/>
        <v>9.4711579822730138E-2</v>
      </c>
      <c r="AA8" s="25">
        <f t="shared" si="2"/>
        <v>9.4711579822730138E-2</v>
      </c>
      <c r="AB8" s="25">
        <f t="shared" si="2"/>
        <v>9.4711579822730138E-2</v>
      </c>
      <c r="AC8" s="25">
        <f t="shared" si="2"/>
        <v>9.4711579822730138E-2</v>
      </c>
      <c r="AD8" s="25">
        <f t="shared" si="2"/>
        <v>9.4711579822730138E-2</v>
      </c>
      <c r="AE8" s="25">
        <f t="shared" si="2"/>
        <v>9.4711579822730138E-2</v>
      </c>
      <c r="AF8" s="25">
        <f t="shared" si="2"/>
        <v>9.4711579822730138E-2</v>
      </c>
      <c r="AG8" s="25">
        <f t="shared" si="2"/>
        <v>9.4711579822730138E-2</v>
      </c>
      <c r="AH8" s="25">
        <f t="shared" si="2"/>
        <v>9.4711579822730138E-2</v>
      </c>
      <c r="AI8" s="25">
        <f t="shared" si="2"/>
        <v>9.4711579822730138E-2</v>
      </c>
      <c r="AJ8" s="25">
        <f t="shared" si="2"/>
        <v>9.4711579822730138E-2</v>
      </c>
      <c r="AK8" s="28" t="s">
        <v>14</v>
      </c>
    </row>
    <row r="9" spans="1:37" x14ac:dyDescent="0.25">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2.1095101927283828</v>
      </c>
      <c r="V9" s="25">
        <f>$B$5-V8</f>
        <v>2.1095101927283828</v>
      </c>
      <c r="W9" s="25">
        <f t="shared" ref="W9:AH9" si="4">$B$5-W8</f>
        <v>2.1095101927283828</v>
      </c>
      <c r="X9" s="25">
        <f t="shared" si="4"/>
        <v>2.1095101927283828</v>
      </c>
      <c r="Y9" s="25">
        <f t="shared" si="4"/>
        <v>2.1095101927283828</v>
      </c>
      <c r="Z9" s="25">
        <f t="shared" si="4"/>
        <v>2.1095101927283828</v>
      </c>
      <c r="AA9" s="25">
        <f t="shared" si="4"/>
        <v>2.1095101927283828</v>
      </c>
      <c r="AB9" s="25">
        <f t="shared" si="4"/>
        <v>2.1095101927283828</v>
      </c>
      <c r="AC9" s="25">
        <f t="shared" si="4"/>
        <v>2.1095101927283828</v>
      </c>
      <c r="AD9" s="25">
        <f t="shared" si="4"/>
        <v>2.1095101927283828</v>
      </c>
      <c r="AE9" s="25">
        <f t="shared" si="4"/>
        <v>2.1095101927283828</v>
      </c>
      <c r="AF9" s="25">
        <f t="shared" si="4"/>
        <v>2.1095101927283828</v>
      </c>
      <c r="AG9" s="25">
        <f t="shared" si="4"/>
        <v>2.1095101927283828</v>
      </c>
      <c r="AH9" s="25">
        <f t="shared" si="4"/>
        <v>2.1095101927283828</v>
      </c>
      <c r="AI9" s="25">
        <f>$B$5-AI8</f>
        <v>2.1095101927283828</v>
      </c>
      <c r="AJ9" s="25">
        <f>$B$5-AJ8</f>
        <v>2.1095101927283828</v>
      </c>
      <c r="AK9" s="28" t="s">
        <v>15</v>
      </c>
    </row>
    <row r="10" spans="1:37" x14ac:dyDescent="0.25">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0.3904898072716172</v>
      </c>
      <c r="V10" s="25">
        <f>2.5-V9</f>
        <v>0.3904898072716172</v>
      </c>
      <c r="W10" s="25">
        <f t="shared" ref="W10:AH10" si="6">2.5-W9</f>
        <v>0.3904898072716172</v>
      </c>
      <c r="X10" s="25">
        <f t="shared" si="6"/>
        <v>0.3904898072716172</v>
      </c>
      <c r="Y10" s="25">
        <f t="shared" si="6"/>
        <v>0.3904898072716172</v>
      </c>
      <c r="Z10" s="25">
        <f t="shared" si="6"/>
        <v>0.3904898072716172</v>
      </c>
      <c r="AA10" s="25">
        <f t="shared" si="6"/>
        <v>0.3904898072716172</v>
      </c>
      <c r="AB10" s="25">
        <f t="shared" si="6"/>
        <v>0.3904898072716172</v>
      </c>
      <c r="AC10" s="25">
        <f t="shared" si="6"/>
        <v>0.3904898072716172</v>
      </c>
      <c r="AD10" s="25">
        <f t="shared" si="6"/>
        <v>0.3904898072716172</v>
      </c>
      <c r="AE10" s="25">
        <f t="shared" si="6"/>
        <v>0.3904898072716172</v>
      </c>
      <c r="AF10" s="25">
        <f t="shared" si="6"/>
        <v>0.3904898072716172</v>
      </c>
      <c r="AG10" s="25">
        <f t="shared" si="6"/>
        <v>0.3904898072716172</v>
      </c>
      <c r="AH10" s="25">
        <f t="shared" si="6"/>
        <v>0.3904898072716172</v>
      </c>
      <c r="AI10" s="25">
        <f>2.5-AI9</f>
        <v>0.3904898072716172</v>
      </c>
      <c r="AJ10" s="25">
        <f>2.5-AJ9</f>
        <v>0.3904898072716172</v>
      </c>
      <c r="AK10" s="28" t="s">
        <v>16</v>
      </c>
    </row>
    <row r="17" spans="2:20" x14ac:dyDescent="0.25">
      <c r="C17" s="23"/>
      <c r="D17" s="23"/>
    </row>
    <row r="18" spans="2:20" x14ac:dyDescent="0.25">
      <c r="B18" s="30"/>
    </row>
    <row r="19" spans="2:20" x14ac:dyDescent="0.25">
      <c r="B19" s="30"/>
    </row>
    <row r="20" spans="2:20" x14ac:dyDescent="0.25">
      <c r="B20" s="31"/>
    </row>
    <row r="21" spans="2:20" x14ac:dyDescent="0.25">
      <c r="B21" s="30"/>
    </row>
    <row r="22" spans="2:20" x14ac:dyDescent="0.25">
      <c r="B22" s="30"/>
      <c r="T22" s="23"/>
    </row>
    <row r="23" spans="2:20" x14ac:dyDescent="0.25">
      <c r="B23" s="31"/>
      <c r="T23" s="23"/>
    </row>
    <row r="24" spans="2:20" x14ac:dyDescent="0.25">
      <c r="T24" s="23"/>
    </row>
  </sheetData>
  <pageMargins left="0.7" right="0.7" top="0.75" bottom="0.75" header="0.3" footer="0.3"/>
  <pageSetup paperSize="9" orientation="portrait" horizontalDpi="300" verticalDpi="300" r:id="rId1"/>
  <headerFooter>
    <oddFooter>&amp;C&amp;1#&amp;"Arial"&amp;10&amp;K000000Internal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defaultColWidth="11.5546875" defaultRowHeight="13.2" x14ac:dyDescent="0.25"/>
  <cols>
    <col min="1" max="1" width="18.77734375" style="17" customWidth="1"/>
    <col min="2" max="2" width="7.21875" style="17" bestFit="1" customWidth="1"/>
    <col min="3" max="3" width="10.5546875" style="17" customWidth="1"/>
    <col min="4" max="4" width="13.77734375" style="17" bestFit="1" customWidth="1"/>
    <col min="5" max="5" width="12" style="17" bestFit="1" customWidth="1"/>
    <col min="6" max="6" width="14.77734375" style="17" customWidth="1"/>
    <col min="7" max="8" width="11.44140625" style="17"/>
    <col min="9" max="9" width="13.5546875" style="17" bestFit="1" customWidth="1"/>
    <col min="10" max="256" width="11.44140625" style="17"/>
    <col min="257" max="257" width="18.77734375" style="17" customWidth="1"/>
    <col min="258" max="258" width="13.77734375" style="17" bestFit="1" customWidth="1"/>
    <col min="259" max="259" width="17.21875" style="17" customWidth="1"/>
    <col min="260" max="260" width="11" style="17" customWidth="1"/>
    <col min="261" max="261" width="12" style="17" bestFit="1" customWidth="1"/>
    <col min="262" max="262" width="14.77734375" style="17" customWidth="1"/>
    <col min="263" max="512" width="11.44140625" style="17"/>
    <col min="513" max="513" width="18.77734375" style="17" customWidth="1"/>
    <col min="514" max="514" width="13.77734375" style="17" bestFit="1" customWidth="1"/>
    <col min="515" max="515" width="17.21875" style="17" customWidth="1"/>
    <col min="516" max="516" width="11" style="17" customWidth="1"/>
    <col min="517" max="517" width="12" style="17" bestFit="1" customWidth="1"/>
    <col min="518" max="518" width="14.77734375" style="17" customWidth="1"/>
    <col min="519" max="768" width="11.44140625" style="17"/>
    <col min="769" max="769" width="18.77734375" style="17" customWidth="1"/>
    <col min="770" max="770" width="13.77734375" style="17" bestFit="1" customWidth="1"/>
    <col min="771" max="771" width="17.21875" style="17" customWidth="1"/>
    <col min="772" max="772" width="11" style="17" customWidth="1"/>
    <col min="773" max="773" width="12" style="17" bestFit="1" customWidth="1"/>
    <col min="774" max="774" width="14.77734375" style="17" customWidth="1"/>
    <col min="775" max="1024" width="11.44140625" style="17"/>
    <col min="1025" max="1025" width="18.77734375" style="17" customWidth="1"/>
    <col min="1026" max="1026" width="13.77734375" style="17" bestFit="1" customWidth="1"/>
    <col min="1027" max="1027" width="17.21875" style="17" customWidth="1"/>
    <col min="1028" max="1028" width="11" style="17" customWidth="1"/>
    <col min="1029" max="1029" width="12" style="17" bestFit="1" customWidth="1"/>
    <col min="1030" max="1030" width="14.77734375" style="17" customWidth="1"/>
    <col min="1031" max="1280" width="11.44140625" style="17"/>
    <col min="1281" max="1281" width="18.77734375" style="17" customWidth="1"/>
    <col min="1282" max="1282" width="13.77734375" style="17" bestFit="1" customWidth="1"/>
    <col min="1283" max="1283" width="17.21875" style="17" customWidth="1"/>
    <col min="1284" max="1284" width="11" style="17" customWidth="1"/>
    <col min="1285" max="1285" width="12" style="17" bestFit="1" customWidth="1"/>
    <col min="1286" max="1286" width="14.77734375" style="17" customWidth="1"/>
    <col min="1287" max="1536" width="11.44140625" style="17"/>
    <col min="1537" max="1537" width="18.77734375" style="17" customWidth="1"/>
    <col min="1538" max="1538" width="13.77734375" style="17" bestFit="1" customWidth="1"/>
    <col min="1539" max="1539" width="17.21875" style="17" customWidth="1"/>
    <col min="1540" max="1540" width="11" style="17" customWidth="1"/>
    <col min="1541" max="1541" width="12" style="17" bestFit="1" customWidth="1"/>
    <col min="1542" max="1542" width="14.77734375" style="17" customWidth="1"/>
    <col min="1543" max="1792" width="11.44140625" style="17"/>
    <col min="1793" max="1793" width="18.77734375" style="17" customWidth="1"/>
    <col min="1794" max="1794" width="13.77734375" style="17" bestFit="1" customWidth="1"/>
    <col min="1795" max="1795" width="17.21875" style="17" customWidth="1"/>
    <col min="1796" max="1796" width="11" style="17" customWidth="1"/>
    <col min="1797" max="1797" width="12" style="17" bestFit="1" customWidth="1"/>
    <col min="1798" max="1798" width="14.77734375" style="17" customWidth="1"/>
    <col min="1799" max="2048" width="11.44140625" style="17"/>
    <col min="2049" max="2049" width="18.77734375" style="17" customWidth="1"/>
    <col min="2050" max="2050" width="13.77734375" style="17" bestFit="1" customWidth="1"/>
    <col min="2051" max="2051" width="17.21875" style="17" customWidth="1"/>
    <col min="2052" max="2052" width="11" style="17" customWidth="1"/>
    <col min="2053" max="2053" width="12" style="17" bestFit="1" customWidth="1"/>
    <col min="2054" max="2054" width="14.77734375" style="17" customWidth="1"/>
    <col min="2055" max="2304" width="11.44140625" style="17"/>
    <col min="2305" max="2305" width="18.77734375" style="17" customWidth="1"/>
    <col min="2306" max="2306" width="13.77734375" style="17" bestFit="1" customWidth="1"/>
    <col min="2307" max="2307" width="17.21875" style="17" customWidth="1"/>
    <col min="2308" max="2308" width="11" style="17" customWidth="1"/>
    <col min="2309" max="2309" width="12" style="17" bestFit="1" customWidth="1"/>
    <col min="2310" max="2310" width="14.77734375" style="17" customWidth="1"/>
    <col min="2311" max="2560" width="11.44140625" style="17"/>
    <col min="2561" max="2561" width="18.77734375" style="17" customWidth="1"/>
    <col min="2562" max="2562" width="13.77734375" style="17" bestFit="1" customWidth="1"/>
    <col min="2563" max="2563" width="17.21875" style="17" customWidth="1"/>
    <col min="2564" max="2564" width="11" style="17" customWidth="1"/>
    <col min="2565" max="2565" width="12" style="17" bestFit="1" customWidth="1"/>
    <col min="2566" max="2566" width="14.77734375" style="17" customWidth="1"/>
    <col min="2567" max="2816" width="11.44140625" style="17"/>
    <col min="2817" max="2817" width="18.77734375" style="17" customWidth="1"/>
    <col min="2818" max="2818" width="13.77734375" style="17" bestFit="1" customWidth="1"/>
    <col min="2819" max="2819" width="17.21875" style="17" customWidth="1"/>
    <col min="2820" max="2820" width="11" style="17" customWidth="1"/>
    <col min="2821" max="2821" width="12" style="17" bestFit="1" customWidth="1"/>
    <col min="2822" max="2822" width="14.77734375" style="17" customWidth="1"/>
    <col min="2823" max="3072" width="11.44140625" style="17"/>
    <col min="3073" max="3073" width="18.77734375" style="17" customWidth="1"/>
    <col min="3074" max="3074" width="13.77734375" style="17" bestFit="1" customWidth="1"/>
    <col min="3075" max="3075" width="17.21875" style="17" customWidth="1"/>
    <col min="3076" max="3076" width="11" style="17" customWidth="1"/>
    <col min="3077" max="3077" width="12" style="17" bestFit="1" customWidth="1"/>
    <col min="3078" max="3078" width="14.77734375" style="17" customWidth="1"/>
    <col min="3079" max="3328" width="11.44140625" style="17"/>
    <col min="3329" max="3329" width="18.77734375" style="17" customWidth="1"/>
    <col min="3330" max="3330" width="13.77734375" style="17" bestFit="1" customWidth="1"/>
    <col min="3331" max="3331" width="17.21875" style="17" customWidth="1"/>
    <col min="3332" max="3332" width="11" style="17" customWidth="1"/>
    <col min="3333" max="3333" width="12" style="17" bestFit="1" customWidth="1"/>
    <col min="3334" max="3334" width="14.77734375" style="17" customWidth="1"/>
    <col min="3335" max="3584" width="11.44140625" style="17"/>
    <col min="3585" max="3585" width="18.77734375" style="17" customWidth="1"/>
    <col min="3586" max="3586" width="13.77734375" style="17" bestFit="1" customWidth="1"/>
    <col min="3587" max="3587" width="17.21875" style="17" customWidth="1"/>
    <col min="3588" max="3588" width="11" style="17" customWidth="1"/>
    <col min="3589" max="3589" width="12" style="17" bestFit="1" customWidth="1"/>
    <col min="3590" max="3590" width="14.77734375" style="17" customWidth="1"/>
    <col min="3591" max="3840" width="11.44140625" style="17"/>
    <col min="3841" max="3841" width="18.77734375" style="17" customWidth="1"/>
    <col min="3842" max="3842" width="13.77734375" style="17" bestFit="1" customWidth="1"/>
    <col min="3843" max="3843" width="17.21875" style="17" customWidth="1"/>
    <col min="3844" max="3844" width="11" style="17" customWidth="1"/>
    <col min="3845" max="3845" width="12" style="17" bestFit="1" customWidth="1"/>
    <col min="3846" max="3846" width="14.77734375" style="17" customWidth="1"/>
    <col min="3847" max="4096" width="11.44140625" style="17"/>
    <col min="4097" max="4097" width="18.77734375" style="17" customWidth="1"/>
    <col min="4098" max="4098" width="13.77734375" style="17" bestFit="1" customWidth="1"/>
    <col min="4099" max="4099" width="17.21875" style="17" customWidth="1"/>
    <col min="4100" max="4100" width="11" style="17" customWidth="1"/>
    <col min="4101" max="4101" width="12" style="17" bestFit="1" customWidth="1"/>
    <col min="4102" max="4102" width="14.77734375" style="17" customWidth="1"/>
    <col min="4103" max="4352" width="11.44140625" style="17"/>
    <col min="4353" max="4353" width="18.77734375" style="17" customWidth="1"/>
    <col min="4354" max="4354" width="13.77734375" style="17" bestFit="1" customWidth="1"/>
    <col min="4355" max="4355" width="17.21875" style="17" customWidth="1"/>
    <col min="4356" max="4356" width="11" style="17" customWidth="1"/>
    <col min="4357" max="4357" width="12" style="17" bestFit="1" customWidth="1"/>
    <col min="4358" max="4358" width="14.77734375" style="17" customWidth="1"/>
    <col min="4359" max="4608" width="11.44140625" style="17"/>
    <col min="4609" max="4609" width="18.77734375" style="17" customWidth="1"/>
    <col min="4610" max="4610" width="13.77734375" style="17" bestFit="1" customWidth="1"/>
    <col min="4611" max="4611" width="17.21875" style="17" customWidth="1"/>
    <col min="4612" max="4612" width="11" style="17" customWidth="1"/>
    <col min="4613" max="4613" width="12" style="17" bestFit="1" customWidth="1"/>
    <col min="4614" max="4614" width="14.77734375" style="17" customWidth="1"/>
    <col min="4615" max="4864" width="11.44140625" style="17"/>
    <col min="4865" max="4865" width="18.77734375" style="17" customWidth="1"/>
    <col min="4866" max="4866" width="13.77734375" style="17" bestFit="1" customWidth="1"/>
    <col min="4867" max="4867" width="17.21875" style="17" customWidth="1"/>
    <col min="4868" max="4868" width="11" style="17" customWidth="1"/>
    <col min="4869" max="4869" width="12" style="17" bestFit="1" customWidth="1"/>
    <col min="4870" max="4870" width="14.77734375" style="17" customWidth="1"/>
    <col min="4871" max="5120" width="11.44140625" style="17"/>
    <col min="5121" max="5121" width="18.77734375" style="17" customWidth="1"/>
    <col min="5122" max="5122" width="13.77734375" style="17" bestFit="1" customWidth="1"/>
    <col min="5123" max="5123" width="17.21875" style="17" customWidth="1"/>
    <col min="5124" max="5124" width="11" style="17" customWidth="1"/>
    <col min="5125" max="5125" width="12" style="17" bestFit="1" customWidth="1"/>
    <col min="5126" max="5126" width="14.77734375" style="17" customWidth="1"/>
    <col min="5127" max="5376" width="11.44140625" style="17"/>
    <col min="5377" max="5377" width="18.77734375" style="17" customWidth="1"/>
    <col min="5378" max="5378" width="13.77734375" style="17" bestFit="1" customWidth="1"/>
    <col min="5379" max="5379" width="17.21875" style="17" customWidth="1"/>
    <col min="5380" max="5380" width="11" style="17" customWidth="1"/>
    <col min="5381" max="5381" width="12" style="17" bestFit="1" customWidth="1"/>
    <col min="5382" max="5382" width="14.77734375" style="17" customWidth="1"/>
    <col min="5383" max="5632" width="11.44140625" style="17"/>
    <col min="5633" max="5633" width="18.77734375" style="17" customWidth="1"/>
    <col min="5634" max="5634" width="13.77734375" style="17" bestFit="1" customWidth="1"/>
    <col min="5635" max="5635" width="17.21875" style="17" customWidth="1"/>
    <col min="5636" max="5636" width="11" style="17" customWidth="1"/>
    <col min="5637" max="5637" width="12" style="17" bestFit="1" customWidth="1"/>
    <col min="5638" max="5638" width="14.77734375" style="17" customWidth="1"/>
    <col min="5639" max="5888" width="11.44140625" style="17"/>
    <col min="5889" max="5889" width="18.77734375" style="17" customWidth="1"/>
    <col min="5890" max="5890" width="13.77734375" style="17" bestFit="1" customWidth="1"/>
    <col min="5891" max="5891" width="17.21875" style="17" customWidth="1"/>
    <col min="5892" max="5892" width="11" style="17" customWidth="1"/>
    <col min="5893" max="5893" width="12" style="17" bestFit="1" customWidth="1"/>
    <col min="5894" max="5894" width="14.77734375" style="17" customWidth="1"/>
    <col min="5895" max="6144" width="11.44140625" style="17"/>
    <col min="6145" max="6145" width="18.77734375" style="17" customWidth="1"/>
    <col min="6146" max="6146" width="13.77734375" style="17" bestFit="1" customWidth="1"/>
    <col min="6147" max="6147" width="17.21875" style="17" customWidth="1"/>
    <col min="6148" max="6148" width="11" style="17" customWidth="1"/>
    <col min="6149" max="6149" width="12" style="17" bestFit="1" customWidth="1"/>
    <col min="6150" max="6150" width="14.77734375" style="17" customWidth="1"/>
    <col min="6151" max="6400" width="11.44140625" style="17"/>
    <col min="6401" max="6401" width="18.77734375" style="17" customWidth="1"/>
    <col min="6402" max="6402" width="13.77734375" style="17" bestFit="1" customWidth="1"/>
    <col min="6403" max="6403" width="17.21875" style="17" customWidth="1"/>
    <col min="6404" max="6404" width="11" style="17" customWidth="1"/>
    <col min="6405" max="6405" width="12" style="17" bestFit="1" customWidth="1"/>
    <col min="6406" max="6406" width="14.77734375" style="17" customWidth="1"/>
    <col min="6407" max="6656" width="11.44140625" style="17"/>
    <col min="6657" max="6657" width="18.77734375" style="17" customWidth="1"/>
    <col min="6658" max="6658" width="13.77734375" style="17" bestFit="1" customWidth="1"/>
    <col min="6659" max="6659" width="17.21875" style="17" customWidth="1"/>
    <col min="6660" max="6660" width="11" style="17" customWidth="1"/>
    <col min="6661" max="6661" width="12" style="17" bestFit="1" customWidth="1"/>
    <col min="6662" max="6662" width="14.77734375" style="17" customWidth="1"/>
    <col min="6663" max="6912" width="11.44140625" style="17"/>
    <col min="6913" max="6913" width="18.77734375" style="17" customWidth="1"/>
    <col min="6914" max="6914" width="13.77734375" style="17" bestFit="1" customWidth="1"/>
    <col min="6915" max="6915" width="17.21875" style="17" customWidth="1"/>
    <col min="6916" max="6916" width="11" style="17" customWidth="1"/>
    <col min="6917" max="6917" width="12" style="17" bestFit="1" customWidth="1"/>
    <col min="6918" max="6918" width="14.77734375" style="17" customWidth="1"/>
    <col min="6919" max="7168" width="11.44140625" style="17"/>
    <col min="7169" max="7169" width="18.77734375" style="17" customWidth="1"/>
    <col min="7170" max="7170" width="13.77734375" style="17" bestFit="1" customWidth="1"/>
    <col min="7171" max="7171" width="17.21875" style="17" customWidth="1"/>
    <col min="7172" max="7172" width="11" style="17" customWidth="1"/>
    <col min="7173" max="7173" width="12" style="17" bestFit="1" customWidth="1"/>
    <col min="7174" max="7174" width="14.77734375" style="17" customWidth="1"/>
    <col min="7175" max="7424" width="11.44140625" style="17"/>
    <col min="7425" max="7425" width="18.77734375" style="17" customWidth="1"/>
    <col min="7426" max="7426" width="13.77734375" style="17" bestFit="1" customWidth="1"/>
    <col min="7427" max="7427" width="17.21875" style="17" customWidth="1"/>
    <col min="7428" max="7428" width="11" style="17" customWidth="1"/>
    <col min="7429" max="7429" width="12" style="17" bestFit="1" customWidth="1"/>
    <col min="7430" max="7430" width="14.77734375" style="17" customWidth="1"/>
    <col min="7431" max="7680" width="11.44140625" style="17"/>
    <col min="7681" max="7681" width="18.77734375" style="17" customWidth="1"/>
    <col min="7682" max="7682" width="13.77734375" style="17" bestFit="1" customWidth="1"/>
    <col min="7683" max="7683" width="17.21875" style="17" customWidth="1"/>
    <col min="7684" max="7684" width="11" style="17" customWidth="1"/>
    <col min="7685" max="7685" width="12" style="17" bestFit="1" customWidth="1"/>
    <col min="7686" max="7686" width="14.77734375" style="17" customWidth="1"/>
    <col min="7687" max="7936" width="11.44140625" style="17"/>
    <col min="7937" max="7937" width="18.77734375" style="17" customWidth="1"/>
    <col min="7938" max="7938" width="13.77734375" style="17" bestFit="1" customWidth="1"/>
    <col min="7939" max="7939" width="17.21875" style="17" customWidth="1"/>
    <col min="7940" max="7940" width="11" style="17" customWidth="1"/>
    <col min="7941" max="7941" width="12" style="17" bestFit="1" customWidth="1"/>
    <col min="7942" max="7942" width="14.77734375" style="17" customWidth="1"/>
    <col min="7943" max="8192" width="11.44140625" style="17"/>
    <col min="8193" max="8193" width="18.77734375" style="17" customWidth="1"/>
    <col min="8194" max="8194" width="13.77734375" style="17" bestFit="1" customWidth="1"/>
    <col min="8195" max="8195" width="17.21875" style="17" customWidth="1"/>
    <col min="8196" max="8196" width="11" style="17" customWidth="1"/>
    <col min="8197" max="8197" width="12" style="17" bestFit="1" customWidth="1"/>
    <col min="8198" max="8198" width="14.77734375" style="17" customWidth="1"/>
    <col min="8199" max="8448" width="11.44140625" style="17"/>
    <col min="8449" max="8449" width="18.77734375" style="17" customWidth="1"/>
    <col min="8450" max="8450" width="13.77734375" style="17" bestFit="1" customWidth="1"/>
    <col min="8451" max="8451" width="17.21875" style="17" customWidth="1"/>
    <col min="8452" max="8452" width="11" style="17" customWidth="1"/>
    <col min="8453" max="8453" width="12" style="17" bestFit="1" customWidth="1"/>
    <col min="8454" max="8454" width="14.77734375" style="17" customWidth="1"/>
    <col min="8455" max="8704" width="11.44140625" style="17"/>
    <col min="8705" max="8705" width="18.77734375" style="17" customWidth="1"/>
    <col min="8706" max="8706" width="13.77734375" style="17" bestFit="1" customWidth="1"/>
    <col min="8707" max="8707" width="17.21875" style="17" customWidth="1"/>
    <col min="8708" max="8708" width="11" style="17" customWidth="1"/>
    <col min="8709" max="8709" width="12" style="17" bestFit="1" customWidth="1"/>
    <col min="8710" max="8710" width="14.77734375" style="17" customWidth="1"/>
    <col min="8711" max="8960" width="11.44140625" style="17"/>
    <col min="8961" max="8961" width="18.77734375" style="17" customWidth="1"/>
    <col min="8962" max="8962" width="13.77734375" style="17" bestFit="1" customWidth="1"/>
    <col min="8963" max="8963" width="17.21875" style="17" customWidth="1"/>
    <col min="8964" max="8964" width="11" style="17" customWidth="1"/>
    <col min="8965" max="8965" width="12" style="17" bestFit="1" customWidth="1"/>
    <col min="8966" max="8966" width="14.77734375" style="17" customWidth="1"/>
    <col min="8967" max="9216" width="11.44140625" style="17"/>
    <col min="9217" max="9217" width="18.77734375" style="17" customWidth="1"/>
    <col min="9218" max="9218" width="13.77734375" style="17" bestFit="1" customWidth="1"/>
    <col min="9219" max="9219" width="17.21875" style="17" customWidth="1"/>
    <col min="9220" max="9220" width="11" style="17" customWidth="1"/>
    <col min="9221" max="9221" width="12" style="17" bestFit="1" customWidth="1"/>
    <col min="9222" max="9222" width="14.77734375" style="17" customWidth="1"/>
    <col min="9223" max="9472" width="11.44140625" style="17"/>
    <col min="9473" max="9473" width="18.77734375" style="17" customWidth="1"/>
    <col min="9474" max="9474" width="13.77734375" style="17" bestFit="1" customWidth="1"/>
    <col min="9475" max="9475" width="17.21875" style="17" customWidth="1"/>
    <col min="9476" max="9476" width="11" style="17" customWidth="1"/>
    <col min="9477" max="9477" width="12" style="17" bestFit="1" customWidth="1"/>
    <col min="9478" max="9478" width="14.77734375" style="17" customWidth="1"/>
    <col min="9479" max="9728" width="11.44140625" style="17"/>
    <col min="9729" max="9729" width="18.77734375" style="17" customWidth="1"/>
    <col min="9730" max="9730" width="13.77734375" style="17" bestFit="1" customWidth="1"/>
    <col min="9731" max="9731" width="17.21875" style="17" customWidth="1"/>
    <col min="9732" max="9732" width="11" style="17" customWidth="1"/>
    <col min="9733" max="9733" width="12" style="17" bestFit="1" customWidth="1"/>
    <col min="9734" max="9734" width="14.77734375" style="17" customWidth="1"/>
    <col min="9735" max="9984" width="11.44140625" style="17"/>
    <col min="9985" max="9985" width="18.77734375" style="17" customWidth="1"/>
    <col min="9986" max="9986" width="13.77734375" style="17" bestFit="1" customWidth="1"/>
    <col min="9987" max="9987" width="17.21875" style="17" customWidth="1"/>
    <col min="9988" max="9988" width="11" style="17" customWidth="1"/>
    <col min="9989" max="9989" width="12" style="17" bestFit="1" customWidth="1"/>
    <col min="9990" max="9990" width="14.77734375" style="17" customWidth="1"/>
    <col min="9991" max="10240" width="11.44140625" style="17"/>
    <col min="10241" max="10241" width="18.77734375" style="17" customWidth="1"/>
    <col min="10242" max="10242" width="13.77734375" style="17" bestFit="1" customWidth="1"/>
    <col min="10243" max="10243" width="17.21875" style="17" customWidth="1"/>
    <col min="10244" max="10244" width="11" style="17" customWidth="1"/>
    <col min="10245" max="10245" width="12" style="17" bestFit="1" customWidth="1"/>
    <col min="10246" max="10246" width="14.77734375" style="17" customWidth="1"/>
    <col min="10247" max="10496" width="11.44140625" style="17"/>
    <col min="10497" max="10497" width="18.77734375" style="17" customWidth="1"/>
    <col min="10498" max="10498" width="13.77734375" style="17" bestFit="1" customWidth="1"/>
    <col min="10499" max="10499" width="17.21875" style="17" customWidth="1"/>
    <col min="10500" max="10500" width="11" style="17" customWidth="1"/>
    <col min="10501" max="10501" width="12" style="17" bestFit="1" customWidth="1"/>
    <col min="10502" max="10502" width="14.77734375" style="17" customWidth="1"/>
    <col min="10503" max="10752" width="11.44140625" style="17"/>
    <col min="10753" max="10753" width="18.77734375" style="17" customWidth="1"/>
    <col min="10754" max="10754" width="13.77734375" style="17" bestFit="1" customWidth="1"/>
    <col min="10755" max="10755" width="17.21875" style="17" customWidth="1"/>
    <col min="10756" max="10756" width="11" style="17" customWidth="1"/>
    <col min="10757" max="10757" width="12" style="17" bestFit="1" customWidth="1"/>
    <col min="10758" max="10758" width="14.77734375" style="17" customWidth="1"/>
    <col min="10759" max="11008" width="11.44140625" style="17"/>
    <col min="11009" max="11009" width="18.77734375" style="17" customWidth="1"/>
    <col min="11010" max="11010" width="13.77734375" style="17" bestFit="1" customWidth="1"/>
    <col min="11011" max="11011" width="17.21875" style="17" customWidth="1"/>
    <col min="11012" max="11012" width="11" style="17" customWidth="1"/>
    <col min="11013" max="11013" width="12" style="17" bestFit="1" customWidth="1"/>
    <col min="11014" max="11014" width="14.77734375" style="17" customWidth="1"/>
    <col min="11015" max="11264" width="11.44140625" style="17"/>
    <col min="11265" max="11265" width="18.77734375" style="17" customWidth="1"/>
    <col min="11266" max="11266" width="13.77734375" style="17" bestFit="1" customWidth="1"/>
    <col min="11267" max="11267" width="17.21875" style="17" customWidth="1"/>
    <col min="11268" max="11268" width="11" style="17" customWidth="1"/>
    <col min="11269" max="11269" width="12" style="17" bestFit="1" customWidth="1"/>
    <col min="11270" max="11270" width="14.77734375" style="17" customWidth="1"/>
    <col min="11271" max="11520" width="11.44140625" style="17"/>
    <col min="11521" max="11521" width="18.77734375" style="17" customWidth="1"/>
    <col min="11522" max="11522" width="13.77734375" style="17" bestFit="1" customWidth="1"/>
    <col min="11523" max="11523" width="17.21875" style="17" customWidth="1"/>
    <col min="11524" max="11524" width="11" style="17" customWidth="1"/>
    <col min="11525" max="11525" width="12" style="17" bestFit="1" customWidth="1"/>
    <col min="11526" max="11526" width="14.77734375" style="17" customWidth="1"/>
    <col min="11527" max="11776" width="11.44140625" style="17"/>
    <col min="11777" max="11777" width="18.77734375" style="17" customWidth="1"/>
    <col min="11778" max="11778" width="13.77734375" style="17" bestFit="1" customWidth="1"/>
    <col min="11779" max="11779" width="17.21875" style="17" customWidth="1"/>
    <col min="11780" max="11780" width="11" style="17" customWidth="1"/>
    <col min="11781" max="11781" width="12" style="17" bestFit="1" customWidth="1"/>
    <col min="11782" max="11782" width="14.77734375" style="17" customWidth="1"/>
    <col min="11783" max="12032" width="11.44140625" style="17"/>
    <col min="12033" max="12033" width="18.77734375" style="17" customWidth="1"/>
    <col min="12034" max="12034" width="13.77734375" style="17" bestFit="1" customWidth="1"/>
    <col min="12035" max="12035" width="17.21875" style="17" customWidth="1"/>
    <col min="12036" max="12036" width="11" style="17" customWidth="1"/>
    <col min="12037" max="12037" width="12" style="17" bestFit="1" customWidth="1"/>
    <col min="12038" max="12038" width="14.77734375" style="17" customWidth="1"/>
    <col min="12039" max="12288" width="11.44140625" style="17"/>
    <col min="12289" max="12289" width="18.77734375" style="17" customWidth="1"/>
    <col min="12290" max="12290" width="13.77734375" style="17" bestFit="1" customWidth="1"/>
    <col min="12291" max="12291" width="17.21875" style="17" customWidth="1"/>
    <col min="12292" max="12292" width="11" style="17" customWidth="1"/>
    <col min="12293" max="12293" width="12" style="17" bestFit="1" customWidth="1"/>
    <col min="12294" max="12294" width="14.77734375" style="17" customWidth="1"/>
    <col min="12295" max="12544" width="11.44140625" style="17"/>
    <col min="12545" max="12545" width="18.77734375" style="17" customWidth="1"/>
    <col min="12546" max="12546" width="13.77734375" style="17" bestFit="1" customWidth="1"/>
    <col min="12547" max="12547" width="17.21875" style="17" customWidth="1"/>
    <col min="12548" max="12548" width="11" style="17" customWidth="1"/>
    <col min="12549" max="12549" width="12" style="17" bestFit="1" customWidth="1"/>
    <col min="12550" max="12550" width="14.77734375" style="17" customWidth="1"/>
    <col min="12551" max="12800" width="11.44140625" style="17"/>
    <col min="12801" max="12801" width="18.77734375" style="17" customWidth="1"/>
    <col min="12802" max="12802" width="13.77734375" style="17" bestFit="1" customWidth="1"/>
    <col min="12803" max="12803" width="17.21875" style="17" customWidth="1"/>
    <col min="12804" max="12804" width="11" style="17" customWidth="1"/>
    <col min="12805" max="12805" width="12" style="17" bestFit="1" customWidth="1"/>
    <col min="12806" max="12806" width="14.77734375" style="17" customWidth="1"/>
    <col min="12807" max="13056" width="11.44140625" style="17"/>
    <col min="13057" max="13057" width="18.77734375" style="17" customWidth="1"/>
    <col min="13058" max="13058" width="13.77734375" style="17" bestFit="1" customWidth="1"/>
    <col min="13059" max="13059" width="17.21875" style="17" customWidth="1"/>
    <col min="13060" max="13060" width="11" style="17" customWidth="1"/>
    <col min="13061" max="13061" width="12" style="17" bestFit="1" customWidth="1"/>
    <col min="13062" max="13062" width="14.77734375" style="17" customWidth="1"/>
    <col min="13063" max="13312" width="11.44140625" style="17"/>
    <col min="13313" max="13313" width="18.77734375" style="17" customWidth="1"/>
    <col min="13314" max="13314" width="13.77734375" style="17" bestFit="1" customWidth="1"/>
    <col min="13315" max="13315" width="17.21875" style="17" customWidth="1"/>
    <col min="13316" max="13316" width="11" style="17" customWidth="1"/>
    <col min="13317" max="13317" width="12" style="17" bestFit="1" customWidth="1"/>
    <col min="13318" max="13318" width="14.77734375" style="17" customWidth="1"/>
    <col min="13319" max="13568" width="11.44140625" style="17"/>
    <col min="13569" max="13569" width="18.77734375" style="17" customWidth="1"/>
    <col min="13570" max="13570" width="13.77734375" style="17" bestFit="1" customWidth="1"/>
    <col min="13571" max="13571" width="17.21875" style="17" customWidth="1"/>
    <col min="13572" max="13572" width="11" style="17" customWidth="1"/>
    <col min="13573" max="13573" width="12" style="17" bestFit="1" customWidth="1"/>
    <col min="13574" max="13574" width="14.77734375" style="17" customWidth="1"/>
    <col min="13575" max="13824" width="11.44140625" style="17"/>
    <col min="13825" max="13825" width="18.77734375" style="17" customWidth="1"/>
    <col min="13826" max="13826" width="13.77734375" style="17" bestFit="1" customWidth="1"/>
    <col min="13827" max="13827" width="17.21875" style="17" customWidth="1"/>
    <col min="13828" max="13828" width="11" style="17" customWidth="1"/>
    <col min="13829" max="13829" width="12" style="17" bestFit="1" customWidth="1"/>
    <col min="13830" max="13830" width="14.77734375" style="17" customWidth="1"/>
    <col min="13831" max="14080" width="11.44140625" style="17"/>
    <col min="14081" max="14081" width="18.77734375" style="17" customWidth="1"/>
    <col min="14082" max="14082" width="13.77734375" style="17" bestFit="1" customWidth="1"/>
    <col min="14083" max="14083" width="17.21875" style="17" customWidth="1"/>
    <col min="14084" max="14084" width="11" style="17" customWidth="1"/>
    <col min="14085" max="14085" width="12" style="17" bestFit="1" customWidth="1"/>
    <col min="14086" max="14086" width="14.77734375" style="17" customWidth="1"/>
    <col min="14087" max="14336" width="11.44140625" style="17"/>
    <col min="14337" max="14337" width="18.77734375" style="17" customWidth="1"/>
    <col min="14338" max="14338" width="13.77734375" style="17" bestFit="1" customWidth="1"/>
    <col min="14339" max="14339" width="17.21875" style="17" customWidth="1"/>
    <col min="14340" max="14340" width="11" style="17" customWidth="1"/>
    <col min="14341" max="14341" width="12" style="17" bestFit="1" customWidth="1"/>
    <col min="14342" max="14342" width="14.77734375" style="17" customWidth="1"/>
    <col min="14343" max="14592" width="11.44140625" style="17"/>
    <col min="14593" max="14593" width="18.77734375" style="17" customWidth="1"/>
    <col min="14594" max="14594" width="13.77734375" style="17" bestFit="1" customWidth="1"/>
    <col min="14595" max="14595" width="17.21875" style="17" customWidth="1"/>
    <col min="14596" max="14596" width="11" style="17" customWidth="1"/>
    <col min="14597" max="14597" width="12" style="17" bestFit="1" customWidth="1"/>
    <col min="14598" max="14598" width="14.77734375" style="17" customWidth="1"/>
    <col min="14599" max="14848" width="11.44140625" style="17"/>
    <col min="14849" max="14849" width="18.77734375" style="17" customWidth="1"/>
    <col min="14850" max="14850" width="13.77734375" style="17" bestFit="1" customWidth="1"/>
    <col min="14851" max="14851" width="17.21875" style="17" customWidth="1"/>
    <col min="14852" max="14852" width="11" style="17" customWidth="1"/>
    <col min="14853" max="14853" width="12" style="17" bestFit="1" customWidth="1"/>
    <col min="14854" max="14854" width="14.77734375" style="17" customWidth="1"/>
    <col min="14855" max="15104" width="11.44140625" style="17"/>
    <col min="15105" max="15105" width="18.77734375" style="17" customWidth="1"/>
    <col min="15106" max="15106" width="13.77734375" style="17" bestFit="1" customWidth="1"/>
    <col min="15107" max="15107" width="17.21875" style="17" customWidth="1"/>
    <col min="15108" max="15108" width="11" style="17" customWidth="1"/>
    <col min="15109" max="15109" width="12" style="17" bestFit="1" customWidth="1"/>
    <col min="15110" max="15110" width="14.77734375" style="17" customWidth="1"/>
    <col min="15111" max="15360" width="11.44140625" style="17"/>
    <col min="15361" max="15361" width="18.77734375" style="17" customWidth="1"/>
    <col min="15362" max="15362" width="13.77734375" style="17" bestFit="1" customWidth="1"/>
    <col min="15363" max="15363" width="17.21875" style="17" customWidth="1"/>
    <col min="15364" max="15364" width="11" style="17" customWidth="1"/>
    <col min="15365" max="15365" width="12" style="17" bestFit="1" customWidth="1"/>
    <col min="15366" max="15366" width="14.77734375" style="17" customWidth="1"/>
    <col min="15367" max="15616" width="11.44140625" style="17"/>
    <col min="15617" max="15617" width="18.77734375" style="17" customWidth="1"/>
    <col min="15618" max="15618" width="13.77734375" style="17" bestFit="1" customWidth="1"/>
    <col min="15619" max="15619" width="17.21875" style="17" customWidth="1"/>
    <col min="15620" max="15620" width="11" style="17" customWidth="1"/>
    <col min="15621" max="15621" width="12" style="17" bestFit="1" customWidth="1"/>
    <col min="15622" max="15622" width="14.77734375" style="17" customWidth="1"/>
    <col min="15623" max="15872" width="11.44140625" style="17"/>
    <col min="15873" max="15873" width="18.77734375" style="17" customWidth="1"/>
    <col min="15874" max="15874" width="13.77734375" style="17" bestFit="1" customWidth="1"/>
    <col min="15875" max="15875" width="17.21875" style="17" customWidth="1"/>
    <col min="15876" max="15876" width="11" style="17" customWidth="1"/>
    <col min="15877" max="15877" width="12" style="17" bestFit="1" customWidth="1"/>
    <col min="15878" max="15878" width="14.77734375" style="17" customWidth="1"/>
    <col min="15879" max="16128" width="11.44140625" style="17"/>
    <col min="16129" max="16129" width="18.77734375" style="17" customWidth="1"/>
    <col min="16130" max="16130" width="13.77734375" style="17" bestFit="1" customWidth="1"/>
    <col min="16131" max="16131" width="17.21875" style="17" customWidth="1"/>
    <col min="16132" max="16132" width="11" style="17" customWidth="1"/>
    <col min="16133" max="16133" width="12" style="17" bestFit="1" customWidth="1"/>
    <col min="16134" max="16134" width="14.77734375" style="17" customWidth="1"/>
    <col min="16135" max="16384" width="11.44140625" style="17"/>
  </cols>
  <sheetData>
    <row r="2" spans="1:11" x14ac:dyDescent="0.25">
      <c r="A2" s="17" t="s">
        <v>70</v>
      </c>
      <c r="B2" s="63">
        <f>'pooled normalised values'!B75</f>
        <v>6.6835683850314201E-2</v>
      </c>
      <c r="D2" s="17" t="s">
        <v>9</v>
      </c>
      <c r="E2" s="18"/>
      <c r="F2" s="19" t="str">
        <f>'pooled normalised values'!J74</f>
        <v>Arabinose-0.1mg/L</v>
      </c>
      <c r="G2" s="18"/>
      <c r="H2" s="20"/>
      <c r="I2" s="19" t="str">
        <f>'pooled normalised values'!R74</f>
        <v>Arabinose-0.01mg/L + Testostérone</v>
      </c>
      <c r="J2" s="20"/>
      <c r="K2" s="17" t="s">
        <v>9</v>
      </c>
    </row>
    <row r="3" spans="1:11" x14ac:dyDescent="0.25">
      <c r="A3" s="17" t="s">
        <v>71</v>
      </c>
      <c r="B3" s="63">
        <f>'summary results'!E6</f>
        <v>0</v>
      </c>
      <c r="D3" s="21" t="s">
        <v>10</v>
      </c>
      <c r="E3" s="22"/>
      <c r="F3" s="19">
        <f>HLOOKUP(F2,'pooled normalised values'!B74:V83,2,FALSE)</f>
        <v>0.11176703685679847</v>
      </c>
      <c r="G3" s="22"/>
      <c r="H3" s="20"/>
      <c r="I3" s="19">
        <f>HLOOKUP(I2,'pooled normalised values'!N74:AL83,2,FALSE)</f>
        <v>0.95836270321139272</v>
      </c>
      <c r="J3" s="20"/>
      <c r="K3" s="21" t="s">
        <v>10</v>
      </c>
    </row>
    <row r="4" spans="1:11" x14ac:dyDescent="0.25">
      <c r="A4" s="17" t="s">
        <v>72</v>
      </c>
      <c r="B4" s="63">
        <f>'pooled normalised values'!O75</f>
        <v>1</v>
      </c>
      <c r="D4" s="21" t="s">
        <v>2</v>
      </c>
      <c r="E4" s="22"/>
      <c r="F4" s="19">
        <f>HLOOKUP(F2,'pooled normalised values'!B74:V83,3,FALSE)</f>
        <v>2.2287227345393398E-2</v>
      </c>
      <c r="G4" s="22"/>
      <c r="H4" s="20"/>
      <c r="I4" s="19">
        <f>HLOOKUP(I2,'pooled normalised values'!N74:AL83,3,FALSE)</f>
        <v>0.14987592453388895</v>
      </c>
      <c r="J4" s="20"/>
      <c r="K4" s="21" t="s">
        <v>2</v>
      </c>
    </row>
    <row r="5" spans="1:11" x14ac:dyDescent="0.25">
      <c r="A5" s="17" t="s">
        <v>73</v>
      </c>
      <c r="B5" s="63">
        <f>'pooled normalised values'!P75</f>
        <v>2.2042217725511128</v>
      </c>
      <c r="D5" s="23" t="s">
        <v>11</v>
      </c>
      <c r="E5" s="22"/>
      <c r="F5" s="19" t="str">
        <f>HLOOKUP(F2,'pooled normalised values'!B74:V83,10,FALSE)</f>
        <v>ns</v>
      </c>
      <c r="G5" s="22"/>
      <c r="H5" s="20"/>
      <c r="I5" s="19" t="str">
        <f>HLOOKUP(I2,'pooled normalised values'!N74:AL83,10,FALSE)</f>
        <v>ns</v>
      </c>
      <c r="J5" s="20"/>
      <c r="K5" s="23" t="s">
        <v>11</v>
      </c>
    </row>
    <row r="6" spans="1:11" x14ac:dyDescent="0.25">
      <c r="A6" s="17" t="s">
        <v>74</v>
      </c>
      <c r="B6" s="63">
        <f>'pooled normalised values'!Q75</f>
        <v>9.4711579822730138E-2</v>
      </c>
      <c r="D6" s="21" t="s">
        <v>12</v>
      </c>
      <c r="E6" s="24">
        <f>$B$2</f>
        <v>6.6835683850314201E-2</v>
      </c>
      <c r="F6" s="24">
        <f>$B$2</f>
        <v>6.6835683850314201E-2</v>
      </c>
      <c r="G6" s="24">
        <f>$B$2</f>
        <v>6.6835683850314201E-2</v>
      </c>
      <c r="H6" s="25"/>
      <c r="I6" s="25"/>
      <c r="J6" s="25"/>
      <c r="K6" s="21" t="s">
        <v>12</v>
      </c>
    </row>
    <row r="7" spans="1:11" x14ac:dyDescent="0.25">
      <c r="B7" s="26"/>
      <c r="D7" s="26" t="s">
        <v>13</v>
      </c>
      <c r="E7" s="24"/>
      <c r="F7" s="24"/>
      <c r="G7" s="27"/>
      <c r="H7" s="25">
        <f t="shared" ref="H7:J7" si="0">$B$4</f>
        <v>1</v>
      </c>
      <c r="I7" s="25">
        <f t="shared" si="0"/>
        <v>1</v>
      </c>
      <c r="J7" s="25">
        <f t="shared" si="0"/>
        <v>1</v>
      </c>
      <c r="K7" s="26" t="s">
        <v>13</v>
      </c>
    </row>
    <row r="8" spans="1:11" x14ac:dyDescent="0.25">
      <c r="D8" s="28" t="s">
        <v>14</v>
      </c>
      <c r="E8" s="24">
        <v>0</v>
      </c>
      <c r="F8" s="24">
        <v>0</v>
      </c>
      <c r="G8" s="27">
        <v>0</v>
      </c>
      <c r="H8" s="25">
        <f>$B$6</f>
        <v>9.4711579822730138E-2</v>
      </c>
      <c r="I8" s="25">
        <f t="shared" ref="I8:J8" si="1">$B$6</f>
        <v>9.4711579822730138E-2</v>
      </c>
      <c r="J8" s="25">
        <f t="shared" si="1"/>
        <v>9.4711579822730138E-2</v>
      </c>
      <c r="K8" s="28" t="s">
        <v>14</v>
      </c>
    </row>
    <row r="9" spans="1:11" x14ac:dyDescent="0.25">
      <c r="D9" s="28" t="s">
        <v>15</v>
      </c>
      <c r="E9" s="29">
        <f>$B$3-E8</f>
        <v>0</v>
      </c>
      <c r="F9" s="29">
        <f>$B$3-F8</f>
        <v>0</v>
      </c>
      <c r="G9" s="29">
        <f>$B$3-G8</f>
        <v>0</v>
      </c>
      <c r="H9" s="25">
        <f>$B$5-H8</f>
        <v>2.1095101927283828</v>
      </c>
      <c r="I9" s="25">
        <f>$B$5-I8</f>
        <v>2.1095101927283828</v>
      </c>
      <c r="J9" s="25">
        <f>$B$5-J8</f>
        <v>2.1095101927283828</v>
      </c>
      <c r="K9" s="28" t="s">
        <v>15</v>
      </c>
    </row>
    <row r="10" spans="1:11" x14ac:dyDescent="0.25">
      <c r="D10" s="28" t="s">
        <v>16</v>
      </c>
      <c r="E10" s="27">
        <f t="shared" ref="E10:J10" si="2">2.5-E9</f>
        <v>2.5</v>
      </c>
      <c r="F10" s="27">
        <f t="shared" si="2"/>
        <v>2.5</v>
      </c>
      <c r="G10" s="27">
        <f t="shared" si="2"/>
        <v>2.5</v>
      </c>
      <c r="H10" s="25">
        <f t="shared" si="2"/>
        <v>0.3904898072716172</v>
      </c>
      <c r="I10" s="25">
        <f t="shared" si="2"/>
        <v>0.3904898072716172</v>
      </c>
      <c r="J10" s="25">
        <f t="shared" si="2"/>
        <v>0.3904898072716172</v>
      </c>
      <c r="K10" s="28" t="s">
        <v>16</v>
      </c>
    </row>
    <row r="17" spans="2:7" x14ac:dyDescent="0.25">
      <c r="C17" s="23"/>
      <c r="D17" s="23"/>
    </row>
    <row r="18" spans="2:7" x14ac:dyDescent="0.25">
      <c r="B18" s="30"/>
    </row>
    <row r="19" spans="2:7" x14ac:dyDescent="0.25">
      <c r="B19" s="30"/>
    </row>
    <row r="20" spans="2:7" x14ac:dyDescent="0.25">
      <c r="B20" s="31"/>
    </row>
    <row r="21" spans="2:7" x14ac:dyDescent="0.25">
      <c r="B21" s="30"/>
    </row>
    <row r="22" spans="2:7" x14ac:dyDescent="0.25">
      <c r="B22" s="30"/>
      <c r="G22" s="23"/>
    </row>
    <row r="23" spans="2:7" x14ac:dyDescent="0.25">
      <c r="B23" s="31"/>
      <c r="G23" s="23"/>
    </row>
    <row r="24" spans="2:7" x14ac:dyDescent="0.25">
      <c r="G24" s="23"/>
    </row>
  </sheetData>
  <pageMargins left="0.7" right="0.7" top="0.75" bottom="0.75" header="0.3" footer="0.3"/>
  <pageSetup paperSize="9" orientation="portrait" horizontalDpi="300" verticalDpi="300" r:id="rId1"/>
  <headerFooter>
    <oddFooter>&amp;C&amp;1#&amp;"Arial"&amp;10&amp;K000000Internal</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defaultColWidth="11.5546875" defaultRowHeight="14.4" x14ac:dyDescent="0.3"/>
  <cols>
    <col min="1" max="1" width="11.44140625" style="1"/>
    <col min="3" max="3" width="15.21875" customWidth="1"/>
    <col min="4" max="4" width="13.77734375" customWidth="1"/>
    <col min="5" max="5" width="18.21875" customWidth="1"/>
    <col min="6" max="6" width="14" customWidth="1"/>
    <col min="7" max="7" width="14.44140625" customWidth="1"/>
    <col min="8" max="8" width="14.21875" customWidth="1"/>
    <col min="9" max="9" width="17" customWidth="1"/>
    <col min="10" max="10" width="12.5546875" customWidth="1"/>
    <col min="11" max="11" width="13.21875" customWidth="1"/>
    <col min="12" max="12" width="15.77734375" customWidth="1"/>
    <col min="13" max="14" width="16.21875" customWidth="1"/>
    <col min="17" max="23" width="9.77734375" customWidth="1"/>
  </cols>
  <sheetData>
    <row r="1" spans="1:23" ht="29.4" thickBot="1" x14ac:dyDescent="0.35">
      <c r="A1" s="144" t="s">
        <v>102</v>
      </c>
      <c r="B1" s="144" t="s">
        <v>103</v>
      </c>
      <c r="C1" s="142" t="s">
        <v>86</v>
      </c>
      <c r="D1" s="142" t="s">
        <v>87</v>
      </c>
      <c r="E1" s="143" t="s">
        <v>88</v>
      </c>
      <c r="F1" s="143" t="s">
        <v>89</v>
      </c>
      <c r="G1" s="142" t="s">
        <v>90</v>
      </c>
      <c r="H1" s="142" t="s">
        <v>91</v>
      </c>
      <c r="I1" s="142" t="s">
        <v>92</v>
      </c>
      <c r="J1" s="142" t="s">
        <v>93</v>
      </c>
      <c r="K1" s="142" t="s">
        <v>94</v>
      </c>
      <c r="L1" s="142" t="s">
        <v>95</v>
      </c>
      <c r="M1" s="142" t="s">
        <v>96</v>
      </c>
      <c r="N1" s="142" t="s">
        <v>97</v>
      </c>
      <c r="Q1" s="234" t="s">
        <v>99</v>
      </c>
      <c r="R1" s="234"/>
      <c r="S1" s="234"/>
      <c r="U1" s="234" t="s">
        <v>98</v>
      </c>
      <c r="V1" s="234"/>
      <c r="W1" s="234"/>
    </row>
    <row r="2" spans="1:23" x14ac:dyDescent="0.3">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95" t="s">
        <v>7</v>
      </c>
      <c r="R2" s="193" t="s">
        <v>130</v>
      </c>
      <c r="U2" s="195" t="s">
        <v>7</v>
      </c>
      <c r="V2" s="193" t="s">
        <v>130</v>
      </c>
    </row>
    <row r="3" spans="1:23" x14ac:dyDescent="0.3">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95" t="s">
        <v>78</v>
      </c>
      <c r="R3" s="193" t="s">
        <v>106</v>
      </c>
      <c r="U3" s="195" t="s">
        <v>78</v>
      </c>
      <c r="V3" s="193" t="s">
        <v>50</v>
      </c>
    </row>
    <row r="4" spans="1:23" x14ac:dyDescent="0.3">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3">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95" t="s">
        <v>100</v>
      </c>
      <c r="U5" s="195" t="s">
        <v>100</v>
      </c>
    </row>
    <row r="6" spans="1:23" x14ac:dyDescent="0.3">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96" t="s">
        <v>112</v>
      </c>
      <c r="U6" s="196" t="s">
        <v>101</v>
      </c>
    </row>
    <row r="7" spans="1:23" x14ac:dyDescent="0.3">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3">
      <c r="A8" s="1">
        <f t="shared" si="1"/>
        <v>0</v>
      </c>
      <c r="B8" s="44">
        <f t="shared" si="2"/>
        <v>0</v>
      </c>
      <c r="D8" s="44" t="e">
        <f>CONCATENATE(VLOOKUP(Tableau3[[#This Row],[Nom ND]],liste_groupe[],3,FALSE),VLOOKUP(Tableau3[[#This Row],[Nom ND]],liste_groupe[],4,FALSE))</f>
        <v>#N/A</v>
      </c>
      <c r="E8" s="145"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3">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3">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3">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3">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3">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3">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3">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pageSetup paperSize="9" orientation="portrait" horizontalDpi="300" verticalDpi="300" r:id="rId3"/>
  <headerFooter>
    <oddFooter>&amp;C&amp;1#&amp;"Arial"&amp;10&amp;K000000Internal</oddFooter>
  </headerFooter>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E1389-CEAD-4DF3-AB96-9AB924FFE5FE}">
  <ds:schemaRefs>
    <ds:schemaRef ds:uri="http://schemas.microsoft.com/sharepoint/v3/contenttype/forms"/>
  </ds:schemaRefs>
</ds:datastoreItem>
</file>

<file path=customXml/itemProps2.xml><?xml version="1.0" encoding="utf-8"?>
<ds:datastoreItem xmlns:ds="http://schemas.openxmlformats.org/officeDocument/2006/customXml" ds:itemID="{3EBF6F4B-C318-477F-8A9E-78995738BD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14</vt:i4>
      </vt:variant>
      <vt:variant>
        <vt:lpstr>Charts</vt:lpstr>
      </vt:variant>
      <vt:variant>
        <vt:i4>4</vt:i4>
      </vt:variant>
      <vt:variant>
        <vt:lpstr>Named Ranges</vt:lpstr>
      </vt:variant>
      <vt:variant>
        <vt:i4>1</vt:i4>
      </vt:variant>
    </vt:vector>
  </HeadingPairs>
  <TitlesOfParts>
    <vt:vector size="19" baseType="lpstr">
      <vt:lpstr>Page de garde</vt:lpstr>
      <vt:lpstr>Feuil1</vt:lpstr>
      <vt:lpstr>Raw data R4</vt:lpstr>
      <vt:lpstr>R1</vt:lpstr>
      <vt:lpstr>Raw data R2</vt:lpstr>
      <vt:lpstr>R2</vt:lpstr>
      <vt:lpstr>Raw data R5</vt:lpstr>
      <vt:lpstr>R3</vt:lpstr>
      <vt:lpstr>pooled normalised values</vt:lpstr>
      <vt:lpstr>summary results</vt:lpstr>
      <vt:lpstr>Notice</vt:lpstr>
      <vt:lpstr>Graph format rapport CHG</vt:lpstr>
      <vt:lpstr>Graph format rapport CHG 1éch</vt:lpstr>
      <vt:lpstr>Récap</vt:lpstr>
      <vt:lpstr>Graph R4</vt:lpstr>
      <vt:lpstr>Graph R2</vt:lpstr>
      <vt:lpstr>Graph R5</vt:lpstr>
      <vt:lpstr>pooled normalised graphe</vt:lpstr>
      <vt:lpstr>'Page de garde'!Print_Area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2022-12-22T16:31:51Z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2022-12-22T16:31:51Z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01d8aed6-6d19-46e2-a118-f69519ba4501</vt:lpwstr>
  </property>
  <property fmtid="{D5CDD505-2E9C-101B-9397-08002B2CF9AE}" pid="8" name="MSIP_Label_06530cf4-8573-4c29-a912-bbcdac835909_ContentBits">
    <vt:lpwstr>2</vt:lpwstr>
  </property>
</Properties>
</file>