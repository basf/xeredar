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B3CCF4F7-EF36-4C20-BB57-DDB24B2F4E9B}" xr6:coauthVersionLast="47" xr6:coauthVersionMax="47" xr10:uidLastSave="{00000000-0000-0000-0000-000000000000}"/>
  <bookViews>
    <workbookView xWindow="-110" yWindow="10690" windowWidth="19420" windowHeight="10420" tabRatio="855"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garde'!$A$1:$I$51</definedName>
  </definedNames>
  <calcPr calcId="181029"/>
  <pivotCaches>
    <pivotCache cacheId="48" r:id="rId21"/>
    <pivotCache cacheId="49" r:id="rId22"/>
    <pivotCache cacheId="50" r:id="rId23"/>
    <pivotCache cacheId="51" r:id="rId24"/>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39" i="10" l="1"/>
  <c r="C39" i="10"/>
  <c r="D39" i="10"/>
  <c r="E39" i="10"/>
  <c r="B40" i="10"/>
  <c r="C40" i="10"/>
  <c r="D40" i="10"/>
  <c r="E40" i="10"/>
  <c r="B41" i="10"/>
  <c r="C41" i="10"/>
  <c r="D41" i="10"/>
  <c r="E41" i="10"/>
  <c r="B42" i="10"/>
  <c r="C42" i="10"/>
  <c r="D42" i="10"/>
  <c r="E42" i="10"/>
  <c r="C38" i="10"/>
  <c r="D38" i="10"/>
  <c r="E38" i="10"/>
  <c r="B38" i="10"/>
  <c r="C56" i="33"/>
  <c r="G56" i="33"/>
  <c r="K56" i="33"/>
  <c r="I56" i="33"/>
  <c r="F56" i="33"/>
  <c r="D56" i="33"/>
  <c r="H56" i="33"/>
  <c r="L56" i="33"/>
  <c r="E56" i="33"/>
  <c r="M56" i="33"/>
  <c r="J56" i="33"/>
  <c r="B56" i="33"/>
  <c r="A7" i="10" l="1"/>
  <c r="A8" i="10"/>
  <c r="A9" i="10"/>
  <c r="A10" i="10"/>
  <c r="A11" i="10"/>
  <c r="A12" i="10"/>
  <c r="A13" i="10"/>
  <c r="A14" i="10"/>
  <c r="A7" i="22" s="1"/>
  <c r="A15" i="10"/>
  <c r="A8" i="22" s="1"/>
  <c r="A16" i="10"/>
  <c r="A9" i="22" s="1"/>
  <c r="A17" i="10"/>
  <c r="A10" i="22" s="1"/>
  <c r="A18" i="10"/>
  <c r="A11" i="22" s="1"/>
  <c r="A19" i="10"/>
  <c r="A12" i="22" s="1"/>
  <c r="A20" i="10"/>
  <c r="A13" i="22" s="1"/>
  <c r="A21" i="10"/>
  <c r="A14" i="22" s="1"/>
  <c r="A22" i="10"/>
  <c r="A15" i="22" s="1"/>
  <c r="A23" i="10"/>
  <c r="A16" i="22" s="1"/>
  <c r="A24" i="10"/>
  <c r="A17" i="22" s="1"/>
  <c r="A25" i="10"/>
  <c r="A18" i="22" s="1"/>
  <c r="A26" i="10"/>
  <c r="A19" i="22" s="1"/>
  <c r="A27" i="10"/>
  <c r="A20" i="22" s="1"/>
  <c r="A28" i="10"/>
  <c r="A21" i="22" s="1"/>
  <c r="A29" i="10"/>
  <c r="A22" i="22" s="1"/>
  <c r="A30" i="10"/>
  <c r="A23" i="22" s="1"/>
  <c r="A31" i="10"/>
  <c r="A24" i="22" s="1"/>
  <c r="A32" i="10"/>
  <c r="A25" i="22" s="1"/>
  <c r="A33" i="10"/>
  <c r="A26" i="22" s="1"/>
  <c r="A34" i="10"/>
  <c r="A35" i="10"/>
  <c r="A36" i="10"/>
  <c r="A37" i="10"/>
  <c r="A38" i="10"/>
  <c r="A39" i="10"/>
  <c r="A40" i="10"/>
  <c r="A41" i="10"/>
  <c r="A42"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V34" i="33"/>
  <c r="V44" i="4" s="1"/>
  <c r="R34" i="33"/>
  <c r="R44" i="4" s="1"/>
  <c r="U33" i="33"/>
  <c r="U43" i="4" s="1"/>
  <c r="Q33" i="33"/>
  <c r="Q43" i="4" s="1"/>
  <c r="T32" i="33"/>
  <c r="T42" i="4" s="1"/>
  <c r="P32" i="33"/>
  <c r="P42" i="4" s="1"/>
  <c r="F32" i="33"/>
  <c r="F42" i="4" s="1"/>
  <c r="T31" i="33"/>
  <c r="T41" i="4" s="1"/>
  <c r="P31" i="33"/>
  <c r="P41" i="4" s="1"/>
  <c r="S30" i="33"/>
  <c r="S40" i="4" s="1"/>
  <c r="V29" i="33"/>
  <c r="V39" i="4" s="1"/>
  <c r="R29" i="33"/>
  <c r="R39" i="4" s="1"/>
  <c r="U28" i="33"/>
  <c r="Q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K35" i="33" s="1"/>
  <c r="K45" i="4" s="1"/>
  <c r="L23" i="33"/>
  <c r="J23" i="33"/>
  <c r="I23" i="33"/>
  <c r="H23" i="33"/>
  <c r="G23" i="33"/>
  <c r="F23" i="33"/>
  <c r="E23" i="33"/>
  <c r="D23" i="33"/>
  <c r="C23" i="33"/>
  <c r="B23" i="33"/>
  <c r="A22" i="33"/>
  <c r="H22" i="33"/>
  <c r="G45" i="33"/>
  <c r="F27" i="33"/>
  <c r="F52" i="33" s="1"/>
  <c r="E45" i="33"/>
  <c r="D22" i="33"/>
  <c r="C45" i="33"/>
  <c r="B45" i="33"/>
  <c r="S28" i="33" l="1"/>
  <c r="P29" i="33"/>
  <c r="P39" i="4" s="1"/>
  <c r="T29" i="33"/>
  <c r="T39" i="4" s="1"/>
  <c r="Q30" i="33"/>
  <c r="Q40" i="4" s="1"/>
  <c r="U30" i="33"/>
  <c r="U40" i="4" s="1"/>
  <c r="R31" i="33"/>
  <c r="R41" i="4" s="1"/>
  <c r="V31" i="33"/>
  <c r="V41" i="4" s="1"/>
  <c r="R32" i="33"/>
  <c r="R42" i="4" s="1"/>
  <c r="V32" i="33"/>
  <c r="V42" i="4" s="1"/>
  <c r="S33" i="33"/>
  <c r="S43" i="4" s="1"/>
  <c r="P34" i="33"/>
  <c r="P44" i="4" s="1"/>
  <c r="T34" i="33"/>
  <c r="T44" i="4" s="1"/>
  <c r="U35" i="33"/>
  <c r="U45" i="4" s="1"/>
  <c r="P28" i="33"/>
  <c r="T28" i="33"/>
  <c r="Q29" i="33"/>
  <c r="U29" i="33"/>
  <c r="R30" i="33"/>
  <c r="R40" i="4" s="1"/>
  <c r="V30" i="33"/>
  <c r="V40" i="4" s="1"/>
  <c r="S31" i="33"/>
  <c r="S41" i="4" s="1"/>
  <c r="S32" i="33"/>
  <c r="S42" i="4" s="1"/>
  <c r="P33" i="33"/>
  <c r="P43" i="4" s="1"/>
  <c r="T33" i="33"/>
  <c r="T43" i="4" s="1"/>
  <c r="Q34" i="33"/>
  <c r="Q44" i="4" s="1"/>
  <c r="U34" i="33"/>
  <c r="U44" i="4" s="1"/>
  <c r="R35" i="33"/>
  <c r="R45" i="4" s="1"/>
  <c r="V35" i="33"/>
  <c r="V45" i="4" s="1"/>
  <c r="S35" i="33"/>
  <c r="S45" i="4" s="1"/>
  <c r="R28" i="33"/>
  <c r="V28" i="33"/>
  <c r="S29" i="33"/>
  <c r="S39" i="4" s="1"/>
  <c r="P30" i="33"/>
  <c r="P40" i="4" s="1"/>
  <c r="T30" i="33"/>
  <c r="T40" i="4" s="1"/>
  <c r="Q31" i="33"/>
  <c r="Q41" i="4" s="1"/>
  <c r="U31" i="33"/>
  <c r="U41" i="4" s="1"/>
  <c r="Q32" i="33"/>
  <c r="Q42" i="4" s="1"/>
  <c r="U32" i="33"/>
  <c r="U42" i="4" s="1"/>
  <c r="R33" i="33"/>
  <c r="R43" i="4" s="1"/>
  <c r="V33" i="33"/>
  <c r="V43" i="4" s="1"/>
  <c r="S34" i="33"/>
  <c r="S44" i="4" s="1"/>
  <c r="P35" i="33"/>
  <c r="P45" i="4" s="1"/>
  <c r="T35" i="33"/>
  <c r="T45" i="4" s="1"/>
  <c r="O36" i="33"/>
  <c r="O46" i="4" s="1"/>
  <c r="O37" i="33"/>
  <c r="O47" i="4" s="1"/>
  <c r="O38" i="33"/>
  <c r="O48" i="4" s="1"/>
  <c r="O39" i="33"/>
  <c r="O49" i="4" s="1"/>
  <c r="O40" i="33"/>
  <c r="O50" i="4" s="1"/>
  <c r="O41" i="33"/>
  <c r="O51" i="4" s="1"/>
  <c r="O42" i="33"/>
  <c r="O52" i="4" s="1"/>
  <c r="O43" i="33"/>
  <c r="O53" i="4" s="1"/>
  <c r="H28" i="33"/>
  <c r="H38" i="4" s="1"/>
  <c r="H32" i="33"/>
  <c r="H42" i="4" s="1"/>
  <c r="L32" i="33"/>
  <c r="L42" i="4" s="1"/>
  <c r="L35" i="33"/>
  <c r="L45" i="4" s="1"/>
  <c r="E28" i="33"/>
  <c r="E38" i="4" s="1"/>
  <c r="I28" i="33"/>
  <c r="I38" i="4" s="1"/>
  <c r="M28" i="33"/>
  <c r="M38" i="4" s="1"/>
  <c r="E29" i="33"/>
  <c r="E39" i="4" s="1"/>
  <c r="I29" i="33"/>
  <c r="I39" i="4" s="1"/>
  <c r="M29" i="33"/>
  <c r="M39" i="4" s="1"/>
  <c r="E30" i="33"/>
  <c r="E40" i="4" s="1"/>
  <c r="I30" i="33"/>
  <c r="I40" i="4" s="1"/>
  <c r="M30" i="33"/>
  <c r="M40" i="4" s="1"/>
  <c r="E31" i="33"/>
  <c r="E41" i="4" s="1"/>
  <c r="I31" i="33"/>
  <c r="I41" i="4" s="1"/>
  <c r="M31" i="33"/>
  <c r="M41" i="4" s="1"/>
  <c r="E32" i="33"/>
  <c r="E42" i="4" s="1"/>
  <c r="I32" i="33"/>
  <c r="I42" i="4" s="1"/>
  <c r="M32" i="33"/>
  <c r="M42" i="4" s="1"/>
  <c r="E33" i="33"/>
  <c r="E43" i="4" s="1"/>
  <c r="I33" i="33"/>
  <c r="I43" i="4" s="1"/>
  <c r="M33" i="33"/>
  <c r="M43" i="4" s="1"/>
  <c r="E34" i="33"/>
  <c r="E44" i="4" s="1"/>
  <c r="I34" i="33"/>
  <c r="I44" i="4" s="1"/>
  <c r="M34" i="33"/>
  <c r="M44" i="4" s="1"/>
  <c r="E35" i="33"/>
  <c r="E45" i="4" s="1"/>
  <c r="I35" i="33"/>
  <c r="I45" i="4" s="1"/>
  <c r="M35" i="33"/>
  <c r="M45" i="4" s="1"/>
  <c r="H29" i="33"/>
  <c r="H39" i="4" s="1"/>
  <c r="L29" i="33"/>
  <c r="L39" i="4" s="1"/>
  <c r="D30" i="33"/>
  <c r="D40" i="4" s="1"/>
  <c r="H31" i="33"/>
  <c r="H41" i="4" s="1"/>
  <c r="L31" i="33"/>
  <c r="L41" i="4" s="1"/>
  <c r="D32" i="33"/>
  <c r="D42" i="4" s="1"/>
  <c r="D35" i="33"/>
  <c r="D45" i="4" s="1"/>
  <c r="B28" i="33"/>
  <c r="B38" i="4" s="1"/>
  <c r="O28" i="33"/>
  <c r="O38" i="4" s="1"/>
  <c r="B29" i="33"/>
  <c r="B39" i="4" s="1"/>
  <c r="B30" i="33"/>
  <c r="B40" i="4" s="1"/>
  <c r="J30" i="33"/>
  <c r="J40" i="4" s="1"/>
  <c r="O30" i="33"/>
  <c r="O40" i="4" s="1"/>
  <c r="B31" i="33"/>
  <c r="B41" i="4" s="1"/>
  <c r="J31" i="33"/>
  <c r="J41" i="4" s="1"/>
  <c r="B32" i="33"/>
  <c r="B42" i="4" s="1"/>
  <c r="F33" i="33"/>
  <c r="F43" i="4" s="1"/>
  <c r="F34" i="33"/>
  <c r="F44" i="4" s="1"/>
  <c r="J34" i="33"/>
  <c r="J44" i="4" s="1"/>
  <c r="O34" i="33"/>
  <c r="O44" i="4" s="1"/>
  <c r="B35" i="33"/>
  <c r="B45" i="4" s="1"/>
  <c r="J35" i="33"/>
  <c r="J45" i="4" s="1"/>
  <c r="O35" i="33"/>
  <c r="O45" i="4" s="1"/>
  <c r="D28" i="33"/>
  <c r="D38" i="4" s="1"/>
  <c r="L28" i="33"/>
  <c r="D29" i="33"/>
  <c r="D39" i="4" s="1"/>
  <c r="H30" i="33"/>
  <c r="H40" i="4" s="1"/>
  <c r="L30" i="33"/>
  <c r="L40" i="4" s="1"/>
  <c r="D31" i="33"/>
  <c r="D41" i="4" s="1"/>
  <c r="D33" i="33"/>
  <c r="D43" i="4" s="1"/>
  <c r="H33" i="33"/>
  <c r="H43" i="4" s="1"/>
  <c r="L33" i="33"/>
  <c r="L43" i="4" s="1"/>
  <c r="D34" i="33"/>
  <c r="D44" i="4" s="1"/>
  <c r="H34" i="33"/>
  <c r="H44" i="4" s="1"/>
  <c r="L34" i="33"/>
  <c r="L44" i="4" s="1"/>
  <c r="H35" i="33"/>
  <c r="H45" i="4" s="1"/>
  <c r="F28" i="33"/>
  <c r="J28" i="33"/>
  <c r="F29" i="33"/>
  <c r="F39" i="4" s="1"/>
  <c r="J29" i="33"/>
  <c r="J39" i="4" s="1"/>
  <c r="O29" i="33"/>
  <c r="O39" i="4" s="1"/>
  <c r="F30" i="33"/>
  <c r="F40" i="4" s="1"/>
  <c r="F31" i="33"/>
  <c r="F41" i="4" s="1"/>
  <c r="O31" i="33"/>
  <c r="O41" i="4" s="1"/>
  <c r="J32" i="33"/>
  <c r="J42" i="4" s="1"/>
  <c r="O32" i="33"/>
  <c r="O42" i="4" s="1"/>
  <c r="B33" i="33"/>
  <c r="B43" i="4" s="1"/>
  <c r="J33" i="33"/>
  <c r="J43" i="4" s="1"/>
  <c r="O33" i="33"/>
  <c r="O43" i="4" s="1"/>
  <c r="B34" i="33"/>
  <c r="B44" i="4" s="1"/>
  <c r="F35" i="33"/>
  <c r="F45" i="4" s="1"/>
  <c r="C28" i="33"/>
  <c r="C38" i="4" s="1"/>
  <c r="G28" i="33"/>
  <c r="G38" i="4" s="1"/>
  <c r="K28" i="33"/>
  <c r="K38" i="4" s="1"/>
  <c r="C29" i="33"/>
  <c r="C39" i="4" s="1"/>
  <c r="G29" i="33"/>
  <c r="G39" i="4" s="1"/>
  <c r="K29" i="33"/>
  <c r="K39" i="4" s="1"/>
  <c r="C30" i="33"/>
  <c r="C40" i="4" s="1"/>
  <c r="G30" i="33"/>
  <c r="G40" i="4" s="1"/>
  <c r="K30" i="33"/>
  <c r="K40" i="4" s="1"/>
  <c r="C31" i="33"/>
  <c r="C41" i="4" s="1"/>
  <c r="G31" i="33"/>
  <c r="G41" i="4" s="1"/>
  <c r="K31" i="33"/>
  <c r="K41" i="4" s="1"/>
  <c r="C32" i="33"/>
  <c r="C42" i="4" s="1"/>
  <c r="G32" i="33"/>
  <c r="G42" i="4" s="1"/>
  <c r="K32" i="33"/>
  <c r="K42" i="4" s="1"/>
  <c r="C33" i="33"/>
  <c r="C43" i="4" s="1"/>
  <c r="G33" i="33"/>
  <c r="G43" i="4" s="1"/>
  <c r="K33" i="33"/>
  <c r="K43" i="4" s="1"/>
  <c r="C34" i="33"/>
  <c r="C44" i="4" s="1"/>
  <c r="G34" i="33"/>
  <c r="G44" i="4" s="1"/>
  <c r="K34" i="33"/>
  <c r="K44" i="4" s="1"/>
  <c r="C35" i="33"/>
  <c r="C45" i="4" s="1"/>
  <c r="G35" i="33"/>
  <c r="G45" i="4" s="1"/>
  <c r="U38" i="4"/>
  <c r="R38" i="4"/>
  <c r="V38" i="4"/>
  <c r="B22" i="33"/>
  <c r="E22" i="33"/>
  <c r="I45" i="33"/>
  <c r="I52" i="33"/>
  <c r="I27" i="33"/>
  <c r="P38" i="4"/>
  <c r="P47" i="33"/>
  <c r="P48" i="33" s="1"/>
  <c r="P54" i="33" s="1"/>
  <c r="T38" i="4"/>
  <c r="B27" i="33"/>
  <c r="B52" i="33" s="1"/>
  <c r="Q38" i="4"/>
  <c r="D27" i="33"/>
  <c r="D52" i="33" s="1"/>
  <c r="I22" i="33"/>
  <c r="E27" i="33"/>
  <c r="E52" i="33" s="1"/>
  <c r="S38" i="4"/>
  <c r="S47" i="33"/>
  <c r="S48" i="33" s="1"/>
  <c r="S54" i="33" s="1"/>
  <c r="D45" i="33"/>
  <c r="G57" i="33"/>
  <c r="H57" i="33"/>
  <c r="C57" i="33"/>
  <c r="J57" i="33"/>
  <c r="D57" i="33"/>
  <c r="L57" i="33"/>
  <c r="F57" i="33"/>
  <c r="K57" i="33"/>
  <c r="B57" i="33"/>
  <c r="E57" i="33"/>
  <c r="I57" i="33"/>
  <c r="M57" i="33"/>
  <c r="U46" i="33"/>
  <c r="U53" i="33" s="1"/>
  <c r="U47" i="33"/>
  <c r="U48" i="33" s="1"/>
  <c r="U54" i="33" s="1"/>
  <c r="F22" i="33"/>
  <c r="V47" i="33"/>
  <c r="V48" i="33" s="1"/>
  <c r="V54" i="33" s="1"/>
  <c r="V46" i="33"/>
  <c r="V53" i="33" s="1"/>
  <c r="F45" i="33"/>
  <c r="G22" i="33"/>
  <c r="G27" i="33"/>
  <c r="G52" i="33" s="1"/>
  <c r="C22" i="33"/>
  <c r="C27" i="33"/>
  <c r="C52" i="33" s="1"/>
  <c r="H27" i="33"/>
  <c r="H52" i="33" s="1"/>
  <c r="H45" i="33"/>
  <c r="S56" i="33"/>
  <c r="U56" i="33"/>
  <c r="R56" i="33"/>
  <c r="O56" i="33"/>
  <c r="P56" i="33"/>
  <c r="V56" i="33"/>
  <c r="T56" i="33"/>
  <c r="Q56" i="33"/>
  <c r="Q57" i="33" l="1"/>
  <c r="T57" i="33"/>
  <c r="V57" i="33"/>
  <c r="P57" i="33"/>
  <c r="R57" i="33"/>
  <c r="U57" i="33"/>
  <c r="S57" i="33"/>
  <c r="Q39" i="4"/>
  <c r="Q46" i="33"/>
  <c r="Q53" i="33" s="1"/>
  <c r="S46" i="33"/>
  <c r="S53" i="33" s="1"/>
  <c r="T47" i="33"/>
  <c r="T48" i="33" s="1"/>
  <c r="T54" i="33" s="1"/>
  <c r="T46" i="33"/>
  <c r="T53" i="33" s="1"/>
  <c r="P46" i="33"/>
  <c r="P53" i="33" s="1"/>
  <c r="R46" i="33"/>
  <c r="R53" i="33" s="1"/>
  <c r="R47" i="33"/>
  <c r="R48" i="33" s="1"/>
  <c r="R54" i="33" s="1"/>
  <c r="Q47" i="33"/>
  <c r="Q48" i="33" s="1"/>
  <c r="Q54" i="33" s="1"/>
  <c r="U39" i="4"/>
  <c r="H47" i="33"/>
  <c r="H48" i="33" s="1"/>
  <c r="H54" i="33" s="1"/>
  <c r="F46" i="33"/>
  <c r="F53" i="33" s="1"/>
  <c r="L46" i="33"/>
  <c r="L53" i="33" s="1"/>
  <c r="M47" i="33"/>
  <c r="M48" i="33" s="1"/>
  <c r="M54" i="33" s="1"/>
  <c r="L47" i="33"/>
  <c r="L48" i="33" s="1"/>
  <c r="L54" i="33" s="1"/>
  <c r="O46" i="33"/>
  <c r="O53" i="33" s="1"/>
  <c r="C46" i="33"/>
  <c r="C53" i="33" s="1"/>
  <c r="I46" i="33"/>
  <c r="I53" i="33" s="1"/>
  <c r="E47" i="33"/>
  <c r="E48" i="33" s="1"/>
  <c r="E54" i="33" s="1"/>
  <c r="J46" i="33"/>
  <c r="J53" i="33" s="1"/>
  <c r="K46" i="33"/>
  <c r="K53" i="33" s="1"/>
  <c r="J47" i="33"/>
  <c r="J48" i="33" s="1"/>
  <c r="J54" i="33" s="1"/>
  <c r="O57" i="33"/>
  <c r="U59" i="33" s="1"/>
  <c r="U60" i="33" s="1"/>
  <c r="U61" i="33" s="1"/>
  <c r="B46" i="33"/>
  <c r="H46" i="33"/>
  <c r="H53" i="33" s="1"/>
  <c r="O47" i="33"/>
  <c r="O48" i="33" s="1"/>
  <c r="O54" i="33" s="1"/>
  <c r="J38" i="4"/>
  <c r="K47" i="33"/>
  <c r="K48" i="33" s="1"/>
  <c r="K54" i="33" s="1"/>
  <c r="I47" i="33"/>
  <c r="I48" i="33" s="1"/>
  <c r="I54" i="33" s="1"/>
  <c r="B47" i="33"/>
  <c r="B48" i="33" s="1"/>
  <c r="B54" i="33" s="1"/>
  <c r="D47" i="33"/>
  <c r="D48" i="33" s="1"/>
  <c r="D54" i="33" s="1"/>
  <c r="F47" i="33"/>
  <c r="F48" i="33" s="1"/>
  <c r="F54" i="33" s="1"/>
  <c r="L38" i="4"/>
  <c r="G47" i="33"/>
  <c r="G48" i="33" s="1"/>
  <c r="G54" i="33" s="1"/>
  <c r="M46" i="33"/>
  <c r="M53" i="33" s="1"/>
  <c r="E46" i="33"/>
  <c r="E53" i="33" s="1"/>
  <c r="D46" i="33"/>
  <c r="D53" i="33" s="1"/>
  <c r="F38" i="4"/>
  <c r="G46" i="33"/>
  <c r="G53" i="33" s="1"/>
  <c r="C47" i="33"/>
  <c r="C48" i="33" s="1"/>
  <c r="C54" i="33" s="1"/>
  <c r="O59" i="33"/>
  <c r="O60" i="33" s="1"/>
  <c r="O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V59" i="33"/>
  <c r="V60" i="33" s="1"/>
  <c r="V61" i="33" s="1"/>
  <c r="Q59" i="33"/>
  <c r="Q60" i="33" s="1"/>
  <c r="Q61" i="33" s="1"/>
  <c r="T59" i="33" l="1"/>
  <c r="T60" i="33" s="1"/>
  <c r="T61" i="33" s="1"/>
  <c r="B64" i="33"/>
  <c r="P59" i="33"/>
  <c r="P60" i="33" s="1"/>
  <c r="P61" i="33" s="1"/>
  <c r="B53" i="33"/>
  <c r="M55" i="33" s="1"/>
  <c r="R59" i="33"/>
  <c r="R60" i="33" s="1"/>
  <c r="R61" i="33" s="1"/>
  <c r="B65" i="33"/>
  <c r="D55" i="33"/>
  <c r="B55" i="33"/>
  <c r="K55" i="33"/>
  <c r="L55" i="33"/>
  <c r="T55" i="33"/>
  <c r="G55" i="33"/>
  <c r="F55" i="33"/>
  <c r="O55" i="33"/>
  <c r="C55" i="33"/>
  <c r="J55" i="33"/>
  <c r="R55" i="33"/>
  <c r="Q55" i="33"/>
  <c r="H55" i="33"/>
  <c r="I55" i="33"/>
  <c r="E55" i="33"/>
  <c r="V55" i="33"/>
  <c r="U55" i="33"/>
  <c r="S55" i="33" l="1"/>
  <c r="P55"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V33" i="4"/>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C32" i="23"/>
  <c r="C26" i="4" s="1"/>
  <c r="J43" i="23"/>
  <c r="J39" i="23"/>
  <c r="J33" i="4" s="1"/>
  <c r="J35" i="23"/>
  <c r="J29" i="4" s="1"/>
  <c r="F35" i="23"/>
  <c r="F29" i="4" s="1"/>
  <c r="E28" i="23"/>
  <c r="I35" i="23"/>
  <c r="I29" i="4" s="1"/>
  <c r="H31" i="23"/>
  <c r="H25" i="4" s="1"/>
  <c r="P22" i="23"/>
  <c r="S23" i="1"/>
  <c r="T23" i="1"/>
  <c r="U23" i="1"/>
  <c r="V23" i="1"/>
  <c r="S24" i="1"/>
  <c r="T24" i="1"/>
  <c r="U24" i="1"/>
  <c r="V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F35" i="1"/>
  <c r="F13" i="4" s="1"/>
  <c r="G35" i="1"/>
  <c r="G13" i="4" s="1"/>
  <c r="Q31" i="1"/>
  <c r="Q9" i="4" s="1"/>
  <c r="Q34" i="1"/>
  <c r="Q12" i="4" s="1"/>
  <c r="O40" i="1"/>
  <c r="O18" i="4" s="1"/>
  <c r="P28" i="1"/>
  <c r="P30" i="1"/>
  <c r="P8" i="4" s="1"/>
  <c r="P33" i="1"/>
  <c r="P11" i="4" s="1"/>
  <c r="P34" i="1"/>
  <c r="P12" i="4" s="1"/>
  <c r="O41" i="1"/>
  <c r="O19"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R33" i="1" l="1"/>
  <c r="R11" i="4" s="1"/>
  <c r="D35" i="23"/>
  <c r="D29" i="4" s="1"/>
  <c r="J31" i="23"/>
  <c r="J25" i="4" s="1"/>
  <c r="H35" i="23"/>
  <c r="H29" i="4" s="1"/>
  <c r="D28" i="23"/>
  <c r="T35" i="1"/>
  <c r="T13" i="4" s="1"/>
  <c r="T34" i="1"/>
  <c r="T12" i="4" s="1"/>
  <c r="T33" i="1"/>
  <c r="T11" i="4" s="1"/>
  <c r="T32" i="1"/>
  <c r="T10" i="4" s="1"/>
  <c r="T31" i="1"/>
  <c r="T9" i="4" s="1"/>
  <c r="T30" i="1"/>
  <c r="T8" i="4" s="1"/>
  <c r="T29" i="1"/>
  <c r="T7" i="4" s="1"/>
  <c r="T28" i="1"/>
  <c r="T35" i="23"/>
  <c r="T29" i="4" s="1"/>
  <c r="P35" i="23"/>
  <c r="P29" i="4" s="1"/>
  <c r="S34" i="23"/>
  <c r="S28" i="4" s="1"/>
  <c r="V33" i="23"/>
  <c r="V27" i="4" s="1"/>
  <c r="R33" i="23"/>
  <c r="R27" i="4" s="1"/>
  <c r="U32" i="23"/>
  <c r="U26" i="4" s="1"/>
  <c r="Q32" i="23"/>
  <c r="Q26" i="4" s="1"/>
  <c r="T31" i="23"/>
  <c r="T25" i="4" s="1"/>
  <c r="P31" i="23"/>
  <c r="P25" i="4" s="1"/>
  <c r="S30" i="23"/>
  <c r="S24" i="4" s="1"/>
  <c r="V29" i="23"/>
  <c r="V23" i="4" s="1"/>
  <c r="R29" i="23"/>
  <c r="R23" i="4" s="1"/>
  <c r="U28" i="23"/>
  <c r="Q28" i="23"/>
  <c r="D32" i="23"/>
  <c r="D26" i="4" s="1"/>
  <c r="H33" i="23"/>
  <c r="H27" i="4" s="1"/>
  <c r="J30" i="23"/>
  <c r="J24" i="4" s="1"/>
  <c r="S35" i="1"/>
  <c r="S13" i="4" s="1"/>
  <c r="S34" i="1"/>
  <c r="S12" i="4" s="1"/>
  <c r="S33" i="1"/>
  <c r="S11" i="4" s="1"/>
  <c r="S32" i="1"/>
  <c r="S10" i="4" s="1"/>
  <c r="S31" i="1"/>
  <c r="S9" i="4" s="1"/>
  <c r="S30" i="1"/>
  <c r="S8" i="4" s="1"/>
  <c r="S29" i="1"/>
  <c r="S7" i="4" s="1"/>
  <c r="S28" i="1"/>
  <c r="S35" i="23"/>
  <c r="S29" i="4" s="1"/>
  <c r="V34" i="23"/>
  <c r="V28" i="4" s="1"/>
  <c r="R34" i="23"/>
  <c r="R28" i="4" s="1"/>
  <c r="U33" i="23"/>
  <c r="U27" i="4" s="1"/>
  <c r="Q33" i="23"/>
  <c r="Q27" i="4" s="1"/>
  <c r="T32" i="23"/>
  <c r="T26" i="4" s="1"/>
  <c r="P32" i="23"/>
  <c r="P26" i="4" s="1"/>
  <c r="S31" i="23"/>
  <c r="S25" i="4" s="1"/>
  <c r="V30" i="23"/>
  <c r="V24" i="4" s="1"/>
  <c r="R30" i="23"/>
  <c r="R24" i="4" s="1"/>
  <c r="U29" i="23"/>
  <c r="U23" i="4" s="1"/>
  <c r="Q29" i="23"/>
  <c r="Q23" i="4" s="1"/>
  <c r="T28" i="23"/>
  <c r="P28" i="23"/>
  <c r="V35" i="1"/>
  <c r="V13" i="4" s="1"/>
  <c r="V34" i="1"/>
  <c r="V12" i="4" s="1"/>
  <c r="V33" i="1"/>
  <c r="V11" i="4" s="1"/>
  <c r="V32" i="1"/>
  <c r="V10" i="4" s="1"/>
  <c r="V31" i="1"/>
  <c r="V9" i="4" s="1"/>
  <c r="V30" i="1"/>
  <c r="V8" i="4" s="1"/>
  <c r="V29" i="1"/>
  <c r="V7" i="4" s="1"/>
  <c r="V28" i="1"/>
  <c r="V35" i="23"/>
  <c r="V29" i="4" s="1"/>
  <c r="R35" i="23"/>
  <c r="R29" i="4" s="1"/>
  <c r="U34" i="23"/>
  <c r="U28" i="4" s="1"/>
  <c r="Q34" i="23"/>
  <c r="Q28" i="4" s="1"/>
  <c r="T33" i="23"/>
  <c r="P33" i="23"/>
  <c r="P27" i="4" s="1"/>
  <c r="S32" i="23"/>
  <c r="S26" i="4" s="1"/>
  <c r="V31" i="23"/>
  <c r="V25" i="4" s="1"/>
  <c r="R31" i="23"/>
  <c r="R25" i="4" s="1"/>
  <c r="U30" i="23"/>
  <c r="U24" i="4" s="1"/>
  <c r="Q30" i="23"/>
  <c r="Q24" i="4" s="1"/>
  <c r="T29" i="23"/>
  <c r="T23" i="4" s="1"/>
  <c r="P29" i="23"/>
  <c r="S28" i="23"/>
  <c r="U35" i="1"/>
  <c r="U13" i="4" s="1"/>
  <c r="U34" i="1"/>
  <c r="U12" i="4" s="1"/>
  <c r="U33" i="1"/>
  <c r="U11" i="4" s="1"/>
  <c r="U32" i="1"/>
  <c r="U10" i="4" s="1"/>
  <c r="U31" i="1"/>
  <c r="U9" i="4" s="1"/>
  <c r="U30" i="1"/>
  <c r="U8" i="4" s="1"/>
  <c r="U29" i="1"/>
  <c r="U7" i="4" s="1"/>
  <c r="U28" i="1"/>
  <c r="U35" i="23"/>
  <c r="Q35" i="23"/>
  <c r="Q29" i="4" s="1"/>
  <c r="T34" i="23"/>
  <c r="T28" i="4" s="1"/>
  <c r="P34" i="23"/>
  <c r="P28" i="4" s="1"/>
  <c r="S33" i="23"/>
  <c r="S27" i="4" s="1"/>
  <c r="V32" i="23"/>
  <c r="V26" i="4" s="1"/>
  <c r="R32" i="23"/>
  <c r="R26" i="4" s="1"/>
  <c r="U31" i="23"/>
  <c r="U25" i="4" s="1"/>
  <c r="Q31" i="23"/>
  <c r="Q25" i="4" s="1"/>
  <c r="T30" i="23"/>
  <c r="T24" i="4" s="1"/>
  <c r="P30" i="23"/>
  <c r="P24" i="4" s="1"/>
  <c r="S29" i="23"/>
  <c r="S23" i="4" s="1"/>
  <c r="V28" i="23"/>
  <c r="R28" i="23"/>
  <c r="O41" i="23"/>
  <c r="O35" i="4" s="1"/>
  <c r="C33" i="23"/>
  <c r="C27" i="4" s="1"/>
  <c r="E29" i="23"/>
  <c r="E23" i="4" s="1"/>
  <c r="O40" i="23"/>
  <c r="O34" i="4" s="1"/>
  <c r="O43" i="23"/>
  <c r="O39" i="23"/>
  <c r="O33" i="4" s="1"/>
  <c r="O42" i="23"/>
  <c r="O36" i="4" s="1"/>
  <c r="O36" i="23"/>
  <c r="O30" i="4" s="1"/>
  <c r="H30" i="23"/>
  <c r="H24" i="4" s="1"/>
  <c r="M33" i="23"/>
  <c r="M27" i="4" s="1"/>
  <c r="K30" i="23"/>
  <c r="K24" i="4" s="1"/>
  <c r="G32" i="23"/>
  <c r="G26" i="4" s="1"/>
  <c r="H28" i="23"/>
  <c r="G33" i="23"/>
  <c r="G27" i="4" s="1"/>
  <c r="I28" i="23"/>
  <c r="C30" i="23"/>
  <c r="C24" i="4" s="1"/>
  <c r="E32" i="23"/>
  <c r="E26" i="4" s="1"/>
  <c r="C29" i="23"/>
  <c r="C23" i="4" s="1"/>
  <c r="E31" i="23"/>
  <c r="E25" i="4" s="1"/>
  <c r="I29" i="23"/>
  <c r="I23" i="4" s="1"/>
  <c r="C31" i="23"/>
  <c r="C25" i="4" s="1"/>
  <c r="H34" i="23"/>
  <c r="H28" i="4" s="1"/>
  <c r="F29" i="23"/>
  <c r="F23" i="4" s="1"/>
  <c r="M34" i="23"/>
  <c r="M28" i="4" s="1"/>
  <c r="L33" i="23"/>
  <c r="L27" i="4" s="1"/>
  <c r="K32" i="23"/>
  <c r="K26" i="4" s="1"/>
  <c r="L31" i="23"/>
  <c r="L25" i="4" s="1"/>
  <c r="M29" i="23"/>
  <c r="M23" i="4" s="1"/>
  <c r="L28" i="23"/>
  <c r="O35" i="23"/>
  <c r="O29" i="4" s="1"/>
  <c r="L32" i="23"/>
  <c r="L26" i="4" s="1"/>
  <c r="I30" i="23"/>
  <c r="I24" i="4" s="1"/>
  <c r="F33" i="23"/>
  <c r="F27" i="4" s="1"/>
  <c r="G29" i="23"/>
  <c r="G23" i="4" s="1"/>
  <c r="E35" i="23"/>
  <c r="E29" i="4" s="1"/>
  <c r="D29" i="23"/>
  <c r="G30" i="23"/>
  <c r="G24" i="4" s="1"/>
  <c r="I32" i="23"/>
  <c r="I26" i="4" s="1"/>
  <c r="C34" i="23"/>
  <c r="C28" i="4" s="1"/>
  <c r="E34" i="23"/>
  <c r="E28" i="4" s="1"/>
  <c r="I31" i="23"/>
  <c r="I25" i="4" s="1"/>
  <c r="F34" i="23"/>
  <c r="F28" i="4" s="1"/>
  <c r="F28" i="23"/>
  <c r="G31" i="23"/>
  <c r="G25" i="4" s="1"/>
  <c r="E33" i="23"/>
  <c r="E27" i="4" s="1"/>
  <c r="C35" i="23"/>
  <c r="C29" i="4" s="1"/>
  <c r="J29" i="23"/>
  <c r="J23" i="4" s="1"/>
  <c r="M35" i="23"/>
  <c r="M29" i="4" s="1"/>
  <c r="L34" i="23"/>
  <c r="L28" i="4" s="1"/>
  <c r="K33" i="23"/>
  <c r="K27" i="4" s="1"/>
  <c r="K31" i="23"/>
  <c r="K25" i="4" s="1"/>
  <c r="M30" i="23"/>
  <c r="M24" i="4" s="1"/>
  <c r="L29" i="23"/>
  <c r="L23" i="4" s="1"/>
  <c r="K28" i="23"/>
  <c r="O33" i="23"/>
  <c r="O27" i="4" s="1"/>
  <c r="J32" i="23"/>
  <c r="J26" i="4" s="1"/>
  <c r="D34" i="23"/>
  <c r="D28" i="4" s="1"/>
  <c r="D31" i="23"/>
  <c r="D25" i="4" s="1"/>
  <c r="K35" i="23"/>
  <c r="K29" i="4" s="1"/>
  <c r="M31" i="23"/>
  <c r="M25" i="4" s="1"/>
  <c r="M28" i="23"/>
  <c r="M22" i="4" s="1"/>
  <c r="G28" i="23"/>
  <c r="J33" i="23"/>
  <c r="J27" i="4" s="1"/>
  <c r="H29" i="23"/>
  <c r="H23" i="4" s="1"/>
  <c r="F31" i="23"/>
  <c r="F25" i="4" s="1"/>
  <c r="D33" i="23"/>
  <c r="D27" i="4" s="1"/>
  <c r="G34" i="23"/>
  <c r="G28" i="4" s="1"/>
  <c r="I34" i="23"/>
  <c r="I28" i="4" s="1"/>
  <c r="F30" i="23"/>
  <c r="F24" i="4" s="1"/>
  <c r="H32" i="23"/>
  <c r="H26" i="4" s="1"/>
  <c r="J34" i="23"/>
  <c r="J28" i="4" s="1"/>
  <c r="J28" i="23"/>
  <c r="J22" i="4" s="1"/>
  <c r="D30" i="23"/>
  <c r="D24" i="4" s="1"/>
  <c r="F32" i="23"/>
  <c r="F26" i="4" s="1"/>
  <c r="I33" i="23"/>
  <c r="I27" i="4" s="1"/>
  <c r="G35" i="23"/>
  <c r="G29" i="4" s="1"/>
  <c r="C28" i="23"/>
  <c r="E30" i="23"/>
  <c r="L35" i="23"/>
  <c r="L29" i="4" s="1"/>
  <c r="K34" i="23"/>
  <c r="K28" i="4" s="1"/>
  <c r="M32" i="23"/>
  <c r="M26" i="4" s="1"/>
  <c r="L30" i="23"/>
  <c r="L24" i="4" s="1"/>
  <c r="K29" i="23"/>
  <c r="K23" i="4" s="1"/>
  <c r="O29" i="23"/>
  <c r="O23" i="4" s="1"/>
  <c r="O32" i="1"/>
  <c r="O10" i="4" s="1"/>
  <c r="O43" i="1"/>
  <c r="O42" i="1"/>
  <c r="O20" i="4" s="1"/>
  <c r="O39" i="1"/>
  <c r="O17" i="4" s="1"/>
  <c r="G34" i="1"/>
  <c r="G12" i="4" s="1"/>
  <c r="F33" i="1"/>
  <c r="F11" i="4" s="1"/>
  <c r="C35" i="1"/>
  <c r="C13" i="4" s="1"/>
  <c r="H32" i="1"/>
  <c r="H10" i="4" s="1"/>
  <c r="I30" i="1"/>
  <c r="I8" i="4" s="1"/>
  <c r="H31" i="1"/>
  <c r="H30" i="1"/>
  <c r="H8" i="4" s="1"/>
  <c r="E33" i="1"/>
  <c r="E11" i="4" s="1"/>
  <c r="H33" i="1"/>
  <c r="H11" i="4" s="1"/>
  <c r="F32" i="1"/>
  <c r="F10" i="4" s="1"/>
  <c r="G30" i="1"/>
  <c r="G8" i="4" s="1"/>
  <c r="F34" i="1"/>
  <c r="F12" i="4" s="1"/>
  <c r="F30" i="1"/>
  <c r="E30" i="1"/>
  <c r="E8" i="4" s="1"/>
  <c r="E35" i="1"/>
  <c r="E13" i="4" s="1"/>
  <c r="E29" i="1"/>
  <c r="E7" i="4" s="1"/>
  <c r="E32" i="1"/>
  <c r="E10" i="4" s="1"/>
  <c r="B33" i="1"/>
  <c r="B11" i="4" s="1"/>
  <c r="F29" i="1"/>
  <c r="F7" i="4" s="1"/>
  <c r="I33" i="1"/>
  <c r="I11" i="4" s="1"/>
  <c r="I29" i="1"/>
  <c r="I7" i="4" s="1"/>
  <c r="I34" i="1"/>
  <c r="I12" i="4" s="1"/>
  <c r="H35" i="1"/>
  <c r="H13" i="4" s="1"/>
  <c r="C33" i="1"/>
  <c r="C11" i="4" s="1"/>
  <c r="J32" i="1"/>
  <c r="J10" i="4" s="1"/>
  <c r="J28" i="1"/>
  <c r="J6" i="4" s="1"/>
  <c r="M34" i="1"/>
  <c r="M12" i="4" s="1"/>
  <c r="L33" i="1"/>
  <c r="L11" i="4" s="1"/>
  <c r="M32" i="1"/>
  <c r="M10" i="4" s="1"/>
  <c r="M31" i="1"/>
  <c r="M9" i="4" s="1"/>
  <c r="M29" i="1"/>
  <c r="M7" i="4" s="1"/>
  <c r="L28" i="1"/>
  <c r="D33" i="1"/>
  <c r="D11" i="4" s="1"/>
  <c r="D35" i="1"/>
  <c r="D13" i="4" s="1"/>
  <c r="H34" i="1"/>
  <c r="H12" i="4" s="1"/>
  <c r="G29" i="1"/>
  <c r="J35" i="1"/>
  <c r="J13" i="4" s="1"/>
  <c r="J31" i="1"/>
  <c r="J9" i="4" s="1"/>
  <c r="M35" i="1"/>
  <c r="M13" i="4" s="1"/>
  <c r="L34" i="1"/>
  <c r="L12" i="4" s="1"/>
  <c r="K33" i="1"/>
  <c r="K11" i="4" s="1"/>
  <c r="L32" i="1"/>
  <c r="L10" i="4" s="1"/>
  <c r="L31" i="1"/>
  <c r="L9" i="4" s="1"/>
  <c r="M30" i="1"/>
  <c r="M8" i="4" s="1"/>
  <c r="L29" i="1"/>
  <c r="L7" i="4" s="1"/>
  <c r="K28" i="1"/>
  <c r="K6" i="4" s="1"/>
  <c r="J34" i="1"/>
  <c r="J12" i="4" s="1"/>
  <c r="J30" i="1"/>
  <c r="J8" i="4" s="1"/>
  <c r="L35" i="1"/>
  <c r="L13" i="4" s="1"/>
  <c r="K34" i="1"/>
  <c r="K12" i="4" s="1"/>
  <c r="K32" i="1"/>
  <c r="K10" i="4" s="1"/>
  <c r="K31" i="1"/>
  <c r="L30" i="1"/>
  <c r="L8" i="4" s="1"/>
  <c r="K29" i="1"/>
  <c r="K7" i="4" s="1"/>
  <c r="J33" i="1"/>
  <c r="J11" i="4" s="1"/>
  <c r="J29" i="1"/>
  <c r="J7" i="4" s="1"/>
  <c r="K35" i="1"/>
  <c r="K13" i="4" s="1"/>
  <c r="M33" i="1"/>
  <c r="M11" i="4" s="1"/>
  <c r="K30" i="1"/>
  <c r="K8" i="4" s="1"/>
  <c r="M28" i="1"/>
  <c r="E22" i="4"/>
  <c r="T6" i="4"/>
  <c r="S6" i="4"/>
  <c r="L22" i="4"/>
  <c r="Q6" i="4"/>
  <c r="D22" i="4"/>
  <c r="G22" i="4"/>
  <c r="Q22" i="4"/>
  <c r="C22" i="4"/>
  <c r="P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G46" i="23"/>
  <c r="G53" i="23" s="1"/>
  <c r="P37" i="1"/>
  <c r="F22" i="23"/>
  <c r="K46" i="23"/>
  <c r="K53" i="23" s="1"/>
  <c r="O36" i="1"/>
  <c r="Q46" i="23"/>
  <c r="Q53" i="23" s="1"/>
  <c r="H45" i="23"/>
  <c r="Q47" i="23"/>
  <c r="Q48" i="23" s="1"/>
  <c r="Q54" i="23" s="1"/>
  <c r="U46" i="23"/>
  <c r="U53" i="23" s="1"/>
  <c r="T46" i="23"/>
  <c r="T53" i="23" s="1"/>
  <c r="R31" i="1"/>
  <c r="R9" i="4" s="1"/>
  <c r="R22" i="4"/>
  <c r="V22" i="4"/>
  <c r="U29" i="4"/>
  <c r="T47" i="23"/>
  <c r="T48" i="23" s="1"/>
  <c r="T54" i="23" s="1"/>
  <c r="T27" i="4"/>
  <c r="H46" i="23"/>
  <c r="H53" i="23" s="1"/>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D17" i="4"/>
  <c r="F8" i="4"/>
  <c r="H9" i="4"/>
  <c r="G7" i="4"/>
  <c r="C4" i="4"/>
  <c r="J47" i="23"/>
  <c r="J48" i="23" s="1"/>
  <c r="J54" i="23" s="1"/>
  <c r="P47" i="23"/>
  <c r="P48" i="23" s="1"/>
  <c r="P54" i="23" s="1"/>
  <c r="E47" i="23"/>
  <c r="E48" i="23" s="1"/>
  <c r="E54" i="23" s="1"/>
  <c r="U47" i="23"/>
  <c r="U48" i="23" s="1"/>
  <c r="U54" i="23" s="1"/>
  <c r="A47" i="22"/>
  <c r="J46" i="23"/>
  <c r="J53" i="23" s="1"/>
  <c r="G27" i="23"/>
  <c r="G52" i="23" s="1"/>
  <c r="A50" i="22"/>
  <c r="H50" i="22" s="1"/>
  <c r="K27" i="23"/>
  <c r="L22" i="1"/>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T56" i="1"/>
  <c r="D56" i="1"/>
  <c r="K56" i="23"/>
  <c r="L56" i="23"/>
  <c r="I56" i="1"/>
  <c r="B56" i="1"/>
  <c r="C56" i="23"/>
  <c r="O56" i="23"/>
  <c r="J56" i="1"/>
  <c r="F56" i="1"/>
  <c r="B56" i="23"/>
  <c r="R56" i="1"/>
  <c r="L56" i="1"/>
  <c r="U56" i="23"/>
  <c r="S56" i="1"/>
  <c r="S56" i="23"/>
  <c r="U56" i="1"/>
  <c r="I56" i="23"/>
  <c r="K56" i="1"/>
  <c r="O56" i="1"/>
  <c r="G56" i="23"/>
  <c r="V78" i="4"/>
  <c r="Q56" i="1"/>
  <c r="H56" i="1"/>
  <c r="E56" i="1"/>
  <c r="H56" i="23"/>
  <c r="G56" i="1"/>
  <c r="E56" i="23"/>
  <c r="P56" i="1"/>
  <c r="M56" i="23"/>
  <c r="F56" i="23"/>
  <c r="Q56" i="23"/>
  <c r="T56" i="23"/>
  <c r="V56" i="23"/>
  <c r="D56" i="23"/>
  <c r="J78" i="4"/>
  <c r="C56" i="1"/>
  <c r="P56" i="23"/>
  <c r="V56" i="1"/>
  <c r="R56" i="23"/>
  <c r="M56" i="1"/>
  <c r="J56" i="23"/>
  <c r="R57" i="23" l="1"/>
  <c r="V57" i="1"/>
  <c r="P57" i="23"/>
  <c r="V57" i="23"/>
  <c r="T57" i="23"/>
  <c r="Q57" i="23"/>
  <c r="U57" i="1"/>
  <c r="S57" i="23"/>
  <c r="S57" i="1"/>
  <c r="U57" i="23"/>
  <c r="T57" i="1"/>
  <c r="T22" i="4"/>
  <c r="S63" i="4"/>
  <c r="S64" i="4" s="1"/>
  <c r="S22" i="4"/>
  <c r="U22" i="4"/>
  <c r="C46" i="23"/>
  <c r="C53" i="23" s="1"/>
  <c r="L46" i="23"/>
  <c r="L53" i="23" s="1"/>
  <c r="H47" i="23"/>
  <c r="H48" i="23" s="1"/>
  <c r="H54" i="23" s="1"/>
  <c r="F46" i="23"/>
  <c r="F53" i="23" s="1"/>
  <c r="F47" i="23"/>
  <c r="F48" i="23" s="1"/>
  <c r="F54" i="23" s="1"/>
  <c r="E46" i="23"/>
  <c r="E53" i="23" s="1"/>
  <c r="M46" i="23"/>
  <c r="M53" i="23" s="1"/>
  <c r="I46" i="23"/>
  <c r="I53" i="23" s="1"/>
  <c r="C57" i="23"/>
  <c r="M57" i="23"/>
  <c r="L57" i="23"/>
  <c r="H57" i="23"/>
  <c r="J57" i="23"/>
  <c r="D57" i="23"/>
  <c r="F57" i="23"/>
  <c r="I57" i="23"/>
  <c r="E57" i="23"/>
  <c r="G57" i="23"/>
  <c r="K57" i="23"/>
  <c r="C47" i="23"/>
  <c r="C48" i="23" s="1"/>
  <c r="C54" i="23" s="1"/>
  <c r="D46" i="23"/>
  <c r="D53" i="23" s="1"/>
  <c r="D47" i="23"/>
  <c r="D48" i="23" s="1"/>
  <c r="D54" i="23" s="1"/>
  <c r="K47" i="23"/>
  <c r="K48" i="23" s="1"/>
  <c r="K54" i="23" s="1"/>
  <c r="D23" i="4"/>
  <c r="I47" i="23"/>
  <c r="I48" i="23" s="1"/>
  <c r="I54" i="23" s="1"/>
  <c r="L47" i="23"/>
  <c r="L48" i="23" s="1"/>
  <c r="L54" i="23" s="1"/>
  <c r="M47" i="23"/>
  <c r="M48" i="23" s="1"/>
  <c r="M54" i="23" s="1"/>
  <c r="G47" i="23"/>
  <c r="G48" i="23" s="1"/>
  <c r="G54" i="23" s="1"/>
  <c r="H22" i="4"/>
  <c r="I22" i="4"/>
  <c r="F22" i="4"/>
  <c r="E24" i="4"/>
  <c r="K22" i="4"/>
  <c r="K63" i="4" s="1"/>
  <c r="K64" i="4" s="1"/>
  <c r="M46" i="1"/>
  <c r="M53" i="1" s="1"/>
  <c r="L47" i="1"/>
  <c r="L48" i="1" s="1"/>
  <c r="L54" i="1" s="1"/>
  <c r="J46" i="1"/>
  <c r="J53" i="1" s="1"/>
  <c r="M57" i="1"/>
  <c r="L57" i="1"/>
  <c r="K57" i="1"/>
  <c r="J57" i="1"/>
  <c r="P47" i="1"/>
  <c r="P48" i="1" s="1"/>
  <c r="P54" i="1" s="1"/>
  <c r="L46" i="1"/>
  <c r="L53" i="1" s="1"/>
  <c r="M47" i="1"/>
  <c r="M48" i="1" s="1"/>
  <c r="M54" i="1" s="1"/>
  <c r="M6" i="4"/>
  <c r="M63" i="4" s="1"/>
  <c r="M64" i="4" s="1"/>
  <c r="K47" i="1"/>
  <c r="K48" i="1" s="1"/>
  <c r="K54" i="1" s="1"/>
  <c r="J47" i="1"/>
  <c r="J48" i="1" s="1"/>
  <c r="J54" i="1" s="1"/>
  <c r="K46" i="1"/>
  <c r="K53" i="1" s="1"/>
  <c r="L6" i="4"/>
  <c r="L56" i="4" s="1"/>
  <c r="L75" i="4" s="1"/>
  <c r="F46" i="1"/>
  <c r="F53" i="1" s="1"/>
  <c r="D6" i="4"/>
  <c r="R6" i="4"/>
  <c r="C6" i="4"/>
  <c r="B22" i="4"/>
  <c r="I6" i="4"/>
  <c r="P7" i="4"/>
  <c r="E6" i="4"/>
  <c r="H6" i="4"/>
  <c r="F6" i="4"/>
  <c r="O6" i="4"/>
  <c r="B6" i="4"/>
  <c r="G6" i="4"/>
  <c r="Q7" i="4"/>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J56" i="4"/>
  <c r="J75" i="4" s="1"/>
  <c r="O55" i="4"/>
  <c r="O62" i="4"/>
  <c r="F55" i="4"/>
  <c r="F62" i="4"/>
  <c r="M55" i="4"/>
  <c r="M62" i="4"/>
  <c r="J55" i="4"/>
  <c r="J62" i="4"/>
  <c r="J57" i="4"/>
  <c r="J58" i="4" s="1"/>
  <c r="J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R63" i="4" s="1"/>
  <c r="R64" i="4" s="1"/>
  <c r="O14" i="4"/>
  <c r="P15" i="4"/>
  <c r="V4" i="23"/>
  <c r="V45" i="23" s="1"/>
  <c r="B10" i="4"/>
  <c r="A32" i="22"/>
  <c r="H32" i="22" s="1"/>
  <c r="D13" i="28"/>
  <c r="D9" i="28"/>
  <c r="D5" i="28"/>
  <c r="D14" i="28"/>
  <c r="D10" i="28"/>
  <c r="D6" i="28"/>
  <c r="D15" i="28"/>
  <c r="D11" i="28"/>
  <c r="D7" i="28"/>
  <c r="D3" i="28"/>
  <c r="D12" i="28"/>
  <c r="D8" i="28"/>
  <c r="D4" i="28"/>
  <c r="V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47" i="23"/>
  <c r="O48" i="23" s="1"/>
  <c r="O54" i="23" s="1"/>
  <c r="B47" i="23"/>
  <c r="B48" i="23" s="1"/>
  <c r="B54" i="23" s="1"/>
  <c r="B57" i="23"/>
  <c r="O57" i="23"/>
  <c r="B29" i="4"/>
  <c r="O22" i="4"/>
  <c r="F55" i="23"/>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D47" i="1"/>
  <c r="D48" i="1" s="1"/>
  <c r="D54" i="1" s="1"/>
  <c r="D8" i="4"/>
  <c r="T4" i="1"/>
  <c r="T4" i="23"/>
  <c r="F74" i="4"/>
  <c r="I74" i="4"/>
  <c r="O74" i="4"/>
  <c r="P74" i="4"/>
  <c r="AD2" i="12"/>
  <c r="K78" i="4"/>
  <c r="L78" i="4"/>
  <c r="Q78" i="4"/>
  <c r="F78" i="4"/>
  <c r="S78" i="4"/>
  <c r="E78" i="4"/>
  <c r="P78" i="4"/>
  <c r="D78" i="4"/>
  <c r="B78" i="4"/>
  <c r="R78" i="4"/>
  <c r="O78" i="4"/>
  <c r="M78" i="4"/>
  <c r="U78" i="4"/>
  <c r="C78" i="4"/>
  <c r="I78" i="4"/>
  <c r="H78" i="4"/>
  <c r="T78" i="4"/>
  <c r="G78" i="4"/>
  <c r="T79" i="4" l="1"/>
  <c r="U79" i="4"/>
  <c r="S79" i="4"/>
  <c r="M56" i="4"/>
  <c r="M75" i="4" s="1"/>
  <c r="K56" i="4"/>
  <c r="K75" i="4" s="1"/>
  <c r="K79" i="4"/>
  <c r="K57" i="4"/>
  <c r="K58" i="4" s="1"/>
  <c r="K76" i="4" s="1"/>
  <c r="G4" i="12" s="1"/>
  <c r="C55" i="23"/>
  <c r="C63" i="4"/>
  <c r="C64" i="4" s="1"/>
  <c r="M57" i="4"/>
  <c r="M58" i="4" s="1"/>
  <c r="M76" i="4" s="1"/>
  <c r="I4" i="12" s="1"/>
  <c r="G55" i="1"/>
  <c r="L57" i="4"/>
  <c r="L58" i="4" s="1"/>
  <c r="L76" i="4" s="1"/>
  <c r="H4" i="12" s="1"/>
  <c r="L79" i="4"/>
  <c r="M79" i="4"/>
  <c r="I57" i="4"/>
  <c r="I58" i="4" s="1"/>
  <c r="I76" i="4" s="1"/>
  <c r="L63" i="4"/>
  <c r="L64" i="4" s="1"/>
  <c r="I63" i="4"/>
  <c r="I64" i="4" s="1"/>
  <c r="H56" i="4"/>
  <c r="H75" i="4" s="1"/>
  <c r="V4" i="4"/>
  <c r="V55" i="4" s="1"/>
  <c r="F63" i="4"/>
  <c r="F64" i="4" s="1"/>
  <c r="D63" i="4"/>
  <c r="D64" i="4" s="1"/>
  <c r="B63" i="4"/>
  <c r="B64" i="4" s="1"/>
  <c r="O63" i="4"/>
  <c r="O64" i="4" s="1"/>
  <c r="G56" i="4"/>
  <c r="G75" i="4" s="1"/>
  <c r="H57" i="4"/>
  <c r="H58" i="4" s="1"/>
  <c r="H76" i="4" s="1"/>
  <c r="H63" i="4"/>
  <c r="H64" i="4" s="1"/>
  <c r="P63" i="4"/>
  <c r="P64" i="4" s="1"/>
  <c r="G63" i="4"/>
  <c r="G64" i="4" s="1"/>
  <c r="E63" i="4"/>
  <c r="E64" i="4" s="1"/>
  <c r="Q63" i="4"/>
  <c r="Q64" i="4" s="1"/>
  <c r="Q55" i="23"/>
  <c r="V55" i="23"/>
  <c r="V27" i="23"/>
  <c r="V52" i="23" s="1"/>
  <c r="I56" i="4"/>
  <c r="I75" i="4" s="1"/>
  <c r="J4" i="12"/>
  <c r="M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AA2" i="12"/>
  <c r="P56" i="4"/>
  <c r="R57" i="4"/>
  <c r="R58" i="4" s="1"/>
  <c r="R76" i="4" s="1"/>
  <c r="Q57" i="4"/>
  <c r="Q58" i="4" s="1"/>
  <c r="Q76" i="4" s="1"/>
  <c r="Q79" i="4"/>
  <c r="P79" i="4"/>
  <c r="R79" i="4"/>
  <c r="R80" i="4" s="1"/>
  <c r="U4" i="4"/>
  <c r="F2" i="27"/>
  <c r="F4" i="27" s="1"/>
  <c r="O2" i="12"/>
  <c r="O4" i="12" s="1"/>
  <c r="U27" i="1"/>
  <c r="U52" i="1" s="1"/>
  <c r="C79" i="4"/>
  <c r="D79" i="4"/>
  <c r="L55" i="23"/>
  <c r="R55" i="23"/>
  <c r="T55" i="23"/>
  <c r="D55" i="23"/>
  <c r="H55" i="23"/>
  <c r="K55" i="23"/>
  <c r="J55" i="23"/>
  <c r="M55" i="23"/>
  <c r="G55" i="23"/>
  <c r="U55" i="23"/>
  <c r="E55" i="23"/>
  <c r="P55" i="23"/>
  <c r="I55" i="23"/>
  <c r="S55" i="23"/>
  <c r="R59" i="23"/>
  <c r="R60" i="23" s="1"/>
  <c r="O55" i="23"/>
  <c r="O79" i="4"/>
  <c r="B79" i="4"/>
  <c r="B64" i="23"/>
  <c r="L59" i="23"/>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H59" i="23"/>
  <c r="H60" i="23" s="1"/>
  <c r="M59" i="23"/>
  <c r="M60" i="23" s="1"/>
  <c r="P55" i="1"/>
  <c r="C55" i="1"/>
  <c r="H55" i="1"/>
  <c r="U55" i="1"/>
  <c r="T55" i="1"/>
  <c r="F55" i="1"/>
  <c r="Q55" i="1"/>
  <c r="I55" i="1"/>
  <c r="L55" i="1"/>
  <c r="J55" i="1"/>
  <c r="D55" i="1"/>
  <c r="K55" i="1"/>
  <c r="E55" i="1"/>
  <c r="H3" i="12"/>
  <c r="O55" i="1"/>
  <c r="O59" i="1"/>
  <c r="J59" i="1"/>
  <c r="F59" i="1"/>
  <c r="M59" i="1"/>
  <c r="I59" i="1"/>
  <c r="E59" i="1"/>
  <c r="L59" i="1"/>
  <c r="H59" i="1"/>
  <c r="D59" i="1"/>
  <c r="K59" i="1"/>
  <c r="C59" i="1"/>
  <c r="G59" i="1"/>
  <c r="S55" i="1"/>
  <c r="M55" i="1"/>
  <c r="R55" i="1"/>
  <c r="V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K60" i="1"/>
  <c r="L60" i="1"/>
  <c r="E60" i="1"/>
  <c r="H60" i="1"/>
  <c r="F60" i="1"/>
  <c r="C60" i="1"/>
  <c r="O60" i="1"/>
  <c r="G60" i="1"/>
  <c r="L60" i="23"/>
  <c r="M60" i="1"/>
  <c r="G60" i="23"/>
  <c r="I60" i="1"/>
  <c r="J60" i="1"/>
  <c r="D60" i="1"/>
  <c r="J80" i="4" l="1"/>
  <c r="V62" i="4"/>
  <c r="V74" i="4"/>
  <c r="Z2" i="12" s="1"/>
  <c r="B80" i="4"/>
  <c r="P75" i="4"/>
  <c r="B5" i="27" s="1"/>
  <c r="O81" i="4"/>
  <c r="O82" i="4" s="1"/>
  <c r="AE2" i="12"/>
  <c r="U74" i="4"/>
  <c r="Y2" i="12" s="1"/>
  <c r="U62" i="4"/>
  <c r="B6" i="12"/>
  <c r="B6" i="27"/>
  <c r="R61" i="23"/>
  <c r="U55" i="4"/>
  <c r="F3" i="27"/>
  <c r="V77" i="4"/>
  <c r="U77" i="4"/>
  <c r="O77" i="4"/>
  <c r="S77" i="4"/>
  <c r="Q77" i="4"/>
  <c r="R77" i="4"/>
  <c r="T81" i="4"/>
  <c r="T82" i="4" s="1"/>
  <c r="U81" i="4"/>
  <c r="U82" i="4" s="1"/>
  <c r="P81" i="4"/>
  <c r="P82" i="4" s="1"/>
  <c r="V81" i="4"/>
  <c r="V82" i="4" s="1"/>
  <c r="S81" i="4"/>
  <c r="S82" i="4" s="1"/>
  <c r="Q81" i="4"/>
  <c r="R81" i="4"/>
  <c r="R82" i="4" s="1"/>
  <c r="B86" i="4"/>
  <c r="B87" i="4"/>
  <c r="B75" i="4"/>
  <c r="M81" i="4"/>
  <c r="M82" i="4" s="1"/>
  <c r="J81" i="4"/>
  <c r="J82" i="4" s="1"/>
  <c r="K81" i="4"/>
  <c r="L81"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L82" i="4"/>
  <c r="K82" i="4"/>
  <c r="Q82" i="4"/>
  <c r="B5" i="12" l="1"/>
  <c r="AD4" i="12"/>
  <c r="AB4" i="12"/>
  <c r="P77" i="4"/>
  <c r="AE4" i="12"/>
  <c r="Z4" i="12"/>
  <c r="W4" i="12"/>
  <c r="AG4" i="12"/>
  <c r="AC4" i="12"/>
  <c r="AH4" i="12"/>
  <c r="AF4" i="12"/>
  <c r="Y4" i="12"/>
  <c r="AA4" i="12"/>
  <c r="I81" i="4"/>
  <c r="F81" i="4"/>
  <c r="F82" i="4" s="1"/>
  <c r="F83" i="4" s="1"/>
  <c r="G81" i="4"/>
  <c r="H81" i="4"/>
  <c r="D81" i="4"/>
  <c r="D82" i="4" s="1"/>
  <c r="D83" i="4" s="1"/>
  <c r="E81" i="4"/>
  <c r="C81" i="4"/>
  <c r="K77" i="4"/>
  <c r="J77" i="4"/>
  <c r="G77" i="4"/>
  <c r="F77" i="4"/>
  <c r="L77" i="4"/>
  <c r="B77" i="4"/>
  <c r="B2" i="27"/>
  <c r="G6" i="27" s="1"/>
  <c r="M77" i="4"/>
  <c r="I77" i="4"/>
  <c r="B2" i="12"/>
  <c r="E6" i="12" s="1"/>
  <c r="H77" i="4"/>
  <c r="D77" i="4"/>
  <c r="C77" i="4"/>
  <c r="E77" i="4"/>
  <c r="AG8" i="12"/>
  <c r="U8" i="12"/>
  <c r="AJ8" i="12"/>
  <c r="AB8" i="12"/>
  <c r="AB9" i="12" s="1"/>
  <c r="AB10" i="12" s="1"/>
  <c r="Z8" i="12"/>
  <c r="AC8" i="12"/>
  <c r="V8" i="12"/>
  <c r="X8" i="12"/>
  <c r="X9" i="12" s="1"/>
  <c r="X10" i="12" s="1"/>
  <c r="AH8" i="12"/>
  <c r="AD8" i="12"/>
  <c r="AI8" i="12"/>
  <c r="W8" i="12"/>
  <c r="W9" i="12" s="1"/>
  <c r="W10" i="12" s="1"/>
  <c r="Y8" i="12"/>
  <c r="AE8" i="12"/>
  <c r="AA8" i="12"/>
  <c r="AF8" i="12"/>
  <c r="AF9" i="12" s="1"/>
  <c r="AF10" i="12" s="1"/>
  <c r="H8" i="27"/>
  <c r="H9" i="27" s="1"/>
  <c r="H10" i="27" s="1"/>
  <c r="J8" i="27"/>
  <c r="J9" i="27" s="1"/>
  <c r="J10" i="27" s="1"/>
  <c r="I8" i="27"/>
  <c r="I9" i="27" s="1"/>
  <c r="I10" i="27" s="1"/>
  <c r="L83" i="4"/>
  <c r="V83" i="4"/>
  <c r="T83" i="4"/>
  <c r="M83" i="4"/>
  <c r="P83" i="4"/>
  <c r="U83" i="4"/>
  <c r="S5" i="12"/>
  <c r="Q83" i="4"/>
  <c r="K83" i="4"/>
  <c r="P5" i="12" s="1"/>
  <c r="J83" i="4"/>
  <c r="R83" i="4"/>
  <c r="S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A9" i="12"/>
  <c r="AA10" i="12" s="1"/>
  <c r="AI9" i="12"/>
  <c r="AI10" i="12" s="1"/>
  <c r="V9" i="12"/>
  <c r="V10" i="12" s="1"/>
  <c r="AJ9" i="12"/>
  <c r="AJ10" i="12" s="1"/>
  <c r="AE9" i="12"/>
  <c r="AE10" i="12" s="1"/>
  <c r="AD9" i="12"/>
  <c r="AD10" i="12" s="1"/>
  <c r="AC9" i="12"/>
  <c r="AC10" i="12" s="1"/>
  <c r="U9" i="12"/>
  <c r="U10" i="12" s="1"/>
  <c r="R5" i="12"/>
  <c r="Q5" i="12"/>
  <c r="G82" i="4"/>
  <c r="G83" i="4" s="1"/>
  <c r="I82" i="4"/>
  <c r="I83" i="4" s="1"/>
  <c r="E82" i="4"/>
  <c r="E83" i="4" s="1"/>
  <c r="C82" i="4"/>
  <c r="C83" i="4" s="1"/>
  <c r="H82" i="4"/>
  <c r="H83" i="4"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G12" i="22" s="1"/>
  <c r="F16" i="22"/>
  <c r="G16" i="22" s="1"/>
  <c r="F22" i="22"/>
  <c r="I22" i="22" s="1"/>
  <c r="J5" i="12"/>
  <c r="F15" i="22"/>
  <c r="K15" i="22" s="1"/>
  <c r="M15" i="22" s="1"/>
  <c r="L5" i="12"/>
  <c r="F21" i="22"/>
  <c r="G21" i="22" s="1"/>
  <c r="F5" i="12"/>
  <c r="F24" i="22"/>
  <c r="G24" i="22" s="1"/>
  <c r="F10" i="22"/>
  <c r="F11" i="22"/>
  <c r="F13" i="22"/>
  <c r="G13" i="22" s="1"/>
  <c r="F14" i="22"/>
  <c r="I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K37" i="22"/>
  <c r="L3" i="28"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I32" i="22"/>
  <c r="K32" i="22"/>
  <c r="G45" i="22"/>
  <c r="J45" i="22" s="1"/>
  <c r="I45" i="22"/>
  <c r="M45" i="22" s="1"/>
  <c r="K45" i="22"/>
  <c r="N45" i="22" s="1"/>
  <c r="G36" i="22"/>
  <c r="J36" i="22" s="1"/>
  <c r="G48" i="22"/>
  <c r="J48" i="22" s="1"/>
  <c r="I48" i="22"/>
  <c r="M48" i="22" s="1"/>
  <c r="K48" i="22"/>
  <c r="N48" i="22" s="1"/>
  <c r="G43" i="22"/>
  <c r="J43" i="22" s="1"/>
  <c r="I43" i="22"/>
  <c r="M43" i="22" s="1"/>
  <c r="K43" i="22"/>
  <c r="N43" i="22" s="1"/>
  <c r="I33" i="22" l="1"/>
  <c r="K33" i="22" s="1"/>
  <c r="N33" i="22" s="1"/>
  <c r="K26" i="22"/>
  <c r="M26" i="22" s="1"/>
  <c r="M32" i="22"/>
  <c r="I34" i="22"/>
  <c r="K34" i="22" s="1"/>
  <c r="N34" i="22" s="1"/>
  <c r="I36" i="22"/>
  <c r="K36" i="22" s="1"/>
  <c r="N36" i="22" s="1"/>
  <c r="I35" i="22"/>
  <c r="K12" i="22"/>
  <c r="M12" i="22" s="1"/>
  <c r="K14" i="22"/>
  <c r="M14" i="22" s="1"/>
  <c r="I15" i="22"/>
  <c r="I12" i="22"/>
  <c r="G2" i="28" s="1"/>
  <c r="I24" i="22"/>
  <c r="G15" i="22"/>
  <c r="G14" i="22"/>
  <c r="I25" i="22"/>
  <c r="K25" i="22"/>
  <c r="M25" i="22" s="1"/>
  <c r="I13" i="22"/>
  <c r="I17" i="22"/>
  <c r="K13" i="22"/>
  <c r="M13" i="22" s="1"/>
  <c r="I26" i="22"/>
  <c r="K16" i="22"/>
  <c r="M16" i="22" s="1"/>
  <c r="G17" i="22"/>
  <c r="K18" i="22"/>
  <c r="M18" i="22" s="1"/>
  <c r="N37" i="22"/>
  <c r="L8" i="28"/>
  <c r="L13" i="28"/>
  <c r="L5" i="28"/>
  <c r="L14" i="28"/>
  <c r="L6" i="28"/>
  <c r="L11" i="28"/>
  <c r="L12" i="28"/>
  <c r="L4" i="28"/>
  <c r="L9" i="28"/>
  <c r="L10" i="28"/>
  <c r="L15" i="28"/>
  <c r="L7" i="28"/>
  <c r="M37" i="22"/>
  <c r="K13" i="28"/>
  <c r="K5" i="28"/>
  <c r="K8" i="28"/>
  <c r="K11" i="28"/>
  <c r="K14" i="28"/>
  <c r="K6" i="28"/>
  <c r="K4" i="28"/>
  <c r="K9" i="28"/>
  <c r="K12" i="28"/>
  <c r="K15" i="28"/>
  <c r="K7" i="28"/>
  <c r="K10" i="28"/>
  <c r="G22" i="22"/>
  <c r="K21" i="22"/>
  <c r="M21" i="22" s="1"/>
  <c r="K9" i="22"/>
  <c r="M9" i="22" s="1"/>
  <c r="G11" i="22"/>
  <c r="I11" i="22" s="1"/>
  <c r="K11" i="22" s="1"/>
  <c r="M11" i="22" s="1"/>
  <c r="G10" i="22"/>
  <c r="I10" i="22" s="1"/>
  <c r="K10" i="22" s="1"/>
  <c r="K19" i="22"/>
  <c r="M19" i="22" s="1"/>
  <c r="I18" i="22"/>
  <c r="I19" i="22"/>
  <c r="I7" i="22"/>
  <c r="G3" i="28" s="1"/>
  <c r="K24" i="22"/>
  <c r="M24" i="22" s="1"/>
  <c r="G7" i="22"/>
  <c r="I16" i="22"/>
  <c r="G20" i="22"/>
  <c r="K8" i="22"/>
  <c r="M8" i="22" s="1"/>
  <c r="K23" i="22"/>
  <c r="M23" i="22" s="1"/>
  <c r="I21" i="22"/>
  <c r="K22" i="22"/>
  <c r="M22" i="22" s="1"/>
  <c r="I8" i="22"/>
  <c r="I23" i="22"/>
  <c r="K20" i="22"/>
  <c r="M20" i="22" s="1"/>
  <c r="M7" i="22"/>
  <c r="H3" i="28"/>
  <c r="N15" i="22"/>
  <c r="N7"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N12" i="22" l="1"/>
  <c r="M10" i="22"/>
  <c r="N10" i="22"/>
  <c r="H2" i="28"/>
  <c r="N26" i="22"/>
  <c r="M33" i="22"/>
  <c r="M34" i="22"/>
  <c r="M36" i="22"/>
  <c r="N18" i="22"/>
  <c r="M35" i="22"/>
  <c r="K35" i="22"/>
  <c r="N35" i="22" s="1"/>
  <c r="N25" i="22"/>
  <c r="N20" i="22"/>
  <c r="N9" i="22"/>
  <c r="N14" i="22"/>
  <c r="N21" i="22"/>
  <c r="N16" i="22"/>
  <c r="N19" i="22"/>
  <c r="N13" i="22"/>
  <c r="N8" i="22"/>
  <c r="N11" i="22"/>
  <c r="N24"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<sst xmlns="http://schemas.openxmlformats.org/spreadsheetml/2006/main" count="7599" uniqueCount="4337">
  <si>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</si>
  <si>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</si>
  <si>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</si>
  <si>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</si>
  <si>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</si>
  <si>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</si>
  <si>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</si>
  <si>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</si>
  <si>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</si>
  <si>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</si>
  <si>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</si>
  <si>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</si>
  <si>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</si>
  <si>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</si>
  <si>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</si>
  <si>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</si>
  <si>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</si>
  <si>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</si>
  <si>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</si>
  <si>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</si>
  <si>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</si>
  <si>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</si>
  <si>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</si>
  <si>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</si>
  <si>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</si>
  <si>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</si>
  <si>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</si>
  <si>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</si>
  <si>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</si>
  <si>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</si>
  <si>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</si>
  <si>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</si>
  <si>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</si>
  <si>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</si>
  <si>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</si>
  <si>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</si>
  <si>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</si>
  <si>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</si>
  <si>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</si>
  <si>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</si>
  <si>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</si>
  <si>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</si>
  <si>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</si>
  <si>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</si>
  <si>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</si>
  <si>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</si>
  <si>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</si>
  <si>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</si>
  <si>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</si>
  <si>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</si>
  <si>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</si>
  <si>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</si>
  <si>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</si>
  <si>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</si>
  <si>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</si>
  <si>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</si>
  <si>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</si>
  <si>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</si>
  <si>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</si>
  <si>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</si>
  <si>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</si>
  <si>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</si>
  <si>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</si>
  <si>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</si>
  <si>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</si>
  <si>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</si>
  <si>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</si>
  <si>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</si>
  <si>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</si>
  <si>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</si>
  <si>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</si>
  <si>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</si>
  <si>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</si>
  <si>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</si>
  <si>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</si>
  <si>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</si>
  <si>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</si>
  <si>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</si>
  <si>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</si>
  <si>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</si>
  <si>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</si>
  <si>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</si>
  <si>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</si>
  <si>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</si>
  <si>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</si>
  <si>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</si>
  <si>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</si>
  <si>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</si>
  <si>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</si>
  <si>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</si>
  <si>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</si>
  <si>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</si>
  <si>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</si>
  <si>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</si>
  <si>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</si>
  <si>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</si>
  <si>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</si>
  <si>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</si>
  <si>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</si>
  <si>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</si>
  <si>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</si>
  <si>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</si>
  <si>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</si>
  <si>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</si>
  <si>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</si>
  <si>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</si>
  <si>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</si>
  <si>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</si>
  <si>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</si>
  <si>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</si>
  <si>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</si>
  <si>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</si>
  <si>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</si>
  <si>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</si>
  <si>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</si>
  <si>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</si>
  <si>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</si>
  <si>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</si>
  <si>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</si>
  <si>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</si>
  <si>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</si>
  <si>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</si>
  <si>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</si>
  <si>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</si>
  <si>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</si>
  <si>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</si>
  <si>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</si>
  <si>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</si>
  <si>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</si>
  <si>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</si>
  <si>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</si>
  <si>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</si>
  <si>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</si>
  <si>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</si>
  <si>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</si>
  <si>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</si>
  <si>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</si>
  <si>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</si>
  <si>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</si>
  <si>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</si>
  <si>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</si>
  <si>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</si>
  <si>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</si>
  <si>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</si>
  <si>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</si>
  <si>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</si>
  <si>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</si>
  <si>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</si>
  <si>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</si>
  <si>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</si>
  <si>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</si>
  <si>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</si>
  <si>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</si>
  <si>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</si>
  <si>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</si>
  <si>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</si>
  <si>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</si>
  <si>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</si>
  <si>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</si>
  <si>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</si>
  <si>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</si>
  <si>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</si>
  <si>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</si>
  <si>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</si>
  <si>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</si>
  <si>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</si>
  <si>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2020-CHG-CZA-BPA-1</t>
  </si>
  <si>
    <t>2020-CHG-CZA-BPA-2</t>
  </si>
  <si>
    <t>2020-CHG-CZA-BPA-3</t>
  </si>
  <si>
    <t>191-20</t>
  </si>
  <si>
    <t>191-21</t>
  </si>
  <si>
    <t>191-22</t>
  </si>
  <si>
    <t>191-23</t>
  </si>
  <si>
    <t>191-24</t>
  </si>
  <si>
    <t>BPA</t>
  </si>
  <si>
    <t xml:space="preserve">F:\Données chgh\2020-CHG-CZA-BPA-1\plaque 1/@01 TS/A1_01.tif </t>
  </si>
  <si>
    <t xml:space="preserve"> 281.1886 </t>
  </si>
  <si>
    <t xml:space="preserve"> 65.3077 </t>
  </si>
  <si>
    <t xml:space="preserve">F:\Données chgh\2020-CHG-CZA-BPA-1\plaque 1/@01 TS/A1_02.tif </t>
  </si>
  <si>
    <t xml:space="preserve"> 627.2669 </t>
  </si>
  <si>
    <t xml:space="preserve"> 61.6552 </t>
  </si>
  <si>
    <t xml:space="preserve">F:\Données chgh\2020-CHG-CZA-BPA-1\plaque 1/@01 TS/A1_03.tif </t>
  </si>
  <si>
    <t xml:space="preserve"> 692.1566 </t>
  </si>
  <si>
    <t xml:space="preserve"> 64.5625 </t>
  </si>
  <si>
    <t xml:space="preserve">F:\Données chgh\2020-CHG-CZA-BPA-1\plaque 1/@01 TS/B1_01.tif </t>
  </si>
  <si>
    <t xml:space="preserve"> 3071.445 </t>
  </si>
  <si>
    <t xml:space="preserve"> 65.5986 </t>
  </si>
  <si>
    <t xml:space="preserve">F:\Données chgh\2020-CHG-CZA-BPA-1\plaque 1/@01 TS/B1_02.tif </t>
  </si>
  <si>
    <t xml:space="preserve"> 2098.0998 </t>
  </si>
  <si>
    <t xml:space="preserve"> 64.2371 </t>
  </si>
  <si>
    <t xml:space="preserve">F:\Données chgh\2020-CHG-CZA-BPA-1\plaque 1/@01 TS/B1_03.tif </t>
  </si>
  <si>
    <t xml:space="preserve"> 194.6691 </t>
  </si>
  <si>
    <t xml:space="preserve"> 65.1111 </t>
  </si>
  <si>
    <t xml:space="preserve">F:\Données chgh\2020-CHG-CZA-BPA-1\plaque 1/@01 TS/C1_01.tif </t>
  </si>
  <si>
    <t xml:space="preserve"> 1514.0926 </t>
  </si>
  <si>
    <t xml:space="preserve"> 66.3714 </t>
  </si>
  <si>
    <t xml:space="preserve">F:\Données chgh\2020-CHG-CZA-BPA-1\plaque 1/@01 TS/C1_02.tif </t>
  </si>
  <si>
    <t xml:space="preserve"> 2855.1461 </t>
  </si>
  <si>
    <t xml:space="preserve"> 68.4242 </t>
  </si>
  <si>
    <t xml:space="preserve">F:\Données chgh\2020-CHG-CZA-BPA-1\plaque 1/@01 TS/C1_03.tif </t>
  </si>
  <si>
    <t xml:space="preserve"> 7462.3136 </t>
  </si>
  <si>
    <t xml:space="preserve"> 73.5565 </t>
  </si>
  <si>
    <t xml:space="preserve">F:\Données chgh\2020-CHG-CZA-BPA-1\plaque 1/@01 TS/D1_01.tif </t>
  </si>
  <si>
    <t xml:space="preserve"> 1492.4627 </t>
  </si>
  <si>
    <t xml:space="preserve"> 66.058 </t>
  </si>
  <si>
    <t xml:space="preserve">F:\Données chgh\2020-CHG-CZA-BPA-1\plaque 1/@01 TS/D1_02.tif </t>
  </si>
  <si>
    <t xml:space="preserve"> 843.5659 </t>
  </si>
  <si>
    <t xml:space="preserve"> 67.7692 </t>
  </si>
  <si>
    <t>F:\Données chgh\2020-CHG-CZA-BPA-1\plaque 1/@01 TS/D1_03- exclu.tif</t>
  </si>
  <si>
    <t>F:\Données chgh\2020-CHG-CZA-BPA-1\plaque 1/@01 TS/E1_01- exclu.tif</t>
  </si>
  <si>
    <t xml:space="preserve">F:\Données chgh\2020-CHG-CZA-BPA-1\plaque 1/@01 TS/E1_02.tif </t>
  </si>
  <si>
    <t xml:space="preserve"> 605.637 </t>
  </si>
  <si>
    <t xml:space="preserve"> 66.25 </t>
  </si>
  <si>
    <t xml:space="preserve">F:\Données chgh\2020-CHG-CZA-BPA-1\plaque 1/@01 TS/E1_03.tif </t>
  </si>
  <si>
    <t xml:space="preserve"> 1059.8648 </t>
  </si>
  <si>
    <t xml:space="preserve"> 63.6122 </t>
  </si>
  <si>
    <t xml:space="preserve">F:\Données chgh\2020-CHG-CZA-BPA-1\plaque 1/@01 TS/F1_01.tif </t>
  </si>
  <si>
    <t xml:space="preserve"> 410.968 </t>
  </si>
  <si>
    <t xml:space="preserve"> 64.6316 </t>
  </si>
  <si>
    <t xml:space="preserve">F:\Données chgh\2020-CHG-CZA-BPA-1\plaque 1/@01 TS/F1_02.tif </t>
  </si>
  <si>
    <t xml:space="preserve"> 237.9288 </t>
  </si>
  <si>
    <t xml:space="preserve">F:\Données chgh\2020-CHG-CZA-BPA-1\plaque 1/@01 TS/F1_03.tif </t>
  </si>
  <si>
    <t xml:space="preserve"> 216.2989 </t>
  </si>
  <si>
    <t xml:space="preserve"> 63.9 </t>
  </si>
  <si>
    <t xml:space="preserve">F:\Données chgh\2020-CHG-CZA-BPA-1\plaque 1/@01 TS/G1_01.tif </t>
  </si>
  <si>
    <t xml:space="preserve"> 65.4444 </t>
  </si>
  <si>
    <t xml:space="preserve">F:\Données chgh\2020-CHG-CZA-BPA-1\plaque 1/@01 TS/G1_02.tif </t>
  </si>
  <si>
    <t xml:space="preserve"> 454.2278 </t>
  </si>
  <si>
    <t xml:space="preserve"> 63.6667 </t>
  </si>
  <si>
    <t xml:space="preserve">F:\Données chgh\2020-CHG-CZA-BPA-1\plaque 1/@01 TS/G1_03.tif </t>
  </si>
  <si>
    <t xml:space="preserve"> 302.8185 </t>
  </si>
  <si>
    <t xml:space="preserve"> 69.4286 </t>
  </si>
  <si>
    <t xml:space="preserve">F:\Données chgh\2020-CHG-CZA-BPA-1\plaque 1/@01 TS/H1_01.tif </t>
  </si>
  <si>
    <t xml:space="preserve"> 584.0072 </t>
  </si>
  <si>
    <t xml:space="preserve"> 63.3333 </t>
  </si>
  <si>
    <t xml:space="preserve">F:\Données chgh\2020-CHG-CZA-BPA-1\plaque 1/@01 TS/H1_02.tif </t>
  </si>
  <si>
    <t xml:space="preserve"> 346.0783 </t>
  </si>
  <si>
    <t xml:space="preserve"> 63.125 </t>
  </si>
  <si>
    <t xml:space="preserve">F:\Données chgh\2020-CHG-CZA-BPA-1\plaque 1/@01 TS/H1_03.tif </t>
  </si>
  <si>
    <t xml:space="preserve"> 324.4484 </t>
  </si>
  <si>
    <t xml:space="preserve"> 62.1333 </t>
  </si>
  <si>
    <t xml:space="preserve">group </t>
  </si>
  <si>
    <t xml:space="preserve"> mean of mean fluo </t>
  </si>
  <si>
    <t xml:space="preserve"> SD mean fluo </t>
  </si>
  <si>
    <t xml:space="preserve"> mean of total fluo </t>
  </si>
  <si>
    <t xml:space="preserve"> SD total fluo </t>
  </si>
  <si>
    <t xml:space="preserve"> n fluorescent </t>
  </si>
  <si>
    <t xml:space="preserve">F:\Données chgh\2020-CHG-CZA-BPA-1\plaque 1/@01 TS/ </t>
  </si>
  <si>
    <t xml:space="preserve"> 65.3795 </t>
  </si>
  <si>
    <t xml:space="preserve"> 2.5523 </t>
  </si>
  <si>
    <t xml:space="preserve"> 83077.625 </t>
  </si>
  <si>
    <t xml:space="preserve"> 116164.951 </t>
  </si>
  <si>
    <t xml:space="preserve">file name </t>
  </si>
  <si>
    <t xml:space="preserve">F:\Données chgh\2020-CHG-CZA-BPA-1\plaque 1/@02 EE2 34/A2_01.tif </t>
  </si>
  <si>
    <t xml:space="preserve"> 6207.7798 </t>
  </si>
  <si>
    <t xml:space="preserve"> 68.5122 </t>
  </si>
  <si>
    <t xml:space="preserve">F:\Données chgh\2020-CHG-CZA-BPA-1\plaque 1/@02 EE2 34/A2_02.tif </t>
  </si>
  <si>
    <t xml:space="preserve"> 2227.8791 </t>
  </si>
  <si>
    <t xml:space="preserve"> 67.2718 </t>
  </si>
  <si>
    <t xml:space="preserve">F:\Données chgh\2020-CHG-CZA-BPA-1\plaque 1/@02 EE2 34/A2_03.tif </t>
  </si>
  <si>
    <t xml:space="preserve"> 5169.5448 </t>
  </si>
  <si>
    <t xml:space="preserve"> 66.4895 </t>
  </si>
  <si>
    <t>F:\Données chgh\2020-CHG-CZA-BPA-1\plaque 1/@02 EE2 34/B2_01- exclu.tif</t>
  </si>
  <si>
    <t xml:space="preserve">F:\Données chgh\2020-CHG-CZA-BPA-1\plaque 1/@02 EE2 34/B2_02.tif </t>
  </si>
  <si>
    <t xml:space="preserve"> 2011.5802 </t>
  </si>
  <si>
    <t xml:space="preserve"> 64.5054 </t>
  </si>
  <si>
    <t>F:\Données chgh\2020-CHG-CZA-BPA-1\plaque 1/@02 EE2 34/B2_03- exclu.tif</t>
  </si>
  <si>
    <t xml:space="preserve">F:\Données chgh\2020-CHG-CZA-BPA-1\plaque 1/@02 EE2 34/C2_01.tif </t>
  </si>
  <si>
    <t xml:space="preserve"> 66.1026 </t>
  </si>
  <si>
    <t xml:space="preserve">F:\Données chgh\2020-CHG-CZA-BPA-1\plaque 1/@02 EE2 34/C2_02.tif </t>
  </si>
  <si>
    <t xml:space="preserve"> 3049.8151 </t>
  </si>
  <si>
    <t xml:space="preserve"> 66.6596 </t>
  </si>
  <si>
    <t xml:space="preserve">F:\Données chgh\2020-CHG-CZA-BPA-1\plaque 1/@02 EE2 34/C2_03.tif </t>
  </si>
  <si>
    <t xml:space="preserve"> 68.7073 </t>
  </si>
  <si>
    <t xml:space="preserve">F:\Données chgh\2020-CHG-CZA-BPA-1\plaque 1/@02 EE2 34/D2_01.tif </t>
  </si>
  <si>
    <t xml:space="preserve"> 994.9752 </t>
  </si>
  <si>
    <t xml:space="preserve"> 64.6522 </t>
  </si>
  <si>
    <t xml:space="preserve">F:\Données chgh\2020-CHG-CZA-BPA-1\plaque 1/@02 EE2 34/D2_02.tif </t>
  </si>
  <si>
    <t xml:space="preserve"> 3979.9006 </t>
  </si>
  <si>
    <t xml:space="preserve"> 66.7011 </t>
  </si>
  <si>
    <t xml:space="preserve">F:\Données chgh\2020-CHG-CZA-BPA-1\plaque 1/@02 EE2 34/D2_03.tif </t>
  </si>
  <si>
    <t xml:space="preserve"> 1643.872 </t>
  </si>
  <si>
    <t xml:space="preserve"> 65.2895 </t>
  </si>
  <si>
    <t xml:space="preserve">F:\Données chgh\2020-CHG-CZA-BPA-1\plaque 1/@02 EE2 34/E2_01.tif </t>
  </si>
  <si>
    <t xml:space="preserve"> 8695.2176 </t>
  </si>
  <si>
    <t xml:space="preserve"> 68.8134 </t>
  </si>
  <si>
    <t xml:space="preserve">F:\Données chgh\2020-CHG-CZA-BPA-1\plaque 1/@02 EE2 34/E2_02.tif </t>
  </si>
  <si>
    <t xml:space="preserve"> 4672.0572 </t>
  </si>
  <si>
    <t xml:space="preserve"> 67.6157 </t>
  </si>
  <si>
    <t xml:space="preserve">F:\Données chgh\2020-CHG-CZA-BPA-1\plaque 1/@02 EE2 34/E2_03.tif </t>
  </si>
  <si>
    <t xml:space="preserve"> 8435.6589 </t>
  </si>
  <si>
    <t xml:space="preserve"> 69.5872 </t>
  </si>
  <si>
    <t xml:space="preserve">F:\Données chgh\2020-CHG-CZA-BPA-1\plaque 1/@02 EE2 34/F2_01.tif </t>
  </si>
  <si>
    <t xml:space="preserve"> 1038.2349 </t>
  </si>
  <si>
    <t xml:space="preserve"> 69.0208 </t>
  </si>
  <si>
    <t>F:\Données chgh\2020-CHG-CZA-BPA-1\plaque 1/@02 EE2 34/F2_02- exclu.tif</t>
  </si>
  <si>
    <t xml:space="preserve">F:\Données chgh\2020-CHG-CZA-BPA-1\plaque 1/@02 EE2 34/F2_03.tif </t>
  </si>
  <si>
    <t xml:space="preserve"> 65.8214 </t>
  </si>
  <si>
    <t xml:space="preserve">F:\Données chgh\2020-CHG-CZA-BPA-1\plaque 1/@02 EE2 34/G2_01.tif </t>
  </si>
  <si>
    <t xml:space="preserve"> 4088.0501 </t>
  </si>
  <si>
    <t xml:space="preserve"> 70.1376 </t>
  </si>
  <si>
    <t xml:space="preserve">F:\Données chgh\2020-CHG-CZA-BPA-1\plaque 1/@02 EE2 34/G2_02.tif </t>
  </si>
  <si>
    <t xml:space="preserve"> 3958.2707 </t>
  </si>
  <si>
    <t xml:space="preserve"> 67.2842 </t>
  </si>
  <si>
    <t xml:space="preserve">F:\Données chgh\2020-CHG-CZA-BPA-1\plaque 1/@02 EE2 34/G2_03.tif </t>
  </si>
  <si>
    <t xml:space="preserve"> 2465.808 </t>
  </si>
  <si>
    <t xml:space="preserve"> 66.2895 </t>
  </si>
  <si>
    <t xml:space="preserve">F:\Données chgh\2020-CHG-CZA-BPA-1\plaque 1/@02 EE2 34/H2_01.tif </t>
  </si>
  <si>
    <t xml:space="preserve"> 68.4375 </t>
  </si>
  <si>
    <t xml:space="preserve">F:\Données chgh\2020-CHG-CZA-BPA-1\plaque 1/@02 EE2 34/H2_02.tif </t>
  </si>
  <si>
    <t xml:space="preserve"> 63.5 </t>
  </si>
  <si>
    <t xml:space="preserve">F:\Données chgh\2020-CHG-CZA-BPA-1\plaque 1/@02 EE2 34/H2_03.tif </t>
  </si>
  <si>
    <t xml:space="preserve"> 64.5238 </t>
  </si>
  <si>
    <t xml:space="preserve">F:\Données chgh\2020-CHG-CZA-BPA-1\plaque 1/@02 EE2 34/ </t>
  </si>
  <si>
    <t xml:space="preserve"> 67.1294 </t>
  </si>
  <si>
    <t xml:space="preserve"> 2.5038 </t>
  </si>
  <si>
    <t xml:space="preserve"> 202874.167 </t>
  </si>
  <si>
    <t xml:space="preserve"> 174250.894 </t>
  </si>
  <si>
    <t xml:space="preserve">F:\Données chgh\2020-CHG-CZA-BPA-1\plaque 1/@03 EE2 51/A3_01.tif </t>
  </si>
  <si>
    <t xml:space="preserve"> 8370.7692 </t>
  </si>
  <si>
    <t xml:space="preserve"> 64.2351 </t>
  </si>
  <si>
    <t xml:space="preserve">F:\Données chgh\2020-CHG-CZA-BPA-1\plaque 1/@03 EE2 51/A3_02.tif </t>
  </si>
  <si>
    <t xml:space="preserve"> 15378.8551 </t>
  </si>
  <si>
    <t xml:space="preserve"> 65.9578 </t>
  </si>
  <si>
    <t xml:space="preserve">F:\Données chgh\2020-CHG-CZA-BPA-1\plaque 1/@03 EE2 51/A3_03.tif </t>
  </si>
  <si>
    <t xml:space="preserve"> 6272.6694 </t>
  </si>
  <si>
    <t xml:space="preserve"> 63.8897 </t>
  </si>
  <si>
    <t xml:space="preserve">F:\Données chgh\2020-CHG-CZA-BPA-1\plaque 1/@03 EE2 51/B3_01.tif </t>
  </si>
  <si>
    <t xml:space="preserve"> 951.7154 </t>
  </si>
  <si>
    <t xml:space="preserve"> 63.9318 </t>
  </si>
  <si>
    <t xml:space="preserve">F:\Données chgh\2020-CHG-CZA-BPA-1\plaque 1/@03 EE2 51/B3_02.tif </t>
  </si>
  <si>
    <t xml:space="preserve"> 432.5979 </t>
  </si>
  <si>
    <t xml:space="preserve"> 64.25 </t>
  </si>
  <si>
    <t xml:space="preserve">F:\Données chgh\2020-CHG-CZA-BPA-1\plaque 1/@03 EE2 51/B3_03.tif </t>
  </si>
  <si>
    <t xml:space="preserve">F:\Données chgh\2020-CHG-CZA-BPA-1\plaque 1/@03 EE2 51/C3_01.tif </t>
  </si>
  <si>
    <t xml:space="preserve"> 6662.0075 </t>
  </si>
  <si>
    <t xml:space="preserve"> 65.3247 </t>
  </si>
  <si>
    <t xml:space="preserve">F:\Données chgh\2020-CHG-CZA-BPA-1\plaque 1/@03 EE2 51/C3_02.tif </t>
  </si>
  <si>
    <t xml:space="preserve"> 8522.1785 </t>
  </si>
  <si>
    <t xml:space="preserve"> 67.8198 </t>
  </si>
  <si>
    <t xml:space="preserve">F:\Données chgh\2020-CHG-CZA-BPA-1\plaque 1/@03 EE2 51/C3_03.tif </t>
  </si>
  <si>
    <t xml:space="preserve"> 7873.2816 </t>
  </si>
  <si>
    <t xml:space="preserve"> 67.2115 </t>
  </si>
  <si>
    <t xml:space="preserve">F:\Données chgh\2020-CHG-CZA-BPA-1\plaque 1/@03 EE2 51/D3_01.tif </t>
  </si>
  <si>
    <t xml:space="preserve"> 1362.6834 </t>
  </si>
  <si>
    <t xml:space="preserve"> 63.3968 </t>
  </si>
  <si>
    <t xml:space="preserve">F:\Données chgh\2020-CHG-CZA-BPA-1\plaque 1/@03 EE2 51/D3_02.tif </t>
  </si>
  <si>
    <t xml:space="preserve"> 2422.5482 </t>
  </si>
  <si>
    <t xml:space="preserve"> 64.7679 </t>
  </si>
  <si>
    <t xml:space="preserve">F:\Données chgh\2020-CHG-CZA-BPA-1\plaque 1/@03 EE2 51/D3_03.tif </t>
  </si>
  <si>
    <t xml:space="preserve"> 2530.6977 </t>
  </si>
  <si>
    <t xml:space="preserve"> 63.8889 </t>
  </si>
  <si>
    <t xml:space="preserve">F:\Données chgh\2020-CHG-CZA-BPA-1\plaque 1/@03 EE2 51/E3_01.tif </t>
  </si>
  <si>
    <t xml:space="preserve"> 1470.8328 </t>
  </si>
  <si>
    <t xml:space="preserve"> 64.1912 </t>
  </si>
  <si>
    <t xml:space="preserve">F:\Données chgh\2020-CHG-CZA-BPA-1\plaque 1/@03 EE2 51/E3_02.tif </t>
  </si>
  <si>
    <t xml:space="preserve"> 65.9388 </t>
  </si>
  <si>
    <t xml:space="preserve">F:\Données chgh\2020-CHG-CZA-BPA-1\plaque 1/@03 EE2 51/E3_03.tif </t>
  </si>
  <si>
    <t xml:space="preserve"> 63.8478 </t>
  </si>
  <si>
    <t xml:space="preserve">F:\Données chgh\2020-CHG-CZA-BPA-1\plaque 1/@03 EE2 51/F3_01.tif </t>
  </si>
  <si>
    <t xml:space="preserve"> 1968.3204 </t>
  </si>
  <si>
    <t xml:space="preserve"> 64.6923 </t>
  </si>
  <si>
    <t xml:space="preserve">F:\Données chgh\2020-CHG-CZA-BPA-1\plaque 1/@03 EE2 51/F3_02.tif </t>
  </si>
  <si>
    <t xml:space="preserve"> 65.6044 </t>
  </si>
  <si>
    <t xml:space="preserve">F:\Données chgh\2020-CHG-CZA-BPA-1\plaque 1/@03 EE2 51/F3_03.tif </t>
  </si>
  <si>
    <t xml:space="preserve"> 1665.5019 </t>
  </si>
  <si>
    <t xml:space="preserve"> 64.2078 </t>
  </si>
  <si>
    <t xml:space="preserve">F:\Données chgh\2020-CHG-CZA-BPA-1\plaque 1/@03 EE2 51/G3_01.tif </t>
  </si>
  <si>
    <t xml:space="preserve"> 64.9091 </t>
  </si>
  <si>
    <t xml:space="preserve">F:\Données chgh\2020-CHG-CZA-BPA-1\plaque 1/@03 EE2 51/G3_02.tif </t>
  </si>
  <si>
    <t xml:space="preserve"> 62.2 </t>
  </si>
  <si>
    <t>F:\Données chgh\2020-CHG-CZA-BPA-1\plaque 1/@03 EE2 51/G3_03- exclu.tif</t>
  </si>
  <si>
    <t xml:space="preserve">F:\Données chgh\2020-CHG-CZA-BPA-1\plaque 1/@03 EE2 51/H3_01.tif </t>
  </si>
  <si>
    <t xml:space="preserve"> 389.3381 </t>
  </si>
  <si>
    <t xml:space="preserve"> 64.1111 </t>
  </si>
  <si>
    <t xml:space="preserve">F:\Données chgh\2020-CHG-CZA-BPA-1\plaque 1/@03 EE2 51/H3_02.tif </t>
  </si>
  <si>
    <t>F:\Données chgh\2020-CHG-CZA-BPA-1\plaque 1/@03 EE2 51/H3_03- exclu.tif</t>
  </si>
  <si>
    <t xml:space="preserve">F:\Données chgh\2020-CHG-CZA-BPA-1\plaque 1/@03 EE2 51/ </t>
  </si>
  <si>
    <t xml:space="preserve"> 64.7795 </t>
  </si>
  <si>
    <t xml:space="preserve"> 1.2629 </t>
  </si>
  <si>
    <t xml:space="preserve"> 197448.458 </t>
  </si>
  <si>
    <t xml:space="preserve"> 253242.669 </t>
  </si>
  <si>
    <t xml:space="preserve">F:\Données chgh\2020-CHG-CZA-BPA-1\plaque 1/@04 EE2 76/A4_01.tif </t>
  </si>
  <si>
    <t xml:space="preserve"> 18428.6702 </t>
  </si>
  <si>
    <t xml:space="preserve"> 69.9378 </t>
  </si>
  <si>
    <t>F:\Données chgh\2020-CHG-CZA-BPA-1\plaque 1/@04 EE2 76/A4_02- exclu.tif</t>
  </si>
  <si>
    <t xml:space="preserve">F:\Données chgh\2020-CHG-CZA-BPA-1\plaque 1/@04 EE2 76/A4_03.tif </t>
  </si>
  <si>
    <t xml:space="preserve"> 18471.93 </t>
  </si>
  <si>
    <t xml:space="preserve"> 69.8208 </t>
  </si>
  <si>
    <t xml:space="preserve">F:\Données chgh\2020-CHG-CZA-BPA-1\plaque 1/@04 EE2 76/B4_01.tif </t>
  </si>
  <si>
    <t xml:space="preserve"> 11225.9153 </t>
  </si>
  <si>
    <t xml:space="preserve"> 64.7245 </t>
  </si>
  <si>
    <t xml:space="preserve">F:\Données chgh\2020-CHG-CZA-BPA-1\plaque 1/@04 EE2 76/B4_02.tif </t>
  </si>
  <si>
    <t xml:space="preserve"> 11636.8833 </t>
  </si>
  <si>
    <t xml:space="preserve"> 65.4201 </t>
  </si>
  <si>
    <t xml:space="preserve">F:\Données chgh\2020-CHG-CZA-BPA-1\plaque 1/@04 EE2 76/B4_03.tif </t>
  </si>
  <si>
    <t xml:space="preserve"> 7765.1322 </t>
  </si>
  <si>
    <t xml:space="preserve"> 65.4011 </t>
  </si>
  <si>
    <t xml:space="preserve">F:\Données chgh\2020-CHG-CZA-BPA-1\plaque 1/@04 EE2 76/C4_01.tif </t>
  </si>
  <si>
    <t xml:space="preserve"> 6640.3777 </t>
  </si>
  <si>
    <t xml:space="preserve"> 65.6417 </t>
  </si>
  <si>
    <t xml:space="preserve">F:\Données chgh\2020-CHG-CZA-BPA-1\plaque 1/@04 EE2 76/C4_02.tif </t>
  </si>
  <si>
    <t xml:space="preserve"> 4866.7263 </t>
  </si>
  <si>
    <t xml:space="preserve"> 64.9778 </t>
  </si>
  <si>
    <t xml:space="preserve">F:\Données chgh\2020-CHG-CZA-BPA-1\plaque 1/@04 EE2 76/C4_03.tif </t>
  </si>
  <si>
    <t xml:space="preserve"> 5342.584 </t>
  </si>
  <si>
    <t xml:space="preserve"> 65.9069 </t>
  </si>
  <si>
    <t xml:space="preserve">F:\Données chgh\2020-CHG-CZA-BPA-1\plaque 1/@04 EE2 76/D4_01.tif </t>
  </si>
  <si>
    <t xml:space="preserve"> 62.8929 </t>
  </si>
  <si>
    <t xml:space="preserve">F:\Données chgh\2020-CHG-CZA-BPA-1\plaque 1/@04 EE2 76/D4_02.tif </t>
  </si>
  <si>
    <t xml:space="preserve"> 4282.7191 </t>
  </si>
  <si>
    <t xml:space="preserve"> 65.3535 </t>
  </si>
  <si>
    <t xml:space="preserve">F:\Données chgh\2020-CHG-CZA-BPA-1\plaque 1/@04 EE2 76/D4_03.tif </t>
  </si>
  <si>
    <t xml:space="preserve"> 2941.6657 </t>
  </si>
  <si>
    <t xml:space="preserve"> 63.6985 </t>
  </si>
  <si>
    <t xml:space="preserve">F:\Données chgh\2020-CHG-CZA-BPA-1\plaque 1/@04 EE2 76/E4_01.tif </t>
  </si>
  <si>
    <t xml:space="preserve"> 2357.6585 </t>
  </si>
  <si>
    <t xml:space="preserve"> 64.3394 </t>
  </si>
  <si>
    <t xml:space="preserve">F:\Données chgh\2020-CHG-CZA-BPA-1\plaque 1/@04 EE2 76/E4_02.tif </t>
  </si>
  <si>
    <t xml:space="preserve"> 64.6838 </t>
  </si>
  <si>
    <t xml:space="preserve">F:\Données chgh\2020-CHG-CZA-BPA-1\plaque 1/@04 EE2 76/E4_03.tif </t>
  </si>
  <si>
    <t xml:space="preserve"> 2790.2564 </t>
  </si>
  <si>
    <t xml:space="preserve"> 63.9767 </t>
  </si>
  <si>
    <t xml:space="preserve">F:\Données chgh\2020-CHG-CZA-BPA-1\plaque 1/@04 EE2 76/F4_01.tif </t>
  </si>
  <si>
    <t xml:space="preserve"> 64.5588 </t>
  </si>
  <si>
    <t xml:space="preserve">F:\Données chgh\2020-CHG-CZA-BPA-1\plaque 1/@04 EE2 76/F4_02.tif </t>
  </si>
  <si>
    <t xml:space="preserve"> 5558.8829 </t>
  </si>
  <si>
    <t xml:space="preserve"> 67.8988 </t>
  </si>
  <si>
    <t xml:space="preserve">F:\Données chgh\2020-CHG-CZA-BPA-1\plaque 1/@04 EE2 76/F4_03.tif </t>
  </si>
  <si>
    <t xml:space="preserve"> 62.7143 </t>
  </si>
  <si>
    <t xml:space="preserve">F:\Données chgh\2020-CHG-CZA-BPA-1\plaque 1/@04 EE2 76/G4_01.tif </t>
  </si>
  <si>
    <t xml:space="preserve"> 71.342 </t>
  </si>
  <si>
    <t xml:space="preserve">F:\Données chgh\2020-CHG-CZA-BPA-1\plaque 1/@04 EE2 76/G4_02.tif </t>
  </si>
  <si>
    <t xml:space="preserve"> 2725.3667 </t>
  </si>
  <si>
    <t xml:space="preserve"> 64.8175 </t>
  </si>
  <si>
    <t xml:space="preserve">F:\Données chgh\2020-CHG-CZA-BPA-1\plaque 1/@04 EE2 76/G4_03.tif </t>
  </si>
  <si>
    <t xml:space="preserve"> 5018.1356 </t>
  </si>
  <si>
    <t xml:space="preserve"> 68.1164 </t>
  </si>
  <si>
    <t xml:space="preserve">F:\Données chgh\2020-CHG-CZA-BPA-1\plaque 1/@04 EE2 76/H4_01.tif </t>
  </si>
  <si>
    <t xml:space="preserve"> 10036.2711 </t>
  </si>
  <si>
    <t xml:space="preserve"> 64.2349 </t>
  </si>
  <si>
    <t xml:space="preserve">F:\Données chgh\2020-CHG-CZA-BPA-1\plaque 1/@04 EE2 76/H4_02.tif </t>
  </si>
  <si>
    <t xml:space="preserve"> 7678.6126 </t>
  </si>
  <si>
    <t xml:space="preserve"> 65.4394 </t>
  </si>
  <si>
    <t xml:space="preserve">F:\Données chgh\2020-CHG-CZA-BPA-1\plaque 1/@04 EE2 76/H4_03.tif </t>
  </si>
  <si>
    <t xml:space="preserve"> 6380.8189 </t>
  </si>
  <si>
    <t xml:space="preserve"> 64.1254 </t>
  </si>
  <si>
    <t xml:space="preserve">F:\Données chgh\2020-CHG-CZA-BPA-1\plaque 1/@04 EE2 76/ </t>
  </si>
  <si>
    <t xml:space="preserve"> 65.5444 </t>
  </si>
  <si>
    <t xml:space="preserve"> 2.2762 </t>
  </si>
  <si>
    <t xml:space="preserve"> 425158.125 </t>
  </si>
  <si>
    <t xml:space="preserve"> 329257.821 </t>
  </si>
  <si>
    <t>F:\Données chgh\2020-CHG-CZA-BPA-1\plaque 1/@05 EE2 114/A5_01- exclu.tif</t>
  </si>
  <si>
    <t>F:\Données chgh\2020-CHG-CZA-BPA-1\plaque 1/@05 EE2 114/A5_02- exclu.tif</t>
  </si>
  <si>
    <t xml:space="preserve">F:\Données chgh\2020-CHG-CZA-BPA-1\plaque 1/@05 EE2 114/A5_03.tif </t>
  </si>
  <si>
    <t xml:space="preserve"> 3395.8935 </t>
  </si>
  <si>
    <t xml:space="preserve"> 66.8726 </t>
  </si>
  <si>
    <t xml:space="preserve">F:\Données chgh\2020-CHG-CZA-BPA-1\plaque 1/@05 EE2 114/B5_01.tif </t>
  </si>
  <si>
    <t xml:space="preserve"> 14816.4778 </t>
  </si>
  <si>
    <t xml:space="preserve"> 70.8905 </t>
  </si>
  <si>
    <t xml:space="preserve">F:\Données chgh\2020-CHG-CZA-BPA-1\plaque 1/@05 EE2 114/B5_02.tif </t>
  </si>
  <si>
    <t xml:space="preserve"> 14794.8479 </t>
  </si>
  <si>
    <t xml:space="preserve"> 71.2354 </t>
  </si>
  <si>
    <t xml:space="preserve">F:\Données chgh\2020-CHG-CZA-BPA-1\plaque 1/@05 EE2 114/B5_03.tif </t>
  </si>
  <si>
    <t xml:space="preserve"> 13778.2429 </t>
  </si>
  <si>
    <t xml:space="preserve"> 71.6013 </t>
  </si>
  <si>
    <t xml:space="preserve">F:\Données chgh\2020-CHG-CZA-BPA-1\plaque 1/@05 EE2 114/C5_01.tif </t>
  </si>
  <si>
    <t xml:space="preserve"> 24614.8201 </t>
  </si>
  <si>
    <t xml:space="preserve"> 75.304 </t>
  </si>
  <si>
    <t xml:space="preserve">F:\Données chgh\2020-CHG-CZA-BPA-1\plaque 1/@05 EE2 114/C5_02.tif </t>
  </si>
  <si>
    <t xml:space="preserve"> 27232.0373 </t>
  </si>
  <si>
    <t xml:space="preserve"> 72.2732 </t>
  </si>
  <si>
    <t xml:space="preserve">F:\Données chgh\2020-CHG-CZA-BPA-1\plaque 1/@05 EE2 114/C5_03.tif </t>
  </si>
  <si>
    <t xml:space="preserve"> 28789.3898 </t>
  </si>
  <si>
    <t xml:space="preserve"> 73.3479 </t>
  </si>
  <si>
    <t xml:space="preserve">F:\Données chgh\2020-CHG-CZA-BPA-1\plaque 1/@05 EE2 114/D5_01.tif </t>
  </si>
  <si>
    <t xml:space="preserve"> 40945.3905 </t>
  </si>
  <si>
    <t xml:space="preserve"> 75.6524 </t>
  </si>
  <si>
    <t xml:space="preserve">F:\Données chgh\2020-CHG-CZA-BPA-1\plaque 1/@05 EE2 114/D5_02.tif </t>
  </si>
  <si>
    <t xml:space="preserve"> 39171.7392 </t>
  </si>
  <si>
    <t xml:space="preserve"> 74.45 </t>
  </si>
  <si>
    <t xml:space="preserve">F:\Données chgh\2020-CHG-CZA-BPA-1\plaque 1/@05 EE2 114/D5_03.tif </t>
  </si>
  <si>
    <t xml:space="preserve"> 40209.9741 </t>
  </si>
  <si>
    <t xml:space="preserve"> 70.9441 </t>
  </si>
  <si>
    <t xml:space="preserve">F:\Données chgh\2020-CHG-CZA-BPA-1\plaque 1/@05 EE2 114/E5_01.tif </t>
  </si>
  <si>
    <t xml:space="preserve"> 28356.7919 </t>
  </si>
  <si>
    <t xml:space="preserve"> 69.2075 </t>
  </si>
  <si>
    <t xml:space="preserve">F:\Données chgh\2020-CHG-CZA-BPA-1\plaque 1/@05 EE2 114/E5_02.tif </t>
  </si>
  <si>
    <t xml:space="preserve"> 30390.002 </t>
  </si>
  <si>
    <t xml:space="preserve"> 69.1395 </t>
  </si>
  <si>
    <t xml:space="preserve">F:\Données chgh\2020-CHG-CZA-BPA-1\plaque 1/@05 EE2 114/E5_03.tif </t>
  </si>
  <si>
    <t xml:space="preserve"> 27058.9982 </t>
  </si>
  <si>
    <t xml:space="preserve"> 69.4636 </t>
  </si>
  <si>
    <t xml:space="preserve">F:\Données chgh\2020-CHG-CZA-BPA-1\plaque 1/@05 EE2 114/F5_01.tif </t>
  </si>
  <si>
    <t xml:space="preserve"> 16244.0509 </t>
  </si>
  <si>
    <t xml:space="preserve"> 66.6711 </t>
  </si>
  <si>
    <t xml:space="preserve">F:\Données chgh\2020-CHG-CZA-BPA-1\plaque 1/@05 EE2 114/F5_02.tif </t>
  </si>
  <si>
    <t xml:space="preserve"> 13994.5418 </t>
  </si>
  <si>
    <t xml:space="preserve"> 65.2566 </t>
  </si>
  <si>
    <t xml:space="preserve">F:\Données chgh\2020-CHG-CZA-BPA-1\plaque 1/@05 EE2 114/F5_03.tif </t>
  </si>
  <si>
    <t xml:space="preserve"> 22019.2327 </t>
  </si>
  <si>
    <t xml:space="preserve"> 66.9853 </t>
  </si>
  <si>
    <t xml:space="preserve">F:\Données chgh\2020-CHG-CZA-BPA-1\plaque 1/@05 EE2 114/G5_01.tif </t>
  </si>
  <si>
    <t xml:space="preserve"> 27253.6672 </t>
  </si>
  <si>
    <t xml:space="preserve"> 68.9159 </t>
  </si>
  <si>
    <t xml:space="preserve">F:\Données chgh\2020-CHG-CZA-BPA-1\plaque 1/@05 EE2 114/G5_02.tif </t>
  </si>
  <si>
    <t xml:space="preserve"> 19618.3144 </t>
  </si>
  <si>
    <t xml:space="preserve"> 66.5138 </t>
  </si>
  <si>
    <t>F:\Données chgh\2020-CHG-CZA-BPA-1\plaque 1/@05 EE2 114/G5_03- exclu.tif</t>
  </si>
  <si>
    <t>F:\Données chgh\2020-CHG-CZA-BPA-1\plaque 1/@05 EE2 114/H5_01- exclu.tif</t>
  </si>
  <si>
    <t>F:\Données chgh\2020-CHG-CZA-BPA-1\plaque 1/@05 EE2 114/H5_02- exclu.tif</t>
  </si>
  <si>
    <t>F:\Données chgh\2020-CHG-CZA-BPA-1\plaque 1/@05 EE2 114/H5_03- exclu.tif</t>
  </si>
  <si>
    <t xml:space="preserve">F:\Données chgh\2020-CHG-CZA-BPA-1\plaque 1/@05 EE2 114/ </t>
  </si>
  <si>
    <t xml:space="preserve"> 68.584 </t>
  </si>
  <si>
    <t xml:space="preserve"> 4.0798 </t>
  </si>
  <si>
    <t xml:space="preserve"> 1314719.96 </t>
  </si>
  <si>
    <t xml:space="preserve"> 965802.373 </t>
  </si>
  <si>
    <t xml:space="preserve">F:\Données chgh\2020-CHG-CZA-BPA-1\plaque 1/@06 EE2 171/A6_01.tif </t>
  </si>
  <si>
    <t xml:space="preserve"> 42675.7821 </t>
  </si>
  <si>
    <t xml:space="preserve"> 67.6442 </t>
  </si>
  <si>
    <t xml:space="preserve">F:\Données chgh\2020-CHG-CZA-BPA-1\plaque 1/@06 EE2 171/A6_02.tif </t>
  </si>
  <si>
    <t xml:space="preserve"> 37722.5362 </t>
  </si>
  <si>
    <t xml:space="preserve"> 67.5682 </t>
  </si>
  <si>
    <t xml:space="preserve">F:\Données chgh\2020-CHG-CZA-BPA-1\plaque 1/@06 EE2 171/A6_03.tif </t>
  </si>
  <si>
    <t xml:space="preserve"> 43735.6469 </t>
  </si>
  <si>
    <t xml:space="preserve"> 67.8368 </t>
  </si>
  <si>
    <t>F:\Données chgh\2020-CHG-CZA-BPA-1\plaque 1/@06 EE2 171/B6_01- exclu.tif</t>
  </si>
  <si>
    <t xml:space="preserve">F:\Données chgh\2020-CHG-CZA-BPA-1\plaque 1/@06 EE2 171/B6_02.tif </t>
  </si>
  <si>
    <t xml:space="preserve"> 13215.8656 </t>
  </si>
  <si>
    <t xml:space="preserve"> 71.2193 </t>
  </si>
  <si>
    <t xml:space="preserve">F:\Données chgh\2020-CHG-CZA-BPA-1\plaque 1/@06 EE2 171/B6_03.tif </t>
  </si>
  <si>
    <t xml:space="preserve"> 15616.7839 </t>
  </si>
  <si>
    <t xml:space="preserve"> 69.6413 </t>
  </si>
  <si>
    <t xml:space="preserve">F:\Données chgh\2020-CHG-CZA-BPA-1\plaque 1/@06 EE2 171/C6_01.tif </t>
  </si>
  <si>
    <t xml:space="preserve"> 32639.511 </t>
  </si>
  <si>
    <t xml:space="preserve"> 72.1266 </t>
  </si>
  <si>
    <t xml:space="preserve">F:\Données chgh\2020-CHG-CZA-BPA-1\plaque 1/@06 EE2 171/C6_02.tif </t>
  </si>
  <si>
    <t xml:space="preserve"> 28140.4929 </t>
  </si>
  <si>
    <t xml:space="preserve"> 78.2283 </t>
  </si>
  <si>
    <t xml:space="preserve">F:\Données chgh\2020-CHG-CZA-BPA-1\plaque 1/@06 EE2 171/C6_03.tif </t>
  </si>
  <si>
    <t xml:space="preserve"> 31860.8348 </t>
  </si>
  <si>
    <t xml:space="preserve"> 77.4487 </t>
  </si>
  <si>
    <t xml:space="preserve">F:\Données chgh\2020-CHG-CZA-BPA-1\plaque 1/@06 EE2 171/D6_01.tif </t>
  </si>
  <si>
    <t xml:space="preserve"> 50094.836 </t>
  </si>
  <si>
    <t xml:space="preserve"> 72.3148 </t>
  </si>
  <si>
    <t xml:space="preserve">F:\Données chgh\2020-CHG-CZA-BPA-1\plaque 1/@06 EE2 171/D6_02.tif </t>
  </si>
  <si>
    <t xml:space="preserve"> 49510.8288 </t>
  </si>
  <si>
    <t xml:space="preserve"> 74.1433 </t>
  </si>
  <si>
    <t xml:space="preserve">F:\Données chgh\2020-CHG-CZA-BPA-1\plaque 1/@06 EE2 171/D6_03.tif </t>
  </si>
  <si>
    <t xml:space="preserve"> 52517.3842 </t>
  </si>
  <si>
    <t xml:space="preserve"> 72.4506 </t>
  </si>
  <si>
    <t xml:space="preserve">F:\Données chgh\2020-CHG-CZA-BPA-1\plaque 1/@06 EE2 171/E6_01.tif </t>
  </si>
  <si>
    <t xml:space="preserve"> 50116.4659 </t>
  </si>
  <si>
    <t xml:space="preserve"> 73.8718 </t>
  </si>
  <si>
    <t xml:space="preserve">F:\Données chgh\2020-CHG-CZA-BPA-1\plaque 1/@06 EE2 171/E6_02.tif </t>
  </si>
  <si>
    <t xml:space="preserve"> 45314.6292 </t>
  </si>
  <si>
    <t xml:space="preserve"> 75.9733 </t>
  </si>
  <si>
    <t xml:space="preserve">F:\Données chgh\2020-CHG-CZA-BPA-1\plaque 1/@06 EE2 171/E6_03.tif </t>
  </si>
  <si>
    <t xml:space="preserve"> 73.3734 </t>
  </si>
  <si>
    <t xml:space="preserve">F:\Données chgh\2020-CHG-CZA-BPA-1\plaque 1/@06 EE2 171/F6_01.tif </t>
  </si>
  <si>
    <t xml:space="preserve"> 45466.0385 </t>
  </si>
  <si>
    <t xml:space="preserve"> 80.451 </t>
  </si>
  <si>
    <t xml:space="preserve">F:\Données chgh\2020-CHG-CZA-BPA-1\plaque 1/@06 EE2 171/F6_02.tif </t>
  </si>
  <si>
    <t xml:space="preserve"> 43714.017 </t>
  </si>
  <si>
    <t xml:space="preserve"> 74.7432 </t>
  </si>
  <si>
    <t xml:space="preserve">F:\Données chgh\2020-CHG-CZA-BPA-1\plaque 1/@06 EE2 171/F6_03.tif </t>
  </si>
  <si>
    <t xml:space="preserve"> 43692.3872 </t>
  </si>
  <si>
    <t xml:space="preserve"> 78.9436 </t>
  </si>
  <si>
    <t xml:space="preserve">F:\Données chgh\2020-CHG-CZA-BPA-1\plaque 1/@06 EE2 171/G6_01.tif </t>
  </si>
  <si>
    <t xml:space="preserve"> 49489.1989 </t>
  </si>
  <si>
    <t xml:space="preserve"> 81.8632 </t>
  </si>
  <si>
    <t xml:space="preserve">F:\Données chgh\2020-CHG-CZA-BPA-1\plaque 1/@06 EE2 171/G6_02.tif </t>
  </si>
  <si>
    <t xml:space="preserve"> 47499.2486 </t>
  </si>
  <si>
    <t xml:space="preserve"> 84.3852 </t>
  </si>
  <si>
    <t xml:space="preserve">F:\Données chgh\2020-CHG-CZA-BPA-1\plaque 1/@06 EE2 171/G6_03.tif </t>
  </si>
  <si>
    <t xml:space="preserve"> 48364.4444 </t>
  </si>
  <si>
    <t xml:space="preserve"> 81.6243 </t>
  </si>
  <si>
    <t>F:\Données chgh\2020-CHG-CZA-BPA-1\plaque 1/@06 EE2 171/H6_01- exclu.tif</t>
  </si>
  <si>
    <t>F:\Données chgh\2020-CHG-CZA-BPA-1\plaque 1/@06 EE2 171/H6_02- exclu.tif</t>
  </si>
  <si>
    <t>F:\Données chgh\2020-CHG-CZA-BPA-1\plaque 1/@06 EE2 171/H6_03- exclu.tif</t>
  </si>
  <si>
    <t xml:space="preserve">F:\Données chgh\2020-CHG-CZA-BPA-1\plaque 1/@06 EE2 171/ </t>
  </si>
  <si>
    <t xml:space="preserve"> 73.0428 </t>
  </si>
  <si>
    <t xml:space="preserve"> 6.0573 </t>
  </si>
  <si>
    <t xml:space="preserve"> 2560477.54 </t>
  </si>
  <si>
    <t xml:space="preserve"> 1411165.58 </t>
  </si>
  <si>
    <t xml:space="preserve">F:\Données chgh\2020-CHG-CZA-BPA-1\plaque 1/@07 EE2 488/A7_01.tif </t>
  </si>
  <si>
    <t xml:space="preserve"> 57297.5909 </t>
  </si>
  <si>
    <t xml:space="preserve"> 105.3356 </t>
  </si>
  <si>
    <t xml:space="preserve">F:\Données chgh\2020-CHG-CZA-BPA-1\plaque 1/@07 EE2 488/A7_02.tif </t>
  </si>
  <si>
    <t xml:space="preserve"> 51111.441 </t>
  </si>
  <si>
    <t xml:space="preserve"> 114.1003 </t>
  </si>
  <si>
    <t xml:space="preserve">F:\Données chgh\2020-CHG-CZA-BPA-1\plaque 1/@07 EE2 488/A7_03.tif </t>
  </si>
  <si>
    <t xml:space="preserve"> 52041.5265 </t>
  </si>
  <si>
    <t xml:space="preserve"> 111.3408 </t>
  </si>
  <si>
    <t xml:space="preserve">F:\Données chgh\2020-CHG-CZA-BPA-1\plaque 1/@07 EE2 488/B7_01.tif </t>
  </si>
  <si>
    <t xml:space="preserve"> 10598.6484 </t>
  </si>
  <si>
    <t xml:space="preserve"> 71.6245 </t>
  </si>
  <si>
    <t xml:space="preserve">F:\Données chgh\2020-CHG-CZA-BPA-1\plaque 1/@07 EE2 488/B7_02.tif </t>
  </si>
  <si>
    <t xml:space="preserve"> 13432.1646 </t>
  </si>
  <si>
    <t xml:space="preserve"> 72.1948 </t>
  </si>
  <si>
    <t xml:space="preserve">F:\Données chgh\2020-CHG-CZA-BPA-1\plaque 1/@07 EE2 488/B7_03.tif </t>
  </si>
  <si>
    <t xml:space="preserve"> 11550.3637 </t>
  </si>
  <si>
    <t xml:space="preserve"> 73.5824 </t>
  </si>
  <si>
    <t xml:space="preserve">F:\Données chgh\2020-CHG-CZA-BPA-1\plaque 1/@07 EE2 488/C7_01.tif </t>
  </si>
  <si>
    <t xml:space="preserve"> 43454.4583 </t>
  </si>
  <si>
    <t xml:space="preserve"> 85.6406 </t>
  </si>
  <si>
    <t xml:space="preserve">F:\Données chgh\2020-CHG-CZA-BPA-1\plaque 1/@07 EE2 488/C7_02.tif </t>
  </si>
  <si>
    <t xml:space="preserve"> 47780.4372 </t>
  </si>
  <si>
    <t xml:space="preserve"> 86.2544 </t>
  </si>
  <si>
    <t xml:space="preserve">F:\Données chgh\2020-CHG-CZA-BPA-1\plaque 1/@07 EE2 488/C7_03.tif </t>
  </si>
  <si>
    <t xml:space="preserve"> 51608.9286 </t>
  </si>
  <si>
    <t xml:space="preserve"> 86.8064 </t>
  </si>
  <si>
    <t xml:space="preserve">F:\Données chgh\2020-CHG-CZA-BPA-1\plaque 1/@07 EE2 488/D7_01.tif </t>
  </si>
  <si>
    <t xml:space="preserve"> 60433.9256 </t>
  </si>
  <si>
    <t xml:space="preserve"> 77.9581 </t>
  </si>
  <si>
    <t>F:\Données chgh\2020-CHG-CZA-BPA-1\plaque 1/@07 EE2 488/D7_02- exclu.tif</t>
  </si>
  <si>
    <t xml:space="preserve">F:\Données chgh\2020-CHG-CZA-BPA-1\plaque 1/@07 EE2 488/D7_03.tif </t>
  </si>
  <si>
    <t xml:space="preserve"> 57946.4877 </t>
  </si>
  <si>
    <t xml:space="preserve"> 84.5722 </t>
  </si>
  <si>
    <t xml:space="preserve">F:\Données chgh\2020-CHG-CZA-BPA-1\plaque 1/@07 EE2 488/E7_01.tif </t>
  </si>
  <si>
    <t xml:space="preserve"> 53858.4376 </t>
  </si>
  <si>
    <t xml:space="preserve"> 95.41 </t>
  </si>
  <si>
    <t xml:space="preserve">F:\Données chgh\2020-CHG-CZA-BPA-1\plaque 1/@07 EE2 488/E7_02.tif </t>
  </si>
  <si>
    <t xml:space="preserve"> 58746.7938 </t>
  </si>
  <si>
    <t xml:space="preserve"> 93.3321 </t>
  </si>
  <si>
    <t xml:space="preserve">F:\Données chgh\2020-CHG-CZA-BPA-1\plaque 1/@07 EE2 488/E7_03.tif </t>
  </si>
  <si>
    <t xml:space="preserve"> 61839.8687 </t>
  </si>
  <si>
    <t xml:space="preserve"> 90.4278 </t>
  </si>
  <si>
    <t xml:space="preserve">F:\Données chgh\2020-CHG-CZA-BPA-1\plaque 1/@07 EE2 488/F7_01.tif </t>
  </si>
  <si>
    <t xml:space="preserve"> 25912.6138 </t>
  </si>
  <si>
    <t xml:space="preserve"> 75.5401 </t>
  </si>
  <si>
    <t xml:space="preserve">F:\Données chgh\2020-CHG-CZA-BPA-1\plaque 1/@07 EE2 488/F7_02.tif </t>
  </si>
  <si>
    <t xml:space="preserve"> 23295.3965 </t>
  </si>
  <si>
    <t xml:space="preserve"> 77.3649 </t>
  </si>
  <si>
    <t xml:space="preserve">F:\Données chgh\2020-CHG-CZA-BPA-1\plaque 1/@07 EE2 488/F7_03.tif </t>
  </si>
  <si>
    <t xml:space="preserve"> 23965.9232 </t>
  </si>
  <si>
    <t xml:space="preserve"> 76.1128 </t>
  </si>
  <si>
    <t xml:space="preserve">F:\Données chgh\2020-CHG-CZA-BPA-1\plaque 1/@07 EE2 488/G7_01.tif </t>
  </si>
  <si>
    <t xml:space="preserve"> 63959.5984 </t>
  </si>
  <si>
    <t xml:space="preserve"> 92.3189 </t>
  </si>
  <si>
    <t xml:space="preserve">F:\Données chgh\2020-CHG-CZA-BPA-1\plaque 1/@07 EE2 488/G7_02.tif </t>
  </si>
  <si>
    <t xml:space="preserve"> 64911.3138 </t>
  </si>
  <si>
    <t xml:space="preserve"> 90.6331 </t>
  </si>
  <si>
    <t xml:space="preserve">F:\Données chgh\2020-CHG-CZA-BPA-1\plaque 1/@07 EE2 488/G7_03.tif </t>
  </si>
  <si>
    <t xml:space="preserve"> 62272.4666 </t>
  </si>
  <si>
    <t xml:space="preserve"> 91.5828 </t>
  </si>
  <si>
    <t xml:space="preserve">F:\Données chgh\2020-CHG-CZA-BPA-1\plaque 1/@07 EE2 488/H7_01.tif </t>
  </si>
  <si>
    <t xml:space="preserve"> 56043.057 </t>
  </si>
  <si>
    <t xml:space="preserve"> 94.1768 </t>
  </si>
  <si>
    <t xml:space="preserve">F:\Données chgh\2020-CHG-CZA-BPA-1\plaque 1/@07 EE2 488/H7_02.tif </t>
  </si>
  <si>
    <t xml:space="preserve"> 60066.2174 </t>
  </si>
  <si>
    <t xml:space="preserve"> 94.1934 </t>
  </si>
  <si>
    <t xml:space="preserve">F:\Données chgh\2020-CHG-CZA-BPA-1\plaque 1/@07 EE2 488/H7_03.tif </t>
  </si>
  <si>
    <t xml:space="preserve"> 64997.8334 </t>
  </si>
  <si>
    <t xml:space="preserve"> 93.8815 </t>
  </si>
  <si>
    <t xml:space="preserve">F:\Données chgh\2020-CHG-CZA-BPA-1\plaque 1/@07 EE2 488/ </t>
  </si>
  <si>
    <t xml:space="preserve"> 87.4353 </t>
  </si>
  <si>
    <t xml:space="preserve"> 12.4913 </t>
  </si>
  <si>
    <t xml:space="preserve"> 4192673.96 </t>
  </si>
  <si>
    <t xml:space="preserve"> 1902420.83 </t>
  </si>
  <si>
    <t xml:space="preserve">F:\Données chgh\2020-CHG-CZA-BPA-1\plaque 1/@08 BPA 1/A8_01.tif </t>
  </si>
  <si>
    <t xml:space="preserve">F:\Données chgh\2020-CHG-CZA-BPA-1\plaque 1/@08 BPA 1/A8_02.tif </t>
  </si>
  <si>
    <t xml:space="preserve"> 1081.4947 </t>
  </si>
  <si>
    <t xml:space="preserve"> 64.22 </t>
  </si>
  <si>
    <t xml:space="preserve">F:\Données chgh\2020-CHG-CZA-BPA-1\plaque 1/@08 BPA 1/A8_03.tif </t>
  </si>
  <si>
    <t xml:space="preserve"> 800.3061 </t>
  </si>
  <si>
    <t xml:space="preserve"> 65.8919 </t>
  </si>
  <si>
    <t xml:space="preserve">F:\Données chgh\2020-CHG-CZA-BPA-1\plaque 1/@08 BPA 1/B8_01.tif </t>
  </si>
  <si>
    <t xml:space="preserve"> 62.7778 </t>
  </si>
  <si>
    <t xml:space="preserve">F:\Données chgh\2020-CHG-CZA-BPA-1\plaque 1/@08 BPA 1/B8_02.tif </t>
  </si>
  <si>
    <t xml:space="preserve"> 475.8577 </t>
  </si>
  <si>
    <t xml:space="preserve">F:\Données chgh\2020-CHG-CZA-BPA-1\plaque 1/@08 BPA 1/B8_03.tif </t>
  </si>
  <si>
    <t xml:space="preserve"> 367.7082 </t>
  </si>
  <si>
    <t xml:space="preserve"> 63.4706 </t>
  </si>
  <si>
    <t xml:space="preserve">F:\Données chgh\2020-CHG-CZA-BPA-1\plaque 1/@08 BPA 1/C8_01.tif </t>
  </si>
  <si>
    <t xml:space="preserve"> 778.6762 </t>
  </si>
  <si>
    <t xml:space="preserve"> 63.0556 </t>
  </si>
  <si>
    <t xml:space="preserve">F:\Données chgh\2020-CHG-CZA-BPA-1\plaque 1/@08 BPA 1/C8_02.tif </t>
  </si>
  <si>
    <t xml:space="preserve"> 62.6316 </t>
  </si>
  <si>
    <t xml:space="preserve">F:\Données chgh\2020-CHG-CZA-BPA-1\plaque 1/@08 BPA 1/C8_03.tif </t>
  </si>
  <si>
    <t xml:space="preserve">F:\Données chgh\2020-CHG-CZA-BPA-1\plaque 1/@08 BPA 1/D8_01.tif </t>
  </si>
  <si>
    <t xml:space="preserve">F:\Données chgh\2020-CHG-CZA-BPA-1\plaque 1/@08 BPA 1/D8_02.tif </t>
  </si>
  <si>
    <t xml:space="preserve">F:\Données chgh\2020-CHG-CZA-BPA-1\plaque 1/@08 BPA 1/D8_03.tif </t>
  </si>
  <si>
    <t xml:space="preserve"> 63.1389 </t>
  </si>
  <si>
    <t xml:space="preserve">F:\Données chgh\2020-CHG-CZA-BPA-1\plaque 1/@08 BPA 1/E8_01.tif </t>
  </si>
  <si>
    <t xml:space="preserve"> 62.8286 </t>
  </si>
  <si>
    <t xml:space="preserve">F:\Données chgh\2020-CHG-CZA-BPA-1\plaque 1/@08 BPA 1/E8_02.tif </t>
  </si>
  <si>
    <t xml:space="preserve"> 4715.317 </t>
  </si>
  <si>
    <t xml:space="preserve"> 70.1055 </t>
  </si>
  <si>
    <t xml:space="preserve">F:\Données chgh\2020-CHG-CZA-BPA-1\plaque 1/@08 BPA 1/E8_03.tif </t>
  </si>
  <si>
    <t xml:space="preserve"> 973.3453 </t>
  </si>
  <si>
    <t xml:space="preserve"> 63.9333 </t>
  </si>
  <si>
    <t xml:space="preserve">F:\Données chgh\2020-CHG-CZA-BPA-1\plaque 1/@08 BPA 1/F8_01.tif </t>
  </si>
  <si>
    <t xml:space="preserve"> 65.3117 </t>
  </si>
  <si>
    <t xml:space="preserve">F:\Données chgh\2020-CHG-CZA-BPA-1\plaque 1/@08 BPA 1/F8_02.tif </t>
  </si>
  <si>
    <t xml:space="preserve"> 70.961 </t>
  </si>
  <si>
    <t xml:space="preserve">F:\Données chgh\2020-CHG-CZA-BPA-1\plaque 1/@08 BPA 1/F8_03.tif </t>
  </si>
  <si>
    <t xml:space="preserve"> 1946.6905 </t>
  </si>
  <si>
    <t xml:space="preserve"> 66.4333 </t>
  </si>
  <si>
    <t xml:space="preserve">F:\Données chgh\2020-CHG-CZA-BPA-1\plaque 1/@08 BPA 1/G8_01.tif </t>
  </si>
  <si>
    <t xml:space="preserve"> 6943.1962 </t>
  </si>
  <si>
    <t xml:space="preserve"> 72.4798 </t>
  </si>
  <si>
    <t xml:space="preserve">F:\Données chgh\2020-CHG-CZA-BPA-1\plaque 1/@08 BPA 1/G8_02.tif </t>
  </si>
  <si>
    <t xml:space="preserve"> 4412.4985 </t>
  </si>
  <si>
    <t xml:space="preserve"> 65.9951 </t>
  </si>
  <si>
    <t xml:space="preserve">F:\Données chgh\2020-CHG-CZA-BPA-1\plaque 1/@08 BPA 1/G8_03.tif </t>
  </si>
  <si>
    <t xml:space="preserve"> 6402.4488 </t>
  </si>
  <si>
    <t xml:space="preserve"> 68.1115 </t>
  </si>
  <si>
    <t xml:space="preserve">F:\Données chgh\2020-CHG-CZA-BPA-1\plaque 1/@08 BPA 1/H8_01.tif </t>
  </si>
  <si>
    <t xml:space="preserve"> 67.5567 </t>
  </si>
  <si>
    <t xml:space="preserve">F:\Données chgh\2020-CHG-CZA-BPA-1\plaque 1/@08 BPA 1/H8_02.tif </t>
  </si>
  <si>
    <t xml:space="preserve"> 821.936 </t>
  </si>
  <si>
    <t xml:space="preserve">F:\Données chgh\2020-CHG-CZA-BPA-1\plaque 1/@08 BPA 1/H8_03.tif </t>
  </si>
  <si>
    <t xml:space="preserve"> 4109.68 </t>
  </si>
  <si>
    <t xml:space="preserve"> 64.4632 </t>
  </si>
  <si>
    <t xml:space="preserve">F:\Données chgh\2020-CHG-CZA-BPA-1\plaque 1/@08 BPA 1/ </t>
  </si>
  <si>
    <t xml:space="preserve"> 65.2149 </t>
  </si>
  <si>
    <t xml:space="preserve"> 2.7605 </t>
  </si>
  <si>
    <t xml:space="preserve"> 123669.917 </t>
  </si>
  <si>
    <t xml:space="preserve"> 137878.701 </t>
  </si>
  <si>
    <t xml:space="preserve">F:\Données chgh\2020-CHG-CZA-BPA-1\plaque 1/@09 BPA 2/A9_01.tif </t>
  </si>
  <si>
    <t xml:space="preserve"> 1319.4236 </t>
  </si>
  <si>
    <t xml:space="preserve"> 64.8033 </t>
  </si>
  <si>
    <t xml:space="preserve">F:\Données chgh\2020-CHG-CZA-BPA-1\plaque 1/@09 BPA 2/A9_02.tif </t>
  </si>
  <si>
    <t xml:space="preserve"> 908.4556 </t>
  </si>
  <si>
    <t xml:space="preserve"> 65.119 </t>
  </si>
  <si>
    <t xml:space="preserve">F:\Données chgh\2020-CHG-CZA-BPA-1\plaque 1/@09 BPA 2/A9_03.tif </t>
  </si>
  <si>
    <t xml:space="preserve"> 64.2857 </t>
  </si>
  <si>
    <t xml:space="preserve">F:\Données chgh\2020-CHG-CZA-BPA-1\plaque 1/@09 BPA 2/B9_01.tif </t>
  </si>
  <si>
    <t xml:space="preserve"> 5320.9541 </t>
  </si>
  <si>
    <t xml:space="preserve"> 75.6382 </t>
  </si>
  <si>
    <t xml:space="preserve">F:\Données chgh\2020-CHG-CZA-BPA-1\plaque 1/@09 BPA 2/B9_02.tif </t>
  </si>
  <si>
    <t xml:space="preserve"> 9668.5629 </t>
  </si>
  <si>
    <t xml:space="preserve"> 70.6734 </t>
  </si>
  <si>
    <t xml:space="preserve">F:\Données chgh\2020-CHG-CZA-BPA-1\plaque 1/@09 BPA 2/B9_03.tif </t>
  </si>
  <si>
    <t xml:space="preserve"> 6683.6374 </t>
  </si>
  <si>
    <t xml:space="preserve"> 71.7896 </t>
  </si>
  <si>
    <t xml:space="preserve">F:\Données chgh\2020-CHG-CZA-BPA-1\plaque 1/@09 BPA 2/C9_01.tif </t>
  </si>
  <si>
    <t xml:space="preserve"> 562.3773 </t>
  </si>
  <si>
    <t xml:space="preserve"> 66.1923 </t>
  </si>
  <si>
    <t xml:space="preserve">F:\Données chgh\2020-CHG-CZA-BPA-1\plaque 1/@09 BPA 2/C9_02.tif </t>
  </si>
  <si>
    <t xml:space="preserve"> 2768.6265 </t>
  </si>
  <si>
    <t xml:space="preserve"> 65.7812 </t>
  </si>
  <si>
    <t xml:space="preserve">F:\Données chgh\2020-CHG-CZA-BPA-1\plaque 1/@09 BPA 2/C9_03.tif </t>
  </si>
  <si>
    <t xml:space="preserve"> 5710.2922 </t>
  </si>
  <si>
    <t xml:space="preserve"> 68.7652 </t>
  </si>
  <si>
    <t xml:space="preserve">F:\Données chgh\2020-CHG-CZA-BPA-1\plaque 1/@09 BPA 2/D9_01.tif </t>
  </si>
  <si>
    <t xml:space="preserve"> 67.3043 </t>
  </si>
  <si>
    <t xml:space="preserve">F:\Données chgh\2020-CHG-CZA-BPA-1\plaque 1/@09 BPA 2/D9_02.tif </t>
  </si>
  <si>
    <t xml:space="preserve"> 1189.6442 </t>
  </si>
  <si>
    <t xml:space="preserve"> 68.9091 </t>
  </si>
  <si>
    <t xml:space="preserve">F:\Données chgh\2020-CHG-CZA-BPA-1\plaque 1/@09 BPA 2/D9_03.tif </t>
  </si>
  <si>
    <t xml:space="preserve"> 1297.7937 </t>
  </si>
  <si>
    <t xml:space="preserve"> 66.2333 </t>
  </si>
  <si>
    <t xml:space="preserve">F:\Données chgh\2020-CHG-CZA-BPA-1\plaque 1/@09 BPA 2/E9_01.tif </t>
  </si>
  <si>
    <t xml:space="preserve"> 62.3684 </t>
  </si>
  <si>
    <t xml:space="preserve">F:\Données chgh\2020-CHG-CZA-BPA-1\plaque 1/@09 BPA 2/E9_02.tif </t>
  </si>
  <si>
    <t xml:space="preserve"> 63.8571 </t>
  </si>
  <si>
    <t xml:space="preserve">F:\Données chgh\2020-CHG-CZA-BPA-1\plaque 1/@09 BPA 2/E9_03.tif </t>
  </si>
  <si>
    <t xml:space="preserve"> 865.1958 </t>
  </si>
  <si>
    <t xml:space="preserve"> 64.6 </t>
  </si>
  <si>
    <t xml:space="preserve">F:\Données chgh\2020-CHG-CZA-BPA-1\plaque 1/@09 BPA 2/F9_01.tif </t>
  </si>
  <si>
    <t xml:space="preserve"> 1168.0143 </t>
  </si>
  <si>
    <t xml:space="preserve"> 63.8333 </t>
  </si>
  <si>
    <t xml:space="preserve">F:\Données chgh\2020-CHG-CZA-BPA-1\plaque 1/@09 BPA 2/F9_02.tif </t>
  </si>
  <si>
    <t xml:space="preserve"> 757.0463 </t>
  </si>
  <si>
    <t xml:space="preserve"> 63.7429 </t>
  </si>
  <si>
    <t xml:space="preserve">F:\Données chgh\2020-CHG-CZA-BPA-1\plaque 1/@09 BPA 2/F9_03.tif </t>
  </si>
  <si>
    <t xml:space="preserve"> 1557.3524 </t>
  </si>
  <si>
    <t xml:space="preserve"> 62.8333 </t>
  </si>
  <si>
    <t xml:space="preserve">F:\Données chgh\2020-CHG-CZA-BPA-1\plaque 1/@09 BPA 2/G9_01.tif </t>
  </si>
  <si>
    <t xml:space="preserve"> 6359.189 </t>
  </si>
  <si>
    <t xml:space="preserve"> 69.5238 </t>
  </si>
  <si>
    <t xml:space="preserve">F:\Données chgh\2020-CHG-CZA-BPA-1\plaque 1/@09 BPA 2/G9_02.tif </t>
  </si>
  <si>
    <t xml:space="preserve"> 3331.0038 </t>
  </si>
  <si>
    <t xml:space="preserve"> 67.7078 </t>
  </si>
  <si>
    <t xml:space="preserve">F:\Données chgh\2020-CHG-CZA-BPA-1\plaque 1/@09 BPA 2/G9_03.tif </t>
  </si>
  <si>
    <t xml:space="preserve"> 3201.2244 </t>
  </si>
  <si>
    <t xml:space="preserve"> 65.3986 </t>
  </si>
  <si>
    <t xml:space="preserve">F:\Données chgh\2020-CHG-CZA-BPA-1\plaque 1/@09 BPA 2/H9_01.tif </t>
  </si>
  <si>
    <t xml:space="preserve"> 63.4082 </t>
  </si>
  <si>
    <t xml:space="preserve">F:\Données chgh\2020-CHG-CZA-BPA-1\plaque 1/@09 BPA 2/H9_02.tif </t>
  </si>
  <si>
    <t xml:space="preserve"> 930.0855 </t>
  </si>
  <si>
    <t xml:space="preserve"> 65.4186 </t>
  </si>
  <si>
    <t xml:space="preserve">F:\Données chgh\2020-CHG-CZA-BPA-1\plaque 1/@09 BPA 2/H9_03.tif </t>
  </si>
  <si>
    <t xml:space="preserve"> 670.5267 </t>
  </si>
  <si>
    <t xml:space="preserve"> 64.4516 </t>
  </si>
  <si>
    <t xml:space="preserve">F:\Données chgh\2020-CHG-CZA-BPA-1\plaque 1/@09 BPA 2/ </t>
  </si>
  <si>
    <t xml:space="preserve"> 66.3599 </t>
  </si>
  <si>
    <t xml:space="preserve"> 3.1825 </t>
  </si>
  <si>
    <t xml:space="preserve"> 165243.375 </t>
  </si>
  <si>
    <t xml:space="preserve"> 179990.317 </t>
  </si>
  <si>
    <t>F:\Données chgh\2020-CHG-CZA-BPA-1\plaque 1/@10  BPA 3/A10_01- exclu.tif</t>
  </si>
  <si>
    <t>F:\Données chgh\2020-CHG-CZA-BPA-1\plaque 1/@10  BPA 3/A10_02- exclu.tif</t>
  </si>
  <si>
    <t xml:space="preserve">F:\Données chgh\2020-CHG-CZA-BPA-1\plaque 1/@10  BPA 3/A10_03.tif </t>
  </si>
  <si>
    <t xml:space="preserve"> 77.3831 </t>
  </si>
  <si>
    <t>F:\Données chgh\2020-CHG-CZA-BPA-1\plaque 1/@10  BPA 3/B10_01- exclu.tif</t>
  </si>
  <si>
    <t>F:\Données chgh\2020-CHG-CZA-BPA-1\plaque 1/@10  BPA 3/B10_02- exclu.tif</t>
  </si>
  <si>
    <t xml:space="preserve">F:\Données chgh\2020-CHG-CZA-BPA-1\plaque 1/@10  BPA 3/B10_03.tif </t>
  </si>
  <si>
    <t xml:space="preserve"> 151.4093 </t>
  </si>
  <si>
    <t xml:space="preserve"> 63.7143 </t>
  </si>
  <si>
    <t xml:space="preserve">F:\Données chgh\2020-CHG-CZA-BPA-1\plaque 1/@10  BPA 3/C10_01.tif </t>
  </si>
  <si>
    <t xml:space="preserve"> 2292.7688 </t>
  </si>
  <si>
    <t xml:space="preserve"> 62.9434 </t>
  </si>
  <si>
    <t xml:space="preserve">F:\Données chgh\2020-CHG-CZA-BPA-1\plaque 1/@10  BPA 3/C10_02.tif </t>
  </si>
  <si>
    <t xml:space="preserve"> 63.3 </t>
  </si>
  <si>
    <t xml:space="preserve">F:\Données chgh\2020-CHG-CZA-BPA-1\plaque 1/@10  BPA 3/C10_03.tif </t>
  </si>
  <si>
    <t xml:space="preserve"> 497.4876 </t>
  </si>
  <si>
    <t xml:space="preserve"> 62.7826 </t>
  </si>
  <si>
    <t xml:space="preserve">F:\Données chgh\2020-CHG-CZA-BPA-1\plaque 1/@10  BPA 3/D10_01.tif </t>
  </si>
  <si>
    <t xml:space="preserve"> 41832.2162 </t>
  </si>
  <si>
    <t xml:space="preserve"> 68.6986 </t>
  </si>
  <si>
    <t xml:space="preserve">F:\Données chgh\2020-CHG-CZA-BPA-1\plaque 1/@10  BPA 3/D10_02.tif </t>
  </si>
  <si>
    <t xml:space="preserve"> 46287.9745 </t>
  </si>
  <si>
    <t xml:space="preserve"> 69.2271 </t>
  </si>
  <si>
    <t xml:space="preserve">F:\Données chgh\2020-CHG-CZA-BPA-1\plaque 1/@10  BPA 3/D10_03.tif </t>
  </si>
  <si>
    <t xml:space="preserve"> 44081.7253 </t>
  </si>
  <si>
    <t xml:space="preserve"> 68.5466 </t>
  </si>
  <si>
    <t>F:\Données chgh\2020-CHG-CZA-BPA-1\plaque 1/@10  BPA 3/E10_01- exclu.tif</t>
  </si>
  <si>
    <t xml:space="preserve">F:\Données chgh\2020-CHG-CZA-BPA-1\plaque 1/@10  BPA 3/E10_02.tif </t>
  </si>
  <si>
    <t xml:space="preserve"> 62.6136 </t>
  </si>
  <si>
    <t xml:space="preserve">F:\Données chgh\2020-CHG-CZA-BPA-1\plaque 1/@10  BPA 3/E10_03.tif </t>
  </si>
  <si>
    <t xml:space="preserve"> 63.1 </t>
  </si>
  <si>
    <t xml:space="preserve">F:\Données chgh\2020-CHG-CZA-BPA-1\plaque 1/@10  BPA 3/F10_01.tif </t>
  </si>
  <si>
    <t xml:space="preserve"> 17476.9549 </t>
  </si>
  <si>
    <t xml:space="preserve"> 68.7908 </t>
  </si>
  <si>
    <t xml:space="preserve">F:\Données chgh\2020-CHG-CZA-BPA-1\plaque 1/@10  BPA 3/F10_02.tif </t>
  </si>
  <si>
    <t xml:space="preserve"> 16179.1612 </t>
  </si>
  <si>
    <t xml:space="preserve"> 67.3703 </t>
  </si>
  <si>
    <t xml:space="preserve">F:\Données chgh\2020-CHG-CZA-BPA-1\plaque 1/@10  BPA 3/F10_03.tif </t>
  </si>
  <si>
    <t xml:space="preserve"> 13345.645 </t>
  </si>
  <si>
    <t xml:space="preserve"> 67.6062 </t>
  </si>
  <si>
    <t>F:\Données chgh\2020-CHG-CZA-BPA-1\plaque 1/@10  BPA 3/G10_01- exclu.tif</t>
  </si>
  <si>
    <t xml:space="preserve">F:\Données chgh\2020-CHG-CZA-BPA-1\plaque 1/@10  BPA 3/G10_02.tif </t>
  </si>
  <si>
    <t xml:space="preserve"> 64.4 </t>
  </si>
  <si>
    <t>F:\Données chgh\2020-CHG-CZA-BPA-1\plaque 1/@10  BPA 3/G10_03- exclu.tif</t>
  </si>
  <si>
    <t xml:space="preserve">F:\Données chgh\2020-CHG-CZA-BPA-1\plaque 1/@10  BPA 3/H10_01.tif </t>
  </si>
  <si>
    <t xml:space="preserve"> 64.0263 </t>
  </si>
  <si>
    <t xml:space="preserve">F:\Données chgh\2020-CHG-CZA-BPA-1\plaque 1/@10  BPA 3/H10_02.tif </t>
  </si>
  <si>
    <t xml:space="preserve"> 62.8966 </t>
  </si>
  <si>
    <t xml:space="preserve">F:\Données chgh\2020-CHG-CZA-BPA-1\plaque 1/@10  BPA 3/H10_03.tif </t>
  </si>
  <si>
    <t xml:space="preserve"> 64.2909 </t>
  </si>
  <si>
    <t xml:space="preserve">F:\Données chgh\2020-CHG-CZA-BPA-1\plaque 1/@10  BPA 3/ </t>
  </si>
  <si>
    <t xml:space="preserve"> 66.8931 </t>
  </si>
  <si>
    <t xml:space="preserve"> 5.243 </t>
  </si>
  <si>
    <t xml:space="preserve"> 671116.167 </t>
  </si>
  <si>
    <t xml:space="preserve"> 995597.38 </t>
  </si>
  <si>
    <t xml:space="preserve">F:\Données chgh\2020-CHG-CZA-BPA-1\plaque 1/@11 BPA 4/A11_01.tif </t>
  </si>
  <si>
    <t xml:space="preserve"> 25653.055 </t>
  </si>
  <si>
    <t xml:space="preserve"> 67.5843 </t>
  </si>
  <si>
    <t>F:\Données chgh\2020-CHG-CZA-BPA-1\plaque 1/@11 BPA 4/A11_02- exclu.tif</t>
  </si>
  <si>
    <t xml:space="preserve">F:\Données chgh\2020-CHG-CZA-BPA-1\plaque 1/@11 BPA 4/A11_03.tif </t>
  </si>
  <si>
    <t xml:space="preserve"> 25782.8344 </t>
  </si>
  <si>
    <t xml:space="preserve"> 69.9824 </t>
  </si>
  <si>
    <t xml:space="preserve">F:\Données chgh\2020-CHG-CZA-BPA-1\plaque 1/@11 BPA 4/B11_01.tif </t>
  </si>
  <si>
    <t xml:space="preserve"> 41313.0987 </t>
  </si>
  <si>
    <t xml:space="preserve"> 82.2063 </t>
  </si>
  <si>
    <t xml:space="preserve">F:\Données chgh\2020-CHG-CZA-BPA-1\plaque 1/@11 BPA 4/B11_02.tif </t>
  </si>
  <si>
    <t xml:space="preserve"> 43908.6861 </t>
  </si>
  <si>
    <t xml:space="preserve"> 80.1793 </t>
  </si>
  <si>
    <t xml:space="preserve">F:\Données chgh\2020-CHG-CZA-BPA-1\plaque 1/@11 BPA 4/B11_03.tif </t>
  </si>
  <si>
    <t xml:space="preserve"> 40685.8318 </t>
  </si>
  <si>
    <t xml:space="preserve"> 79.8107 </t>
  </si>
  <si>
    <t xml:space="preserve">F:\Données chgh\2020-CHG-CZA-BPA-1\plaque 1/@11 BPA 4/C11_01.tif </t>
  </si>
  <si>
    <t xml:space="preserve"> 5883.3313 </t>
  </si>
  <si>
    <t xml:space="preserve"> 64.3382 </t>
  </si>
  <si>
    <t xml:space="preserve">F:\Données chgh\2020-CHG-CZA-BPA-1\plaque 1/@11 BPA 4/C11_02.tif </t>
  </si>
  <si>
    <t xml:space="preserve"> 8760.1073 </t>
  </si>
  <si>
    <t xml:space="preserve"> 65.4099 </t>
  </si>
  <si>
    <t xml:space="preserve">F:\Données chgh\2020-CHG-CZA-BPA-1\plaque 1/@11 BPA 4/C11_03.tif </t>
  </si>
  <si>
    <t xml:space="preserve"> 4693.6871 </t>
  </si>
  <si>
    <t xml:space="preserve"> 64.4977 </t>
  </si>
  <si>
    <t>F:\Données chgh\2020-CHG-CZA-BPA-1\plaque 1/@11 BPA 4/D11_01- exclu.tif</t>
  </si>
  <si>
    <t>F:\Données chgh\2020-CHG-CZA-BPA-1\plaque 1/@11 BPA 4/D11_02- exclu.tif</t>
  </si>
  <si>
    <t xml:space="preserve">F:\Données chgh\2020-CHG-CZA-BPA-1\plaque 1/@11 BPA 4/D11_03.tif </t>
  </si>
  <si>
    <t xml:space="preserve"> 259.5587 </t>
  </si>
  <si>
    <t xml:space="preserve"> 63.1667 </t>
  </si>
  <si>
    <t xml:space="preserve">F:\Données chgh\2020-CHG-CZA-BPA-1\plaque 1/@11 BPA 4/E11_01.tif </t>
  </si>
  <si>
    <t xml:space="preserve"> 64.9206 </t>
  </si>
  <si>
    <t xml:space="preserve">F:\Données chgh\2020-CHG-CZA-BPA-1\plaque 1/@11 BPA 4/E11_02.tif </t>
  </si>
  <si>
    <t xml:space="preserve"> 65.2271 </t>
  </si>
  <si>
    <t xml:space="preserve">F:\Données chgh\2020-CHG-CZA-BPA-1\plaque 1/@11 BPA 4/E11_03.tif </t>
  </si>
  <si>
    <t xml:space="preserve"> 4628.7975 </t>
  </si>
  <si>
    <t xml:space="preserve"> 64.5701 </t>
  </si>
  <si>
    <t>F:\Données chgh\2020-CHG-CZA-BPA-1\plaque 1/@11 BPA 4/F11_01- exclu.tif</t>
  </si>
  <si>
    <t xml:space="preserve">F:\Données chgh\2020-CHG-CZA-BPA-1\plaque 1/@11 BPA 4/F11_02.tif </t>
  </si>
  <si>
    <t xml:space="preserve">F:\Données chgh\2020-CHG-CZA-BPA-1\plaque 1/@11 BPA 4/F11_03.tif </t>
  </si>
  <si>
    <t xml:space="preserve"> 63.2 </t>
  </si>
  <si>
    <t xml:space="preserve">F:\Données chgh\2020-CHG-CZA-BPA-1\plaque 1/@11 BPA 4/G11_01.tif </t>
  </si>
  <si>
    <t xml:space="preserve"> 59287.5412 </t>
  </si>
  <si>
    <t xml:space="preserve"> 76.0471 </t>
  </si>
  <si>
    <t xml:space="preserve">F:\Données chgh\2020-CHG-CZA-BPA-1\plaque 1/@11 BPA 4/G11_02.tif </t>
  </si>
  <si>
    <t xml:space="preserve"> 64435.4561 </t>
  </si>
  <si>
    <t xml:space="preserve"> 76.7076 </t>
  </si>
  <si>
    <t xml:space="preserve">F:\Données chgh\2020-CHG-CZA-BPA-1\plaque 1/@11 BPA 4/G11_03.tif </t>
  </si>
  <si>
    <t xml:space="preserve"> 64197.5273 </t>
  </si>
  <si>
    <t xml:space="preserve"> 76.2834 </t>
  </si>
  <si>
    <t xml:space="preserve">F:\Données chgh\2020-CHG-CZA-BPA-1\plaque 1/@11 BPA 4/H11_01.tif </t>
  </si>
  <si>
    <t xml:space="preserve"> 30563.0411 </t>
  </si>
  <si>
    <t xml:space="preserve"> 70.7084 </t>
  </si>
  <si>
    <t xml:space="preserve">F:\Données chgh\2020-CHG-CZA-BPA-1\plaque 1/@11 BPA 4/H11_02.tif </t>
  </si>
  <si>
    <t xml:space="preserve"> 31622.9059 </t>
  </si>
  <si>
    <t xml:space="preserve"> 70.2804 </t>
  </si>
  <si>
    <t xml:space="preserve">F:\Données chgh\2020-CHG-CZA-BPA-1\plaque 1/@11 BPA 4/H11_03.tif </t>
  </si>
  <si>
    <t xml:space="preserve"> 33721.0057 </t>
  </si>
  <si>
    <t xml:space="preserve"> 71.0738 </t>
  </si>
  <si>
    <t xml:space="preserve">F:\Données chgh\2020-CHG-CZA-BPA-1\plaque 1/@11 BPA 4/ </t>
  </si>
  <si>
    <t xml:space="preserve"> 69.1495 </t>
  </si>
  <si>
    <t xml:space="preserve"> 6.1511 </t>
  </si>
  <si>
    <t xml:space="preserve"> 1621074.92 </t>
  </si>
  <si>
    <t xml:space="preserve"> 1689673.54 </t>
  </si>
  <si>
    <t xml:space="preserve">F:\Données chgh\2020-CHG-CZA-BPA-1\plaque 1/@12  BPA 5/A12_01.tif </t>
  </si>
  <si>
    <t xml:space="preserve"> 49597.3484 </t>
  </si>
  <si>
    <t xml:space="preserve"> 78.0632 </t>
  </si>
  <si>
    <t xml:space="preserve">F:\Données chgh\2020-CHG-CZA-BPA-1\plaque 1/@12  BPA 5/A12_02.tif </t>
  </si>
  <si>
    <t xml:space="preserve"> 48126.5155 </t>
  </si>
  <si>
    <t xml:space="preserve"> 79.0697 </t>
  </si>
  <si>
    <t xml:space="preserve">F:\Données chgh\2020-CHG-CZA-BPA-1\plaque 1/@12  BPA 5/A12_03.tif </t>
  </si>
  <si>
    <t xml:space="preserve"> 46352.8642 </t>
  </si>
  <si>
    <t xml:space="preserve"> 77.1489 </t>
  </si>
  <si>
    <t>F:\Données chgh\2020-CHG-CZA-BPA-1\plaque 1/@12  BPA 5/B12_01- exclu.tif</t>
  </si>
  <si>
    <t xml:space="preserve">F:\Données chgh\2020-CHG-CZA-BPA-1\plaque 1/@12  BPA 5/B12_02.tif </t>
  </si>
  <si>
    <t xml:space="preserve"> 63.6471 </t>
  </si>
  <si>
    <t xml:space="preserve">F:\Données chgh\2020-CHG-CZA-BPA-1\plaque 1/@12  BPA 5/B12_03.tif </t>
  </si>
  <si>
    <t xml:space="preserve"> 1687.1318 </t>
  </si>
  <si>
    <t xml:space="preserve"> 63.0513 </t>
  </si>
  <si>
    <t xml:space="preserve">F:\Données chgh\2020-CHG-CZA-BPA-1\plaque 1/@12  BPA 5/C12_01.tif </t>
  </si>
  <si>
    <t xml:space="preserve"> 63.8167 </t>
  </si>
  <si>
    <t xml:space="preserve">F:\Données chgh\2020-CHG-CZA-BPA-1\plaque 1/@12  BPA 5/C12_02.tif </t>
  </si>
  <si>
    <t xml:space="preserve"> 64.0342 </t>
  </si>
  <si>
    <t xml:space="preserve">F:\Données chgh\2020-CHG-CZA-BPA-1\plaque 1/@12  BPA 5/C12_03.tif </t>
  </si>
  <si>
    <t xml:space="preserve"> 4455.7583 </t>
  </si>
  <si>
    <t xml:space="preserve"> 64.6311 </t>
  </si>
  <si>
    <t xml:space="preserve">F:\Données chgh\2020-CHG-CZA-BPA-1\plaque 1/@12  BPA 5/D12_01.tif </t>
  </si>
  <si>
    <t xml:space="preserve"> 63.5385 </t>
  </si>
  <si>
    <t xml:space="preserve">F:\Données chgh\2020-CHG-CZA-BPA-1\plaque 1/@12  BPA 5/D12_02.tif </t>
  </si>
  <si>
    <t xml:space="preserve"> 62.6667 </t>
  </si>
  <si>
    <t xml:space="preserve">F:\Données chgh\2020-CHG-CZA-BPA-1\plaque 1/@12  BPA 5/D12_03.tif </t>
  </si>
  <si>
    <t xml:space="preserve">F:\Données chgh\2020-CHG-CZA-BPA-1\plaque 1/@12  BPA 5/E12_01.tif </t>
  </si>
  <si>
    <t xml:space="preserve"> 35299.988 </t>
  </si>
  <si>
    <t xml:space="preserve"> 74.8756 </t>
  </si>
  <si>
    <t xml:space="preserve">F:\Données chgh\2020-CHG-CZA-BPA-1\plaque 1/@12  BPA 5/E12_02.tif </t>
  </si>
  <si>
    <t xml:space="preserve"> 33547.9666 </t>
  </si>
  <si>
    <t xml:space="preserve"> 75.5216 </t>
  </si>
  <si>
    <t xml:space="preserve">F:\Données chgh\2020-CHG-CZA-BPA-1\plaque 1/@12  BPA 5/E12_03.tif </t>
  </si>
  <si>
    <t xml:space="preserve"> 32185.2832 </t>
  </si>
  <si>
    <t xml:space="preserve"> 72.2016 </t>
  </si>
  <si>
    <t xml:space="preserve">F:\Données chgh\2020-CHG-CZA-BPA-1\plaque 1/@12  BPA 5/F12_01.tif </t>
  </si>
  <si>
    <t xml:space="preserve"> 46461.0137 </t>
  </si>
  <si>
    <t xml:space="preserve"> 78.9809 </t>
  </si>
  <si>
    <t xml:space="preserve">F:\Données chgh\2020-CHG-CZA-BPA-1\plaque 1/@12  BPA 5/F12_02.tif </t>
  </si>
  <si>
    <t xml:space="preserve"> 50505.804 </t>
  </si>
  <si>
    <t xml:space="preserve"> 76.185 </t>
  </si>
  <si>
    <t xml:space="preserve">F:\Données chgh\2020-CHG-CZA-BPA-1\plaque 1/@12  BPA 5/F12_03.tif </t>
  </si>
  <si>
    <t xml:space="preserve"> 48840.3021 </t>
  </si>
  <si>
    <t xml:space="preserve"> 79.0558 </t>
  </si>
  <si>
    <t>F:\Données chgh\2020-CHG-CZA-BPA-1\plaque 1/@12  BPA 5/G12_01- exclu.tif</t>
  </si>
  <si>
    <t xml:space="preserve">F:\Données chgh\2020-CHG-CZA-BPA-1\plaque 1/@12  BPA 5/G12_02.tif </t>
  </si>
  <si>
    <t xml:space="preserve"> 38695.8815 </t>
  </si>
  <si>
    <t xml:space="preserve"> 75.2817 </t>
  </si>
  <si>
    <t xml:space="preserve">F:\Données chgh\2020-CHG-CZA-BPA-1\plaque 1/@12  BPA 5/G12_03.tif </t>
  </si>
  <si>
    <t xml:space="preserve"> 39085.2196 </t>
  </si>
  <si>
    <t xml:space="preserve"> 73.5955 </t>
  </si>
  <si>
    <t xml:space="preserve">F:\Données chgh\2020-CHG-CZA-BPA-1\plaque 1/@12  BPA 5/H12_01.tif </t>
  </si>
  <si>
    <t xml:space="preserve"> 44298.0242 </t>
  </si>
  <si>
    <t xml:space="preserve"> 85.2827 </t>
  </si>
  <si>
    <t xml:space="preserve">F:\Données chgh\2020-CHG-CZA-BPA-1\plaque 1/@12  BPA 5/H12_02.tif </t>
  </si>
  <si>
    <t xml:space="preserve"> 41983.6255 </t>
  </si>
  <si>
    <t xml:space="preserve"> 84.7532 </t>
  </si>
  <si>
    <t xml:space="preserve">F:\Données chgh\2020-CHG-CZA-BPA-1\plaque 1/@12  BPA 5/H12_03.tif </t>
  </si>
  <si>
    <t xml:space="preserve"> 46634.0528 </t>
  </si>
  <si>
    <t xml:space="preserve"> 86.0339 </t>
  </si>
  <si>
    <t xml:space="preserve">F:\Données chgh\2020-CHG-CZA-BPA-1\plaque 1/@12  BPA 5/ </t>
  </si>
  <si>
    <t xml:space="preserve"> 72.5984 </t>
  </si>
  <si>
    <t xml:space="preserve"> 7.8875 </t>
  </si>
  <si>
    <t xml:space="preserve"> 2089119.75 </t>
  </si>
  <si>
    <t xml:space="preserve"> 1668560.89 </t>
  </si>
  <si>
    <t xml:space="preserve">F:\Données chgh\2020-CHG-CZA-BPA-1\plaque 2/@13 Testo 30/A1_01.tif </t>
  </si>
  <si>
    <t xml:space="preserve"> 15162.5561 </t>
  </si>
  <si>
    <t xml:space="preserve"> 68.4494 </t>
  </si>
  <si>
    <t xml:space="preserve">F:\Données chgh\2020-CHG-CZA-BPA-1\plaque 2/@13 Testo 30/A1_02.tif </t>
  </si>
  <si>
    <t xml:space="preserve"> 13540.314 </t>
  </si>
  <si>
    <t xml:space="preserve"> 67.3259 </t>
  </si>
  <si>
    <t xml:space="preserve">F:\Données chgh\2020-CHG-CZA-BPA-1\plaque 2/@13 Testo 30/A1_03.tif </t>
  </si>
  <si>
    <t xml:space="preserve"> 15703.3035 </t>
  </si>
  <si>
    <t xml:space="preserve"> 68.0895 </t>
  </si>
  <si>
    <t xml:space="preserve">F:\Données chgh\2020-CHG-CZA-BPA-1\plaque 2/@13 Testo 30/B1_01.tif </t>
  </si>
  <si>
    <t xml:space="preserve"> 34802.5005 </t>
  </si>
  <si>
    <t xml:space="preserve"> 79.5295 </t>
  </si>
  <si>
    <t xml:space="preserve">F:\Données chgh\2020-CHG-CZA-BPA-1\plaque 2/@13 Testo 30/B1_02.tif </t>
  </si>
  <si>
    <t xml:space="preserve"> 39625.967 </t>
  </si>
  <si>
    <t xml:space="preserve"> 77.2964 </t>
  </si>
  <si>
    <t xml:space="preserve">F:\Données chgh\2020-CHG-CZA-BPA-1\plaque 2/@13 Testo 30/B1_03.tif </t>
  </si>
  <si>
    <t xml:space="preserve"> 36943.86 </t>
  </si>
  <si>
    <t xml:space="preserve"> 77.3929 </t>
  </si>
  <si>
    <t xml:space="preserve">F:\Données chgh\2020-CHG-CZA-BPA-1\plaque 2/@13 Testo 30/C1_01.tif </t>
  </si>
  <si>
    <t xml:space="preserve"> 3439.1532 </t>
  </si>
  <si>
    <t xml:space="preserve"> 64.6226 </t>
  </si>
  <si>
    <t xml:space="preserve">F:\Données chgh\2020-CHG-CZA-BPA-1\plaque 2/@13 Testo 30/C1_02.tif </t>
  </si>
  <si>
    <t xml:space="preserve"> 4044.7903 </t>
  </si>
  <si>
    <t xml:space="preserve"> 63.9786 </t>
  </si>
  <si>
    <t xml:space="preserve">F:\Données chgh\2020-CHG-CZA-BPA-1\plaque 2/@13 Testo 30/C1_03.tif </t>
  </si>
  <si>
    <t xml:space="preserve"> 4736.9469 </t>
  </si>
  <si>
    <t xml:space="preserve"> 64.5388 </t>
  </si>
  <si>
    <t xml:space="preserve">F:\Données chgh\2020-CHG-CZA-BPA-1\plaque 2/@13 Testo 30/D1_01.tif </t>
  </si>
  <si>
    <t xml:space="preserve"> 48342.8145 </t>
  </si>
  <si>
    <t xml:space="preserve"> 72.8036 </t>
  </si>
  <si>
    <t xml:space="preserve">F:\Données chgh\2020-CHG-CZA-BPA-1\plaque 2/@13 Testo 30/D1_02.tif </t>
  </si>
  <si>
    <t xml:space="preserve"> 50440.9143 </t>
  </si>
  <si>
    <t xml:space="preserve"> 71.9232 </t>
  </si>
  <si>
    <t xml:space="preserve">F:\Données chgh\2020-CHG-CZA-BPA-1\plaque 2/@13 Testo 30/D1_03.tif </t>
  </si>
  <si>
    <t xml:space="preserve"> 41399.6183 </t>
  </si>
  <si>
    <t xml:space="preserve"> 72.0313 </t>
  </si>
  <si>
    <t xml:space="preserve">F:\Données chgh\2020-CHG-CZA-BPA-1\plaque 2/@13 Testo 30/E1_01.tif </t>
  </si>
  <si>
    <t xml:space="preserve"> 49900.1669 </t>
  </si>
  <si>
    <t xml:space="preserve"> 75.2345 </t>
  </si>
  <si>
    <t xml:space="preserve">F:\Données chgh\2020-CHG-CZA-BPA-1\plaque 2/@13 Testo 30/E1_02.tif </t>
  </si>
  <si>
    <t xml:space="preserve"> 54053.1067 </t>
  </si>
  <si>
    <t xml:space="preserve"> 75.5422 </t>
  </si>
  <si>
    <t xml:space="preserve">F:\Données chgh\2020-CHG-CZA-BPA-1\plaque 2/@13 Testo 30/E1_03.tif </t>
  </si>
  <si>
    <t xml:space="preserve"> 51479.1492 </t>
  </si>
  <si>
    <t xml:space="preserve"> 74.4954 </t>
  </si>
  <si>
    <t>F:\Données chgh\2020-CHG-CZA-BPA-1\plaque 2/@13 Testo 30/F1_01- exclu.tif</t>
  </si>
  <si>
    <t xml:space="preserve">F:\Données chgh\2020-CHG-CZA-BPA-1\plaque 2/@13 Testo 30/F1_02.tif </t>
  </si>
  <si>
    <t xml:space="preserve"> 27123.8879 </t>
  </si>
  <si>
    <t xml:space="preserve"> 72.2209 </t>
  </si>
  <si>
    <t>F:\Données chgh\2020-CHG-CZA-BPA-1\plaque 2/@13 Testo 30/F1_03- exclu.tif</t>
  </si>
  <si>
    <t xml:space="preserve">F:\Données chgh\2020-CHG-CZA-BPA-1\plaque 2/@13 Testo 30/G1_01.tif </t>
  </si>
  <si>
    <t xml:space="preserve"> 51133.0709 </t>
  </si>
  <si>
    <t xml:space="preserve"> 84.1019 </t>
  </si>
  <si>
    <t xml:space="preserve">F:\Données chgh\2020-CHG-CZA-BPA-1\plaque 2/@13 Testo 30/G1_02.tif </t>
  </si>
  <si>
    <t xml:space="preserve"> 48667.2629 </t>
  </si>
  <si>
    <t xml:space="preserve"> 81.5 </t>
  </si>
  <si>
    <t xml:space="preserve">F:\Données chgh\2020-CHG-CZA-BPA-1\plaque 2/@13 Testo 30/G1_03.tif </t>
  </si>
  <si>
    <t xml:space="preserve"> 51630.5585 </t>
  </si>
  <si>
    <t xml:space="preserve"> 82.4315 </t>
  </si>
  <si>
    <t xml:space="preserve">F:\Données chgh\2020-CHG-CZA-BPA-1\plaque 2/@13 Testo 30/H1_01.tif </t>
  </si>
  <si>
    <t xml:space="preserve"> 51262.8503 </t>
  </si>
  <si>
    <t xml:space="preserve"> 76.5519 </t>
  </si>
  <si>
    <t xml:space="preserve">F:\Données chgh\2020-CHG-CZA-BPA-1\plaque 2/@13 Testo 30/H1_02.tif </t>
  </si>
  <si>
    <t xml:space="preserve"> 49532.4587 </t>
  </si>
  <si>
    <t xml:space="preserve"> 75.4393 </t>
  </si>
  <si>
    <t xml:space="preserve">F:\Données chgh\2020-CHG-CZA-BPA-1\plaque 2/@13 Testo 30/H1_03.tif </t>
  </si>
  <si>
    <t xml:space="preserve"> 44687.3623 </t>
  </si>
  <si>
    <t xml:space="preserve"> 74.0015 </t>
  </si>
  <si>
    <t xml:space="preserve">F:\Données chgh\2020-CHG-CZA-BPA-1\plaque 2/@13 Testo 30/ </t>
  </si>
  <si>
    <t xml:space="preserve"> 74.2116 </t>
  </si>
  <si>
    <t xml:space="preserve"> 5.9958 </t>
  </si>
  <si>
    <t xml:space="preserve"> 2808239.92 </t>
  </si>
  <si>
    <t xml:space="preserve"> 1421408.38 </t>
  </si>
  <si>
    <t xml:space="preserve">F:\Données chgh\2020-CHG-CZA-BPA-1\plaque 2/@14 Testo 30/A2_01.tif </t>
  </si>
  <si>
    <t xml:space="preserve"> 65.2963 </t>
  </si>
  <si>
    <t xml:space="preserve">F:\Données chgh\2020-CHG-CZA-BPA-1\plaque 2/@14 Testo 30/A2_02.tif </t>
  </si>
  <si>
    <t xml:space="preserve"> 648.8968 </t>
  </si>
  <si>
    <t xml:space="preserve"> 63.5333 </t>
  </si>
  <si>
    <t xml:space="preserve">F:\Données chgh\2020-CHG-CZA-BPA-1\plaque 2/@14 Testo 30/A2_03.tif </t>
  </si>
  <si>
    <t xml:space="preserve"> 62.6364 </t>
  </si>
  <si>
    <t xml:space="preserve">F:\Données chgh\2020-CHG-CZA-BPA-1\plaque 2/@14 Testo 30/B2_01.tif </t>
  </si>
  <si>
    <t xml:space="preserve"> 22451.8306 </t>
  </si>
  <si>
    <t xml:space="preserve"> 71.9229 </t>
  </si>
  <si>
    <t xml:space="preserve">F:\Données chgh\2020-CHG-CZA-BPA-1\plaque 2/@14 Testo 30/B2_02.tif </t>
  </si>
  <si>
    <t xml:space="preserve"> 22365.311 </t>
  </si>
  <si>
    <t xml:space="preserve"> 74.0251 </t>
  </si>
  <si>
    <t>F:\Données chgh\2020-CHG-CZA-BPA-1\plaque 2/@14 Testo 30/B2_03- exclu.tif</t>
  </si>
  <si>
    <t xml:space="preserve">F:\Données chgh\2020-CHG-CZA-BPA-1\plaque 2/@14 Testo 30/C2_01.tif </t>
  </si>
  <si>
    <t xml:space="preserve"> 25544.9056 </t>
  </si>
  <si>
    <t xml:space="preserve"> 67.4869 </t>
  </si>
  <si>
    <t xml:space="preserve">F:\Données chgh\2020-CHG-CZA-BPA-1\plaque 2/@14 Testo 30/C2_02.tif </t>
  </si>
  <si>
    <t xml:space="preserve"> 65.7166 </t>
  </si>
  <si>
    <t xml:space="preserve">F:\Données chgh\2020-CHG-CZA-BPA-1\plaque 2/@14 Testo 30/C2_03.tif </t>
  </si>
  <si>
    <t xml:space="preserve"> 63.5034 </t>
  </si>
  <si>
    <t xml:space="preserve">F:\Données chgh\2020-CHG-CZA-BPA-1\plaque 2/@14 Testo 30/D2_01.tif </t>
  </si>
  <si>
    <t xml:space="preserve"> 20029.2824 </t>
  </si>
  <si>
    <t xml:space="preserve"> 66.7592 </t>
  </si>
  <si>
    <t xml:space="preserve">F:\Données chgh\2020-CHG-CZA-BPA-1\plaque 2/@14 Testo 30/D2_02.tif </t>
  </si>
  <si>
    <t xml:space="preserve"> 20267.2113 </t>
  </si>
  <si>
    <t xml:space="preserve"> 66.2124 </t>
  </si>
  <si>
    <t xml:space="preserve">F:\Données chgh\2020-CHG-CZA-BPA-1\plaque 2/@14 Testo 30/D2_03.tif </t>
  </si>
  <si>
    <t xml:space="preserve"> 15746.5633 </t>
  </si>
  <si>
    <t xml:space="preserve"> 65.8104 </t>
  </si>
  <si>
    <t xml:space="preserve">F:\Données chgh\2020-CHG-CZA-BPA-1\plaque 2/@14 Testo 30/E2_01.tif </t>
  </si>
  <si>
    <t xml:space="preserve"> 16006.122 </t>
  </si>
  <si>
    <t xml:space="preserve"> 70.4135 </t>
  </si>
  <si>
    <t xml:space="preserve">F:\Données chgh\2020-CHG-CZA-BPA-1\plaque 2/@14 Testo 30/E2_02.tif </t>
  </si>
  <si>
    <t xml:space="preserve"> 22408.5708 </t>
  </si>
  <si>
    <t xml:space="preserve"> 74.9093 </t>
  </si>
  <si>
    <t xml:space="preserve">F:\Données chgh\2020-CHG-CZA-BPA-1\plaque 2/@14 Testo 30/E2_03.tif </t>
  </si>
  <si>
    <t xml:space="preserve"> 14708.3283 </t>
  </si>
  <si>
    <t xml:space="preserve"> 70.0603 </t>
  </si>
  <si>
    <t xml:space="preserve">F:\Données chgh\2020-CHG-CZA-BPA-1\plaque 2/@14 Testo 30/F2_01.tif </t>
  </si>
  <si>
    <t xml:space="preserve"> 22646.4997 </t>
  </si>
  <si>
    <t xml:space="preserve"> 70.5444 </t>
  </si>
  <si>
    <t xml:space="preserve">F:\Données chgh\2020-CHG-CZA-BPA-1\plaque 2/@14 Testo 30/F2_02.tif </t>
  </si>
  <si>
    <t xml:space="preserve"> 27794.4146 </t>
  </si>
  <si>
    <t xml:space="preserve"> 72.0887 </t>
  </si>
  <si>
    <t>F:\Données chgh\2020-CHG-CZA-BPA-1\plaque 2/@14 Testo 30/F2_03- exclu.tif</t>
  </si>
  <si>
    <t xml:space="preserve">F:\Données chgh\2020-CHG-CZA-BPA-1\plaque 2/@14 Testo 30/G2_01.tif </t>
  </si>
  <si>
    <t xml:space="preserve"> 59049.6123 </t>
  </si>
  <si>
    <t xml:space="preserve"> 77.0934 </t>
  </si>
  <si>
    <t>F:\Données chgh\2020-CHG-CZA-BPA-1\plaque 2/@14 Testo 30/G2_02- exclu.tif</t>
  </si>
  <si>
    <t xml:space="preserve">F:\Données chgh\2020-CHG-CZA-BPA-1\plaque 2/@14 Testo 30/G2_03.tif </t>
  </si>
  <si>
    <t xml:space="preserve"> 58984.7227 </t>
  </si>
  <si>
    <t xml:space="preserve"> 76.7246 </t>
  </si>
  <si>
    <t xml:space="preserve">F:\Données chgh\2020-CHG-CZA-BPA-1\plaque 2/@14 Testo 30/H2_01.tif </t>
  </si>
  <si>
    <t xml:space="preserve"> 10295.8298 </t>
  </si>
  <si>
    <t xml:space="preserve"> 64.4013 </t>
  </si>
  <si>
    <t xml:space="preserve">F:\Données chgh\2020-CHG-CZA-BPA-1\plaque 2/@14 Testo 30/H2_02.tif </t>
  </si>
  <si>
    <t xml:space="preserve"> 6705.2673 </t>
  </si>
  <si>
    <t xml:space="preserve"> 64.4323 </t>
  </si>
  <si>
    <t xml:space="preserve">F:\Données chgh\2020-CHG-CZA-BPA-1\plaque 2/@14 Testo 30/H2_03.tif </t>
  </si>
  <si>
    <t xml:space="preserve"> 3677.0821 </t>
  </si>
  <si>
    <t xml:space="preserve"> 62.9941 </t>
  </si>
  <si>
    <t xml:space="preserve">F:\Données chgh\2020-CHG-CZA-BPA-1\plaque 2/@14 Testo 30/ </t>
  </si>
  <si>
    <t xml:space="preserve"> 68.1608 </t>
  </si>
  <si>
    <t xml:space="preserve"> 4.3883 </t>
  </si>
  <si>
    <t xml:space="preserve"> 1335002.54 </t>
  </si>
  <si>
    <t xml:space="preserve"> 1172637.37 </t>
  </si>
  <si>
    <t xml:space="preserve">F:\Données chgh\2020-CHG-CZA-BPA-1\plaque 2/@15 Testo + EE2/A3_01.tif </t>
  </si>
  <si>
    <t xml:space="preserve"> 34196.8634 </t>
  </si>
  <si>
    <t xml:space="preserve"> 85.0291 </t>
  </si>
  <si>
    <t xml:space="preserve">F:\Données chgh\2020-CHG-CZA-BPA-1\plaque 2/@15 Testo + EE2/A3_02.tif </t>
  </si>
  <si>
    <t xml:space="preserve"> 38977.0701 </t>
  </si>
  <si>
    <t xml:space="preserve"> 80.8541 </t>
  </si>
  <si>
    <t xml:space="preserve">F:\Données chgh\2020-CHG-CZA-BPA-1\plaque 2/@15 Testo + EE2/A3_03.tif </t>
  </si>
  <si>
    <t xml:space="preserve"> 83.751 </t>
  </si>
  <si>
    <t xml:space="preserve">F:\Données chgh\2020-CHG-CZA-BPA-1\plaque 2/@15 Testo + EE2/B3_01.tif </t>
  </si>
  <si>
    <t xml:space="preserve"> 78.8651 </t>
  </si>
  <si>
    <t xml:space="preserve">F:\Données chgh\2020-CHG-CZA-BPA-1\plaque 2/@15 Testo + EE2/B3_02.tif </t>
  </si>
  <si>
    <t xml:space="preserve"> 49424.3092 </t>
  </si>
  <si>
    <t xml:space="preserve"> 79.9304 </t>
  </si>
  <si>
    <t xml:space="preserve">F:\Données chgh\2020-CHG-CZA-BPA-1\plaque 2/@15 Testo + EE2/B3_03.tif </t>
  </si>
  <si>
    <t xml:space="preserve"> 50419.2844 </t>
  </si>
  <si>
    <t xml:space="preserve"> 78.1248 </t>
  </si>
  <si>
    <t xml:space="preserve">F:\Données chgh\2020-CHG-CZA-BPA-1\plaque 2/@15 Testo + EE2/C3_01.tif </t>
  </si>
  <si>
    <t xml:space="preserve"> 44795.5118 </t>
  </si>
  <si>
    <t xml:space="preserve"> 78.3612 </t>
  </si>
  <si>
    <t xml:space="preserve">F:\Données chgh\2020-CHG-CZA-BPA-1\plaque 2/@15 Testo + EE2/C3_02.tif </t>
  </si>
  <si>
    <t xml:space="preserve"> 45920.2663 </t>
  </si>
  <si>
    <t xml:space="preserve"> 78.8224 </t>
  </si>
  <si>
    <t xml:space="preserve">F:\Données chgh\2020-CHG-CZA-BPA-1\plaque 2/@15 Testo + EE2/C3_03.tif </t>
  </si>
  <si>
    <t xml:space="preserve"> 42935.3408 </t>
  </si>
  <si>
    <t xml:space="preserve"> 80.0987 </t>
  </si>
  <si>
    <t xml:space="preserve">F:\Données chgh\2020-CHG-CZA-BPA-1\plaque 2/@15 Testo + EE2/D3_01.tif </t>
  </si>
  <si>
    <t xml:space="preserve"> 56648.694 </t>
  </si>
  <si>
    <t xml:space="preserve"> 79.2089 </t>
  </si>
  <si>
    <t xml:space="preserve">F:\Données chgh\2020-CHG-CZA-BPA-1\plaque 2/@15 Testo + EE2/D3_02.tif </t>
  </si>
  <si>
    <t xml:space="preserve"> 49965.0566 </t>
  </si>
  <si>
    <t xml:space="preserve"> 78.097 </t>
  </si>
  <si>
    <t xml:space="preserve">F:\Données chgh\2020-CHG-CZA-BPA-1\plaque 2/@15 Testo + EE2/D3_03.tif </t>
  </si>
  <si>
    <t xml:space="preserve"> 51846.8574 </t>
  </si>
  <si>
    <t xml:space="preserve"> 76.9862 </t>
  </si>
  <si>
    <t xml:space="preserve">F:\Données chgh\2020-CHG-CZA-BPA-1\plaque 2/@15 Testo + EE2/E3_01.tif </t>
  </si>
  <si>
    <t xml:space="preserve"> 8889.8867 </t>
  </si>
  <si>
    <t xml:space="preserve"> 70.9878 </t>
  </si>
  <si>
    <t xml:space="preserve">F:\Données chgh\2020-CHG-CZA-BPA-1\plaque 2/@15 Testo + EE2/E3_02.tif </t>
  </si>
  <si>
    <t xml:space="preserve"> 10706.7978 </t>
  </si>
  <si>
    <t xml:space="preserve"> 67.6364 </t>
  </si>
  <si>
    <t>F:\Données chgh\2020-CHG-CZA-BPA-1\plaque 2/@15 Testo + EE2/E3_03- exclu.tif</t>
  </si>
  <si>
    <t xml:space="preserve">F:\Données chgh\2020-CHG-CZA-BPA-1\plaque 2/@15 Testo + EE2/F3_01.tif </t>
  </si>
  <si>
    <t xml:space="preserve"> 32358.3224 </t>
  </si>
  <si>
    <t xml:space="preserve"> 70.1858 </t>
  </si>
  <si>
    <t xml:space="preserve">F:\Données chgh\2020-CHG-CZA-BPA-1\plaque 2/@15 Testo + EE2/F3_02.tif </t>
  </si>
  <si>
    <t xml:space="preserve"> 30779.3401 </t>
  </si>
  <si>
    <t xml:space="preserve"> 69.1609 </t>
  </si>
  <si>
    <t xml:space="preserve">F:\Données chgh\2020-CHG-CZA-BPA-1\plaque 2/@15 Testo + EE2/F3_03.tif </t>
  </si>
  <si>
    <t xml:space="preserve"> 31428.2369 </t>
  </si>
  <si>
    <t xml:space="preserve"> 69.4804 </t>
  </si>
  <si>
    <t xml:space="preserve">F:\Données chgh\2020-CHG-CZA-BPA-1\plaque 2/@15 Testo + EE2/G3_01.tif </t>
  </si>
  <si>
    <t xml:space="preserve"> 19726.4639 </t>
  </si>
  <si>
    <t xml:space="preserve"> 66.8191 </t>
  </si>
  <si>
    <t xml:space="preserve">F:\Données chgh\2020-CHG-CZA-BPA-1\plaque 2/@15 Testo + EE2/G3_02.tif </t>
  </si>
  <si>
    <t xml:space="preserve"> 18753.1186 </t>
  </si>
  <si>
    <t xml:space="preserve"> 67.6678 </t>
  </si>
  <si>
    <t xml:space="preserve">F:\Données chgh\2020-CHG-CZA-BPA-1\plaque 2/@15 Testo + EE2/G3_03.tif </t>
  </si>
  <si>
    <t xml:space="preserve"> 15119.2963 </t>
  </si>
  <si>
    <t xml:space="preserve"> 66.5479 </t>
  </si>
  <si>
    <t xml:space="preserve">F:\Données chgh\2020-CHG-CZA-BPA-1\plaque 2/@15 Testo + EE2/H3_01.tif </t>
  </si>
  <si>
    <t xml:space="preserve"> 51587.2987 </t>
  </si>
  <si>
    <t xml:space="preserve"> 83.013 </t>
  </si>
  <si>
    <t xml:space="preserve">F:\Données chgh\2020-CHG-CZA-BPA-1\plaque 2/@15 Testo + EE2/H3_02.tif </t>
  </si>
  <si>
    <t xml:space="preserve"> 54745.2633 </t>
  </si>
  <si>
    <t xml:space="preserve"> 82.0628 </t>
  </si>
  <si>
    <t xml:space="preserve">F:\Données chgh\2020-CHG-CZA-BPA-1\plaque 2/@15 Testo + EE2/H3_03.tif </t>
  </si>
  <si>
    <t xml:space="preserve"> 55415.79 </t>
  </si>
  <si>
    <t xml:space="preserve"> 80.4617 </t>
  </si>
  <si>
    <t xml:space="preserve">F:\Données chgh\2020-CHG-CZA-BPA-1\plaque 2/@15 Testo + EE2/ </t>
  </si>
  <si>
    <t xml:space="preserve"> 75.9632 </t>
  </si>
  <si>
    <t xml:space="preserve"> 6.0135 </t>
  </si>
  <si>
    <t xml:space="preserve"> 2872717.75 </t>
  </si>
  <si>
    <t xml:space="preserve"> 1347644.38 </t>
  </si>
  <si>
    <t xml:space="preserve">F:\Données chgh\2020-CHG-CZA-BPA-1\plaque 2/@16 Testo + FAD/A4_01.tif </t>
  </si>
  <si>
    <t xml:space="preserve"> 63.4348 </t>
  </si>
  <si>
    <t xml:space="preserve">F:\Données chgh\2020-CHG-CZA-BPA-1\plaque 2/@16 Testo + FAD/A4_02.tif </t>
  </si>
  <si>
    <t xml:space="preserve"> 67.3 </t>
  </si>
  <si>
    <t>F:\Données chgh\2020-CHG-CZA-BPA-1\plaque 2/@16 Testo + FAD/A4_03- exclu.tif</t>
  </si>
  <si>
    <t xml:space="preserve">F:\Données chgh\2020-CHG-CZA-BPA-1\plaque 2/@16 Testo + FAD/B4_01.tif </t>
  </si>
  <si>
    <t xml:space="preserve"> 4563.9078 </t>
  </si>
  <si>
    <t xml:space="preserve"> 70.1564 </t>
  </si>
  <si>
    <t xml:space="preserve">F:\Données chgh\2020-CHG-CZA-BPA-1\plaque 2/@16 Testo + FAD/B4_02.tif </t>
  </si>
  <si>
    <t xml:space="preserve"> 66.8571 </t>
  </si>
  <si>
    <t xml:space="preserve">F:\Données chgh\2020-CHG-CZA-BPA-1\plaque 2/@16 Testo + FAD/B4_03.tif </t>
  </si>
  <si>
    <t xml:space="preserve"> 1146.3844 </t>
  </si>
  <si>
    <t xml:space="preserve"> 64.6792 </t>
  </si>
  <si>
    <t xml:space="preserve">F:\Données chgh\2020-CHG-CZA-BPA-1\plaque 2/@16 Testo + FAD/C4_01.tif </t>
  </si>
  <si>
    <t xml:space="preserve"> 5256.0644 </t>
  </si>
  <si>
    <t xml:space="preserve"> 65.6914 </t>
  </si>
  <si>
    <t xml:space="preserve">F:\Données chgh\2020-CHG-CZA-BPA-1\plaque 2/@16 Testo + FAD/C4_02.tif </t>
  </si>
  <si>
    <t xml:space="preserve"> 713.7865 </t>
  </si>
  <si>
    <t xml:space="preserve"> 64.0303 </t>
  </si>
  <si>
    <t xml:space="preserve">F:\Données chgh\2020-CHG-CZA-BPA-1\plaque 2/@16 Testo + FAD/C4_03.tif </t>
  </si>
  <si>
    <t xml:space="preserve"> 3460.7831 </t>
  </si>
  <si>
    <t xml:space="preserve"> 64.5563 </t>
  </si>
  <si>
    <t xml:space="preserve">F:\Données chgh\2020-CHG-CZA-BPA-1\plaque 2/@16 Testo + FAD/D4_01.tif </t>
  </si>
  <si>
    <t xml:space="preserve"> 64.6415 </t>
  </si>
  <si>
    <t xml:space="preserve">F:\Données chgh\2020-CHG-CZA-BPA-1\plaque 2/@16 Testo + FAD/D4_02.tif </t>
  </si>
  <si>
    <t xml:space="preserve"> 67.4667 </t>
  </si>
  <si>
    <t xml:space="preserve">F:\Données chgh\2020-CHG-CZA-BPA-1\plaque 2/@16 Testo + FAD/D4_03.tif </t>
  </si>
  <si>
    <t xml:space="preserve"> 62.8438 </t>
  </si>
  <si>
    <t xml:space="preserve">F:\Données chgh\2020-CHG-CZA-BPA-1\plaque 2/@16 Testo + FAD/E4_01.tif </t>
  </si>
  <si>
    <t xml:space="preserve"> 64.9362 </t>
  </si>
  <si>
    <t xml:space="preserve">F:\Données chgh\2020-CHG-CZA-BPA-1\plaque 2/@16 Testo + FAD/E4_02.tif </t>
  </si>
  <si>
    <t xml:space="preserve"> 63.5806 </t>
  </si>
  <si>
    <t xml:space="preserve">F:\Données chgh\2020-CHG-CZA-BPA-1\plaque 2/@16 Testo + FAD/E4_03.tif </t>
  </si>
  <si>
    <t xml:space="preserve"> 64.7 </t>
  </si>
  <si>
    <t xml:space="preserve">F:\Données chgh\2020-CHG-CZA-BPA-1\plaque 2/@16 Testo + FAD/F4_01.tif </t>
  </si>
  <si>
    <t xml:space="preserve"> 64.5 </t>
  </si>
  <si>
    <t xml:space="preserve">F:\Données chgh\2020-CHG-CZA-BPA-1\plaque 2/@16 Testo + FAD/F4_02.tif </t>
  </si>
  <si>
    <t xml:space="preserve"> 1232.904 </t>
  </si>
  <si>
    <t xml:space="preserve"> 64.8772 </t>
  </si>
  <si>
    <t xml:space="preserve">F:\Données chgh\2020-CHG-CZA-BPA-1\plaque 2/@16 Testo + FAD/F4_03.tif </t>
  </si>
  <si>
    <t xml:space="preserve">F:\Données chgh\2020-CHG-CZA-BPA-1\plaque 2/@16 Testo + FAD/G4_01.tif </t>
  </si>
  <si>
    <t xml:space="preserve"> 1449.2029 </t>
  </si>
  <si>
    <t xml:space="preserve"> 64.6716 </t>
  </si>
  <si>
    <t xml:space="preserve">F:\Données chgh\2020-CHG-CZA-BPA-1\plaque 2/@16 Testo + FAD/G4_02.tif </t>
  </si>
  <si>
    <t xml:space="preserve"> 63.1053 </t>
  </si>
  <si>
    <t>F:\Données chgh\2020-CHG-CZA-BPA-1\plaque 2/@16 Testo + FAD/G4_03- exclu.tif</t>
  </si>
  <si>
    <t xml:space="preserve">F:\Données chgh\2020-CHG-CZA-BPA-1\plaque 2/@16 Testo + FAD/H4_01.tif </t>
  </si>
  <si>
    <t xml:space="preserve"> 1925.0606 </t>
  </si>
  <si>
    <t xml:space="preserve"> 64.3708 </t>
  </si>
  <si>
    <t xml:space="preserve">F:\Données chgh\2020-CHG-CZA-BPA-1\plaque 2/@16 Testo + FAD/H4_02.tif </t>
  </si>
  <si>
    <t xml:space="preserve"> 8608.6981 </t>
  </si>
  <si>
    <t xml:space="preserve"> 71.1583 </t>
  </si>
  <si>
    <t xml:space="preserve">F:\Données chgh\2020-CHG-CZA-BPA-1\plaque 2/@16 Testo + FAD/H4_03.tif </t>
  </si>
  <si>
    <t xml:space="preserve"> 4261.0892 </t>
  </si>
  <si>
    <t xml:space="preserve"> 72.5584 </t>
  </si>
  <si>
    <t xml:space="preserve">F:\Données chgh\2020-CHG-CZA-BPA-1\plaque 2/@16 Testo + FAD/ </t>
  </si>
  <si>
    <t xml:space="preserve"> 65.7444 </t>
  </si>
  <si>
    <t xml:space="preserve"> 3.0405 </t>
  </si>
  <si>
    <t xml:space="preserve"> 154107.542 </t>
  </si>
  <si>
    <t xml:space="preserve"> 151702.584 </t>
  </si>
  <si>
    <t xml:space="preserve">F:\Données chgh\2020-CHG-CZA-BPA-1\plaque 2/@17 Testo +  BPA 1/A5_01.tif </t>
  </si>
  <si>
    <t xml:space="preserve"> 35667.6962 </t>
  </si>
  <si>
    <t xml:space="preserve"> 72.3038 </t>
  </si>
  <si>
    <t xml:space="preserve">F:\Données chgh\2020-CHG-CZA-BPA-1\plaque 2/@17 Testo +  BPA 1/A5_02.tif </t>
  </si>
  <si>
    <t xml:space="preserve"> 30909.1194 </t>
  </si>
  <si>
    <t xml:space="preserve"> 69.8936 </t>
  </si>
  <si>
    <t xml:space="preserve">F:\Données chgh\2020-CHG-CZA-BPA-1\plaque 2/@17 Testo +  BPA 1/A5_03.tif </t>
  </si>
  <si>
    <t xml:space="preserve"> 28551.4609 </t>
  </si>
  <si>
    <t xml:space="preserve"> 68.1992 </t>
  </si>
  <si>
    <t>F:\Données chgh\2020-CHG-CZA-BPA-1\plaque 2/@17 Testo +  BPA 1/B5_01- exclu.tif</t>
  </si>
  <si>
    <t xml:space="preserve">F:\Données chgh\2020-CHG-CZA-BPA-1\plaque 2/@17 Testo +  BPA 1/B5_02.tif </t>
  </si>
  <si>
    <t xml:space="preserve"> 39128.4794 </t>
  </si>
  <si>
    <t xml:space="preserve"> 76.8364 </t>
  </si>
  <si>
    <t>F:\Données chgh\2020-CHG-CZA-BPA-1\plaque 2/@17 Testo +  BPA 1/B5_03- exclu.tif</t>
  </si>
  <si>
    <t xml:space="preserve">F:\Données chgh\2020-CHG-CZA-BPA-1\plaque 2/@17 Testo +  BPA 1/C5_01.tif </t>
  </si>
  <si>
    <t xml:space="preserve"> 39885.5257 </t>
  </si>
  <si>
    <t xml:space="preserve"> 72.6616 </t>
  </si>
  <si>
    <t>F:\Données chgh\2020-CHG-CZA-BPA-1\plaque 2/@17 Testo +  BPA 1/C5_02- exclu.tif</t>
  </si>
  <si>
    <t xml:space="preserve">F:\Données chgh\2020-CHG-CZA-BPA-1\plaque 2/@17 Testo +  BPA 1/C5_03.tif </t>
  </si>
  <si>
    <t xml:space="preserve"> 34218.4933 </t>
  </si>
  <si>
    <t xml:space="preserve"> 72.1498 </t>
  </si>
  <si>
    <t>F:\Données chgh\2020-CHG-CZA-BPA-1\plaque 2/@17 Testo +  BPA 1/D5_01- exclu.tif</t>
  </si>
  <si>
    <t>F:\Données chgh\2020-CHG-CZA-BPA-1\plaque 2/@17 Testo +  BPA 1/D5_02- exclu.tif</t>
  </si>
  <si>
    <t>F:\Données chgh\2020-CHG-CZA-BPA-1\plaque 2/@17 Testo +  BPA 1/D5_03- exclu.tif</t>
  </si>
  <si>
    <t xml:space="preserve">F:\Données chgh\2020-CHG-CZA-BPA-1\plaque 2/@17 Testo +  BPA 1/E5_01.tif </t>
  </si>
  <si>
    <t xml:space="preserve"> 6445.7086 </t>
  </si>
  <si>
    <t xml:space="preserve"> 66.8389 </t>
  </si>
  <si>
    <t xml:space="preserve">F:\Données chgh\2020-CHG-CZA-BPA-1\plaque 2/@17 Testo +  BPA 1/E5_02.tif </t>
  </si>
  <si>
    <t xml:space="preserve"> 9365.7444 </t>
  </si>
  <si>
    <t xml:space="preserve"> 67.7483 </t>
  </si>
  <si>
    <t xml:space="preserve">F:\Données chgh\2020-CHG-CZA-BPA-1\plaque 2/@17 Testo +  BPA 1/E5_03.tif </t>
  </si>
  <si>
    <t xml:space="preserve"> 64.1224 </t>
  </si>
  <si>
    <t>F:\Données chgh\2020-CHG-CZA-BPA-1\plaque 2/@17 Testo +  BPA 1/F5_01- exclu.tif</t>
  </si>
  <si>
    <t xml:space="preserve">F:\Données chgh\2020-CHG-CZA-BPA-1\plaque 2/@17 Testo +  BPA 1/F5_02.tif </t>
  </si>
  <si>
    <t xml:space="preserve"> 56216.0961 </t>
  </si>
  <si>
    <t xml:space="preserve"> 75.1177 </t>
  </si>
  <si>
    <t xml:space="preserve">F:\Données chgh\2020-CHG-CZA-BPA-1\plaque 2/@17 Testo +  BPA 1/F5_03.tif </t>
  </si>
  <si>
    <t xml:space="preserve"> 52192.9357 </t>
  </si>
  <si>
    <t xml:space="preserve"> 74.884 </t>
  </si>
  <si>
    <t xml:space="preserve">F:\Données chgh\2020-CHG-CZA-BPA-1\plaque 2/@17 Testo +  BPA 1/G5_01.tif </t>
  </si>
  <si>
    <t xml:space="preserve"> 39950.4154 </t>
  </si>
  <si>
    <t xml:space="preserve"> 70.7158 </t>
  </si>
  <si>
    <t xml:space="preserve">F:\Données chgh\2020-CHG-CZA-BPA-1\plaque 2/@17 Testo +  BPA 1/G5_02.tif </t>
  </si>
  <si>
    <t xml:space="preserve"> 36749.191 </t>
  </si>
  <si>
    <t xml:space="preserve"> 70.6574 </t>
  </si>
  <si>
    <t xml:space="preserve">F:\Données chgh\2020-CHG-CZA-BPA-1\plaque 2/@17 Testo +  BPA 1/G5_03.tif </t>
  </si>
  <si>
    <t xml:space="preserve"> 35537.9169 </t>
  </si>
  <si>
    <t xml:space="preserve"> 70.2702 </t>
  </si>
  <si>
    <t xml:space="preserve">F:\Données chgh\2020-CHG-CZA-BPA-1\plaque 2/@17 Testo +  BPA 1/H5_01.tif </t>
  </si>
  <si>
    <t xml:space="preserve"> 60542.0751 </t>
  </si>
  <si>
    <t xml:space="preserve"> 80.9786 </t>
  </si>
  <si>
    <t xml:space="preserve">F:\Données chgh\2020-CHG-CZA-BPA-1\plaque 2/@17 Testo +  BPA 1/H5_02.tif </t>
  </si>
  <si>
    <t xml:space="preserve"> 59265.9113 </t>
  </si>
  <si>
    <t xml:space="preserve"> 83.985 </t>
  </si>
  <si>
    <t xml:space="preserve">F:\Données chgh\2020-CHG-CZA-BPA-1\plaque 2/@17 Testo +  BPA 1/H5_03.tif </t>
  </si>
  <si>
    <t xml:space="preserve"> 58227.6763 </t>
  </si>
  <si>
    <t xml:space="preserve"> 81.7637 </t>
  </si>
  <si>
    <t xml:space="preserve">F:\Données chgh\2020-CHG-CZA-BPA-1\plaque 2/@17 Testo +  BPA 1/ </t>
  </si>
  <si>
    <t xml:space="preserve"> 71.3753 </t>
  </si>
  <si>
    <t xml:space="preserve"> 6.0558 </t>
  </si>
  <si>
    <t xml:space="preserve"> 2187082.46 </t>
  </si>
  <si>
    <t xml:space="preserve"> 1646152.63 </t>
  </si>
  <si>
    <t xml:space="preserve">F:\Données chgh\2020-CHG-CZA-BPA-1\plaque 2/@18  Testo +  BPA 2/A6_01.tif </t>
  </si>
  <si>
    <t xml:space="preserve"> 69.8048 </t>
  </si>
  <si>
    <t xml:space="preserve">F:\Données chgh\2020-CHG-CZA-BPA-1\plaque 2/@18  Testo +  BPA 2/A6_02.tif </t>
  </si>
  <si>
    <t xml:space="preserve"> 13821.5027 </t>
  </si>
  <si>
    <t xml:space="preserve"> 71.5556 </t>
  </si>
  <si>
    <t xml:space="preserve">F:\Données chgh\2020-CHG-CZA-BPA-1\plaque 2/@18  Testo +  BPA 2/A6_03.tif </t>
  </si>
  <si>
    <t xml:space="preserve"> 15422.1149 </t>
  </si>
  <si>
    <t xml:space="preserve"> 72.4151 </t>
  </si>
  <si>
    <t xml:space="preserve">F:\Données chgh\2020-CHG-CZA-BPA-1\plaque 2/@18  Testo +  BPA 2/B6_01.tif </t>
  </si>
  <si>
    <t xml:space="preserve"> 25177.1973 </t>
  </si>
  <si>
    <t xml:space="preserve"> 74.3076 </t>
  </si>
  <si>
    <t xml:space="preserve">F:\Données chgh\2020-CHG-CZA-BPA-1\plaque 2/@18  Testo +  BPA 2/B6_02.tif </t>
  </si>
  <si>
    <t xml:space="preserve"> 23338.6563 </t>
  </si>
  <si>
    <t xml:space="preserve"> 74.1177 </t>
  </si>
  <si>
    <t xml:space="preserve">F:\Données chgh\2020-CHG-CZA-BPA-1\plaque 2/@18  Testo +  BPA 2/B6_03.tif </t>
  </si>
  <si>
    <t xml:space="preserve"> 22927.6883 </t>
  </si>
  <si>
    <t xml:space="preserve"> 74.9311 </t>
  </si>
  <si>
    <t xml:space="preserve">F:\Données chgh\2020-CHG-CZA-BPA-1\plaque 2/@18  Testo +  BPA 2/C6_01.tif </t>
  </si>
  <si>
    <t xml:space="preserve"> 60693.4843 </t>
  </si>
  <si>
    <t xml:space="preserve"> 78.4897 </t>
  </si>
  <si>
    <t xml:space="preserve">F:\Données chgh\2020-CHG-CZA-BPA-1\plaque 2/@18  Testo +  BPA 2/C6_02.tif </t>
  </si>
  <si>
    <t xml:space="preserve"> 59071.2422 </t>
  </si>
  <si>
    <t xml:space="preserve"> 79.0414 </t>
  </si>
  <si>
    <t xml:space="preserve">F:\Données chgh\2020-CHG-CZA-BPA-1\plaque 2/@18  Testo +  BPA 2/C6_03.tif </t>
  </si>
  <si>
    <t xml:space="preserve"> 57081.2919 </t>
  </si>
  <si>
    <t xml:space="preserve"> 78.4282 </t>
  </si>
  <si>
    <t xml:space="preserve">F:\Données chgh\2020-CHG-CZA-BPA-1\plaque 2/@18  Testo +  BPA 2/D6_01.tif </t>
  </si>
  <si>
    <t xml:space="preserve"> 39561.0773 </t>
  </si>
  <si>
    <t xml:space="preserve"> 97.6167 </t>
  </si>
  <si>
    <t xml:space="preserve">F:\Données chgh\2020-CHG-CZA-BPA-1\plaque 2/@18  Testo +  BPA 2/D6_02.tif </t>
  </si>
  <si>
    <t xml:space="preserve"> 44665.7324 </t>
  </si>
  <si>
    <t xml:space="preserve"> 90.7617 </t>
  </si>
  <si>
    <t xml:space="preserve">F:\Données chgh\2020-CHG-CZA-BPA-1\plaque 2/@18  Testo +  BPA 2/D6_03.tif </t>
  </si>
  <si>
    <t xml:space="preserve"> 39539.4474 </t>
  </si>
  <si>
    <t xml:space="preserve"> 98.9393 </t>
  </si>
  <si>
    <t xml:space="preserve">F:\Données chgh\2020-CHG-CZA-BPA-1\plaque 2/@18  Testo +  BPA 2/E6_01.tif </t>
  </si>
  <si>
    <t xml:space="preserve"> 4477.3882 </t>
  </si>
  <si>
    <t xml:space="preserve"> 66.4058 </t>
  </si>
  <si>
    <t>F:\Données chgh\2020-CHG-CZA-BPA-1\plaque 2/@18  Testo +  BPA 2/E6_02- exclu.tif</t>
  </si>
  <si>
    <t xml:space="preserve">F:\Données chgh\2020-CHG-CZA-BPA-1\plaque 2/@18  Testo +  BPA 2/E6_03.tif </t>
  </si>
  <si>
    <t xml:space="preserve"> 735.4164 </t>
  </si>
  <si>
    <t xml:space="preserve"> 63.1176 </t>
  </si>
  <si>
    <t xml:space="preserve">F:\Données chgh\2020-CHG-CZA-BPA-1\plaque 2/@18  Testo +  BPA 2/F6_01.tif </t>
  </si>
  <si>
    <t xml:space="preserve"> 58811.6835 </t>
  </si>
  <si>
    <t xml:space="preserve"> 81.9029 </t>
  </si>
  <si>
    <t xml:space="preserve">F:\Données chgh\2020-CHG-CZA-BPA-1\plaque 2/@18  Testo +  BPA 2/F6_02.tif </t>
  </si>
  <si>
    <t xml:space="preserve"> 53771.918 </t>
  </si>
  <si>
    <t xml:space="preserve"> 82.146 </t>
  </si>
  <si>
    <t xml:space="preserve">F:\Données chgh\2020-CHG-CZA-BPA-1\plaque 2/@18  Testo +  BPA 2/F6_03.tif </t>
  </si>
  <si>
    <t xml:space="preserve"> 75.8805 </t>
  </si>
  <si>
    <t xml:space="preserve">F:\Données chgh\2020-CHG-CZA-BPA-1\plaque 2/@18  Testo +  BPA 2/G6_01.tif </t>
  </si>
  <si>
    <t xml:space="preserve"> 79.209 </t>
  </si>
  <si>
    <t xml:space="preserve">F:\Données chgh\2020-CHG-CZA-BPA-1\plaque 2/@18  Testo +  BPA 2/G6_02.tif </t>
  </si>
  <si>
    <t xml:space="preserve"> 49143.1206 </t>
  </si>
  <si>
    <t xml:space="preserve"> 80.8393 </t>
  </si>
  <si>
    <t xml:space="preserve">F:\Données chgh\2020-CHG-CZA-BPA-1\plaque 2/@18  Testo +  BPA 2/G6_03.tif </t>
  </si>
  <si>
    <t xml:space="preserve"> 50592.3235 </t>
  </si>
  <si>
    <t xml:space="preserve"> 80.9991 </t>
  </si>
  <si>
    <t xml:space="preserve">F:\Données chgh\2020-CHG-CZA-BPA-1\plaque 2/@18  Testo +  BPA 2/H6_01.tif </t>
  </si>
  <si>
    <t xml:space="preserve"> 4390.8686 </t>
  </si>
  <si>
    <t xml:space="preserve"> 66.7783 </t>
  </si>
  <si>
    <t xml:space="preserve">F:\Données chgh\2020-CHG-CZA-BPA-1\plaque 2/@18  Testo +  BPA 2/H6_02.tif </t>
  </si>
  <si>
    <t xml:space="preserve"> 4369.2387 </t>
  </si>
  <si>
    <t xml:space="preserve"> 66.4653 </t>
  </si>
  <si>
    <t xml:space="preserve">F:\Données chgh\2020-CHG-CZA-BPA-1\plaque 2/@18  Testo +  BPA 2/H6_03.tif </t>
  </si>
  <si>
    <t xml:space="preserve"> 69.3555 </t>
  </si>
  <si>
    <t xml:space="preserve">F:\Données chgh\2020-CHG-CZA-BPA-1\plaque 2/@18  Testo +  BPA 2/ </t>
  </si>
  <si>
    <t xml:space="preserve"> 76.5301 </t>
  </si>
  <si>
    <t xml:space="preserve"> 9.5039 </t>
  </si>
  <si>
    <t xml:space="preserve"> 2515616.29 </t>
  </si>
  <si>
    <t xml:space="preserve"> 1841293.94 </t>
  </si>
  <si>
    <t xml:space="preserve">F:\Données chgh\2020-CHG-CZA-BPA-1\plaque 2/@19 Testo + BPA 3/A7_01.tif </t>
  </si>
  <si>
    <t xml:space="preserve"> 13302.3852 </t>
  </si>
  <si>
    <t xml:space="preserve"> 69.8163 </t>
  </si>
  <si>
    <t xml:space="preserve">F:\Données chgh\2020-CHG-CZA-BPA-1\plaque 2/@19 Testo + BPA 3/A7_02.tif </t>
  </si>
  <si>
    <t xml:space="preserve"> 15595.154 </t>
  </si>
  <si>
    <t xml:space="preserve"> 68.3343 </t>
  </si>
  <si>
    <t xml:space="preserve">F:\Données chgh\2020-CHG-CZA-BPA-1\plaque 2/@19 Testo + BPA 3/A7_03.tif </t>
  </si>
  <si>
    <t xml:space="preserve"> 16676.6488 </t>
  </si>
  <si>
    <t xml:space="preserve"> 69.6783 </t>
  </si>
  <si>
    <t xml:space="preserve">F:\Données chgh\2020-CHG-CZA-BPA-1\plaque 2/@19 Testo + BPA 3/B7_01.tif </t>
  </si>
  <si>
    <t xml:space="preserve"> 17779.7734 </t>
  </si>
  <si>
    <t xml:space="preserve"> 68.1959 </t>
  </si>
  <si>
    <t xml:space="preserve">F:\Données chgh\2020-CHG-CZA-BPA-1\plaque 2/@19 Testo + BPA 3/B7_02.tif </t>
  </si>
  <si>
    <t xml:space="preserve"> 20721.4391 </t>
  </si>
  <si>
    <t xml:space="preserve"> 71.8205 </t>
  </si>
  <si>
    <t xml:space="preserve">F:\Données chgh\2020-CHG-CZA-BPA-1\plaque 2/@19 Testo + BPA 3/B7_03.tif </t>
  </si>
  <si>
    <t xml:space="preserve"> 15551.8942 </t>
  </si>
  <si>
    <t xml:space="preserve"> 71.1057 </t>
  </si>
  <si>
    <t xml:space="preserve">F:\Données chgh\2020-CHG-CZA-BPA-1\plaque 2/@19 Testo + BPA 3/C7_01.tif </t>
  </si>
  <si>
    <t xml:space="preserve"> 51068.1812 </t>
  </si>
  <si>
    <t xml:space="preserve"> 92.8763 </t>
  </si>
  <si>
    <t xml:space="preserve">F:\Données chgh\2020-CHG-CZA-BPA-1\plaque 2/@19 Testo + BPA 3/C7_02.tif </t>
  </si>
  <si>
    <t xml:space="preserve"> 50960.0317 </t>
  </si>
  <si>
    <t xml:space="preserve"> 94.5216 </t>
  </si>
  <si>
    <t xml:space="preserve">F:\Données chgh\2020-CHG-CZA-BPA-1\plaque 2/@19 Testo + BPA 3/C7_03.tif </t>
  </si>
  <si>
    <t xml:space="preserve"> 51868.4873 </t>
  </si>
  <si>
    <t xml:space="preserve"> 85.8499 </t>
  </si>
  <si>
    <t xml:space="preserve">F:\Données chgh\2020-CHG-CZA-BPA-1\plaque 2/@19 Testo + BPA 3/D7_01.tif </t>
  </si>
  <si>
    <t xml:space="preserve"> 53187.9109 </t>
  </si>
  <si>
    <t xml:space="preserve"> 84.4473 </t>
  </si>
  <si>
    <t xml:space="preserve">F:\Données chgh\2020-CHG-CZA-BPA-1\plaque 2/@19 Testo + BPA 3/D7_02.tif </t>
  </si>
  <si>
    <t xml:space="preserve"> 49575.7185 </t>
  </si>
  <si>
    <t xml:space="preserve"> 84.3072 </t>
  </si>
  <si>
    <t xml:space="preserve">F:\Données chgh\2020-CHG-CZA-BPA-1\plaque 2/@19 Testo + BPA 3/D7_03.tif </t>
  </si>
  <si>
    <t xml:space="preserve"> 48277.9248 </t>
  </si>
  <si>
    <t xml:space="preserve"> 83.1676 </t>
  </si>
  <si>
    <t xml:space="preserve">F:\Données chgh\2020-CHG-CZA-BPA-1\plaque 2/@19 Testo + BPA 3/E7_01.tif </t>
  </si>
  <si>
    <t xml:space="preserve"> 39604.3371 </t>
  </si>
  <si>
    <t xml:space="preserve"> 76.9514 </t>
  </si>
  <si>
    <t xml:space="preserve">F:\Données chgh\2020-CHG-CZA-BPA-1\plaque 2/@19 Testo + BPA 3/E7_02.tif </t>
  </si>
  <si>
    <t xml:space="preserve"> 43540.9779 </t>
  </si>
  <si>
    <t xml:space="preserve"> 82.3944 </t>
  </si>
  <si>
    <t xml:space="preserve">F:\Données chgh\2020-CHG-CZA-BPA-1\plaque 2/@19 Testo + BPA 3/E7_03.tif </t>
  </si>
  <si>
    <t xml:space="preserve"> 43216.5295 </t>
  </si>
  <si>
    <t xml:space="preserve"> 81.9054 </t>
  </si>
  <si>
    <t xml:space="preserve">F:\Données chgh\2020-CHG-CZA-BPA-1\plaque 2/@19 Testo + BPA 3/F7_01.tif </t>
  </si>
  <si>
    <t xml:space="preserve"> 16308.9406 </t>
  </si>
  <si>
    <t xml:space="preserve"> 71.5756 </t>
  </si>
  <si>
    <t xml:space="preserve">F:\Données chgh\2020-CHG-CZA-BPA-1\plaque 2/@19 Testo + BPA 3/F7_02.tif </t>
  </si>
  <si>
    <t xml:space="preserve"> 16417.09 </t>
  </si>
  <si>
    <t xml:space="preserve"> 74.1779 </t>
  </si>
  <si>
    <t xml:space="preserve">F:\Données chgh\2020-CHG-CZA-BPA-1\plaque 2/@19 Testo + BPA 3/F7_03.tif </t>
  </si>
  <si>
    <t xml:space="preserve"> 17606.7342 </t>
  </si>
  <si>
    <t xml:space="preserve"> 71.2703 </t>
  </si>
  <si>
    <t xml:space="preserve">F:\Données chgh\2020-CHG-CZA-BPA-1\plaque 2/@19 Testo + BPA 3/G7_01.tif </t>
  </si>
  <si>
    <t xml:space="preserve"> 74341.9478 </t>
  </si>
  <si>
    <t xml:space="preserve"> 92.398 </t>
  </si>
  <si>
    <t xml:space="preserve">F:\Données chgh\2020-CHG-CZA-BPA-1\plaque 2/@19 Testo + BPA 3/G7_02.tif </t>
  </si>
  <si>
    <t xml:space="preserve"> 77088.9445 </t>
  </si>
  <si>
    <t xml:space="preserve"> 85.1417 </t>
  </si>
  <si>
    <t xml:space="preserve">F:\Données chgh\2020-CHG-CZA-BPA-1\plaque 2/@19 Testo + BPA 3/G7_03.tif </t>
  </si>
  <si>
    <t xml:space="preserve"> 73173.9335 </t>
  </si>
  <si>
    <t xml:space="preserve"> 92.1221 </t>
  </si>
  <si>
    <t xml:space="preserve">F:\Données chgh\2020-CHG-CZA-BPA-1\plaque 2/@19 Testo + BPA 3/H7_01.tif </t>
  </si>
  <si>
    <t xml:space="preserve"> 18039.3321 </t>
  </si>
  <si>
    <t xml:space="preserve"> 75.1199 </t>
  </si>
  <si>
    <t xml:space="preserve">F:\Données chgh\2020-CHG-CZA-BPA-1\plaque 2/@19 Testo + BPA 3/H7_02.tif </t>
  </si>
  <si>
    <t xml:space="preserve"> 21002.6277 </t>
  </si>
  <si>
    <t xml:space="preserve"> 73.0062 </t>
  </si>
  <si>
    <t xml:space="preserve">F:\Données chgh\2020-CHG-CZA-BPA-1\plaque 2/@19 Testo + BPA 3/H7_03.tif </t>
  </si>
  <si>
    <t xml:space="preserve"> 72.7578 </t>
  </si>
  <si>
    <t xml:space="preserve">F:\Données chgh\2020-CHG-CZA-BPA-1\plaque 2/@19 Testo + BPA 3/ </t>
  </si>
  <si>
    <t xml:space="preserve"> 78.8726 </t>
  </si>
  <si>
    <t xml:space="preserve"> 8.6287 </t>
  </si>
  <si>
    <t xml:space="preserve"> 2993799.96 </t>
  </si>
  <si>
    <t xml:space="preserve"> 2012575.24 </t>
  </si>
  <si>
    <t xml:space="preserve">F:\Données chgh\2020-CHG-CZA-BPA-1\plaque 2/@20 Testo +  BPA 4/A8_01.tif </t>
  </si>
  <si>
    <t xml:space="preserve"> 32920.6996 </t>
  </si>
  <si>
    <t xml:space="preserve"> 78.1813 </t>
  </si>
  <si>
    <t xml:space="preserve">F:\Données chgh\2020-CHG-CZA-BPA-1\plaque 2/@20 Testo +  BPA 4/A8_02.tif </t>
  </si>
  <si>
    <t xml:space="preserve"> 35819.1055 </t>
  </si>
  <si>
    <t xml:space="preserve"> 77.381 </t>
  </si>
  <si>
    <t xml:space="preserve">F:\Données chgh\2020-CHG-CZA-BPA-1\plaque 2/@20 Testo +  BPA 4/A8_03.tif </t>
  </si>
  <si>
    <t xml:space="preserve"> 33634.4861 </t>
  </si>
  <si>
    <t xml:space="preserve"> 79.7711 </t>
  </si>
  <si>
    <t xml:space="preserve">F:\Données chgh\2020-CHG-CZA-BPA-1\plaque 2/@20 Testo +  BPA 4/B8_01.tif </t>
  </si>
  <si>
    <t xml:space="preserve"> 49813.6473 </t>
  </si>
  <si>
    <t xml:space="preserve"> 90.9314 </t>
  </si>
  <si>
    <t xml:space="preserve">F:\Données chgh\2020-CHG-CZA-BPA-1\plaque 2/@20 Testo +  BPA 4/B8_02.tif </t>
  </si>
  <si>
    <t xml:space="preserve"> 50332.7648 </t>
  </si>
  <si>
    <t xml:space="preserve"> 87.942 </t>
  </si>
  <si>
    <t xml:space="preserve">F:\Données chgh\2020-CHG-CZA-BPA-1\plaque 2/@20 Testo +  BPA 4/B8_03.tif </t>
  </si>
  <si>
    <t xml:space="preserve"> 48624.0031 </t>
  </si>
  <si>
    <t xml:space="preserve"> 89.0053 </t>
  </si>
  <si>
    <t xml:space="preserve">F:\Données chgh\2020-CHG-CZA-BPA-1\plaque 2/@20 Testo +  BPA 4/C8_01.tif </t>
  </si>
  <si>
    <t xml:space="preserve"> 46655.6827 </t>
  </si>
  <si>
    <t xml:space="preserve"> 78.3217 </t>
  </si>
  <si>
    <t xml:space="preserve">F:\Données chgh\2020-CHG-CZA-BPA-1\plaque 2/@20 Testo +  BPA 4/C8_02.tif </t>
  </si>
  <si>
    <t xml:space="preserve"> 46309.6044 </t>
  </si>
  <si>
    <t xml:space="preserve"> 78.9318 </t>
  </si>
  <si>
    <t xml:space="preserve">F:\Données chgh\2020-CHG-CZA-BPA-1\plaque 2/@20 Testo +  BPA 4/C8_03.tif </t>
  </si>
  <si>
    <t xml:space="preserve"> 36468.0023 </t>
  </si>
  <si>
    <t xml:space="preserve"> 84.0036 </t>
  </si>
  <si>
    <t>F:\Données chgh\2020-CHG-CZA-BPA-1\plaque 2/@20 Testo +  BPA 4/D8_01- exclu.tif</t>
  </si>
  <si>
    <t xml:space="preserve">F:\Données chgh\2020-CHG-CZA-BPA-1\plaque 2/@20 Testo +  BPA 4/D8_02.tif </t>
  </si>
  <si>
    <t xml:space="preserve"> 33569.5965 </t>
  </si>
  <si>
    <t xml:space="preserve"> 79.9974 </t>
  </si>
  <si>
    <t xml:space="preserve">F:\Données chgh\2020-CHG-CZA-BPA-1\plaque 2/@20 Testo +  BPA 4/D8_03.tif </t>
  </si>
  <si>
    <t xml:space="preserve"> 30195.3329 </t>
  </si>
  <si>
    <t xml:space="preserve"> 80.8016 </t>
  </si>
  <si>
    <t xml:space="preserve">F:\Données chgh\2020-CHG-CZA-BPA-1\plaque 2/@20 Testo +  BPA 4/E8_01.tif </t>
  </si>
  <si>
    <t xml:space="preserve"> 37917.2053 </t>
  </si>
  <si>
    <t xml:space="preserve"> 92.1272 </t>
  </si>
  <si>
    <t xml:space="preserve">F:\Données chgh\2020-CHG-CZA-BPA-1\plaque 2/@20 Testo +  BPA 4/E8_02.tif </t>
  </si>
  <si>
    <t xml:space="preserve"> 35191.8386 </t>
  </si>
  <si>
    <t xml:space="preserve"> 93.7363 </t>
  </si>
  <si>
    <t xml:space="preserve">F:\Données chgh\2020-CHG-CZA-BPA-1\plaque 2/@20 Testo +  BPA 4/E8_03.tif </t>
  </si>
  <si>
    <t xml:space="preserve"> 36684.3013 </t>
  </si>
  <si>
    <t xml:space="preserve"> 89.7235 </t>
  </si>
  <si>
    <t xml:space="preserve">F:\Données chgh\2020-CHG-CZA-BPA-1\plaque 2/@20 Testo +  BPA 4/F8_01.tif </t>
  </si>
  <si>
    <t xml:space="preserve"> 48191.4052 </t>
  </si>
  <si>
    <t xml:space="preserve"> 99.9874 </t>
  </si>
  <si>
    <t xml:space="preserve">F:\Données chgh\2020-CHG-CZA-BPA-1\plaque 2/@20 Testo +  BPA 4/F8_02.tif </t>
  </si>
  <si>
    <t xml:space="preserve"> 96.0381 </t>
  </si>
  <si>
    <t xml:space="preserve">F:\Données chgh\2020-CHG-CZA-BPA-1\plaque 2/@20 Testo +  BPA 4/F8_03.tif </t>
  </si>
  <si>
    <t xml:space="preserve"> 48472.5939 </t>
  </si>
  <si>
    <t xml:space="preserve"> 100.2602 </t>
  </si>
  <si>
    <t>F:\Données chgh\2020-CHG-CZA-BPA-1\plaque 2/@20 Testo +  BPA 4/G8_01- exclu.tif</t>
  </si>
  <si>
    <t xml:space="preserve">F:\Données chgh\2020-CHG-CZA-BPA-1\plaque 2/@20 Testo +  BPA 4/G8_02.tif </t>
  </si>
  <si>
    <t xml:space="preserve"> 55502.3096 </t>
  </si>
  <si>
    <t xml:space="preserve"> 95.7214 </t>
  </si>
  <si>
    <t xml:space="preserve">F:\Données chgh\2020-CHG-CZA-BPA-1\plaque 2/@20 Testo +  BPA 4/G8_03.tif </t>
  </si>
  <si>
    <t xml:space="preserve"> 55523.9395 </t>
  </si>
  <si>
    <t xml:space="preserve"> 95.2108 </t>
  </si>
  <si>
    <t xml:space="preserve">F:\Données chgh\2020-CHG-CZA-BPA-1\plaque 2/@20 Testo +  BPA 4/H8_01.tif </t>
  </si>
  <si>
    <t xml:space="preserve"> 53101.3913 </t>
  </si>
  <si>
    <t xml:space="preserve"> 86.4721 </t>
  </si>
  <si>
    <t xml:space="preserve">F:\Données chgh\2020-CHG-CZA-BPA-1\plaque 2/@20 Testo +  BPA 4/H8_02.tif </t>
  </si>
  <si>
    <t xml:space="preserve"> 48797.0423 </t>
  </si>
  <si>
    <t xml:space="preserve"> 87.2052 </t>
  </si>
  <si>
    <t>F:\Données chgh\2020-CHG-CZA-BPA-1\plaque 2/@20 Testo +  BPA 4/H8_03- exclu.tif</t>
  </si>
  <si>
    <t xml:space="preserve">F:\Données chgh\2020-CHG-CZA-BPA-1\plaque 2/@20 Testo +  BPA 4/ </t>
  </si>
  <si>
    <t xml:space="preserve"> 86.6291 </t>
  </si>
  <si>
    <t xml:space="preserve"> 7.5715 </t>
  </si>
  <si>
    <t xml:space="preserve"> 3839391.88 </t>
  </si>
  <si>
    <t xml:space="preserve"> 1060896.75 </t>
  </si>
  <si>
    <t xml:space="preserve">F:\Données chgh\2020-CHG-CZA-BPA-1\plaque 2/@21 Testo +  BPA 5/A9_01.tif </t>
  </si>
  <si>
    <t xml:space="preserve"> 47629.028 </t>
  </si>
  <si>
    <t xml:space="preserve"> 78.1381 </t>
  </si>
  <si>
    <t xml:space="preserve">F:\Données chgh\2020-CHG-CZA-BPA-1\plaque 2/@21 Testo +  BPA 5/A9_02.tif </t>
  </si>
  <si>
    <t xml:space="preserve"> 45011.8107 </t>
  </si>
  <si>
    <t xml:space="preserve"> 78.4599 </t>
  </si>
  <si>
    <t xml:space="preserve">F:\Données chgh\2020-CHG-CZA-BPA-1\plaque 2/@21 Testo +  BPA 5/A9_03.tif </t>
  </si>
  <si>
    <t xml:space="preserve"> 77.3608 </t>
  </si>
  <si>
    <t xml:space="preserve">F:\Données chgh\2020-CHG-CZA-BPA-1\plaque 2/@21 Testo +  BPA 5/B9_01.tif </t>
  </si>
  <si>
    <t xml:space="preserve"> 63894.7087 </t>
  </si>
  <si>
    <t xml:space="preserve"> 89.8896 </t>
  </si>
  <si>
    <t xml:space="preserve">F:\Données chgh\2020-CHG-CZA-BPA-1\plaque 2/@21 Testo +  BPA 5/B9_02.tif </t>
  </si>
  <si>
    <t xml:space="preserve"> 61234.2317 </t>
  </si>
  <si>
    <t xml:space="preserve"> 89.8029 </t>
  </si>
  <si>
    <t xml:space="preserve">F:\Données chgh\2020-CHG-CZA-BPA-1\plaque 2/@21 Testo +  BPA 5/B9_03.tif </t>
  </si>
  <si>
    <t xml:space="preserve"> 62337.3563 </t>
  </si>
  <si>
    <t xml:space="preserve"> 89.8629 </t>
  </si>
  <si>
    <t xml:space="preserve">F:\Données chgh\2020-CHG-CZA-BPA-1\plaque 2/@21 Testo +  BPA 5/C9_01.tif </t>
  </si>
  <si>
    <t xml:space="preserve"> 33656.116 </t>
  </si>
  <si>
    <t xml:space="preserve"> 72.1253 </t>
  </si>
  <si>
    <t xml:space="preserve">F:\Données chgh\2020-CHG-CZA-BPA-1\plaque 2/@21 Testo +  BPA 5/C9_02.tif </t>
  </si>
  <si>
    <t xml:space="preserve"> 32488.1017 </t>
  </si>
  <si>
    <t xml:space="preserve"> 71.6272 </t>
  </si>
  <si>
    <t xml:space="preserve">F:\Données chgh\2020-CHG-CZA-BPA-1\plaque 2/@21 Testo +  BPA 5/C9_03.tif </t>
  </si>
  <si>
    <t xml:space="preserve"> 30757.7102 </t>
  </si>
  <si>
    <t xml:space="preserve"> 70.661 </t>
  </si>
  <si>
    <t xml:space="preserve">F:\Données chgh\2020-CHG-CZA-BPA-1\plaque 2/@21 Testo +  BPA 5/D9_01.tif </t>
  </si>
  <si>
    <t xml:space="preserve"> 72243.8481 </t>
  </si>
  <si>
    <t xml:space="preserve"> 82.926 </t>
  </si>
  <si>
    <t xml:space="preserve">F:\Données chgh\2020-CHG-CZA-BPA-1\plaque 2/@21 Testo +  BPA 5/D9_02.tif </t>
  </si>
  <si>
    <t xml:space="preserve"> 72871.115 </t>
  </si>
  <si>
    <t xml:space="preserve"> 81.4725 </t>
  </si>
  <si>
    <t>F:\Données chgh\2020-CHG-CZA-BPA-1\plaque 2/@21 Testo +  BPA 5/D9_03- exclu.tif</t>
  </si>
  <si>
    <t xml:space="preserve">F:\Données chgh\2020-CHG-CZA-BPA-1\plaque 2/@21 Testo +  BPA 5/E9_01.tif </t>
  </si>
  <si>
    <t xml:space="preserve"> 44946.921 </t>
  </si>
  <si>
    <t xml:space="preserve"> 73.7878 </t>
  </si>
  <si>
    <t xml:space="preserve">F:\Données chgh\2020-CHG-CZA-BPA-1\plaque 2/@21 Testo +  BPA 5/E9_02.tif </t>
  </si>
  <si>
    <t xml:space="preserve"> 43065.1202 </t>
  </si>
  <si>
    <t xml:space="preserve"> 74.6801 </t>
  </si>
  <si>
    <t xml:space="preserve">F:\Données chgh\2020-CHG-CZA-BPA-1\plaque 2/@21 Testo +  BPA 5/E9_03.tif </t>
  </si>
  <si>
    <t xml:space="preserve"> 37679.2764 </t>
  </si>
  <si>
    <t xml:space="preserve"> 71.6056 </t>
  </si>
  <si>
    <t xml:space="preserve">F:\Données chgh\2020-CHG-CZA-BPA-1\plaque 2/@21 Testo +  BPA 5/F9_01.tif </t>
  </si>
  <si>
    <t xml:space="preserve"> 31947.3544 </t>
  </si>
  <si>
    <t xml:space="preserve"> 83.4841 </t>
  </si>
  <si>
    <t xml:space="preserve">F:\Données chgh\2020-CHG-CZA-BPA-1\plaque 2/@21 Testo +  BPA 5/F9_02.tif </t>
  </si>
  <si>
    <t xml:space="preserve"> 83.0293 </t>
  </si>
  <si>
    <t xml:space="preserve">F:\Données chgh\2020-CHG-CZA-BPA-1\plaque 2/@21 Testo +  BPA 5/F9_03.tif </t>
  </si>
  <si>
    <t xml:space="preserve"> 32574.6213 </t>
  </si>
  <si>
    <t xml:space="preserve"> 82.4947 </t>
  </si>
  <si>
    <t xml:space="preserve">F:\Données chgh\2020-CHG-CZA-BPA-1\plaque 2/@21 Testo +  BPA 5/G9_01.tif </t>
  </si>
  <si>
    <t xml:space="preserve"> 66814.7445 </t>
  </si>
  <si>
    <t xml:space="preserve"> 93.3247 </t>
  </si>
  <si>
    <t xml:space="preserve">F:\Données chgh\2020-CHG-CZA-BPA-1\plaque 2/@21 Testo +  BPA 5/G9_02.tif </t>
  </si>
  <si>
    <t xml:space="preserve"> 63656.7799 </t>
  </si>
  <si>
    <t xml:space="preserve"> 97.0489 </t>
  </si>
  <si>
    <t xml:space="preserve">F:\Données chgh\2020-CHG-CZA-BPA-1\plaque 2/@21 Testo +  BPA 5/G9_03.tif </t>
  </si>
  <si>
    <t xml:space="preserve"> 68912.8443 </t>
  </si>
  <si>
    <t xml:space="preserve"> 92.3628 </t>
  </si>
  <si>
    <t xml:space="preserve">F:\Données chgh\2020-CHG-CZA-BPA-1\plaque 2/@21 Testo +  BPA 5/H9_01.tif </t>
  </si>
  <si>
    <t xml:space="preserve"> 15573.5241 </t>
  </si>
  <si>
    <t xml:space="preserve"> 65.4028 </t>
  </si>
  <si>
    <t>F:\Données chgh\2020-CHG-CZA-BPA-1\plaque 2/@21 Testo +  BPA 5/H9_02- exclu.tif</t>
  </si>
  <si>
    <t xml:space="preserve">F:\Données chgh\2020-CHG-CZA-BPA-1\plaque 2/@21 Testo +  BPA 5/H9_03.tif </t>
  </si>
  <si>
    <t xml:space="preserve"> 12156.0008 </t>
  </si>
  <si>
    <t xml:space="preserve"> 65.0018 </t>
  </si>
  <si>
    <t xml:space="preserve">F:\Données chgh\2020-CHG-CZA-BPA-1\plaque 2/@21 Testo +  BPA 5/ </t>
  </si>
  <si>
    <t xml:space="preserve"> 79.3634 </t>
  </si>
  <si>
    <t xml:space="preserve"> 9.3372 </t>
  </si>
  <si>
    <t xml:space="preserve"> 1881711.39 </t>
  </si>
  <si>
    <t xml:space="preserve"> n total analysed</t>
  </si>
  <si>
    <t>01 TS</t>
  </si>
  <si>
    <t>02 EE2 34</t>
  </si>
  <si>
    <t>03 EE2 51</t>
  </si>
  <si>
    <t>04 EE2 76</t>
  </si>
  <si>
    <t>05 EE2 114</t>
  </si>
  <si>
    <t>06 EE2 171</t>
  </si>
  <si>
    <t>07 EE2 488</t>
  </si>
  <si>
    <t>08 BPA 1</t>
  </si>
  <si>
    <t>09 BPA 2</t>
  </si>
  <si>
    <t>10  BPA 3</t>
  </si>
  <si>
    <t>11 BPA 4</t>
  </si>
  <si>
    <t>12  BPA 5</t>
  </si>
  <si>
    <t>13 Testo 30</t>
  </si>
  <si>
    <t>14 Testo 30</t>
  </si>
  <si>
    <t>15 Testo + EE2</t>
  </si>
  <si>
    <t>16 Testo + FAD</t>
  </si>
  <si>
    <t>17 Testo +  BPA 1</t>
  </si>
  <si>
    <t>18  Testo +  BPA 2</t>
  </si>
  <si>
    <t>19 Testo + BPA 3</t>
  </si>
  <si>
    <t>20 Testo +  BPA 4</t>
  </si>
  <si>
    <t>21 Testo +  BPA 5</t>
  </si>
  <si>
    <t>B</t>
  </si>
  <si>
    <t>C</t>
  </si>
  <si>
    <t>D</t>
  </si>
  <si>
    <t>E</t>
  </si>
  <si>
    <t>F</t>
  </si>
  <si>
    <t>G</t>
  </si>
  <si>
    <t>H</t>
  </si>
  <si>
    <t xml:space="preserve">F:\Données chgh\2020-CHG-CZA-BPA-2\plaque 1/@01 TS/A1_01.tif </t>
  </si>
  <si>
    <t xml:space="preserve"> 62.6111 </t>
  </si>
  <si>
    <t xml:space="preserve">F:\Données chgh\2020-CHG-CZA-BPA-2\plaque 1/@01 TS/A1_02.tif </t>
  </si>
  <si>
    <t xml:space="preserve"> 66.3015 </t>
  </si>
  <si>
    <t xml:space="preserve">F:\Données chgh\2020-CHG-CZA-BPA-2\plaque 1/@01 TS/A1_03.tif </t>
  </si>
  <si>
    <t xml:space="preserve"> 6791.7869 </t>
  </si>
  <si>
    <t xml:space="preserve"> 71.3057 </t>
  </si>
  <si>
    <t xml:space="preserve">F:\Données chgh\2020-CHG-CZA-BPA-2\plaque 1/@01 TS/B1_01.tif </t>
  </si>
  <si>
    <t xml:space="preserve">F:\Données chgh\2020-CHG-CZA-BPA-2\plaque 1/@01 TS/B1_02.tif </t>
  </si>
  <si>
    <t xml:space="preserve"> 73.2548 </t>
  </si>
  <si>
    <t xml:space="preserve">F:\Données chgh\2020-CHG-CZA-BPA-2\plaque 1/@01 TS/B1_03.tif </t>
  </si>
  <si>
    <t xml:space="preserve">F:\Données chgh\2020-CHG-CZA-BPA-2\plaque 1/@01 TS/C1_01.tif </t>
  </si>
  <si>
    <t xml:space="preserve"> 64.5222 </t>
  </si>
  <si>
    <t xml:space="preserve">F:\Données chgh\2020-CHG-CZA-BPA-2\plaque 1/@01 TS/C1_02.tif </t>
  </si>
  <si>
    <t xml:space="preserve"> 6575.488 </t>
  </si>
  <si>
    <t xml:space="preserve"> 68.1414 </t>
  </si>
  <si>
    <t xml:space="preserve">F:\Données chgh\2020-CHG-CZA-BPA-2\plaque 1/@01 TS/C1_03.tif </t>
  </si>
  <si>
    <t xml:space="preserve"> 10728.4277 </t>
  </si>
  <si>
    <t xml:space="preserve"> 72.7863 </t>
  </si>
  <si>
    <t xml:space="preserve">F:\Données chgh\2020-CHG-CZA-BPA-2\plaque 1/@01 TS/D1_01.tif </t>
  </si>
  <si>
    <t xml:space="preserve"> 13518.6841 </t>
  </si>
  <si>
    <t xml:space="preserve"> 72.3616 </t>
  </si>
  <si>
    <t>F:\Données chgh\2020-CHG-CZA-BPA-2\plaque 1/@01 TS/D1_02- exclu.tif</t>
  </si>
  <si>
    <t xml:space="preserve">F:\Données chgh\2020-CHG-CZA-BPA-2\plaque 1/@01 TS/D1_03.tif </t>
  </si>
  <si>
    <t xml:space="preserve"> 8738.4774 </t>
  </si>
  <si>
    <t xml:space="preserve"> 71.5842 </t>
  </si>
  <si>
    <t xml:space="preserve">F:\Données chgh\2020-CHG-CZA-BPA-2\plaque 1/@01 TS/E1_01.tif </t>
  </si>
  <si>
    <t xml:space="preserve"> 69.087 </t>
  </si>
  <si>
    <t xml:space="preserve">F:\Données chgh\2020-CHG-CZA-BPA-2\plaque 1/@01 TS/E1_02.tif </t>
  </si>
  <si>
    <t xml:space="preserve"> 67.3175 </t>
  </si>
  <si>
    <t xml:space="preserve">F:\Données chgh\2020-CHG-CZA-BPA-2\plaque 1/@01 TS/E1_03.tif </t>
  </si>
  <si>
    <t xml:space="preserve"> 67.8039 </t>
  </si>
  <si>
    <t xml:space="preserve">F:\Données chgh\2020-CHG-CZA-BPA-2\plaque 1/@01 TS/F1_01.tif </t>
  </si>
  <si>
    <t xml:space="preserve"> 68.7232 </t>
  </si>
  <si>
    <t>F:\Données chgh\2020-CHG-CZA-BPA-2\plaque 1/@01 TS/F1_02- exclu.tif</t>
  </si>
  <si>
    <t xml:space="preserve">F:\Données chgh\2020-CHG-CZA-BPA-2\plaque 1/@01 TS/F1_03.tif </t>
  </si>
  <si>
    <t xml:space="preserve"> 8392.3991 </t>
  </si>
  <si>
    <t xml:space="preserve"> 68.2577 </t>
  </si>
  <si>
    <t xml:space="preserve">F:\Données chgh\2020-CHG-CZA-BPA-2\plaque 1/@01 TS/G1_01.tif </t>
  </si>
  <si>
    <t xml:space="preserve"> 11831.5524 </t>
  </si>
  <si>
    <t xml:space="preserve"> 72.1024 </t>
  </si>
  <si>
    <t xml:space="preserve">F:\Données chgh\2020-CHG-CZA-BPA-2\plaque 1/@01 TS/G1_02.tif </t>
  </si>
  <si>
    <t xml:space="preserve"> 77.6559 </t>
  </si>
  <si>
    <t xml:space="preserve">F:\Données chgh\2020-CHG-CZA-BPA-2\plaque 1/@01 TS/G1_03.tif </t>
  </si>
  <si>
    <t xml:space="preserve"> 8349.1393 </t>
  </si>
  <si>
    <t xml:space="preserve"> 75.6684 </t>
  </si>
  <si>
    <t xml:space="preserve">F:\Données chgh\2020-CHG-CZA-BPA-2\plaque 1/@01 TS/H1_01.tif </t>
  </si>
  <si>
    <t xml:space="preserve"> 9711.8227 </t>
  </si>
  <si>
    <t xml:space="preserve"> 72.9978 </t>
  </si>
  <si>
    <t xml:space="preserve">F:\Données chgh\2020-CHG-CZA-BPA-2\plaque 1/@01 TS/H1_02.tif </t>
  </si>
  <si>
    <t xml:space="preserve"> 63.52 </t>
  </si>
  <si>
    <t xml:space="preserve">F:\Données chgh\2020-CHG-CZA-BPA-2\plaque 1/@01 TS/H1_03.tif </t>
  </si>
  <si>
    <t xml:space="preserve"> 6986.456 </t>
  </si>
  <si>
    <t xml:space="preserve"> 74.6687 </t>
  </si>
  <si>
    <t xml:space="preserve">F:\Données chgh\2020-CHG-CZA-BPA-2\plaque 1/@01 TS/ </t>
  </si>
  <si>
    <t xml:space="preserve"> 69.6663 </t>
  </si>
  <si>
    <t xml:space="preserve"> 5.2376 </t>
  </si>
  <si>
    <t xml:space="preserve"> 465743.042 </t>
  </si>
  <si>
    <t xml:space="preserve"> 327574.555 </t>
  </si>
  <si>
    <t xml:space="preserve">F:\Données chgh\2020-CHG-CZA-BPA-2\plaque 1/@02 EE2 34/A2_01.tif </t>
  </si>
  <si>
    <t xml:space="preserve"> 62.4231 </t>
  </si>
  <si>
    <t xml:space="preserve">F:\Données chgh\2020-CHG-CZA-BPA-2\plaque 1/@02 EE2 34/A2_02.tif </t>
  </si>
  <si>
    <t xml:space="preserve"> 63.6923 </t>
  </si>
  <si>
    <t xml:space="preserve">F:\Données chgh\2020-CHG-CZA-BPA-2\plaque 1/@02 EE2 34/A2_03.tif </t>
  </si>
  <si>
    <t xml:space="preserve"> 1016.605 </t>
  </si>
  <si>
    <t xml:space="preserve"> 62.9362 </t>
  </si>
  <si>
    <t xml:space="preserve">F:\Données chgh\2020-CHG-CZA-BPA-2\plaque 1/@02 EE2 34/B2_01.tif </t>
  </si>
  <si>
    <t xml:space="preserve"> 2898.4059 </t>
  </si>
  <si>
    <t xml:space="preserve"> 66.5149 </t>
  </si>
  <si>
    <t xml:space="preserve">F:\Données chgh\2020-CHG-CZA-BPA-2\plaque 1/@02 EE2 34/B2_02.tif </t>
  </si>
  <si>
    <t xml:space="preserve"> 67.2684 </t>
  </si>
  <si>
    <t xml:space="preserve">F:\Données chgh\2020-CHG-CZA-BPA-2\plaque 1/@02 EE2 34/B2_03.tif </t>
  </si>
  <si>
    <t xml:space="preserve"> 5904.9612 </t>
  </si>
  <si>
    <t xml:space="preserve"> 71.5604 </t>
  </si>
  <si>
    <t xml:space="preserve">F:\Données chgh\2020-CHG-CZA-BPA-2\plaque 1/@02 EE2 34/C2_01.tif </t>
  </si>
  <si>
    <t xml:space="preserve"> 12285.7801 </t>
  </si>
  <si>
    <t xml:space="preserve"> 84.5915 </t>
  </si>
  <si>
    <t xml:space="preserve">F:\Données chgh\2020-CHG-CZA-BPA-2\plaque 1/@02 EE2 34/C2_02.tif </t>
  </si>
  <si>
    <t xml:space="preserve"> 15032.7768 </t>
  </si>
  <si>
    <t xml:space="preserve"> 75.5986 </t>
  </si>
  <si>
    <t xml:space="preserve">F:\Données chgh\2020-CHG-CZA-BPA-2\plaque 1/@02 EE2 34/C2_03.tif </t>
  </si>
  <si>
    <t xml:space="preserve"> 5948.221 </t>
  </si>
  <si>
    <t xml:space="preserve"> 67.9673 </t>
  </si>
  <si>
    <t xml:space="preserve">F:\Données chgh\2020-CHG-CZA-BPA-2\plaque 1/@02 EE2 34/D2_01.tif </t>
  </si>
  <si>
    <t xml:space="preserve"> 68.0069 </t>
  </si>
  <si>
    <t xml:space="preserve">F:\Données chgh\2020-CHG-CZA-BPA-2\plaque 1/@02 EE2 34/D2_02.tif </t>
  </si>
  <si>
    <t xml:space="preserve"> 8868.2568 </t>
  </si>
  <si>
    <t xml:space="preserve"> 75.5024 </t>
  </si>
  <si>
    <t>F:\Données chgh\2020-CHG-CZA-BPA-2\plaque 1/@02 EE2 34/D2_03- exclu.tif</t>
  </si>
  <si>
    <t xml:space="preserve">F:\Données chgh\2020-CHG-CZA-BPA-2\plaque 1/@02 EE2 34/E2_01.tif </t>
  </si>
  <si>
    <t xml:space="preserve"> 4304.349 </t>
  </si>
  <si>
    <t xml:space="preserve"> 67.8794 </t>
  </si>
  <si>
    <t xml:space="preserve">F:\Données chgh\2020-CHG-CZA-BPA-2\plaque 1/@02 EE2 34/E2_02.tif </t>
  </si>
  <si>
    <t xml:space="preserve"> 64.8989 </t>
  </si>
  <si>
    <t xml:space="preserve">F:\Données chgh\2020-CHG-CZA-BPA-2\plaque 1/@02 EE2 34/E2_03.tif </t>
  </si>
  <si>
    <t xml:space="preserve"> 65.4225 </t>
  </si>
  <si>
    <t xml:space="preserve">F:\Données chgh\2020-CHG-CZA-BPA-2\plaque 1/@02 EE2 34/F2_01.tif </t>
  </si>
  <si>
    <t xml:space="preserve"> 67.9664 </t>
  </si>
  <si>
    <t xml:space="preserve">F:\Données chgh\2020-CHG-CZA-BPA-2\plaque 1/@02 EE2 34/F2_02.tif </t>
  </si>
  <si>
    <t xml:space="preserve"> 4542.2779 </t>
  </si>
  <si>
    <t xml:space="preserve"> 65.2857 </t>
  </si>
  <si>
    <t xml:space="preserve">F:\Données chgh\2020-CHG-CZA-BPA-2\plaque 1/@02 EE2 34/F2_03.tif </t>
  </si>
  <si>
    <t xml:space="preserve"> 64.6104 </t>
  </si>
  <si>
    <t xml:space="preserve">F:\Données chgh\2020-CHG-CZA-BPA-2\plaque 1/@02 EE2 34/G2_01.tif </t>
  </si>
  <si>
    <t xml:space="preserve"> 1384.3133 </t>
  </si>
  <si>
    <t xml:space="preserve"> 65.125 </t>
  </si>
  <si>
    <t xml:space="preserve">F:\Données chgh\2020-CHG-CZA-BPA-2\plaque 1/@02 EE2 34/G2_02.tif </t>
  </si>
  <si>
    <t xml:space="preserve"> 7354.1642 </t>
  </si>
  <si>
    <t xml:space="preserve"> 75.6118 </t>
  </si>
  <si>
    <t xml:space="preserve">F:\Données chgh\2020-CHG-CZA-BPA-2\plaque 1/@02 EE2 34/G2_03.tif </t>
  </si>
  <si>
    <t xml:space="preserve"> 2811.8863 </t>
  </si>
  <si>
    <t xml:space="preserve"> 65.5077 </t>
  </si>
  <si>
    <t xml:space="preserve">F:\Données chgh\2020-CHG-CZA-BPA-2\plaque 1/@02 EE2 34/H2_01.tif </t>
  </si>
  <si>
    <t xml:space="preserve"> 6121.2602 </t>
  </si>
  <si>
    <t xml:space="preserve"> 66.6431 </t>
  </si>
  <si>
    <t xml:space="preserve">F:\Données chgh\2020-CHG-CZA-BPA-2\plaque 1/@02 EE2 34/H2_02.tif </t>
  </si>
  <si>
    <t xml:space="preserve"> 3936.6408 </t>
  </si>
  <si>
    <t xml:space="preserve"> 67.3736 </t>
  </si>
  <si>
    <t xml:space="preserve">F:\Données chgh\2020-CHG-CZA-BPA-2\plaque 1/@02 EE2 34/H2_03.tif </t>
  </si>
  <si>
    <t xml:space="preserve"> 64.9524 </t>
  </si>
  <si>
    <t xml:space="preserve">F:\Données chgh\2020-CHG-CZA-BPA-2\plaque 1/@02 EE2 34/ </t>
  </si>
  <si>
    <t xml:space="preserve"> 68.0406 </t>
  </si>
  <si>
    <t xml:space="preserve"> 5.1273 </t>
  </si>
  <si>
    <t xml:space="preserve"> 335862.625 </t>
  </si>
  <si>
    <t xml:space="preserve"> 284045.753 </t>
  </si>
  <si>
    <t xml:space="preserve">F:\Données chgh\2020-CHG-CZA-BPA-2\plaque 1/@03 EE2 51/A3_01.tif </t>
  </si>
  <si>
    <t xml:space="preserve"> 12480.4492 </t>
  </si>
  <si>
    <t xml:space="preserve"> 72.8856 </t>
  </si>
  <si>
    <t xml:space="preserve">F:\Données chgh\2020-CHG-CZA-BPA-2\plaque 1/@03 EE2 51/A3_02.tif </t>
  </si>
  <si>
    <t xml:space="preserve"> 7008.0859 </t>
  </si>
  <si>
    <t xml:space="preserve"> 69.0494 </t>
  </si>
  <si>
    <t xml:space="preserve">F:\Données chgh\2020-CHG-CZA-BPA-2\plaque 1/@03 EE2 51/A3_03.tif </t>
  </si>
  <si>
    <t xml:space="preserve"> 10663.5381 </t>
  </si>
  <si>
    <t xml:space="preserve"> 71.7302 </t>
  </si>
  <si>
    <t xml:space="preserve">F:\Données chgh\2020-CHG-CZA-BPA-2\plaque 1/@03 EE2 51/B3_01.tif </t>
  </si>
  <si>
    <t xml:space="preserve"> 8911.5166 </t>
  </si>
  <si>
    <t xml:space="preserve"> 80.7961 </t>
  </si>
  <si>
    <t xml:space="preserve">F:\Données chgh\2020-CHG-CZA-BPA-2\plaque 1/@03 EE2 51/B3_02.tif </t>
  </si>
  <si>
    <t xml:space="preserve"> 7938.1713 </t>
  </si>
  <si>
    <t xml:space="preserve"> 75.5014 </t>
  </si>
  <si>
    <t xml:space="preserve">F:\Données chgh\2020-CHG-CZA-BPA-2\plaque 1/@03 EE2 51/B3_03.tif </t>
  </si>
  <si>
    <t xml:space="preserve"> 5991.4808 </t>
  </si>
  <si>
    <t xml:space="preserve"> 68.3502 </t>
  </si>
  <si>
    <t xml:space="preserve">F:\Données chgh\2020-CHG-CZA-BPA-2\plaque 1/@03 EE2 51/C3_01.tif </t>
  </si>
  <si>
    <t xml:space="preserve"> 173.0392 </t>
  </si>
  <si>
    <t xml:space="preserve"> 62.125 </t>
  </si>
  <si>
    <t xml:space="preserve">F:\Données chgh\2020-CHG-CZA-BPA-2\plaque 1/@03 EE2 51/C3_02.tif </t>
  </si>
  <si>
    <t xml:space="preserve">F:\Données chgh\2020-CHG-CZA-BPA-2\plaque 1/@03 EE2 51/C3_03.tif </t>
  </si>
  <si>
    <t xml:space="preserve">F:\Données chgh\2020-CHG-CZA-BPA-2\plaque 1/@03 EE2 51/D3_01.tif </t>
  </si>
  <si>
    <t xml:space="preserve"> 2703.7368 </t>
  </si>
  <si>
    <t xml:space="preserve"> 63.808 </t>
  </si>
  <si>
    <t xml:space="preserve">F:\Données chgh\2020-CHG-CZA-BPA-2\plaque 1/@03 EE2 51/D3_02.tif </t>
  </si>
  <si>
    <t xml:space="preserve"> 3222.8543 </t>
  </si>
  <si>
    <t xml:space="preserve"> 63.6107 </t>
  </si>
  <si>
    <t xml:space="preserve">F:\Données chgh\2020-CHG-CZA-BPA-2\plaque 1/@03 EE2 51/D3_03.tif </t>
  </si>
  <si>
    <t xml:space="preserve"> 65.3396 </t>
  </si>
  <si>
    <t xml:space="preserve">F:\Données chgh\2020-CHG-CZA-BPA-2\plaque 1/@03 EE2 51/E3_01.tif </t>
  </si>
  <si>
    <t xml:space="preserve"> 3525.6728 </t>
  </si>
  <si>
    <t xml:space="preserve"> 66.1288 </t>
  </si>
  <si>
    <t xml:space="preserve">F:\Données chgh\2020-CHG-CZA-BPA-2\plaque 1/@03 EE2 51/E3_02.tif </t>
  </si>
  <si>
    <t xml:space="preserve"> 65.1818 </t>
  </si>
  <si>
    <t xml:space="preserve">F:\Données chgh\2020-CHG-CZA-BPA-2\plaque 1/@03 EE2 51/E3_03.tif </t>
  </si>
  <si>
    <t xml:space="preserve"> 2206.2493 </t>
  </si>
  <si>
    <t xml:space="preserve"> 65.9804 </t>
  </si>
  <si>
    <t xml:space="preserve">F:\Données chgh\2020-CHG-CZA-BPA-2\plaque 1/@03 EE2 51/F3_01.tif </t>
  </si>
  <si>
    <t xml:space="preserve"> 8803.3671 </t>
  </si>
  <si>
    <t xml:space="preserve"> 75.0246 </t>
  </si>
  <si>
    <t xml:space="preserve">F:\Données chgh\2020-CHG-CZA-BPA-2\plaque 1/@03 EE2 51/F3_02.tif </t>
  </si>
  <si>
    <t xml:space="preserve"> 67.4486 </t>
  </si>
  <si>
    <t xml:space="preserve">F:\Données chgh\2020-CHG-CZA-BPA-2\plaque 1/@03 EE2 51/F3_03.tif </t>
  </si>
  <si>
    <t xml:space="preserve"> 7505.5734 </t>
  </si>
  <si>
    <t xml:space="preserve"> 75.7435 </t>
  </si>
  <si>
    <t xml:space="preserve">F:\Données chgh\2020-CHG-CZA-BPA-2\plaque 1/@03 EE2 51/G3_01.tif </t>
  </si>
  <si>
    <t xml:space="preserve"> 64.3611 </t>
  </si>
  <si>
    <t>F:\Données chgh\2020-CHG-CZA-BPA-2\plaque 1/@03 EE2 51/G3_02- exclu.tif</t>
  </si>
  <si>
    <t xml:space="preserve">F:\Données chgh\2020-CHG-CZA-BPA-2\plaque 1/@03 EE2 51/G3_03.tif </t>
  </si>
  <si>
    <t xml:space="preserve"> 65.6019 </t>
  </si>
  <si>
    <t xml:space="preserve">F:\Données chgh\2020-CHG-CZA-BPA-2\plaque 1/@03 EE2 51/H3_01.tif </t>
  </si>
  <si>
    <t xml:space="preserve"> 4823.4665 </t>
  </si>
  <si>
    <t xml:space="preserve"> 66.5874 </t>
  </si>
  <si>
    <t xml:space="preserve">F:\Données chgh\2020-CHG-CZA-BPA-2\plaque 1/@03 EE2 51/H3_02.tif </t>
  </si>
  <si>
    <t xml:space="preserve"> 886.8257 </t>
  </si>
  <si>
    <t xml:space="preserve"> 64.7317 </t>
  </si>
  <si>
    <t xml:space="preserve">F:\Données chgh\2020-CHG-CZA-BPA-2\plaque 1/@03 EE2 51/H3_03.tif </t>
  </si>
  <si>
    <t xml:space="preserve"> 64.3125 </t>
  </si>
  <si>
    <t xml:space="preserve">F:\Données chgh\2020-CHG-CZA-BPA-2\plaque 1/@03 EE2 51/ </t>
  </si>
  <si>
    <t xml:space="preserve"> 67.861 </t>
  </si>
  <si>
    <t xml:space="preserve"> 4.8412 </t>
  </si>
  <si>
    <t xml:space="preserve"> 304320.917 </t>
  </si>
  <si>
    <t xml:space="preserve"> 276514.865 </t>
  </si>
  <si>
    <t xml:space="preserve">F:\Données chgh\2020-CHG-CZA-BPA-2\plaque 1/@04 EE2 76/A4_01.tif </t>
  </si>
  <si>
    <t xml:space="preserve"> 2444.1781 </t>
  </si>
  <si>
    <t xml:space="preserve"> 65.823 </t>
  </si>
  <si>
    <t xml:space="preserve">F:\Données chgh\2020-CHG-CZA-BPA-2\plaque 1/@04 EE2 76/A4_02.tif </t>
  </si>
  <si>
    <t xml:space="preserve"> 66.8953 </t>
  </si>
  <si>
    <t xml:space="preserve">F:\Données chgh\2020-CHG-CZA-BPA-2\plaque 1/@04 EE2 76/A4_03.tif </t>
  </si>
  <si>
    <t xml:space="preserve"> 66.3543 </t>
  </si>
  <si>
    <t>F:\Données chgh\2020-CHG-CZA-BPA-2\plaque 1/@04 EE2 76/B4_01- exclu.tif</t>
  </si>
  <si>
    <t xml:space="preserve">F:\Données chgh\2020-CHG-CZA-BPA-2\plaque 1/@04 EE2 76/B4_02.tif </t>
  </si>
  <si>
    <t xml:space="preserve"> 3871.7511 </t>
  </si>
  <si>
    <t xml:space="preserve"> 65.676 </t>
  </si>
  <si>
    <t xml:space="preserve">F:\Données chgh\2020-CHG-CZA-BPA-2\plaque 1/@04 EE2 76/B4_03.tif </t>
  </si>
  <si>
    <t xml:space="preserve"> 3785.2316 </t>
  </si>
  <si>
    <t xml:space="preserve"> 64.4171 </t>
  </si>
  <si>
    <t xml:space="preserve">F:\Données chgh\2020-CHG-CZA-BPA-2\plaque 1/@04 EE2 76/C4_01.tif </t>
  </si>
  <si>
    <t xml:space="preserve"> 6164.52 </t>
  </si>
  <si>
    <t xml:space="preserve"> 66.8386 </t>
  </si>
  <si>
    <t xml:space="preserve">F:\Données chgh\2020-CHG-CZA-BPA-2\plaque 1/@04 EE2 76/C4_02.tif </t>
  </si>
  <si>
    <t xml:space="preserve"> 3266.1141 </t>
  </si>
  <si>
    <t xml:space="preserve"> 63.9205 </t>
  </si>
  <si>
    <t xml:space="preserve">F:\Données chgh\2020-CHG-CZA-BPA-2\plaque 1/@04 EE2 76/C4_03.tif </t>
  </si>
  <si>
    <t xml:space="preserve"> 62.7113 </t>
  </si>
  <si>
    <t>F:\Données chgh\2020-CHG-CZA-BPA-2\plaque 1/@04 EE2 76/D4_01- exclu.tif</t>
  </si>
  <si>
    <t xml:space="preserve">F:\Données chgh\2020-CHG-CZA-BPA-2\plaque 1/@04 EE2 76/D4_02.tif </t>
  </si>
  <si>
    <t xml:space="preserve"> 71.2535 </t>
  </si>
  <si>
    <t xml:space="preserve">F:\Données chgh\2020-CHG-CZA-BPA-2\plaque 1/@04 EE2 76/D4_03.tif </t>
  </si>
  <si>
    <t xml:space="preserve"> 8176.1002 </t>
  </si>
  <si>
    <t xml:space="preserve"> 67.9365 </t>
  </si>
  <si>
    <t xml:space="preserve">F:\Données chgh\2020-CHG-CZA-BPA-2\plaque 1/@04 EE2 76/E4_01.tif </t>
  </si>
  <si>
    <t xml:space="preserve"> 9884.8618 </t>
  </si>
  <si>
    <t xml:space="preserve"> 67.07 </t>
  </si>
  <si>
    <t xml:space="preserve">F:\Données chgh\2020-CHG-CZA-BPA-2\plaque 1/@04 EE2 76/E4_02.tif </t>
  </si>
  <si>
    <t xml:space="preserve"> 6034.7406 </t>
  </si>
  <si>
    <t xml:space="preserve"> 65.8853 </t>
  </si>
  <si>
    <t xml:space="preserve">F:\Données chgh\2020-CHG-CZA-BPA-2\plaque 1/@04 EE2 76/E4_03.tif </t>
  </si>
  <si>
    <t xml:space="preserve"> 2984.9255 </t>
  </si>
  <si>
    <t xml:space="preserve"> 63.6232 </t>
  </si>
  <si>
    <t xml:space="preserve">F:\Données chgh\2020-CHG-CZA-BPA-2\plaque 1/@04 EE2 76/F4_01.tif </t>
  </si>
  <si>
    <t xml:space="preserve"> 6078.0004 </t>
  </si>
  <si>
    <t xml:space="preserve"> 64.5053 </t>
  </si>
  <si>
    <t xml:space="preserve">F:\Données chgh\2020-CHG-CZA-BPA-2\plaque 1/@04 EE2 76/F4_02.tif </t>
  </si>
  <si>
    <t xml:space="preserve"> 4001.5305 </t>
  </si>
  <si>
    <t xml:space="preserve"> 63.4162 </t>
  </si>
  <si>
    <t xml:space="preserve">F:\Données chgh\2020-CHG-CZA-BPA-2\plaque 1/@04 EE2 76/F4_03.tif </t>
  </si>
  <si>
    <t xml:space="preserve"> 4953.2459 </t>
  </si>
  <si>
    <t xml:space="preserve"> 64.2926 </t>
  </si>
  <si>
    <t xml:space="preserve">F:\Données chgh\2020-CHG-CZA-BPA-2\plaque 1/@04 EE2 76/G4_01.tif </t>
  </si>
  <si>
    <t xml:space="preserve"> 8219.36 </t>
  </si>
  <si>
    <t xml:space="preserve"> 71.7421 </t>
  </si>
  <si>
    <t xml:space="preserve">F:\Données chgh\2020-CHG-CZA-BPA-2\plaque 1/@04 EE2 76/G4_02.tif </t>
  </si>
  <si>
    <t xml:space="preserve"> 5147.9149 </t>
  </si>
  <si>
    <t xml:space="preserve"> 68.8992 </t>
  </si>
  <si>
    <t xml:space="preserve">F:\Données chgh\2020-CHG-CZA-BPA-2\plaque 1/@04 EE2 76/G4_03.tif </t>
  </si>
  <si>
    <t xml:space="preserve"> 5212.8046 </t>
  </si>
  <si>
    <t xml:space="preserve"> 72.5062 </t>
  </si>
  <si>
    <t xml:space="preserve">F:\Données chgh\2020-CHG-CZA-BPA-2\plaque 1/@04 EE2 76/H4_01.tif </t>
  </si>
  <si>
    <t xml:space="preserve"> 65.7379 </t>
  </si>
  <si>
    <t xml:space="preserve">F:\Données chgh\2020-CHG-CZA-BPA-2\plaque 1/@04 EE2 76/H4_02.tif </t>
  </si>
  <si>
    <t xml:space="preserve"> 62.1304 </t>
  </si>
  <si>
    <t xml:space="preserve">F:\Données chgh\2020-CHG-CZA-BPA-2\plaque 1/@04 EE2 76/H4_03.tif </t>
  </si>
  <si>
    <t xml:space="preserve"> 64.4643 </t>
  </si>
  <si>
    <t xml:space="preserve">F:\Données chgh\2020-CHG-CZA-BPA-2\plaque 1/@04 EE2 76/ </t>
  </si>
  <si>
    <t xml:space="preserve"> 67.4448 </t>
  </si>
  <si>
    <t xml:space="preserve"> 7.0777 </t>
  </si>
  <si>
    <t xml:space="preserve"> 347732.167 </t>
  </si>
  <si>
    <t xml:space="preserve"> 241635.704 </t>
  </si>
  <si>
    <t xml:space="preserve">F:\Données chgh\2020-CHG-CZA-BPA-2\plaque 1/@05 EE2 114/A5_01.tif </t>
  </si>
  <si>
    <t xml:space="preserve"> 35689.3261 </t>
  </si>
  <si>
    <t xml:space="preserve"> 69.4727 </t>
  </si>
  <si>
    <t xml:space="preserve">F:\Données chgh\2020-CHG-CZA-BPA-2\plaque 1/@05 EE2 114/A5_02.tif </t>
  </si>
  <si>
    <t xml:space="preserve"> 29524.8062 </t>
  </si>
  <si>
    <t xml:space="preserve"> 67.9883 </t>
  </si>
  <si>
    <t xml:space="preserve">F:\Données chgh\2020-CHG-CZA-BPA-2\plaque 1/@05 EE2 114/A5_03.tif </t>
  </si>
  <si>
    <t xml:space="preserve"> 20072.5422 </t>
  </si>
  <si>
    <t xml:space="preserve"> 65.5172 </t>
  </si>
  <si>
    <t xml:space="preserve">F:\Données chgh\2020-CHG-CZA-BPA-2\plaque 1/@05 EE2 114/B5_01.tif </t>
  </si>
  <si>
    <t xml:space="preserve"> 12631.8585 </t>
  </si>
  <si>
    <t xml:space="preserve"> 65.0873 </t>
  </si>
  <si>
    <t>F:\Données chgh\2020-CHG-CZA-BPA-2\plaque 1/@05 EE2 114/B5_02- exclu.tif</t>
  </si>
  <si>
    <t xml:space="preserve">F:\Données chgh\2020-CHG-CZA-BPA-2\plaque 1/@05 EE2 114/B5_03.tif </t>
  </si>
  <si>
    <t xml:space="preserve"> 21651.5245 </t>
  </si>
  <si>
    <t xml:space="preserve"> 68.8222 </t>
  </si>
  <si>
    <t xml:space="preserve">F:\Données chgh\2020-CHG-CZA-BPA-2\plaque 1/@05 EE2 114/C5_01.tif </t>
  </si>
  <si>
    <t xml:space="preserve"> 41810.5863 </t>
  </si>
  <si>
    <t xml:space="preserve"> 70.492 </t>
  </si>
  <si>
    <t>F:\Données chgh\2020-CHG-CZA-BPA-2\plaque 1/@05 EE2 114/C5_02- exclu.tif</t>
  </si>
  <si>
    <t>F:\Données chgh\2020-CHG-CZA-BPA-2\plaque 1/@05 EE2 114/C5_03- exclu.tif</t>
  </si>
  <si>
    <t xml:space="preserve">F:\Données chgh\2020-CHG-CZA-BPA-2\plaque 1/@05 EE2 114/D5_01.tif </t>
  </si>
  <si>
    <t xml:space="preserve"> 12718.378 </t>
  </si>
  <si>
    <t xml:space="preserve"> 65.5578 </t>
  </si>
  <si>
    <t xml:space="preserve">F:\Données chgh\2020-CHG-CZA-BPA-2\plaque 1/@05 EE2 114/D5_02.tif </t>
  </si>
  <si>
    <t xml:space="preserve"> 14037.8016 </t>
  </si>
  <si>
    <t xml:space="preserve"> 65.3513 </t>
  </si>
  <si>
    <t xml:space="preserve">F:\Données chgh\2020-CHG-CZA-BPA-2\plaque 1/@05 EE2 114/D5_03.tif </t>
  </si>
  <si>
    <t xml:space="preserve"> 12177.6307 </t>
  </si>
  <si>
    <t xml:space="preserve"> 63.7851 </t>
  </si>
  <si>
    <t xml:space="preserve">F:\Données chgh\2020-CHG-CZA-BPA-2\plaque 1/@05 EE2 114/E5_01.tif </t>
  </si>
  <si>
    <t xml:space="preserve"> 6618.7478 </t>
  </si>
  <si>
    <t xml:space="preserve"> 69.0686 </t>
  </si>
  <si>
    <t xml:space="preserve">F:\Données chgh\2020-CHG-CZA-BPA-2\plaque 1/@05 EE2 114/E5_02.tif </t>
  </si>
  <si>
    <t xml:space="preserve"> 1838.541 </t>
  </si>
  <si>
    <t>F:\Données chgh\2020-CHG-CZA-BPA-2\plaque 1/@05 EE2 114/E5_03- exclu.tif</t>
  </si>
  <si>
    <t xml:space="preserve">F:\Données chgh\2020-CHG-CZA-BPA-2\plaque 1/@05 EE2 114/F5_01.tif </t>
  </si>
  <si>
    <t xml:space="preserve"> 19986.0226 </t>
  </si>
  <si>
    <t xml:space="preserve"> 69.4069 </t>
  </si>
  <si>
    <t xml:space="preserve">F:\Données chgh\2020-CHG-CZA-BPA-2\plaque 1/@05 EE2 114/F5_02.tif </t>
  </si>
  <si>
    <t xml:space="preserve"> 75.1238 </t>
  </si>
  <si>
    <t xml:space="preserve">F:\Données chgh\2020-CHG-CZA-BPA-2\plaque 1/@05 EE2 114/F5_03.tif </t>
  </si>
  <si>
    <t xml:space="preserve"> 20570.0298 </t>
  </si>
  <si>
    <t xml:space="preserve"> 70.4921 </t>
  </si>
  <si>
    <t xml:space="preserve">F:\Données chgh\2020-CHG-CZA-BPA-2\plaque 1/@05 EE2 114/G5_01.tif </t>
  </si>
  <si>
    <t xml:space="preserve"> 63.9752 </t>
  </si>
  <si>
    <t>F:\Données chgh\2020-CHG-CZA-BPA-2\plaque 1/@05 EE2 114/G5_02- exclu.tif</t>
  </si>
  <si>
    <t xml:space="preserve">F:\Données chgh\2020-CHG-CZA-BPA-2\plaque 1/@05 EE2 114/G5_03.tif </t>
  </si>
  <si>
    <t xml:space="preserve"> 62.8857 </t>
  </si>
  <si>
    <t xml:space="preserve">F:\Données chgh\2020-CHG-CZA-BPA-2\plaque 1/@05 EE2 114/H5_01.tif </t>
  </si>
  <si>
    <t xml:space="preserve"> 29589.6959 </t>
  </si>
  <si>
    <t xml:space="preserve"> 67.3706 </t>
  </si>
  <si>
    <t xml:space="preserve">F:\Données chgh\2020-CHG-CZA-BPA-2\plaque 1/@05 EE2 114/H5_02.tif </t>
  </si>
  <si>
    <t xml:space="preserve"> 27729.5249 </t>
  </si>
  <si>
    <t xml:space="preserve"> 67.9462 </t>
  </si>
  <si>
    <t>F:\Données chgh\2020-CHG-CZA-BPA-2\plaque 1/@05 EE2 114/H5_03- exclu.tif</t>
  </si>
  <si>
    <t xml:space="preserve">F:\Données chgh\2020-CHG-CZA-BPA-2\plaque 1/@05 EE2 114/ </t>
  </si>
  <si>
    <t xml:space="preserve"> 67.1142 </t>
  </si>
  <si>
    <t xml:space="preserve"> 2.966 </t>
  </si>
  <si>
    <t xml:space="preserve"> 1169509.42 </t>
  </si>
  <si>
    <t xml:space="preserve"> 775908.734 </t>
  </si>
  <si>
    <t xml:space="preserve">F:\Données chgh\2020-CHG-CZA-BPA-2\plaque 1/@06 EE2 171/A6_01.tif </t>
  </si>
  <si>
    <t xml:space="preserve"> 43995.2057 </t>
  </si>
  <si>
    <t xml:space="preserve"> 70.5339 </t>
  </si>
  <si>
    <t xml:space="preserve">F:\Données chgh\2020-CHG-CZA-BPA-2\plaque 1/@06 EE2 171/A6_02.tif </t>
  </si>
  <si>
    <t xml:space="preserve"> 52733.6831 </t>
  </si>
  <si>
    <t xml:space="preserve"> 70.3765 </t>
  </si>
  <si>
    <t xml:space="preserve">F:\Données chgh\2020-CHG-CZA-BPA-2\plaque 1/@06 EE2 171/A6_03.tif </t>
  </si>
  <si>
    <t xml:space="preserve"> 68.8308 </t>
  </si>
  <si>
    <t xml:space="preserve">F:\Données chgh\2020-CHG-CZA-BPA-2\plaque 1/@06 EE2 171/B6_01.tif </t>
  </si>
  <si>
    <t xml:space="preserve"> 43476.0882 </t>
  </si>
  <si>
    <t xml:space="preserve"> 79.5269 </t>
  </si>
  <si>
    <t xml:space="preserve">F:\Données chgh\2020-CHG-CZA-BPA-2\plaque 1/@06 EE2 171/B6_02.tif </t>
  </si>
  <si>
    <t xml:space="preserve"> 42459.4832 </t>
  </si>
  <si>
    <t xml:space="preserve"> 72.3938 </t>
  </si>
  <si>
    <t xml:space="preserve">F:\Données chgh\2020-CHG-CZA-BPA-2\plaque 1/@06 EE2 171/B6_03.tif </t>
  </si>
  <si>
    <t xml:space="preserve"> 76.4914 </t>
  </si>
  <si>
    <t xml:space="preserve">F:\Données chgh\2020-CHG-CZA-BPA-2\plaque 1/@06 EE2 171/C6_01.tif </t>
  </si>
  <si>
    <t xml:space="preserve"> 33115.3687 </t>
  </si>
  <si>
    <t xml:space="preserve"> 67.885 </t>
  </si>
  <si>
    <t xml:space="preserve">F:\Données chgh\2020-CHG-CZA-BPA-2\plaque 1/@06 EE2 171/C6_02.tif </t>
  </si>
  <si>
    <t xml:space="preserve"> 31276.8276 </t>
  </si>
  <si>
    <t xml:space="preserve"> 66.9239 </t>
  </si>
  <si>
    <t xml:space="preserve">F:\Données chgh\2020-CHG-CZA-BPA-2\plaque 1/@06 EE2 171/C6_03.tif </t>
  </si>
  <si>
    <t xml:space="preserve"> 34737.6108 </t>
  </si>
  <si>
    <t xml:space="preserve"> 68.6768 </t>
  </si>
  <si>
    <t xml:space="preserve">F:\Données chgh\2020-CHG-CZA-BPA-2\plaque 1/@06 EE2 171/D6_01.tif </t>
  </si>
  <si>
    <t xml:space="preserve"> 45228.1097 </t>
  </si>
  <si>
    <t xml:space="preserve"> 76.1865 </t>
  </si>
  <si>
    <t xml:space="preserve">F:\Données chgh\2020-CHG-CZA-BPA-2\plaque 1/@06 EE2 171/D6_02.tif </t>
  </si>
  <si>
    <t xml:space="preserve"> 41637.5472 </t>
  </si>
  <si>
    <t xml:space="preserve"> 79.9491 </t>
  </si>
  <si>
    <t>F:\Données chgh\2020-CHG-CZA-BPA-2\plaque 1/@06 EE2 171/D6_03- exclu.tif</t>
  </si>
  <si>
    <t>F:\Données chgh\2020-CHG-CZA-BPA-2\plaque 1/@06 EE2 171/E6_01- exclu.tif</t>
  </si>
  <si>
    <t xml:space="preserve">F:\Données chgh\2020-CHG-CZA-BPA-2\plaque 1/@06 EE2 171/E6_02.tif </t>
  </si>
  <si>
    <t xml:space="preserve"> 46374.4941 </t>
  </si>
  <si>
    <t xml:space="preserve"> 68.3223 </t>
  </si>
  <si>
    <t xml:space="preserve">F:\Données chgh\2020-CHG-CZA-BPA-2\plaque 1/@06 EE2 171/E6_03.tif </t>
  </si>
  <si>
    <t xml:space="preserve"> 42740.6718 </t>
  </si>
  <si>
    <t xml:space="preserve"> 68.961 </t>
  </si>
  <si>
    <t xml:space="preserve">F:\Données chgh\2020-CHG-CZA-BPA-2\plaque 1/@06 EE2 171/F6_01.tif </t>
  </si>
  <si>
    <t xml:space="preserve"> 74147.2788 </t>
  </si>
  <si>
    <t xml:space="preserve"> 90.7106 </t>
  </si>
  <si>
    <t xml:space="preserve">F:\Données chgh\2020-CHG-CZA-BPA-2\plaque 1/@06 EE2 171/F6_02.tif </t>
  </si>
  <si>
    <t xml:space="preserve"> 71421.9121 </t>
  </si>
  <si>
    <t xml:space="preserve"> 92.8159 </t>
  </si>
  <si>
    <t xml:space="preserve">F:\Données chgh\2020-CHG-CZA-BPA-2\plaque 1/@06 EE2 171/F6_03.tif </t>
  </si>
  <si>
    <t xml:space="preserve"> 69842.9298 </t>
  </si>
  <si>
    <t xml:space="preserve"> 89.3605 </t>
  </si>
  <si>
    <t xml:space="preserve">F:\Données chgh\2020-CHG-CZA-BPA-2\plaque 1/@06 EE2 171/G6_01.tif </t>
  </si>
  <si>
    <t xml:space="preserve"> 43411.1985 </t>
  </si>
  <si>
    <t xml:space="preserve"> 71.2795 </t>
  </si>
  <si>
    <t xml:space="preserve">F:\Données chgh\2020-CHG-CZA-BPA-2\plaque 1/@06 EE2 171/G6_02.tif </t>
  </si>
  <si>
    <t xml:space="preserve"> 57730.1888 </t>
  </si>
  <si>
    <t xml:space="preserve"> 75.1461 </t>
  </si>
  <si>
    <t xml:space="preserve">F:\Données chgh\2020-CHG-CZA-BPA-2\plaque 1/@06 EE2 171/G6_03.tif </t>
  </si>
  <si>
    <t xml:space="preserve"> 52279.4553 </t>
  </si>
  <si>
    <t xml:space="preserve"> 73.8676 </t>
  </si>
  <si>
    <t xml:space="preserve">F:\Données chgh\2020-CHG-CZA-BPA-2\plaque 1/@06 EE2 171/H6_01.tif </t>
  </si>
  <si>
    <t xml:space="preserve"> 34607.8314 </t>
  </si>
  <si>
    <t xml:space="preserve"> 71.85 </t>
  </si>
  <si>
    <t xml:space="preserve">F:\Données chgh\2020-CHG-CZA-BPA-2\plaque 1/@06 EE2 171/H6_02.tif </t>
  </si>
  <si>
    <t xml:space="preserve"> 33266.7779 </t>
  </si>
  <si>
    <t xml:space="preserve"> 71.2484 </t>
  </si>
  <si>
    <t xml:space="preserve">F:\Données chgh\2020-CHG-CZA-BPA-2\plaque 1/@06 EE2 171/H6_03.tif </t>
  </si>
  <si>
    <t xml:space="preserve"> 71.5019 </t>
  </si>
  <si>
    <t xml:space="preserve">F:\Données chgh\2020-CHG-CZA-BPA-2\plaque 1/@06 EE2 171/ </t>
  </si>
  <si>
    <t xml:space="preserve"> 74.4393 </t>
  </si>
  <si>
    <t xml:space="preserve"> 7.3251 </t>
  </si>
  <si>
    <t xml:space="preserve"> 3456577.04 </t>
  </si>
  <si>
    <t xml:space="preserve"> 1312357.26 </t>
  </si>
  <si>
    <t xml:space="preserve">F:\Données chgh\2020-CHG-CZA-BPA-2\plaque 1/@07 EE2 488/A7_01.tif </t>
  </si>
  <si>
    <t xml:space="preserve"> 74125.6489 </t>
  </si>
  <si>
    <t xml:space="preserve"> 82.7628 </t>
  </si>
  <si>
    <t xml:space="preserve">F:\Données chgh\2020-CHG-CZA-BPA-2\plaque 1/@07 EE2 488/A7_02.tif </t>
  </si>
  <si>
    <t xml:space="preserve"> 70470.1967 </t>
  </si>
  <si>
    <t xml:space="preserve"> 83.1949 </t>
  </si>
  <si>
    <t xml:space="preserve">F:\Données chgh\2020-CHG-CZA-BPA-2\plaque 1/@07 EE2 488/A7_03.tif </t>
  </si>
  <si>
    <t xml:space="preserve"> 69907.8194 </t>
  </si>
  <si>
    <t xml:space="preserve"> 83.9709 </t>
  </si>
  <si>
    <t xml:space="preserve">F:\Données chgh\2020-CHG-CZA-BPA-2\plaque 1/@07 EE2 488/B7_01.tif </t>
  </si>
  <si>
    <t xml:space="preserve"> 51738.708 </t>
  </si>
  <si>
    <t xml:space="preserve"> 76.9904 </t>
  </si>
  <si>
    <t>F:\Données chgh\2020-CHG-CZA-BPA-2\plaque 1/@07 EE2 488/B7_02- exclu.tif</t>
  </si>
  <si>
    <t xml:space="preserve">F:\Données chgh\2020-CHG-CZA-BPA-2\plaque 1/@07 EE2 488/B7_03.tif </t>
  </si>
  <si>
    <t xml:space="preserve"> 54334.2953 </t>
  </si>
  <si>
    <t xml:space="preserve"> 77.918 </t>
  </si>
  <si>
    <t xml:space="preserve">F:\Données chgh\2020-CHG-CZA-BPA-2\plaque 1/@07 EE2 488/C7_01.tif </t>
  </si>
  <si>
    <t xml:space="preserve"> 65322.2818 </t>
  </si>
  <si>
    <t xml:space="preserve"> 95.1669 </t>
  </si>
  <si>
    <t xml:space="preserve">F:\Données chgh\2020-CHG-CZA-BPA-2\plaque 1/@07 EE2 488/C7_02.tif </t>
  </si>
  <si>
    <t xml:space="preserve"> 55891.6477 </t>
  </si>
  <si>
    <t xml:space="preserve"> 96.1641 </t>
  </si>
  <si>
    <t xml:space="preserve">F:\Données chgh\2020-CHG-CZA-BPA-2\plaque 1/@07 EE2 488/C7_03.tif </t>
  </si>
  <si>
    <t xml:space="preserve"> 59633.6195 </t>
  </si>
  <si>
    <t xml:space="preserve"> 94.992 </t>
  </si>
  <si>
    <t xml:space="preserve">F:\Données chgh\2020-CHG-CZA-BPA-2\plaque 1/@07 EE2 488/D7_01.tif </t>
  </si>
  <si>
    <t xml:space="preserve"> 54117.9964 </t>
  </si>
  <si>
    <t xml:space="preserve"> 88.1079 </t>
  </si>
  <si>
    <t xml:space="preserve">F:\Données chgh\2020-CHG-CZA-BPA-2\plaque 1/@07 EE2 488/D7_02.tif </t>
  </si>
  <si>
    <t xml:space="preserve"> 56302.6157 </t>
  </si>
  <si>
    <t xml:space="preserve"> 86.0734 </t>
  </si>
  <si>
    <t xml:space="preserve">F:\Données chgh\2020-CHG-CZA-BPA-2\plaque 1/@07 EE2 488/D7_03.tif </t>
  </si>
  <si>
    <t xml:space="preserve"> 67333.862 </t>
  </si>
  <si>
    <t xml:space="preserve"> 83.8269 </t>
  </si>
  <si>
    <t xml:space="preserve">F:\Données chgh\2020-CHG-CZA-BPA-2\plaque 1/@07 EE2 488/E7_01.tif </t>
  </si>
  <si>
    <t xml:space="preserve"> 90.2455 </t>
  </si>
  <si>
    <t xml:space="preserve">F:\Données chgh\2020-CHG-CZA-BPA-2\plaque 1/@07 EE2 488/E7_02.tif </t>
  </si>
  <si>
    <t xml:space="preserve"> 68631.6557 </t>
  </si>
  <si>
    <t xml:space="preserve"> 88.4223 </t>
  </si>
  <si>
    <t>F:\Données chgh\2020-CHG-CZA-BPA-2\plaque 1/@07 EE2 488/E7_03- exclu.tif</t>
  </si>
  <si>
    <t xml:space="preserve">F:\Données chgh\2020-CHG-CZA-BPA-2\plaque 1/@07 EE2 488/F7_01.tif </t>
  </si>
  <si>
    <t xml:space="preserve"> 58768.4237 </t>
  </si>
  <si>
    <t xml:space="preserve"> 78.8215 </t>
  </si>
  <si>
    <t xml:space="preserve">F:\Données chgh\2020-CHG-CZA-BPA-2\plaque 1/@07 EE2 488/F7_02.tif </t>
  </si>
  <si>
    <t xml:space="preserve"> 51544.0389 </t>
  </si>
  <si>
    <t xml:space="preserve"> 77.6832 </t>
  </si>
  <si>
    <t xml:space="preserve">F:\Données chgh\2020-CHG-CZA-BPA-2\plaque 1/@07 EE2 488/F7_03.tif </t>
  </si>
  <si>
    <t xml:space="preserve"> 53079.7614 </t>
  </si>
  <si>
    <t xml:space="preserve"> 78.8598 </t>
  </si>
  <si>
    <t>F:\Données chgh\2020-CHG-CZA-BPA-2\plaque 1/@07 EE2 488/G7_01- exclu.tif</t>
  </si>
  <si>
    <t>F:\Données chgh\2020-CHG-CZA-BPA-2\plaque 1/@07 EE2 488/G7_02- exclu.tif</t>
  </si>
  <si>
    <t xml:space="preserve">F:\Données chgh\2020-CHG-CZA-BPA-2\plaque 1/@07 EE2 488/G7_03.tif </t>
  </si>
  <si>
    <t xml:space="preserve"> 85935.5714 </t>
  </si>
  <si>
    <t xml:space="preserve"> 87.2419 </t>
  </si>
  <si>
    <t xml:space="preserve">F:\Données chgh\2020-CHG-CZA-BPA-2\plaque 1/@07 EE2 488/H7_01.tif </t>
  </si>
  <si>
    <t xml:space="preserve"> 46569.1631 </t>
  </si>
  <si>
    <t xml:space="preserve"> 84.6972 </t>
  </si>
  <si>
    <t xml:space="preserve">F:\Données chgh\2020-CHG-CZA-BPA-2\plaque 1/@07 EE2 488/H7_02.tif </t>
  </si>
  <si>
    <t xml:space="preserve"> 76.5355 </t>
  </si>
  <si>
    <t xml:space="preserve">F:\Données chgh\2020-CHG-CZA-BPA-2\plaque 1/@07 EE2 488/H7_03.tif </t>
  </si>
  <si>
    <t xml:space="preserve"> 41226.5792 </t>
  </si>
  <si>
    <t xml:space="preserve"> 76.6049 </t>
  </si>
  <si>
    <t xml:space="preserve">F:\Données chgh\2020-CHG-CZA-BPA-2\plaque 1/@07 EE2 488/ </t>
  </si>
  <si>
    <t xml:space="preserve"> 82.7103 </t>
  </si>
  <si>
    <t xml:space="preserve"> 7.6632 </t>
  </si>
  <si>
    <t xml:space="preserve"> 4667386.88 </t>
  </si>
  <si>
    <t xml:space="preserve"> 1450361.29 </t>
  </si>
  <si>
    <t xml:space="preserve">F:\Données chgh\2020-CHG-CZA-BPA-2\plaque 1/@08 BPA 1/A8_01.tif </t>
  </si>
  <si>
    <t xml:space="preserve"> 71.4815 </t>
  </si>
  <si>
    <t xml:space="preserve">F:\Données chgh\2020-CHG-CZA-BPA-2\plaque 1/@08 BPA 1/A8_02.tif </t>
  </si>
  <si>
    <t xml:space="preserve"> 1600.6122 </t>
  </si>
  <si>
    <t xml:space="preserve"> 64.1486 </t>
  </si>
  <si>
    <t xml:space="preserve">F:\Données chgh\2020-CHG-CZA-BPA-2\plaque 1/@08 BPA 1/A8_03.tif </t>
  </si>
  <si>
    <t xml:space="preserve"> 3374.2636 </t>
  </si>
  <si>
    <t xml:space="preserve"> 65.3462 </t>
  </si>
  <si>
    <t xml:space="preserve">F:\Données chgh\2020-CHG-CZA-BPA-2\plaque 1/@08 BPA 1/B8_01.tif </t>
  </si>
  <si>
    <t xml:space="preserve"> 8024.6909 </t>
  </si>
  <si>
    <t xml:space="preserve"> 69.5606 </t>
  </si>
  <si>
    <t xml:space="preserve">F:\Données chgh\2020-CHG-CZA-BPA-2\plaque 1/@08 BPA 1/B8_02.tif </t>
  </si>
  <si>
    <t xml:space="preserve"> 6099.6303 </t>
  </si>
  <si>
    <t xml:space="preserve"> 67.5674 </t>
  </si>
  <si>
    <t xml:space="preserve">F:\Données chgh\2020-CHG-CZA-BPA-2\plaque 1/@08 BPA 1/B8_03.tif </t>
  </si>
  <si>
    <t xml:space="preserve"> 62.5952 </t>
  </si>
  <si>
    <t xml:space="preserve">F:\Données chgh\2020-CHG-CZA-BPA-2\plaque 1/@08 BPA 1/C8_01.tif </t>
  </si>
  <si>
    <t xml:space="preserve"> 7981.4311 </t>
  </si>
  <si>
    <t xml:space="preserve"> 71.9539 </t>
  </si>
  <si>
    <t xml:space="preserve">F:\Données chgh\2020-CHG-CZA-BPA-2\plaque 1/@08 BPA 1/C8_02.tif </t>
  </si>
  <si>
    <t xml:space="preserve"> 6510.5983 </t>
  </si>
  <si>
    <t xml:space="preserve"> 69.7076 </t>
  </si>
  <si>
    <t xml:space="preserve">F:\Données chgh\2020-CHG-CZA-BPA-2\plaque 1/@08 BPA 1/C8_03.tif </t>
  </si>
  <si>
    <t xml:space="preserve"> 4239.4593 </t>
  </si>
  <si>
    <t xml:space="preserve"> 66.3776 </t>
  </si>
  <si>
    <t xml:space="preserve">F:\Données chgh\2020-CHG-CZA-BPA-2\plaque 1/@08 BPA 1/D8_01.tif </t>
  </si>
  <si>
    <t xml:space="preserve"> 10166.0505 </t>
  </si>
  <si>
    <t xml:space="preserve"> 77.0362 </t>
  </si>
  <si>
    <t xml:space="preserve">F:\Données chgh\2020-CHG-CZA-BPA-2\plaque 1/@08 BPA 1/D8_02.tif </t>
  </si>
  <si>
    <t xml:space="preserve"> 8089.5806 </t>
  </si>
  <si>
    <t xml:space="preserve"> 75.0374 </t>
  </si>
  <si>
    <t xml:space="preserve">F:\Données chgh\2020-CHG-CZA-BPA-2\plaque 1/@08 BPA 1/D8_03.tif </t>
  </si>
  <si>
    <t xml:space="preserve"> 8478.9187 </t>
  </si>
  <si>
    <t xml:space="preserve"> 75.5485 </t>
  </si>
  <si>
    <t xml:space="preserve">F:\Données chgh\2020-CHG-CZA-BPA-2\plaque 1/@08 BPA 1/E8_01.tif </t>
  </si>
  <si>
    <t xml:space="preserve"> 3287.744 </t>
  </si>
  <si>
    <t xml:space="preserve"> 67.3553 </t>
  </si>
  <si>
    <t xml:space="preserve">F:\Données chgh\2020-CHG-CZA-BPA-2\plaque 1/@08 BPA 1/E8_02.tif </t>
  </si>
  <si>
    <t xml:space="preserve"> 71.1083 </t>
  </si>
  <si>
    <t xml:space="preserve">F:\Données chgh\2020-CHG-CZA-BPA-2\plaque 1/@08 BPA 1/E8_03.tif </t>
  </si>
  <si>
    <t xml:space="preserve"> 2833.5162 </t>
  </si>
  <si>
    <t xml:space="preserve"> 65.5038 </t>
  </si>
  <si>
    <t xml:space="preserve">F:\Données chgh\2020-CHG-CZA-BPA-2\plaque 1/@08 BPA 1/F8_01.tif </t>
  </si>
  <si>
    <t xml:space="preserve"> 2271.1389 </t>
  </si>
  <si>
    <t xml:space="preserve">F:\Données chgh\2020-CHG-CZA-BPA-2\plaque 1/@08 BPA 1/F8_02.tif </t>
  </si>
  <si>
    <t xml:space="preserve"> 1103.1246 </t>
  </si>
  <si>
    <t xml:space="preserve"> 63.8235 </t>
  </si>
  <si>
    <t xml:space="preserve">F:\Données chgh\2020-CHG-CZA-BPA-2\plaque 1/@08 BPA 1/F8_03.tif </t>
  </si>
  <si>
    <t xml:space="preserve"> 64.4062 </t>
  </si>
  <si>
    <t xml:space="preserve">F:\Données chgh\2020-CHG-CZA-BPA-2\plaque 1/@08 BPA 1/G8_01.tif </t>
  </si>
  <si>
    <t xml:space="preserve"> 6597.1179 </t>
  </si>
  <si>
    <t xml:space="preserve"> 70.6197 </t>
  </si>
  <si>
    <t xml:space="preserve">F:\Données chgh\2020-CHG-CZA-BPA-2\plaque 1/@08 BPA 1/G8_02.tif </t>
  </si>
  <si>
    <t xml:space="preserve"> 5515.6231 </t>
  </si>
  <si>
    <t xml:space="preserve"> 70.5176 </t>
  </si>
  <si>
    <t xml:space="preserve">F:\Données chgh\2020-CHG-CZA-BPA-2\plaque 1/@08 BPA 1/G8_03.tif </t>
  </si>
  <si>
    <t xml:space="preserve"> 71.3263 </t>
  </si>
  <si>
    <t>F:\Données chgh\2020-CHG-CZA-BPA-2\plaque 1/@08 BPA 1/H8_01- exclu.tif</t>
  </si>
  <si>
    <t>F:\Données chgh\2020-CHG-CZA-BPA-2\plaque 1/@08 BPA 1/H8_02- exclu.tif</t>
  </si>
  <si>
    <t>F:\Données chgh\2020-CHG-CZA-BPA-2\plaque 1/@08 BPA 1/H8_03- exclu.tif</t>
  </si>
  <si>
    <t xml:space="preserve">F:\Données chgh\2020-CHG-CZA-BPA-2\plaque 1/@08 BPA 1/ </t>
  </si>
  <si>
    <t xml:space="preserve"> 68.1425 </t>
  </si>
  <si>
    <t xml:space="preserve"> 4.2983 </t>
  </si>
  <si>
    <t xml:space="preserve"> 305801.583 </t>
  </si>
  <si>
    <t xml:space="preserve"> 225741.09 </t>
  </si>
  <si>
    <t xml:space="preserve">F:\Données chgh\2020-CHG-CZA-BPA-2\plaque 1/@09 BPA 2/A9_01.tif </t>
  </si>
  <si>
    <t xml:space="preserve"> 3893.381 </t>
  </si>
  <si>
    <t xml:space="preserve"> 69.6889 </t>
  </si>
  <si>
    <t xml:space="preserve">F:\Données chgh\2020-CHG-CZA-BPA-2\plaque 1/@09 BPA 2/A9_02.tif </t>
  </si>
  <si>
    <t xml:space="preserve"> 3006.5554 </t>
  </si>
  <si>
    <t xml:space="preserve"> 66.6763 </t>
  </si>
  <si>
    <t xml:space="preserve">F:\Données chgh\2020-CHG-CZA-BPA-2\plaque 1/@09 BPA 2/A9_03.tif </t>
  </si>
  <si>
    <t xml:space="preserve"> 61.7097 </t>
  </si>
  <si>
    <t xml:space="preserve">F:\Données chgh\2020-CHG-CZA-BPA-2\plaque 1/@09 BPA 2/B9_01.tif </t>
  </si>
  <si>
    <t xml:space="preserve"> 63.717 </t>
  </si>
  <si>
    <t xml:space="preserve">F:\Données chgh\2020-CHG-CZA-BPA-2\plaque 1/@09 BPA 2/B9_02.tif </t>
  </si>
  <si>
    <t xml:space="preserve"> 64.1724 </t>
  </si>
  <si>
    <t xml:space="preserve">F:\Données chgh\2020-CHG-CZA-BPA-2\plaque 1/@09 BPA 2/B9_03.tif </t>
  </si>
  <si>
    <t xml:space="preserve"> 66.6016 </t>
  </si>
  <si>
    <t xml:space="preserve">F:\Données chgh\2020-CHG-CZA-BPA-2\plaque 1/@09 BPA 2/C9_01.tif </t>
  </si>
  <si>
    <t xml:space="preserve"> 64.4545 </t>
  </si>
  <si>
    <t xml:space="preserve">F:\Données chgh\2020-CHG-CZA-BPA-2\plaque 1/@09 BPA 2/C9_02.tif </t>
  </si>
  <si>
    <t xml:space="preserve"> 64.7987 </t>
  </si>
  <si>
    <t xml:space="preserve">F:\Données chgh\2020-CHG-CZA-BPA-2\plaque 1/@09 BPA 2/C9_03.tif </t>
  </si>
  <si>
    <t xml:space="preserve"> 62.0476 </t>
  </si>
  <si>
    <t xml:space="preserve">F:\Données chgh\2020-CHG-CZA-BPA-2\plaque 1/@09 BPA 2/D9_01.tif </t>
  </si>
  <si>
    <t xml:space="preserve"> 9993.0113 </t>
  </si>
  <si>
    <t xml:space="preserve"> 72.3939 </t>
  </si>
  <si>
    <t xml:space="preserve">F:\Données chgh\2020-CHG-CZA-BPA-2\plaque 1/@09 BPA 2/D9_02.tif </t>
  </si>
  <si>
    <t xml:space="preserve"> 10814.9473 </t>
  </si>
  <si>
    <t xml:space="preserve"> 79.726 </t>
  </si>
  <si>
    <t>F:\Données chgh\2020-CHG-CZA-BPA-2\plaque 1/@09 BPA 2/D9_03- exclu.tif</t>
  </si>
  <si>
    <t xml:space="preserve">F:\Données chgh\2020-CHG-CZA-BPA-2\plaque 1/@09 BPA 2/E9_01.tif </t>
  </si>
  <si>
    <t xml:space="preserve"> 64.9189 </t>
  </si>
  <si>
    <t xml:space="preserve">F:\Données chgh\2020-CHG-CZA-BPA-2\plaque 1/@09 BPA 2/E9_02.tif </t>
  </si>
  <si>
    <t xml:space="preserve"> 7894.9115 </t>
  </si>
  <si>
    <t xml:space="preserve"> 78.1671 </t>
  </si>
  <si>
    <t xml:space="preserve">F:\Données chgh\2020-CHG-CZA-BPA-2\plaque 1/@09 BPA 2/E9_03.tif </t>
  </si>
  <si>
    <t xml:space="preserve"> 64.9824 </t>
  </si>
  <si>
    <t xml:space="preserve">F:\Données chgh\2020-CHG-CZA-BPA-2\plaque 1/@09 BPA 2/F9_01.tif </t>
  </si>
  <si>
    <t xml:space="preserve"> 3309.3739 </t>
  </si>
  <si>
    <t xml:space="preserve"> 66.4967 </t>
  </si>
  <si>
    <t xml:space="preserve">F:\Données chgh\2020-CHG-CZA-BPA-2\plaque 1/@09 BPA 2/F9_02.tif </t>
  </si>
  <si>
    <t xml:space="preserve"> 62.6129 </t>
  </si>
  <si>
    <t xml:space="preserve">F:\Données chgh\2020-CHG-CZA-BPA-2\plaque 1/@09 BPA 2/F9_03.tif </t>
  </si>
  <si>
    <t xml:space="preserve"> 67.2457 </t>
  </si>
  <si>
    <t xml:space="preserve">F:\Données chgh\2020-CHG-CZA-BPA-2\plaque 1/@09 BPA 2/G9_01.tif </t>
  </si>
  <si>
    <t xml:space="preserve"> 8998.0362 </t>
  </si>
  <si>
    <t xml:space="preserve"> 71.1851 </t>
  </si>
  <si>
    <t xml:space="preserve">F:\Données chgh\2020-CHG-CZA-BPA-2\plaque 1/@09 BPA 2/G9_02.tif </t>
  </si>
  <si>
    <t xml:space="preserve"> 6488.9684 </t>
  </si>
  <si>
    <t xml:space="preserve"> 70.3233 </t>
  </si>
  <si>
    <t xml:space="preserve">F:\Données chgh\2020-CHG-CZA-BPA-2\plaque 1/@09 BPA 2/G9_03.tif </t>
  </si>
  <si>
    <t xml:space="preserve"> 70.0433 </t>
  </si>
  <si>
    <t>F:\Données chgh\2020-CHG-CZA-BPA-2\plaque 1/@09 BPA 2/H9_01- exclu.tif</t>
  </si>
  <si>
    <t>F:\Données chgh\2020-CHG-CZA-BPA-2\plaque 1/@09 BPA 2/H9_02- exclu.tif</t>
  </si>
  <si>
    <t>F:\Données chgh\2020-CHG-CZA-BPA-2\plaque 1/@09 BPA 2/H9_03- exclu.tif</t>
  </si>
  <si>
    <t xml:space="preserve">F:\Données chgh\2020-CHG-CZA-BPA-2\plaque 1/@09 BPA 2/ </t>
  </si>
  <si>
    <t xml:space="preserve"> 66.9319 </t>
  </si>
  <si>
    <t xml:space="preserve"> 4.7605 </t>
  </si>
  <si>
    <t xml:space="preserve"> 250309.292 </t>
  </si>
  <si>
    <t xml:space="preserve"> 251546.614 </t>
  </si>
  <si>
    <t xml:space="preserve">F:\Données chgh\2020-CHG-CZA-BPA-2\plaque 1/@10  BPA 3/A10_01.tif </t>
  </si>
  <si>
    <t xml:space="preserve"> 8846.6269 </t>
  </si>
  <si>
    <t xml:space="preserve"> 70.4499 </t>
  </si>
  <si>
    <t xml:space="preserve">F:\Données chgh\2020-CHG-CZA-BPA-2\plaque 1/@10  BPA 3/A10_02.tif </t>
  </si>
  <si>
    <t xml:space="preserve"> 70.3268 </t>
  </si>
  <si>
    <t xml:space="preserve">F:\Données chgh\2020-CHG-CZA-BPA-2\plaque 1/@10  BPA 3/A10_03.tif </t>
  </si>
  <si>
    <t xml:space="preserve"> 69.1713 </t>
  </si>
  <si>
    <t xml:space="preserve">F:\Données chgh\2020-CHG-CZA-BPA-2\plaque 1/@10  BPA 3/B10_01.tif </t>
  </si>
  <si>
    <t xml:space="preserve"> 65.1941 </t>
  </si>
  <si>
    <t xml:space="preserve">F:\Données chgh\2020-CHG-CZA-BPA-2\plaque 1/@10  BPA 3/B10_02.tif </t>
  </si>
  <si>
    <t xml:space="preserve"> 65.9792 </t>
  </si>
  <si>
    <t xml:space="preserve">F:\Données chgh\2020-CHG-CZA-BPA-2\plaque 1/@10  BPA 3/B10_03.tif </t>
  </si>
  <si>
    <t xml:space="preserve"> 63.8909 </t>
  </si>
  <si>
    <t>F:\Données chgh\2020-CHG-CZA-BPA-2\plaque 1/@10  BPA 3/C10_01- exclu.tif</t>
  </si>
  <si>
    <t xml:space="preserve">F:\Données chgh\2020-CHG-CZA-BPA-2\plaque 1/@10  BPA 3/C10_02.tif </t>
  </si>
  <si>
    <t xml:space="preserve"> 6056.3705 </t>
  </si>
  <si>
    <t xml:space="preserve"> 64.1179 </t>
  </si>
  <si>
    <t xml:space="preserve">F:\Données chgh\2020-CHG-CZA-BPA-2\plaque 1/@10  BPA 3/C10_03.tif </t>
  </si>
  <si>
    <t xml:space="preserve"> 3806.8615 </t>
  </si>
  <si>
    <t xml:space="preserve"> 63.6364 </t>
  </si>
  <si>
    <t xml:space="preserve">F:\Données chgh\2020-CHG-CZA-BPA-2\plaque 1/@10  BPA 3/D10_01.tif </t>
  </si>
  <si>
    <t xml:space="preserve"> 12804.8976 </t>
  </si>
  <si>
    <t xml:space="preserve"> 65.223 </t>
  </si>
  <si>
    <t xml:space="preserve">F:\Données chgh\2020-CHG-CZA-BPA-2\plaque 1/@10  BPA 3/D10_02.tif </t>
  </si>
  <si>
    <t xml:space="preserve"> 5926.5911 </t>
  </si>
  <si>
    <t xml:space="preserve"> 64.8759 </t>
  </si>
  <si>
    <t xml:space="preserve">F:\Données chgh\2020-CHG-CZA-BPA-2\plaque 1/@10  BPA 3/D10_03.tif </t>
  </si>
  <si>
    <t xml:space="preserve"> 62.5652 </t>
  </si>
  <si>
    <t xml:space="preserve">F:\Données chgh\2020-CHG-CZA-BPA-2\plaque 1/@10  BPA 3/E10_01.tif </t>
  </si>
  <si>
    <t xml:space="preserve"> 3114.7048 </t>
  </si>
  <si>
    <t xml:space="preserve"> 66.9167 </t>
  </si>
  <si>
    <t xml:space="preserve">F:\Données chgh\2020-CHG-CZA-BPA-2\plaque 1/@10  BPA 3/E10_02.tif </t>
  </si>
  <si>
    <t xml:space="preserve"> 63.7727 </t>
  </si>
  <si>
    <t xml:space="preserve">F:\Données chgh\2020-CHG-CZA-BPA-2\plaque 1/@10  BPA 3/E10_03.tif </t>
  </si>
  <si>
    <t xml:space="preserve"> 63.7333 </t>
  </si>
  <si>
    <t xml:space="preserve">F:\Données chgh\2020-CHG-CZA-BPA-2\plaque 1/@10  BPA 3/F10_01.tif </t>
  </si>
  <si>
    <t xml:space="preserve"> 3352.6337 </t>
  </si>
  <si>
    <t xml:space="preserve"> 68.6774 </t>
  </si>
  <si>
    <t xml:space="preserve">F:\Données chgh\2020-CHG-CZA-BPA-2\plaque 1/@10  BPA 3/F10_02.tif </t>
  </si>
  <si>
    <t xml:space="preserve"> 67.1611 </t>
  </si>
  <si>
    <t xml:space="preserve">F:\Données chgh\2020-CHG-CZA-BPA-2\plaque 1/@10  BPA 3/F10_03.tif </t>
  </si>
  <si>
    <t xml:space="preserve"> 2054.84 </t>
  </si>
  <si>
    <t xml:space="preserve"> 65.7579 </t>
  </si>
  <si>
    <t>F:\Données chgh\2020-CHG-CZA-BPA-2\plaque 1/@10  BPA 3/G10_01- exclu.tif</t>
  </si>
  <si>
    <t xml:space="preserve">F:\Données chgh\2020-CHG-CZA-BPA-2\plaque 1/@10  BPA 3/G10_02.tif </t>
  </si>
  <si>
    <t xml:space="preserve"> 85.296 </t>
  </si>
  <si>
    <t xml:space="preserve">F:\Données chgh\2020-CHG-CZA-BPA-2\plaque 1/@10  BPA 3/G10_03.tif </t>
  </si>
  <si>
    <t xml:space="preserve"> 13713.3532 </t>
  </si>
  <si>
    <t xml:space="preserve"> 83.1341 </t>
  </si>
  <si>
    <t xml:space="preserve">F:\Données chgh\2020-CHG-CZA-BPA-2\plaque 1/@10  BPA 3/H10_01.tif </t>
  </si>
  <si>
    <t xml:space="preserve"> 3828.4913 </t>
  </si>
  <si>
    <t xml:space="preserve"> 67.9774 </t>
  </si>
  <si>
    <t xml:space="preserve">F:\Données chgh\2020-CHG-CZA-BPA-2\plaque 1/@10  BPA 3/H10_02.tif </t>
  </si>
  <si>
    <t xml:space="preserve"> 64.967 </t>
  </si>
  <si>
    <t xml:space="preserve">F:\Données chgh\2020-CHG-CZA-BPA-2\plaque 1/@10  BPA 3/H10_03.tif </t>
  </si>
  <si>
    <t xml:space="preserve"> 62.4762 </t>
  </si>
  <si>
    <t xml:space="preserve">F:\Données chgh\2020-CHG-CZA-BPA-2\plaque 1/@10  BPA 3/ </t>
  </si>
  <si>
    <t xml:space="preserve"> 68.1865 </t>
  </si>
  <si>
    <t xml:space="preserve"> 6.9749 </t>
  </si>
  <si>
    <t xml:space="preserve"> 452176.542 </t>
  </si>
  <si>
    <t xml:space="preserve"> 388841.954 </t>
  </si>
  <si>
    <t xml:space="preserve">F:\Données chgh\2020-CHG-CZA-BPA-2\plaque 1/@11 BPA 4/A11_01.tif </t>
  </si>
  <si>
    <t xml:space="preserve"> 63.3462 </t>
  </si>
  <si>
    <t>F:\Données chgh\2020-CHG-CZA-BPA-2\plaque 1/@11 BPA 4/A11_02- exclu.tif</t>
  </si>
  <si>
    <t xml:space="preserve">F:\Données chgh\2020-CHG-CZA-BPA-2\plaque 1/@11 BPA 4/A11_03.tif </t>
  </si>
  <si>
    <t xml:space="preserve"> 62.5 </t>
  </si>
  <si>
    <t xml:space="preserve">F:\Données chgh\2020-CHG-CZA-BPA-2\plaque 1/@11 BPA 4/B11_01.tif </t>
  </si>
  <si>
    <t xml:space="preserve"> 24355.2614 </t>
  </si>
  <si>
    <t xml:space="preserve"> 68.6474 </t>
  </si>
  <si>
    <t xml:space="preserve">F:\Données chgh\2020-CHG-CZA-BPA-2\plaque 1/@11 BPA 4/B11_02.tif </t>
  </si>
  <si>
    <t xml:space="preserve"> 16914.5776 </t>
  </si>
  <si>
    <t xml:space="preserve"> 68.1458 </t>
  </si>
  <si>
    <t xml:space="preserve">F:\Données chgh\2020-CHG-CZA-BPA-2\plaque 1/@11 BPA 4/B11_03.tif </t>
  </si>
  <si>
    <t xml:space="preserve"> 23360.2862 </t>
  </si>
  <si>
    <t xml:space="preserve"> 68.1463 </t>
  </si>
  <si>
    <t xml:space="preserve">F:\Données chgh\2020-CHG-CZA-BPA-2\plaque 1/@11 BPA 4/C11_01.tif </t>
  </si>
  <si>
    <t xml:space="preserve"> 63.3167 </t>
  </si>
  <si>
    <t xml:space="preserve">F:\Données chgh\2020-CHG-CZA-BPA-2\plaque 1/@11 BPA 4/C11_02.tif </t>
  </si>
  <si>
    <t xml:space="preserve"> 65.3519 </t>
  </si>
  <si>
    <t xml:space="preserve">F:\Données chgh\2020-CHG-CZA-BPA-2\plaque 1/@11 BPA 4/C11_03.tif </t>
  </si>
  <si>
    <t xml:space="preserve">F:\Données chgh\2020-CHG-CZA-BPA-2\plaque 1/@11 BPA 4/D11_01.tif </t>
  </si>
  <si>
    <t xml:space="preserve"> 8154.4703 </t>
  </si>
  <si>
    <t xml:space="preserve"> 64.5491 </t>
  </si>
  <si>
    <t xml:space="preserve">F:\Données chgh\2020-CHG-CZA-BPA-2\plaque 1/@11 BPA 4/D11_02.tif </t>
  </si>
  <si>
    <t xml:space="preserve"> 10339.0896 </t>
  </si>
  <si>
    <t xml:space="preserve"> 67.0209 </t>
  </si>
  <si>
    <t xml:space="preserve">F:\Données chgh\2020-CHG-CZA-BPA-2\plaque 1/@11 BPA 4/D11_03.tif </t>
  </si>
  <si>
    <t xml:space="preserve"> 66.3736 </t>
  </si>
  <si>
    <t xml:space="preserve">F:\Données chgh\2020-CHG-CZA-BPA-2\plaque 1/@11 BPA 4/E11_01.tif </t>
  </si>
  <si>
    <t xml:space="preserve"> 66.0568 </t>
  </si>
  <si>
    <t xml:space="preserve">F:\Données chgh\2020-CHG-CZA-BPA-2\plaque 1/@11 BPA 4/E11_02.tif </t>
  </si>
  <si>
    <t xml:space="preserve"> 62.0556 </t>
  </si>
  <si>
    <t xml:space="preserve">F:\Données chgh\2020-CHG-CZA-BPA-2\plaque 1/@11 BPA 4/E11_03.tif </t>
  </si>
  <si>
    <t xml:space="preserve"> 62.5435 </t>
  </si>
  <si>
    <t xml:space="preserve">F:\Données chgh\2020-CHG-CZA-BPA-2\plaque 1/@11 BPA 4/F11_01.tif </t>
  </si>
  <si>
    <t xml:space="preserve"> 21175.6668 </t>
  </si>
  <si>
    <t xml:space="preserve"> 65.5761 </t>
  </si>
  <si>
    <t xml:space="preserve">F:\Données chgh\2020-CHG-CZA-BPA-2\plaque 1/@11 BPA 4/F11_02.tif </t>
  </si>
  <si>
    <t xml:space="preserve"> 22603.2399 </t>
  </si>
  <si>
    <t xml:space="preserve"> 65.2718 </t>
  </si>
  <si>
    <t xml:space="preserve">F:\Données chgh\2020-CHG-CZA-BPA-2\plaque 1/@11 BPA 4/F11_03.tif </t>
  </si>
  <si>
    <t xml:space="preserve"> 10836.5772 </t>
  </si>
  <si>
    <t xml:space="preserve"> 64.8164 </t>
  </si>
  <si>
    <t>F:\Données chgh\2020-CHG-CZA-BPA-2\plaque 1/@11 BPA 4/G11_01- exclu.tif</t>
  </si>
  <si>
    <t>F:\Données chgh\2020-CHG-CZA-BPA-2\plaque 1/@11 BPA 4/G11_02- exclu.tif</t>
  </si>
  <si>
    <t xml:space="preserve">F:\Données chgh\2020-CHG-CZA-BPA-2\plaque 1/@11 BPA 4/G11_03.tif </t>
  </si>
  <si>
    <t xml:space="preserve"> 45985.156 </t>
  </si>
  <si>
    <t xml:space="preserve"> 72.6218 </t>
  </si>
  <si>
    <t xml:space="preserve">F:\Données chgh\2020-CHG-CZA-BPA-2\plaque 1/@11 BPA 4/H11_01.tif </t>
  </si>
  <si>
    <t xml:space="preserve"> 63.4323 </t>
  </si>
  <si>
    <t xml:space="preserve">F:\Données chgh\2020-CHG-CZA-BPA-2\plaque 1/@11 BPA 4/H11_02.tif </t>
  </si>
  <si>
    <t xml:space="preserve"> 12091.1111 </t>
  </si>
  <si>
    <t xml:space="preserve"> 70.6225 </t>
  </si>
  <si>
    <t xml:space="preserve">F:\Données chgh\2020-CHG-CZA-BPA-2\plaque 1/@11 BPA 4/H11_03.tif </t>
  </si>
  <si>
    <t xml:space="preserve"> 67.6897 </t>
  </si>
  <si>
    <t xml:space="preserve">F:\Données chgh\2020-CHG-CZA-BPA-2\plaque 1/@11 BPA 4/ </t>
  </si>
  <si>
    <t xml:space="preserve"> 66.2753 </t>
  </si>
  <si>
    <t xml:space="preserve"> 3.7259 </t>
  </si>
  <si>
    <t xml:space="preserve"> 737917.292 </t>
  </si>
  <si>
    <t xml:space="preserve"> 785819.873 </t>
  </si>
  <si>
    <t xml:space="preserve">F:\Données chgh\2020-CHG-CZA-BPA-2\plaque 1/@12  BPA 5/A12_01.tif </t>
  </si>
  <si>
    <t xml:space="preserve"> 17714.8837 </t>
  </si>
  <si>
    <t xml:space="preserve"> 67.0415 </t>
  </si>
  <si>
    <t xml:space="preserve">F:\Données chgh\2020-CHG-CZA-BPA-2\plaque 1/@12  BPA 5/A12_02.tif </t>
  </si>
  <si>
    <t xml:space="preserve"> 67.6069 </t>
  </si>
  <si>
    <t>F:\Données chgh\2020-CHG-CZA-BPA-2\plaque 1/@12  BPA 5/A12_03- exclu.tif</t>
  </si>
  <si>
    <t xml:space="preserve">F:\Données chgh\2020-CHG-CZA-BPA-2\plaque 1/@12  BPA 5/B12_01.tif </t>
  </si>
  <si>
    <t xml:space="preserve"> 56605.4342 </t>
  </si>
  <si>
    <t xml:space="preserve"> 76.1429 </t>
  </si>
  <si>
    <t xml:space="preserve">F:\Données chgh\2020-CHG-CZA-BPA-2\plaque 1/@12  BPA 5/B12_02.tif </t>
  </si>
  <si>
    <t xml:space="preserve"> 45833.7467 </t>
  </si>
  <si>
    <t xml:space="preserve"> 71.4445 </t>
  </si>
  <si>
    <t xml:space="preserve">F:\Données chgh\2020-CHG-CZA-BPA-2\plaque 1/@12  BPA 5/B12_03.tif </t>
  </si>
  <si>
    <t xml:space="preserve"> 75.6329 </t>
  </si>
  <si>
    <t>F:\Données chgh\2020-CHG-CZA-BPA-2\plaque 1/@12  BPA 5/C12_01- exclu.tif</t>
  </si>
  <si>
    <t xml:space="preserve">F:\Données chgh\2020-CHG-CZA-BPA-2\plaque 1/@12  BPA 5/C12_02.tif </t>
  </si>
  <si>
    <t xml:space="preserve"> 60823.2637 </t>
  </si>
  <si>
    <t xml:space="preserve"> 75.346 </t>
  </si>
  <si>
    <t xml:space="preserve">F:\Données chgh\2020-CHG-CZA-BPA-2\plaque 1/@12  BPA 5/C12_03.tif </t>
  </si>
  <si>
    <t xml:space="preserve"> 63245.8119 </t>
  </si>
  <si>
    <t xml:space="preserve"> 72.0893 </t>
  </si>
  <si>
    <t xml:space="preserve">F:\Données chgh\2020-CHG-CZA-BPA-2\plaque 1/@12  BPA 5/D12_01.tif </t>
  </si>
  <si>
    <t xml:space="preserve"> 63.4167 </t>
  </si>
  <si>
    <t>F:\Données chgh\2020-CHG-CZA-BPA-2\plaque 1/@12  BPA 5/D12_02- exclu.tif</t>
  </si>
  <si>
    <t xml:space="preserve">F:\Données chgh\2020-CHG-CZA-BPA-2\plaque 1/@12  BPA 5/D12_03.tif </t>
  </si>
  <si>
    <t xml:space="preserve"> 62.6154 </t>
  </si>
  <si>
    <t xml:space="preserve">F:\Données chgh\2020-CHG-CZA-BPA-2\plaque 1/@12  BPA 5/E12_01.tif </t>
  </si>
  <si>
    <t xml:space="preserve"> 49056.601 </t>
  </si>
  <si>
    <t xml:space="preserve"> 72.996 </t>
  </si>
  <si>
    <t xml:space="preserve">F:\Données chgh\2020-CHG-CZA-BPA-2\plaque 1/@12  BPA 5/E12_02.tif </t>
  </si>
  <si>
    <t xml:space="preserve"> 73.4153 </t>
  </si>
  <si>
    <t xml:space="preserve">F:\Données chgh\2020-CHG-CZA-BPA-2\plaque 1/@12  BPA 5/E12_03.tif </t>
  </si>
  <si>
    <t xml:space="preserve"> 52344.345 </t>
  </si>
  <si>
    <t xml:space="preserve"> 72.4393 </t>
  </si>
  <si>
    <t xml:space="preserve">F:\Données chgh\2020-CHG-CZA-BPA-2\plaque 1/@12  BPA 5/F12_01.tif </t>
  </si>
  <si>
    <t xml:space="preserve"> 66.27 </t>
  </si>
  <si>
    <t xml:space="preserve">F:\Données chgh\2020-CHG-CZA-BPA-2\plaque 1/@12  BPA 5/F12_02.tif </t>
  </si>
  <si>
    <t xml:space="preserve"> 23122.3574 </t>
  </si>
  <si>
    <t xml:space="preserve"> 66.2844 </t>
  </si>
  <si>
    <t xml:space="preserve">F:\Données chgh\2020-CHG-CZA-BPA-2\plaque 1/@12  BPA 5/F12_03.tif </t>
  </si>
  <si>
    <t xml:space="preserve"> 20180.6917 </t>
  </si>
  <si>
    <t xml:space="preserve"> 65.8864 </t>
  </si>
  <si>
    <t xml:space="preserve">F:\Données chgh\2020-CHG-CZA-BPA-2\plaque 1/@12  BPA 5/G12_01.tif </t>
  </si>
  <si>
    <t xml:space="preserve"> 43497.7181 </t>
  </si>
  <si>
    <t xml:space="preserve"> 77.1213 </t>
  </si>
  <si>
    <t xml:space="preserve">F:\Données chgh\2020-CHG-CZA-BPA-2\plaque 1/@12  BPA 5/G12_02.tif </t>
  </si>
  <si>
    <t xml:space="preserve"> 44319.6541 </t>
  </si>
  <si>
    <t xml:space="preserve"> 77.572 </t>
  </si>
  <si>
    <t xml:space="preserve">F:\Données chgh\2020-CHG-CZA-BPA-2\plaque 1/@12  BPA 5/G12_03.tif </t>
  </si>
  <si>
    <t xml:space="preserve"> 48429.3341 </t>
  </si>
  <si>
    <t xml:space="preserve"> 74.8361 </t>
  </si>
  <si>
    <t xml:space="preserve">F:\Données chgh\2020-CHG-CZA-BPA-2\plaque 1/@12  BPA 5/H12_01.tif </t>
  </si>
  <si>
    <t xml:space="preserve"> 46612.4229 </t>
  </si>
  <si>
    <t xml:space="preserve"> 70.2691 </t>
  </si>
  <si>
    <t xml:space="preserve">F:\Données chgh\2020-CHG-CZA-BPA-2\plaque 1/@12  BPA 5/H12_02.tif </t>
  </si>
  <si>
    <t xml:space="preserve"> 73.3381 </t>
  </si>
  <si>
    <t xml:space="preserve">F:\Données chgh\2020-CHG-CZA-BPA-2\plaque 1/@12  BPA 5/H12_03.tif </t>
  </si>
  <si>
    <t xml:space="preserve"> 52820.2027 </t>
  </si>
  <si>
    <t xml:space="preserve"> 73.0684 </t>
  </si>
  <si>
    <t xml:space="preserve">F:\Données chgh\2020-CHG-CZA-BPA-2\plaque 1/@12  BPA 5/ </t>
  </si>
  <si>
    <t xml:space="preserve"> 70.6852 </t>
  </si>
  <si>
    <t xml:space="preserve"> 4.8667 </t>
  </si>
  <si>
    <t xml:space="preserve"> 2656642.25 </t>
  </si>
  <si>
    <t xml:space="preserve"> 1589013.07 </t>
  </si>
  <si>
    <t xml:space="preserve">F:\Données chgh\2020-CHG-CZA-BPA-2\plaque 2/@13 Testo 30/A1_01.tif </t>
  </si>
  <si>
    <t xml:space="preserve"> 44838.7716 </t>
  </si>
  <si>
    <t xml:space="preserve"> 70.7574 </t>
  </si>
  <si>
    <t xml:space="preserve">F:\Données chgh\2020-CHG-CZA-BPA-2\plaque 2/@13 Testo 30/A1_02.tif </t>
  </si>
  <si>
    <t xml:space="preserve"> 43281.4192 </t>
  </si>
  <si>
    <t xml:space="preserve"> 70.2014 </t>
  </si>
  <si>
    <t xml:space="preserve">F:\Données chgh\2020-CHG-CZA-BPA-2\plaque 2/@13 Testo 30/A1_03.tif </t>
  </si>
  <si>
    <t xml:space="preserve"> 50916.772 </t>
  </si>
  <si>
    <t xml:space="preserve"> 72.2931 </t>
  </si>
  <si>
    <t xml:space="preserve">F:\Données chgh\2020-CHG-CZA-BPA-2\plaque 2/@13 Testo 30/B1_01.tif </t>
  </si>
  <si>
    <t xml:space="preserve"> 66879.6342 </t>
  </si>
  <si>
    <t xml:space="preserve"> 79.444 </t>
  </si>
  <si>
    <t xml:space="preserve">F:\Données chgh\2020-CHG-CZA-BPA-2\plaque 2/@13 Testo 30/B1_02.tif </t>
  </si>
  <si>
    <t xml:space="preserve"> 66987.7837 </t>
  </si>
  <si>
    <t xml:space="preserve"> 80.0019 </t>
  </si>
  <si>
    <t xml:space="preserve">F:\Données chgh\2020-CHG-CZA-BPA-2\plaque 2/@13 Testo 30/B1_03.tif </t>
  </si>
  <si>
    <t xml:space="preserve"> 60282.5163 </t>
  </si>
  <si>
    <t xml:space="preserve"> 78.4137 </t>
  </si>
  <si>
    <t xml:space="preserve">F:\Données chgh\2020-CHG-CZA-BPA-2\plaque 2/@13 Testo 30/C1_01.tif </t>
  </si>
  <si>
    <t xml:space="preserve"> 30822.5998 </t>
  </si>
  <si>
    <t xml:space="preserve"> 69.4049 </t>
  </si>
  <si>
    <t xml:space="preserve">F:\Données chgh\2020-CHG-CZA-BPA-2\plaque 2/@13 Testo 30/C1_02.tif </t>
  </si>
  <si>
    <t xml:space="preserve"> 38155.1341 </t>
  </si>
  <si>
    <t xml:space="preserve"> 69.7483 </t>
  </si>
  <si>
    <t xml:space="preserve">F:\Données chgh\2020-CHG-CZA-BPA-2\plaque 2/@13 Testo 30/C1_03.tif </t>
  </si>
  <si>
    <t xml:space="preserve"> 30606.3009 </t>
  </si>
  <si>
    <t xml:space="preserve"> 69.8883 </t>
  </si>
  <si>
    <t xml:space="preserve">F:\Données chgh\2020-CHG-CZA-BPA-2\plaque 2/@13 Testo 30/D1_01.tif </t>
  </si>
  <si>
    <t xml:space="preserve"> 37289.9383 </t>
  </si>
  <si>
    <t xml:space="preserve"> 68.8167 </t>
  </si>
  <si>
    <t xml:space="preserve">F:\Données chgh\2020-CHG-CZA-BPA-2\plaque 2/@13 Testo 30/D1_02.tif </t>
  </si>
  <si>
    <t xml:space="preserve"> 40923.7606 </t>
  </si>
  <si>
    <t xml:space="preserve"> 68.6829 </t>
  </si>
  <si>
    <t xml:space="preserve">F:\Données chgh\2020-CHG-CZA-BPA-2\plaque 2/@13 Testo 30/D1_03.tif </t>
  </si>
  <si>
    <t xml:space="preserve"> 36532.892 </t>
  </si>
  <si>
    <t xml:space="preserve"> 68.643 </t>
  </si>
  <si>
    <t xml:space="preserve">F:\Données chgh\2020-CHG-CZA-BPA-2\plaque 2/@13 Testo 30/E1_01.tif </t>
  </si>
  <si>
    <t xml:space="preserve"> 42589.2625 </t>
  </si>
  <si>
    <t xml:space="preserve"> 69.0112 </t>
  </si>
  <si>
    <t xml:space="preserve">F:\Données chgh\2020-CHG-CZA-BPA-2\plaque 2/@13 Testo 30/E1_02.tif </t>
  </si>
  <si>
    <t xml:space="preserve"> 70.1701 </t>
  </si>
  <si>
    <t xml:space="preserve">F:\Données chgh\2020-CHG-CZA-BPA-2\plaque 2/@13 Testo 30/E1_03.tif </t>
  </si>
  <si>
    <t xml:space="preserve"> 39431.2979 </t>
  </si>
  <si>
    <t xml:space="preserve"> 69.1514 </t>
  </si>
  <si>
    <t xml:space="preserve">F:\Données chgh\2020-CHG-CZA-BPA-2\plaque 2/@13 Testo 30/F1_01.tif </t>
  </si>
  <si>
    <t xml:space="preserve">F:\Données chgh\2020-CHG-CZA-BPA-2\plaque 2/@13 Testo 30/F1_02.tif </t>
  </si>
  <si>
    <t xml:space="preserve">F:\Données chgh\2020-CHG-CZA-BPA-2\plaque 2/@13 Testo 30/F1_03.tif </t>
  </si>
  <si>
    <t xml:space="preserve"> 1622.2421 </t>
  </si>
  <si>
    <t xml:space="preserve"> 63.4267 </t>
  </si>
  <si>
    <t>F:\Données chgh\2020-CHG-CZA-BPA-2\plaque 2/@13 Testo 30/G1_01- exclu.tif</t>
  </si>
  <si>
    <t xml:space="preserve">F:\Données chgh\2020-CHG-CZA-BPA-2\plaque 2/@13 Testo 30/G1_02.tif </t>
  </si>
  <si>
    <t xml:space="preserve"> 62596.9151 </t>
  </si>
  <si>
    <t xml:space="preserve"> 81.2094 </t>
  </si>
  <si>
    <t xml:space="preserve">F:\Données chgh\2020-CHG-CZA-BPA-2\plaque 2/@13 Testo 30/G1_03.tif </t>
  </si>
  <si>
    <t xml:space="preserve"> 63029.5129 </t>
  </si>
  <si>
    <t xml:space="preserve"> 80.3833 </t>
  </si>
  <si>
    <t xml:space="preserve">F:\Données chgh\2020-CHG-CZA-BPA-2\plaque 2/@13 Testo 30/H1_01.tif </t>
  </si>
  <si>
    <t xml:space="preserve"> 69886.1895 </t>
  </si>
  <si>
    <t xml:space="preserve"> 75.2841 </t>
  </si>
  <si>
    <t xml:space="preserve">F:\Données chgh\2020-CHG-CZA-BPA-2\plaque 2/@13 Testo 30/H1_02.tif </t>
  </si>
  <si>
    <t xml:space="preserve"> 68545.1361 </t>
  </si>
  <si>
    <t xml:space="preserve"> 73.4576 </t>
  </si>
  <si>
    <t>F:\Données chgh\2020-CHG-CZA-BPA-2\plaque 2/@13 Testo 30/H1_03- exclu.tif</t>
  </si>
  <si>
    <t xml:space="preserve">F:\Données chgh\2020-CHG-CZA-BPA-2\plaque 2/@13 Testo 30/ </t>
  </si>
  <si>
    <t xml:space="preserve"> 71.5287 </t>
  </si>
  <si>
    <t xml:space="preserve"> 5.301 </t>
  </si>
  <si>
    <t xml:space="preserve"> 3223914.17 </t>
  </si>
  <si>
    <t xml:space="preserve"> 1623399.06 </t>
  </si>
  <si>
    <t xml:space="preserve">F:\Données chgh\2020-CHG-CZA-BPA-2\plaque 2/@14 Testo 30/A2_01.tif </t>
  </si>
  <si>
    <t xml:space="preserve"> 12913.0471 </t>
  </si>
  <si>
    <t xml:space="preserve"> 65.8291 </t>
  </si>
  <si>
    <t xml:space="preserve">F:\Données chgh\2020-CHG-CZA-BPA-2\plaque 2/@14 Testo 30/A2_02.tif </t>
  </si>
  <si>
    <t xml:space="preserve"> 17022.7271 </t>
  </si>
  <si>
    <t xml:space="preserve"> 67.878 </t>
  </si>
  <si>
    <t>F:\Données chgh\2020-CHG-CZA-BPA-2\plaque 2/@14 Testo 30/A2_03- exclu.tif</t>
  </si>
  <si>
    <t xml:space="preserve">F:\Données chgh\2020-CHG-CZA-BPA-2\plaque 2/@14 Testo 30/B2_01.tif </t>
  </si>
  <si>
    <t xml:space="preserve"> 64.2363 </t>
  </si>
  <si>
    <t xml:space="preserve">F:\Données chgh\2020-CHG-CZA-BPA-2\plaque 2/@14 Testo 30/B2_02.tif </t>
  </si>
  <si>
    <t xml:space="preserve"> 70.0945 </t>
  </si>
  <si>
    <t xml:space="preserve">F:\Données chgh\2020-CHG-CZA-BPA-2\plaque 2/@14 Testo 30/B2_03.tif </t>
  </si>
  <si>
    <t xml:space="preserve"> 2573.9575 </t>
  </si>
  <si>
    <t xml:space="preserve"> 64.0756 </t>
  </si>
  <si>
    <t xml:space="preserve">F:\Données chgh\2020-CHG-CZA-BPA-2\plaque 2/@14 Testo 30/C2_01.tif </t>
  </si>
  <si>
    <t xml:space="preserve"> 75.1074 </t>
  </si>
  <si>
    <t xml:space="preserve">F:\Données chgh\2020-CHG-CZA-BPA-2\plaque 2/@14 Testo 30/C2_02.tif </t>
  </si>
  <si>
    <t xml:space="preserve"> 47672.2878 </t>
  </si>
  <si>
    <t xml:space="preserve"> 79.1012 </t>
  </si>
  <si>
    <t xml:space="preserve">F:\Données chgh\2020-CHG-CZA-BPA-2\plaque 2/@14 Testo 30/C2_03.tif </t>
  </si>
  <si>
    <t xml:space="preserve"> 45639.0777 </t>
  </si>
  <si>
    <t xml:space="preserve"> 73.1118 </t>
  </si>
  <si>
    <t xml:space="preserve">F:\Données chgh\2020-CHG-CZA-BPA-2\plaque 2/@14 Testo 30/D2_01.tif </t>
  </si>
  <si>
    <t xml:space="preserve"> 51241.2204 </t>
  </si>
  <si>
    <t xml:space="preserve"> 73.214 </t>
  </si>
  <si>
    <t xml:space="preserve">F:\Données chgh\2020-CHG-CZA-BPA-2\plaque 2/@14 Testo 30/D2_02.tif </t>
  </si>
  <si>
    <t xml:space="preserve"> 54009.8469 </t>
  </si>
  <si>
    <t xml:space="preserve"> 73.0637 </t>
  </si>
  <si>
    <t xml:space="preserve">F:\Données chgh\2020-CHG-CZA-BPA-2\plaque 2/@14 Testo 30/D2_03.tif </t>
  </si>
  <si>
    <t xml:space="preserve"> 57232.7012 </t>
  </si>
  <si>
    <t xml:space="preserve"> 72.407 </t>
  </si>
  <si>
    <t xml:space="preserve">F:\Données chgh\2020-CHG-CZA-BPA-2\plaque 2/@14 Testo 30/E2_01.tif </t>
  </si>
  <si>
    <t xml:space="preserve"> 57427.3702 </t>
  </si>
  <si>
    <t xml:space="preserve"> 74.4591 </t>
  </si>
  <si>
    <t xml:space="preserve">F:\Données chgh\2020-CHG-CZA-BPA-2\plaque 2/@14 Testo 30/E2_02.tif </t>
  </si>
  <si>
    <t xml:space="preserve"> 52755.313 </t>
  </si>
  <si>
    <t xml:space="preserve"> 74.4744 </t>
  </si>
  <si>
    <t xml:space="preserve">F:\Données chgh\2020-CHG-CZA-BPA-2\plaque 2/@14 Testo 30/E2_03.tif </t>
  </si>
  <si>
    <t xml:space="preserve"> 54961.5623 </t>
  </si>
  <si>
    <t xml:space="preserve"> 72.8855 </t>
  </si>
  <si>
    <t xml:space="preserve">F:\Données chgh\2020-CHG-CZA-BPA-2\plaque 2/@14 Testo 30/F2_01.tif </t>
  </si>
  <si>
    <t xml:space="preserve"> 45509.2983 </t>
  </si>
  <si>
    <t xml:space="preserve"> 73.2918 </t>
  </si>
  <si>
    <t xml:space="preserve">F:\Données chgh\2020-CHG-CZA-BPA-2\plaque 2/@14 Testo 30/F2_02.tif </t>
  </si>
  <si>
    <t xml:space="preserve"> 74.9088 </t>
  </si>
  <si>
    <t xml:space="preserve">F:\Données chgh\2020-CHG-CZA-BPA-2\plaque 2/@14 Testo 30/F2_03.tif </t>
  </si>
  <si>
    <t xml:space="preserve"> 80.9915 </t>
  </si>
  <si>
    <t xml:space="preserve">F:\Données chgh\2020-CHG-CZA-BPA-2\plaque 2/@14 Testo 30/G2_01.tif </t>
  </si>
  <si>
    <t xml:space="preserve"> 60174.3669 </t>
  </si>
  <si>
    <t xml:space="preserve"> 77.3821 </t>
  </si>
  <si>
    <t xml:space="preserve">F:\Données chgh\2020-CHG-CZA-BPA-2\plaque 2/@14 Testo 30/G2_02.tif </t>
  </si>
  <si>
    <t xml:space="preserve"> 63613.5201 </t>
  </si>
  <si>
    <t xml:space="preserve"> 75.9891 </t>
  </si>
  <si>
    <t xml:space="preserve">F:\Données chgh\2020-CHG-CZA-BPA-2\plaque 2/@14 Testo 30/G2_03.tif </t>
  </si>
  <si>
    <t xml:space="preserve"> 62467.1357 </t>
  </si>
  <si>
    <t xml:space="preserve"> 75.8241 </t>
  </si>
  <si>
    <t xml:space="preserve">F:\Données chgh\2020-CHG-CZA-BPA-2\plaque 2/@14 Testo 30/H2_01.tif </t>
  </si>
  <si>
    <t xml:space="preserve"> 71.0898 </t>
  </si>
  <si>
    <t xml:space="preserve">F:\Données chgh\2020-CHG-CZA-BPA-2\plaque 2/@14 Testo 30/H2_02.tif </t>
  </si>
  <si>
    <t xml:space="preserve"> 45487.6684 </t>
  </si>
  <si>
    <t xml:space="preserve"> 70.0761 </t>
  </si>
  <si>
    <t xml:space="preserve">F:\Données chgh\2020-CHG-CZA-BPA-2\plaque 2/@14 Testo 30/H2_03.tif </t>
  </si>
  <si>
    <t xml:space="preserve"> 49662.2381 </t>
  </si>
  <si>
    <t xml:space="preserve"> 71.0627 </t>
  </si>
  <si>
    <t xml:space="preserve">F:\Données chgh\2020-CHG-CZA-BPA-2\plaque 2/@14 Testo 30/ </t>
  </si>
  <si>
    <t xml:space="preserve"> 72.2357 </t>
  </si>
  <si>
    <t xml:space="preserve"> 4.6275 </t>
  </si>
  <si>
    <t xml:space="preserve"> 2974225.83 </t>
  </si>
  <si>
    <t xml:space="preserve"> 1561658.16 </t>
  </si>
  <si>
    <t>F:\Données chgh\2020-CHG-CZA-BPA-2\plaque 2/@15 Testo + EE2/A3_01- exclu.tif</t>
  </si>
  <si>
    <t xml:space="preserve">F:\Données chgh\2020-CHG-CZA-BPA-2\plaque 2/@15 Testo + EE2/A3_02.tif </t>
  </si>
  <si>
    <t xml:space="preserve"> 60931.4132 </t>
  </si>
  <si>
    <t xml:space="preserve"> 74.9045 </t>
  </si>
  <si>
    <t xml:space="preserve">F:\Données chgh\2020-CHG-CZA-BPA-2\plaque 2/@15 Testo + EE2/A3_03.tif </t>
  </si>
  <si>
    <t xml:space="preserve"> 60563.705 </t>
  </si>
  <si>
    <t xml:space="preserve"> 74.9186 </t>
  </si>
  <si>
    <t xml:space="preserve">F:\Données chgh\2020-CHG-CZA-BPA-2\plaque 2/@15 Testo + EE2/B3_01.tif </t>
  </si>
  <si>
    <t xml:space="preserve"> 44103.3551 </t>
  </si>
  <si>
    <t xml:space="preserve"> 83.6268 </t>
  </si>
  <si>
    <t xml:space="preserve">F:\Données chgh\2020-CHG-CZA-BPA-2\plaque 2/@15 Testo + EE2/B3_02.tif </t>
  </si>
  <si>
    <t xml:space="preserve"> 38912.1804 </t>
  </si>
  <si>
    <t xml:space="preserve"> 83.2974 </t>
  </si>
  <si>
    <t xml:space="preserve">F:\Données chgh\2020-CHG-CZA-BPA-2\plaque 2/@15 Testo + EE2/B3_03.tif </t>
  </si>
  <si>
    <t xml:space="preserve"> 34023.8243 </t>
  </si>
  <si>
    <t xml:space="preserve"> 85.7419 </t>
  </si>
  <si>
    <t xml:space="preserve">F:\Données chgh\2020-CHG-CZA-BPA-2\plaque 2/@15 Testo + EE2/C3_01.tif </t>
  </si>
  <si>
    <t xml:space="preserve"> 51565.6688 </t>
  </si>
  <si>
    <t xml:space="preserve"> 74.3146 </t>
  </si>
  <si>
    <t xml:space="preserve">F:\Données chgh\2020-CHG-CZA-BPA-2\plaque 2/@15 Testo + EE2/C3_02.tif </t>
  </si>
  <si>
    <t xml:space="preserve"> 60044.5875 </t>
  </si>
  <si>
    <t xml:space="preserve"> 75.0609 </t>
  </si>
  <si>
    <t xml:space="preserve">F:\Données chgh\2020-CHG-CZA-BPA-2\plaque 2/@15 Testo + EE2/C3_03.tif </t>
  </si>
  <si>
    <t xml:space="preserve"> 61277.4915 </t>
  </si>
  <si>
    <t xml:space="preserve"> 73.1027 </t>
  </si>
  <si>
    <t xml:space="preserve">F:\Données chgh\2020-CHG-CZA-BPA-2\plaque 2/@15 Testo + EE2/D3_01.tif </t>
  </si>
  <si>
    <t xml:space="preserve"> 40512.7926 </t>
  </si>
  <si>
    <t xml:space="preserve"> 72.3129 </t>
  </si>
  <si>
    <t xml:space="preserve">F:\Données chgh\2020-CHG-CZA-BPA-2\plaque 2/@15 Testo + EE2/D3_02.tif </t>
  </si>
  <si>
    <t xml:space="preserve"> 36446.3724 </t>
  </si>
  <si>
    <t xml:space="preserve"> 71.1134 </t>
  </si>
  <si>
    <t xml:space="preserve">F:\Données chgh\2020-CHG-CZA-BPA-2\plaque 2/@15 Testo + EE2/D3_03.tif </t>
  </si>
  <si>
    <t xml:space="preserve"> 39452.9278 </t>
  </si>
  <si>
    <t xml:space="preserve"> 74.1393 </t>
  </si>
  <si>
    <t xml:space="preserve">F:\Données chgh\2020-CHG-CZA-BPA-2\plaque 2/@15 Testo + EE2/E3_01.tif </t>
  </si>
  <si>
    <t xml:space="preserve"> 35754.2158 </t>
  </si>
  <si>
    <t xml:space="preserve"> 70.5868 </t>
  </si>
  <si>
    <t xml:space="preserve">F:\Données chgh\2020-CHG-CZA-BPA-2\plaque 2/@15 Testo + EE2/E3_02.tif </t>
  </si>
  <si>
    <t xml:space="preserve"> 34261.7531 </t>
  </si>
  <si>
    <t xml:space="preserve"> 70.4545 </t>
  </si>
  <si>
    <t xml:space="preserve">F:\Données chgh\2020-CHG-CZA-BPA-2\plaque 2/@15 Testo + EE2/E3_03.tif </t>
  </si>
  <si>
    <t xml:space="preserve"> 33353.2975 </t>
  </si>
  <si>
    <t xml:space="preserve"> 70.3917 </t>
  </si>
  <si>
    <t xml:space="preserve">F:\Données chgh\2020-CHG-CZA-BPA-2\plaque 2/@15 Testo + EE2/F3_01.tif </t>
  </si>
  <si>
    <t xml:space="preserve"> 59460.5803 </t>
  </si>
  <si>
    <t xml:space="preserve"> 80.8403 </t>
  </si>
  <si>
    <t xml:space="preserve">F:\Données chgh\2020-CHG-CZA-BPA-2\plaque 2/@15 Testo + EE2/F3_02.tif </t>
  </si>
  <si>
    <t xml:space="preserve"> 66706.595 </t>
  </si>
  <si>
    <t xml:space="preserve"> 79.3074 </t>
  </si>
  <si>
    <t xml:space="preserve">F:\Données chgh\2020-CHG-CZA-BPA-2\plaque 2/@15 Testo + EE2/F3_03.tif </t>
  </si>
  <si>
    <t xml:space="preserve"> 59136.1319 </t>
  </si>
  <si>
    <t xml:space="preserve"> 78.7396 </t>
  </si>
  <si>
    <t xml:space="preserve">F:\Données chgh\2020-CHG-CZA-BPA-2\plaque 2/@15 Testo + EE2/G3_01.tif </t>
  </si>
  <si>
    <t xml:space="preserve"> 49164.7505 </t>
  </si>
  <si>
    <t xml:space="preserve"> 73.2996 </t>
  </si>
  <si>
    <t xml:space="preserve">F:\Données chgh\2020-CHG-CZA-BPA-2\plaque 2/@15 Testo + EE2/G3_02.tif </t>
  </si>
  <si>
    <t xml:space="preserve"> 48515.8537 </t>
  </si>
  <si>
    <t xml:space="preserve"> 72.9652 </t>
  </si>
  <si>
    <t xml:space="preserve">F:\Données chgh\2020-CHG-CZA-BPA-2\plaque 2/@15 Testo + EE2/G3_03.tif </t>
  </si>
  <si>
    <t xml:space="preserve"> 72.5908 </t>
  </si>
  <si>
    <t xml:space="preserve">F:\Données chgh\2020-CHG-CZA-BPA-2\plaque 2/@15 Testo + EE2/H3_01.tif </t>
  </si>
  <si>
    <t xml:space="preserve"> 55567.1993 </t>
  </si>
  <si>
    <t xml:space="preserve"> 75.3636 </t>
  </si>
  <si>
    <t xml:space="preserve">F:\Données chgh\2020-CHG-CZA-BPA-2\plaque 2/@15 Testo + EE2/H3_02.tif </t>
  </si>
  <si>
    <t xml:space="preserve"> 54096.3665 </t>
  </si>
  <si>
    <t xml:space="preserve"> 75.0876 </t>
  </si>
  <si>
    <t xml:space="preserve">F:\Données chgh\2020-CHG-CZA-BPA-2\plaque 2/@15 Testo + EE2/H3_03.tif </t>
  </si>
  <si>
    <t xml:space="preserve"> 58530.4949 </t>
  </si>
  <si>
    <t xml:space="preserve"> 75.6138 </t>
  </si>
  <si>
    <t xml:space="preserve">F:\Données chgh\2020-CHG-CZA-BPA-2\plaque 2/@15 Testo + EE2/ </t>
  </si>
  <si>
    <t xml:space="preserve"> 75.532 </t>
  </si>
  <si>
    <t xml:space="preserve"> 4.2753 </t>
  </si>
  <si>
    <t xml:space="preserve"> 3671441.12 </t>
  </si>
  <si>
    <t xml:space="preserve"> 884692.707 </t>
  </si>
  <si>
    <t xml:space="preserve">F:\Données chgh\2020-CHG-CZA-BPA-2\plaque 2/@16 Testo + FAD/A4_01.tif </t>
  </si>
  <si>
    <t xml:space="preserve"> 67.4085 </t>
  </si>
  <si>
    <t xml:space="preserve">F:\Données chgh\2020-CHG-CZA-BPA-2\plaque 2/@16 Testo + FAD/A4_02.tif </t>
  </si>
  <si>
    <t xml:space="preserve"> 65.6619 </t>
  </si>
  <si>
    <t xml:space="preserve">F:\Données chgh\2020-CHG-CZA-BPA-2\plaque 2/@16 Testo + FAD/A4_03.tif </t>
  </si>
  <si>
    <t xml:space="preserve"> 3157.9646 </t>
  </si>
  <si>
    <t xml:space="preserve"> 65.7397 </t>
  </si>
  <si>
    <t xml:space="preserve">F:\Données chgh\2020-CHG-CZA-BPA-2\plaque 2/@16 Testo + FAD/B4_01.tif </t>
  </si>
  <si>
    <t xml:space="preserve"> 67.0588 </t>
  </si>
  <si>
    <t xml:space="preserve">F:\Données chgh\2020-CHG-CZA-BPA-2\plaque 2/@16 Testo + FAD/B4_02.tif </t>
  </si>
  <si>
    <t xml:space="preserve"> 8457.2888 </t>
  </si>
  <si>
    <t xml:space="preserve"> 78.1074 </t>
  </si>
  <si>
    <t xml:space="preserve">F:\Données chgh\2020-CHG-CZA-BPA-2\plaque 2/@16 Testo + FAD/B4_03.tif </t>
  </si>
  <si>
    <t xml:space="preserve"> 10533.7587 </t>
  </si>
  <si>
    <t xml:space="preserve"> 81.0308 </t>
  </si>
  <si>
    <t xml:space="preserve">F:\Données chgh\2020-CHG-CZA-BPA-2\plaque 2/@16 Testo + FAD/C4_01.tif </t>
  </si>
  <si>
    <t xml:space="preserve"> 7656.9827 </t>
  </si>
  <si>
    <t xml:space="preserve"> 67.709 </t>
  </si>
  <si>
    <t xml:space="preserve">F:\Données chgh\2020-CHG-CZA-BPA-2\plaque 2/@16 Testo + FAD/C4_02.tif </t>
  </si>
  <si>
    <t xml:space="preserve"> 6770.157 </t>
  </si>
  <si>
    <t xml:space="preserve"> 66.3067 </t>
  </si>
  <si>
    <t xml:space="preserve">F:\Données chgh\2020-CHG-CZA-BPA-2\plaque 2/@16 Testo + FAD/C4_03.tif </t>
  </si>
  <si>
    <t xml:space="preserve"> 66.8429 </t>
  </si>
  <si>
    <t xml:space="preserve">F:\Données chgh\2020-CHG-CZA-BPA-2\plaque 2/@16 Testo + FAD/D4_01.tif </t>
  </si>
  <si>
    <t xml:space="preserve"> 65.2239 </t>
  </si>
  <si>
    <t xml:space="preserve">F:\Données chgh\2020-CHG-CZA-BPA-2\plaque 2/@16 Testo + FAD/D4_02.tif </t>
  </si>
  <si>
    <t xml:space="preserve"> 64.0444 </t>
  </si>
  <si>
    <t xml:space="preserve">F:\Données chgh\2020-CHG-CZA-BPA-2\plaque 2/@16 Testo + FAD/D4_03.tif </t>
  </si>
  <si>
    <t xml:space="preserve"> 4347.6088 </t>
  </si>
  <si>
    <t xml:space="preserve"> 69.8109 </t>
  </si>
  <si>
    <t xml:space="preserve">F:\Données chgh\2020-CHG-CZA-BPA-2\plaque 2/@16 Testo + FAD/E4_01.tif </t>
  </si>
  <si>
    <t xml:space="preserve"> 66.0541 </t>
  </si>
  <si>
    <t xml:space="preserve">F:\Données chgh\2020-CHG-CZA-BPA-2\plaque 2/@16 Testo + FAD/E4_02.tif </t>
  </si>
  <si>
    <t xml:space="preserve"> 2184.6194 </t>
  </si>
  <si>
    <t xml:space="preserve"> 65.4554 </t>
  </si>
  <si>
    <t xml:space="preserve">F:\Données chgh\2020-CHG-CZA-BPA-2\plaque 2/@16 Testo + FAD/E4_03.tif </t>
  </si>
  <si>
    <t xml:space="preserve"> 64.1515 </t>
  </si>
  <si>
    <t xml:space="preserve">F:\Données chgh\2020-CHG-CZA-BPA-2\plaque 2/@16 Testo + FAD/F4_01.tif </t>
  </si>
  <si>
    <t xml:space="preserve"> 4066.4202 </t>
  </si>
  <si>
    <t xml:space="preserve"> 65.5213 </t>
  </si>
  <si>
    <t xml:space="preserve">F:\Données chgh\2020-CHG-CZA-BPA-2\plaque 2/@16 Testo + FAD/F4_02.tif </t>
  </si>
  <si>
    <t xml:space="preserve"> 2249.509 </t>
  </si>
  <si>
    <t xml:space="preserve"> 63.5481 </t>
  </si>
  <si>
    <t xml:space="preserve">F:\Données chgh\2020-CHG-CZA-BPA-2\plaque 2/@16 Testo + FAD/F4_03.tif </t>
  </si>
  <si>
    <t xml:space="preserve"> 64.2692 </t>
  </si>
  <si>
    <t xml:space="preserve">F:\Données chgh\2020-CHG-CZA-BPA-2\plaque 2/@16 Testo + FAD/G4_01.tif </t>
  </si>
  <si>
    <t xml:space="preserve"> 10577.0185 </t>
  </si>
  <si>
    <t xml:space="preserve"> 73.8344 </t>
  </si>
  <si>
    <t xml:space="preserve">F:\Données chgh\2020-CHG-CZA-BPA-2\plaque 2/@16 Testo + FAD/G4_02.tif </t>
  </si>
  <si>
    <t xml:space="preserve"> 7721.8724 </t>
  </si>
  <si>
    <t xml:space="preserve"> 72.4314 </t>
  </si>
  <si>
    <t xml:space="preserve">F:\Données chgh\2020-CHG-CZA-BPA-2\plaque 2/@16 Testo + FAD/G4_03.tif </t>
  </si>
  <si>
    <t xml:space="preserve"> 63.3441 </t>
  </si>
  <si>
    <t xml:space="preserve">F:\Données chgh\2020-CHG-CZA-BPA-2\plaque 2/@16 Testo + FAD/H4_01.tif </t>
  </si>
  <si>
    <t xml:space="preserve"> 65.8105 </t>
  </si>
  <si>
    <t xml:space="preserve">F:\Données chgh\2020-CHG-CZA-BPA-2\plaque 2/@16 Testo + FAD/H4_02.tif </t>
  </si>
  <si>
    <t xml:space="preserve"> 10620.2783 </t>
  </si>
  <si>
    <t xml:space="preserve"> 73.8615 </t>
  </si>
  <si>
    <t xml:space="preserve">F:\Données chgh\2020-CHG-CZA-BPA-2\plaque 2/@16 Testo + FAD/H4_03.tif </t>
  </si>
  <si>
    <t xml:space="preserve"> 68.2913 </t>
  </si>
  <si>
    <t xml:space="preserve">F:\Données chgh\2020-CHG-CZA-BPA-2\plaque 2/@16 Testo + FAD/ </t>
  </si>
  <si>
    <t xml:space="preserve"> 67.9799 </t>
  </si>
  <si>
    <t xml:space="preserve"> 4.6356 </t>
  </si>
  <si>
    <t xml:space="preserve"> 359104.042 </t>
  </si>
  <si>
    <t xml:space="preserve"> 238507.307 </t>
  </si>
  <si>
    <t xml:space="preserve">F:\Données chgh\2020-CHG-CZA-BPA-2\plaque 2/@17 Testo +  BPA 1/A5_01.tif </t>
  </si>
  <si>
    <t xml:space="preserve"> 48926.8217 </t>
  </si>
  <si>
    <t xml:space="preserve"> 71.5199 </t>
  </si>
  <si>
    <t xml:space="preserve">F:\Données chgh\2020-CHG-CZA-BPA-2\plaque 2/@17 Testo +  BPA 1/A5_02.tif </t>
  </si>
  <si>
    <t xml:space="preserve"> 54420.8149 </t>
  </si>
  <si>
    <t xml:space="preserve"> 72.3744 </t>
  </si>
  <si>
    <t xml:space="preserve">F:\Données chgh\2020-CHG-CZA-BPA-2\plaque 2/@17 Testo +  BPA 1/A5_03.tif </t>
  </si>
  <si>
    <t xml:space="preserve"> 39474.5577 </t>
  </si>
  <si>
    <t xml:space="preserve"> 69.9414 </t>
  </si>
  <si>
    <t xml:space="preserve">F:\Données chgh\2020-CHG-CZA-BPA-2\plaque 2/@17 Testo +  BPA 1/B5_01.tif </t>
  </si>
  <si>
    <t xml:space="preserve"> 40404.6432 </t>
  </si>
  <si>
    <t xml:space="preserve"> 76.0642 </t>
  </si>
  <si>
    <t xml:space="preserve">F:\Données chgh\2020-CHG-CZA-BPA-2\plaque 2/@17 Testo +  BPA 1/B5_02.tif </t>
  </si>
  <si>
    <t xml:space="preserve"> 76.256 </t>
  </si>
  <si>
    <t>F:\Données chgh\2020-CHG-CZA-BPA-2\plaque 2/@17 Testo +  BPA 1/B5_03- exclu.tif</t>
  </si>
  <si>
    <t xml:space="preserve">F:\Données chgh\2020-CHG-CZA-BPA-2\plaque 2/@17 Testo +  BPA 1/C5_01.tif </t>
  </si>
  <si>
    <t xml:space="preserve"> 29286.8773 </t>
  </si>
  <si>
    <t xml:space="preserve"> 68.274 </t>
  </si>
  <si>
    <t xml:space="preserve">F:\Données chgh\2020-CHG-CZA-BPA-2\plaque 2/@17 Testo +  BPA 1/C5_02.tif </t>
  </si>
  <si>
    <t xml:space="preserve"> 36035.4045 </t>
  </si>
  <si>
    <t xml:space="preserve"> 71.1687 </t>
  </si>
  <si>
    <t xml:space="preserve">F:\Données chgh\2020-CHG-CZA-BPA-2\plaque 2/@17 Testo +  BPA 1/C5_03.tif </t>
  </si>
  <si>
    <t xml:space="preserve"> 33483.0769 </t>
  </si>
  <si>
    <t xml:space="preserve"> 69.9348 </t>
  </si>
  <si>
    <t xml:space="preserve">F:\Données chgh\2020-CHG-CZA-BPA-2\plaque 2/@17 Testo +  BPA 1/D5_01.tif </t>
  </si>
  <si>
    <t xml:space="preserve"> 25696.3148 </t>
  </si>
  <si>
    <t xml:space="preserve"> 77.2239 </t>
  </si>
  <si>
    <t xml:space="preserve">F:\Données chgh\2020-CHG-CZA-BPA-2\plaque 2/@17 Testo +  BPA 1/D5_02.tif </t>
  </si>
  <si>
    <t xml:space="preserve"> 26842.6992 </t>
  </si>
  <si>
    <t xml:space="preserve"> 71.0967 </t>
  </si>
  <si>
    <t xml:space="preserve">F:\Données chgh\2020-CHG-CZA-BPA-2\plaque 2/@17 Testo +  BPA 1/D5_03.tif </t>
  </si>
  <si>
    <t xml:space="preserve"> 26756.1797 </t>
  </si>
  <si>
    <t xml:space="preserve"> 73.8941 </t>
  </si>
  <si>
    <t xml:space="preserve">F:\Données chgh\2020-CHG-CZA-BPA-2\plaque 2/@17 Testo +  BPA 1/E5_01.tif </t>
  </si>
  <si>
    <t xml:space="preserve"> 46396.124 </t>
  </si>
  <si>
    <t xml:space="preserve"> 79.5207 </t>
  </si>
  <si>
    <t xml:space="preserve">F:\Données chgh\2020-CHG-CZA-BPA-2\plaque 2/@17 Testo +  BPA 1/E5_02.tif </t>
  </si>
  <si>
    <t xml:space="preserve"> 45422.7787 </t>
  </si>
  <si>
    <t xml:space="preserve"> 80.4971 </t>
  </si>
  <si>
    <t xml:space="preserve">F:\Données chgh\2020-CHG-CZA-BPA-2\plaque 2/@17 Testo +  BPA 1/E5_03.tif </t>
  </si>
  <si>
    <t xml:space="preserve"> 79.2018 </t>
  </si>
  <si>
    <t xml:space="preserve">F:\Données chgh\2020-CHG-CZA-BPA-2\plaque 2/@17 Testo +  BPA 1/F5_01.tif </t>
  </si>
  <si>
    <t xml:space="preserve"> 59179.3917 </t>
  </si>
  <si>
    <t xml:space="preserve"> 77.2763 </t>
  </si>
  <si>
    <t xml:space="preserve">F:\Données chgh\2020-CHG-CZA-BPA-2\plaque 2/@17 Testo +  BPA 1/F5_02.tif </t>
  </si>
  <si>
    <t xml:space="preserve"> 65062.723 </t>
  </si>
  <si>
    <t xml:space="preserve"> 77.607 </t>
  </si>
  <si>
    <t xml:space="preserve">F:\Données chgh\2020-CHG-CZA-BPA-2\plaque 2/@17 Testo +  BPA 1/F5_03.tif </t>
  </si>
  <si>
    <t xml:space="preserve"> 62510.3955 </t>
  </si>
  <si>
    <t xml:space="preserve"> 77.8862 </t>
  </si>
  <si>
    <t xml:space="preserve">F:\Données chgh\2020-CHG-CZA-BPA-2\plaque 2/@17 Testo +  BPA 1/G5_01.tif </t>
  </si>
  <si>
    <t xml:space="preserve"> 58595.3845 </t>
  </si>
  <si>
    <t xml:space="preserve"> 81.2348 </t>
  </si>
  <si>
    <t xml:space="preserve">F:\Données chgh\2020-CHG-CZA-BPA-2\plaque 2/@17 Testo +  BPA 1/G5_02.tif </t>
  </si>
  <si>
    <t xml:space="preserve"> 53252.8006 </t>
  </si>
  <si>
    <t xml:space="preserve"> 79.9622 </t>
  </si>
  <si>
    <t>F:\Données chgh\2020-CHG-CZA-BPA-2\plaque 2/@17 Testo +  BPA 1/G5_03- exclu.tif</t>
  </si>
  <si>
    <t xml:space="preserve">F:\Données chgh\2020-CHG-CZA-BPA-2\plaque 2/@17 Testo +  BPA 1/H5_01.tif </t>
  </si>
  <si>
    <t xml:space="preserve"> 73.4401 </t>
  </si>
  <si>
    <t xml:space="preserve">F:\Données chgh\2020-CHG-CZA-BPA-2\plaque 2/@17 Testo +  BPA 1/H5_02.tif </t>
  </si>
  <si>
    <t xml:space="preserve"> 40880.5008 </t>
  </si>
  <si>
    <t xml:space="preserve"> 72.1519 </t>
  </si>
  <si>
    <t xml:space="preserve">F:\Données chgh\2020-CHG-CZA-BPA-2\plaque 2/@17 Testo +  BPA 1/H5_03.tif </t>
  </si>
  <si>
    <t xml:space="preserve"> 40664.2019 </t>
  </si>
  <si>
    <t xml:space="preserve"> 69.9234 </t>
  </si>
  <si>
    <t xml:space="preserve">F:\Données chgh\2020-CHG-CZA-BPA-2\plaque 2/@17 Testo +  BPA 1/ </t>
  </si>
  <si>
    <t xml:space="preserve"> 75.0121 </t>
  </si>
  <si>
    <t xml:space="preserve"> 3.9245 </t>
  </si>
  <si>
    <t xml:space="preserve"> 3320183.42 </t>
  </si>
  <si>
    <t xml:space="preserve"> 999159.382 </t>
  </si>
  <si>
    <t xml:space="preserve">F:\Données chgh\2020-CHG-CZA-BPA-2\plaque 2/@18  Testo +  BPA 2/A6_01.tif </t>
  </si>
  <si>
    <t xml:space="preserve"> 79.693 </t>
  </si>
  <si>
    <t xml:space="preserve">F:\Données chgh\2020-CHG-CZA-BPA-2\plaque 2/@18  Testo +  BPA 2/A6_02.tif </t>
  </si>
  <si>
    <t xml:space="preserve"> 38630.9918 </t>
  </si>
  <si>
    <t xml:space="preserve"> 79.1993 </t>
  </si>
  <si>
    <t xml:space="preserve">F:\Données chgh\2020-CHG-CZA-BPA-2\plaque 2/@18  Testo +  BPA 2/A6_03.tif </t>
  </si>
  <si>
    <t xml:space="preserve"> 41724.0667 </t>
  </si>
  <si>
    <t xml:space="preserve"> 80.2758 </t>
  </si>
  <si>
    <t xml:space="preserve">F:\Données chgh\2020-CHG-CZA-BPA-2\plaque 2/@18  Testo +  BPA 2/B6_01.tif </t>
  </si>
  <si>
    <t xml:space="preserve"> 81566.3326 </t>
  </si>
  <si>
    <t xml:space="preserve"> 85.0379 </t>
  </si>
  <si>
    <t xml:space="preserve">F:\Données chgh\2020-CHG-CZA-BPA-2\plaque 2/@18  Testo +  BPA 2/B6_02.tif </t>
  </si>
  <si>
    <t xml:space="preserve"> 80592.9874 </t>
  </si>
  <si>
    <t xml:space="preserve"> 85.9675 </t>
  </si>
  <si>
    <t xml:space="preserve">F:\Données chgh\2020-CHG-CZA-BPA-2\plaque 2/@18  Testo +  BPA 2/B6_03.tif </t>
  </si>
  <si>
    <t xml:space="preserve"> 75445.0725 </t>
  </si>
  <si>
    <t xml:space="preserve"> 86.076 </t>
  </si>
  <si>
    <t>F:\Données chgh\2020-CHG-CZA-BPA-2\plaque 2/@18  Testo +  BPA 2/C6_01- exclu.tif</t>
  </si>
  <si>
    <t xml:space="preserve">F:\Données chgh\2020-CHG-CZA-BPA-2\plaque 2/@18  Testo +  BPA 2/C6_02.tif </t>
  </si>
  <si>
    <t xml:space="preserve"> 77456.6527 </t>
  </si>
  <si>
    <t xml:space="preserve"> 90.3815 </t>
  </si>
  <si>
    <t xml:space="preserve">F:\Données chgh\2020-CHG-CZA-BPA-2\plaque 2/@18  Testo +  BPA 2/C6_03.tif </t>
  </si>
  <si>
    <t xml:space="preserve"> 75942.56 </t>
  </si>
  <si>
    <t xml:space="preserve"> 87.0994 </t>
  </si>
  <si>
    <t xml:space="preserve">F:\Données chgh\2020-CHG-CZA-BPA-2\plaque 2/@18  Testo +  BPA 2/D6_01.tif </t>
  </si>
  <si>
    <t xml:space="preserve"> 54637.1138 </t>
  </si>
  <si>
    <t xml:space="preserve"> 87.3785 </t>
  </si>
  <si>
    <t xml:space="preserve">F:\Données chgh\2020-CHG-CZA-BPA-2\plaque 2/@18  Testo +  BPA 2/D6_02.tif </t>
  </si>
  <si>
    <t xml:space="preserve"> 54593.854 </t>
  </si>
  <si>
    <t xml:space="preserve"> 89.2116 </t>
  </si>
  <si>
    <t xml:space="preserve">F:\Données chgh\2020-CHG-CZA-BPA-2\plaque 2/@18  Testo +  BPA 2/D6_03.tif </t>
  </si>
  <si>
    <t xml:space="preserve"> 53707.0284 </t>
  </si>
  <si>
    <t xml:space="preserve"> 85.1015 </t>
  </si>
  <si>
    <t xml:space="preserve">F:\Données chgh\2020-CHG-CZA-BPA-2\plaque 2/@18  Testo +  BPA 2/E6_01.tif </t>
  </si>
  <si>
    <t xml:space="preserve"> 96.5449 </t>
  </si>
  <si>
    <t xml:space="preserve">F:\Données chgh\2020-CHG-CZA-BPA-2\plaque 2/@18  Testo +  BPA 2/E6_02.tif </t>
  </si>
  <si>
    <t xml:space="preserve"> 60109.4772 </t>
  </si>
  <si>
    <t xml:space="preserve"> 97.5819 </t>
  </si>
  <si>
    <t xml:space="preserve">F:\Données chgh\2020-CHG-CZA-BPA-2\plaque 2/@18  Testo +  BPA 2/E6_03.tif </t>
  </si>
  <si>
    <t xml:space="preserve"> 97.0355 </t>
  </si>
  <si>
    <t xml:space="preserve">F:\Données chgh\2020-CHG-CZA-BPA-2\plaque 2/@18  Testo +  BPA 2/F6_01.tif </t>
  </si>
  <si>
    <t xml:space="preserve"> 75.6058 </t>
  </si>
  <si>
    <t xml:space="preserve">F:\Données chgh\2020-CHG-CZA-BPA-2\plaque 2/@18  Testo +  BPA 2/F6_02.tif </t>
  </si>
  <si>
    <t xml:space="preserve"> 52301.0852 </t>
  </si>
  <si>
    <t xml:space="preserve"> 76.6663 </t>
  </si>
  <si>
    <t xml:space="preserve">F:\Données chgh\2020-CHG-CZA-BPA-2\plaque 2/@18  Testo +  BPA 2/F6_03.tif </t>
  </si>
  <si>
    <t xml:space="preserve"> 48948.4515 </t>
  </si>
  <si>
    <t xml:space="preserve"> 74.5404 </t>
  </si>
  <si>
    <t xml:space="preserve">F:\Données chgh\2020-CHG-CZA-BPA-2\plaque 2/@18  Testo +  BPA 2/G6_01.tif </t>
  </si>
  <si>
    <t xml:space="preserve"> 79187.0442 </t>
  </si>
  <si>
    <t xml:space="preserve"> 90.6127 </t>
  </si>
  <si>
    <t>F:\Données chgh\2020-CHG-CZA-BPA-2\plaque 2/@18  Testo +  BPA 2/G6_02- exclu.tif</t>
  </si>
  <si>
    <t xml:space="preserve">F:\Données chgh\2020-CHG-CZA-BPA-2\plaque 2/@18  Testo +  BPA 2/G6_03.tif </t>
  </si>
  <si>
    <t xml:space="preserve"> 71486.8017 </t>
  </si>
  <si>
    <t xml:space="preserve"> 92.3398 </t>
  </si>
  <si>
    <t xml:space="preserve">F:\Données chgh\2020-CHG-CZA-BPA-2\plaque 2/@18  Testo +  BPA 2/H6_01.tif </t>
  </si>
  <si>
    <t xml:space="preserve"> 54074.7366 </t>
  </si>
  <si>
    <t xml:space="preserve"> 82.8816 </t>
  </si>
  <si>
    <t xml:space="preserve">F:\Données chgh\2020-CHG-CZA-BPA-2\plaque 2/@18  Testo +  BPA 2/H6_02.tif </t>
  </si>
  <si>
    <t xml:space="preserve"> 53728.6583 </t>
  </si>
  <si>
    <t xml:space="preserve"> 84.7685 </t>
  </si>
  <si>
    <t>F:\Données chgh\2020-CHG-CZA-BPA-2\plaque 2/@18  Testo +  BPA 2/H6_03- exclu.tif</t>
  </si>
  <si>
    <t xml:space="preserve">F:\Données chgh\2020-CHG-CZA-BPA-2\plaque 2/@18  Testo +  BPA 2/ </t>
  </si>
  <si>
    <t xml:space="preserve"> 85.7391 </t>
  </si>
  <si>
    <t xml:space="preserve"> 7.3295 </t>
  </si>
  <si>
    <t xml:space="preserve"> 5204561.88 </t>
  </si>
  <si>
    <t xml:space="preserve"> 1356320.81 </t>
  </si>
  <si>
    <t>F:\Données chgh\2020-CHG-CZA-BPA-2\plaque 2/@19 Testo + BPA 3/A7_01- exclu.tif</t>
  </si>
  <si>
    <t xml:space="preserve">F:\Données chgh\2020-CHG-CZA-BPA-2\plaque 2/@19 Testo + BPA 3/A7_02.tif </t>
  </si>
  <si>
    <t xml:space="preserve"> 37873.9455 </t>
  </si>
  <si>
    <t xml:space="preserve"> 92.442 </t>
  </si>
  <si>
    <t xml:space="preserve">F:\Données chgh\2020-CHG-CZA-BPA-2\plaque 2/@19 Testo + BPA 3/A7_03.tif </t>
  </si>
  <si>
    <t xml:space="preserve"> 32250.1729 </t>
  </si>
  <si>
    <t xml:space="preserve"> 95.3159 </t>
  </si>
  <si>
    <t xml:space="preserve">F:\Données chgh\2020-CHG-CZA-BPA-2\plaque 2/@19 Testo + BPA 3/B7_01.tif </t>
  </si>
  <si>
    <t xml:space="preserve"> 43930.316 </t>
  </si>
  <si>
    <t xml:space="preserve"> 70.3934 </t>
  </si>
  <si>
    <t xml:space="preserve">F:\Données chgh\2020-CHG-CZA-BPA-2\plaque 2/@19 Testo + BPA 3/B7_02.tif </t>
  </si>
  <si>
    <t xml:space="preserve"> 38782.4011 </t>
  </si>
  <si>
    <t xml:space="preserve"> 67.6676 </t>
  </si>
  <si>
    <t xml:space="preserve">F:\Données chgh\2020-CHG-CZA-BPA-2\plaque 2/@19 Testo + BPA 3/B7_03.tif </t>
  </si>
  <si>
    <t xml:space="preserve"> 68.9325 </t>
  </si>
  <si>
    <t xml:space="preserve">F:\Données chgh\2020-CHG-CZA-BPA-2\plaque 2/@19 Testo + BPA 3/C7_01.tif </t>
  </si>
  <si>
    <t xml:space="preserve"> 55653.7189 </t>
  </si>
  <si>
    <t xml:space="preserve"> 87.8741 </t>
  </si>
  <si>
    <t xml:space="preserve">F:\Données chgh\2020-CHG-CZA-BPA-2\plaque 2/@19 Testo + BPA 3/C7_02.tif </t>
  </si>
  <si>
    <t xml:space="preserve"> 53512.3593 </t>
  </si>
  <si>
    <t xml:space="preserve"> 90.1374 </t>
  </si>
  <si>
    <t xml:space="preserve">F:\Données chgh\2020-CHG-CZA-BPA-2\plaque 2/@19 Testo + BPA 3/C7_03.tif </t>
  </si>
  <si>
    <t xml:space="preserve"> 56908.2528 </t>
  </si>
  <si>
    <t xml:space="preserve"> 89.9745 </t>
  </si>
  <si>
    <t xml:space="preserve">F:\Données chgh\2020-CHG-CZA-BPA-2\plaque 2/@19 Testo + BPA 3/D7_01.tif </t>
  </si>
  <si>
    <t xml:space="preserve"> 93.1494 </t>
  </si>
  <si>
    <t xml:space="preserve">F:\Données chgh\2020-CHG-CZA-BPA-2\plaque 2/@19 Testo + BPA 3/D7_02.tif </t>
  </si>
  <si>
    <t xml:space="preserve"> 46807.092 </t>
  </si>
  <si>
    <t xml:space="preserve"> 92.7412 </t>
  </si>
  <si>
    <t xml:space="preserve">F:\Données chgh\2020-CHG-CZA-BPA-2\plaque 2/@19 Testo + BPA 3/D7_03.tif </t>
  </si>
  <si>
    <t xml:space="preserve"> 52906.7223 </t>
  </si>
  <si>
    <t xml:space="preserve"> 91.5626 </t>
  </si>
  <si>
    <t xml:space="preserve">F:\Données chgh\2020-CHG-CZA-BPA-2\plaque 2/@19 Testo + BPA 3/E7_01.tif </t>
  </si>
  <si>
    <t xml:space="preserve"> 74709.656 </t>
  </si>
  <si>
    <t xml:space="preserve"> 78.6378 </t>
  </si>
  <si>
    <t xml:space="preserve">F:\Données chgh\2020-CHG-CZA-BPA-2\plaque 2/@19 Testo + BPA 3/E7_02.tif </t>
  </si>
  <si>
    <t xml:space="preserve"> 68393.7268 </t>
  </si>
  <si>
    <t xml:space="preserve"> 80.7723 </t>
  </si>
  <si>
    <t xml:space="preserve">F:\Données chgh\2020-CHG-CZA-BPA-2\plaque 2/@19 Testo + BPA 3/E7_03.tif </t>
  </si>
  <si>
    <t xml:space="preserve"> 77348.5032 </t>
  </si>
  <si>
    <t xml:space="preserve"> 78.403 </t>
  </si>
  <si>
    <t xml:space="preserve">F:\Données chgh\2020-CHG-CZA-BPA-2\plaque 2/@19 Testo + BPA 3/F7_01.tif </t>
  </si>
  <si>
    <t xml:space="preserve"> 80.8481 </t>
  </si>
  <si>
    <t xml:space="preserve">F:\Données chgh\2020-CHG-CZA-BPA-2\plaque 2/@19 Testo + BPA 3/F7_02.tif </t>
  </si>
  <si>
    <t xml:space="preserve"> 63808.1892 </t>
  </si>
  <si>
    <t xml:space="preserve"> 79.158 </t>
  </si>
  <si>
    <t xml:space="preserve">F:\Données chgh\2020-CHG-CZA-BPA-2\plaque 2/@19 Testo + BPA 3/F7_03.tif </t>
  </si>
  <si>
    <t xml:space="preserve"> 64803.1643 </t>
  </si>
  <si>
    <t xml:space="preserve"> 80.6689 </t>
  </si>
  <si>
    <t xml:space="preserve">F:\Données chgh\2020-CHG-CZA-BPA-2\plaque 2/@19 Testo + BPA 3/G7_01.tif </t>
  </si>
  <si>
    <t xml:space="preserve"> 51781.9677 </t>
  </si>
  <si>
    <t xml:space="preserve"> 77.2322 </t>
  </si>
  <si>
    <t xml:space="preserve">F:\Données chgh\2020-CHG-CZA-BPA-2\plaque 2/@19 Testo + BPA 3/G7_02.tif </t>
  </si>
  <si>
    <t xml:space="preserve"> 44016.8356 </t>
  </si>
  <si>
    <t xml:space="preserve"> 75.1125 </t>
  </si>
  <si>
    <t xml:space="preserve">F:\Données chgh\2020-CHG-CZA-BPA-2\plaque 2/@19 Testo + BPA 3/G7_03.tif </t>
  </si>
  <si>
    <t xml:space="preserve"> 48861.932 </t>
  </si>
  <si>
    <t xml:space="preserve"> 77.7402 </t>
  </si>
  <si>
    <t xml:space="preserve">F:\Données chgh\2020-CHG-CZA-BPA-2\plaque 2/@19 Testo + BPA 3/H7_01.tif </t>
  </si>
  <si>
    <t xml:space="preserve"> 77954.1402 </t>
  </si>
  <si>
    <t xml:space="preserve"> 90.2969 </t>
  </si>
  <si>
    <t xml:space="preserve">F:\Données chgh\2020-CHG-CZA-BPA-2\plaque 2/@19 Testo + BPA 3/H7_02.tif </t>
  </si>
  <si>
    <t xml:space="preserve"> 76072.3394 </t>
  </si>
  <si>
    <t xml:space="preserve"> 89.0014 </t>
  </si>
  <si>
    <t xml:space="preserve">F:\Données chgh\2020-CHG-CZA-BPA-2\plaque 2/@19 Testo + BPA 3/H7_03.tif </t>
  </si>
  <si>
    <t xml:space="preserve"> 69431.9618 </t>
  </si>
  <si>
    <t xml:space="preserve"> 85.7785 </t>
  </si>
  <si>
    <t xml:space="preserve">F:\Données chgh\2020-CHG-CZA-BPA-2\plaque 2/@19 Testo + BPA 3/ </t>
  </si>
  <si>
    <t xml:space="preserve"> 83.8466 </t>
  </si>
  <si>
    <t xml:space="preserve"> 8.6971 </t>
  </si>
  <si>
    <t xml:space="preserve"> 4624750.88 </t>
  </si>
  <si>
    <t xml:space="preserve"> 1262365.34 </t>
  </si>
  <si>
    <t xml:space="preserve">F:\Données chgh\2020-CHG-CZA-BPA-2\plaque 2/@20 Testo +  BPA 4/A8_01.tif </t>
  </si>
  <si>
    <t xml:space="preserve"> 68999.3639 </t>
  </si>
  <si>
    <t xml:space="preserve"> 87.9392 </t>
  </si>
  <si>
    <t xml:space="preserve">F:\Données chgh\2020-CHG-CZA-BPA-2\plaque 2/@20 Testo +  BPA 4/A8_02.tif </t>
  </si>
  <si>
    <t xml:space="preserve"> 88.6565 </t>
  </si>
  <si>
    <t xml:space="preserve">F:\Données chgh\2020-CHG-CZA-BPA-2\plaque 2/@20 Testo +  BPA 4/A8_03.tif </t>
  </si>
  <si>
    <t xml:space="preserve"> 58249.3062 </t>
  </si>
  <si>
    <t xml:space="preserve"> 90.2395 </t>
  </si>
  <si>
    <t xml:space="preserve">F:\Données chgh\2020-CHG-CZA-BPA-2\plaque 2/@20 Testo +  BPA 4/B8_01.tif </t>
  </si>
  <si>
    <t xml:space="preserve"> 88963.7566 </t>
  </si>
  <si>
    <t xml:space="preserve"> 94.6083 </t>
  </si>
  <si>
    <t xml:space="preserve">F:\Données chgh\2020-CHG-CZA-BPA-2\plaque 2/@20 Testo +  BPA 4/B8_02.tif </t>
  </si>
  <si>
    <t xml:space="preserve"> 83275.0943 </t>
  </si>
  <si>
    <t xml:space="preserve"> 95.6395 </t>
  </si>
  <si>
    <t xml:space="preserve">F:\Données chgh\2020-CHG-CZA-BPA-2\plaque 2/@20 Testo +  BPA 4/B8_03.tif </t>
  </si>
  <si>
    <t xml:space="preserve"> 79424.9731 </t>
  </si>
  <si>
    <t xml:space="preserve"> 97.1863 </t>
  </si>
  <si>
    <t xml:space="preserve">F:\Données chgh\2020-CHG-CZA-BPA-2\plaque 2/@20 Testo +  BPA 4/C8_01.tif </t>
  </si>
  <si>
    <t xml:space="preserve"> 80917.4358 </t>
  </si>
  <si>
    <t xml:space="preserve"> 88.5993 </t>
  </si>
  <si>
    <t xml:space="preserve">F:\Données chgh\2020-CHG-CZA-BPA-2\plaque 2/@20 Testo +  BPA 4/C8_02.tif </t>
  </si>
  <si>
    <t xml:space="preserve"> 81501.443 </t>
  </si>
  <si>
    <t xml:space="preserve"> 89.6712 </t>
  </si>
  <si>
    <t xml:space="preserve">F:\Données chgh\2020-CHG-CZA-BPA-2\plaque 2/@20 Testo +  BPA 4/C8_03.tif </t>
  </si>
  <si>
    <t xml:space="preserve"> 83556.283 </t>
  </si>
  <si>
    <t xml:space="preserve"> 89.752 </t>
  </si>
  <si>
    <t xml:space="preserve">F:\Données chgh\2020-CHG-CZA-BPA-2\plaque 2/@20 Testo +  BPA 4/D8_01.tif </t>
  </si>
  <si>
    <t xml:space="preserve"> 48148.1454 </t>
  </si>
  <si>
    <t xml:space="preserve"> 83.7466 </t>
  </si>
  <si>
    <t xml:space="preserve">F:\Données chgh\2020-CHG-CZA-BPA-2\plaque 2/@20 Testo +  BPA 4/D8_02.tif </t>
  </si>
  <si>
    <t xml:space="preserve"> 47931.8465 </t>
  </si>
  <si>
    <t xml:space="preserve"> 81.1588 </t>
  </si>
  <si>
    <t xml:space="preserve">F:\Données chgh\2020-CHG-CZA-BPA-2\plaque 2/@20 Testo +  BPA 4/D8_03.tif </t>
  </si>
  <si>
    <t xml:space="preserve"> 50397.6545 </t>
  </si>
  <si>
    <t xml:space="preserve"> 79.3841 </t>
  </si>
  <si>
    <t xml:space="preserve">F:\Données chgh\2020-CHG-CZA-BPA-2\plaque 2/@20 Testo +  BPA 4/E8_01.tif </t>
  </si>
  <si>
    <t xml:space="preserve"> 60412.2957 </t>
  </si>
  <si>
    <t xml:space="preserve"> 84.3738 </t>
  </si>
  <si>
    <t xml:space="preserve">F:\Données chgh\2020-CHG-CZA-BPA-2\plaque 2/@20 Testo +  BPA 4/E8_02.tif </t>
  </si>
  <si>
    <t xml:space="preserve"> 68155.798 </t>
  </si>
  <si>
    <t xml:space="preserve"> 83.5189 </t>
  </si>
  <si>
    <t xml:space="preserve">F:\Données chgh\2020-CHG-CZA-BPA-2\plaque 2/@20 Testo +  BPA 4/E8_03.tif </t>
  </si>
  <si>
    <t xml:space="preserve"> 69734.7803 </t>
  </si>
  <si>
    <t xml:space="preserve"> 81.5983 </t>
  </si>
  <si>
    <t xml:space="preserve">F:\Données chgh\2020-CHG-CZA-BPA-2\plaque 2/@20 Testo +  BPA 4/F8_01.tif </t>
  </si>
  <si>
    <t xml:space="preserve"> 68501.8763 </t>
  </si>
  <si>
    <t xml:space="preserve"> 87.306 </t>
  </si>
  <si>
    <t xml:space="preserve">F:\Données chgh\2020-CHG-CZA-BPA-2\plaque 2/@20 Testo +  BPA 4/F8_02.tif </t>
  </si>
  <si>
    <t xml:space="preserve"> 65841.3993 </t>
  </si>
  <si>
    <t xml:space="preserve"> 89.2388 </t>
  </si>
  <si>
    <t xml:space="preserve">F:\Données chgh\2020-CHG-CZA-BPA-2\plaque 2/@20 Testo +  BPA 4/F8_03.tif </t>
  </si>
  <si>
    <t xml:space="preserve"> 68891.2144 </t>
  </si>
  <si>
    <t xml:space="preserve"> 89.3812 </t>
  </si>
  <si>
    <t xml:space="preserve">F:\Données chgh\2020-CHG-CZA-BPA-2\plaque 2/@20 Testo +  BPA 4/G8_01.tif </t>
  </si>
  <si>
    <t xml:space="preserve"> 77283.6135 </t>
  </si>
  <si>
    <t xml:space="preserve"> 88.6367 </t>
  </si>
  <si>
    <t xml:space="preserve">F:\Données chgh\2020-CHG-CZA-BPA-2\plaque 2/@20 Testo +  BPA 4/G8_02.tif </t>
  </si>
  <si>
    <t xml:space="preserve"> 67117.563 </t>
  </si>
  <si>
    <t xml:space="preserve"> 87.7129 </t>
  </si>
  <si>
    <t>F:\Données chgh\2020-CHG-CZA-BPA-2\plaque 2/@20 Testo +  BPA 4/G8_03- exclu.tif</t>
  </si>
  <si>
    <t>F:\Données chgh\2020-CHG-CZA-BPA-2\plaque 2/@20 Testo +  BPA 4/H8_01- exclu.tif</t>
  </si>
  <si>
    <t xml:space="preserve">F:\Données chgh\2020-CHG-CZA-BPA-2\plaque 2/@20 Testo +  BPA 4/H8_02.tif </t>
  </si>
  <si>
    <t xml:space="preserve"> 45941.8962 </t>
  </si>
  <si>
    <t xml:space="preserve"> 80.3592 </t>
  </si>
  <si>
    <t xml:space="preserve">F:\Données chgh\2020-CHG-CZA-BPA-2\plaque 2/@20 Testo +  BPA 4/H8_03.tif </t>
  </si>
  <si>
    <t xml:space="preserve"> 79.6625 </t>
  </si>
  <si>
    <t xml:space="preserve">F:\Données chgh\2020-CHG-CZA-BPA-2\plaque 2/@20 Testo +  BPA 4/ </t>
  </si>
  <si>
    <t xml:space="preserve"> 85.5494 </t>
  </si>
  <si>
    <t xml:space="preserve"> 7.378 </t>
  </si>
  <si>
    <t xml:space="preserve"> 1735247.33 </t>
  </si>
  <si>
    <t xml:space="preserve">F:\Données chgh\2020-CHG-CZA-BPA-2\plaque 2/@21 Testo +  BPA 5/A9_01.tif </t>
  </si>
  <si>
    <t xml:space="preserve"> 60498.8153 </t>
  </si>
  <si>
    <t xml:space="preserve"> 83.8237 </t>
  </si>
  <si>
    <t xml:space="preserve">F:\Données chgh\2020-CHG-CZA-BPA-2\plaque 2/@21 Testo +  BPA 5/A9_02.tif </t>
  </si>
  <si>
    <t xml:space="preserve"> 57513.8898 </t>
  </si>
  <si>
    <t xml:space="preserve"> 84.3975 </t>
  </si>
  <si>
    <t xml:space="preserve">F:\Données chgh\2020-CHG-CZA-BPA-2\plaque 2/@21 Testo +  BPA 5/A9_03.tif </t>
  </si>
  <si>
    <t xml:space="preserve"> 56345.8755 </t>
  </si>
  <si>
    <t xml:space="preserve"> 83.2929 </t>
  </si>
  <si>
    <t xml:space="preserve">F:\Données chgh\2020-CHG-CZA-BPA-2\plaque 2/@21 Testo +  BPA 5/B9_01.tif </t>
  </si>
  <si>
    <t xml:space="preserve"> 70859.5348 </t>
  </si>
  <si>
    <t xml:space="preserve"> 86.6716 </t>
  </si>
  <si>
    <t xml:space="preserve">F:\Données chgh\2020-CHG-CZA-BPA-2\plaque 2/@21 Testo +  BPA 5/B9_02.tif </t>
  </si>
  <si>
    <t xml:space="preserve"> 92.272 </t>
  </si>
  <si>
    <t xml:space="preserve">F:\Données chgh\2020-CHG-CZA-BPA-2\plaque 2/@21 Testo +  BPA 5/B9_03.tif </t>
  </si>
  <si>
    <t xml:space="preserve"> 68263.9474 </t>
  </si>
  <si>
    <t xml:space="preserve"> 91.9376 </t>
  </si>
  <si>
    <t xml:space="preserve">F:\Données chgh\2020-CHG-CZA-BPA-2\plaque 2/@21 Testo +  BPA 5/C9_01.tif </t>
  </si>
  <si>
    <t xml:space="preserve"> 87514.5537 </t>
  </si>
  <si>
    <t xml:space="preserve"> 91.5865 </t>
  </si>
  <si>
    <t xml:space="preserve">F:\Données chgh\2020-CHG-CZA-BPA-2\plaque 2/@21 Testo +  BPA 5/C9_02.tif </t>
  </si>
  <si>
    <t xml:space="preserve"> 79598.0122 </t>
  </si>
  <si>
    <t xml:space="preserve"> 92.5421 </t>
  </si>
  <si>
    <t xml:space="preserve">F:\Données chgh\2020-CHG-CZA-BPA-2\plaque 2/@21 Testo +  BPA 5/C9_03.tif </t>
  </si>
  <si>
    <t xml:space="preserve"> 82518.048 </t>
  </si>
  <si>
    <t xml:space="preserve"> 92.1337 </t>
  </si>
  <si>
    <t xml:space="preserve">F:\Données chgh\2020-CHG-CZA-BPA-2\plaque 2/@21 Testo +  BPA 5/D9_01.tif </t>
  </si>
  <si>
    <t xml:space="preserve"> 37830.6857 </t>
  </si>
  <si>
    <t xml:space="preserve"> 71.3442 </t>
  </si>
  <si>
    <t xml:space="preserve">F:\Données chgh\2020-CHG-CZA-BPA-2\plaque 2/@21 Testo +  BPA 5/D9_02.tif </t>
  </si>
  <si>
    <t xml:space="preserve"> 35992.1447 </t>
  </si>
  <si>
    <t xml:space="preserve"> 71.64 </t>
  </si>
  <si>
    <t xml:space="preserve">F:\Données chgh\2020-CHG-CZA-BPA-2\plaque 2/@21 Testo +  BPA 5/D9_03.tif </t>
  </si>
  <si>
    <t xml:space="preserve"> 31904.0946 </t>
  </si>
  <si>
    <t xml:space="preserve"> 71.8949 </t>
  </si>
  <si>
    <t xml:space="preserve">F:\Données chgh\2020-CHG-CZA-BPA-2\plaque 2/@21 Testo +  BPA 5/E9_01.tif </t>
  </si>
  <si>
    <t xml:space="preserve"> 64695.0148 </t>
  </si>
  <si>
    <t xml:space="preserve"> 80.0027 </t>
  </si>
  <si>
    <t xml:space="preserve">F:\Données chgh\2020-CHG-CZA-BPA-2\plaque 2/@21 Testo +  BPA 5/E9_02.tif </t>
  </si>
  <si>
    <t xml:space="preserve"> 63678.4098 </t>
  </si>
  <si>
    <t xml:space="preserve"> 77.9783 </t>
  </si>
  <si>
    <t xml:space="preserve">F:\Données chgh\2020-CHG-CZA-BPA-2\plaque 2/@21 Testo +  BPA 5/E9_03.tif </t>
  </si>
  <si>
    <t xml:space="preserve"> 61255.8616 </t>
  </si>
  <si>
    <t xml:space="preserve"> 76.5816 </t>
  </si>
  <si>
    <t xml:space="preserve">F:\Données chgh\2020-CHG-CZA-BPA-2\plaque 2/@21 Testo +  BPA 5/F9_01.tif </t>
  </si>
  <si>
    <t xml:space="preserve"> 40642.572 </t>
  </si>
  <si>
    <t xml:space="preserve"> 78.5423 </t>
  </si>
  <si>
    <t xml:space="preserve">F:\Données chgh\2020-CHG-CZA-BPA-2\plaque 2/@21 Testo +  BPA 5/F9_02.tif </t>
  </si>
  <si>
    <t xml:space="preserve"> 37398.0878 </t>
  </si>
  <si>
    <t xml:space="preserve"> 78.742 </t>
  </si>
  <si>
    <t xml:space="preserve">F:\Données chgh\2020-CHG-CZA-BPA-2\plaque 2/@21 Testo +  BPA 5/F9_03.tif </t>
  </si>
  <si>
    <t xml:space="preserve"> 37852.3156 </t>
  </si>
  <si>
    <t xml:space="preserve"> 79.4434 </t>
  </si>
  <si>
    <t xml:space="preserve">F:\Données chgh\2020-CHG-CZA-BPA-2\plaque 2/@21 Testo +  BPA 5/G9_01.tif </t>
  </si>
  <si>
    <t xml:space="preserve"> 68696.5453 </t>
  </si>
  <si>
    <t xml:space="preserve"> 86.9751 </t>
  </si>
  <si>
    <t xml:space="preserve">F:\Données chgh\2020-CHG-CZA-BPA-2\plaque 2/@21 Testo +  BPA 5/G9_02.tif </t>
  </si>
  <si>
    <t xml:space="preserve"> 65754.8797 </t>
  </si>
  <si>
    <t xml:space="preserve"> 83.4701 </t>
  </si>
  <si>
    <t xml:space="preserve">F:\Données chgh\2020-CHG-CZA-BPA-2\plaque 2/@21 Testo +  BPA 5/G9_03.tif </t>
  </si>
  <si>
    <t xml:space="preserve"> 84.7314 </t>
  </si>
  <si>
    <t xml:space="preserve">F:\Données chgh\2020-CHG-CZA-BPA-2\plaque 2/@21 Testo +  BPA 5/H9_01.tif </t>
  </si>
  <si>
    <t xml:space="preserve"> 57384.1105 </t>
  </si>
  <si>
    <t xml:space="preserve"> 85.0049 </t>
  </si>
  <si>
    <t xml:space="preserve">F:\Données chgh\2020-CHG-CZA-BPA-2\plaque 2/@21 Testo +  BPA 5/H9_02.tif </t>
  </si>
  <si>
    <t xml:space="preserve"> 58508.865 </t>
  </si>
  <si>
    <t xml:space="preserve"> 86.6085 </t>
  </si>
  <si>
    <t xml:space="preserve">F:\Données chgh\2020-CHG-CZA-BPA-2\plaque 2/@21 Testo +  BPA 5/H9_03.tif </t>
  </si>
  <si>
    <t xml:space="preserve"> 57211.0713 </t>
  </si>
  <si>
    <t xml:space="preserve"> 82.0484 </t>
  </si>
  <si>
    <t xml:space="preserve">F:\Données chgh\2020-CHG-CZA-BPA-2\plaque 2/@21 Testo +  BPA 5/ </t>
  </si>
  <si>
    <t xml:space="preserve"> 83.0694 </t>
  </si>
  <si>
    <t xml:space="preserve"> 6.5321 </t>
  </si>
  <si>
    <t xml:space="preserve"> 4978390.67 </t>
  </si>
  <si>
    <t xml:space="preserve"> 1585920.59 </t>
  </si>
  <si>
    <t xml:space="preserve">F:\Données chgh\2020-CHG-CZA-BPA-3\plaque 1/@01 TS/A1_01.tif </t>
  </si>
  <si>
    <t xml:space="preserve"> 62.3636 </t>
  </si>
  <si>
    <t xml:space="preserve">F:\Données chgh\2020-CHG-CZA-BPA-3\plaque 1/@01 TS/A1_02.tif </t>
  </si>
  <si>
    <t xml:space="preserve"> 63.5294 </t>
  </si>
  <si>
    <t xml:space="preserve">F:\Données chgh\2020-CHG-CZA-BPA-3\plaque 1/@01 TS/A1_03.tif </t>
  </si>
  <si>
    <t xml:space="preserve"> 108.1495 </t>
  </si>
  <si>
    <t xml:space="preserve"> 62.6 </t>
  </si>
  <si>
    <t xml:space="preserve">F:\Données chgh\2020-CHG-CZA-BPA-3\plaque 1/@01 TS/B1_01.tif </t>
  </si>
  <si>
    <t xml:space="preserve"> 63.5263 </t>
  </si>
  <si>
    <t xml:space="preserve">F:\Données chgh\2020-CHG-CZA-BPA-3\plaque 1/@01 TS/B1_02.tif </t>
  </si>
  <si>
    <t xml:space="preserve"> 62.2174 </t>
  </si>
  <si>
    <t xml:space="preserve">F:\Données chgh\2020-CHG-CZA-BPA-3\plaque 1/@01 TS/B1_03.tif </t>
  </si>
  <si>
    <t xml:space="preserve"> 63.94 </t>
  </si>
  <si>
    <t xml:space="preserve">F:\Données chgh\2020-CHG-CZA-BPA-3\plaque 1/@01 TS/C1_01.tif </t>
  </si>
  <si>
    <t xml:space="preserve">F:\Données chgh\2020-CHG-CZA-BPA-3\plaque 1/@01 TS/C1_02.tif </t>
  </si>
  <si>
    <t xml:space="preserve"> 6726.8972 </t>
  </si>
  <si>
    <t xml:space="preserve"> 65.4727 </t>
  </si>
  <si>
    <t xml:space="preserve">F:\Données chgh\2020-CHG-CZA-BPA-3\plaque 1/@01 TS/C1_03.tif </t>
  </si>
  <si>
    <t xml:space="preserve"> 8046.3208 </t>
  </si>
  <si>
    <t xml:space="preserve"> 65.9462 </t>
  </si>
  <si>
    <t xml:space="preserve">F:\Données chgh\2020-CHG-CZA-BPA-3\plaque 1/@01 TS/D1_01.tif </t>
  </si>
  <si>
    <t xml:space="preserve"> 7224.3848 </t>
  </si>
  <si>
    <t xml:space="preserve"> 69.2754 </t>
  </si>
  <si>
    <t xml:space="preserve">F:\Données chgh\2020-CHG-CZA-BPA-3\plaque 1/@01 TS/D1_02.tif </t>
  </si>
  <si>
    <t xml:space="preserve"> 7397.424 </t>
  </si>
  <si>
    <t xml:space="preserve"> 70.2573 </t>
  </si>
  <si>
    <t>F:\Données chgh\2020-CHG-CZA-BPA-3\plaque 1/@01 TS/D1_03- exclu.tif</t>
  </si>
  <si>
    <t xml:space="preserve">F:\Données chgh\2020-CHG-CZA-BPA-3\plaque 1/@01 TS/E1_01.tif </t>
  </si>
  <si>
    <t xml:space="preserve"> 64.6512 </t>
  </si>
  <si>
    <t xml:space="preserve">F:\Données chgh\2020-CHG-CZA-BPA-3\plaque 1/@01 TS/E1_02.tif </t>
  </si>
  <si>
    <t xml:space="preserve"> 540.7474 </t>
  </si>
  <si>
    <t xml:space="preserve"> 62.76 </t>
  </si>
  <si>
    <t xml:space="preserve">F:\Données chgh\2020-CHG-CZA-BPA-3\plaque 1/@01 TS/E1_03.tif </t>
  </si>
  <si>
    <t xml:space="preserve"> 62.6053 </t>
  </si>
  <si>
    <t xml:space="preserve">F:\Données chgh\2020-CHG-CZA-BPA-3\plaque 1/@01 TS/F1_01.tif </t>
  </si>
  <si>
    <t xml:space="preserve"> 65.2621 </t>
  </si>
  <si>
    <t xml:space="preserve">F:\Données chgh\2020-CHG-CZA-BPA-3\plaque 1/@01 TS/F1_02.tif </t>
  </si>
  <si>
    <t xml:space="preserve"> 77.1421 </t>
  </si>
  <si>
    <t xml:space="preserve">F:\Données chgh\2020-CHG-CZA-BPA-3\plaque 1/@01 TS/F1_03.tif </t>
  </si>
  <si>
    <t xml:space="preserve">F:\Données chgh\2020-CHG-CZA-BPA-3\plaque 1/@01 TS/G1_01.tif </t>
  </si>
  <si>
    <t xml:space="preserve"> 1816.9111 </t>
  </si>
  <si>
    <t xml:space="preserve">F:\Données chgh\2020-CHG-CZA-BPA-3\plaque 1/@01 TS/G1_02.tif </t>
  </si>
  <si>
    <t xml:space="preserve"> 65.7486 </t>
  </si>
  <si>
    <t xml:space="preserve">F:\Données chgh\2020-CHG-CZA-BPA-3\plaque 1/@01 TS/G1_03.tif </t>
  </si>
  <si>
    <t xml:space="preserve"> 5429.1036 </t>
  </si>
  <si>
    <t xml:space="preserve"> 66.2789 </t>
  </si>
  <si>
    <t xml:space="preserve">F:\Données chgh\2020-CHG-CZA-BPA-3\plaque 1/@01 TS/H1_01.tif </t>
  </si>
  <si>
    <t xml:space="preserve"> 62.7353 </t>
  </si>
  <si>
    <t xml:space="preserve">F:\Données chgh\2020-CHG-CZA-BPA-3\plaque 1/@01 TS/H1_02.tif </t>
  </si>
  <si>
    <t xml:space="preserve"> 63.1111 </t>
  </si>
  <si>
    <t xml:space="preserve">F:\Données chgh\2020-CHG-CZA-BPA-3\plaque 1/@01 TS/H1_03.tif </t>
  </si>
  <si>
    <t xml:space="preserve"> 63.5161 </t>
  </si>
  <si>
    <t xml:space="preserve">F:\Données chgh\2020-CHG-CZA-BPA-3\plaque 1/@01 TS/ </t>
  </si>
  <si>
    <t xml:space="preserve"> 65.2245 </t>
  </si>
  <si>
    <t xml:space="preserve"> 3.301 </t>
  </si>
  <si>
    <t xml:space="preserve"> 215935.792 </t>
  </si>
  <si>
    <t xml:space="preserve"> 220379.011 </t>
  </si>
  <si>
    <t xml:space="preserve">F:\Données chgh\2020-CHG-CZA-BPA-3\plaque 1/@02 EE2 34/A2_01.tif </t>
  </si>
  <si>
    <t xml:space="preserve">F:\Données chgh\2020-CHG-CZA-BPA-3\plaque 1/@02 EE2 34/A2_02.tif </t>
  </si>
  <si>
    <t xml:space="preserve">F:\Données chgh\2020-CHG-CZA-BPA-3\plaque 1/@02 EE2 34/A2_03.tif </t>
  </si>
  <si>
    <t xml:space="preserve"> 62.8235 </t>
  </si>
  <si>
    <t xml:space="preserve">F:\Données chgh\2020-CHG-CZA-BPA-3\plaque 1/@02 EE2 34/B2_01.tif </t>
  </si>
  <si>
    <t xml:space="preserve"> 64.4737 </t>
  </si>
  <si>
    <t xml:space="preserve">F:\Données chgh\2020-CHG-CZA-BPA-3\plaque 1/@02 EE2 34/B2_02.tif </t>
  </si>
  <si>
    <t xml:space="preserve"> 64.7143 </t>
  </si>
  <si>
    <t xml:space="preserve">F:\Données chgh\2020-CHG-CZA-BPA-3\plaque 1/@02 EE2 34/B2_03.tif </t>
  </si>
  <si>
    <t xml:space="preserve"> 63.0741 </t>
  </si>
  <si>
    <t xml:space="preserve">F:\Données chgh\2020-CHG-CZA-BPA-3\plaque 1/@02 EE2 34/C2_01.tif </t>
  </si>
  <si>
    <t xml:space="preserve">F:\Données chgh\2020-CHG-CZA-BPA-3\plaque 1/@02 EE2 34/C2_02.tif </t>
  </si>
  <si>
    <t xml:space="preserve"> 1341.0535 </t>
  </si>
  <si>
    <t xml:space="preserve"> 65.2258 </t>
  </si>
  <si>
    <t xml:space="preserve">F:\Données chgh\2020-CHG-CZA-BPA-3\plaque 1/@02 EE2 34/C2_03.tif </t>
  </si>
  <si>
    <t xml:space="preserve">F:\Données chgh\2020-CHG-CZA-BPA-3\plaque 1/@02 EE2 34/D2_01.tif </t>
  </si>
  <si>
    <t xml:space="preserve"> 62.6327 </t>
  </si>
  <si>
    <t xml:space="preserve">F:\Données chgh\2020-CHG-CZA-BPA-3\plaque 1/@02 EE2 34/D2_02.tif </t>
  </si>
  <si>
    <t xml:space="preserve"> 6142.8901 </t>
  </si>
  <si>
    <t xml:space="preserve"> 66.2289 </t>
  </si>
  <si>
    <t>F:\Données chgh\2020-CHG-CZA-BPA-3\plaque 1/@02 EE2 34/D2_03- exclu.tif</t>
  </si>
  <si>
    <t xml:space="preserve">F:\Données chgh\2020-CHG-CZA-BPA-3\plaque 1/@02 EE2 34/E2_01.tif </t>
  </si>
  <si>
    <t xml:space="preserve"> 90.4787 </t>
  </si>
  <si>
    <t xml:space="preserve">F:\Données chgh\2020-CHG-CZA-BPA-3\plaque 1/@02 EE2 34/E2_02.tif </t>
  </si>
  <si>
    <t xml:space="preserve"> 9127.8155 </t>
  </si>
  <si>
    <t xml:space="preserve"> 74.4787 </t>
  </si>
  <si>
    <t xml:space="preserve">F:\Données chgh\2020-CHG-CZA-BPA-3\plaque 1/@02 EE2 34/E2_03.tif </t>
  </si>
  <si>
    <t xml:space="preserve"> 71.0395 </t>
  </si>
  <si>
    <t xml:space="preserve">F:\Données chgh\2020-CHG-CZA-BPA-3\plaque 1/@02 EE2 34/F2_01.tif </t>
  </si>
  <si>
    <t xml:space="preserve"> 67.5357 </t>
  </si>
  <si>
    <t xml:space="preserve">F:\Données chgh\2020-CHG-CZA-BPA-3\plaque 1/@02 EE2 34/F2_02.tif </t>
  </si>
  <si>
    <t xml:space="preserve"> 63.8596 </t>
  </si>
  <si>
    <t xml:space="preserve">F:\Données chgh\2020-CHG-CZA-BPA-3\plaque 1/@02 EE2 34/F2_03.tif </t>
  </si>
  <si>
    <t xml:space="preserve"> 66.3684 </t>
  </si>
  <si>
    <t xml:space="preserve">F:\Données chgh\2020-CHG-CZA-BPA-3\plaque 1/@02 EE2 34/G2_01.tif </t>
  </si>
  <si>
    <t xml:space="preserve"> 4131.3099 </t>
  </si>
  <si>
    <t xml:space="preserve"> 65.8743 </t>
  </si>
  <si>
    <t xml:space="preserve">F:\Données chgh\2020-CHG-CZA-BPA-3\plaque 1/@02 EE2 34/G2_02.tif </t>
  </si>
  <si>
    <t xml:space="preserve"> 64.377 </t>
  </si>
  <si>
    <t xml:space="preserve">F:\Données chgh\2020-CHG-CZA-BPA-3\plaque 1/@02 EE2 34/G2_03.tif </t>
  </si>
  <si>
    <t xml:space="preserve"> 63.725 </t>
  </si>
  <si>
    <t xml:space="preserve">F:\Données chgh\2020-CHG-CZA-BPA-3\plaque 1/@02 EE2 34/H2_01.tif </t>
  </si>
  <si>
    <t xml:space="preserve"> 64.8571 </t>
  </si>
  <si>
    <t xml:space="preserve">F:\Données chgh\2020-CHG-CZA-BPA-3\plaque 1/@02 EE2 34/H2_02.tif </t>
  </si>
  <si>
    <t xml:space="preserve"> 64.5926 </t>
  </si>
  <si>
    <t xml:space="preserve">F:\Données chgh\2020-CHG-CZA-BPA-3\plaque 1/@02 EE2 34/H2_03.tif </t>
  </si>
  <si>
    <t xml:space="preserve"> 65.5437 </t>
  </si>
  <si>
    <t xml:space="preserve">F:\Données chgh\2020-CHG-CZA-BPA-3\plaque 1/@02 EE2 34/ </t>
  </si>
  <si>
    <t xml:space="preserve"> 66.4984 </t>
  </si>
  <si>
    <t xml:space="preserve"> 5.7218 </t>
  </si>
  <si>
    <t xml:space="preserve"> 173451.958 </t>
  </si>
  <si>
    <t xml:space="preserve"> 247193.034 </t>
  </si>
  <si>
    <t xml:space="preserve">F:\Données chgh\2020-CHG-CZA-BPA-3\plaque 1/@03 EE2 51/A3_01.tif </t>
  </si>
  <si>
    <t xml:space="preserve"> 2876.776 </t>
  </si>
  <si>
    <t xml:space="preserve"> 67.2707 </t>
  </si>
  <si>
    <t xml:space="preserve">F:\Données chgh\2020-CHG-CZA-BPA-3\plaque 1/@03 EE2 51/A3_02.tif </t>
  </si>
  <si>
    <t xml:space="preserve"> 3504.0429 </t>
  </si>
  <si>
    <t xml:space="preserve"> 66.821 </t>
  </si>
  <si>
    <t xml:space="preserve">F:\Données chgh\2020-CHG-CZA-BPA-3\plaque 1/@03 EE2 51/A3_03.tif </t>
  </si>
  <si>
    <t xml:space="preserve"> 63.9804 </t>
  </si>
  <si>
    <t xml:space="preserve">F:\Données chgh\2020-CHG-CZA-BPA-3\plaque 1/@03 EE2 51/B3_01.tif </t>
  </si>
  <si>
    <t xml:space="preserve">F:\Données chgh\2020-CHG-CZA-BPA-3\plaque 1/@03 EE2 51/B3_02.tif </t>
  </si>
  <si>
    <t xml:space="preserve"> 64.9867 </t>
  </si>
  <si>
    <t>F:\Données chgh\2020-CHG-CZA-BPA-3\plaque 1/@03 EE2 51/B3_03- exclu.tif</t>
  </si>
  <si>
    <t>F:\Données chgh\2020-CHG-CZA-BPA-3\plaque 1/@03 EE2 51/C3_01- exclu.tif</t>
  </si>
  <si>
    <t xml:space="preserve">F:\Données chgh\2020-CHG-CZA-BPA-3\plaque 1/@03 EE2 51/C3_02.tif </t>
  </si>
  <si>
    <t xml:space="preserve"> 67.7762 </t>
  </si>
  <si>
    <t xml:space="preserve">F:\Données chgh\2020-CHG-CZA-BPA-3\plaque 1/@03 EE2 51/C3_03.tif </t>
  </si>
  <si>
    <t xml:space="preserve"> 66.2921 </t>
  </si>
  <si>
    <t xml:space="preserve">F:\Données chgh\2020-CHG-CZA-BPA-3\plaque 1/@03 EE2 51/D3_01.tif </t>
  </si>
  <si>
    <t xml:space="preserve"> 66.6154 </t>
  </si>
  <si>
    <t xml:space="preserve">F:\Données chgh\2020-CHG-CZA-BPA-3\plaque 1/@03 EE2 51/D3_02.tif </t>
  </si>
  <si>
    <t xml:space="preserve"> 67.9236 </t>
  </si>
  <si>
    <t xml:space="preserve">F:\Données chgh\2020-CHG-CZA-BPA-3\plaque 1/@03 EE2 51/D3_03.tif </t>
  </si>
  <si>
    <t xml:space="preserve"> 65.4118 </t>
  </si>
  <si>
    <t xml:space="preserve">F:\Données chgh\2020-CHG-CZA-BPA-3\plaque 1/@03 EE2 51/E3_01.tif </t>
  </si>
  <si>
    <t xml:space="preserve"> 66.259 </t>
  </si>
  <si>
    <t xml:space="preserve">F:\Données chgh\2020-CHG-CZA-BPA-3\plaque 1/@03 EE2 51/E3_02.tif </t>
  </si>
  <si>
    <t xml:space="preserve"> 65.3209 </t>
  </si>
  <si>
    <t xml:space="preserve">F:\Données chgh\2020-CHG-CZA-BPA-3\plaque 1/@03 EE2 51/E3_03.tif </t>
  </si>
  <si>
    <t xml:space="preserve"> 1708.7617 </t>
  </si>
  <si>
    <t xml:space="preserve"> 63.2532 </t>
  </si>
  <si>
    <t xml:space="preserve">F:\Données chgh\2020-CHG-CZA-BPA-3\plaque 1/@03 EE2 51/F3_01.tif </t>
  </si>
  <si>
    <t xml:space="preserve"> 5602.1427 </t>
  </si>
  <si>
    <t xml:space="preserve"> 69.0695 </t>
  </si>
  <si>
    <t xml:space="preserve">F:\Données chgh\2020-CHG-CZA-BPA-3\plaque 1/@03 EE2 51/F3_02.tif </t>
  </si>
  <si>
    <t xml:space="preserve"> 66.5369 </t>
  </si>
  <si>
    <t xml:space="preserve">F:\Données chgh\2020-CHG-CZA-BPA-3\plaque 1/@03 EE2 51/F3_03.tif </t>
  </si>
  <si>
    <t xml:space="preserve"> 68.2275 </t>
  </si>
  <si>
    <t xml:space="preserve">F:\Données chgh\2020-CHG-CZA-BPA-3\plaque 1/@03 EE2 51/G3_01.tif </t>
  </si>
  <si>
    <t xml:space="preserve"> 2400.9183 </t>
  </si>
  <si>
    <t xml:space="preserve"> 64.1261 </t>
  </si>
  <si>
    <t xml:space="preserve">F:\Données chgh\2020-CHG-CZA-BPA-3\plaque 1/@03 EE2 51/G3_02.tif </t>
  </si>
  <si>
    <t xml:space="preserve"> 64.9789 </t>
  </si>
  <si>
    <t xml:space="preserve">F:\Données chgh\2020-CHG-CZA-BPA-3\plaque 1/@03 EE2 51/G3_03.tif </t>
  </si>
  <si>
    <t xml:space="preserve"> 1276.1638 </t>
  </si>
  <si>
    <t xml:space="preserve"> 64.8305 </t>
  </si>
  <si>
    <t xml:space="preserve">F:\Données chgh\2020-CHG-CZA-BPA-3\plaque 1/@03 EE2 51/H3_01.tif </t>
  </si>
  <si>
    <t xml:space="preserve"> 63.4211 </t>
  </si>
  <si>
    <t xml:space="preserve">F:\Données chgh\2020-CHG-CZA-BPA-3\plaque 1/@03 EE2 51/H3_02.tif </t>
  </si>
  <si>
    <t xml:space="preserve"> 72.3407 </t>
  </si>
  <si>
    <t xml:space="preserve">F:\Données chgh\2020-CHG-CZA-BPA-3\plaque 1/@03 EE2 51/H3_03.tif </t>
  </si>
  <si>
    <t xml:space="preserve"> 8565.4383 </t>
  </si>
  <si>
    <t xml:space="preserve"> 70.0657 </t>
  </si>
  <si>
    <t xml:space="preserve">F:\Données chgh\2020-CHG-CZA-BPA-3\plaque 1/@03 EE2 51/ </t>
  </si>
  <si>
    <t xml:space="preserve"> 66.0756 </t>
  </si>
  <si>
    <t xml:space="preserve"> 2.3759 </t>
  </si>
  <si>
    <t xml:space="preserve"> 207685.708 </t>
  </si>
  <si>
    <t xml:space="preserve"> 151908.817 </t>
  </si>
  <si>
    <t xml:space="preserve">F:\Données chgh\2020-CHG-CZA-BPA-3\plaque 1/@04 EE2 76/A4_01.tif </t>
  </si>
  <si>
    <t xml:space="preserve"> 63.7013 </t>
  </si>
  <si>
    <t xml:space="preserve">F:\Données chgh\2020-CHG-CZA-BPA-3\plaque 1/@04 EE2 76/A4_02.tif </t>
  </si>
  <si>
    <t xml:space="preserve"> 3698.712 </t>
  </si>
  <si>
    <t xml:space="preserve"> 64.2339 </t>
  </si>
  <si>
    <t xml:space="preserve">F:\Données chgh\2020-CHG-CZA-BPA-3\plaque 1/@04 EE2 76/A4_03.tif </t>
  </si>
  <si>
    <t xml:space="preserve"> 2682.1069 </t>
  </si>
  <si>
    <t xml:space="preserve"> 64.1048 </t>
  </si>
  <si>
    <t xml:space="preserve">F:\Données chgh\2020-CHG-CZA-BPA-3\plaque 1/@04 EE2 76/B4_01.tif </t>
  </si>
  <si>
    <t xml:space="preserve"> 68.0854 </t>
  </si>
  <si>
    <t xml:space="preserve">F:\Données chgh\2020-CHG-CZA-BPA-3\plaque 1/@04 EE2 76/B4_02.tif </t>
  </si>
  <si>
    <t xml:space="preserve"> 10122.7907 </t>
  </si>
  <si>
    <t xml:space="preserve"> 65.5598 </t>
  </si>
  <si>
    <t xml:space="preserve">F:\Données chgh\2020-CHG-CZA-BPA-3\plaque 1/@04 EE2 76/B4_03.tif </t>
  </si>
  <si>
    <t xml:space="preserve"> 7851.6518 </t>
  </si>
  <si>
    <t xml:space="preserve"> 66.8567 </t>
  </si>
  <si>
    <t xml:space="preserve">F:\Données chgh\2020-CHG-CZA-BPA-3\plaque 1/@04 EE2 76/C4_01.tif </t>
  </si>
  <si>
    <t xml:space="preserve"> 23014.2079 </t>
  </si>
  <si>
    <t xml:space="preserve"> 66.485 </t>
  </si>
  <si>
    <t xml:space="preserve">F:\Données chgh\2020-CHG-CZA-BPA-3\plaque 1/@04 EE2 76/C4_02.tif </t>
  </si>
  <si>
    <t xml:space="preserve"> 25090.6778 </t>
  </si>
  <si>
    <t xml:space="preserve"> 66.1871 </t>
  </si>
  <si>
    <t xml:space="preserve">F:\Données chgh\2020-CHG-CZA-BPA-3\plaque 1/@04 EE2 76/C4_03.tif </t>
  </si>
  <si>
    <t xml:space="preserve"> 26626.4003 </t>
  </si>
  <si>
    <t xml:space="preserve"> 66.8757 </t>
  </si>
  <si>
    <t xml:space="preserve">F:\Données chgh\2020-CHG-CZA-BPA-3\plaque 1/@04 EE2 76/D4_01.tif </t>
  </si>
  <si>
    <t xml:space="preserve"> 66.8627 </t>
  </si>
  <si>
    <t xml:space="preserve">F:\Données chgh\2020-CHG-CZA-BPA-3\plaque 1/@04 EE2 76/D4_02.tif </t>
  </si>
  <si>
    <t xml:space="preserve"> 2638.8471 </t>
  </si>
  <si>
    <t xml:space="preserve"> 65.5492 </t>
  </si>
  <si>
    <t xml:space="preserve">F:\Données chgh\2020-CHG-CZA-BPA-3\plaque 1/@04 EE2 76/D4_03.tif </t>
  </si>
  <si>
    <t xml:space="preserve"> 63.8462 </t>
  </si>
  <si>
    <t>F:\Données chgh\2020-CHG-CZA-BPA-3\plaque 1/@04 EE2 76/E4_01- exclu.tif</t>
  </si>
  <si>
    <t xml:space="preserve">F:\Données chgh\2020-CHG-CZA-BPA-3\plaque 1/@04 EE2 76/E4_02.tif </t>
  </si>
  <si>
    <t xml:space="preserve"> 62.5714 </t>
  </si>
  <si>
    <t xml:space="preserve">F:\Données chgh\2020-CHG-CZA-BPA-3\plaque 1/@04 EE2 76/E4_03.tif </t>
  </si>
  <si>
    <t xml:space="preserve"> 1881.8008 </t>
  </si>
  <si>
    <t xml:space="preserve"> 64.5402 </t>
  </si>
  <si>
    <t>F:\Données chgh\2020-CHG-CZA-BPA-3\plaque 1/@04 EE2 76/F4_01- exclu.tif</t>
  </si>
  <si>
    <t xml:space="preserve">F:\Données chgh\2020-CHG-CZA-BPA-3\plaque 1/@04 EE2 76/F4_02.tif </t>
  </si>
  <si>
    <t xml:space="preserve"> 65.6875 </t>
  </si>
  <si>
    <t xml:space="preserve">F:\Données chgh\2020-CHG-CZA-BPA-3\plaque 1/@04 EE2 76/F4_03.tif </t>
  </si>
  <si>
    <t xml:space="preserve"> 63.1905 </t>
  </si>
  <si>
    <t xml:space="preserve">F:\Données chgh\2020-CHG-CZA-BPA-3\plaque 1/@04 EE2 76/G4_01.tif </t>
  </si>
  <si>
    <t xml:space="preserve"> 8673.5877 </t>
  </si>
  <si>
    <t xml:space="preserve"> 65.3367 </t>
  </si>
  <si>
    <t xml:space="preserve">F:\Données chgh\2020-CHG-CZA-BPA-3\plaque 1/@04 EE2 76/G4_02.tif </t>
  </si>
  <si>
    <t xml:space="preserve"> 63.4754 </t>
  </si>
  <si>
    <t xml:space="preserve">F:\Données chgh\2020-CHG-CZA-BPA-3\plaque 1/@04 EE2 76/G4_03.tif </t>
  </si>
  <si>
    <t xml:space="preserve"> 5623.7726 </t>
  </si>
  <si>
    <t xml:space="preserve"> 64.7577 </t>
  </si>
  <si>
    <t xml:space="preserve">F:\Données chgh\2020-CHG-CZA-BPA-3\plaque 1/@04 EE2 76/H4_01.tif </t>
  </si>
  <si>
    <t xml:space="preserve"> 66.2525 </t>
  </si>
  <si>
    <t xml:space="preserve">F:\Données chgh\2020-CHG-CZA-BPA-3\plaque 1/@04 EE2 76/H4_02.tif </t>
  </si>
  <si>
    <t xml:space="preserve"> 12047.8513 </t>
  </si>
  <si>
    <t xml:space="preserve"> 65.7953 </t>
  </si>
  <si>
    <t xml:space="preserve">F:\Données chgh\2020-CHG-CZA-BPA-3\plaque 1/@04 EE2 76/H4_03.tif </t>
  </si>
  <si>
    <t xml:space="preserve"> 12329.0399 </t>
  </si>
  <si>
    <t xml:space="preserve"> 66.3737 </t>
  </si>
  <si>
    <t xml:space="preserve">F:\Données chgh\2020-CHG-CZA-BPA-3\plaque 1/@04 EE2 76/ </t>
  </si>
  <si>
    <t xml:space="preserve"> 65.1685 </t>
  </si>
  <si>
    <t xml:space="preserve"> 1.4681 </t>
  </si>
  <si>
    <t xml:space="preserve"> 520234.083 </t>
  </si>
  <si>
    <t xml:space="preserve"> 515873.15 </t>
  </si>
  <si>
    <t xml:space="preserve">F:\Données chgh\2020-CHG-CZA-BPA-3\plaque 1/@05 EE2 114/A5_01.tif </t>
  </si>
  <si>
    <t xml:space="preserve"> 64.5587 </t>
  </si>
  <si>
    <t xml:space="preserve">F:\Données chgh\2020-CHG-CZA-BPA-3\plaque 1/@05 EE2 114/A5_02.tif </t>
  </si>
  <si>
    <t xml:space="preserve"> 62.5758 </t>
  </si>
  <si>
    <t xml:space="preserve">F:\Données chgh\2020-CHG-CZA-BPA-3\plaque 1/@05 EE2 114/A5_03.tif </t>
  </si>
  <si>
    <t xml:space="preserve"> 7548.8332 </t>
  </si>
  <si>
    <t xml:space="preserve"> 65.5473 </t>
  </si>
  <si>
    <t xml:space="preserve">F:\Données chgh\2020-CHG-CZA-BPA-3\plaque 1/@05 EE2 114/B5_01.tif </t>
  </si>
  <si>
    <t xml:space="preserve"> 12826.5275 </t>
  </si>
  <si>
    <t xml:space="preserve"> 66.4553 </t>
  </si>
  <si>
    <t>F:\Données chgh\2020-CHG-CZA-BPA-3\plaque 1/@05 EE2 114/B5_02- exclu.tif</t>
  </si>
  <si>
    <t xml:space="preserve">F:\Données chgh\2020-CHG-CZA-BPA-3\plaque 1/@05 EE2 114/B5_03.tif </t>
  </si>
  <si>
    <t xml:space="preserve"> 12220.8905 </t>
  </si>
  <si>
    <t xml:space="preserve"> 65.7628 </t>
  </si>
  <si>
    <t xml:space="preserve">F:\Données chgh\2020-CHG-CZA-BPA-3\plaque 1/@05 EE2 114/C5_01.tif </t>
  </si>
  <si>
    <t xml:space="preserve"> 23273.7666 </t>
  </si>
  <si>
    <t xml:space="preserve">F:\Données chgh\2020-CHG-CZA-BPA-3\plaque 1/@05 EE2 114/C5_02.tif </t>
  </si>
  <si>
    <t xml:space="preserve"> 16438.7199 </t>
  </si>
  <si>
    <t xml:space="preserve"> 65.0816 </t>
  </si>
  <si>
    <t xml:space="preserve">F:\Données chgh\2020-CHG-CZA-BPA-3\plaque 1/@05 EE2 114/C5_03.tif </t>
  </si>
  <si>
    <t xml:space="preserve"> 15811.453 </t>
  </si>
  <si>
    <t xml:space="preserve"> 64.9015 </t>
  </si>
  <si>
    <t xml:space="preserve">F:\Données chgh\2020-CHG-CZA-BPA-3\plaque 1/@05 EE2 114/D5_01.tif </t>
  </si>
  <si>
    <t xml:space="preserve"> 47477.6187 </t>
  </si>
  <si>
    <t xml:space="preserve"> 77.1157 </t>
  </si>
  <si>
    <t xml:space="preserve">F:\Données chgh\2020-CHG-CZA-BPA-3\plaque 1/@05 EE2 114/D5_02.tif </t>
  </si>
  <si>
    <t xml:space="preserve"> 49316.1598 </t>
  </si>
  <si>
    <t xml:space="preserve"> 78.9061 </t>
  </si>
  <si>
    <t xml:space="preserve">F:\Données chgh\2020-CHG-CZA-BPA-3\plaque 1/@05 EE2 114/D5_03.tif </t>
  </si>
  <si>
    <t xml:space="preserve"> 48039.996 </t>
  </si>
  <si>
    <t xml:space="preserve"> 76.8712 </t>
  </si>
  <si>
    <t>F:\Données chgh\2020-CHG-CZA-BPA-3\plaque 1/@05 EE2 114/E5_01- exclu.tif</t>
  </si>
  <si>
    <t>F:\Données chgh\2020-CHG-CZA-BPA-3\plaque 1/@05 EE2 114/E5_02- exclu.tif</t>
  </si>
  <si>
    <t>F:\Données chgh\2020-CHG-CZA-BPA-3\plaque 1/@05 EE2 114/E5_03- exclu.tif</t>
  </si>
  <si>
    <t xml:space="preserve">F:\Données chgh\2020-CHG-CZA-BPA-3\plaque 1/@05 EE2 114/F5_01.tif </t>
  </si>
  <si>
    <t xml:space="preserve"> 19445.2753 </t>
  </si>
  <si>
    <t xml:space="preserve"> 66.2948 </t>
  </si>
  <si>
    <t xml:space="preserve">F:\Données chgh\2020-CHG-CZA-BPA-3\plaque 1/@05 EE2 114/F5_02.tif </t>
  </si>
  <si>
    <t xml:space="preserve"> 18493.5599 </t>
  </si>
  <si>
    <t xml:space="preserve"> 66.3368 </t>
  </si>
  <si>
    <t xml:space="preserve">F:\Données chgh\2020-CHG-CZA-BPA-3\plaque 1/@05 EE2 114/F5_03.tif </t>
  </si>
  <si>
    <t xml:space="preserve"> 13324.0151 </t>
  </si>
  <si>
    <t xml:space="preserve"> 65.651 </t>
  </si>
  <si>
    <t xml:space="preserve">F:\Données chgh\2020-CHG-CZA-BPA-3\plaque 1/@05 EE2 114/G5_01.tif </t>
  </si>
  <si>
    <t xml:space="preserve"> 28616.3506 </t>
  </si>
  <si>
    <t xml:space="preserve"> 66.9426 </t>
  </si>
  <si>
    <t xml:space="preserve">F:\Données chgh\2020-CHG-CZA-BPA-3\plaque 1/@05 EE2 114/G5_02.tif </t>
  </si>
  <si>
    <t xml:space="preserve"> 28637.9805 </t>
  </si>
  <si>
    <t xml:space="preserve"> 66.1427 </t>
  </si>
  <si>
    <t xml:space="preserve">F:\Données chgh\2020-CHG-CZA-BPA-3\plaque 1/@05 EE2 114/G5_03.tif </t>
  </si>
  <si>
    <t xml:space="preserve"> 66.1149 </t>
  </si>
  <si>
    <t xml:space="preserve">F:\Données chgh\2020-CHG-CZA-BPA-3\plaque 1/@05 EE2 114/H5_01.tif </t>
  </si>
  <si>
    <t xml:space="preserve"> 44752.252 </t>
  </si>
  <si>
    <t xml:space="preserve"> 79.7081 </t>
  </si>
  <si>
    <t xml:space="preserve">F:\Données chgh\2020-CHG-CZA-BPA-3\plaque 1/@05 EE2 114/H5_02.tif </t>
  </si>
  <si>
    <t xml:space="preserve"> 77.2745 </t>
  </si>
  <si>
    <t xml:space="preserve">F:\Données chgh\2020-CHG-CZA-BPA-3\plaque 1/@05 EE2 114/H5_03.tif </t>
  </si>
  <si>
    <t xml:space="preserve"> 43649.1274 </t>
  </si>
  <si>
    <t xml:space="preserve"> 78.6274 </t>
  </si>
  <si>
    <t xml:space="preserve">F:\Données chgh\2020-CHG-CZA-BPA-3\plaque 1/@05 EE2 114/ </t>
  </si>
  <si>
    <t xml:space="preserve"> 68.95 </t>
  </si>
  <si>
    <t xml:space="preserve"> 5.7305 </t>
  </si>
  <si>
    <t xml:space="preserve"> 1564405.62 </t>
  </si>
  <si>
    <t xml:space="preserve"> 1325344.11 </t>
  </si>
  <si>
    <t xml:space="preserve">F:\Données chgh\2020-CHG-CZA-BPA-3\plaque 1/@06 EE2 171/A6_01.tif </t>
  </si>
  <si>
    <t xml:space="preserve"> 30974.0091 </t>
  </si>
  <si>
    <t xml:space="preserve"> 69.102 </t>
  </si>
  <si>
    <t xml:space="preserve">F:\Données chgh\2020-CHG-CZA-BPA-3\plaque 1/@06 EE2 171/A6_02.tif </t>
  </si>
  <si>
    <t xml:space="preserve"> 29243.6175 </t>
  </si>
  <si>
    <t xml:space="preserve"> 67.9638 </t>
  </si>
  <si>
    <t xml:space="preserve">F:\Données chgh\2020-CHG-CZA-BPA-3\plaque 1/@06 EE2 171/A6_03.tif </t>
  </si>
  <si>
    <t xml:space="preserve"> 28832.6495 </t>
  </si>
  <si>
    <t xml:space="preserve"> 71.3841 </t>
  </si>
  <si>
    <t xml:space="preserve">F:\Données chgh\2020-CHG-CZA-BPA-3\plaque 1/@06 EE2 171/B6_01.tif </t>
  </si>
  <si>
    <t xml:space="preserve"> 46720.5724 </t>
  </si>
  <si>
    <t xml:space="preserve"> 71.2176 </t>
  </si>
  <si>
    <t xml:space="preserve">F:\Données chgh\2020-CHG-CZA-BPA-3\plaque 1/@06 EE2 171/B6_02.tif </t>
  </si>
  <si>
    <t xml:space="preserve"> 40902.1307 </t>
  </si>
  <si>
    <t xml:space="preserve"> 70.6092 </t>
  </si>
  <si>
    <t xml:space="preserve">F:\Données chgh\2020-CHG-CZA-BPA-3\plaque 1/@06 EE2 171/B6_03.tif </t>
  </si>
  <si>
    <t xml:space="preserve"> 35732.5859 </t>
  </si>
  <si>
    <t xml:space="preserve"> 69.204 </t>
  </si>
  <si>
    <t xml:space="preserve">F:\Données chgh\2020-CHG-CZA-BPA-3\plaque 1/@06 EE2 171/C6_01.tif </t>
  </si>
  <si>
    <t xml:space="preserve"> 30087.1834 </t>
  </si>
  <si>
    <t xml:space="preserve"> 71.3393 </t>
  </si>
  <si>
    <t xml:space="preserve">F:\Données chgh\2020-CHG-CZA-BPA-3\plaque 1/@06 EE2 171/C6_02.tif </t>
  </si>
  <si>
    <t xml:space="preserve"> 25198.8272 </t>
  </si>
  <si>
    <t xml:space="preserve"> 71.3854 </t>
  </si>
  <si>
    <t xml:space="preserve">F:\Données chgh\2020-CHG-CZA-BPA-3\plaque 1/@06 EE2 171/C6_03.tif </t>
  </si>
  <si>
    <t xml:space="preserve"> 34975.5396 </t>
  </si>
  <si>
    <t xml:space="preserve"> 69.4552 </t>
  </si>
  <si>
    <t xml:space="preserve">F:\Données chgh\2020-CHG-CZA-BPA-3\plaque 1/@06 EE2 171/D6_01.tif </t>
  </si>
  <si>
    <t xml:space="preserve"> 62.3 </t>
  </si>
  <si>
    <t xml:space="preserve">F:\Données chgh\2020-CHG-CZA-BPA-3\plaque 1/@06 EE2 171/D6_02.tif </t>
  </si>
  <si>
    <t xml:space="preserve"> 66.9564 </t>
  </si>
  <si>
    <t xml:space="preserve">F:\Données chgh\2020-CHG-CZA-BPA-3\plaque 1/@06 EE2 171/D6_03.tif </t>
  </si>
  <si>
    <t xml:space="preserve"> 62.6061 </t>
  </si>
  <si>
    <t xml:space="preserve">F:\Données chgh\2020-CHG-CZA-BPA-3\plaque 1/@06 EE2 171/E6_01.tif </t>
  </si>
  <si>
    <t xml:space="preserve"> 63.3855 </t>
  </si>
  <si>
    <t xml:space="preserve">F:\Données chgh\2020-CHG-CZA-BPA-3\plaque 1/@06 EE2 171/E6_02.tif </t>
  </si>
  <si>
    <t xml:space="preserve"> 64.4796 </t>
  </si>
  <si>
    <t xml:space="preserve">F:\Données chgh\2020-CHG-CZA-BPA-3\plaque 1/@06 EE2 171/E6_03.tif </t>
  </si>
  <si>
    <t xml:space="preserve"> 25004.1582 </t>
  </si>
  <si>
    <t xml:space="preserve"> 68.3322 </t>
  </si>
  <si>
    <t xml:space="preserve">F:\Données chgh\2020-CHG-CZA-BPA-3\plaque 1/@06 EE2 171/F6_01.tif </t>
  </si>
  <si>
    <t xml:space="preserve"> 69.9947 </t>
  </si>
  <si>
    <t xml:space="preserve">F:\Données chgh\2020-CHG-CZA-BPA-3\plaque 1/@06 EE2 171/F6_02.tif </t>
  </si>
  <si>
    <t xml:space="preserve"> 16265.6808 </t>
  </si>
  <si>
    <t xml:space="preserve"> 65.8338 </t>
  </si>
  <si>
    <t xml:space="preserve">F:\Données chgh\2020-CHG-CZA-BPA-3\plaque 1/@06 EE2 171/F6_03.tif </t>
  </si>
  <si>
    <t xml:space="preserve"> 22819.5388 </t>
  </si>
  <si>
    <t xml:space="preserve"> 68.4047 </t>
  </si>
  <si>
    <t xml:space="preserve">F:\Données chgh\2020-CHG-CZA-BPA-3\plaque 1/@06 EE2 171/G6_01.tif </t>
  </si>
  <si>
    <t xml:space="preserve"> 26366.8416 </t>
  </si>
  <si>
    <t xml:space="preserve"> 77.7646 </t>
  </si>
  <si>
    <t xml:space="preserve">F:\Données chgh\2020-CHG-CZA-BPA-3\plaque 1/@06 EE2 171/G6_02.tif </t>
  </si>
  <si>
    <t xml:space="preserve"> 23230.5068 </t>
  </si>
  <si>
    <t xml:space="preserve"> 76.122 </t>
  </si>
  <si>
    <t xml:space="preserve">F:\Données chgh\2020-CHG-CZA-BPA-3\plaque 1/@06 EE2 171/G6_03.tif </t>
  </si>
  <si>
    <t xml:space="preserve"> 21478.4854 </t>
  </si>
  <si>
    <t xml:space="preserve"> 79.4139 </t>
  </si>
  <si>
    <t xml:space="preserve">F:\Données chgh\2020-CHG-CZA-BPA-3\plaque 1/@06 EE2 171/H6_01.tif </t>
  </si>
  <si>
    <t xml:space="preserve"> 7419.0539 </t>
  </si>
  <si>
    <t xml:space="preserve"> 65.7318 </t>
  </si>
  <si>
    <t xml:space="preserve">F:\Données chgh\2020-CHG-CZA-BPA-3\plaque 1/@06 EE2 171/H6_02.tif </t>
  </si>
  <si>
    <t xml:space="preserve"> 17952.8125 </t>
  </si>
  <si>
    <t xml:space="preserve"> 76.6036 </t>
  </si>
  <si>
    <t xml:space="preserve">F:\Données chgh\2020-CHG-CZA-BPA-3\plaque 1/@06 EE2 171/H6_03.tif </t>
  </si>
  <si>
    <t xml:space="preserve"> 64.5417 </t>
  </si>
  <si>
    <t xml:space="preserve">F:\Données chgh\2020-CHG-CZA-BPA-3\plaque 1/@06 EE2 171/ </t>
  </si>
  <si>
    <t xml:space="preserve"> 69.3388 </t>
  </si>
  <si>
    <t xml:space="preserve"> 4.6673 </t>
  </si>
  <si>
    <t xml:space="preserve"> 1579430.29 </t>
  </si>
  <si>
    <t xml:space="preserve"> 940935.057 </t>
  </si>
  <si>
    <t xml:space="preserve">F:\Données chgh\2020-CHG-CZA-BPA-3\plaque 1/@07 EE2 488/A7_01.tif </t>
  </si>
  <si>
    <t xml:space="preserve"> 74277.0582 </t>
  </si>
  <si>
    <t xml:space="preserve"> 95.3142 </t>
  </si>
  <si>
    <t>F:\Données chgh\2020-CHG-CZA-BPA-3\plaque 1/@07 EE2 488/A7_02- exclu.tif</t>
  </si>
  <si>
    <t xml:space="preserve">F:\Données chgh\2020-CHG-CZA-BPA-3\plaque 1/@07 EE2 488/A7_03.tif </t>
  </si>
  <si>
    <t xml:space="preserve"> 77932.5103 </t>
  </si>
  <si>
    <t xml:space="preserve"> 92.4893 </t>
  </si>
  <si>
    <t xml:space="preserve">F:\Données chgh\2020-CHG-CZA-BPA-3\plaque 1/@07 EE2 488/B7_01.tif </t>
  </si>
  <si>
    <t xml:space="preserve"> 80874.176 </t>
  </si>
  <si>
    <t xml:space="preserve"> 100.6306 </t>
  </si>
  <si>
    <t xml:space="preserve">F:\Données chgh\2020-CHG-CZA-BPA-3\plaque 1/@07 EE2 488/B7_02.tif </t>
  </si>
  <si>
    <t xml:space="preserve"> 80939.0657 </t>
  </si>
  <si>
    <t xml:space="preserve"> 97.4329 </t>
  </si>
  <si>
    <t xml:space="preserve">F:\Données chgh\2020-CHG-CZA-BPA-3\plaque 1/@07 EE2 488/B7_03.tif </t>
  </si>
  <si>
    <t xml:space="preserve"> 78235.3289 </t>
  </si>
  <si>
    <t xml:space="preserve"> 97.8394 </t>
  </si>
  <si>
    <t xml:space="preserve">F:\Données chgh\2020-CHG-CZA-BPA-3\plaque 1/@07 EE2 488/C7_01.tif </t>
  </si>
  <si>
    <t xml:space="preserve"> 47585.7682 </t>
  </si>
  <si>
    <t xml:space="preserve"> 91.6191 </t>
  </si>
  <si>
    <t xml:space="preserve">F:\Données chgh\2020-CHG-CZA-BPA-3\plaque 1/@07 EE2 488/C7_02.tif </t>
  </si>
  <si>
    <t xml:space="preserve"> 86.5207 </t>
  </si>
  <si>
    <t xml:space="preserve">F:\Données chgh\2020-CHG-CZA-BPA-3\plaque 1/@07 EE2 488/C7_03.tif </t>
  </si>
  <si>
    <t xml:space="preserve"> 51803.5976 </t>
  </si>
  <si>
    <t xml:space="preserve"> 87.0342 </t>
  </si>
  <si>
    <t xml:space="preserve">F:\Données chgh\2020-CHG-CZA-BPA-3\plaque 1/@07 EE2 488/D7_01.tif </t>
  </si>
  <si>
    <t xml:space="preserve"> 61342.3812 </t>
  </si>
  <si>
    <t xml:space="preserve"> 96.6023 </t>
  </si>
  <si>
    <t xml:space="preserve">F:\Données chgh\2020-CHG-CZA-BPA-3\plaque 1/@07 EE2 488/D7_02.tif </t>
  </si>
  <si>
    <t xml:space="preserve"> 57124.5517 </t>
  </si>
  <si>
    <t xml:space="preserve"> 100.5381 </t>
  </si>
  <si>
    <t xml:space="preserve">F:\Données chgh\2020-CHG-CZA-BPA-3\plaque 1/@07 EE2 488/D7_03.tif </t>
  </si>
  <si>
    <t xml:space="preserve"> 55480.6797 </t>
  </si>
  <si>
    <t xml:space="preserve"> 99.0546 </t>
  </si>
  <si>
    <t xml:space="preserve">F:\Données chgh\2020-CHG-CZA-BPA-3\plaque 1/@07 EE2 488/E7_01.tif </t>
  </si>
  <si>
    <t xml:space="preserve"> 61104.4523 </t>
  </si>
  <si>
    <t xml:space="preserve"> 96.7508 </t>
  </si>
  <si>
    <t xml:space="preserve">F:\Données chgh\2020-CHG-CZA-BPA-3\plaque 1/@07 EE2 488/E7_02.tif </t>
  </si>
  <si>
    <t xml:space="preserve"> 56389.1353 </t>
  </si>
  <si>
    <t xml:space="preserve"> 100.8796 </t>
  </si>
  <si>
    <t>F:\Données chgh\2020-CHG-CZA-BPA-3\plaque 1/@07 EE2 488/E7_03- exclu.tif</t>
  </si>
  <si>
    <t>F:\Données chgh\2020-CHG-CZA-BPA-3\plaque 1/@07 EE2 488/F7_01- exclu.tif</t>
  </si>
  <si>
    <t xml:space="preserve">F:\Données chgh\2020-CHG-CZA-BPA-3\plaque 1/@07 EE2 488/F7_02.tif </t>
  </si>
  <si>
    <t xml:space="preserve"> 63829.819 </t>
  </si>
  <si>
    <t xml:space="preserve"> 91.6405 </t>
  </si>
  <si>
    <t xml:space="preserve">F:\Données chgh\2020-CHG-CZA-BPA-3\plaque 1/@07 EE2 488/F7_03.tif </t>
  </si>
  <si>
    <t xml:space="preserve"> 63159.2923 </t>
  </si>
  <si>
    <t xml:space="preserve"> 91.0815 </t>
  </si>
  <si>
    <t xml:space="preserve">F:\Données chgh\2020-CHG-CZA-BPA-3\plaque 1/@07 EE2 488/G7_01.tif </t>
  </si>
  <si>
    <t xml:space="preserve"> 60087.8473 </t>
  </si>
  <si>
    <t xml:space="preserve"> 90.9928 </t>
  </si>
  <si>
    <t xml:space="preserve">F:\Données chgh\2020-CHG-CZA-BPA-3\plaque 1/@07 EE2 488/G7_02.tif </t>
  </si>
  <si>
    <t xml:space="preserve"> 58660.2742 </t>
  </si>
  <si>
    <t xml:space="preserve"> 90.6914 </t>
  </si>
  <si>
    <t xml:space="preserve">F:\Données chgh\2020-CHG-CZA-BPA-3\plaque 1/@07 EE2 488/G7_03.tif </t>
  </si>
  <si>
    <t xml:space="preserve"> 64089.3778 </t>
  </si>
  <si>
    <t xml:space="preserve"> 89.2977 </t>
  </si>
  <si>
    <t xml:space="preserve">F:\Données chgh\2020-CHG-CZA-BPA-3\plaque 1/@07 EE2 488/H7_01.tif </t>
  </si>
  <si>
    <t xml:space="preserve"> 50895.1421 </t>
  </si>
  <si>
    <t xml:space="preserve"> 94.6324 </t>
  </si>
  <si>
    <t xml:space="preserve">F:\Données chgh\2020-CHG-CZA-BPA-3\plaque 1/@07 EE2 488/H7_02.tif </t>
  </si>
  <si>
    <t xml:space="preserve"> 49705.4979 </t>
  </si>
  <si>
    <t xml:space="preserve"> 94.0827 </t>
  </si>
  <si>
    <t xml:space="preserve">F:\Données chgh\2020-CHG-CZA-BPA-3\plaque 1/@07 EE2 488/H7_03.tif </t>
  </si>
  <si>
    <t xml:space="preserve"> 52019.8966 </t>
  </si>
  <si>
    <t xml:space="preserve"> 94.4582 </t>
  </si>
  <si>
    <t xml:space="preserve">F:\Données chgh\2020-CHG-CZA-BPA-3\plaque 1/@07 EE2 488/ </t>
  </si>
  <si>
    <t xml:space="preserve"> 91.9001 </t>
  </si>
  <si>
    <t xml:space="preserve"> 8.5791 </t>
  </si>
  <si>
    <t xml:space="preserve"> 5590018.17 </t>
  </si>
  <si>
    <t xml:space="preserve"> 1593978.71 </t>
  </si>
  <si>
    <t xml:space="preserve">F:\Données chgh\2020-CHG-CZA-BPA-3\plaque 1/@08 BPA 1/A8_01.tif </t>
  </si>
  <si>
    <t xml:space="preserve"> 62.6721 </t>
  </si>
  <si>
    <t xml:space="preserve">F:\Données chgh\2020-CHG-CZA-BPA-3\plaque 1/@08 BPA 1/A8_02.tif </t>
  </si>
  <si>
    <t xml:space="preserve"> 62.0938 </t>
  </si>
  <si>
    <t xml:space="preserve">F:\Données chgh\2020-CHG-CZA-BPA-3\plaque 1/@08 BPA 1/A8_03.tif </t>
  </si>
  <si>
    <t xml:space="preserve"> 62.2414 </t>
  </si>
  <si>
    <t xml:space="preserve">F:\Données chgh\2020-CHG-CZA-BPA-3\plaque 1/@08 BPA 1/B8_01.tif </t>
  </si>
  <si>
    <t xml:space="preserve"> 68.2159 </t>
  </si>
  <si>
    <t xml:space="preserve">F:\Données chgh\2020-CHG-CZA-BPA-3\plaque 1/@08 BPA 1/B8_02.tif </t>
  </si>
  <si>
    <t xml:space="preserve"> 5580.5128 </t>
  </si>
  <si>
    <t xml:space="preserve"> 70.969 </t>
  </si>
  <si>
    <t xml:space="preserve">F:\Données chgh\2020-CHG-CZA-BPA-3\plaque 1/@08 BPA 1/B8_03.tif </t>
  </si>
  <si>
    <t xml:space="preserve"> 4780.2067 </t>
  </si>
  <si>
    <t xml:space="preserve"> 69.2443 </t>
  </si>
  <si>
    <t xml:space="preserve">F:\Données chgh\2020-CHG-CZA-BPA-3\plaque 1/@08 BPA 1/C8_01.tif </t>
  </si>
  <si>
    <t xml:space="preserve"> 63.2414 </t>
  </si>
  <si>
    <t xml:space="preserve">F:\Données chgh\2020-CHG-CZA-BPA-3\plaque 1/@08 BPA 1/C8_02.tif </t>
  </si>
  <si>
    <t xml:space="preserve"> 63.8276 </t>
  </si>
  <si>
    <t xml:space="preserve">F:\Données chgh\2020-CHG-CZA-BPA-3\plaque 1/@08 BPA 1/C8_03.tif </t>
  </si>
  <si>
    <t xml:space="preserve"> 61.9524 </t>
  </si>
  <si>
    <t xml:space="preserve">F:\Données chgh\2020-CHG-CZA-BPA-3\plaque 1/@08 BPA 1/D8_01.tif </t>
  </si>
  <si>
    <t xml:space="preserve"> 519.1175 </t>
  </si>
  <si>
    <t xml:space="preserve"> 64.4583 </t>
  </si>
  <si>
    <t xml:space="preserve">F:\Données chgh\2020-CHG-CZA-BPA-3\plaque 1/@08 BPA 1/D8_02.tif </t>
  </si>
  <si>
    <t xml:space="preserve"> 66.0294 </t>
  </si>
  <si>
    <t xml:space="preserve">F:\Données chgh\2020-CHG-CZA-BPA-3\plaque 1/@08 BPA 1/D8_03.tif </t>
  </si>
  <si>
    <t xml:space="preserve"> 66.8529 </t>
  </si>
  <si>
    <t xml:space="preserve">F:\Données chgh\2020-CHG-CZA-BPA-3\plaque 1/@08 BPA 1/E8_01.tif </t>
  </si>
  <si>
    <t xml:space="preserve"> 71.0082 </t>
  </si>
  <si>
    <t xml:space="preserve">F:\Données chgh\2020-CHG-CZA-BPA-3\plaque 1/@08 BPA 1/E8_02.tif </t>
  </si>
  <si>
    <t xml:space="preserve"> 2141.3596 </t>
  </si>
  <si>
    <t xml:space="preserve"> 65.8889 </t>
  </si>
  <si>
    <t xml:space="preserve">F:\Données chgh\2020-CHG-CZA-BPA-3\plaque 1/@08 BPA 1/E8_03.tif </t>
  </si>
  <si>
    <t xml:space="preserve"> 67.7117 </t>
  </si>
  <si>
    <t>F:\Données chgh\2020-CHG-CZA-BPA-3\plaque 1/@08 BPA 1/F8_01- exclu.tif</t>
  </si>
  <si>
    <t xml:space="preserve">F:\Données chgh\2020-CHG-CZA-BPA-3\plaque 1/@08 BPA 1/F8_02.tif </t>
  </si>
  <si>
    <t xml:space="preserve">F:\Données chgh\2020-CHG-CZA-BPA-3\plaque 1/@08 BPA 1/F8_03.tif </t>
  </si>
  <si>
    <t xml:space="preserve"> 63.0714 </t>
  </si>
  <si>
    <t xml:space="preserve">F:\Données chgh\2020-CHG-CZA-BPA-3\plaque 1/@08 BPA 1/G8_01.tif </t>
  </si>
  <si>
    <t xml:space="preserve"> 65.6406 </t>
  </si>
  <si>
    <t xml:space="preserve">F:\Données chgh\2020-CHG-CZA-BPA-3\plaque 1/@08 BPA 1/G8_02.tif </t>
  </si>
  <si>
    <t xml:space="preserve"> 65.7925 </t>
  </si>
  <si>
    <t xml:space="preserve">F:\Données chgh\2020-CHG-CZA-BPA-3\plaque 1/@08 BPA 1/G8_03.tif </t>
  </si>
  <si>
    <t xml:space="preserve"> 64.3016 </t>
  </si>
  <si>
    <t xml:space="preserve">F:\Données chgh\2020-CHG-CZA-BPA-3\plaque 1/@08 BPA 1/H8_01.tif </t>
  </si>
  <si>
    <t xml:space="preserve"> 67.1429 </t>
  </si>
  <si>
    <t xml:space="preserve">F:\Données chgh\2020-CHG-CZA-BPA-3\plaque 1/@08 BPA 1/H8_02.tif </t>
  </si>
  <si>
    <t xml:space="preserve">F:\Données chgh\2020-CHG-CZA-BPA-3\plaque 1/@08 BPA 1/H8_03.tif </t>
  </si>
  <si>
    <t xml:space="preserve"> 62.625 </t>
  </si>
  <si>
    <t xml:space="preserve">F:\Données chgh\2020-CHG-CZA-BPA-3\plaque 1/@08 BPA 1/ </t>
  </si>
  <si>
    <t xml:space="preserve"> 65.3274 </t>
  </si>
  <si>
    <t xml:space="preserve"> 2.7298 </t>
  </si>
  <si>
    <t xml:space="preserve"> 175650.917 </t>
  </si>
  <si>
    <t xml:space="preserve"> 282722.451 </t>
  </si>
  <si>
    <t xml:space="preserve">F:\Données chgh\2020-CHG-CZA-BPA-3\plaque 1/@09 BPA 2/A9_01.tif </t>
  </si>
  <si>
    <t xml:space="preserve"> 65.7682 </t>
  </si>
  <si>
    <t xml:space="preserve">F:\Données chgh\2020-CHG-CZA-BPA-3\plaque 1/@09 BPA 2/A9_02.tif </t>
  </si>
  <si>
    <t xml:space="preserve"> 3655.4522 </t>
  </si>
  <si>
    <t xml:space="preserve"> 65.4379 </t>
  </si>
  <si>
    <t xml:space="preserve">F:\Données chgh\2020-CHG-CZA-BPA-3\plaque 1/@09 BPA 2/A9_03.tif </t>
  </si>
  <si>
    <t xml:space="preserve"> 65.4654 </t>
  </si>
  <si>
    <t xml:space="preserve">F:\Données chgh\2020-CHG-CZA-BPA-3\plaque 1/@09 BPA 2/B9_01.tif </t>
  </si>
  <si>
    <t xml:space="preserve"> 5191.1747 </t>
  </si>
  <si>
    <t xml:space="preserve"> 68.0917 </t>
  </si>
  <si>
    <t xml:space="preserve">F:\Données chgh\2020-CHG-CZA-BPA-3\plaque 1/@09 BPA 2/B9_02.tif </t>
  </si>
  <si>
    <t xml:space="preserve"> 65.5894 </t>
  </si>
  <si>
    <t xml:space="preserve">F:\Données chgh\2020-CHG-CZA-BPA-3\plaque 1/@09 BPA 2/B9_03.tif </t>
  </si>
  <si>
    <t xml:space="preserve"> 67.3089 </t>
  </si>
  <si>
    <t xml:space="preserve">F:\Données chgh\2020-CHG-CZA-BPA-3\plaque 1/@09 BPA 2/C9_01.tif </t>
  </si>
  <si>
    <t xml:space="preserve"> 63.34 </t>
  </si>
  <si>
    <t xml:space="preserve">F:\Données chgh\2020-CHG-CZA-BPA-3\plaque 1/@09 BPA 2/C9_02.tif </t>
  </si>
  <si>
    <t xml:space="preserve"> 62.871 </t>
  </si>
  <si>
    <t xml:space="preserve">F:\Données chgh\2020-CHG-CZA-BPA-3\plaque 1/@09 BPA 2/C9_03.tif </t>
  </si>
  <si>
    <t xml:space="preserve"> 64.9344 </t>
  </si>
  <si>
    <t xml:space="preserve">F:\Données chgh\2020-CHG-CZA-BPA-3\plaque 1/@09 BPA 2/D9_01.tif </t>
  </si>
  <si>
    <t xml:space="preserve"> 8003.061 </t>
  </si>
  <si>
    <t xml:space="preserve"> 85.2297 </t>
  </si>
  <si>
    <t xml:space="preserve">F:\Données chgh\2020-CHG-CZA-BPA-3\plaque 1/@09 BPA 2/D9_02.tif </t>
  </si>
  <si>
    <t xml:space="preserve"> 64.8511 </t>
  </si>
  <si>
    <t xml:space="preserve">F:\Données chgh\2020-CHG-CZA-BPA-3\plaque 1/@09 BPA 2/D9_03.tif </t>
  </si>
  <si>
    <t xml:space="preserve"> 64.8684 </t>
  </si>
  <si>
    <t xml:space="preserve">F:\Données chgh\2020-CHG-CZA-BPA-3\plaque 1/@09 BPA 2/E9_01.tif </t>
  </si>
  <si>
    <t xml:space="preserve"> 65.0526 </t>
  </si>
  <si>
    <t xml:space="preserve">F:\Données chgh\2020-CHG-CZA-BPA-3\plaque 1/@09 BPA 2/E9_02.tif </t>
  </si>
  <si>
    <t xml:space="preserve"> 67.7337 </t>
  </si>
  <si>
    <t xml:space="preserve">F:\Données chgh\2020-CHG-CZA-BPA-3\plaque 1/@09 BPA 2/E9_03.tif </t>
  </si>
  <si>
    <t xml:space="preserve"> 5796.8118 </t>
  </si>
  <si>
    <t xml:space="preserve"> 68.8507 </t>
  </si>
  <si>
    <t>F:\Données chgh\2020-CHG-CZA-BPA-3\plaque 1/@09 BPA 2/F9_01- exclu.tif</t>
  </si>
  <si>
    <t xml:space="preserve">F:\Données chgh\2020-CHG-CZA-BPA-3\plaque 1/@09 BPA 2/F9_02.tif </t>
  </si>
  <si>
    <t xml:space="preserve"> 63.875 </t>
  </si>
  <si>
    <t xml:space="preserve">F:\Données chgh\2020-CHG-CZA-BPA-3\plaque 1/@09 BPA 2/F9_03.tif </t>
  </si>
  <si>
    <t xml:space="preserve"> 64.0164 </t>
  </si>
  <si>
    <t xml:space="preserve">F:\Données chgh\2020-CHG-CZA-BPA-3\plaque 1/@09 BPA 2/G9_01.tif </t>
  </si>
  <si>
    <t xml:space="preserve"> 62.6471 </t>
  </si>
  <si>
    <t xml:space="preserve">F:\Données chgh\2020-CHG-CZA-BPA-3\plaque 1/@09 BPA 2/G9_02.tif </t>
  </si>
  <si>
    <t xml:space="preserve"> 65.1 </t>
  </si>
  <si>
    <t xml:space="preserve">F:\Données chgh\2020-CHG-CZA-BPA-3\plaque 1/@09 BPA 2/G9_03.tif </t>
  </si>
  <si>
    <t xml:space="preserve"> 63.3571 </t>
  </si>
  <si>
    <t xml:space="preserve">F:\Données chgh\2020-CHG-CZA-BPA-3\plaque 1/@09 BPA 2/H9_01.tif </t>
  </si>
  <si>
    <t xml:space="preserve"> 66.037 </t>
  </si>
  <si>
    <t xml:space="preserve">F:\Données chgh\2020-CHG-CZA-BPA-3\plaque 1/@09 BPA 2/H9_02.tif </t>
  </si>
  <si>
    <t xml:space="preserve"> 3850.1212 </t>
  </si>
  <si>
    <t xml:space="preserve"> 65.8539 </t>
  </si>
  <si>
    <t xml:space="preserve">F:\Données chgh\2020-CHG-CZA-BPA-3\plaque 1/@09 BPA 2/H9_03.tif </t>
  </si>
  <si>
    <t xml:space="preserve"> 62.2188 </t>
  </si>
  <si>
    <t xml:space="preserve">F:\Données chgh\2020-CHG-CZA-BPA-3\plaque 1/@09 BPA 2/ </t>
  </si>
  <si>
    <t xml:space="preserve"> 66.0774 </t>
  </si>
  <si>
    <t xml:space="preserve"> 4.4372 </t>
  </si>
  <si>
    <t xml:space="preserve"> 181306.292 </t>
  </si>
  <si>
    <t xml:space="preserve"> 165002.921 </t>
  </si>
  <si>
    <t xml:space="preserve">F:\Données chgh\2020-CHG-CZA-BPA-3\plaque 1/@10  BPA 3/A10_01.tif </t>
  </si>
  <si>
    <t xml:space="preserve"> 69.1531 </t>
  </si>
  <si>
    <t xml:space="preserve">F:\Données chgh\2020-CHG-CZA-BPA-3\plaque 1/@10  BPA 3/A10_02.tif </t>
  </si>
  <si>
    <t xml:space="preserve"> 64.42 </t>
  </si>
  <si>
    <t>F:\Données chgh\2020-CHG-CZA-BPA-3\plaque 1/@10  BPA 3/A10_03- exclu.tif</t>
  </si>
  <si>
    <t xml:space="preserve">F:\Données chgh\2020-CHG-CZA-BPA-3\plaque 1/@10  BPA 3/B10_01.tif </t>
  </si>
  <si>
    <t xml:space="preserve"> 64.75 </t>
  </si>
  <si>
    <t xml:space="preserve">F:\Données chgh\2020-CHG-CZA-BPA-3\plaque 1/@10  BPA 3/B10_02.tif </t>
  </si>
  <si>
    <t xml:space="preserve"> 4758.5768 </t>
  </si>
  <si>
    <t xml:space="preserve"> 64.5045 </t>
  </si>
  <si>
    <t xml:space="preserve">F:\Données chgh\2020-CHG-CZA-BPA-3\plaque 1/@10  BPA 3/B10_03.tif </t>
  </si>
  <si>
    <t xml:space="preserve"> 66.3651 </t>
  </si>
  <si>
    <t xml:space="preserve">F:\Données chgh\2020-CHG-CZA-BPA-3\plaque 1/@10  BPA 3/C10_01.tif </t>
  </si>
  <si>
    <t xml:space="preserve">F:\Données chgh\2020-CHG-CZA-BPA-3\plaque 1/@10  BPA 3/C10_02.tif </t>
  </si>
  <si>
    <t xml:space="preserve"> 63.8182 </t>
  </si>
  <si>
    <t xml:space="preserve">F:\Données chgh\2020-CHG-CZA-BPA-3\plaque 1/@10  BPA 3/C10_03.tif </t>
  </si>
  <si>
    <t xml:space="preserve"> 63.75 </t>
  </si>
  <si>
    <t xml:space="preserve">F:\Données chgh\2020-CHG-CZA-BPA-3\plaque 1/@10  BPA 3/D10_01.tif </t>
  </si>
  <si>
    <t xml:space="preserve"> 28659.6104 </t>
  </si>
  <si>
    <t xml:space="preserve"> 68.5442 </t>
  </si>
  <si>
    <t xml:space="preserve">F:\Données chgh\2020-CHG-CZA-BPA-3\plaque 1/@10  BPA 3/D10_02.tif </t>
  </si>
  <si>
    <t xml:space="preserve"> 30433.2617 </t>
  </si>
  <si>
    <t xml:space="preserve"> 68.8813 </t>
  </si>
  <si>
    <t xml:space="preserve">F:\Données chgh\2020-CHG-CZA-BPA-3\plaque 1/@10  BPA 3/D10_03.tif </t>
  </si>
  <si>
    <t xml:space="preserve"> 26280.322 </t>
  </si>
  <si>
    <t xml:space="preserve"> 67.6239 </t>
  </si>
  <si>
    <t xml:space="preserve">F:\Données chgh\2020-CHG-CZA-BPA-3\plaque 1/@10  BPA 3/E10_01.tif </t>
  </si>
  <si>
    <t xml:space="preserve"> 2660.477 </t>
  </si>
  <si>
    <t xml:space="preserve"> 64.3171 </t>
  </si>
  <si>
    <t xml:space="preserve">F:\Données chgh\2020-CHG-CZA-BPA-3\plaque 1/@10  BPA 3/E10_02.tif </t>
  </si>
  <si>
    <t xml:space="preserve"> 64.6667 </t>
  </si>
  <si>
    <t xml:space="preserve">F:\Données chgh\2020-CHG-CZA-BPA-3\plaque 1/@10  BPA 3/E10_03.tif </t>
  </si>
  <si>
    <t xml:space="preserve"> 2963.2956 </t>
  </si>
  <si>
    <t xml:space="preserve"> 65.7664 </t>
  </si>
  <si>
    <t xml:space="preserve">F:\Données chgh\2020-CHG-CZA-BPA-3\plaque 1/@10  BPA 3/F10_01.tif </t>
  </si>
  <si>
    <t xml:space="preserve">F:\Données chgh\2020-CHG-CZA-BPA-3\plaque 1/@10  BPA 3/F10_02.tif </t>
  </si>
  <si>
    <t xml:space="preserve">F:\Données chgh\2020-CHG-CZA-BPA-3\plaque 1/@10  BPA 3/F10_03.tif </t>
  </si>
  <si>
    <t xml:space="preserve"> 2033.2101 </t>
  </si>
  <si>
    <t xml:space="preserve"> 63.8404 </t>
  </si>
  <si>
    <t xml:space="preserve">F:\Données chgh\2020-CHG-CZA-BPA-3\plaque 1/@10  BPA 3/G10_01.tif </t>
  </si>
  <si>
    <t xml:space="preserve"> 10101.1608 </t>
  </si>
  <si>
    <t xml:space="preserve"> 72.409 </t>
  </si>
  <si>
    <t>F:\Données chgh\2020-CHG-CZA-BPA-3\plaque 1/@10  BPA 3/G10_02- exclu.tif</t>
  </si>
  <si>
    <t>F:\Données chgh\2020-CHG-CZA-BPA-3\plaque 1/@10  BPA 3/G10_03- exclu.tif</t>
  </si>
  <si>
    <t xml:space="preserve">F:\Données chgh\2020-CHG-CZA-BPA-3\plaque 1/@10  BPA 3/H10_01.tif </t>
  </si>
  <si>
    <t xml:space="preserve"> 18861.2681 </t>
  </si>
  <si>
    <t xml:space="preserve"> 69.5516 </t>
  </si>
  <si>
    <t xml:space="preserve">F:\Données chgh\2020-CHG-CZA-BPA-3\plaque 1/@10  BPA 3/H10_02.tif </t>
  </si>
  <si>
    <t xml:space="preserve"> 69.4173 </t>
  </si>
  <si>
    <t xml:space="preserve">F:\Données chgh\2020-CHG-CZA-BPA-3\plaque 1/@10  BPA 3/H10_03.tif </t>
  </si>
  <si>
    <t xml:space="preserve"> 20916.1081 </t>
  </si>
  <si>
    <t xml:space="preserve"> 68.6525 </t>
  </si>
  <si>
    <t xml:space="preserve">F:\Données chgh\2020-CHG-CZA-BPA-3\plaque 1/@10  BPA 3/ </t>
  </si>
  <si>
    <t xml:space="preserve"> 69.1086 </t>
  </si>
  <si>
    <t xml:space="preserve"> 10.7443 </t>
  </si>
  <si>
    <t xml:space="preserve"> 655542.625 </t>
  </si>
  <si>
    <t xml:space="preserve"> 711323.243 </t>
  </si>
  <si>
    <t xml:space="preserve">F:\Données chgh\2020-CHG-CZA-BPA-3\plaque 1/@11 BPA 4/A11_01.tif </t>
  </si>
  <si>
    <t xml:space="preserve"> 67.1395 </t>
  </si>
  <si>
    <t xml:space="preserve">F:\Données chgh\2020-CHG-CZA-BPA-3\plaque 1/@11 BPA 4/A11_02.tif </t>
  </si>
  <si>
    <t xml:space="preserve"> 64.0804 </t>
  </si>
  <si>
    <t xml:space="preserve">F:\Données chgh\2020-CHG-CZA-BPA-3\plaque 1/@11 BPA 4/A11_03.tif </t>
  </si>
  <si>
    <t xml:space="preserve">F:\Données chgh\2020-CHG-CZA-BPA-3\plaque 1/@11 BPA 4/B11_01.tif </t>
  </si>
  <si>
    <t xml:space="preserve"> 9863.232 </t>
  </si>
  <si>
    <t xml:space="preserve"> 65.9408 </t>
  </si>
  <si>
    <t xml:space="preserve">F:\Données chgh\2020-CHG-CZA-BPA-3\plaque 1/@11 BPA 4/B11_02.tif </t>
  </si>
  <si>
    <t xml:space="preserve"> 7332.5343 </t>
  </si>
  <si>
    <t xml:space="preserve"> 65.7316 </t>
  </si>
  <si>
    <t xml:space="preserve">F:\Données chgh\2020-CHG-CZA-BPA-3\plaque 1/@11 BPA 4/B11_03.tif </t>
  </si>
  <si>
    <t xml:space="preserve"> 5969.8509 </t>
  </si>
  <si>
    <t xml:space="preserve"> 64.7645 </t>
  </si>
  <si>
    <t xml:space="preserve">F:\Données chgh\2020-CHG-CZA-BPA-3\plaque 1/@11 BPA 4/C11_01.tif </t>
  </si>
  <si>
    <t xml:space="preserve"> 29200.3577 </t>
  </si>
  <si>
    <t xml:space="preserve"> 67.3096 </t>
  </si>
  <si>
    <t xml:space="preserve">F:\Données chgh\2020-CHG-CZA-BPA-3\plaque 1/@11 BPA 4/C11_02.tif </t>
  </si>
  <si>
    <t xml:space="preserve"> 27037.3683 </t>
  </si>
  <si>
    <t xml:space="preserve"> 66.5096 </t>
  </si>
  <si>
    <t xml:space="preserve">F:\Données chgh\2020-CHG-CZA-BPA-3\plaque 1/@11 BPA 4/C11_03.tif </t>
  </si>
  <si>
    <t xml:space="preserve"> 26172.1725 </t>
  </si>
  <si>
    <t xml:space="preserve"> 66.8603 </t>
  </si>
  <si>
    <t xml:space="preserve">F:\Données chgh\2020-CHG-CZA-BPA-3\plaque 1/@11 BPA 4/D11_01.tif </t>
  </si>
  <si>
    <t xml:space="preserve"> 42243.1842 </t>
  </si>
  <si>
    <t xml:space="preserve"> 72.1987 </t>
  </si>
  <si>
    <t>F:\Données chgh\2020-CHG-CZA-BPA-3\plaque 1/@11 BPA 4/D11_02- exclu.tif</t>
  </si>
  <si>
    <t xml:space="preserve">F:\Données chgh\2020-CHG-CZA-BPA-3\plaque 1/@11 BPA 4/D11_03.tif </t>
  </si>
  <si>
    <t xml:space="preserve"> 72.2389 </t>
  </si>
  <si>
    <t xml:space="preserve">F:\Données chgh\2020-CHG-CZA-BPA-3\plaque 1/@11 BPA 4/E11_01.tif </t>
  </si>
  <si>
    <t xml:space="preserve"> 34305.0129 </t>
  </si>
  <si>
    <t xml:space="preserve"> 68.6431 </t>
  </si>
  <si>
    <t xml:space="preserve">F:\Données chgh\2020-CHG-CZA-BPA-3\plaque 1/@11 BPA 4/E11_02.tif </t>
  </si>
  <si>
    <t xml:space="preserve"> 32661.1409 </t>
  </si>
  <si>
    <t xml:space="preserve"> 69.702 </t>
  </si>
  <si>
    <t xml:space="preserve">F:\Données chgh\2020-CHG-CZA-BPA-3\plaque 1/@11 BPA 4/E11_03.tif </t>
  </si>
  <si>
    <t xml:space="preserve"> 21954.343 </t>
  </si>
  <si>
    <t xml:space="preserve"> 67.4877 </t>
  </si>
  <si>
    <t xml:space="preserve">F:\Données chgh\2020-CHG-CZA-BPA-3\plaque 1/@11 BPA 4/F11_01.tif </t>
  </si>
  <si>
    <t xml:space="preserve"> 75.6799 </t>
  </si>
  <si>
    <t xml:space="preserve">F:\Données chgh\2020-CHG-CZA-BPA-3\plaque 1/@11 BPA 4/F11_02.tif </t>
  </si>
  <si>
    <t xml:space="preserve"> 43238.1594 </t>
  </si>
  <si>
    <t xml:space="preserve"> 77.6803 </t>
  </si>
  <si>
    <t xml:space="preserve">F:\Données chgh\2020-CHG-CZA-BPA-3\plaque 1/@11 BPA 4/F11_03.tif </t>
  </si>
  <si>
    <t xml:space="preserve"> 48991.7113 </t>
  </si>
  <si>
    <t xml:space="preserve"> 79.094 </t>
  </si>
  <si>
    <t xml:space="preserve">F:\Données chgh\2020-CHG-CZA-BPA-3\plaque 1/@11 BPA 4/G11_01.tif </t>
  </si>
  <si>
    <t xml:space="preserve"> 21500.1153 </t>
  </si>
  <si>
    <t xml:space="preserve"> 66.2827 </t>
  </si>
  <si>
    <t xml:space="preserve">F:\Données chgh\2020-CHG-CZA-BPA-3\plaque 1/@11 BPA 4/G11_02.tif </t>
  </si>
  <si>
    <t xml:space="preserve"> 65.7719 </t>
  </si>
  <si>
    <t xml:space="preserve">F:\Données chgh\2020-CHG-CZA-BPA-3\plaque 1/@11 BPA 4/G11_03.tif </t>
  </si>
  <si>
    <t xml:space="preserve"> 7808.392 </t>
  </si>
  <si>
    <t xml:space="preserve"> 65.0305 </t>
  </si>
  <si>
    <t xml:space="preserve">F:\Données chgh\2020-CHG-CZA-BPA-3\plaque 1/@11 BPA 4/H11_01.tif </t>
  </si>
  <si>
    <t xml:space="preserve"> 64.2427 </t>
  </si>
  <si>
    <t xml:space="preserve">F:\Données chgh\2020-CHG-CZA-BPA-3\plaque 1/@11 BPA 4/H11_02.tif </t>
  </si>
  <si>
    <t xml:space="preserve"> 64.1967 </t>
  </si>
  <si>
    <t xml:space="preserve">F:\Données chgh\2020-CHG-CZA-BPA-3\plaque 1/@11 BPA 4/H11_03.tif </t>
  </si>
  <si>
    <t xml:space="preserve"> 2336.0286 </t>
  </si>
  <si>
    <t xml:space="preserve"> 63.6204 </t>
  </si>
  <si>
    <t xml:space="preserve">F:\Données chgh\2020-CHG-CZA-BPA-3\plaque 1/@11 BPA 4/ </t>
  </si>
  <si>
    <t xml:space="preserve"> 68.1493 </t>
  </si>
  <si>
    <t xml:space="preserve"> 4.4575 </t>
  </si>
  <si>
    <t xml:space="preserve"> 1520834.79 </t>
  </si>
  <si>
    <t xml:space="preserve"> 1252759.55 </t>
  </si>
  <si>
    <t>F:\Données chgh\2020-CHG-CZA-BPA-3\plaque 1/@12  BPA 5/A12_01- exclu.tif</t>
  </si>
  <si>
    <t xml:space="preserve">F:\Données chgh\2020-CHG-CZA-BPA-3\plaque 1/@12  BPA 5/A12_02.tif </t>
  </si>
  <si>
    <t xml:space="preserve"> 20613.2896 </t>
  </si>
  <si>
    <t xml:space="preserve"> 65.2676 </t>
  </si>
  <si>
    <t xml:space="preserve">F:\Données chgh\2020-CHG-CZA-BPA-3\plaque 1/@12  BPA 5/A12_03.tif </t>
  </si>
  <si>
    <t xml:space="preserve"> 36878.9703 </t>
  </si>
  <si>
    <t xml:space="preserve"> 70.1155 </t>
  </si>
  <si>
    <t>F:\Données chgh\2020-CHG-CZA-BPA-3\plaque 1/@12  BPA 5/B12_01- exclu.tif</t>
  </si>
  <si>
    <t xml:space="preserve">F:\Données chgh\2020-CHG-CZA-BPA-3\plaque 1/@12  BPA 5/B12_02.tif </t>
  </si>
  <si>
    <t xml:space="preserve"> 41464.508 </t>
  </si>
  <si>
    <t xml:space="preserve"> 67.1388 </t>
  </si>
  <si>
    <t xml:space="preserve">F:\Données chgh\2020-CHG-CZA-BPA-3\plaque 1/@12  BPA 5/B12_03.tif </t>
  </si>
  <si>
    <t xml:space="preserve"> 48299.5547 </t>
  </si>
  <si>
    <t xml:space="preserve"> 73.9557 </t>
  </si>
  <si>
    <t xml:space="preserve">F:\Données chgh\2020-CHG-CZA-BPA-3\plaque 1/@12  BPA 5/C12_01.tif </t>
  </si>
  <si>
    <t xml:space="preserve"> 2162.9895 </t>
  </si>
  <si>
    <t xml:space="preserve"> 63.95 </t>
  </si>
  <si>
    <t xml:space="preserve">F:\Données chgh\2020-CHG-CZA-BPA-3\plaque 1/@12  BPA 5/C12_02.tif </t>
  </si>
  <si>
    <t xml:space="preserve"> 13799.8728 </t>
  </si>
  <si>
    <t xml:space="preserve"> 83.7006 </t>
  </si>
  <si>
    <t xml:space="preserve">F:\Données chgh\2020-CHG-CZA-BPA-3\plaque 1/@12  BPA 5/C12_03.tif </t>
  </si>
  <si>
    <t xml:space="preserve"> 13237.4955 </t>
  </si>
  <si>
    <t xml:space="preserve"> 81.2418 </t>
  </si>
  <si>
    <t xml:space="preserve">F:\Données chgh\2020-CHG-CZA-BPA-3\plaque 1/@12  BPA 5/D12_01.tif </t>
  </si>
  <si>
    <t xml:space="preserve"> 21673.1544 </t>
  </si>
  <si>
    <t xml:space="preserve"> 64.7355 </t>
  </si>
  <si>
    <t xml:space="preserve">F:\Données chgh\2020-CHG-CZA-BPA-3\plaque 1/@12  BPA 5/D12_02.tif </t>
  </si>
  <si>
    <t xml:space="preserve"> 11571.9936 </t>
  </si>
  <si>
    <t xml:space="preserve"> 63.957 </t>
  </si>
  <si>
    <t xml:space="preserve">F:\Données chgh\2020-CHG-CZA-BPA-3\plaque 1/@12  BPA 5/D12_03.tif </t>
  </si>
  <si>
    <t xml:space="preserve"> 21391.9658 </t>
  </si>
  <si>
    <t xml:space="preserve"> 64.7685 </t>
  </si>
  <si>
    <t xml:space="preserve">F:\Données chgh\2020-CHG-CZA-BPA-3\plaque 1/@12  BPA 5/E12_01.tif </t>
  </si>
  <si>
    <t xml:space="preserve"> 15205.8159 </t>
  </si>
  <si>
    <t xml:space="preserve"> 66.1195 </t>
  </si>
  <si>
    <t xml:space="preserve">F:\Données chgh\2020-CHG-CZA-BPA-3\plaque 1/@12  BPA 5/E12_02.tif </t>
  </si>
  <si>
    <t xml:space="preserve"> 14102.6913 </t>
  </si>
  <si>
    <t xml:space="preserve"> 65.5798 </t>
  </si>
  <si>
    <t xml:space="preserve">F:\Données chgh\2020-CHG-CZA-BPA-3\plaque 1/@12  BPA 5/E12_03.tif </t>
  </si>
  <si>
    <t xml:space="preserve"> 65.8208 </t>
  </si>
  <si>
    <t xml:space="preserve">F:\Données chgh\2020-CHG-CZA-BPA-3\plaque 1/@12  BPA 5/F12_01.tif </t>
  </si>
  <si>
    <t xml:space="preserve"> 33504.7068 </t>
  </si>
  <si>
    <t xml:space="preserve"> 74.3409 </t>
  </si>
  <si>
    <t xml:space="preserve">F:\Données chgh\2020-CHG-CZA-BPA-3\plaque 1/@12  BPA 5/F12_02.tif </t>
  </si>
  <si>
    <t xml:space="preserve"> 26085.6529 </t>
  </si>
  <si>
    <t xml:space="preserve"> 76.2322 </t>
  </si>
  <si>
    <t xml:space="preserve">F:\Données chgh\2020-CHG-CZA-BPA-3\plaque 1/@12  BPA 5/F12_03.tif </t>
  </si>
  <si>
    <t xml:space="preserve"> 30584.671 </t>
  </si>
  <si>
    <t xml:space="preserve"> 74.7362 </t>
  </si>
  <si>
    <t xml:space="preserve">F:\Données chgh\2020-CHG-CZA-BPA-3\plaque 1/@12  BPA 5/G12_01.tif </t>
  </si>
  <si>
    <t xml:space="preserve"> 47693.9177 </t>
  </si>
  <si>
    <t xml:space="preserve"> 72.005 </t>
  </si>
  <si>
    <t xml:space="preserve">F:\Données chgh\2020-CHG-CZA-BPA-3\plaque 1/@12  BPA 5/G12_02.tif </t>
  </si>
  <si>
    <t xml:space="preserve"> 74.9143 </t>
  </si>
  <si>
    <t xml:space="preserve">F:\Données chgh\2020-CHG-CZA-BPA-3\plaque 1/@12  BPA 5/G12_03.tif </t>
  </si>
  <si>
    <t xml:space="preserve"> 40145.0844 </t>
  </si>
  <si>
    <t xml:space="preserve"> 73.1061 </t>
  </si>
  <si>
    <t xml:space="preserve">F:\Données chgh\2020-CHG-CZA-BPA-3\plaque 1/@12  BPA 5/H12_01.tif </t>
  </si>
  <si>
    <t xml:space="preserve"> 22776.279 </t>
  </si>
  <si>
    <t xml:space="preserve"> 69.4739 </t>
  </si>
  <si>
    <t xml:space="preserve">F:\Données chgh\2020-CHG-CZA-BPA-3\plaque 1/@12  BPA 5/H12_02.tif </t>
  </si>
  <si>
    <t xml:space="preserve"> 22149.0121 </t>
  </si>
  <si>
    <t xml:space="preserve"> 69.4912 </t>
  </si>
  <si>
    <t xml:space="preserve">F:\Données chgh\2020-CHG-CZA-BPA-3\plaque 1/@12  BPA 5/H12_03.tif </t>
  </si>
  <si>
    <t xml:space="preserve"> 22538.3502 </t>
  </si>
  <si>
    <t xml:space="preserve"> 69.1296 </t>
  </si>
  <si>
    <t xml:space="preserve">F:\Données chgh\2020-CHG-CZA-BPA-3\plaque 1/@12  BPA 5/ </t>
  </si>
  <si>
    <t xml:space="preserve"> 70.1679 </t>
  </si>
  <si>
    <t xml:space="preserve"> 5.4202 </t>
  </si>
  <si>
    <t xml:space="preserve"> 1836058.12 </t>
  </si>
  <si>
    <t xml:space="preserve"> 949905.795 </t>
  </si>
  <si>
    <t xml:space="preserve">F:\Données chgh\2020-CHG-CZA-BPA-3\plaque 2/@13 Testo 30/A1_01.tif </t>
  </si>
  <si>
    <t xml:space="preserve"> 36208.4436 </t>
  </si>
  <si>
    <t xml:space="preserve"> 69.5167 </t>
  </si>
  <si>
    <t xml:space="preserve">F:\Données chgh\2020-CHG-CZA-BPA-3\plaque 2/@13 Testo 30/A1_02.tif </t>
  </si>
  <si>
    <t xml:space="preserve"> 38090.2444 </t>
  </si>
  <si>
    <t xml:space="preserve"> 70.5497 </t>
  </si>
  <si>
    <t xml:space="preserve">F:\Données chgh\2020-CHG-CZA-BPA-3\plaque 2/@13 Testo 30/A1_03.tif </t>
  </si>
  <si>
    <t xml:space="preserve"> 70.0389 </t>
  </si>
  <si>
    <t xml:space="preserve">F:\Données chgh\2020-CHG-CZA-BPA-3\plaque 2/@13 Testo 30/B1_01.tif </t>
  </si>
  <si>
    <t xml:space="preserve"> 64.8408 </t>
  </si>
  <si>
    <t xml:space="preserve">F:\Données chgh\2020-CHG-CZA-BPA-3\plaque 2/@13 Testo 30/B1_02.tif </t>
  </si>
  <si>
    <t xml:space="preserve"> 64.5556 </t>
  </si>
  <si>
    <t xml:space="preserve">F:\Données chgh\2020-CHG-CZA-BPA-3\plaque 2/@13 Testo 30/B1_03.tif </t>
  </si>
  <si>
    <t xml:space="preserve"> 4996.5057 </t>
  </si>
  <si>
    <t xml:space="preserve"> 65.8485 </t>
  </si>
  <si>
    <t xml:space="preserve">F:\Données chgh\2020-CHG-CZA-BPA-3\plaque 2/@13 Testo 30/C1_01.tif </t>
  </si>
  <si>
    <t xml:space="preserve"> 9409.0042 </t>
  </si>
  <si>
    <t xml:space="preserve"> 65.5448 </t>
  </si>
  <si>
    <t xml:space="preserve">F:\Données chgh\2020-CHG-CZA-BPA-3\plaque 2/@13 Testo 30/C1_02.tif </t>
  </si>
  <si>
    <t xml:space="preserve"> 7700.2425 </t>
  </si>
  <si>
    <t xml:space="preserve"> 66.4494 </t>
  </si>
  <si>
    <t xml:space="preserve">F:\Données chgh\2020-CHG-CZA-BPA-3\plaque 2/@13 Testo 30/C1_03.tif </t>
  </si>
  <si>
    <t xml:space="preserve"> 6553.8581 </t>
  </si>
  <si>
    <t xml:space="preserve"> 65.4323 </t>
  </si>
  <si>
    <t>F:\Données chgh\2020-CHG-CZA-BPA-3\plaque 2/@13 Testo 30/D1_01- exclu.tif</t>
  </si>
  <si>
    <t>F:\Données chgh\2020-CHG-CZA-BPA-3\plaque 2/@13 Testo 30/D1_02- exclu.tif</t>
  </si>
  <si>
    <t xml:space="preserve">F:\Données chgh\2020-CHG-CZA-BPA-3\plaque 2/@13 Testo 30/D1_03.tif </t>
  </si>
  <si>
    <t xml:space="preserve"> 39755.7463 </t>
  </si>
  <si>
    <t xml:space="preserve"> 76.3754 </t>
  </si>
  <si>
    <t>F:\Données chgh\2020-CHG-CZA-BPA-3\plaque 2/@13 Testo 30/E1_01- exclu.tif</t>
  </si>
  <si>
    <t xml:space="preserve">F:\Données chgh\2020-CHG-CZA-BPA-3\plaque 2/@13 Testo 30/E1_02.tif </t>
  </si>
  <si>
    <t xml:space="preserve"> 70.2244 </t>
  </si>
  <si>
    <t xml:space="preserve">F:\Données chgh\2020-CHG-CZA-BPA-3\plaque 2/@13 Testo 30/E1_03.tif </t>
  </si>
  <si>
    <t xml:space="preserve"> 12437.1894 </t>
  </si>
  <si>
    <t xml:space="preserve"> 69.2557 </t>
  </si>
  <si>
    <t>F:\Données chgh\2020-CHG-CZA-BPA-3\plaque 2/@13 Testo 30/F1_01- exclu.tif</t>
  </si>
  <si>
    <t xml:space="preserve">F:\Données chgh\2020-CHG-CZA-BPA-3\plaque 2/@13 Testo 30/F1_02.tif </t>
  </si>
  <si>
    <t xml:space="preserve"> 25393.4963 </t>
  </si>
  <si>
    <t xml:space="preserve"> 71.9779 </t>
  </si>
  <si>
    <t xml:space="preserve">F:\Données chgh\2020-CHG-CZA-BPA-3\plaque 2/@13 Testo 30/F1_03.tif </t>
  </si>
  <si>
    <t xml:space="preserve"> 27643.0053 </t>
  </si>
  <si>
    <t xml:space="preserve"> 72.5869 </t>
  </si>
  <si>
    <t xml:space="preserve">F:\Données chgh\2020-CHG-CZA-BPA-3\plaque 2/@13 Testo 30/G1_01.tif </t>
  </si>
  <si>
    <t xml:space="preserve"> 17174.1363 </t>
  </si>
  <si>
    <t xml:space="preserve"> 66.9433 </t>
  </si>
  <si>
    <t xml:space="preserve">F:\Données chgh\2020-CHG-CZA-BPA-3\plaque 2/@13 Testo 30/G1_02.tif </t>
  </si>
  <si>
    <t xml:space="preserve"> 19856.2433 </t>
  </si>
  <si>
    <t xml:space="preserve"> 65.9281 </t>
  </si>
  <si>
    <t xml:space="preserve">F:\Données chgh\2020-CHG-CZA-BPA-3\plaque 2/@13 Testo 30/G1_03.tif </t>
  </si>
  <si>
    <t xml:space="preserve"> 67.6185 </t>
  </si>
  <si>
    <t xml:space="preserve">F:\Données chgh\2020-CHG-CZA-BPA-3\plaque 2/@13 Testo 30/H1_01.tif </t>
  </si>
  <si>
    <t xml:space="preserve"> 31882.4647 </t>
  </si>
  <si>
    <t xml:space="preserve"> 71.8697 </t>
  </si>
  <si>
    <t xml:space="preserve">F:\Données chgh\2020-CHG-CZA-BPA-3\plaque 2/@13 Testo 30/H1_02.tif </t>
  </si>
  <si>
    <t xml:space="preserve"> 71.5597 </t>
  </si>
  <si>
    <t xml:space="preserve">F:\Données chgh\2020-CHG-CZA-BPA-3\plaque 2/@13 Testo 30/H1_03.tif </t>
  </si>
  <si>
    <t xml:space="preserve"> 33093.7388 </t>
  </si>
  <si>
    <t xml:space="preserve"> 71.2719 </t>
  </si>
  <si>
    <t xml:space="preserve">F:\Données chgh\2020-CHG-CZA-BPA-3\plaque 2/@13 Testo 30/ </t>
  </si>
  <si>
    <t xml:space="preserve"> 69.0413 </t>
  </si>
  <si>
    <t xml:space="preserve"> 3.1155 </t>
  </si>
  <si>
    <t xml:space="preserve"> 1525420.29 </t>
  </si>
  <si>
    <t xml:space="preserve"> 1007743.21 </t>
  </si>
  <si>
    <t xml:space="preserve">F:\Données chgh\2020-CHG-CZA-BPA-3\plaque 2/@14 Testo 30/A2_01.tif </t>
  </si>
  <si>
    <t xml:space="preserve"> 23100.7275 </t>
  </si>
  <si>
    <t xml:space="preserve"> 69.3549 </t>
  </si>
  <si>
    <t>F:\Données chgh\2020-CHG-CZA-BPA-3\plaque 2/@14 Testo 30/A2_02- exclu.tif</t>
  </si>
  <si>
    <t xml:space="preserve">F:\Données chgh\2020-CHG-CZA-BPA-3\plaque 2/@14 Testo 30/A2_03.tif </t>
  </si>
  <si>
    <t xml:space="preserve"> 22689.7595 </t>
  </si>
  <si>
    <t xml:space="preserve"> 69.531 </t>
  </si>
  <si>
    <t xml:space="preserve">F:\Données chgh\2020-CHG-CZA-BPA-3\plaque 2/@14 Testo 30/B2_01.tif </t>
  </si>
  <si>
    <t xml:space="preserve"> 33937.3047 </t>
  </si>
  <si>
    <t xml:space="preserve"> 70.1307 </t>
  </si>
  <si>
    <t xml:space="preserve">F:\Données chgh\2020-CHG-CZA-BPA-3\plaque 2/@14 Testo 30/B2_02.tif </t>
  </si>
  <si>
    <t xml:space="preserve"> 24225.482 </t>
  </si>
  <si>
    <t xml:space="preserve"> 67.6116 </t>
  </si>
  <si>
    <t xml:space="preserve">F:\Données chgh\2020-CHG-CZA-BPA-3\plaque 2/@14 Testo 30/B2_03.tif </t>
  </si>
  <si>
    <t xml:space="preserve"> 24290.3717 </t>
  </si>
  <si>
    <t xml:space="preserve"> 68.0267 </t>
  </si>
  <si>
    <t>F:\Données chgh\2020-CHG-CZA-BPA-3\plaque 2/@14 Testo 30/C2_01- exclu.tif</t>
  </si>
  <si>
    <t xml:space="preserve">F:\Données chgh\2020-CHG-CZA-BPA-3\plaque 2/@14 Testo 30/C2_02.tif </t>
  </si>
  <si>
    <t xml:space="preserve"> 35970.5148 </t>
  </si>
  <si>
    <t xml:space="preserve"> 69.6645 </t>
  </si>
  <si>
    <t xml:space="preserve">F:\Données chgh\2020-CHG-CZA-BPA-3\plaque 2/@14 Testo 30/C2_03.tif </t>
  </si>
  <si>
    <t xml:space="preserve"> 70.0823 </t>
  </si>
  <si>
    <t xml:space="preserve">F:\Données chgh\2020-CHG-CZA-BPA-3\plaque 2/@14 Testo 30/D2_01.tif </t>
  </si>
  <si>
    <t xml:space="preserve"> 12502.0791 </t>
  </si>
  <si>
    <t xml:space="preserve"> 66.5398 </t>
  </si>
  <si>
    <t xml:space="preserve">F:\Données chgh\2020-CHG-CZA-BPA-3\plaque 2/@14 Testo 30/D2_02.tif </t>
  </si>
  <si>
    <t xml:space="preserve"> 14946.2572 </t>
  </si>
  <si>
    <t xml:space="preserve"> 66.8871 </t>
  </si>
  <si>
    <t xml:space="preserve">F:\Données chgh\2020-CHG-CZA-BPA-3\plaque 2/@14 Testo 30/D2_03.tif </t>
  </si>
  <si>
    <t xml:space="preserve"> 15768.1932 </t>
  </si>
  <si>
    <t xml:space="preserve"> 67.6077 </t>
  </si>
  <si>
    <t xml:space="preserve">F:\Données chgh\2020-CHG-CZA-BPA-3\plaque 2/@14 Testo 30/E2_01.tif </t>
  </si>
  <si>
    <t xml:space="preserve"> 14124.3212 </t>
  </si>
  <si>
    <t xml:space="preserve"> 65.8361 </t>
  </si>
  <si>
    <t xml:space="preserve">F:\Données chgh\2020-CHG-CZA-BPA-3\plaque 2/@14 Testo 30/E2_02.tif </t>
  </si>
  <si>
    <t xml:space="preserve"> 15941.2323 </t>
  </si>
  <si>
    <t xml:space="preserve"> 65.2456 </t>
  </si>
  <si>
    <t>F:\Données chgh\2020-CHG-CZA-BPA-3\plaque 2/@14 Testo 30/E2_03- exclu.tif</t>
  </si>
  <si>
    <t xml:space="preserve">F:\Données chgh\2020-CHG-CZA-BPA-3\plaque 2/@14 Testo 30/F2_01.tif </t>
  </si>
  <si>
    <t xml:space="preserve"> 27210.4074 </t>
  </si>
  <si>
    <t xml:space="preserve"> 74.1836 </t>
  </si>
  <si>
    <t xml:space="preserve">F:\Données chgh\2020-CHG-CZA-BPA-3\plaque 2/@14 Testo 30/F2_02.tif </t>
  </si>
  <si>
    <t xml:space="preserve"> 29221.9876 </t>
  </si>
  <si>
    <t xml:space="preserve"> 73.0681 </t>
  </si>
  <si>
    <t xml:space="preserve">F:\Données chgh\2020-CHG-CZA-BPA-3\plaque 2/@14 Testo 30/F2_03.tif </t>
  </si>
  <si>
    <t xml:space="preserve"> 75.933 </t>
  </si>
  <si>
    <t xml:space="preserve">F:\Données chgh\2020-CHG-CZA-BPA-3\plaque 2/@14 Testo 30/G2_01.tif </t>
  </si>
  <si>
    <t xml:space="preserve"> 60888.1534 </t>
  </si>
  <si>
    <t xml:space="preserve"> 77.6046 </t>
  </si>
  <si>
    <t xml:space="preserve">F:\Données chgh\2020-CHG-CZA-BPA-3\plaque 2/@14 Testo 30/G2_02.tif </t>
  </si>
  <si>
    <t xml:space="preserve"> 77.4606 </t>
  </si>
  <si>
    <t xml:space="preserve">F:\Données chgh\2020-CHG-CZA-BPA-3\plaque 2/@14 Testo 30/G2_03.tif </t>
  </si>
  <si>
    <t xml:space="preserve"> 52863.4625 </t>
  </si>
  <si>
    <t xml:space="preserve"> 76.1334 </t>
  </si>
  <si>
    <t xml:space="preserve">F:\Données chgh\2020-CHG-CZA-BPA-3\plaque 2/@14 Testo 30/H2_01.tif </t>
  </si>
  <si>
    <t xml:space="preserve"> 68.618 </t>
  </si>
  <si>
    <t>F:\Données chgh\2020-CHG-CZA-BPA-3\plaque 2/@14 Testo 30/H2_02- exclu.tif</t>
  </si>
  <si>
    <t>F:\Données chgh\2020-CHG-CZA-BPA-3\plaque 2/@14 Testo 30/H2_03- exclu.tif</t>
  </si>
  <si>
    <t xml:space="preserve">F:\Données chgh\2020-CHG-CZA-BPA-3\plaque 2/@14 Testo 30/ </t>
  </si>
  <si>
    <t xml:space="preserve"> 70.0477 </t>
  </si>
  <si>
    <t xml:space="preserve"> 3.8068 </t>
  </si>
  <si>
    <t xml:space="preserve"> 1925215.67 </t>
  </si>
  <si>
    <t xml:space="preserve"> 1086728.23 </t>
  </si>
  <si>
    <t xml:space="preserve">F:\Données chgh\2020-CHG-CZA-BPA-3\plaque 2/@15 Testo + EE2/A3_01.tif </t>
  </si>
  <si>
    <t xml:space="preserve"> 47455.9888 </t>
  </si>
  <si>
    <t xml:space="preserve"> 77.3532 </t>
  </si>
  <si>
    <t>F:\Données chgh\2020-CHG-CZA-BPA-3\plaque 2/@15 Testo + EE2/A3_02- exclu.tif</t>
  </si>
  <si>
    <t xml:space="preserve">F:\Données chgh\2020-CHG-CZA-BPA-3\plaque 2/@15 Testo + EE2/A3_03.tif </t>
  </si>
  <si>
    <t xml:space="preserve"> 47953.4764 </t>
  </si>
  <si>
    <t xml:space="preserve"> 72.8345 </t>
  </si>
  <si>
    <t xml:space="preserve">F:\Données chgh\2020-CHG-CZA-BPA-3\plaque 2/@15 Testo + EE2/B3_01.tif </t>
  </si>
  <si>
    <t xml:space="preserve"> 61623.5698 </t>
  </si>
  <si>
    <t xml:space="preserve"> 84.133 </t>
  </si>
  <si>
    <t xml:space="preserve">F:\Données chgh\2020-CHG-CZA-BPA-3\plaque 2/@15 Testo + EE2/B3_02.tif </t>
  </si>
  <si>
    <t xml:space="preserve"> 63051.1428 </t>
  </si>
  <si>
    <t xml:space="preserve"> 85.5115 </t>
  </si>
  <si>
    <t xml:space="preserve">F:\Données chgh\2020-CHG-CZA-BPA-3\plaque 2/@15 Testo + EE2/B3_03.tif </t>
  </si>
  <si>
    <t xml:space="preserve"> 64067.7479 </t>
  </si>
  <si>
    <t xml:space="preserve"> 83.3815 </t>
  </si>
  <si>
    <t xml:space="preserve">F:\Données chgh\2020-CHG-CZA-BPA-3\plaque 2/@15 Testo + EE2/C3_01.tif </t>
  </si>
  <si>
    <t xml:space="preserve"> 45357.889 </t>
  </si>
  <si>
    <t xml:space="preserve"> 77.3495 </t>
  </si>
  <si>
    <t xml:space="preserve">F:\Données chgh\2020-CHG-CZA-BPA-3\plaque 2/@15 Testo + EE2/C3_02.tif </t>
  </si>
  <si>
    <t xml:space="preserve"> 78.4092 </t>
  </si>
  <si>
    <t xml:space="preserve">F:\Données chgh\2020-CHG-CZA-BPA-3\plaque 2/@15 Testo + EE2/C3_03.tif </t>
  </si>
  <si>
    <t xml:space="preserve"> 50311.1349 </t>
  </si>
  <si>
    <t xml:space="preserve"> 78.0791 </t>
  </si>
  <si>
    <t xml:space="preserve">F:\Données chgh\2020-CHG-CZA-BPA-3\plaque 2/@15 Testo + EE2/D3_01.tif </t>
  </si>
  <si>
    <t xml:space="preserve"> 39690.8566 </t>
  </si>
  <si>
    <t xml:space="preserve"> 72.2567 </t>
  </si>
  <si>
    <t xml:space="preserve">F:\Données chgh\2020-CHG-CZA-BPA-3\plaque 2/@15 Testo + EE2/D3_02.tif </t>
  </si>
  <si>
    <t xml:space="preserve"> 27880.9342 </t>
  </si>
  <si>
    <t xml:space="preserve"> 68.3126 </t>
  </si>
  <si>
    <t xml:space="preserve">F:\Données chgh\2020-CHG-CZA-BPA-3\plaque 2/@15 Testo + EE2/D3_03.tif </t>
  </si>
  <si>
    <t xml:space="preserve"> 38479.5825 </t>
  </si>
  <si>
    <t xml:space="preserve"> 71.1012 </t>
  </si>
  <si>
    <t xml:space="preserve">F:\Données chgh\2020-CHG-CZA-BPA-3\plaque 2/@15 Testo + EE2/E3_01.tif </t>
  </si>
  <si>
    <t xml:space="preserve"> 33764.2655 </t>
  </si>
  <si>
    <t xml:space="preserve"> 70.722 </t>
  </si>
  <si>
    <t xml:space="preserve">F:\Données chgh\2020-CHG-CZA-BPA-3\plaque 2/@15 Testo + EE2/E3_02.tif </t>
  </si>
  <si>
    <t xml:space="preserve"> 26345.2117 </t>
  </si>
  <si>
    <t xml:space="preserve"> 72.9392 </t>
  </si>
  <si>
    <t xml:space="preserve">F:\Données chgh\2020-CHG-CZA-BPA-3\plaque 2/@15 Testo + EE2/E3_03.tif </t>
  </si>
  <si>
    <t xml:space="preserve"> 70.581 </t>
  </si>
  <si>
    <t xml:space="preserve">F:\Données chgh\2020-CHG-CZA-BPA-3\plaque 2/@15 Testo + EE2/F3_01.tif </t>
  </si>
  <si>
    <t xml:space="preserve"> 81.0319 </t>
  </si>
  <si>
    <t xml:space="preserve">F:\Données chgh\2020-CHG-CZA-BPA-3\plaque 2/@15 Testo + EE2/F3_02.tif </t>
  </si>
  <si>
    <t xml:space="preserve"> 80.5611 </t>
  </si>
  <si>
    <t xml:space="preserve">F:\Données chgh\2020-CHG-CZA-BPA-3\plaque 2/@15 Testo + EE2/F3_03.tif </t>
  </si>
  <si>
    <t xml:space="preserve"> 41875.476 </t>
  </si>
  <si>
    <t xml:space="preserve"> 78.3704 </t>
  </si>
  <si>
    <t xml:space="preserve">F:\Données chgh\2020-CHG-CZA-BPA-3\plaque 2/@15 Testo + EE2/G3_01.tif </t>
  </si>
  <si>
    <t xml:space="preserve"> 57665.2991 </t>
  </si>
  <si>
    <t xml:space="preserve"> 78.1107 </t>
  </si>
  <si>
    <t xml:space="preserve">F:\Données chgh\2020-CHG-CZA-BPA-3\plaque 2/@15 Testo + EE2/G3_02.tif </t>
  </si>
  <si>
    <t xml:space="preserve"> 46785.4621 </t>
  </si>
  <si>
    <t xml:space="preserve"> 80.8132 </t>
  </si>
  <si>
    <t xml:space="preserve">F:\Données chgh\2020-CHG-CZA-BPA-3\plaque 2/@15 Testo + EE2/G3_03.tif </t>
  </si>
  <si>
    <t xml:space="preserve"> 46136.5652 </t>
  </si>
  <si>
    <t xml:space="preserve"> 75.1772 </t>
  </si>
  <si>
    <t xml:space="preserve">F:\Données chgh\2020-CHG-CZA-BPA-3\plaque 2/@15 Testo + EE2/H3_01.tif </t>
  </si>
  <si>
    <t xml:space="preserve"> 26518.2508 </t>
  </si>
  <si>
    <t xml:space="preserve"> 72.168 </t>
  </si>
  <si>
    <t xml:space="preserve">F:\Données chgh\2020-CHG-CZA-BPA-3\plaque 2/@15 Testo + EE2/H3_02.tif </t>
  </si>
  <si>
    <t xml:space="preserve"> 71.0249 </t>
  </si>
  <si>
    <t xml:space="preserve">F:\Données chgh\2020-CHG-CZA-BPA-3\plaque 2/@15 Testo + EE2/H3_03.tif </t>
  </si>
  <si>
    <t xml:space="preserve"> 25350.2365 </t>
  </si>
  <si>
    <t xml:space="preserve"> 71.5128 </t>
  </si>
  <si>
    <t xml:space="preserve">F:\Données chgh\2020-CHG-CZA-BPA-3\plaque 2/@15 Testo + EE2/ </t>
  </si>
  <si>
    <t xml:space="preserve"> 75.6403 </t>
  </si>
  <si>
    <t xml:space="preserve"> 5.4695 </t>
  </si>
  <si>
    <t xml:space="preserve"> 3185287.58 </t>
  </si>
  <si>
    <t xml:space="preserve"> 1225099.73 </t>
  </si>
  <si>
    <t xml:space="preserve">F:\Données chgh\2020-CHG-CZA-BPA-3\plaque 2/@16 Testo + FAD/A4_01.tif </t>
  </si>
  <si>
    <t xml:space="preserve"> 66.3717 </t>
  </si>
  <si>
    <t xml:space="preserve">F:\Données chgh\2020-CHG-CZA-BPA-3\plaque 2/@16 Testo + FAD/A4_02.tif </t>
  </si>
  <si>
    <t xml:space="preserve"> 4585.5377 </t>
  </si>
  <si>
    <t xml:space="preserve"> 64.434 </t>
  </si>
  <si>
    <t xml:space="preserve">F:\Données chgh\2020-CHG-CZA-BPA-3\plaque 2/@16 Testo + FAD/A4_03.tif </t>
  </si>
  <si>
    <t xml:space="preserve"> 64.1985 </t>
  </si>
  <si>
    <t xml:space="preserve">F:\Données chgh\2020-CHG-CZA-BPA-3\plaque 2/@16 Testo + FAD/B4_01.tif </t>
  </si>
  <si>
    <t xml:space="preserve"> 66.6148 </t>
  </si>
  <si>
    <t xml:space="preserve">F:\Données chgh\2020-CHG-CZA-BPA-3\plaque 2/@16 Testo + FAD/B4_02.tif </t>
  </si>
  <si>
    <t xml:space="preserve"> 67.9829 </t>
  </si>
  <si>
    <t xml:space="preserve">F:\Données chgh\2020-CHG-CZA-BPA-3\plaque 2/@16 Testo + FAD/B4_03.tif </t>
  </si>
  <si>
    <t xml:space="preserve"> 4650.4273 </t>
  </si>
  <si>
    <t xml:space="preserve"> 69.5628 </t>
  </si>
  <si>
    <t xml:space="preserve">F:\Données chgh\2020-CHG-CZA-BPA-3\plaque 2/@16 Testo + FAD/C4_01.tif </t>
  </si>
  <si>
    <t xml:space="preserve"> 65.9143 </t>
  </si>
  <si>
    <t>F:\Données chgh\2020-CHG-CZA-BPA-3\plaque 2/@16 Testo + FAD/C4_02- exclu.tif</t>
  </si>
  <si>
    <t>F:\Données chgh\2020-CHG-CZA-BPA-3\plaque 2/@16 Testo + FAD/C4_03- exclu.tif</t>
  </si>
  <si>
    <t xml:space="preserve">F:\Données chgh\2020-CHG-CZA-BPA-3\plaque 2/@16 Testo + FAD/D4_01.tif </t>
  </si>
  <si>
    <t xml:space="preserve"> 69.6639 </t>
  </si>
  <si>
    <t xml:space="preserve">F:\Données chgh\2020-CHG-CZA-BPA-3\plaque 2/@16 Testo + FAD/D4_02.tif </t>
  </si>
  <si>
    <t xml:space="preserve"> 66.6846 </t>
  </si>
  <si>
    <t xml:space="preserve">F:\Données chgh\2020-CHG-CZA-BPA-3\plaque 2/@16 Testo + FAD/D4_03.tif </t>
  </si>
  <si>
    <t xml:space="preserve"> 67.3491 </t>
  </si>
  <si>
    <t xml:space="preserve">F:\Données chgh\2020-CHG-CZA-BPA-3\plaque 2/@16 Testo + FAD/E4_01.tif </t>
  </si>
  <si>
    <t xml:space="preserve"> 65.1212 </t>
  </si>
  <si>
    <t xml:space="preserve">F:\Données chgh\2020-CHG-CZA-BPA-3\plaque 2/@16 Testo + FAD/E4_02.tif </t>
  </si>
  <si>
    <t xml:space="preserve"> 62.5625 </t>
  </si>
  <si>
    <t xml:space="preserve">F:\Données chgh\2020-CHG-CZA-BPA-3\plaque 2/@16 Testo + FAD/E4_03.tif </t>
  </si>
  <si>
    <t xml:space="preserve"> 71.8489 </t>
  </si>
  <si>
    <t xml:space="preserve">F:\Données chgh\2020-CHG-CZA-BPA-3\plaque 2/@16 Testo + FAD/F4_01.tif </t>
  </si>
  <si>
    <t xml:space="preserve"> 63.0189 </t>
  </si>
  <si>
    <t xml:space="preserve">F:\Données chgh\2020-CHG-CZA-BPA-3\plaque 2/@16 Testo + FAD/F4_02.tif </t>
  </si>
  <si>
    <t xml:space="preserve"> 1989.9503 </t>
  </si>
  <si>
    <t xml:space="preserve"> 65.4891 </t>
  </si>
  <si>
    <t xml:space="preserve">F:\Données chgh\2020-CHG-CZA-BPA-3\plaque 2/@16 Testo + FAD/F4_03.tif </t>
  </si>
  <si>
    <t xml:space="preserve"> 61.9697 </t>
  </si>
  <si>
    <t xml:space="preserve">F:\Données chgh\2020-CHG-CZA-BPA-3\plaque 2/@16 Testo + FAD/G4_01.tif </t>
  </si>
  <si>
    <t xml:space="preserve"> 1795.2813 </t>
  </si>
  <si>
    <t xml:space="preserve"> 66.0482 </t>
  </si>
  <si>
    <t xml:space="preserve">F:\Données chgh\2020-CHG-CZA-BPA-3\plaque 2/@16 Testo + FAD/G4_02.tif </t>
  </si>
  <si>
    <t xml:space="preserve"> 7959.8012 </t>
  </si>
  <si>
    <t xml:space="preserve"> 67.6902 </t>
  </si>
  <si>
    <t xml:space="preserve">F:\Données chgh\2020-CHG-CZA-BPA-3\plaque 2/@16 Testo + FAD/G4_03.tif </t>
  </si>
  <si>
    <t xml:space="preserve"> 66.9925 </t>
  </si>
  <si>
    <t>F:\Données chgh\2020-CHG-CZA-BPA-3\plaque 2/@16 Testo + FAD/H4_01- exclu.tif</t>
  </si>
  <si>
    <t>F:\Données chgh\2020-CHG-CZA-BPA-3\plaque 2/@16 Testo + FAD/H4_02- exclu.tif</t>
  </si>
  <si>
    <t>F:\Données chgh\2020-CHG-CZA-BPA-3\plaque 2/@16 Testo + FAD/H4_03- exclu.tif</t>
  </si>
  <si>
    <t xml:space="preserve">F:\Données chgh\2020-CHG-CZA-BPA-3\plaque 2/@16 Testo + FAD/ </t>
  </si>
  <si>
    <t xml:space="preserve"> 65.9718 </t>
  </si>
  <si>
    <t xml:space="preserve"> 2.5059 </t>
  </si>
  <si>
    <t xml:space="preserve"> 164969.5 </t>
  </si>
  <si>
    <t xml:space="preserve"> 143713.248 </t>
  </si>
  <si>
    <t xml:space="preserve">F:\Données chgh\2020-CHG-CZA-BPA-3\plaque 2/@17 Testo +  BPA 1/A5_01.tif </t>
  </si>
  <si>
    <t xml:space="preserve"> 29351.767 </t>
  </si>
  <si>
    <t xml:space="preserve"> 69.1872 </t>
  </si>
  <si>
    <t xml:space="preserve">F:\Données chgh\2020-CHG-CZA-BPA-3\plaque 2/@17 Testo +  BPA 1/A5_02.tif </t>
  </si>
  <si>
    <t xml:space="preserve"> 33223.5181 </t>
  </si>
  <si>
    <t xml:space="preserve"> 70.5703 </t>
  </si>
  <si>
    <t xml:space="preserve">F:\Données chgh\2020-CHG-CZA-BPA-3\plaque 2/@17 Testo +  BPA 1/A5_03.tif </t>
  </si>
  <si>
    <t xml:space="preserve"> 71.1962 </t>
  </si>
  <si>
    <t xml:space="preserve">F:\Données chgh\2020-CHG-CZA-BPA-3\plaque 2/@17 Testo +  BPA 1/B5_01.tif </t>
  </si>
  <si>
    <t xml:space="preserve"> 70.7999 </t>
  </si>
  <si>
    <t xml:space="preserve">F:\Données chgh\2020-CHG-CZA-BPA-3\plaque 2/@17 Testo +  BPA 1/B5_02.tif </t>
  </si>
  <si>
    <t xml:space="preserve"> 36554.5219 </t>
  </si>
  <si>
    <t xml:space="preserve"> 71.3947 </t>
  </si>
  <si>
    <t xml:space="preserve">F:\Données chgh\2020-CHG-CZA-BPA-3\plaque 2/@17 Testo +  BPA 1/B5_03.tif </t>
  </si>
  <si>
    <t xml:space="preserve"> 37246.6786 </t>
  </si>
  <si>
    <t xml:space="preserve"> 71.9303 </t>
  </si>
  <si>
    <t xml:space="preserve">F:\Données chgh\2020-CHG-CZA-BPA-3\plaque 2/@17 Testo +  BPA 1/C5_01.tif </t>
  </si>
  <si>
    <t xml:space="preserve"> 25761.2045 </t>
  </si>
  <si>
    <t xml:space="preserve"> 70.4643 </t>
  </si>
  <si>
    <t xml:space="preserve">F:\Données chgh\2020-CHG-CZA-BPA-3\plaque 2/@17 Testo +  BPA 1/C5_02.tif </t>
  </si>
  <si>
    <t xml:space="preserve"> 27080.6281 </t>
  </si>
  <si>
    <t xml:space="preserve"> 73.3546 </t>
  </si>
  <si>
    <t xml:space="preserve">F:\Données chgh\2020-CHG-CZA-BPA-3\plaque 2/@17 Testo +  BPA 1/C5_03.tif </t>
  </si>
  <si>
    <t xml:space="preserve"> 21824.5637 </t>
  </si>
  <si>
    <t xml:space="preserve"> 72.448 </t>
  </si>
  <si>
    <t xml:space="preserve">F:\Données chgh\2020-CHG-CZA-BPA-3\plaque 2/@17 Testo +  BPA 1/D5_01.tif </t>
  </si>
  <si>
    <t xml:space="preserve"> 34910.6499 </t>
  </si>
  <si>
    <t xml:space="preserve"> 73.3563 </t>
  </si>
  <si>
    <t>F:\Données chgh\2020-CHG-CZA-BPA-3\plaque 2/@17 Testo +  BPA 1/D5_02- exclu.tif</t>
  </si>
  <si>
    <t xml:space="preserve">F:\Données chgh\2020-CHG-CZA-BPA-3\plaque 2/@17 Testo +  BPA 1/D5_03.tif </t>
  </si>
  <si>
    <t xml:space="preserve"> 35862.3653 </t>
  </si>
  <si>
    <t xml:space="preserve"> 72.915 </t>
  </si>
  <si>
    <t>F:\Données chgh\2020-CHG-CZA-BPA-3\plaque 2/@17 Testo +  BPA 1/E5_01- exclu.tif</t>
  </si>
  <si>
    <t xml:space="preserve">F:\Données chgh\2020-CHG-CZA-BPA-3\plaque 2/@17 Testo +  BPA 1/E5_02.tif </t>
  </si>
  <si>
    <t xml:space="preserve"> 34369.9026 </t>
  </si>
  <si>
    <t xml:space="preserve"> 76.5104 </t>
  </si>
  <si>
    <t xml:space="preserve">F:\Données chgh\2020-CHG-CZA-BPA-3\plaque 2/@17 Testo +  BPA 1/E5_03.tif </t>
  </si>
  <si>
    <t xml:space="preserve"> 36143.5539 </t>
  </si>
  <si>
    <t xml:space="preserve"> 76.839 </t>
  </si>
  <si>
    <t xml:space="preserve">F:\Données chgh\2020-CHG-CZA-BPA-3\plaque 2/@17 Testo +  BPA 1/F5_01.tif </t>
  </si>
  <si>
    <t xml:space="preserve"> 74.6593 </t>
  </si>
  <si>
    <t xml:space="preserve">F:\Données chgh\2020-CHG-CZA-BPA-3\plaque 2/@17 Testo +  BPA 1/F5_02.tif </t>
  </si>
  <si>
    <t xml:space="preserve"> 30260.2226 </t>
  </si>
  <si>
    <t xml:space="preserve"> 76.9535 </t>
  </si>
  <si>
    <t xml:space="preserve">F:\Données chgh\2020-CHG-CZA-BPA-3\plaque 2/@17 Testo +  BPA 1/F5_03.tif </t>
  </si>
  <si>
    <t xml:space="preserve"> 74.3163 </t>
  </si>
  <si>
    <t xml:space="preserve">F:\Données chgh\2020-CHG-CZA-BPA-3\plaque 2/@17 Testo +  BPA 1/G5_01.tif </t>
  </si>
  <si>
    <t xml:space="preserve"> 37441.3476 </t>
  </si>
  <si>
    <t xml:space="preserve"> 73.0277 </t>
  </si>
  <si>
    <t xml:space="preserve">F:\Données chgh\2020-CHG-CZA-BPA-3\plaque 2/@17 Testo +  BPA 1/G5_02.tif </t>
  </si>
  <si>
    <t xml:space="preserve"> 32163.6533 </t>
  </si>
  <si>
    <t xml:space="preserve"> 72.0558 </t>
  </si>
  <si>
    <t xml:space="preserve">F:\Données chgh\2020-CHG-CZA-BPA-3\plaque 2/@17 Testo +  BPA 1/G5_03.tif </t>
  </si>
  <si>
    <t xml:space="preserve"> 72.9591 </t>
  </si>
  <si>
    <t xml:space="preserve">F:\Données chgh\2020-CHG-CZA-BPA-3\plaque 2/@17 Testo +  BPA 1/H5_01.tif </t>
  </si>
  <si>
    <t xml:space="preserve"> 69.3262 </t>
  </si>
  <si>
    <t xml:space="preserve">F:\Données chgh\2020-CHG-CZA-BPA-3\plaque 2/@17 Testo +  BPA 1/H5_02.tif </t>
  </si>
  <si>
    <t xml:space="preserve"> 12977.9368 </t>
  </si>
  <si>
    <t xml:space="preserve"> 66.6467 </t>
  </si>
  <si>
    <t xml:space="preserve">F:\Données chgh\2020-CHG-CZA-BPA-3\plaque 2/@17 Testo +  BPA 1/H5_03.tif </t>
  </si>
  <si>
    <t xml:space="preserve"> 66.6092 </t>
  </si>
  <si>
    <t xml:space="preserve">F:\Données chgh\2020-CHG-CZA-BPA-3\plaque 2/@17 Testo +  BPA 1/ </t>
  </si>
  <si>
    <t xml:space="preserve"> 71.9574 </t>
  </si>
  <si>
    <t xml:space="preserve"> 3.022 </t>
  </si>
  <si>
    <t xml:space="preserve"> 2154646.67 </t>
  </si>
  <si>
    <t xml:space="preserve"> 602208.025 </t>
  </si>
  <si>
    <t xml:space="preserve">F:\Données chgh\2020-CHG-CZA-BPA-3\plaque 2/@18  Testo +  BPA 2/A6_01.tif </t>
  </si>
  <si>
    <t xml:space="preserve"> 24679.7098 </t>
  </si>
  <si>
    <t xml:space="preserve"> 77.5022 </t>
  </si>
  <si>
    <t xml:space="preserve">F:\Données chgh\2020-CHG-CZA-BPA-3\plaque 2/@18  Testo +  BPA 2/A6_02.tif </t>
  </si>
  <si>
    <t xml:space="preserve"> 21370.3359 </t>
  </si>
  <si>
    <t xml:space="preserve"> 76.7753 </t>
  </si>
  <si>
    <t xml:space="preserve">F:\Données chgh\2020-CHG-CZA-BPA-3\plaque 2/@18  Testo +  BPA 2/A6_03.tif </t>
  </si>
  <si>
    <t xml:space="preserve"> 23749.6243 </t>
  </si>
  <si>
    <t xml:space="preserve"> 76.6557 </t>
  </si>
  <si>
    <t xml:space="preserve">F:\Données chgh\2020-CHG-CZA-BPA-3\plaque 2/@18  Testo +  BPA 2/B6_01.tif </t>
  </si>
  <si>
    <t xml:space="preserve"> 23446.8058 </t>
  </si>
  <si>
    <t xml:space="preserve"> 69.7122 </t>
  </si>
  <si>
    <t xml:space="preserve">F:\Données chgh\2020-CHG-CZA-BPA-3\plaque 2/@18  Testo +  BPA 2/B6_02.tif </t>
  </si>
  <si>
    <t xml:space="preserve"> 31082.1586 </t>
  </si>
  <si>
    <t xml:space="preserve"> 70.7697 </t>
  </si>
  <si>
    <t xml:space="preserve">F:\Données chgh\2020-CHG-CZA-BPA-3\plaque 2/@18  Testo +  BPA 2/B6_03.tif </t>
  </si>
  <si>
    <t xml:space="preserve"> 37549.4971 </t>
  </si>
  <si>
    <t xml:space="preserve"> 72.1486 </t>
  </si>
  <si>
    <t xml:space="preserve">F:\Données chgh\2020-CHG-CZA-BPA-3\plaque 2/@18  Testo +  BPA 2/C6_01.tif </t>
  </si>
  <si>
    <t xml:space="preserve"> 80.6971 </t>
  </si>
  <si>
    <t>F:\Données chgh\2020-CHG-CZA-BPA-3\plaque 2/@18  Testo +  BPA 2/C6_02- exclu.tif</t>
  </si>
  <si>
    <t xml:space="preserve">F:\Données chgh\2020-CHG-CZA-BPA-3\plaque 2/@18  Testo +  BPA 2/C6_03.tif </t>
  </si>
  <si>
    <t xml:space="preserve"> 18255.6311 </t>
  </si>
  <si>
    <t xml:space="preserve"> 71.2145 </t>
  </si>
  <si>
    <t>F:\Données chgh\2020-CHG-CZA-BPA-3\plaque 2/@18  Testo +  BPA 2/D6_01- exclu.tif</t>
  </si>
  <si>
    <t xml:space="preserve">F:\Données chgh\2020-CHG-CZA-BPA-3\plaque 2/@18  Testo +  BPA 2/D6_02.tif </t>
  </si>
  <si>
    <t xml:space="preserve"> 27188.7775 </t>
  </si>
  <si>
    <t xml:space="preserve"> 71.8846 </t>
  </si>
  <si>
    <t xml:space="preserve">F:\Données chgh\2020-CHG-CZA-BPA-3\plaque 2/@18  Testo +  BPA 2/D6_03.tif </t>
  </si>
  <si>
    <t xml:space="preserve"> 22192.2719 </t>
  </si>
  <si>
    <t xml:space="preserve"> 71.8558 </t>
  </si>
  <si>
    <t xml:space="preserve">F:\Données chgh\2020-CHG-CZA-BPA-3\plaque 2/@18  Testo +  BPA 2/E6_01.tif </t>
  </si>
  <si>
    <t xml:space="preserve"> 40729.0916 </t>
  </si>
  <si>
    <t xml:space="preserve"> 79.3521 </t>
  </si>
  <si>
    <t>F:\Données chgh\2020-CHG-CZA-BPA-3\plaque 2/@18  Testo +  BPA 2/E6_02- exclu.tif</t>
  </si>
  <si>
    <t xml:space="preserve">F:\Données chgh\2020-CHG-CZA-BPA-3\plaque 2/@18  Testo +  BPA 2/E6_03.tif </t>
  </si>
  <si>
    <t xml:space="preserve"> 39907.1556 </t>
  </si>
  <si>
    <t xml:space="preserve"> 79.9545 </t>
  </si>
  <si>
    <t>F:\Données chgh\2020-CHG-CZA-BPA-3\plaque 2/@18  Testo +  BPA 2/F6_01- exclu.tif</t>
  </si>
  <si>
    <t xml:space="preserve">F:\Données chgh\2020-CHG-CZA-BPA-3\plaque 2/@18  Testo +  BPA 2/F6_02.tif </t>
  </si>
  <si>
    <t xml:space="preserve"> 5364.2139 </t>
  </si>
  <si>
    <t xml:space="preserve"> 65.1694 </t>
  </si>
  <si>
    <t xml:space="preserve">F:\Données chgh\2020-CHG-CZA-BPA-3\plaque 2/@18  Testo +  BPA 2/F6_03.tif </t>
  </si>
  <si>
    <t xml:space="preserve"> 4909.9861 </t>
  </si>
  <si>
    <t xml:space="preserve"> 64.8634 </t>
  </si>
  <si>
    <t xml:space="preserve">F:\Données chgh\2020-CHG-CZA-BPA-3\plaque 2/@18  Testo +  BPA 2/G6_01.tif </t>
  </si>
  <si>
    <t xml:space="preserve"> 46244.7147 </t>
  </si>
  <si>
    <t xml:space="preserve"> 82.9977 </t>
  </si>
  <si>
    <t xml:space="preserve">F:\Données chgh\2020-CHG-CZA-BPA-3\plaque 2/@18  Testo +  BPA 2/G6_02.tif </t>
  </si>
  <si>
    <t xml:space="preserve"> 47520.8785 </t>
  </si>
  <si>
    <t xml:space="preserve"> 82.0187 </t>
  </si>
  <si>
    <t xml:space="preserve">F:\Données chgh\2020-CHG-CZA-BPA-3\plaque 2/@18  Testo +  BPA 2/G6_03.tif </t>
  </si>
  <si>
    <t xml:space="preserve"> 42091.7749 </t>
  </si>
  <si>
    <t xml:space="preserve"> 82.5899 </t>
  </si>
  <si>
    <t xml:space="preserve">F:\Données chgh\2020-CHG-CZA-BPA-3\plaque 2/@18  Testo +  BPA 2/H6_01.tif </t>
  </si>
  <si>
    <t xml:space="preserve"> 40296.4937 </t>
  </si>
  <si>
    <t xml:space="preserve"> 88.2104 </t>
  </si>
  <si>
    <t xml:space="preserve">F:\Données chgh\2020-CHG-CZA-BPA-3\plaque 2/@18  Testo +  BPA 2/H6_02.tif </t>
  </si>
  <si>
    <t xml:space="preserve"> 39323.1484 </t>
  </si>
  <si>
    <t xml:space="preserve"> 88.3724 </t>
  </si>
  <si>
    <t xml:space="preserve">F:\Données chgh\2020-CHG-CZA-BPA-3\plaque 2/@18  Testo +  BPA 2/H6_03.tif </t>
  </si>
  <si>
    <t xml:space="preserve"> 90.9659 </t>
  </si>
  <si>
    <t xml:space="preserve">F:\Données chgh\2020-CHG-CZA-BPA-3\plaque 2/@18  Testo +  BPA 2/ </t>
  </si>
  <si>
    <t xml:space="preserve"> 75.3415 </t>
  </si>
  <si>
    <t xml:space="preserve"> 8.0527 </t>
  </si>
  <si>
    <t xml:space="preserve"> 2003115.71 </t>
  </si>
  <si>
    <t xml:space="preserve"> 1311410.75 </t>
  </si>
  <si>
    <t xml:space="preserve">F:\Données chgh\2020-CHG-CZA-BPA-3\plaque 2/@19 Testo + BPA 3/A7_01.tif </t>
  </si>
  <si>
    <t xml:space="preserve"> 37354.828 </t>
  </si>
  <si>
    <t xml:space="preserve"> 82.6427 </t>
  </si>
  <si>
    <t xml:space="preserve">F:\Données chgh\2020-CHG-CZA-BPA-3\plaque 2/@19 Testo + BPA 3/A7_02.tif </t>
  </si>
  <si>
    <t xml:space="preserve"> 37982.095 </t>
  </si>
  <si>
    <t xml:space="preserve"> 79.6777 </t>
  </si>
  <si>
    <t xml:space="preserve">F:\Données chgh\2020-CHG-CZA-BPA-3\plaque 2/@19 Testo + BPA 3/A7_03.tif </t>
  </si>
  <si>
    <t xml:space="preserve"> 80.6398 </t>
  </si>
  <si>
    <t xml:space="preserve">F:\Données chgh\2020-CHG-CZA-BPA-3\plaque 2/@19 Testo + BPA 3/B7_01.tif </t>
  </si>
  <si>
    <t xml:space="preserve"> 47261.3198 </t>
  </si>
  <si>
    <t xml:space="preserve"> 85.7606 </t>
  </si>
  <si>
    <t xml:space="preserve">F:\Données chgh\2020-CHG-CZA-BPA-3\plaque 2/@19 Testo + BPA 3/B7_02.tif </t>
  </si>
  <si>
    <t xml:space="preserve"> 43303.049 </t>
  </si>
  <si>
    <t xml:space="preserve"> 89.4461 </t>
  </si>
  <si>
    <t xml:space="preserve">F:\Données chgh\2020-CHG-CZA-BPA-3\plaque 2/@19 Testo + BPA 3/B7_03.tif </t>
  </si>
  <si>
    <t xml:space="preserve"> 52409.2347 </t>
  </si>
  <si>
    <t xml:space="preserve"> 84.5266 </t>
  </si>
  <si>
    <t xml:space="preserve">F:\Données chgh\2020-CHG-CZA-BPA-3\plaque 2/@19 Testo + BPA 3/C7_01.tif </t>
  </si>
  <si>
    <t xml:space="preserve"> 36965.4899 </t>
  </si>
  <si>
    <t xml:space="preserve"> 84.1363 </t>
  </si>
  <si>
    <t>F:\Données chgh\2020-CHG-CZA-BPA-3\plaque 2/@19 Testo + BPA 3/C7_02- exclu.tif</t>
  </si>
  <si>
    <t xml:space="preserve">F:\Données chgh\2020-CHG-CZA-BPA-3\plaque 2/@19 Testo + BPA 3/C7_03.tif </t>
  </si>
  <si>
    <t xml:space="preserve"> 37030.3796 </t>
  </si>
  <si>
    <t xml:space="preserve"> 82.2868 </t>
  </si>
  <si>
    <t xml:space="preserve">F:\Données chgh\2020-CHG-CZA-BPA-3\plaque 2/@19 Testo + BPA 3/D7_01.tif </t>
  </si>
  <si>
    <t xml:space="preserve"> 36057.0343 </t>
  </si>
  <si>
    <t xml:space="preserve"> 79.754 </t>
  </si>
  <si>
    <t xml:space="preserve">F:\Données chgh\2020-CHG-CZA-BPA-3\plaque 2/@19 Testo + BPA 3/D7_02.tif </t>
  </si>
  <si>
    <t xml:space="preserve"> 79.4997 </t>
  </si>
  <si>
    <t xml:space="preserve">F:\Données chgh\2020-CHG-CZA-BPA-3\plaque 2/@19 Testo + BPA 3/D7_03.tif </t>
  </si>
  <si>
    <t xml:space="preserve"> 37116.8992 </t>
  </si>
  <si>
    <t xml:space="preserve"> 79.9038 </t>
  </si>
  <si>
    <t xml:space="preserve">F:\Données chgh\2020-CHG-CZA-BPA-3\plaque 2/@19 Testo + BPA 3/E7_01.tif </t>
  </si>
  <si>
    <t xml:space="preserve"> 20483.5102 </t>
  </si>
  <si>
    <t xml:space="preserve"> 73.49 </t>
  </si>
  <si>
    <t xml:space="preserve">F:\Données chgh\2020-CHG-CZA-BPA-3\plaque 2/@19 Testo + BPA 3/E7_02.tif </t>
  </si>
  <si>
    <t xml:space="preserve"> 19899.5031 </t>
  </si>
  <si>
    <t xml:space="preserve"> 76.3141 </t>
  </si>
  <si>
    <t xml:space="preserve">F:\Données chgh\2020-CHG-CZA-BPA-3\plaque 2/@19 Testo + BPA 3/E7_03.tif </t>
  </si>
  <si>
    <t xml:space="preserve"> 76.2728 </t>
  </si>
  <si>
    <t xml:space="preserve">F:\Données chgh\2020-CHG-CZA-BPA-3\plaque 2/@19 Testo + BPA 3/F7_01.tif </t>
  </si>
  <si>
    <t xml:space="preserve"> 40015.3051 </t>
  </si>
  <si>
    <t xml:space="preserve"> 89.0416 </t>
  </si>
  <si>
    <t xml:space="preserve">F:\Données chgh\2020-CHG-CZA-BPA-3\plaque 2/@19 Testo + BPA 3/F7_02.tif </t>
  </si>
  <si>
    <t xml:space="preserve"> 39106.8495 </t>
  </si>
  <si>
    <t xml:space="preserve"> 88.2848 </t>
  </si>
  <si>
    <t xml:space="preserve">F:\Données chgh\2020-CHG-CZA-BPA-3\plaque 2/@19 Testo + BPA 3/F7_03.tif </t>
  </si>
  <si>
    <t xml:space="preserve"> 36835.7106 </t>
  </si>
  <si>
    <t xml:space="preserve"> 90.542 </t>
  </si>
  <si>
    <t xml:space="preserve">F:\Données chgh\2020-CHG-CZA-BPA-3\plaque 2/@19 Testo + BPA 3/G7_01.tif </t>
  </si>
  <si>
    <t xml:space="preserve"> 64478.7159 </t>
  </si>
  <si>
    <t xml:space="preserve"> 87.0876 </t>
  </si>
  <si>
    <t xml:space="preserve">F:\Données chgh\2020-CHG-CZA-BPA-3\plaque 2/@19 Testo + BPA 3/G7_02.tif </t>
  </si>
  <si>
    <t xml:space="preserve"> 64305.6767 </t>
  </si>
  <si>
    <t xml:space="preserve"> 86.0377 </t>
  </si>
  <si>
    <t xml:space="preserve">F:\Données chgh\2020-CHG-CZA-BPA-3\plaque 2/@19 Testo + BPA 3/G7_03.tif </t>
  </si>
  <si>
    <t xml:space="preserve"> 70167.3782 </t>
  </si>
  <si>
    <t xml:space="preserve"> 82.9846 </t>
  </si>
  <si>
    <t xml:space="preserve">F:\Données chgh\2020-CHG-CZA-BPA-3\plaque 2/@19 Testo + BPA 3/H7_01.tif </t>
  </si>
  <si>
    <t xml:space="preserve"> 102.8206 </t>
  </si>
  <si>
    <t xml:space="preserve">F:\Données chgh\2020-CHG-CZA-BPA-3\plaque 2/@19 Testo + BPA 3/H7_02.tif </t>
  </si>
  <si>
    <t xml:space="preserve"> 100.2715 </t>
  </si>
  <si>
    <t xml:space="preserve">F:\Données chgh\2020-CHG-CZA-BPA-3\plaque 2/@19 Testo + BPA 3/H7_03.tif </t>
  </si>
  <si>
    <t xml:space="preserve"> 36792.4508 </t>
  </si>
  <si>
    <t xml:space="preserve"> 97.0506 </t>
  </si>
  <si>
    <t xml:space="preserve">F:\Données chgh\2020-CHG-CZA-BPA-3\plaque 2/@19 Testo + BPA 3/ </t>
  </si>
  <si>
    <t xml:space="preserve"> 84.5099 </t>
  </si>
  <si>
    <t xml:space="preserve"> 7.9101 </t>
  </si>
  <si>
    <t xml:space="preserve"> 3290497.25 </t>
  </si>
  <si>
    <t xml:space="preserve"> 1320742.88 </t>
  </si>
  <si>
    <t xml:space="preserve">F:\Données chgh\2020-CHG-CZA-BPA-3\plaque 2/@20 Testo +  BPA 4/A8_01.tif </t>
  </si>
  <si>
    <t xml:space="preserve"> 43021.8604 </t>
  </si>
  <si>
    <t xml:space="preserve"> 83.6873 </t>
  </si>
  <si>
    <t xml:space="preserve">F:\Données chgh\2020-CHG-CZA-BPA-3\plaque 2/@20 Testo +  BPA 4/A8_02.tif </t>
  </si>
  <si>
    <t xml:space="preserve"> 49640.6082 </t>
  </si>
  <si>
    <t xml:space="preserve"> 81.2471 </t>
  </si>
  <si>
    <t xml:space="preserve">F:\Données chgh\2020-CHG-CZA-BPA-3\plaque 2/@20 Testo +  BPA 4/A8_03.tif </t>
  </si>
  <si>
    <t xml:space="preserve"> 46266.3446 </t>
  </si>
  <si>
    <t xml:space="preserve"> 81.9271 </t>
  </si>
  <si>
    <t>F:\Données chgh\2020-CHG-CZA-BPA-3\plaque 2/@20 Testo +  BPA 4/B8_01- exclu.tif</t>
  </si>
  <si>
    <t xml:space="preserve">F:\Données chgh\2020-CHG-CZA-BPA-3\plaque 2/@20 Testo +  BPA 4/B8_02.tif </t>
  </si>
  <si>
    <t xml:space="preserve"> 61472.1605 </t>
  </si>
  <si>
    <t xml:space="preserve"> 86.9127 </t>
  </si>
  <si>
    <t xml:space="preserve">F:\Données chgh\2020-CHG-CZA-BPA-3\plaque 2/@20 Testo +  BPA 4/B8_03.tif </t>
  </si>
  <si>
    <t xml:space="preserve"> 65516.9508 </t>
  </si>
  <si>
    <t xml:space="preserve"> 83.7455 </t>
  </si>
  <si>
    <t>F:\Données chgh\2020-CHG-CZA-BPA-3\plaque 2/@20 Testo +  BPA 4/C8_01- exclu.tif</t>
  </si>
  <si>
    <t>F:\Données chgh\2020-CHG-CZA-BPA-3\plaque 2/@20 Testo +  BPA 4/C8_02- exclu.tif</t>
  </si>
  <si>
    <t xml:space="preserve">F:\Données chgh\2020-CHG-CZA-BPA-3\plaque 2/@20 Testo +  BPA 4/C8_03.tif </t>
  </si>
  <si>
    <t xml:space="preserve"> 66.1909 </t>
  </si>
  <si>
    <t xml:space="preserve">F:\Données chgh\2020-CHG-CZA-BPA-3\plaque 2/@20 Testo +  BPA 4/D8_01.tif </t>
  </si>
  <si>
    <t xml:space="preserve"> 62683.4346 </t>
  </si>
  <si>
    <t xml:space="preserve"> 89.4182 </t>
  </si>
  <si>
    <t xml:space="preserve">F:\Données chgh\2020-CHG-CZA-BPA-3\plaque 2/@20 Testo +  BPA 4/D8_02.tif </t>
  </si>
  <si>
    <t xml:space="preserve"> 89.0905 </t>
  </si>
  <si>
    <t xml:space="preserve">F:\Données chgh\2020-CHG-CZA-BPA-3\plaque 2/@20 Testo +  BPA 4/D8_03.tif </t>
  </si>
  <si>
    <t xml:space="preserve"> 56994.7723 </t>
  </si>
  <si>
    <t xml:space="preserve"> 89.8182 </t>
  </si>
  <si>
    <t xml:space="preserve">F:\Données chgh\2020-CHG-CZA-BPA-3\plaque 2/@20 Testo +  BPA 4/E8_01.tif </t>
  </si>
  <si>
    <t xml:space="preserve"> 59503.8401 </t>
  </si>
  <si>
    <t xml:space="preserve"> 84.2712 </t>
  </si>
  <si>
    <t xml:space="preserve">F:\Données chgh\2020-CHG-CZA-BPA-3\plaque 2/@20 Testo +  BPA 4/E8_02.tif </t>
  </si>
  <si>
    <t xml:space="preserve"> 73584.9015 </t>
  </si>
  <si>
    <t xml:space="preserve"> 85.0344 </t>
  </si>
  <si>
    <t xml:space="preserve">F:\Données chgh\2020-CHG-CZA-BPA-3\plaque 2/@20 Testo +  BPA 4/E8_03.tif </t>
  </si>
  <si>
    <t xml:space="preserve"> 70556.7163 </t>
  </si>
  <si>
    <t xml:space="preserve"> 83.5294 </t>
  </si>
  <si>
    <t xml:space="preserve">F:\Données chgh\2020-CHG-CZA-BPA-3\plaque 2/@20 Testo +  BPA 4/F8_01.tif </t>
  </si>
  <si>
    <t xml:space="preserve"> 67679.9403 </t>
  </si>
  <si>
    <t xml:space="preserve"> 84.0313 </t>
  </si>
  <si>
    <t xml:space="preserve">F:\Données chgh\2020-CHG-CZA-BPA-3\plaque 2/@20 Testo +  BPA 4/F8_02.tif </t>
  </si>
  <si>
    <t xml:space="preserve"> 69388.702 </t>
  </si>
  <si>
    <t xml:space="preserve"> 85.8317 </t>
  </si>
  <si>
    <t>F:\Données chgh\2020-CHG-CZA-BPA-3\plaque 2/@20 Testo +  BPA 4/F8_03- exclu.tif</t>
  </si>
  <si>
    <t xml:space="preserve">F:\Données chgh\2020-CHG-CZA-BPA-3\plaque 2/@20 Testo +  BPA 4/G8_01.tif </t>
  </si>
  <si>
    <t xml:space="preserve"> 68177.4279 </t>
  </si>
  <si>
    <t xml:space="preserve"> 87.5631 </t>
  </si>
  <si>
    <t>F:\Données chgh\2020-CHG-CZA-BPA-3\plaque 2/@20 Testo +  BPA 4/G8_02- exclu.tif</t>
  </si>
  <si>
    <t xml:space="preserve">F:\Données chgh\2020-CHG-CZA-BPA-3\plaque 2/@20 Testo +  BPA 4/G8_03.tif </t>
  </si>
  <si>
    <t xml:space="preserve"> 71832.8801 </t>
  </si>
  <si>
    <t xml:space="preserve"> 87.5191 </t>
  </si>
  <si>
    <t xml:space="preserve">F:\Données chgh\2020-CHG-CZA-BPA-3\plaque 2/@20 Testo +  BPA 4/H8_01.tif </t>
  </si>
  <si>
    <t xml:space="preserve"> 54896.6726 </t>
  </si>
  <si>
    <t xml:space="preserve"> 93.4732 </t>
  </si>
  <si>
    <t xml:space="preserve">F:\Données chgh\2020-CHG-CZA-BPA-3\plaque 2/@20 Testo +  BPA 4/H8_02.tif </t>
  </si>
  <si>
    <t xml:space="preserve"> 58790.0536 </t>
  </si>
  <si>
    <t xml:space="preserve"> 91.0758 </t>
  </si>
  <si>
    <t xml:space="preserve">F:\Données chgh\2020-CHG-CZA-BPA-3\plaque 2/@20 Testo +  BPA 4/H8_03.tif </t>
  </si>
  <si>
    <t xml:space="preserve"> 53793.5479 </t>
  </si>
  <si>
    <t xml:space="preserve"> 92.8468 </t>
  </si>
  <si>
    <t xml:space="preserve">F:\Données chgh\2020-CHG-CZA-BPA-3\plaque 2/@20 Testo +  BPA 4/ </t>
  </si>
  <si>
    <t xml:space="preserve"> 83.2693 </t>
  </si>
  <si>
    <t xml:space="preserve"> 8.3203 </t>
  </si>
  <si>
    <t xml:space="preserve"> 4578694.46 </t>
  </si>
  <si>
    <t xml:space="preserve"> 1847066.52 </t>
  </si>
  <si>
    <t xml:space="preserve">F:\Données chgh\2020-CHG-CZA-BPA-3\plaque 2/@21 Testo +  BPA 5/A9_01.tif </t>
  </si>
  <si>
    <t xml:space="preserve"> 66447.0363 </t>
  </si>
  <si>
    <t xml:space="preserve"> 86.0117 </t>
  </si>
  <si>
    <t xml:space="preserve">F:\Données chgh\2020-CHG-CZA-BPA-3\plaque 2/@21 Testo +  BPA 5/A9_02.tif </t>
  </si>
  <si>
    <t xml:space="preserve"> 64889.6839 </t>
  </si>
  <si>
    <t xml:space="preserve"> 87.4253 </t>
  </si>
  <si>
    <t xml:space="preserve">F:\Données chgh\2020-CHG-CZA-BPA-3\plaque 2/@21 Testo +  BPA 5/A9_03.tif </t>
  </si>
  <si>
    <t xml:space="preserve"> 64521.9757 </t>
  </si>
  <si>
    <t xml:space="preserve"> 84.5639 </t>
  </si>
  <si>
    <t>F:\Données chgh\2020-CHG-CZA-BPA-3\plaque 2/@21 Testo +  BPA 5/B9_01- exclu.tif</t>
  </si>
  <si>
    <t xml:space="preserve">F:\Données chgh\2020-CHG-CZA-BPA-3\plaque 2/@21 Testo +  BPA 5/B9_02.tif </t>
  </si>
  <si>
    <t xml:space="preserve"> 76.6807 </t>
  </si>
  <si>
    <t xml:space="preserve">F:\Données chgh\2020-CHG-CZA-BPA-3\plaque 2/@21 Testo +  BPA 5/B9_03.tif </t>
  </si>
  <si>
    <t xml:space="preserve"> 31795.9451 </t>
  </si>
  <si>
    <t xml:space="preserve"> 74.4041 </t>
  </si>
  <si>
    <t>F:\Données chgh\2020-CHG-CZA-BPA-3\plaque 2/@21 Testo +  BPA 5/C9_01- exclu.tif</t>
  </si>
  <si>
    <t xml:space="preserve">F:\Données chgh\2020-CHG-CZA-BPA-3\plaque 2/@21 Testo +  BPA 5/C9_02.tif </t>
  </si>
  <si>
    <t xml:space="preserve"> 19207.3464 </t>
  </si>
  <si>
    <t xml:space="preserve"> 70.4358 </t>
  </si>
  <si>
    <t xml:space="preserve">F:\Données chgh\2020-CHG-CZA-BPA-3\plaque 2/@21 Testo +  BPA 5/C9_03.tif </t>
  </si>
  <si>
    <t xml:space="preserve"> 70.8999 </t>
  </si>
  <si>
    <t>F:\Données chgh\2020-CHG-CZA-BPA-3\plaque 2/@21 Testo +  BPA 5/D9_01- exclu.tif</t>
  </si>
  <si>
    <t xml:space="preserve">F:\Données chgh\2020-CHG-CZA-BPA-3\plaque 2/@21 Testo +  BPA 5/D9_02.tif </t>
  </si>
  <si>
    <t xml:space="preserve"> 56778.4734 </t>
  </si>
  <si>
    <t xml:space="preserve"> 84.8373 </t>
  </si>
  <si>
    <t xml:space="preserve">F:\Données chgh\2020-CHG-CZA-BPA-3\plaque 2/@21 Testo +  BPA 5/D9_03.tif </t>
  </si>
  <si>
    <t xml:space="preserve"> 55177.8612 </t>
  </si>
  <si>
    <t xml:space="preserve"> 85.1866 </t>
  </si>
  <si>
    <t>F:\Données chgh\2020-CHG-CZA-BPA-3\plaque 2/@21 Testo +  BPA 5/E9_01- exclu.tif</t>
  </si>
  <si>
    <t xml:space="preserve">F:\Données chgh\2020-CHG-CZA-BPA-3\plaque 2/@21 Testo +  BPA 5/E9_02.tif </t>
  </si>
  <si>
    <t xml:space="preserve"> 34067.084 </t>
  </si>
  <si>
    <t xml:space="preserve"> 83.214 </t>
  </si>
  <si>
    <t xml:space="preserve">F:\Données chgh\2020-CHG-CZA-BPA-3\plaque 2/@21 Testo +  BPA 5/E9_03.tif </t>
  </si>
  <si>
    <t xml:space="preserve"> 39020.3299 </t>
  </si>
  <si>
    <t xml:space="preserve"> 82.4191 </t>
  </si>
  <si>
    <t>F:\Données chgh\2020-CHG-CZA-BPA-3\plaque 2/@21 Testo +  BPA 5/F9_01- exclu.tif</t>
  </si>
  <si>
    <t xml:space="preserve">F:\Données chgh\2020-CHG-CZA-BPA-3\plaque 2/@21 Testo +  BPA 5/F9_02.tif </t>
  </si>
  <si>
    <t xml:space="preserve"> 60650.2245 </t>
  </si>
  <si>
    <t xml:space="preserve"> 87.4868 </t>
  </si>
  <si>
    <t xml:space="preserve">F:\Données chgh\2020-CHG-CZA-BPA-3\plaque 2/@21 Testo +  BPA 5/F9_03.tif </t>
  </si>
  <si>
    <t xml:space="preserve"> 61364.0111 </t>
  </si>
  <si>
    <t xml:space="preserve"> 88.4808 </t>
  </si>
  <si>
    <t xml:space="preserve">F:\Données chgh\2020-CHG-CZA-BPA-3\plaque 2/@21 Testo +  BPA 5/G9_01.tif </t>
  </si>
  <si>
    <t xml:space="preserve"> 62.8788 </t>
  </si>
  <si>
    <t xml:space="preserve">F:\Données chgh\2020-CHG-CZA-BPA-3\plaque 2/@21 Testo +  BPA 5/G9_02.tif </t>
  </si>
  <si>
    <t xml:space="preserve"> 1773.6514 </t>
  </si>
  <si>
    <t xml:space="preserve"> 63.2927 </t>
  </si>
  <si>
    <t xml:space="preserve">F:\Données chgh\2020-CHG-CZA-BPA-3\plaque 2/@21 Testo +  BPA 5/G9_03.tif </t>
  </si>
  <si>
    <t xml:space="preserve"> 62.7213 </t>
  </si>
  <si>
    <t xml:space="preserve">F:\Données chgh\2020-CHG-CZA-BPA-3\plaque 2/@21 Testo +  BPA 5/H9_01.tif </t>
  </si>
  <si>
    <t xml:space="preserve"> 72546.6666 </t>
  </si>
  <si>
    <t xml:space="preserve"> 87.1527 </t>
  </si>
  <si>
    <t xml:space="preserve">F:\Données chgh\2020-CHG-CZA-BPA-3\plaque 2/@21 Testo +  BPA 5/H9_02.tif </t>
  </si>
  <si>
    <t xml:space="preserve"> 72308.7377 </t>
  </si>
  <si>
    <t xml:space="preserve"> 87.5471 </t>
  </si>
  <si>
    <t xml:space="preserve">F:\Données chgh\2020-CHG-CZA-BPA-3\plaque 2/@21 Testo +  BPA 5/H9_03.tif </t>
  </si>
  <si>
    <t xml:space="preserve"> 76353.528 </t>
  </si>
  <si>
    <t xml:space="preserve"> 84.8598 </t>
  </si>
  <si>
    <t xml:space="preserve">F:\Données chgh\2020-CHG-CZA-BPA-3\plaque 2/@21 Testo +  BPA 5/ </t>
  </si>
  <si>
    <t xml:space="preserve"> 77.0935 </t>
  </si>
  <si>
    <t xml:space="preserve"> 9.5411 </t>
  </si>
  <si>
    <t xml:space="preserve"> 3039818.46 </t>
  </si>
  <si>
    <t xml:space="preserve"> 2410515.74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</si>
</sst>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29">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2"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5"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7"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1" xfId="0" applyFont="1" applyFill="1" applyBorder="1"/>
    <xf numFmtId="0" fontId="8" fillId="9" borderId="31"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0" xfId="0" applyNumberFormat="1" applyFont="1" applyFill="1" applyBorder="1" applyAlignment="1">
      <alignment horizontal="center" vertical="center" wrapText="1"/>
    </xf>
    <xf numFmtId="0" fontId="3" fillId="0" borderId="24"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2"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5"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1" xfId="0" applyNumberFormat="1" applyFont="1" applyFill="1" applyBorder="1" applyAlignment="1">
      <alignment horizontal="center"/>
    </xf>
    <xf numFmtId="2" fontId="8" fillId="15" borderId="31"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1" xfId="0" applyNumberFormat="1" applyFont="1" applyFill="1" applyBorder="1" applyAlignment="1">
      <alignment horizontal="center"/>
    </xf>
    <xf numFmtId="1" fontId="8" fillId="9" borderId="31"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1" xfId="0" applyNumberFormat="1" applyFont="1" applyFill="1" applyBorder="1" applyAlignment="1">
      <alignment horizontal="center"/>
    </xf>
    <xf numFmtId="0" fontId="8" fillId="16" borderId="31" xfId="7" applyNumberFormat="1" applyFont="1" applyFill="1" applyBorder="1" applyAlignment="1">
      <alignment horizontal="center"/>
    </xf>
    <xf numFmtId="0" fontId="8" fillId="9" borderId="31"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1" xfId="0" applyNumberFormat="1" applyFont="1" applyFill="1" applyBorder="1" applyAlignment="1">
      <alignment horizontal="center"/>
    </xf>
    <xf numFmtId="0" fontId="8" fillId="15" borderId="31" xfId="7" applyNumberFormat="1" applyFont="1" applyFill="1" applyBorder="1" applyAlignment="1">
      <alignment horizontal="center"/>
    </xf>
    <xf numFmtId="0" fontId="8" fillId="15" borderId="31" xfId="0" applyNumberFormat="1" applyFont="1" applyFill="1" applyBorder="1"/>
    <xf numFmtId="0" fontId="8" fillId="17" borderId="31" xfId="0" applyNumberFormat="1" applyFont="1" applyFill="1" applyBorder="1" applyAlignment="1">
      <alignment horizontal="center"/>
    </xf>
    <xf numFmtId="0" fontId="8" fillId="17" borderId="31" xfId="7" applyNumberFormat="1" applyFont="1" applyFill="1" applyBorder="1" applyAlignment="1">
      <alignment horizontal="center"/>
    </xf>
    <xf numFmtId="0" fontId="8" fillId="9" borderId="31" xfId="0" applyNumberFormat="1" applyFont="1" applyFill="1" applyBorder="1" applyAlignment="1">
      <alignment horizontal="center"/>
    </xf>
    <xf numFmtId="0" fontId="8" fillId="9" borderId="31"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0" xfId="0" applyFont="1" applyFill="1" applyBorder="1" applyAlignment="1">
      <alignment horizontal="center" vertical="center" wrapText="1"/>
    </xf>
    <xf numFmtId="13" fontId="16" fillId="18" borderId="30"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1"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5"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0" xfId="0" applyFont="1" applyBorder="1" applyAlignment="1">
      <alignment vertical="center"/>
    </xf>
    <xf numFmtId="0" fontId="3" fillId="0" borderId="21" xfId="0" applyNumberFormat="1" applyFont="1" applyBorder="1" applyAlignment="1">
      <alignment horizontal="center" vertical="center"/>
    </xf>
    <xf numFmtId="0" fontId="3" fillId="14" borderId="33" xfId="0" applyNumberFormat="1" applyFont="1" applyFill="1" applyBorder="1" applyAlignment="1">
      <alignment vertical="center"/>
    </xf>
    <xf numFmtId="0" fontId="3" fillId="14" borderId="28" xfId="0" applyFont="1" applyFill="1" applyBorder="1" applyAlignment="1">
      <alignment vertical="center"/>
    </xf>
    <xf numFmtId="0" fontId="3" fillId="14" borderId="34" xfId="0" applyNumberFormat="1" applyFont="1" applyFill="1" applyBorder="1" applyAlignment="1">
      <alignment vertical="center"/>
    </xf>
    <xf numFmtId="0" fontId="3" fillId="14" borderId="23" xfId="0" applyFont="1" applyFill="1" applyBorder="1" applyAlignment="1">
      <alignment vertical="center"/>
    </xf>
    <xf numFmtId="0" fontId="3" fillId="14" borderId="35" xfId="0" applyNumberFormat="1" applyFont="1" applyFill="1" applyBorder="1" applyAlignment="1">
      <alignment vertical="center"/>
    </xf>
    <xf numFmtId="0" fontId="3" fillId="14" borderId="36"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7" xfId="0" applyNumberFormat="1" applyFont="1" applyFill="1" applyBorder="1" applyAlignment="1">
      <alignment horizontal="center" vertical="center"/>
    </xf>
    <xf numFmtId="0" fontId="3" fillId="14" borderId="37" xfId="0" applyFont="1" applyFill="1" applyBorder="1" applyAlignment="1">
      <alignment horizontal="center" vertical="center"/>
    </xf>
    <xf numFmtId="0" fontId="3" fillId="14" borderId="32"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2" xfId="0" applyFont="1" applyFill="1" applyBorder="1" applyAlignment="1">
      <alignment horizontal="left" vertical="top" wrapText="1"/>
    </xf>
    <xf numFmtId="0" fontId="0" fillId="20" borderId="31" xfId="0" applyFont="1" applyFill="1" applyBorder="1" applyAlignment="1">
      <alignment horizontal="left" vertical="top" wrapText="1"/>
    </xf>
    <xf numFmtId="0" fontId="0" fillId="20" borderId="40" xfId="0" applyFont="1" applyFill="1" applyBorder="1" applyAlignment="1">
      <alignment horizontal="left" vertical="top" wrapText="1"/>
    </xf>
    <xf numFmtId="0" fontId="0" fillId="20" borderId="43" xfId="0" applyFont="1" applyFill="1" applyBorder="1" applyAlignment="1">
      <alignment horizontal="left" vertical="top" wrapText="1"/>
    </xf>
    <xf numFmtId="0" fontId="1" fillId="0" borderId="4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40"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7" xfId="0" applyFont="1" applyFill="1" applyBorder="1" applyAlignment="1">
      <alignment horizontal="center"/>
    </xf>
    <xf numFmtId="0" fontId="3" fillId="14" borderId="44" xfId="0" applyNumberFormat="1" applyFont="1" applyFill="1" applyBorder="1" applyAlignment="1">
      <alignment vertical="center"/>
    </xf>
    <xf numFmtId="0" fontId="3" fillId="14" borderId="24"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9"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19" xfId="0" applyFont="1" applyBorder="1" applyAlignment="1">
      <alignment horizontal="left" vertical="center"/>
    </xf>
    <xf numFmtId="14" fontId="3" fillId="0" borderId="25" xfId="0" applyNumberFormat="1"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BE79F7"/>
      <color rgb="FFEAC6FE"/>
      <color rgb="FF69FDF9"/>
      <color rgb="FFE50DAC"/>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A282-4BBB-871E-0E3F0CA388F2}"/>
              </c:ext>
            </c:extLst>
          </c:dPt>
          <c:dPt>
            <c:idx val="1"/>
            <c:invertIfNegative val="0"/>
            <c:bubble3D val="0"/>
            <c:spPr>
              <a:solidFill>
                <a:srgbClr val="BE79F7"/>
              </a:solidFill>
            </c:spPr>
            <c:extLst>
              <c:ext xmlns:c16="http://schemas.microsoft.com/office/drawing/2014/chart" uri="{C3380CC4-5D6E-409C-BE32-E72D297353CC}">
                <c16:uniqueId val="{00000002-A282-4BBB-871E-0E3F0CA388F2}"/>
              </c:ext>
            </c:extLst>
          </c:dPt>
          <c:dPt>
            <c:idx val="2"/>
            <c:invertIfNegative val="0"/>
            <c:bubble3D val="0"/>
            <c:spPr>
              <a:solidFill>
                <a:srgbClr val="BE79F7"/>
              </a:solidFill>
            </c:spPr>
            <c:extLst>
              <c:ext xmlns:c16="http://schemas.microsoft.com/office/drawing/2014/chart" uri="{C3380CC4-5D6E-409C-BE32-E72D297353CC}">
                <c16:uniqueId val="{00000003-A282-4BBB-871E-0E3F0CA388F2}"/>
              </c:ext>
            </c:extLst>
          </c:dPt>
          <c:dPt>
            <c:idx val="3"/>
            <c:invertIfNegative val="0"/>
            <c:bubble3D val="0"/>
            <c:spPr>
              <a:solidFill>
                <a:srgbClr val="BE79F7"/>
              </a:solidFill>
            </c:spPr>
            <c:extLst>
              <c:ext xmlns:c16="http://schemas.microsoft.com/office/drawing/2014/chart" uri="{C3380CC4-5D6E-409C-BE32-E72D297353CC}">
                <c16:uniqueId val="{00000004-A282-4BBB-871E-0E3F0CA388F2}"/>
              </c:ext>
            </c:extLst>
          </c:dPt>
          <c:dPt>
            <c:idx val="4"/>
            <c:invertIfNegative val="0"/>
            <c:bubble3D val="0"/>
            <c:spPr>
              <a:solidFill>
                <a:srgbClr val="BE79F7"/>
              </a:solidFill>
            </c:spPr>
            <c:extLst>
              <c:ext xmlns:c16="http://schemas.microsoft.com/office/drawing/2014/chart" uri="{C3380CC4-5D6E-409C-BE32-E72D297353CC}">
                <c16:uniqueId val="{00000005-A282-4BBB-871E-0E3F0CA388F2}"/>
              </c:ext>
            </c:extLst>
          </c:dPt>
          <c:dPt>
            <c:idx val="5"/>
            <c:invertIfNegative val="0"/>
            <c:bubble3D val="0"/>
            <c:spPr>
              <a:solidFill>
                <a:srgbClr val="BE79F7"/>
              </a:solidFill>
            </c:spPr>
            <c:extLst>
              <c:ext xmlns:c16="http://schemas.microsoft.com/office/drawing/2014/chart" uri="{C3380CC4-5D6E-409C-BE32-E72D297353CC}">
                <c16:uniqueId val="{00000006-A282-4BBB-871E-0E3F0CA388F2}"/>
              </c:ext>
            </c:extLst>
          </c:dPt>
          <c:dPt>
            <c:idx val="6"/>
            <c:invertIfNegative val="0"/>
            <c:bubble3D val="0"/>
            <c:spPr>
              <a:solidFill>
                <a:srgbClr val="BE79F7"/>
              </a:solidFill>
            </c:spPr>
            <c:extLst>
              <c:ext xmlns:c16="http://schemas.microsoft.com/office/drawing/2014/chart" uri="{C3380CC4-5D6E-409C-BE32-E72D297353CC}">
                <c16:uniqueId val="{00000007-A282-4BBB-871E-0E3F0CA388F2}"/>
              </c:ext>
            </c:extLst>
          </c:dPt>
          <c:dPt>
            <c:idx val="7"/>
            <c:invertIfNegative val="0"/>
            <c:bubble3D val="0"/>
            <c:spPr>
              <a:solidFill>
                <a:srgbClr val="69FDF9"/>
              </a:solidFill>
            </c:spPr>
            <c:extLst>
              <c:ext xmlns:c16="http://schemas.microsoft.com/office/drawing/2014/chart" uri="{C3380CC4-5D6E-409C-BE32-E72D297353CC}">
                <c16:uniqueId val="{0000000B-A282-4BBB-871E-0E3F0CA388F2}"/>
              </c:ext>
            </c:extLst>
          </c:dPt>
          <c:dPt>
            <c:idx val="8"/>
            <c:invertIfNegative val="0"/>
            <c:bubble3D val="0"/>
            <c:spPr>
              <a:solidFill>
                <a:srgbClr val="69FDF9"/>
              </a:solidFill>
            </c:spPr>
            <c:extLst>
              <c:ext xmlns:c16="http://schemas.microsoft.com/office/drawing/2014/chart" uri="{C3380CC4-5D6E-409C-BE32-E72D297353CC}">
                <c16:uniqueId val="{0000000C-A282-4BBB-871E-0E3F0CA388F2}"/>
              </c:ext>
            </c:extLst>
          </c:dPt>
          <c:dPt>
            <c:idx val="9"/>
            <c:invertIfNegative val="0"/>
            <c:bubble3D val="0"/>
            <c:spPr>
              <a:solidFill>
                <a:srgbClr val="69FDF9"/>
              </a:solidFill>
            </c:spPr>
            <c:extLst>
              <c:ext xmlns:c16="http://schemas.microsoft.com/office/drawing/2014/chart" uri="{C3380CC4-5D6E-409C-BE32-E72D297353CC}">
                <c16:uniqueId val="{0000000D-A282-4BBB-871E-0E3F0CA388F2}"/>
              </c:ext>
            </c:extLst>
          </c:dPt>
          <c:dPt>
            <c:idx val="10"/>
            <c:invertIfNegative val="0"/>
            <c:bubble3D val="0"/>
            <c:spPr>
              <a:solidFill>
                <a:srgbClr val="69FDF9"/>
              </a:solidFill>
            </c:spPr>
            <c:extLst>
              <c:ext xmlns:c16="http://schemas.microsoft.com/office/drawing/2014/chart" uri="{C3380CC4-5D6E-409C-BE32-E72D297353CC}">
                <c16:uniqueId val="{0000000E-A282-4BBB-871E-0E3F0CA388F2}"/>
              </c:ext>
            </c:extLst>
          </c:dPt>
          <c:dPt>
            <c:idx val="11"/>
            <c:invertIfNegative val="0"/>
            <c:bubble3D val="0"/>
            <c:spPr>
              <a:solidFill>
                <a:srgbClr val="69FDF9"/>
              </a:solidFill>
            </c:spPr>
            <c:extLst>
              <c:ext xmlns:c16="http://schemas.microsoft.com/office/drawing/2014/chart" uri="{C3380CC4-5D6E-409C-BE32-E72D297353CC}">
                <c16:uniqueId val="{0000000F-A282-4BBB-871E-0E3F0CA388F2}"/>
              </c:ext>
            </c:extLst>
          </c:dPt>
          <c:dPt>
            <c:idx val="13"/>
            <c:invertIfNegative val="0"/>
            <c:bubble3D val="0"/>
            <c:spPr>
              <a:solidFill>
                <a:srgbClr val="92D050"/>
              </a:solidFill>
            </c:spPr>
            <c:extLst>
              <c:ext xmlns:c16="http://schemas.microsoft.com/office/drawing/2014/chart" uri="{C3380CC4-5D6E-409C-BE32-E72D297353CC}">
                <c16:uniqueId val="{00000008-A282-4BBB-871E-0E3F0CA388F2}"/>
              </c:ext>
            </c:extLst>
          </c:dPt>
          <c:dPt>
            <c:idx val="14"/>
            <c:invertIfNegative val="0"/>
            <c:bubble3D val="0"/>
            <c:spPr>
              <a:solidFill>
                <a:srgbClr val="E50DAC"/>
              </a:solidFill>
            </c:spPr>
            <c:extLst>
              <c:ext xmlns:c16="http://schemas.microsoft.com/office/drawing/2014/chart" uri="{C3380CC4-5D6E-409C-BE32-E72D297353CC}">
                <c16:uniqueId val="{00000009-A282-4BBB-871E-0E3F0CA388F2}"/>
              </c:ext>
            </c:extLst>
          </c:dPt>
          <c:dPt>
            <c:idx val="15"/>
            <c:invertIfNegative val="0"/>
            <c:bubble3D val="0"/>
            <c:spPr>
              <a:solidFill>
                <a:srgbClr val="C00000"/>
              </a:solidFill>
            </c:spPr>
            <c:extLst>
              <c:ext xmlns:c16="http://schemas.microsoft.com/office/drawing/2014/chart" uri="{C3380CC4-5D6E-409C-BE32-E72D297353CC}">
                <c16:uniqueId val="{0000000A-A282-4BBB-871E-0E3F0CA388F2}"/>
              </c:ext>
            </c:extLst>
          </c:dPt>
          <c:dPt>
            <c:idx val="16"/>
            <c:invertIfNegative val="0"/>
            <c:bubble3D val="0"/>
            <c:spPr>
              <a:solidFill>
                <a:srgbClr val="0070C0"/>
              </a:solidFill>
            </c:spPr>
            <c:extLst>
              <c:ext xmlns:c16="http://schemas.microsoft.com/office/drawing/2014/chart" uri="{C3380CC4-5D6E-409C-BE32-E72D297353CC}">
                <c16:uniqueId val="{00000010-A282-4BBB-871E-0E3F0CA388F2}"/>
              </c:ext>
            </c:extLst>
          </c:dPt>
          <c:dPt>
            <c:idx val="17"/>
            <c:invertIfNegative val="0"/>
            <c:bubble3D val="0"/>
            <c:spPr>
              <a:solidFill>
                <a:srgbClr val="0070C0"/>
              </a:solidFill>
            </c:spPr>
            <c:extLst>
              <c:ext xmlns:c16="http://schemas.microsoft.com/office/drawing/2014/chart" uri="{C3380CC4-5D6E-409C-BE32-E72D297353CC}">
                <c16:uniqueId val="{00000011-A282-4BBB-871E-0E3F0CA388F2}"/>
              </c:ext>
            </c:extLst>
          </c:dPt>
          <c:dPt>
            <c:idx val="18"/>
            <c:invertIfNegative val="0"/>
            <c:bubble3D val="0"/>
            <c:spPr>
              <a:solidFill>
                <a:srgbClr val="0070C0"/>
              </a:solidFill>
            </c:spPr>
            <c:extLst>
              <c:ext xmlns:c16="http://schemas.microsoft.com/office/drawing/2014/chart" uri="{C3380CC4-5D6E-409C-BE32-E72D297353CC}">
                <c16:uniqueId val="{00000012-A282-4BBB-871E-0E3F0CA388F2}"/>
              </c:ext>
            </c:extLst>
          </c:dPt>
          <c:dPt>
            <c:idx val="19"/>
            <c:invertIfNegative val="0"/>
            <c:bubble3D val="0"/>
            <c:spPr>
              <a:solidFill>
                <a:srgbClr val="0070C0"/>
              </a:solidFill>
            </c:spPr>
            <c:extLst>
              <c:ext xmlns:c16="http://schemas.microsoft.com/office/drawing/2014/chart" uri="{C3380CC4-5D6E-409C-BE32-E72D297353CC}">
                <c16:uniqueId val="{00000013-A282-4BBB-871E-0E3F0CA388F2}"/>
              </c:ext>
            </c:extLst>
          </c:dPt>
          <c:dPt>
            <c:idx val="20"/>
            <c:invertIfNegative val="0"/>
            <c:bubble3D val="0"/>
            <c:spPr>
              <a:solidFill>
                <a:srgbClr val="0070C0"/>
              </a:solidFill>
            </c:spPr>
            <c:extLst>
              <c:ext xmlns:c16="http://schemas.microsoft.com/office/drawing/2014/chart" uri="{C3380CC4-5D6E-409C-BE32-E72D297353CC}">
                <c16:uniqueId val="{00000014-A282-4BBB-871E-0E3F0CA388F2}"/>
              </c:ext>
            </c:extLst>
          </c:dPt>
          <c:dLbls>
            <c:dLbl>
              <c:idx val="0"/>
              <c:tx>
                <c:rich>
                  <a:bodyPr/>
                  <a:lstStyle/>
                  <a:p>
                    <a:fld id="{76C09F39-572F-4FD7-9226-3D47850232C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282-4BBB-871E-0E3F0CA388F2}"/>
                </c:ext>
              </c:extLst>
            </c:dLbl>
            <c:dLbl>
              <c:idx val="1"/>
              <c:tx>
                <c:rich>
                  <a:bodyPr/>
                  <a:lstStyle/>
                  <a:p>
                    <a:fld id="{08B55B6B-BCBA-4118-B3C5-4BAC01C1B86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282-4BBB-871E-0E3F0CA388F2}"/>
                </c:ext>
              </c:extLst>
            </c:dLbl>
            <c:dLbl>
              <c:idx val="2"/>
              <c:tx>
                <c:rich>
                  <a:bodyPr/>
                  <a:lstStyle/>
                  <a:p>
                    <a:fld id="{F59DF3A2-5323-4D4E-A282-AC2479E1622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282-4BBB-871E-0E3F0CA388F2}"/>
                </c:ext>
              </c:extLst>
            </c:dLbl>
            <c:dLbl>
              <c:idx val="3"/>
              <c:tx>
                <c:rich>
                  <a:bodyPr/>
                  <a:lstStyle/>
                  <a:p>
                    <a:fld id="{E2E8D14C-BC42-4497-AFC8-936E6AD199F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282-4BBB-871E-0E3F0CA388F2}"/>
                </c:ext>
              </c:extLst>
            </c:dLbl>
            <c:dLbl>
              <c:idx val="4"/>
              <c:tx>
                <c:rich>
                  <a:bodyPr/>
                  <a:lstStyle/>
                  <a:p>
                    <a:fld id="{657FF5D7-AEE5-4253-A77E-2A4B6F82F77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282-4BBB-871E-0E3F0CA388F2}"/>
                </c:ext>
              </c:extLst>
            </c:dLbl>
            <c:dLbl>
              <c:idx val="5"/>
              <c:tx>
                <c:rich>
                  <a:bodyPr/>
                  <a:lstStyle/>
                  <a:p>
                    <a:fld id="{69C753F1-4AF7-4631-AC0A-2BFB02828EA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282-4BBB-871E-0E3F0CA388F2}"/>
                </c:ext>
              </c:extLst>
            </c:dLbl>
            <c:dLbl>
              <c:idx val="6"/>
              <c:tx>
                <c:rich>
                  <a:bodyPr/>
                  <a:lstStyle/>
                  <a:p>
                    <a:fld id="{AA22777D-CA0C-482D-B27B-16ADCDCA06D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282-4BBB-871E-0E3F0CA388F2}"/>
                </c:ext>
              </c:extLst>
            </c:dLbl>
            <c:dLbl>
              <c:idx val="7"/>
              <c:tx>
                <c:rich>
                  <a:bodyPr/>
                  <a:lstStyle/>
                  <a:p>
                    <a:fld id="{4BD0746E-D9E7-4585-B1CD-263FBDB3769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282-4BBB-871E-0E3F0CA388F2}"/>
                </c:ext>
              </c:extLst>
            </c:dLbl>
            <c:dLbl>
              <c:idx val="8"/>
              <c:tx>
                <c:rich>
                  <a:bodyPr/>
                  <a:lstStyle/>
                  <a:p>
                    <a:fld id="{78106E26-75A0-48C5-BEF9-E6EBBF6B0F0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282-4BBB-871E-0E3F0CA388F2}"/>
                </c:ext>
              </c:extLst>
            </c:dLbl>
            <c:dLbl>
              <c:idx val="9"/>
              <c:tx>
                <c:rich>
                  <a:bodyPr/>
                  <a:lstStyle/>
                  <a:p>
                    <a:fld id="{4AB4DD56-3451-482F-8983-4EC7B29AD43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282-4BBB-871E-0E3F0CA388F2}"/>
                </c:ext>
              </c:extLst>
            </c:dLbl>
            <c:dLbl>
              <c:idx val="10"/>
              <c:tx>
                <c:rich>
                  <a:bodyPr/>
                  <a:lstStyle/>
                  <a:p>
                    <a:fld id="{4755A37A-3422-40F7-8CF0-6FF8DD3113B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282-4BBB-871E-0E3F0CA388F2}"/>
                </c:ext>
              </c:extLst>
            </c:dLbl>
            <c:dLbl>
              <c:idx val="11"/>
              <c:tx>
                <c:rich>
                  <a:bodyPr/>
                  <a:lstStyle/>
                  <a:p>
                    <a:fld id="{107D4786-F970-4ED7-83A8-15FB44E3446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282-4BBB-871E-0E3F0CA388F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282-4BBB-871E-0E3F0CA388F2}"/>
                </c:ext>
              </c:extLst>
            </c:dLbl>
            <c:dLbl>
              <c:idx val="13"/>
              <c:tx>
                <c:rich>
                  <a:bodyPr/>
                  <a:lstStyle/>
                  <a:p>
                    <a:fld id="{54AE4EB1-DD4D-4355-8DD3-24329EE9D46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282-4BBB-871E-0E3F0CA388F2}"/>
                </c:ext>
              </c:extLst>
            </c:dLbl>
            <c:dLbl>
              <c:idx val="14"/>
              <c:tx>
                <c:rich>
                  <a:bodyPr/>
                  <a:lstStyle/>
                  <a:p>
                    <a:fld id="{F25B2542-C133-487E-96C0-0C1817DD434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282-4BBB-871E-0E3F0CA388F2}"/>
                </c:ext>
              </c:extLst>
            </c:dLbl>
            <c:dLbl>
              <c:idx val="15"/>
              <c:tx>
                <c:rich>
                  <a:bodyPr/>
                  <a:lstStyle/>
                  <a:p>
                    <a:fld id="{5EB7142D-7273-4C0D-984D-30A1660C9B9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282-4BBB-871E-0E3F0CA388F2}"/>
                </c:ext>
              </c:extLst>
            </c:dLbl>
            <c:dLbl>
              <c:idx val="16"/>
              <c:tx>
                <c:rich>
                  <a:bodyPr/>
                  <a:lstStyle/>
                  <a:p>
                    <a:fld id="{DC3EE82A-8388-4BB7-8E80-A44D96A56CD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282-4BBB-871E-0E3F0CA388F2}"/>
                </c:ext>
              </c:extLst>
            </c:dLbl>
            <c:dLbl>
              <c:idx val="17"/>
              <c:tx>
                <c:rich>
                  <a:bodyPr/>
                  <a:lstStyle/>
                  <a:p>
                    <a:fld id="{9F2ACBE2-EA60-4C8F-A468-0AFF4B674B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282-4BBB-871E-0E3F0CA388F2}"/>
                </c:ext>
              </c:extLst>
            </c:dLbl>
            <c:dLbl>
              <c:idx val="18"/>
              <c:tx>
                <c:rich>
                  <a:bodyPr/>
                  <a:lstStyle/>
                  <a:p>
                    <a:fld id="{9D078E1D-E611-441C-AC86-9358609D530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282-4BBB-871E-0E3F0CA388F2}"/>
                </c:ext>
              </c:extLst>
            </c:dLbl>
            <c:dLbl>
              <c:idx val="19"/>
              <c:tx>
                <c:rich>
                  <a:bodyPr/>
                  <a:lstStyle/>
                  <a:p>
                    <a:fld id="{D432572F-B928-4BAA-9512-7371D991411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282-4BBB-871E-0E3F0CA388F2}"/>
                </c:ext>
              </c:extLst>
            </c:dLbl>
            <c:dLbl>
              <c:idx val="20"/>
              <c:tx>
                <c:rich>
                  <a:bodyPr/>
                  <a:lstStyle/>
                  <a:p>
                    <a:fld id="{938C823F-4F4B-4DDD-B617-2C3604F8BC7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282-4BBB-871E-0E3F0CA388F2}"/>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'R1'!$B$48:$V$48</c:f>
                <c:numCache>
                  <c:formatCode>General</c:formatCode>
                  <c:ptCount val="21"/>
                  <c:pt idx="0">
                    <c:v>1.5052496132443071E-2</c:v>
                  </c:pt>
                  <c:pt idx="1">
                    <c:v>2.5772100520621306E-2</c:v>
                  </c:pt>
                  <c:pt idx="2">
                    <c:v>4.1454848135344877E-2</c:v>
                  </c:pt>
                  <c:pt idx="3">
                    <c:v>6.3834802336656865E-2</c:v>
                  </c:pt>
                  <c:pt idx="4">
                    <c:v>0.15769783316869712</c:v>
                  </c:pt>
                  <c:pt idx="5">
                    <c:v>0.18642032494299515</c:v>
                  </c:pt>
                  <c:pt idx="6">
                    <c:v>0.32792671467055184</c:v>
                  </c:pt>
                  <c:pt idx="7">
                    <c:v>2.1819011530903334E-2</c:v>
                  </c:pt>
                  <c:pt idx="8">
                    <c:v>2.8763260322270685E-2</c:v>
                  </c:pt>
                  <c:pt idx="9">
                    <c:v>0.17752150640455217</c:v>
                  </c:pt>
                  <c:pt idx="10">
                    <c:v>0.29999955141318191</c:v>
                  </c:pt>
                  <c:pt idx="11">
                    <c:v>0.2970750965370681</c:v>
                  </c:pt>
                  <c:pt idx="12">
                    <c:v>0</c:v>
                  </c:pt>
                  <c:pt idx="13">
                    <c:v>0.17682887069915584</c:v>
                  </c:pt>
                  <c:pt idx="14">
                    <c:v>0.2374225003386139</c:v>
                  </c:pt>
                  <c:pt idx="15">
                    <c:v>1.8792095527819207E-2</c:v>
                  </c:pt>
                  <c:pt idx="16">
                    <c:v>0.2590130242237309</c:v>
                  </c:pt>
                  <c:pt idx="17">
                    <c:v>0.32455924848564532</c:v>
                  </c:pt>
                  <c:pt idx="18">
                    <c:v>0.35690153341902164</c:v>
                  </c:pt>
                  <c:pt idx="19">
                    <c:v>0.17328443616347985</c:v>
                  </c:pt>
                  <c:pt idx="20">
                    <c:v>0.3317874029348224</c:v>
                  </c:pt>
                </c:numCache>
              </c:numRef>
            </c:plus>
            <c:minus>
              <c:numRef>
                <c:f>'R1'!$N$48:$V$48</c:f>
                <c:numCache>
                  <c:formatCode>General</c:formatCode>
                  <c:ptCount val="9"/>
                  <c:pt idx="0">
                    <c:v>0</c:v>
                  </c:pt>
                  <c:pt idx="1">
                    <c:v>0.17682887069915584</c:v>
                  </c:pt>
                  <c:pt idx="2">
                    <c:v>0.2374225003386139</c:v>
                  </c:pt>
                  <c:pt idx="3">
                    <c:v>1.8792095527819207E-2</c:v>
                  </c:pt>
                  <c:pt idx="4">
                    <c:v>0.2590130242237309</c:v>
                  </c:pt>
                  <c:pt idx="5">
                    <c:v>0.32455924848564532</c:v>
                  </c:pt>
                  <c:pt idx="6">
                    <c:v>0.35690153341902164</c:v>
                  </c:pt>
                  <c:pt idx="7">
                    <c:v>0.17328443616347985</c:v>
                  </c:pt>
                  <c:pt idx="8">
                    <c:v>0.3317874029348224</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'R1'!$B$53:$V$53</c:f>
              <c:numCache>
                <c:formatCode>0.0000</c:formatCode>
                <c:ptCount val="21"/>
                <c:pt idx="0">
                  <c:v>3.780864301851114E-2</c:v>
                </c:pt>
                <c:pt idx="1">
                  <c:v>9.4720570465456358E-2</c:v>
                </c:pt>
                <c:pt idx="2">
                  <c:v>9.5047131238022553E-2</c:v>
                </c:pt>
                <c:pt idx="3">
                  <c:v>0.22449237440837522</c:v>
                </c:pt>
                <c:pt idx="4">
                  <c:v>0.7499314773331599</c:v>
                </c:pt>
                <c:pt idx="5">
                  <c:v>1.4261639613688459</c:v>
                </c:pt>
                <c:pt idx="6">
                  <c:v>2.0691927376241122</c:v>
                </c:pt>
                <c:pt idx="7">
                  <c:v>5.9449082723057371E-2</c:v>
                </c:pt>
                <c:pt idx="8">
                  <c:v>7.9433764771509555E-2</c:v>
                </c:pt>
                <c:pt idx="9">
                  <c:v>0.302438418913477</c:v>
                </c:pt>
                <c:pt idx="10">
                  <c:v>0.78000532724292693</c:v>
                </c:pt>
                <c:pt idx="11">
                  <c:v>1.020361086201939</c:v>
                </c:pt>
                <c:pt idx="13">
                  <c:v>1.0000000000000002</c:v>
                </c:pt>
                <c:pt idx="14">
                  <c:v>1.3824889917683512</c:v>
                </c:pt>
                <c:pt idx="15">
                  <c:v>6.7675513921861177E-2</c:v>
                </c:pt>
                <c:pt idx="16">
                  <c:v>1.365359677764109</c:v>
                </c:pt>
                <c:pt idx="17">
                  <c:v>1.2123352463196893</c:v>
                </c:pt>
                <c:pt idx="18">
                  <c:v>1.4391427291000629</c:v>
                </c:pt>
                <c:pt idx="19">
                  <c:v>1.869093665767553</c:v>
                </c:pt>
                <c:pt idx="20">
                  <c:v>1.8214098141707165</c:v>
                </c:pt>
              </c:numCache>
            </c:numRef>
          </c:val>
          <c:extLst>
            <c:ext xmlns:c15="http://schemas.microsoft.com/office/drawing/2012/chart" uri="{02D57815-91ED-43cb-92C2-25804820EDAC}">
              <c15:datalabelsRange>
                <c15:f>'R1'!$B$61:$V$61</c15:f>
                <c15:dlblRangeCache>
                  <c:ptCount val="21"/>
                  <c:pt idx="1">
                    <c:v>*</c:v>
                  </c:pt>
                  <c:pt idx="2">
                    <c:v>NS</c:v>
                  </c:pt>
                  <c:pt idx="3">
                    <c:v>**</c:v>
                  </c:pt>
                  <c:pt idx="4">
                    <c:v>**</c:v>
                  </c:pt>
                  <c:pt idx="5">
                    <c:v>**</c:v>
                  </c:pt>
                  <c:pt idx="6">
                    <c:v>***</c:v>
                  </c:pt>
                  <c:pt idx="7">
                    <c:v>NS</c:v>
                  </c:pt>
                  <c:pt idx="8">
                    <c:v>NS</c:v>
                  </c:pt>
                  <c:pt idx="9">
                    <c:v>NS</c:v>
                  </c:pt>
                  <c:pt idx="10">
                    <c:v>NS</c:v>
                  </c:pt>
                  <c:pt idx="11">
                    <c:v>*</c:v>
                  </c:pt>
                  <c:pt idx="13">
                    <c:v>***</c:v>
                  </c:pt>
                  <c:pt idx="14">
                    <c:v>NS</c:v>
                  </c:pt>
                  <c:pt idx="15">
                    <c:v>***</c:v>
                  </c:pt>
                  <c:pt idx="16">
                    <c:v>NS</c:v>
                  </c:pt>
                  <c:pt idx="17">
                    <c:v>NS</c:v>
                  </c:pt>
                  <c:pt idx="18">
                    <c:v>NS</c:v>
                  </c:pt>
                  <c:pt idx="19">
                    <c:v>**</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5"/>
          <c:min val="0"/>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F170-4432-B87E-5E810C24002B}"/>
              </c:ext>
            </c:extLst>
          </c:dPt>
          <c:dPt>
            <c:idx val="7"/>
            <c:invertIfNegative val="0"/>
            <c:bubble3D val="0"/>
            <c:spPr>
              <a:solidFill>
                <a:srgbClr val="EAC6FE"/>
              </a:solidFill>
            </c:spPr>
            <c:extLst>
              <c:ext xmlns:c16="http://schemas.microsoft.com/office/drawing/2014/chart" uri="{C3380CC4-5D6E-409C-BE32-E72D297353CC}">
                <c16:uniqueId val="{00000018-F170-4432-B87E-5E810C24002B}"/>
              </c:ext>
            </c:extLst>
          </c:dPt>
          <c:dPt>
            <c:idx val="8"/>
            <c:invertIfNegative val="0"/>
            <c:bubble3D val="0"/>
            <c:spPr>
              <a:solidFill>
                <a:srgbClr val="EAC6FE"/>
              </a:solidFill>
            </c:spPr>
            <c:extLst>
              <c:ext xmlns:c16="http://schemas.microsoft.com/office/drawing/2014/chart" uri="{C3380CC4-5D6E-409C-BE32-E72D297353CC}">
                <c16:uniqueId val="{00000019-F170-4432-B87E-5E810C24002B}"/>
              </c:ext>
            </c:extLst>
          </c:dPt>
          <c:dPt>
            <c:idx val="9"/>
            <c:invertIfNegative val="0"/>
            <c:bubble3D val="0"/>
            <c:spPr>
              <a:solidFill>
                <a:srgbClr val="EAC6FE"/>
              </a:solidFill>
            </c:spPr>
            <c:extLst>
              <c:ext xmlns:c16="http://schemas.microsoft.com/office/drawing/2014/chart" uri="{C3380CC4-5D6E-409C-BE32-E72D297353CC}">
                <c16:uniqueId val="{00000001-EED2-4ACE-91AA-7F8713196E92}"/>
              </c:ext>
            </c:extLst>
          </c:dPt>
          <c:dPt>
            <c:idx val="10"/>
            <c:invertIfNegative val="0"/>
            <c:bubble3D val="0"/>
            <c:spPr>
              <a:solidFill>
                <a:srgbClr val="EAC6FE"/>
              </a:solidFill>
            </c:spPr>
            <c:extLst>
              <c:ext xmlns:c16="http://schemas.microsoft.com/office/drawing/2014/chart" uri="{C3380CC4-5D6E-409C-BE32-E72D297353CC}">
                <c16:uniqueId val="{0000001A-F170-4432-B87E-5E810C24002B}"/>
              </c:ext>
            </c:extLst>
          </c:dPt>
          <c:dPt>
            <c:idx val="11"/>
            <c:invertIfNegative val="0"/>
            <c:bubble3D val="0"/>
            <c:spPr>
              <a:solidFill>
                <a:srgbClr val="EAC6FE"/>
              </a:solidFill>
            </c:spPr>
            <c:extLst>
              <c:ext xmlns:c16="http://schemas.microsoft.com/office/drawing/2014/chart" uri="{C3380CC4-5D6E-409C-BE32-E72D297353CC}">
                <c16:uniqueId val="{00000003-EED2-4ACE-91AA-7F8713196E92}"/>
              </c:ext>
            </c:extLst>
          </c:dPt>
          <c:dPt>
            <c:idx val="13"/>
            <c:invertIfNegative val="0"/>
            <c:bubble3D val="0"/>
            <c:spPr>
              <a:solidFill>
                <a:srgbClr val="92D050"/>
              </a:solidFill>
            </c:spPr>
            <c:extLst>
              <c:ext xmlns:c16="http://schemas.microsoft.com/office/drawing/2014/chart" uri="{C3380CC4-5D6E-409C-BE32-E72D297353CC}">
                <c16:uniqueId val="{00000005-EED2-4ACE-91AA-7F8713196E92}"/>
              </c:ext>
            </c:extLst>
          </c:dPt>
          <c:dPt>
            <c:idx val="14"/>
            <c:invertIfNegative val="0"/>
            <c:bubble3D val="0"/>
            <c:spPr>
              <a:solidFill>
                <a:srgbClr val="00B0F0"/>
              </a:solidFill>
            </c:spPr>
            <c:extLst>
              <c:ext xmlns:c16="http://schemas.microsoft.com/office/drawing/2014/chart" uri="{C3380CC4-5D6E-409C-BE32-E72D297353CC}">
                <c16:uniqueId val="{00000020-F170-4432-B87E-5E810C24002B}"/>
              </c:ext>
            </c:extLst>
          </c:dPt>
          <c:dPt>
            <c:idx val="15"/>
            <c:invertIfNegative val="0"/>
            <c:bubble3D val="0"/>
            <c:spPr>
              <a:solidFill>
                <a:srgbClr val="FF0000"/>
              </a:solidFill>
            </c:spPr>
            <c:extLst>
              <c:ext xmlns:c16="http://schemas.microsoft.com/office/drawing/2014/chart" uri="{C3380CC4-5D6E-409C-BE32-E72D297353CC}">
                <c16:uniqueId val="{00000007-EED2-4ACE-91AA-7F8713196E92}"/>
              </c:ext>
            </c:extLst>
          </c:dPt>
          <c:dPt>
            <c:idx val="16"/>
            <c:invertIfNegative val="0"/>
            <c:bubble3D val="0"/>
            <c:spPr>
              <a:solidFill>
                <a:srgbClr val="BE79F7"/>
              </a:solidFill>
            </c:spPr>
            <c:extLst>
              <c:ext xmlns:c16="http://schemas.microsoft.com/office/drawing/2014/chart" uri="{C3380CC4-5D6E-409C-BE32-E72D297353CC}">
                <c16:uniqueId val="{0000001B-F170-4432-B87E-5E810C24002B}"/>
              </c:ext>
            </c:extLst>
          </c:dPt>
          <c:dPt>
            <c:idx val="17"/>
            <c:invertIfNegative val="0"/>
            <c:bubble3D val="0"/>
            <c:spPr>
              <a:solidFill>
                <a:srgbClr val="BE79F7"/>
              </a:solidFill>
            </c:spPr>
            <c:extLst>
              <c:ext xmlns:c16="http://schemas.microsoft.com/office/drawing/2014/chart" uri="{C3380CC4-5D6E-409C-BE32-E72D297353CC}">
                <c16:uniqueId val="{0000001C-F170-4432-B87E-5E810C24002B}"/>
              </c:ext>
            </c:extLst>
          </c:dPt>
          <c:dPt>
            <c:idx val="18"/>
            <c:invertIfNegative val="0"/>
            <c:bubble3D val="0"/>
            <c:spPr>
              <a:solidFill>
                <a:srgbClr val="BE79F7"/>
              </a:solidFill>
            </c:spPr>
            <c:extLst>
              <c:ext xmlns:c16="http://schemas.microsoft.com/office/drawing/2014/chart" uri="{C3380CC4-5D6E-409C-BE32-E72D297353CC}">
                <c16:uniqueId val="{0000001D-F170-4432-B87E-5E810C24002B}"/>
              </c:ext>
            </c:extLst>
          </c:dPt>
          <c:dPt>
            <c:idx val="19"/>
            <c:invertIfNegative val="0"/>
            <c:bubble3D val="0"/>
            <c:spPr>
              <a:solidFill>
                <a:srgbClr val="BE79F7"/>
              </a:solidFill>
            </c:spPr>
            <c:extLst>
              <c:ext xmlns:c16="http://schemas.microsoft.com/office/drawing/2014/chart" uri="{C3380CC4-5D6E-409C-BE32-E72D297353CC}">
                <c16:uniqueId val="{0000001E-F170-4432-B87E-5E810C24002B}"/>
              </c:ext>
            </c:extLst>
          </c:dPt>
          <c:dPt>
            <c:idx val="20"/>
            <c:invertIfNegative val="0"/>
            <c:bubble3D val="0"/>
            <c:spPr>
              <a:solidFill>
                <a:srgbClr val="BE79F7"/>
              </a:solidFill>
            </c:spPr>
            <c:extLst>
              <c:ext xmlns:c16="http://schemas.microsoft.com/office/drawing/2014/chart" uri="{C3380CC4-5D6E-409C-BE32-E72D297353CC}">
                <c16:uniqueId val="{0000001F-F170-4432-B87E-5E810C24002B}"/>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69449455-898F-4FBA-8983-9101814335C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F170-4432-B87E-5E810C24002B}"/>
                </c:ext>
              </c:extLst>
            </c:dLbl>
            <c:dLbl>
              <c:idx val="1"/>
              <c:tx>
                <c:rich>
                  <a:bodyPr/>
                  <a:lstStyle/>
                  <a:p>
                    <a:fld id="{647571D7-779A-41A3-98C4-FB29DCE45E1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F170-4432-B87E-5E810C24002B}"/>
                </c:ext>
              </c:extLst>
            </c:dLbl>
            <c:dLbl>
              <c:idx val="2"/>
              <c:tx>
                <c:rich>
                  <a:bodyPr/>
                  <a:lstStyle/>
                  <a:p>
                    <a:fld id="{F24E3E54-FD9B-4D3C-A9D5-8AA577DB77B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F170-4432-B87E-5E810C24002B}"/>
                </c:ext>
              </c:extLst>
            </c:dLbl>
            <c:dLbl>
              <c:idx val="3"/>
              <c:tx>
                <c:rich>
                  <a:bodyPr/>
                  <a:lstStyle/>
                  <a:p>
                    <a:fld id="{B02A1CB5-2141-40FD-BA84-2E7647CB44B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F170-4432-B87E-5E810C24002B}"/>
                </c:ext>
              </c:extLst>
            </c:dLbl>
            <c:dLbl>
              <c:idx val="4"/>
              <c:tx>
                <c:rich>
                  <a:bodyPr/>
                  <a:lstStyle/>
                  <a:p>
                    <a:fld id="{7A3BEC7D-4C81-4FEC-A93C-D9E9E6832EB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F170-4432-B87E-5E810C24002B}"/>
                </c:ext>
              </c:extLst>
            </c:dLbl>
            <c:dLbl>
              <c:idx val="5"/>
              <c:tx>
                <c:rich>
                  <a:bodyPr/>
                  <a:lstStyle/>
                  <a:p>
                    <a:fld id="{132E4F84-8E39-4BAF-9C36-0CDF7FF9BAE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F170-4432-B87E-5E810C24002B}"/>
                </c:ext>
              </c:extLst>
            </c:dLbl>
            <c:dLbl>
              <c:idx val="6"/>
              <c:tx>
                <c:rich>
                  <a:bodyPr/>
                  <a:lstStyle/>
                  <a:p>
                    <a:fld id="{9ACC3F58-BFC9-4483-B366-4F19EDFFFBF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F170-4432-B87E-5E810C24002B}"/>
                </c:ext>
              </c:extLst>
            </c:dLbl>
            <c:dLbl>
              <c:idx val="7"/>
              <c:tx>
                <c:rich>
                  <a:bodyPr/>
                  <a:lstStyle/>
                  <a:p>
                    <a:fld id="{992E6D2E-FCD9-4C4E-8573-128CC9DCD99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F170-4432-B87E-5E810C24002B}"/>
                </c:ext>
              </c:extLst>
            </c:dLbl>
            <c:dLbl>
              <c:idx val="8"/>
              <c:tx>
                <c:rich>
                  <a:bodyPr/>
                  <a:lstStyle/>
                  <a:p>
                    <a:fld id="{2FF1A5ED-604B-44EC-994E-A200EAA1CBB1}"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F170-4432-B87E-5E810C24002B}"/>
                </c:ext>
              </c:extLst>
            </c:dLbl>
            <c:dLbl>
              <c:idx val="9"/>
              <c:tx>
                <c:rich>
                  <a:bodyPr/>
                  <a:lstStyle/>
                  <a:p>
                    <a:fld id="{90DE2527-66EC-417C-96D5-592AE069ACE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0F9EFE88-9933-43AF-A498-76A7EC8BA47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170-4432-B87E-5E810C24002B}"/>
                </c:ext>
              </c:extLst>
            </c:dLbl>
            <c:dLbl>
              <c:idx val="11"/>
              <c:tx>
                <c:rich>
                  <a:bodyPr/>
                  <a:lstStyle/>
                  <a:p>
                    <a:fld id="{426BDFFA-3332-4D3C-885A-4F6DE9043E4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F170-4432-B87E-5E810C24002B}"/>
                </c:ext>
              </c:extLst>
            </c:dLbl>
            <c:dLbl>
              <c:idx val="13"/>
              <c:tx>
                <c:rich>
                  <a:bodyPr/>
                  <a:lstStyle/>
                  <a:p>
                    <a:fld id="{63013DD9-3812-479D-9338-D027CC99811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35985660-13F8-4C2F-8B6D-008DAF9475E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F170-4432-B87E-5E810C24002B}"/>
                </c:ext>
              </c:extLst>
            </c:dLbl>
            <c:dLbl>
              <c:idx val="15"/>
              <c:tx>
                <c:rich>
                  <a:bodyPr/>
                  <a:lstStyle/>
                  <a:p>
                    <a:fld id="{79A6A277-3F5F-4B32-A547-7E2B07A72DFD}"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1BDDFD08-2A32-4061-A21D-31407318782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F170-4432-B87E-5E810C24002B}"/>
                </c:ext>
              </c:extLst>
            </c:dLbl>
            <c:dLbl>
              <c:idx val="17"/>
              <c:tx>
                <c:rich>
                  <a:bodyPr/>
                  <a:lstStyle/>
                  <a:p>
                    <a:fld id="{C2CEB347-50C7-4780-943B-E608698CDFA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F170-4432-B87E-5E810C24002B}"/>
                </c:ext>
              </c:extLst>
            </c:dLbl>
            <c:dLbl>
              <c:idx val="18"/>
              <c:tx>
                <c:rich>
                  <a:bodyPr/>
                  <a:lstStyle/>
                  <a:p>
                    <a:fld id="{BDA40025-CA62-475D-82A1-5B3D30FE1C4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170-4432-B87E-5E810C24002B}"/>
                </c:ext>
              </c:extLst>
            </c:dLbl>
            <c:dLbl>
              <c:idx val="19"/>
              <c:tx>
                <c:rich>
                  <a:bodyPr/>
                  <a:lstStyle/>
                  <a:p>
                    <a:fld id="{08E1B565-5437-41A1-B9B8-C178FEAC7C7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F170-4432-B87E-5E810C24002B}"/>
                </c:ext>
              </c:extLst>
            </c:dLbl>
            <c:dLbl>
              <c:idx val="20"/>
              <c:tx>
                <c:rich>
                  <a:bodyPr/>
                  <a:lstStyle/>
                  <a:p>
                    <a:fld id="{D8DB41A4-21E0-4306-B0F0-6057E26A33CA}"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F170-4432-B87E-5E810C24002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2.5858700538514568E-2</c:v>
                  </c:pt>
                  <c:pt idx="1">
                    <c:v>2.7541112300492752E-2</c:v>
                  </c:pt>
                  <c:pt idx="2">
                    <c:v>3.0010460583490165E-2</c:v>
                  </c:pt>
                  <c:pt idx="3">
                    <c:v>1.9166102764872635E-2</c:v>
                  </c:pt>
                  <c:pt idx="4">
                    <c:v>0.1028567764569477</c:v>
                  </c:pt>
                  <c:pt idx="5">
                    <c:v>0.14630282892172489</c:v>
                  </c:pt>
                  <c:pt idx="6">
                    <c:v>0.13919017535716888</c:v>
                  </c:pt>
                  <c:pt idx="7">
                    <c:v>2.1736186187885833E-2</c:v>
                  </c:pt>
                  <c:pt idx="8">
                    <c:v>3.1355189115718066E-2</c:v>
                  </c:pt>
                  <c:pt idx="9">
                    <c:v>3.6015941162865453E-2</c:v>
                  </c:pt>
                  <c:pt idx="10">
                    <c:v>0.12260526603262681</c:v>
                  </c:pt>
                  <c:pt idx="11">
                    <c:v>0.18164248796619817</c:v>
                  </c:pt>
                  <c:pt idx="13">
                    <c:v>0.12778276756500437</c:v>
                  </c:pt>
                  <c:pt idx="14">
                    <c:v>9.7711639130206765E-2</c:v>
                  </c:pt>
                  <c:pt idx="15">
                    <c:v>2.0739037131303734E-2</c:v>
                  </c:pt>
                  <c:pt idx="16">
                    <c:v>0.10982441007956222</c:v>
                  </c:pt>
                  <c:pt idx="17">
                    <c:v>0.16050134051608383</c:v>
                  </c:pt>
                  <c:pt idx="18">
                    <c:v>0.14354690941903667</c:v>
                  </c:pt>
                  <c:pt idx="19">
                    <c:v>0.16795545618209684</c:v>
                  </c:pt>
                  <c:pt idx="20">
                    <c:v>0.18392035712361335</c:v>
                  </c:pt>
                </c:numCache>
              </c:numRef>
            </c:plus>
            <c:minus>
              <c:numRef>
                <c:f>'R1'!$N$48:$V$48</c:f>
                <c:numCache>
                  <c:formatCode>General</c:formatCode>
                  <c:ptCount val="9"/>
                  <c:pt idx="0">
                    <c:v>0</c:v>
                  </c:pt>
                  <c:pt idx="1">
                    <c:v>0.17682887069915584</c:v>
                  </c:pt>
                  <c:pt idx="2">
                    <c:v>0.2374225003386139</c:v>
                  </c:pt>
                  <c:pt idx="3">
                    <c:v>1.8792095527819207E-2</c:v>
                  </c:pt>
                  <c:pt idx="4">
                    <c:v>0.2590130242237309</c:v>
                  </c:pt>
                  <c:pt idx="5">
                    <c:v>0.32455924848564532</c:v>
                  </c:pt>
                  <c:pt idx="6">
                    <c:v>0.35690153341902164</c:v>
                  </c:pt>
                  <c:pt idx="7">
                    <c:v>0.17328443616347985</c:v>
                  </c:pt>
                  <c:pt idx="8">
                    <c:v>0.3317874029348224</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'R2'!$B$53:$V$53</c:f>
              <c:numCache>
                <c:formatCode>0.0000</c:formatCode>
                <c:ptCount val="21"/>
                <c:pt idx="0">
                  <c:v>0.14896737957976658</c:v>
                </c:pt>
                <c:pt idx="1">
                  <c:v>0.11174071758704762</c:v>
                </c:pt>
                <c:pt idx="2">
                  <c:v>9.6242200311908957E-2</c:v>
                </c:pt>
                <c:pt idx="3">
                  <c:v>0.10695164338162613</c:v>
                </c:pt>
                <c:pt idx="4">
                  <c:v>0.42094676772264394</c:v>
                </c:pt>
                <c:pt idx="5">
                  <c:v>1.1076280590129812</c:v>
                </c:pt>
                <c:pt idx="6">
                  <c:v>1.6599165774213076</c:v>
                </c:pt>
                <c:pt idx="7">
                  <c:v>0.10985895704786282</c:v>
                </c:pt>
                <c:pt idx="8">
                  <c:v>0.10040688637904031</c:v>
                </c:pt>
                <c:pt idx="9">
                  <c:v>0.13891822102675805</c:v>
                </c:pt>
                <c:pt idx="10">
                  <c:v>0.29617406180000921</c:v>
                </c:pt>
                <c:pt idx="11">
                  <c:v>0.86317418963284809</c:v>
                </c:pt>
                <c:pt idx="13">
                  <c:v>0.99999999999999967</c:v>
                </c:pt>
                <c:pt idx="14">
                  <c:v>1.1861135634809548</c:v>
                </c:pt>
                <c:pt idx="15">
                  <c:v>0.11330559346926236</c:v>
                </c:pt>
                <c:pt idx="16">
                  <c:v>1.06056869383571</c:v>
                </c:pt>
                <c:pt idx="17">
                  <c:v>1.6712445376473166</c:v>
                </c:pt>
                <c:pt idx="18">
                  <c:v>1.4607671604477108</c:v>
                </c:pt>
                <c:pt idx="19">
                  <c:v>1.8301206548872322</c:v>
                </c:pt>
                <c:pt idx="20">
                  <c:v>1.570796882125048</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NS</c:v>
                  </c:pt>
                  <c:pt idx="11">
                    <c:v>**</c:v>
                  </c:pt>
                  <c:pt idx="13">
                    <c:v>***</c:v>
                  </c:pt>
                  <c:pt idx="14">
                    <c:v>NS</c:v>
                  </c:pt>
                  <c:pt idx="15">
                    <c:v>***</c:v>
                  </c:pt>
                  <c:pt idx="16">
                    <c:v>NS</c:v>
                  </c:pt>
                  <c:pt idx="17">
                    <c:v>**</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4.4628794941587772E-2</c:v>
                  </c:pt>
                  <c:pt idx="1">
                    <c:v>4.6161064434113844E-2</c:v>
                  </c:pt>
                  <c:pt idx="2">
                    <c:v>2.560818372358856E-2</c:v>
                  </c:pt>
                  <c:pt idx="3">
                    <c:v>0.10276397096479632</c:v>
                  </c:pt>
                  <c:pt idx="4">
                    <c:v>0.27765430816463899</c:v>
                  </c:pt>
                  <c:pt idx="5">
                    <c:v>0.17116632846068916</c:v>
                  </c:pt>
                  <c:pt idx="6">
                    <c:v>0.22186468058673237</c:v>
                  </c:pt>
                  <c:pt idx="7">
                    <c:v>2.6575492955972904E-2</c:v>
                  </c:pt>
                  <c:pt idx="8">
                    <c:v>2.1613010372591925E-2</c:v>
                  </c:pt>
                  <c:pt idx="9">
                    <c:v>0.13635514729535925</c:v>
                  </c:pt>
                  <c:pt idx="10">
                    <c:v>0.26043281864915208</c:v>
                  </c:pt>
                  <c:pt idx="11">
                    <c:v>0.18576870168496976</c:v>
                  </c:pt>
                  <c:pt idx="13">
                    <c:v>0.14460638244984914</c:v>
                  </c:pt>
                  <c:pt idx="14">
                    <c:v>0.21554104238872465</c:v>
                  </c:pt>
                  <c:pt idx="15">
                    <c:v>2.0282026351121484E-2</c:v>
                  </c:pt>
                  <c:pt idx="16">
                    <c:v>0.11934783321450738</c:v>
                  </c:pt>
                  <c:pt idx="17">
                    <c:v>0.2284939789690616</c:v>
                  </c:pt>
                  <c:pt idx="18">
                    <c:v>0.23194371492887098</c:v>
                  </c:pt>
                  <c:pt idx="19">
                    <c:v>0.37037871535767974</c:v>
                  </c:pt>
                  <c:pt idx="20">
                    <c:v>0.44380209877520238</c:v>
                  </c:pt>
                </c:numCache>
              </c:numRef>
            </c:plus>
            <c:minus>
              <c:numRef>
                <c:f>'R1'!$N$48:$V$48</c:f>
                <c:numCache>
                  <c:formatCode>General</c:formatCode>
                  <c:ptCount val="9"/>
                  <c:pt idx="0">
                    <c:v>0</c:v>
                  </c:pt>
                  <c:pt idx="1">
                    <c:v>0.17682887069915584</c:v>
                  </c:pt>
                  <c:pt idx="2">
                    <c:v>0.2374225003386139</c:v>
                  </c:pt>
                  <c:pt idx="3">
                    <c:v>1.8792095527819207E-2</c:v>
                  </c:pt>
                  <c:pt idx="4">
                    <c:v>0.2590130242237309</c:v>
                  </c:pt>
                  <c:pt idx="5">
                    <c:v>0.32455924848564532</c:v>
                  </c:pt>
                  <c:pt idx="6">
                    <c:v>0.35690153341902164</c:v>
                  </c:pt>
                  <c:pt idx="7">
                    <c:v>0.17328443616347985</c:v>
                  </c:pt>
                  <c:pt idx="8">
                    <c:v>0.3317874029348224</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'R3'!$B$53:$V$53</c:f>
              <c:numCache>
                <c:formatCode>0.0000</c:formatCode>
                <c:ptCount val="21"/>
                <c:pt idx="0">
                  <c:v>0.13001945034956752</c:v>
                </c:pt>
                <c:pt idx="1">
                  <c:v>0.10018487471772357</c:v>
                </c:pt>
                <c:pt idx="2">
                  <c:v>0.1209516853165217</c:v>
                </c:pt>
                <c:pt idx="3">
                  <c:v>0.28814751673523908</c:v>
                </c:pt>
                <c:pt idx="4">
                  <c:v>0.9832622703276801</c:v>
                </c:pt>
                <c:pt idx="5">
                  <c:v>0.87027087659077784</c:v>
                </c:pt>
                <c:pt idx="6">
                  <c:v>3.2440189065899312</c:v>
                </c:pt>
                <c:pt idx="7">
                  <c:v>6.718623306072477E-2</c:v>
                </c:pt>
                <c:pt idx="8">
                  <c:v>0.10028740719824733</c:v>
                </c:pt>
                <c:pt idx="9">
                  <c:v>0.33881824899306923</c:v>
                </c:pt>
                <c:pt idx="10">
                  <c:v>0.87302813019124847</c:v>
                </c:pt>
                <c:pt idx="11">
                  <c:v>1.0449462986420235</c:v>
                </c:pt>
                <c:pt idx="13">
                  <c:v>0.99999999999999989</c:v>
                </c:pt>
                <c:pt idx="14">
                  <c:v>1.8253587975327716</c:v>
                </c:pt>
                <c:pt idx="15">
                  <c:v>0.10529334680182618</c:v>
                </c:pt>
                <c:pt idx="16">
                  <c:v>1.2125207724555098</c:v>
                </c:pt>
                <c:pt idx="17">
                  <c:v>1.2371086627967465</c:v>
                </c:pt>
                <c:pt idx="18">
                  <c:v>1.8797703237998578</c:v>
                </c:pt>
                <c:pt idx="19">
                  <c:v>2.5851147897438156</c:v>
                </c:pt>
                <c:pt idx="20">
                  <c:v>1.9773820832422431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accent2"/>
              </a:solidFill>
            </c:spPr>
            <c:extLst>
              <c:ext xmlns:c16="http://schemas.microsoft.com/office/drawing/2014/chart" uri="{C3380CC4-5D6E-409C-BE32-E72D297353CC}">
                <c16:uniqueId val="{00000003-033C-4530-84A9-991A3866ABD4}"/>
              </c:ext>
            </c:extLst>
          </c:dPt>
          <c:dPt>
            <c:idx val="3"/>
            <c:invertIfNegative val="0"/>
            <c:bubble3D val="0"/>
            <c:spPr>
              <a:solidFill>
                <a:schemeClr val="accent2"/>
              </a:solidFill>
            </c:spPr>
            <c:extLst>
              <c:ext xmlns:c16="http://schemas.microsoft.com/office/drawing/2014/chart" uri="{C3380CC4-5D6E-409C-BE32-E72D297353CC}">
                <c16:uniqueId val="{00000005-033C-4530-84A9-991A3866ABD4}"/>
              </c:ext>
            </c:extLst>
          </c:dPt>
          <c:dPt>
            <c:idx val="4"/>
            <c:invertIfNegative val="0"/>
            <c:bubble3D val="0"/>
            <c:spPr>
              <a:solidFill>
                <a:schemeClr val="accent2"/>
              </a:solidFill>
            </c:spPr>
            <c:extLst>
              <c:ext xmlns:c16="http://schemas.microsoft.com/office/drawing/2014/chart" uri="{C3380CC4-5D6E-409C-BE32-E72D297353CC}">
                <c16:uniqueId val="{00000007-033C-4530-84A9-991A3866ABD4}"/>
              </c:ext>
            </c:extLst>
          </c:dPt>
          <c:dPt>
            <c:idx val="5"/>
            <c:invertIfNegative val="0"/>
            <c:bubble3D val="0"/>
            <c:spPr>
              <a:solidFill>
                <a:schemeClr val="accent2"/>
              </a:solidFill>
            </c:spPr>
            <c:extLst>
              <c:ext xmlns:c16="http://schemas.microsoft.com/office/drawing/2014/chart" uri="{C3380CC4-5D6E-409C-BE32-E72D297353CC}">
                <c16:uniqueId val="{00000009-033C-4530-84A9-991A3866ABD4}"/>
              </c:ext>
            </c:extLst>
          </c:dPt>
          <c:dPt>
            <c:idx val="6"/>
            <c:invertIfNegative val="0"/>
            <c:bubble3D val="0"/>
            <c:spPr>
              <a:solidFill>
                <a:schemeClr val="accent2"/>
              </a:solidFill>
            </c:spPr>
            <c:extLst>
              <c:ext xmlns:c16="http://schemas.microsoft.com/office/drawing/2014/chart" uri="{C3380CC4-5D6E-409C-BE32-E72D297353CC}">
                <c16:uniqueId val="{0000000B-033C-4530-84A9-991A3866ABD4}"/>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92D050"/>
              </a:solidFill>
            </c:spPr>
            <c:extLst>
              <c:ext xmlns:c16="http://schemas.microsoft.com/office/drawing/2014/chart" uri="{C3380CC4-5D6E-409C-BE32-E72D297353CC}">
                <c16:uniqueId val="{00000019-033C-4530-84A9-991A3866ABD4}"/>
              </c:ext>
            </c:extLst>
          </c:dPt>
          <c:dPt>
            <c:idx val="14"/>
            <c:invertIfNegative val="0"/>
            <c:bubble3D val="0"/>
            <c:spPr>
              <a:solidFill>
                <a:srgbClr val="00B0F0"/>
              </a:solidFill>
            </c:spPr>
            <c:extLst>
              <c:ext xmlns:c16="http://schemas.microsoft.com/office/drawing/2014/chart" uri="{C3380CC4-5D6E-409C-BE32-E72D297353CC}">
                <c16:uniqueId val="{0000001B-033C-4530-84A9-991A3866ABD4}"/>
              </c:ext>
            </c:extLst>
          </c:dPt>
          <c:dPt>
            <c:idx val="15"/>
            <c:invertIfNegative val="0"/>
            <c:bubble3D val="0"/>
            <c:spPr>
              <a:solidFill>
                <a:srgbClr val="FF0000"/>
              </a:solidFill>
            </c:spPr>
            <c:extLst>
              <c:ext xmlns:c16="http://schemas.microsoft.com/office/drawing/2014/chart" uri="{C3380CC4-5D6E-409C-BE32-E72D297353CC}">
                <c16:uniqueId val="{0000001D-033C-4530-84A9-991A3866ABD4}"/>
              </c:ext>
            </c:extLst>
          </c:dPt>
          <c:dPt>
            <c:idx val="16"/>
            <c:invertIfNegative val="0"/>
            <c:bubble3D val="0"/>
            <c:spPr>
              <a:solidFill>
                <a:schemeClr val="accent6"/>
              </a:solidFill>
            </c:spPr>
            <c:extLst>
              <c:ext xmlns:c16="http://schemas.microsoft.com/office/drawing/2014/chart" uri="{C3380CC4-5D6E-409C-BE32-E72D297353CC}">
                <c16:uniqueId val="{0000001F-033C-4530-84A9-991A3866ABD4}"/>
              </c:ext>
            </c:extLst>
          </c:dPt>
          <c:dPt>
            <c:idx val="17"/>
            <c:invertIfNegative val="0"/>
            <c:bubble3D val="0"/>
            <c:spPr>
              <a:solidFill>
                <a:schemeClr val="accent6"/>
              </a:solidFill>
            </c:spPr>
            <c:extLst>
              <c:ext xmlns:c16="http://schemas.microsoft.com/office/drawing/2014/chart" uri="{C3380CC4-5D6E-409C-BE32-E72D297353CC}">
                <c16:uniqueId val="{00000021-033C-4530-84A9-991A3866ABD4}"/>
              </c:ext>
            </c:extLst>
          </c:dPt>
          <c:dPt>
            <c:idx val="18"/>
            <c:invertIfNegative val="0"/>
            <c:bubble3D val="0"/>
            <c:spPr>
              <a:solidFill>
                <a:schemeClr val="accent6"/>
              </a:solidFill>
            </c:spPr>
            <c:extLst>
              <c:ext xmlns:c16="http://schemas.microsoft.com/office/drawing/2014/chart" uri="{C3380CC4-5D6E-409C-BE32-E72D297353CC}">
                <c16:uniqueId val="{00000023-033C-4530-84A9-991A3866ABD4}"/>
              </c:ext>
            </c:extLst>
          </c:dPt>
          <c:dPt>
            <c:idx val="19"/>
            <c:invertIfNegative val="0"/>
            <c:bubble3D val="0"/>
            <c:spPr>
              <a:solidFill>
                <a:schemeClr val="accent6"/>
              </a:solidFill>
            </c:spPr>
            <c:extLst>
              <c:ext xmlns:c16="http://schemas.microsoft.com/office/drawing/2014/chart" uri="{C3380CC4-5D6E-409C-BE32-E72D297353CC}">
                <c16:uniqueId val="{00000025-033C-4530-84A9-991A3866ABD4}"/>
              </c:ext>
            </c:extLst>
          </c:dPt>
          <c:dPt>
            <c:idx val="20"/>
            <c:invertIfNegative val="0"/>
            <c:bubble3D val="0"/>
            <c:spPr>
              <a:solidFill>
                <a:schemeClr val="accent6"/>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F74C2870-2ED2-45E8-887A-3AF124F117B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3BB5C823-F5B1-4597-ADB8-397B732DDA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EA29481A-0B10-450C-8BC9-C6BAE95E93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CFA3433F-562A-4CF8-9343-57D2E9D627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EDB0B4E8-FCCE-4367-AF22-139878A53F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BD48C340-90A1-4A46-9B6B-7222F61830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92084ECB-D04D-4EFF-8E6B-D99985AAF2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8A9ACD68-AF2E-4302-B4F3-82B14D62FFD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2AB28794-3304-44C1-A650-8D2E85043A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449D0D4D-FF0F-463F-94EF-C5271F9138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20E090D9-1D26-408F-BD6F-B47FAC317F1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193207AB-4280-4E89-A1D7-478B4614A0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53B71451-FE7F-47E5-A091-A08FB252FB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E26D3C39-2D00-4A63-AC9D-150F2A3DA2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1680C4B8-F380-4D55-A05F-3876C3667E1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407E33C3-7CD6-4DE6-8C43-BB2101F3BD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74065C2C-55DC-4BB9-9EF9-389FE518DE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A0050C34-0EB2-457C-8D4B-89B7CAD6F6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637FB70B-BCE1-48CA-B089-CACEA85D13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D382ABA1-0028-48C9-ACA3-1087206C2A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1.9884289494590611E-2</c:v>
                  </c:pt>
                  <c:pt idx="1">
                    <c:v>1.9044544461924794E-2</c:v>
                  </c:pt>
                  <c:pt idx="2">
                    <c:v>1.839661923531349E-2</c:v>
                  </c:pt>
                  <c:pt idx="3">
                    <c:v>4.2034923632323813E-2</c:v>
                  </c:pt>
                  <c:pt idx="4">
                    <c:v>0.11468403067745397</c:v>
                  </c:pt>
                  <c:pt idx="5">
                    <c:v>0.10383120880019929</c:v>
                  </c:pt>
                  <c:pt idx="6">
                    <c:v>0.19356698643946296</c:v>
                  </c:pt>
                  <c:pt idx="7">
                    <c:v>1.3834213119312636E-2</c:v>
                  </c:pt>
                  <c:pt idx="8">
                    <c:v>1.5145041567029756E-2</c:v>
                  </c:pt>
                  <c:pt idx="9">
                    <c:v>7.4454580933189879E-2</c:v>
                  </c:pt>
                  <c:pt idx="10">
                    <c:v>0.14253577039605636</c:v>
                  </c:pt>
                  <c:pt idx="11">
                    <c:v>0.12682033410571303</c:v>
                  </c:pt>
                  <c:pt idx="13">
                    <c:v>8.5370214450807669E-2</c:v>
                  </c:pt>
                  <c:pt idx="14">
                    <c:v>0.12045014950658392</c:v>
                  </c:pt>
                  <c:pt idx="15">
                    <c:v>1.1806628958415503E-2</c:v>
                  </c:pt>
                  <c:pt idx="16">
                    <c:v>9.5740225856852768E-2</c:v>
                  </c:pt>
                  <c:pt idx="17">
                    <c:v>0.14327386687513066</c:v>
                  </c:pt>
                  <c:pt idx="18">
                    <c:v>0.14919449394570472</c:v>
                  </c:pt>
                  <c:pt idx="19">
                    <c:v>0.15831199994265799</c:v>
                  </c:pt>
                  <c:pt idx="20">
                    <c:v>0.18921032472445484</c:v>
                  </c:pt>
                </c:numCache>
              </c:numRef>
            </c:plus>
            <c:minus>
              <c:numRef>
                <c:f>'pooled normalised values'!$B$76:$V$76</c:f>
                <c:numCache>
                  <c:formatCode>General</c:formatCode>
                  <c:ptCount val="21"/>
                  <c:pt idx="0">
                    <c:v>1.9884289494590611E-2</c:v>
                  </c:pt>
                  <c:pt idx="1">
                    <c:v>1.9044544461924794E-2</c:v>
                  </c:pt>
                  <c:pt idx="2">
                    <c:v>1.839661923531349E-2</c:v>
                  </c:pt>
                  <c:pt idx="3">
                    <c:v>4.2034923632323813E-2</c:v>
                  </c:pt>
                  <c:pt idx="4">
                    <c:v>0.11468403067745397</c:v>
                  </c:pt>
                  <c:pt idx="5">
                    <c:v>0.10383120880019929</c:v>
                  </c:pt>
                  <c:pt idx="6">
                    <c:v>0.19356698643946296</c:v>
                  </c:pt>
                  <c:pt idx="7">
                    <c:v>1.3834213119312636E-2</c:v>
                  </c:pt>
                  <c:pt idx="8">
                    <c:v>1.5145041567029756E-2</c:v>
                  </c:pt>
                  <c:pt idx="9">
                    <c:v>7.4454580933189879E-2</c:v>
                  </c:pt>
                  <c:pt idx="10">
                    <c:v>0.14253577039605636</c:v>
                  </c:pt>
                  <c:pt idx="11">
                    <c:v>0.12682033410571303</c:v>
                  </c:pt>
                  <c:pt idx="13">
                    <c:v>8.5370214450807669E-2</c:v>
                  </c:pt>
                  <c:pt idx="14">
                    <c:v>0.12045014950658392</c:v>
                  </c:pt>
                  <c:pt idx="15">
                    <c:v>1.1806628958415503E-2</c:v>
                  </c:pt>
                  <c:pt idx="16">
                    <c:v>9.5740225856852768E-2</c:v>
                  </c:pt>
                  <c:pt idx="17">
                    <c:v>0.14327386687513066</c:v>
                  </c:pt>
                  <c:pt idx="18">
                    <c:v>0.14919449394570472</c:v>
                  </c:pt>
                  <c:pt idx="19">
                    <c:v>0.15831199994265799</c:v>
                  </c:pt>
                  <c:pt idx="20">
                    <c:v>0.18921032472445484</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strCache>
            </c:strRef>
          </c:cat>
          <c:val>
            <c:numRef>
              <c:f>'pooled normalised values'!$B$75:$V$75</c:f>
              <c:numCache>
                <c:formatCode>0.0000</c:formatCode>
                <c:ptCount val="21"/>
                <c:pt idx="0">
                  <c:v>0.10559849098261508</c:v>
                </c:pt>
                <c:pt idx="1">
                  <c:v>0.10221538759007587</c:v>
                </c:pt>
                <c:pt idx="2">
                  <c:v>0.10408033895548441</c:v>
                </c:pt>
                <c:pt idx="3">
                  <c:v>0.20653051150841342</c:v>
                </c:pt>
                <c:pt idx="4">
                  <c:v>0.70454228979122879</c:v>
                </c:pt>
                <c:pt idx="5">
                  <c:v>1.1220147484526957</c:v>
                </c:pt>
                <c:pt idx="6">
                  <c:v>2.3243760738784505</c:v>
                </c:pt>
                <c:pt idx="7">
                  <c:v>7.7482401113273772E-2</c:v>
                </c:pt>
                <c:pt idx="8">
                  <c:v>9.307032958310163E-2</c:v>
                </c:pt>
                <c:pt idx="9">
                  <c:v>0.26005829631110139</c:v>
                </c:pt>
                <c:pt idx="10">
                  <c:v>0.64973583974472826</c:v>
                </c:pt>
                <c:pt idx="11">
                  <c:v>0.97616052482560356</c:v>
                </c:pt>
                <c:pt idx="13">
                  <c:v>1</c:v>
                </c:pt>
                <c:pt idx="14">
                  <c:v>1.4646537842606921</c:v>
                </c:pt>
                <c:pt idx="15">
                  <c:v>9.4995751597468342E-2</c:v>
                </c:pt>
                <c:pt idx="16">
                  <c:v>1.2061840641164574</c:v>
                </c:pt>
                <c:pt idx="17">
                  <c:v>1.3735628155879176</c:v>
                </c:pt>
                <c:pt idx="18">
                  <c:v>1.5932267377825438</c:v>
                </c:pt>
                <c:pt idx="19">
                  <c:v>2.0947763701328665</c:v>
                </c:pt>
                <c:pt idx="20">
                  <c:v>1.7898629265126693</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NS</c:v>
                  </c:pt>
                  <c:pt idx="5">
                    <c:v>NS</c:v>
                  </c:pt>
                  <c:pt idx="6">
                    <c:v>NS</c:v>
                  </c:pt>
                  <c:pt idx="7">
                    <c:v>NS</c:v>
                  </c:pt>
                  <c:pt idx="8">
                    <c:v>NS</c:v>
                  </c:pt>
                  <c:pt idx="9">
                    <c:v>NS</c:v>
                  </c:pt>
                  <c:pt idx="10">
                    <c:v>***</c:v>
                  </c:pt>
                  <c:pt idx="11">
                    <c:v>***</c:v>
                  </c:pt>
                  <c:pt idx="13">
                    <c:v>***</c:v>
                  </c:pt>
                  <c:pt idx="14">
                    <c:v>**</c:v>
                  </c:pt>
                  <c:pt idx="15">
                    <c:v>***</c:v>
                  </c:pt>
                  <c:pt idx="16">
                    <c:v>NS</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BPA-1mg/L : 0%</c:v>
                  </c:pt>
                  <c:pt idx="1">
                    <c:v>BPA-2mg/L : 0%</c:v>
                  </c:pt>
                  <c:pt idx="2">
                    <c:v>BPA-3mg/L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BPA-1mg/L : 0%</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C30D58CA-FCF8-4910-A942-2EFE711852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79F3CC50-B11A-433D-AD71-059BA943E2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9E05ADC1-6738-425B-BDBC-815A24A8DE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CF155787-86AE-4E61-8522-C65DF247B4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58433634-92EE-4681-A684-3091535C44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36CAE1EB-76FB-48B9-B213-8717A0B829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1895E73-F9E2-4CFD-8C3E-FA411DA08E2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F515AC2-9822-4C95-B368-A31DDAF8B0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707EE5D2-6F29-455A-B475-924893C9A27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F65B465E-47CF-4314-B741-29F65B85DC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DB4B2DD4-FD98-48B0-9C92-49412DFA9E0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10F2BAE-ADD4-4F8F-8D7E-E6D9EFDA55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47C7C712-B1D6-4E07-9915-EEED510B99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4317E26C-0BE1-47C2-91A5-720F6102B4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1.5145041567029756E-2</c:v>
                  </c:pt>
                  <c:pt idx="2">
                    <c:v>7.4454580933189879E-2</c:v>
                  </c:pt>
                  <c:pt idx="3">
                    <c:v>0.14253577039605636</c:v>
                  </c:pt>
                  <c:pt idx="4">
                    <c:v>0.12682033410571303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1.5145041567029756E-2</c:v>
                  </c:pt>
                  <c:pt idx="2">
                    <c:v>7.4454580933189879E-2</c:v>
                  </c:pt>
                  <c:pt idx="3">
                    <c:v>0.14253577039605636</c:v>
                  </c:pt>
                  <c:pt idx="4">
                    <c:v>0.12682033410571303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9.307032958310163E-2</c:v>
                </c:pt>
                <c:pt idx="2">
                  <c:v>0.26005829631110139</c:v>
                </c:pt>
                <c:pt idx="3">
                  <c:v>0.64973583974472826</c:v>
                </c:pt>
                <c:pt idx="4">
                  <c:v>0.97616052482560356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0.10559849098261508</c:v>
                </c:pt>
                <c:pt idx="1">
                  <c:v>0.10559849098261508</c:v>
                </c:pt>
                <c:pt idx="2">
                  <c:v>0.10559849098261508</c:v>
                </c:pt>
                <c:pt idx="3">
                  <c:v>0.10559849098261508</c:v>
                </c:pt>
                <c:pt idx="4">
                  <c:v>0.10559849098261508</c:v>
                </c:pt>
                <c:pt idx="5">
                  <c:v>0.10559849098261508</c:v>
                </c:pt>
                <c:pt idx="6">
                  <c:v>0.10559849098261508</c:v>
                </c:pt>
                <c:pt idx="7">
                  <c:v>0.10559849098261508</c:v>
                </c:pt>
                <c:pt idx="8">
                  <c:v>0.10559849098261508</c:v>
                </c:pt>
                <c:pt idx="9">
                  <c:v>0.10559849098261508</c:v>
                </c:pt>
                <c:pt idx="10">
                  <c:v>0.10559849098261508</c:v>
                </c:pt>
                <c:pt idx="11">
                  <c:v>0.10559849098261508</c:v>
                </c:pt>
                <c:pt idx="12">
                  <c:v>0.10559849098261508</c:v>
                </c:pt>
                <c:pt idx="13">
                  <c:v>0.10559849098261508</c:v>
                </c:pt>
                <c:pt idx="14">
                  <c:v>0.10559849098261508</c:v>
                </c:pt>
                <c:pt idx="15">
                  <c:v>0.10559849098261508</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9.4995751597468342E-2</c:v>
                </c:pt>
                <c:pt idx="1">
                  <c:v>9.4995751597468342E-2</c:v>
                </c:pt>
                <c:pt idx="2">
                  <c:v>9.4995751597468342E-2</c:v>
                </c:pt>
                <c:pt idx="3">
                  <c:v>9.4995751597468342E-2</c:v>
                </c:pt>
                <c:pt idx="4">
                  <c:v>9.4995751597468342E-2</c:v>
                </c:pt>
                <c:pt idx="5">
                  <c:v>9.4995751597468342E-2</c:v>
                </c:pt>
                <c:pt idx="6">
                  <c:v>9.4995751597468342E-2</c:v>
                </c:pt>
                <c:pt idx="7">
                  <c:v>9.4995751597468342E-2</c:v>
                </c:pt>
                <c:pt idx="8">
                  <c:v>9.4995751597468342E-2</c:v>
                </c:pt>
                <c:pt idx="9">
                  <c:v>9.4995751597468342E-2</c:v>
                </c:pt>
                <c:pt idx="10">
                  <c:v>9.4995751597468342E-2</c:v>
                </c:pt>
                <c:pt idx="11">
                  <c:v>9.4995751597468342E-2</c:v>
                </c:pt>
                <c:pt idx="12">
                  <c:v>9.4995751597468342E-2</c:v>
                </c:pt>
                <c:pt idx="13">
                  <c:v>9.4995751597468342E-2</c:v>
                </c:pt>
                <c:pt idx="14">
                  <c:v>9.4995751597468342E-2</c:v>
                </c:pt>
                <c:pt idx="15">
                  <c:v>9.4995751597468342E-2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1.3696580326632237</c:v>
                </c:pt>
                <c:pt idx="1">
                  <c:v>1.3696580326632237</c:v>
                </c:pt>
                <c:pt idx="2">
                  <c:v>1.3696580326632237</c:v>
                </c:pt>
                <c:pt idx="3">
                  <c:v>1.3696580326632237</c:v>
                </c:pt>
                <c:pt idx="4">
                  <c:v>1.3696580326632237</c:v>
                </c:pt>
                <c:pt idx="5">
                  <c:v>1.3696580326632237</c:v>
                </c:pt>
                <c:pt idx="6">
                  <c:v>1.3696580326632237</c:v>
                </c:pt>
                <c:pt idx="7">
                  <c:v>1.3696580326632237</c:v>
                </c:pt>
                <c:pt idx="8">
                  <c:v>1.3696580326632237</c:v>
                </c:pt>
                <c:pt idx="9">
                  <c:v>1.3696580326632237</c:v>
                </c:pt>
                <c:pt idx="10">
                  <c:v>1.3696580326632237</c:v>
                </c:pt>
                <c:pt idx="11">
                  <c:v>1.3696580326632237</c:v>
                </c:pt>
                <c:pt idx="12">
                  <c:v>1.3696580326632237</c:v>
                </c:pt>
                <c:pt idx="13">
                  <c:v>1.3696580326632237</c:v>
                </c:pt>
                <c:pt idx="14">
                  <c:v>1.3696580326632237</c:v>
                </c:pt>
                <c:pt idx="15">
                  <c:v>1.3696580326632237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1.1303419673367763</c:v>
                </c:pt>
                <c:pt idx="1">
                  <c:v>1.1303419673367763</c:v>
                </c:pt>
                <c:pt idx="2">
                  <c:v>1.1303419673367763</c:v>
                </c:pt>
                <c:pt idx="3">
                  <c:v>1.1303419673367763</c:v>
                </c:pt>
                <c:pt idx="4">
                  <c:v>1.1303419673367763</c:v>
                </c:pt>
                <c:pt idx="5">
                  <c:v>1.1303419673367763</c:v>
                </c:pt>
                <c:pt idx="6">
                  <c:v>1.1303419673367763</c:v>
                </c:pt>
                <c:pt idx="7">
                  <c:v>1.1303419673367763</c:v>
                </c:pt>
                <c:pt idx="8">
                  <c:v>1.1303419673367763</c:v>
                </c:pt>
                <c:pt idx="9">
                  <c:v>1.1303419673367763</c:v>
                </c:pt>
                <c:pt idx="10">
                  <c:v>1.1303419673367763</c:v>
                </c:pt>
                <c:pt idx="11">
                  <c:v>1.1303419673367763</c:v>
                </c:pt>
                <c:pt idx="12">
                  <c:v>1.1303419673367763</c:v>
                </c:pt>
                <c:pt idx="13">
                  <c:v>1.1303419673367763</c:v>
                </c:pt>
                <c:pt idx="14">
                  <c:v>1.1303419673367763</c:v>
                </c:pt>
                <c:pt idx="15">
                  <c:v>1.1303419673367763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C3967DFE-31F2-4EBE-9D9B-2DA0F0FAECF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43897D43-901C-4976-9506-0632298F883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1B7B2C78-473E-44AA-92FC-106E385E56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2A831D47-BF15-4848-8BBF-3E68212B18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908E77B2-CA21-4152-A2B5-AEAA742E37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238D1AA8-B0D0-4AF8-89BA-030CD8E7FD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75C03B9C-7DDD-4536-B1EF-85797DD849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A02BC7C-5B2F-4047-AEF0-73593831C08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EC87F24F-773A-416D-B0B9-3350AA90C7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F051EE00-E647-4C43-9B17-12B058DD77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CDCDC7C6-A4BA-4CA9-B6A9-ACFD82C2FD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D14E17E0-2296-4FFF-A61D-D80B4CBED9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64AFBAC5-B1F5-40EB-B127-609F99E4CE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E3598940-4B98-49BB-9319-EDF7FE9552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9.5740225856852768E-2</c:v>
                  </c:pt>
                  <c:pt idx="2">
                    <c:v>0.14327386687513066</c:v>
                  </c:pt>
                  <c:pt idx="3">
                    <c:v>0.14919449394570472</c:v>
                  </c:pt>
                  <c:pt idx="4">
                    <c:v>0.15831199994265799</c:v>
                  </c:pt>
                  <c:pt idx="5">
                    <c:v>0.18921032472445484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9.5740225856852768E-2</c:v>
                  </c:pt>
                  <c:pt idx="2">
                    <c:v>0.14327386687513066</c:v>
                  </c:pt>
                  <c:pt idx="3">
                    <c:v>0.14919449394570472</c:v>
                  </c:pt>
                  <c:pt idx="4">
                    <c:v>0.15831199994265799</c:v>
                  </c:pt>
                  <c:pt idx="5">
                    <c:v>0.18921032472445484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1.2061840641164574</c:v>
                </c:pt>
                <c:pt idx="2">
                  <c:v>1.3735628155879176</c:v>
                </c:pt>
                <c:pt idx="3">
                  <c:v>1.5932267377825438</c:v>
                </c:pt>
                <c:pt idx="4">
                  <c:v>2.0947763701328665</c:v>
                </c:pt>
                <c:pt idx="5">
                  <c:v>1.7898629265126693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F18E080-C95A-47FD-8956-2D6F1E770E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5D05C469-FD4B-4C87-8436-1C82C37FA8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1A537A20-0662-4A5D-B5C8-610DE208BF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2CA598DB-36BF-43CA-996A-523DF18F43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FEB60E6E-2892-4E29-B64E-D24843F6A5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6E26C964-B320-4CB5-A18A-3D26B40E950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C867A833-9D65-48BD-BA3B-30744C77A84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138CE5DC-7267-4FF0-949A-F1FFF0ACC5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DDAAD59C-5316-4497-9865-4ED733700B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2127AD8-3517-4071-9F02-804C9CE872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F45C5F41-F33A-4833-86CD-CD365AB2BE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66F1D1FE-931E-4AC5-BA44-8CD9569290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B779AAE0-F53E-4613-8790-82116BC7FA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7659D801-EE89-45D5-9952-21B9B688AA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1.5145041567029756E-2</c:v>
                  </c:pt>
                  <c:pt idx="2">
                    <c:v>7.4454580933189879E-2</c:v>
                  </c:pt>
                  <c:pt idx="3">
                    <c:v>0.14253577039605636</c:v>
                  </c:pt>
                  <c:pt idx="4">
                    <c:v>0.12682033410571303</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1.5145041567029756E-2</c:v>
                  </c:pt>
                  <c:pt idx="2">
                    <c:v>7.4454580933189879E-2</c:v>
                  </c:pt>
                  <c:pt idx="3">
                    <c:v>0.14253577039605636</c:v>
                  </c:pt>
                  <c:pt idx="4">
                    <c:v>0.12682033410571303</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BPA-2mg/L</c:v>
                </c:pt>
                <c:pt idx="2">
                  <c:v>BPA-3mg/L</c:v>
                </c:pt>
                <c:pt idx="3">
                  <c:v>BPA-4mg/L</c:v>
                </c:pt>
                <c:pt idx="4">
                  <c:v>BPA-5mg/L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9.307032958310163E-2</c:v>
                </c:pt>
                <c:pt idx="2">
                  <c:v>0.26005829631110139</c:v>
                </c:pt>
                <c:pt idx="3">
                  <c:v>0.64973583974472826</c:v>
                </c:pt>
                <c:pt idx="4">
                  <c:v>0.97616052482560356</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0.10559849098261508</c:v>
                </c:pt>
                <c:pt idx="1">
                  <c:v>0.10559849098261508</c:v>
                </c:pt>
                <c:pt idx="2">
                  <c:v>0.10559849098261508</c:v>
                </c:pt>
                <c:pt idx="3">
                  <c:v>0.10559849098261508</c:v>
                </c:pt>
                <c:pt idx="4">
                  <c:v>0.10559849098261508</c:v>
                </c:pt>
                <c:pt idx="5">
                  <c:v>0.10559849098261508</c:v>
                </c:pt>
                <c:pt idx="6">
                  <c:v>0.10559849098261508</c:v>
                </c:pt>
                <c:pt idx="7">
                  <c:v>0.10559849098261508</c:v>
                </c:pt>
                <c:pt idx="8">
                  <c:v>0.10559849098261508</c:v>
                </c:pt>
                <c:pt idx="9">
                  <c:v>0.10559849098261508</c:v>
                </c:pt>
                <c:pt idx="10">
                  <c:v>0.10559849098261508</c:v>
                </c:pt>
                <c:pt idx="11">
                  <c:v>0.10559849098261508</c:v>
                </c:pt>
                <c:pt idx="12">
                  <c:v>0.10559849098261508</c:v>
                </c:pt>
                <c:pt idx="13">
                  <c:v>0.10559849098261508</c:v>
                </c:pt>
                <c:pt idx="14">
                  <c:v>0.10559849098261508</c:v>
                </c:pt>
                <c:pt idx="15">
                  <c:v>0.10559849098261508</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9.4995751597468342E-2</c:v>
                </c:pt>
                <c:pt idx="1">
                  <c:v>9.4995751597468342E-2</c:v>
                </c:pt>
                <c:pt idx="2">
                  <c:v>9.4995751597468342E-2</c:v>
                </c:pt>
                <c:pt idx="3">
                  <c:v>9.4995751597468342E-2</c:v>
                </c:pt>
                <c:pt idx="4">
                  <c:v>9.4995751597468342E-2</c:v>
                </c:pt>
                <c:pt idx="5">
                  <c:v>9.4995751597468342E-2</c:v>
                </c:pt>
                <c:pt idx="6">
                  <c:v>9.4995751597468342E-2</c:v>
                </c:pt>
                <c:pt idx="7">
                  <c:v>9.4995751597468342E-2</c:v>
                </c:pt>
                <c:pt idx="8">
                  <c:v>9.4995751597468342E-2</c:v>
                </c:pt>
                <c:pt idx="9">
                  <c:v>9.4995751597468342E-2</c:v>
                </c:pt>
                <c:pt idx="10">
                  <c:v>9.4995751597468342E-2</c:v>
                </c:pt>
                <c:pt idx="11">
                  <c:v>9.4995751597468342E-2</c:v>
                </c:pt>
                <c:pt idx="12">
                  <c:v>9.4995751597468342E-2</c:v>
                </c:pt>
                <c:pt idx="13">
                  <c:v>9.4995751597468342E-2</c:v>
                </c:pt>
                <c:pt idx="14">
                  <c:v>9.4995751597468342E-2</c:v>
                </c:pt>
                <c:pt idx="15">
                  <c:v>9.4995751597468342E-2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1.3696580326632237</c:v>
                </c:pt>
                <c:pt idx="1">
                  <c:v>1.3696580326632237</c:v>
                </c:pt>
                <c:pt idx="2">
                  <c:v>1.3696580326632237</c:v>
                </c:pt>
                <c:pt idx="3">
                  <c:v>1.3696580326632237</c:v>
                </c:pt>
                <c:pt idx="4">
                  <c:v>1.3696580326632237</c:v>
                </c:pt>
                <c:pt idx="5">
                  <c:v>1.3696580326632237</c:v>
                </c:pt>
                <c:pt idx="6">
                  <c:v>1.3696580326632237</c:v>
                </c:pt>
                <c:pt idx="7">
                  <c:v>1.3696580326632237</c:v>
                </c:pt>
                <c:pt idx="8">
                  <c:v>1.3696580326632237</c:v>
                </c:pt>
                <c:pt idx="9">
                  <c:v>1.3696580326632237</c:v>
                </c:pt>
                <c:pt idx="10">
                  <c:v>1.3696580326632237</c:v>
                </c:pt>
                <c:pt idx="11">
                  <c:v>1.3696580326632237</c:v>
                </c:pt>
                <c:pt idx="12">
                  <c:v>1.3696580326632237</c:v>
                </c:pt>
                <c:pt idx="13">
                  <c:v>1.3696580326632237</c:v>
                </c:pt>
                <c:pt idx="14">
                  <c:v>1.3696580326632237</c:v>
                </c:pt>
                <c:pt idx="15">
                  <c:v>1.3696580326632237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1.1303419673367763</c:v>
                </c:pt>
                <c:pt idx="1">
                  <c:v>1.1303419673367763</c:v>
                </c:pt>
                <c:pt idx="2">
                  <c:v>1.1303419673367763</c:v>
                </c:pt>
                <c:pt idx="3">
                  <c:v>1.1303419673367763</c:v>
                </c:pt>
                <c:pt idx="4">
                  <c:v>1.1303419673367763</c:v>
                </c:pt>
                <c:pt idx="5">
                  <c:v>1.1303419673367763</c:v>
                </c:pt>
                <c:pt idx="6">
                  <c:v>1.1303419673367763</c:v>
                </c:pt>
                <c:pt idx="7">
                  <c:v>1.1303419673367763</c:v>
                </c:pt>
                <c:pt idx="8">
                  <c:v>1.1303419673367763</c:v>
                </c:pt>
                <c:pt idx="9">
                  <c:v>1.1303419673367763</c:v>
                </c:pt>
                <c:pt idx="10">
                  <c:v>1.1303419673367763</c:v>
                </c:pt>
                <c:pt idx="11">
                  <c:v>1.1303419673367763</c:v>
                </c:pt>
                <c:pt idx="12">
                  <c:v>1.1303419673367763</c:v>
                </c:pt>
                <c:pt idx="13">
                  <c:v>1.1303419673367763</c:v>
                </c:pt>
                <c:pt idx="14">
                  <c:v>1.1303419673367763</c:v>
                </c:pt>
                <c:pt idx="15">
                  <c:v>1.1303419673367763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B78D3DE-F4FD-4981-8369-D1D96895AF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3057CEF6-442C-46AD-A4ED-1C25E3C065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5FC91572-FDBC-429D-93B3-6952B72F2A6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6D38A468-638B-412A-B7DD-32236AE210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A555A36A-D291-4C4E-B1B5-705A83C6BA9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DC1289CB-DDBE-43C1-833B-2C31883F05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674F2876-84CE-4759-B5E5-14643C35F0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B0407FB6-149E-47CD-B4D3-2172172EC1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5FF97B20-88BC-45C8-961C-DC4AE00283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24A37C5C-BD00-4E55-B059-CABE981B06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282A23B3-5650-4A60-A79B-FA4289A0DE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64E0EAF-0C3C-4702-A777-D139716712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9386C3B4-B971-4C4E-AB31-C23BCBE59D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D0D37C0E-A968-4FB3-B1AC-E835C61322E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9.5740225856852768E-2</c:v>
                  </c:pt>
                  <c:pt idx="2">
                    <c:v>0.14327386687513066</c:v>
                  </c:pt>
                  <c:pt idx="3">
                    <c:v>0.14919449394570472</c:v>
                  </c:pt>
                  <c:pt idx="4">
                    <c:v>0.15831199994265799</c:v>
                  </c:pt>
                  <c:pt idx="5">
                    <c:v>0.18921032472445484</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9.5740225856852768E-2</c:v>
                  </c:pt>
                  <c:pt idx="2">
                    <c:v>0.14327386687513066</c:v>
                  </c:pt>
                  <c:pt idx="3">
                    <c:v>0.14919449394570472</c:v>
                  </c:pt>
                  <c:pt idx="4">
                    <c:v>0.15831199994265799</c:v>
                  </c:pt>
                  <c:pt idx="5">
                    <c:v>0.18921032472445484</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1.2061840641164574</c:v>
                </c:pt>
                <c:pt idx="2">
                  <c:v>1.3735628155879176</c:v>
                </c:pt>
                <c:pt idx="3">
                  <c:v>1.5932267377825438</c:v>
                </c:pt>
                <c:pt idx="4">
                  <c:v>2.0947763701328665</c:v>
                </c:pt>
                <c:pt idx="5">
                  <c:v>1.7898629265126693</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BPA-1mg/L + Testostérone</c:v>
                </c:pt>
                <c:pt idx="2">
                  <c:v>BPA-2mg/L + Testostérone</c:v>
                </c:pt>
                <c:pt idx="3">
                  <c:v>BPA-3mg/L + Testostérone</c:v>
                </c:pt>
                <c:pt idx="4">
                  <c:v>BPA-4mg/L + Testostérone</c:v>
                </c:pt>
                <c:pt idx="5">
                  <c:v>BPA-5mg/L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96E786DB-FE27-4E96-AD24-4CDDF1A815F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A6020C5A-36C1-4B6E-ACE1-900A8CE188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1.5145041567029756E-2</c:v>
                  </c:pt>
                </c:numCache>
              </c:numRef>
            </c:plus>
            <c:minus>
              <c:numRef>
                <c:f>'Graph format rapport CHG 1éch'!$E$4:$G$4</c:f>
                <c:numCache>
                  <c:formatCode>General</c:formatCode>
                  <c:ptCount val="3"/>
                  <c:pt idx="1">
                    <c:v>1.5145041567029756E-2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9.307032958310163E-2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0.10559849098261508</c:v>
                </c:pt>
                <c:pt idx="1">
                  <c:v>0.10559849098261508</c:v>
                </c:pt>
                <c:pt idx="2">
                  <c:v>0.10559849098261508</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9.4995751597468342E-2</c:v>
                </c:pt>
                <c:pt idx="1">
                  <c:v>9.4995751597468342E-2</c:v>
                </c:pt>
                <c:pt idx="2">
                  <c:v>9.4995751597468342E-2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1.3696580326632237</c:v>
                </c:pt>
                <c:pt idx="1">
                  <c:v>1.3696580326632237</c:v>
                </c:pt>
                <c:pt idx="2">
                  <c:v>1.3696580326632237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1.1303419673367763</c:v>
                </c:pt>
                <c:pt idx="1">
                  <c:v>1.1303419673367763</c:v>
                </c:pt>
                <c:pt idx="2">
                  <c:v>1.1303419673367763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8A40858D-B2C8-4502-B189-926DFBD7195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818FA84-6CD2-46B6-91EE-AD560F6D68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9.5740225856852768E-2</c:v>
                  </c:pt>
                </c:numCache>
              </c:numRef>
            </c:plus>
            <c:minus>
              <c:numRef>
                <c:f>'Graph format rapport CHG 1éch'!$H$4:$J$4</c:f>
                <c:numCache>
                  <c:formatCode>General</c:formatCode>
                  <c:ptCount val="3"/>
                  <c:pt idx="1">
                    <c:v>9.5740225856852768E-2</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1.2061840641164574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BPA-2mg/L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BPA-2mg/L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BPA-2mg/L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6B2E4C8B-5C56-4F6A-8149-D46FB67A9C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1CCD837C-6540-47EC-98CC-E7B6476DD56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1.5145041567029756E-2</c:v>
                  </c:pt>
                </c:numCache>
              </c:numRef>
            </c:plus>
            <c:minus>
              <c:numRef>
                <c:f>'Graph format rapport CHG 1éch'!$E$4:$G$4</c:f>
                <c:numCache>
                  <c:formatCode>General</c:formatCode>
                  <c:ptCount val="3"/>
                  <c:pt idx="1">
                    <c:v>1.5145041567029756E-2</c:v>
                  </c:pt>
                </c:numCache>
              </c:numRef>
            </c:minus>
          </c:errBars>
          <c:cat>
            <c:strRef>
              <c:f>'Graph format rapport CHG 1éch'!$E$2:$G$2</c:f>
              <c:strCache>
                <c:ptCount val="2"/>
                <c:pt idx="1">
                  <c:v>BPA-2mg/L</c:v>
                </c:pt>
              </c:strCache>
            </c:strRef>
          </c:cat>
          <c:val>
            <c:numRef>
              <c:f>'Graph format rapport CHG 1éch'!$E$3:$G$3</c:f>
              <c:numCache>
                <c:formatCode>General</c:formatCode>
                <c:ptCount val="3"/>
                <c:pt idx="1">
                  <c:v>9.307032958310163E-2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0.10559849098261508</c:v>
                </c:pt>
                <c:pt idx="1">
                  <c:v>0.10559849098261508</c:v>
                </c:pt>
                <c:pt idx="2">
                  <c:v>0.10559849098261508</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1éch'!$H$8:$J$8</c:f>
              <c:numCache>
                <c:formatCode>General</c:formatCode>
                <c:ptCount val="3"/>
                <c:pt idx="0">
                  <c:v>9.4995751597468342E-2</c:v>
                </c:pt>
                <c:pt idx="1">
                  <c:v>9.4995751597468342E-2</c:v>
                </c:pt>
                <c:pt idx="2">
                  <c:v>9.4995751597468342E-2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BPA-1mg/L + Testostérone</c:v>
                </c:pt>
              </c:strCache>
            </c:strRef>
          </c:cat>
          <c:val>
            <c:numRef>
              <c:f>'Graph format rapport CHG 1éch'!$H$9:$J$9</c:f>
              <c:numCache>
                <c:formatCode>General</c:formatCode>
                <c:ptCount val="3"/>
                <c:pt idx="0">
                  <c:v>1.3696580326632237</c:v>
                </c:pt>
                <c:pt idx="1">
                  <c:v>1.3696580326632237</c:v>
                </c:pt>
                <c:pt idx="2">
                  <c:v>1.3696580326632237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BPA-1mg/L + Testostérone</c:v>
                </c:pt>
              </c:strCache>
            </c:strRef>
          </c:cat>
          <c:val>
            <c:numRef>
              <c:f>'Graph format rapport CHG 1éch'!$H$10:$J$10</c:f>
              <c:numCache>
                <c:formatCode>General</c:formatCode>
                <c:ptCount val="3"/>
                <c:pt idx="0">
                  <c:v>1.1303419673367763</c:v>
                </c:pt>
                <c:pt idx="1">
                  <c:v>1.1303419673367763</c:v>
                </c:pt>
                <c:pt idx="2">
                  <c:v>1.1303419673367763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E9D1B8FD-7C99-4278-B833-60336643843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5DB8B273-0B05-4393-A3DC-6BC255E11D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9.5740225856852768E-2</c:v>
                  </c:pt>
                </c:numCache>
              </c:numRef>
            </c:plus>
            <c:minus>
              <c:numRef>
                <c:f>'Graph format rapport CHG 1éch'!$H$4:$J$4</c:f>
                <c:numCache>
                  <c:formatCode>General</c:formatCode>
                  <c:ptCount val="3"/>
                  <c:pt idx="1">
                    <c:v>9.5740225856852768E-2</c:v>
                  </c:pt>
                </c:numCache>
              </c:numRef>
            </c:minus>
          </c:errBars>
          <c:cat>
            <c:strRef>
              <c:f>'Graph format rapport CHG 1éch'!$H$2:$J$2</c:f>
              <c:strCache>
                <c:ptCount val="2"/>
                <c:pt idx="1">
                  <c:v>BPA-1mg/L + Testostérone</c:v>
                </c:pt>
              </c:strCache>
            </c:strRef>
          </c:cat>
          <c:val>
            <c:numRef>
              <c:f>'Graph format rapport CHG 1éch'!$H$3:$J$3</c:f>
              <c:numCache>
                <c:formatCode>General</c:formatCode>
                <c:ptCount val="3"/>
                <c:pt idx="1">
                  <c:v>1.2061840641164574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BPA-1mg/L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30"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2"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2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2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3212" cy="6044712"/>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0.10466</cdr:y>
    </cdr:to>
    <cdr:sp macro="" textlink="">
      <cdr:nvSpPr>
        <cdr:cNvPr id="2" name="ZoneTexte 1"/>
        <cdr:cNvSpPr txBox="1"/>
      </cdr:nvSpPr>
      <cdr:spPr>
        <a:xfrm xmlns:a="http://schemas.openxmlformats.org/drawingml/2006/main">
          <a:off x="3948024" y="102620"/>
          <a:ext cx="155620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2020-CHG-CZA-BPA-1</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0.05876</cdr:y>
    </cdr:to>
    <cdr:sp macro="" textlink="">
      <cdr:nvSpPr>
        <cdr:cNvPr id="2" name="ZoneTexte 1"/>
        <cdr:cNvSpPr txBox="1"/>
      </cdr:nvSpPr>
      <cdr:spPr>
        <a:xfrm xmlns:a="http://schemas.openxmlformats.org/drawingml/2006/main">
          <a:off x="3483485" y="91003"/>
          <a:ext cx="1696124" cy="264560"/>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r>
            <a:rPr lang="fr-FR" sz="1100" b="1">
              <a:effectLst/>
              <a:latin typeface="+mn-lt"/>
              <a:ea typeface="+mn-ea"/>
              <a:cs typeface="+mn-cs"/>
            </a:rPr>
            <a:t>2020-CHG-CZA-BPA-2</a:t>
          </a:r>
          <a:endParaRPr lang="fr-FR" sz="1400">
            <a:effectLst/>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0911" cy="6045953"/>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0911" cy="6045953"/>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061.485541203707"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59.693489351848" createdVersion="5" refreshedVersion="6" minRefreshableVersion="3" recordCount="1556" xr:uid="{00000000-000A-0000-FFFF-FFFF0C000000}">
  <cacheSource type="worksheet">
    <worksheetSource name="Tableau4"/>
  </cacheSource>
  <cacheFields count="9">
    <cacheField name="Nom groupe" numFmtId="0">
      <sharedItems containsBlank="1" count="23">
        <s v="01 TS"/>
        <s v=""/>
        <s v="02 EE2 34"/>
        <s v="03 EE2 51"/>
        <s v="04 EE2 76"/>
        <s v="05 EE2 114"/>
        <s v="06 EE2 171"/>
        <s v="07 EE2 488"/>
        <s v="08 BPA 1"/>
        <s v="09 BPA 2"/>
        <s v="10  BPA 3"/>
        <s v="11 BPA 4"/>
        <s v="12  BPA 5"/>
        <s v="13 Testo 30"/>
        <s v="14 Testo 30"/>
        <s v="15 Testo + EE2"/>
        <s v="16 Testo + FAD"/>
        <s v="17 Testo +  BPA 1"/>
        <s v="18  Testo +  BPA 2"/>
        <s v="19 Testo + BPA 3"/>
        <s v="20 Testo +  BPA 4"/>
        <s v="21 Testo +  BPA 5"/>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64"/>
    </cacheField>
    <cacheField name=" " numFmtId="0">
      <sharedItems containsBlank="1" count="24">
        <s v=" "/>
        <m/>
        <s v=" SD mean fluo "/>
        <s v=" 2.5523 "/>
        <s v=" 2.5038 "/>
        <s v=" 1.2629 "/>
        <s v=" 2.2762 "/>
        <s v=" 4.0798 "/>
        <s v=" 6.0573 "/>
        <s v=" 12.4913 "/>
        <s v=" 2.7605 "/>
        <s v=" 3.1825 "/>
        <s v=" 5.243 "/>
        <s v=" 6.1511 "/>
        <s v=" 7.8875 "/>
        <s v=" 5.9958 "/>
        <s v=" 4.3883 "/>
        <s v=" 6.0135 "/>
        <s v=" 3.0405 "/>
        <s v=" 6.0558 "/>
        <s v=" 9.5039 "/>
        <s v=" 8.6287 "/>
        <s v=" 7.5715 "/>
        <s v=" 9.3372 "/>
      </sharedItems>
    </cacheField>
    <cacheField name=" total fluorescence" numFmtId="0">
      <sharedItems containsBlank="1" containsMixedTypes="1" containsNumber="1" containsInteger="1" minValue="9387" maxValue="6869049"/>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62.402799537034" createdVersion="5" refreshedVersion="6" minRefreshableVersion="3" recordCount="1530" xr:uid="{00000000-000A-0000-FFFF-FFFF10000000}">
  <cacheSource type="worksheet">
    <worksheetSource name="Tableau46"/>
  </cacheSource>
  <cacheFields count="9">
    <cacheField name="Nom groupe" numFmtId="0">
      <sharedItems count="22">
        <s v="01 TS"/>
        <s v=""/>
        <s v="02 EE2 34"/>
        <s v="03 EE2 51"/>
        <s v="04 EE2 76"/>
        <s v="05 EE2 114"/>
        <s v="06 EE2 171"/>
        <s v="07 EE2 488"/>
        <s v="08 BPA 1"/>
        <s v="09 BPA 2"/>
        <s v="10  BPA 3"/>
        <s v="11 BPA 4"/>
        <s v="12  BPA 5"/>
        <s v="13 Testo 30"/>
        <s v="14 Testo 30"/>
        <s v="15 Testo + EE2"/>
        <s v="16 Testo + FAD"/>
        <s v="17 Testo +  BPA 1"/>
        <s v="18  Testo +  BPA 2"/>
        <s v="19 Testo + BPA 3"/>
        <s v="20 Testo +  BPA 4"/>
        <s v="21 Testo +  BPA 5"/>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63"/>
    </cacheField>
    <cacheField name=" " numFmtId="0">
      <sharedItems containsBlank="1" count="24">
        <s v=" "/>
        <m/>
        <s v=" SD mean fluo "/>
        <s v=" 5.2376 "/>
        <s v=" 5.1273 "/>
        <s v=" 4.8412 "/>
        <s v=" 7.0777 "/>
        <s v=" 2.966 "/>
        <s v=" 7.3251 "/>
        <s v=" 7.6632 "/>
        <s v=" 4.2983 "/>
        <s v=" 4.7605 "/>
        <s v=" 6.9749 "/>
        <s v=" 3.7259 "/>
        <s v=" 4.8667 "/>
        <s v=" 5.301 "/>
        <s v=" 4.6275 "/>
        <s v=" 4.2753 "/>
        <s v=" 4.6356 "/>
        <s v=" 3.9245 "/>
        <s v=" 7.3295 "/>
        <s v=" 8.6971 "/>
        <s v=" 7.378 "/>
        <s v=" 6.5321 "/>
      </sharedItems>
    </cacheField>
    <cacheField name=" total fluorescence" numFmtId="0">
      <sharedItems containsBlank="1" containsMixedTypes="1" containsNumber="1" containsInteger="1" minValue="10750" maxValue="8416711"/>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68.66954988426" createdVersion="5" refreshedVersion="6"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BPA 1"/>
        <s v="09 BPA 2"/>
        <s v="10  BPA 3"/>
        <s v="11 BPA 4"/>
        <s v="12  BPA 5"/>
        <s v="13 Testo 30"/>
        <s v="14 Testo 30"/>
        <s v="15 Testo + EE2"/>
        <s v="16 Testo + FAD"/>
        <s v="17 Testo +  BPA 1"/>
        <s v="18  Testo +  BPA 2"/>
        <s v="19 Testo + BPA 3"/>
        <s v="20 Testo +  BPA 4"/>
        <s v="21 Testo +  BPA 5"/>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65"/>
    </cacheField>
    <cacheField name=" " numFmtId="0">
      <sharedItems containsBlank="1" count="24">
        <s v=" "/>
        <m/>
        <s v=" SD mean fluo "/>
        <s v=" 3.301 "/>
        <s v=" 5.7218 "/>
        <s v=" 2.3759 "/>
        <s v=" 1.4681 "/>
        <s v=" 5.7305 "/>
        <s v=" 4.6673 "/>
        <s v=" 8.5791 "/>
        <s v=" 2.7298 "/>
        <s v=" 4.4372 "/>
        <s v=" 10.7443 "/>
        <s v=" 4.4575 "/>
        <s v=" 5.4202 "/>
        <s v=" 3.1155 "/>
        <s v=" 3.8068 "/>
        <s v=" 5.4695 "/>
        <s v=" 2.5059 "/>
        <s v=" 3.022 "/>
        <s v=" 8.0527 "/>
        <s v=" 7.9101 "/>
        <s v=" 8.3203 "/>
        <s v=" 9.5411 "/>
      </sharedItems>
    </cacheField>
    <cacheField name=" total fluorescence" numFmtId="0">
      <sharedItems containsBlank="1" containsMixedTypes="1" containsNumber="1" containsInteger="1" minValue="6770" maxValue="8138421"/>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Données chgh\2020-CHG-CZA-BPA-1\plaque 1/@01 TS/A1_01.tif "/>
    <s v=" 281.1886 "/>
    <s v=" 65.3077 "/>
    <x v="0"/>
    <n v="18364"/>
    <m/>
    <m/>
  </r>
  <r>
    <x v="0"/>
    <x v="0"/>
    <s v="F:\Données chgh\2020-CHG-CZA-BPA-1\plaque 1/@01 TS/A1_02.tif "/>
    <s v=" 627.2669 "/>
    <s v=" 61.6552 "/>
    <x v="0"/>
    <n v="38674"/>
    <m/>
    <m/>
  </r>
  <r>
    <x v="0"/>
    <x v="0"/>
    <s v="F:\Données chgh\2020-CHG-CZA-BPA-1\plaque 1/@01 TS/A1_03.tif "/>
    <s v=" 692.1566 "/>
    <s v=" 64.5625 "/>
    <x v="0"/>
    <n v="44687"/>
    <m/>
    <m/>
  </r>
  <r>
    <x v="0"/>
    <x v="1"/>
    <s v="F:\Données chgh\2020-CHG-CZA-BPA-1\plaque 1/@01 TS/B1_01.tif "/>
    <s v=" 3071.445 "/>
    <s v=" 65.5986 "/>
    <x v="0"/>
    <n v="201482"/>
    <m/>
    <m/>
  </r>
  <r>
    <x v="0"/>
    <x v="1"/>
    <s v="F:\Données chgh\2020-CHG-CZA-BPA-1\plaque 1/@01 TS/B1_02.tif "/>
    <s v=" 2098.0998 "/>
    <s v=" 64.2371 "/>
    <x v="0"/>
    <n v="134776"/>
    <m/>
    <m/>
  </r>
  <r>
    <x v="0"/>
    <x v="1"/>
    <s v="F:\Données chgh\2020-CHG-CZA-BPA-1\plaque 1/@01 TS/B1_03.tif "/>
    <s v=" 194.6691 "/>
    <s v=" 65.1111 "/>
    <x v="0"/>
    <n v="12675"/>
    <m/>
    <m/>
  </r>
  <r>
    <x v="0"/>
    <x v="2"/>
    <s v="F:\Données chgh\2020-CHG-CZA-BPA-1\plaque 1/@01 TS/C1_01.tif "/>
    <s v=" 1514.0926 "/>
    <s v=" 66.3714 "/>
    <x v="0"/>
    <n v="100492"/>
    <m/>
    <m/>
  </r>
  <r>
    <x v="0"/>
    <x v="2"/>
    <s v="F:\Données chgh\2020-CHG-CZA-BPA-1\plaque 1/@01 TS/C1_02.tif "/>
    <s v=" 2855.1461 "/>
    <s v=" 68.4242 "/>
    <x v="0"/>
    <n v="195361"/>
    <m/>
    <m/>
  </r>
  <r>
    <x v="0"/>
    <x v="2"/>
    <s v="F:\Données chgh\2020-CHG-CZA-BPA-1\plaque 1/@01 TS/C1_03.tif "/>
    <s v=" 7462.3136 "/>
    <s v=" 73.5565 "/>
    <x v="0"/>
    <n v="548902"/>
    <m/>
    <m/>
  </r>
  <r>
    <x v="0"/>
    <x v="3"/>
    <s v="F:\Données chgh\2020-CHG-CZA-BPA-1\plaque 1/@01 TS/D1_01.tif "/>
    <s v=" 1492.4627 "/>
    <s v=" 66.058 "/>
    <x v="0"/>
    <n v="98589"/>
    <m/>
    <m/>
  </r>
  <r>
    <x v="0"/>
    <x v="3"/>
    <s v="F:\Données chgh\2020-CHG-CZA-BPA-1\plaque 1/@01 TS/D1_02.tif "/>
    <s v=" 843.5659 "/>
    <s v=" 67.7692 "/>
    <x v="0"/>
    <n v="57168"/>
    <m/>
    <m/>
  </r>
  <r>
    <x v="0"/>
    <x v="3"/>
    <s v="F:\Données chgh\2020-CHG-CZA-BPA-1\plaque 1/@01 TS/D1_03- exclu.tif"/>
    <m/>
    <m/>
    <x v="1"/>
    <m/>
    <m/>
    <m/>
  </r>
  <r>
    <x v="0"/>
    <x v="4"/>
    <s v="F:\Données chgh\2020-CHG-CZA-BPA-1\plaque 1/@01 TS/E1_01- exclu.tif"/>
    <m/>
    <m/>
    <x v="1"/>
    <m/>
    <m/>
    <m/>
  </r>
  <r>
    <x v="0"/>
    <x v="4"/>
    <s v="F:\Données chgh\2020-CHG-CZA-BPA-1\plaque 1/@01 TS/E1_02.tif "/>
    <s v=" 605.637 "/>
    <s v=" 66.25 "/>
    <x v="0"/>
    <n v="40123"/>
    <m/>
    <m/>
  </r>
  <r>
    <x v="0"/>
    <x v="4"/>
    <s v="F:\Données chgh\2020-CHG-CZA-BPA-1\plaque 1/@01 TS/E1_03.tif "/>
    <s v=" 1059.8648 "/>
    <s v=" 63.6122 "/>
    <x v="0"/>
    <n v="67420"/>
    <m/>
    <m/>
  </r>
  <r>
    <x v="0"/>
    <x v="5"/>
    <s v="F:\Données chgh\2020-CHG-CZA-BPA-1\plaque 1/@01 TS/F1_01.tif "/>
    <s v=" 410.968 "/>
    <s v=" 64.6316 "/>
    <x v="0"/>
    <n v="26562"/>
    <m/>
    <m/>
  </r>
  <r>
    <x v="0"/>
    <x v="5"/>
    <s v="F:\Données chgh\2020-CHG-CZA-BPA-1\plaque 1/@01 TS/F1_02.tif "/>
    <s v=" 237.9288 "/>
    <n v="64"/>
    <x v="0"/>
    <n v="15227"/>
    <m/>
    <m/>
  </r>
  <r>
    <x v="0"/>
    <x v="5"/>
    <s v="F:\Données chgh\2020-CHG-CZA-BPA-1\plaque 1/@01 TS/F1_03.tif "/>
    <s v=" 216.2989 "/>
    <s v=" 63.9 "/>
    <x v="0"/>
    <n v="13822"/>
    <m/>
    <m/>
  </r>
  <r>
    <x v="0"/>
    <x v="6"/>
    <s v="F:\Données chgh\2020-CHG-CZA-BPA-1\plaque 1/@01 TS/G1_01.tif "/>
    <s v=" 194.6691 "/>
    <s v=" 65.4444 "/>
    <x v="0"/>
    <n v="12740"/>
    <m/>
    <m/>
  </r>
  <r>
    <x v="0"/>
    <x v="6"/>
    <s v="F:\Données chgh\2020-CHG-CZA-BPA-1\plaque 1/@01 TS/G1_02.tif "/>
    <s v=" 454.2278 "/>
    <s v=" 63.6667 "/>
    <x v="0"/>
    <n v="28919"/>
    <m/>
    <m/>
  </r>
  <r>
    <x v="0"/>
    <x v="6"/>
    <s v="F:\Données chgh\2020-CHG-CZA-BPA-1\plaque 1/@01 TS/G1_03.tif "/>
    <s v=" 302.8185 "/>
    <s v=" 69.4286 "/>
    <x v="0"/>
    <n v="21024"/>
    <m/>
    <m/>
  </r>
  <r>
    <x v="0"/>
    <x v="7"/>
    <s v="F:\Données chgh\2020-CHG-CZA-BPA-1\plaque 1/@01 TS/H1_01.tif "/>
    <s v=" 584.0072 "/>
    <s v=" 63.3333 "/>
    <x v="0"/>
    <n v="36987"/>
    <m/>
    <m/>
  </r>
  <r>
    <x v="0"/>
    <x v="7"/>
    <s v="F:\Données chgh\2020-CHG-CZA-BPA-1\plaque 1/@01 TS/H1_02.tif "/>
    <s v=" 346.0783 "/>
    <s v=" 63.125 "/>
    <x v="0"/>
    <n v="21846"/>
    <m/>
    <m/>
  </r>
  <r>
    <x v="0"/>
    <x v="7"/>
    <s v="F:\Données chgh\2020-CHG-CZA-BPA-1\plaque 1/@01 TS/H1_03.tif "/>
    <s v=" 324.4484 "/>
    <s v=" 62.1333 "/>
    <x v="0"/>
    <n v="20159"/>
    <m/>
    <m/>
  </r>
  <r>
    <x v="1"/>
    <x v="8"/>
    <s v=" "/>
    <m/>
    <m/>
    <x v="1"/>
    <m/>
    <m/>
    <m/>
  </r>
  <r>
    <x v="1"/>
    <x v="8"/>
    <s v="group "/>
    <s v=" "/>
    <s v=" mean of mean fluo "/>
    <x v="2"/>
    <s v=" mean of total fluo "/>
    <s v=" SD total fluo "/>
    <s v=" n fluorescent "/>
  </r>
  <r>
    <x v="0"/>
    <x v="9"/>
    <s v="F:\Données chgh\2020-CHG-CZA-BPA-1\plaque 1/@01 TS/ "/>
    <s v=" "/>
    <s v=" 65.3795 "/>
    <x v="3"/>
    <s v=" 83077.625 "/>
    <s v=" 116164.95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BPA-1\plaque 1/@02 EE2 34/A2_01.tif "/>
    <s v=" 6207.7798 "/>
    <s v=" 68.5122 "/>
    <x v="0"/>
    <n v="425309"/>
    <m/>
    <m/>
  </r>
  <r>
    <x v="2"/>
    <x v="0"/>
    <s v="F:\Données chgh\2020-CHG-CZA-BPA-1\plaque 1/@02 EE2 34/A2_02.tif "/>
    <s v=" 2227.8791 "/>
    <s v=" 67.2718 "/>
    <x v="0"/>
    <n v="149874"/>
    <m/>
    <m/>
  </r>
  <r>
    <x v="2"/>
    <x v="0"/>
    <s v="F:\Données chgh\2020-CHG-CZA-BPA-1\plaque 1/@02 EE2 34/A2_03.tif "/>
    <s v=" 5169.5448 "/>
    <s v=" 66.4895 "/>
    <x v="0"/>
    <n v="343721"/>
    <m/>
    <m/>
  </r>
  <r>
    <x v="2"/>
    <x v="1"/>
    <s v="F:\Données chgh\2020-CHG-CZA-BPA-1\plaque 1/@02 EE2 34/B2_01- exclu.tif"/>
    <m/>
    <m/>
    <x v="1"/>
    <m/>
    <m/>
    <m/>
  </r>
  <r>
    <x v="2"/>
    <x v="1"/>
    <s v="F:\Données chgh\2020-CHG-CZA-BPA-1\plaque 1/@02 EE2 34/B2_02.tif "/>
    <s v=" 2011.5802 "/>
    <s v=" 64.5054 "/>
    <x v="0"/>
    <n v="129758"/>
    <m/>
    <m/>
  </r>
  <r>
    <x v="2"/>
    <x v="1"/>
    <s v="F:\Données chgh\2020-CHG-CZA-BPA-1\plaque 1/@02 EE2 34/B2_03- exclu.tif"/>
    <m/>
    <m/>
    <x v="1"/>
    <m/>
    <m/>
    <m/>
  </r>
  <r>
    <x v="2"/>
    <x v="2"/>
    <s v="F:\Données chgh\2020-CHG-CZA-BPA-1\plaque 1/@02 EE2 34/C2_01.tif "/>
    <s v=" 843.5659 "/>
    <s v=" 66.1026 "/>
    <x v="0"/>
    <n v="55762"/>
    <m/>
    <m/>
  </r>
  <r>
    <x v="2"/>
    <x v="2"/>
    <s v="F:\Données chgh\2020-CHG-CZA-BPA-1\plaque 1/@02 EE2 34/C2_02.tif "/>
    <s v=" 3049.8151 "/>
    <s v=" 66.6596 "/>
    <x v="0"/>
    <n v="203299"/>
    <m/>
    <m/>
  </r>
  <r>
    <x v="2"/>
    <x v="2"/>
    <s v="F:\Données chgh\2020-CHG-CZA-BPA-1\plaque 1/@02 EE2 34/C2_03.tif "/>
    <s v=" 3547.3027 "/>
    <s v=" 68.7073 "/>
    <x v="0"/>
    <n v="243726"/>
    <m/>
    <m/>
  </r>
  <r>
    <x v="2"/>
    <x v="3"/>
    <s v="F:\Données chgh\2020-CHG-CZA-BPA-1\plaque 1/@02 EE2 34/D2_01.tif "/>
    <s v=" 994.9752 "/>
    <s v=" 64.6522 "/>
    <x v="0"/>
    <n v="64327"/>
    <m/>
    <m/>
  </r>
  <r>
    <x v="2"/>
    <x v="3"/>
    <s v="F:\Données chgh\2020-CHG-CZA-BPA-1\plaque 1/@02 EE2 34/D2_02.tif "/>
    <s v=" 3979.9006 "/>
    <s v=" 66.7011 "/>
    <x v="0"/>
    <n v="265464"/>
    <m/>
    <m/>
  </r>
  <r>
    <x v="2"/>
    <x v="3"/>
    <s v="F:\Données chgh\2020-CHG-CZA-BPA-1\plaque 1/@02 EE2 34/D2_03.tif "/>
    <s v=" 1643.872 "/>
    <s v=" 65.2895 "/>
    <x v="0"/>
    <n v="107328"/>
    <m/>
    <m/>
  </r>
  <r>
    <x v="2"/>
    <x v="4"/>
    <s v="F:\Données chgh\2020-CHG-CZA-BPA-1\plaque 1/@02 EE2 34/E2_01.tif "/>
    <s v=" 8695.2176 "/>
    <s v=" 68.8134 "/>
    <x v="0"/>
    <n v="598348"/>
    <m/>
    <m/>
  </r>
  <r>
    <x v="2"/>
    <x v="4"/>
    <s v="F:\Données chgh\2020-CHG-CZA-BPA-1\plaque 1/@02 EE2 34/E2_02.tif "/>
    <s v=" 4672.0572 "/>
    <s v=" 67.6157 "/>
    <x v="0"/>
    <n v="315905"/>
    <m/>
    <m/>
  </r>
  <r>
    <x v="2"/>
    <x v="4"/>
    <s v="F:\Données chgh\2020-CHG-CZA-BPA-1\plaque 1/@02 EE2 34/E2_03.tif "/>
    <s v=" 8435.6589 "/>
    <s v=" 69.5872 "/>
    <x v="0"/>
    <n v="587014"/>
    <m/>
    <m/>
  </r>
  <r>
    <x v="2"/>
    <x v="5"/>
    <s v="F:\Données chgh\2020-CHG-CZA-BPA-1\plaque 1/@02 EE2 34/F2_01.tif "/>
    <s v=" 1038.2349 "/>
    <s v=" 69.0208 "/>
    <x v="0"/>
    <n v="71660"/>
    <m/>
    <m/>
  </r>
  <r>
    <x v="2"/>
    <x v="5"/>
    <s v="F:\Données chgh\2020-CHG-CZA-BPA-1\plaque 1/@02 EE2 34/F2_02- exclu.tif"/>
    <m/>
    <m/>
    <x v="1"/>
    <m/>
    <m/>
    <m/>
  </r>
  <r>
    <x v="2"/>
    <x v="5"/>
    <s v="F:\Données chgh\2020-CHG-CZA-BPA-1\plaque 1/@02 EE2 34/F2_03.tif "/>
    <s v=" 605.637 "/>
    <s v=" 65.8214 "/>
    <x v="0"/>
    <n v="39864"/>
    <m/>
    <m/>
  </r>
  <r>
    <x v="2"/>
    <x v="6"/>
    <s v="F:\Données chgh\2020-CHG-CZA-BPA-1\plaque 1/@02 EE2 34/G2_01.tif "/>
    <s v=" 4088.0501 "/>
    <s v=" 70.1376 "/>
    <x v="0"/>
    <n v="286726"/>
    <m/>
    <m/>
  </r>
  <r>
    <x v="2"/>
    <x v="6"/>
    <s v="F:\Données chgh\2020-CHG-CZA-BPA-1\plaque 1/@02 EE2 34/G2_02.tif "/>
    <s v=" 3958.2707 "/>
    <s v=" 67.2842 "/>
    <x v="0"/>
    <n v="266329"/>
    <m/>
    <m/>
  </r>
  <r>
    <x v="2"/>
    <x v="6"/>
    <s v="F:\Données chgh\2020-CHG-CZA-BPA-1\plaque 1/@02 EE2 34/G2_03.tif "/>
    <s v=" 2465.808 "/>
    <s v=" 66.2895 "/>
    <x v="0"/>
    <n v="163457"/>
    <m/>
    <m/>
  </r>
  <r>
    <x v="2"/>
    <x v="7"/>
    <s v="F:\Données chgh\2020-CHG-CZA-BPA-1\plaque 1/@02 EE2 34/H2_01.tif "/>
    <s v=" 692.1566 "/>
    <s v=" 68.4375 "/>
    <x v="0"/>
    <n v="47369"/>
    <m/>
    <m/>
  </r>
  <r>
    <x v="2"/>
    <x v="7"/>
    <s v="F:\Données chgh\2020-CHG-CZA-BPA-1\plaque 1/@02 EE2 34/H2_02.tif "/>
    <s v=" 302.8185 "/>
    <s v=" 63.5 "/>
    <x v="0"/>
    <n v="19229"/>
    <m/>
    <m/>
  </r>
  <r>
    <x v="2"/>
    <x v="7"/>
    <s v="F:\Données chgh\2020-CHG-CZA-BPA-1\plaque 1/@02 EE2 34/H2_03.tif "/>
    <s v=" 454.2278 "/>
    <s v=" 64.5238 "/>
    <x v="0"/>
    <n v="29309"/>
    <m/>
    <m/>
  </r>
  <r>
    <x v="1"/>
    <x v="8"/>
    <s v=" "/>
    <m/>
    <m/>
    <x v="1"/>
    <m/>
    <m/>
    <m/>
  </r>
  <r>
    <x v="1"/>
    <x v="8"/>
    <s v="group "/>
    <s v=" "/>
    <s v=" mean of mean fluo "/>
    <x v="2"/>
    <s v=" mean of total fluo "/>
    <s v=" SD total fluo "/>
    <s v=" n fluorescent "/>
  </r>
  <r>
    <x v="2"/>
    <x v="9"/>
    <s v="F:\Données chgh\2020-CHG-CZA-BPA-1\plaque 1/@02 EE2 34/ "/>
    <s v=" "/>
    <s v=" 67.1294 "/>
    <x v="4"/>
    <s v=" 202874.167 "/>
    <s v=" 174250.89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BPA-1\plaque 1/@03 EE2 51/A3_01.tif "/>
    <s v=" 8370.7692 "/>
    <s v=" 64.2351 "/>
    <x v="0"/>
    <n v="537698"/>
    <m/>
    <m/>
  </r>
  <r>
    <x v="3"/>
    <x v="0"/>
    <s v="F:\Données chgh\2020-CHG-CZA-BPA-1\plaque 1/@03 EE2 51/A3_02.tif "/>
    <s v=" 15378.8551 "/>
    <s v=" 65.9578 "/>
    <x v="0"/>
    <n v="1014356"/>
    <m/>
    <m/>
  </r>
  <r>
    <x v="3"/>
    <x v="0"/>
    <s v="F:\Données chgh\2020-CHG-CZA-BPA-1\plaque 1/@03 EE2 51/A3_03.tif "/>
    <s v=" 6272.6694 "/>
    <s v=" 63.8897 "/>
    <x v="0"/>
    <n v="400759"/>
    <m/>
    <m/>
  </r>
  <r>
    <x v="3"/>
    <x v="1"/>
    <s v="F:\Données chgh\2020-CHG-CZA-BPA-1\plaque 1/@03 EE2 51/B3_01.tif "/>
    <s v=" 951.7154 "/>
    <s v=" 63.9318 "/>
    <x v="0"/>
    <n v="60845"/>
    <m/>
    <m/>
  </r>
  <r>
    <x v="3"/>
    <x v="1"/>
    <s v="F:\Données chgh\2020-CHG-CZA-BPA-1\plaque 1/@03 EE2 51/B3_02.tif "/>
    <s v=" 432.5979 "/>
    <s v=" 64.25 "/>
    <x v="0"/>
    <n v="27794"/>
    <m/>
    <m/>
  </r>
  <r>
    <x v="3"/>
    <x v="1"/>
    <s v="F:\Données chgh\2020-CHG-CZA-BPA-1\plaque 1/@03 EE2 51/B3_03.tif "/>
    <s v=" 346.0783 "/>
    <s v=" 66.25 "/>
    <x v="0"/>
    <n v="22928"/>
    <m/>
    <m/>
  </r>
  <r>
    <x v="3"/>
    <x v="2"/>
    <s v="F:\Données chgh\2020-CHG-CZA-BPA-1\plaque 1/@03 EE2 51/C3_01.tif "/>
    <s v=" 6662.0075 "/>
    <s v=" 65.3247 "/>
    <x v="0"/>
    <n v="435193"/>
    <m/>
    <m/>
  </r>
  <r>
    <x v="3"/>
    <x v="2"/>
    <s v="F:\Données chgh\2020-CHG-CZA-BPA-1\plaque 1/@03 EE2 51/C3_02.tif "/>
    <s v=" 8522.1785 "/>
    <s v=" 67.8198 "/>
    <x v="0"/>
    <n v="577972"/>
    <m/>
    <m/>
  </r>
  <r>
    <x v="3"/>
    <x v="2"/>
    <s v="F:\Données chgh\2020-CHG-CZA-BPA-1\plaque 1/@03 EE2 51/C3_03.tif "/>
    <s v=" 7873.2816 "/>
    <s v=" 67.2115 "/>
    <x v="0"/>
    <n v="529175"/>
    <m/>
    <m/>
  </r>
  <r>
    <x v="3"/>
    <x v="3"/>
    <s v="F:\Données chgh\2020-CHG-CZA-BPA-1\plaque 1/@03 EE2 51/D3_01.tif "/>
    <s v=" 1362.6834 "/>
    <s v=" 63.3968 "/>
    <x v="0"/>
    <n v="86390"/>
    <m/>
    <m/>
  </r>
  <r>
    <x v="3"/>
    <x v="3"/>
    <s v="F:\Données chgh\2020-CHG-CZA-BPA-1\plaque 1/@03 EE2 51/D3_02.tif "/>
    <s v=" 2422.5482 "/>
    <s v=" 64.7679 "/>
    <x v="0"/>
    <n v="156903"/>
    <m/>
    <m/>
  </r>
  <r>
    <x v="3"/>
    <x v="3"/>
    <s v="F:\Données chgh\2020-CHG-CZA-BPA-1\plaque 1/@03 EE2 51/D3_03.tif "/>
    <s v=" 2530.6977 "/>
    <s v=" 63.8889 "/>
    <x v="0"/>
    <n v="161683"/>
    <m/>
    <m/>
  </r>
  <r>
    <x v="3"/>
    <x v="4"/>
    <s v="F:\Données chgh\2020-CHG-CZA-BPA-1\plaque 1/@03 EE2 51/E3_01.tif "/>
    <s v=" 1470.8328 "/>
    <s v=" 64.1912 "/>
    <x v="0"/>
    <n v="94414"/>
    <m/>
    <m/>
  </r>
  <r>
    <x v="3"/>
    <x v="4"/>
    <s v="F:\Données chgh\2020-CHG-CZA-BPA-1\plaque 1/@03 EE2 51/E3_02.tif "/>
    <s v=" 1059.8648 "/>
    <s v=" 65.9388 "/>
    <x v="0"/>
    <n v="69886"/>
    <m/>
    <m/>
  </r>
  <r>
    <x v="3"/>
    <x v="4"/>
    <s v="F:\Données chgh\2020-CHG-CZA-BPA-1\plaque 1/@03 EE2 51/E3_03.tif "/>
    <s v=" 994.9752 "/>
    <s v=" 63.8478 "/>
    <x v="0"/>
    <n v="63527"/>
    <m/>
    <m/>
  </r>
  <r>
    <x v="3"/>
    <x v="5"/>
    <s v="F:\Données chgh\2020-CHG-CZA-BPA-1\plaque 1/@03 EE2 51/F3_01.tif "/>
    <s v=" 1968.3204 "/>
    <s v=" 64.6923 "/>
    <x v="0"/>
    <n v="127335"/>
    <m/>
    <m/>
  </r>
  <r>
    <x v="3"/>
    <x v="5"/>
    <s v="F:\Données chgh\2020-CHG-CZA-BPA-1\plaque 1/@03 EE2 51/F3_02.tif "/>
    <s v=" 1968.3204 "/>
    <s v=" 65.6044 "/>
    <x v="0"/>
    <n v="129130"/>
    <m/>
    <m/>
  </r>
  <r>
    <x v="3"/>
    <x v="5"/>
    <s v="F:\Données chgh\2020-CHG-CZA-BPA-1\plaque 1/@03 EE2 51/F3_03.tif "/>
    <s v=" 1665.5019 "/>
    <s v=" 64.2078 "/>
    <x v="0"/>
    <n v="106938"/>
    <m/>
    <m/>
  </r>
  <r>
    <x v="3"/>
    <x v="6"/>
    <s v="F:\Données chgh\2020-CHG-CZA-BPA-1\plaque 1/@03 EE2 51/G3_01.tif "/>
    <s v=" 237.9288 "/>
    <s v=" 64.9091 "/>
    <x v="0"/>
    <n v="15444"/>
    <m/>
    <m/>
  </r>
  <r>
    <x v="3"/>
    <x v="6"/>
    <s v="F:\Données chgh\2020-CHG-CZA-BPA-1\plaque 1/@03 EE2 51/G3_02.tif "/>
    <s v=" 432.5979 "/>
    <s v=" 62.2 "/>
    <x v="0"/>
    <n v="26908"/>
    <m/>
    <m/>
  </r>
  <r>
    <x v="3"/>
    <x v="6"/>
    <s v="F:\Données chgh\2020-CHG-CZA-BPA-1\plaque 1/@03 EE2 51/G3_03- exclu.tif"/>
    <m/>
    <m/>
    <x v="1"/>
    <m/>
    <m/>
    <m/>
  </r>
  <r>
    <x v="3"/>
    <x v="7"/>
    <s v="F:\Données chgh\2020-CHG-CZA-BPA-1\plaque 1/@03 EE2 51/H3_01.tif "/>
    <s v=" 389.3381 "/>
    <s v=" 64.1111 "/>
    <x v="0"/>
    <n v="24961"/>
    <m/>
    <m/>
  </r>
  <r>
    <x v="3"/>
    <x v="7"/>
    <s v="F:\Données chgh\2020-CHG-CZA-BPA-1\plaque 1/@03 EE2 51/H3_02.tif "/>
    <s v=" 432.5979 "/>
    <s v=" 63.9 "/>
    <x v="0"/>
    <n v="27643"/>
    <m/>
    <m/>
  </r>
  <r>
    <x v="3"/>
    <x v="7"/>
    <s v="F:\Données chgh\2020-CHG-CZA-BPA-1\plaque 1/@03 EE2 51/H3_03- exclu.tif"/>
    <m/>
    <m/>
    <x v="1"/>
    <m/>
    <m/>
    <m/>
  </r>
  <r>
    <x v="1"/>
    <x v="8"/>
    <s v=" "/>
    <m/>
    <m/>
    <x v="1"/>
    <m/>
    <m/>
    <m/>
  </r>
  <r>
    <x v="1"/>
    <x v="8"/>
    <s v="group "/>
    <s v=" "/>
    <s v=" mean of mean fluo "/>
    <x v="2"/>
    <s v=" mean of total fluo "/>
    <s v=" SD total fluo "/>
    <s v=" n fluorescent "/>
  </r>
  <r>
    <x v="3"/>
    <x v="9"/>
    <s v="F:\Données chgh\2020-CHG-CZA-BPA-1\plaque 1/@03 EE2 51/ "/>
    <s v=" "/>
    <s v=" 64.7795 "/>
    <x v="5"/>
    <s v=" 197448.458 "/>
    <s v=" 253242.66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BPA-1\plaque 1/@04 EE2 76/A4_01.tif "/>
    <s v=" 18428.6702 "/>
    <s v=" 69.9378 "/>
    <x v="0"/>
    <n v="1288861"/>
    <m/>
    <m/>
  </r>
  <r>
    <x v="4"/>
    <x v="0"/>
    <s v="F:\Données chgh\2020-CHG-CZA-BPA-1\plaque 1/@04 EE2 76/A4_02- exclu.tif"/>
    <m/>
    <m/>
    <x v="1"/>
    <m/>
    <m/>
    <m/>
  </r>
  <r>
    <x v="4"/>
    <x v="0"/>
    <s v="F:\Données chgh\2020-CHG-CZA-BPA-1\plaque 1/@04 EE2 76/A4_03.tif "/>
    <s v=" 18471.93 "/>
    <s v=" 69.8208 "/>
    <x v="0"/>
    <n v="1289726"/>
    <m/>
    <m/>
  </r>
  <r>
    <x v="4"/>
    <x v="1"/>
    <s v="F:\Données chgh\2020-CHG-CZA-BPA-1\plaque 1/@04 EE2 76/B4_01.tif "/>
    <s v=" 11225.9153 "/>
    <s v=" 64.7245 "/>
    <x v="0"/>
    <n v="726591"/>
    <m/>
    <m/>
  </r>
  <r>
    <x v="4"/>
    <x v="1"/>
    <s v="F:\Données chgh\2020-CHG-CZA-BPA-1\plaque 1/@04 EE2 76/B4_02.tif "/>
    <s v=" 11636.8833 "/>
    <s v=" 65.4201 "/>
    <x v="0"/>
    <n v="761286"/>
    <m/>
    <m/>
  </r>
  <r>
    <x v="4"/>
    <x v="1"/>
    <s v="F:\Données chgh\2020-CHG-CZA-BPA-1\plaque 1/@04 EE2 76/B4_03.tif "/>
    <s v=" 7765.1322 "/>
    <s v=" 65.4011 "/>
    <x v="0"/>
    <n v="507848"/>
    <m/>
    <m/>
  </r>
  <r>
    <x v="4"/>
    <x v="2"/>
    <s v="F:\Données chgh\2020-CHG-CZA-BPA-1\plaque 1/@04 EE2 76/C4_01.tif "/>
    <s v=" 6640.3777 "/>
    <s v=" 65.6417 "/>
    <x v="0"/>
    <n v="435886"/>
    <m/>
    <m/>
  </r>
  <r>
    <x v="4"/>
    <x v="2"/>
    <s v="F:\Données chgh\2020-CHG-CZA-BPA-1\plaque 1/@04 EE2 76/C4_02.tif "/>
    <s v=" 4866.7263 "/>
    <s v=" 64.9778 "/>
    <x v="0"/>
    <n v="316229"/>
    <m/>
    <m/>
  </r>
  <r>
    <x v="4"/>
    <x v="2"/>
    <s v="F:\Données chgh\2020-CHG-CZA-BPA-1\plaque 1/@04 EE2 76/C4_03.tif "/>
    <s v=" 5342.584 "/>
    <s v=" 65.9069 "/>
    <x v="0"/>
    <n v="352113"/>
    <m/>
    <m/>
  </r>
  <r>
    <x v="4"/>
    <x v="3"/>
    <s v="F:\Données chgh\2020-CHG-CZA-BPA-1\plaque 1/@04 EE2 76/D4_01.tif "/>
    <s v=" 605.637 "/>
    <s v=" 62.8929 "/>
    <x v="0"/>
    <n v="38090"/>
    <m/>
    <m/>
  </r>
  <r>
    <x v="4"/>
    <x v="3"/>
    <s v="F:\Données chgh\2020-CHG-CZA-BPA-1\plaque 1/@04 EE2 76/D4_02.tif "/>
    <s v=" 4282.7191 "/>
    <s v=" 65.3535 "/>
    <x v="0"/>
    <n v="279891"/>
    <m/>
    <m/>
  </r>
  <r>
    <x v="4"/>
    <x v="3"/>
    <s v="F:\Données chgh\2020-CHG-CZA-BPA-1\plaque 1/@04 EE2 76/D4_03.tif "/>
    <s v=" 2941.6657 "/>
    <s v=" 63.6985 "/>
    <x v="0"/>
    <n v="187380"/>
    <m/>
    <m/>
  </r>
  <r>
    <x v="4"/>
    <x v="4"/>
    <s v="F:\Données chgh\2020-CHG-CZA-BPA-1\plaque 1/@04 EE2 76/E4_01.tif "/>
    <s v=" 2357.6585 "/>
    <s v=" 64.3394 "/>
    <x v="0"/>
    <n v="151690"/>
    <m/>
    <m/>
  </r>
  <r>
    <x v="4"/>
    <x v="4"/>
    <s v="F:\Données chgh\2020-CHG-CZA-BPA-1\plaque 1/@04 EE2 76/E4_02.tif "/>
    <s v=" 2530.6977 "/>
    <s v=" 64.6838 "/>
    <x v="0"/>
    <n v="163695"/>
    <m/>
    <m/>
  </r>
  <r>
    <x v="4"/>
    <x v="4"/>
    <s v="F:\Données chgh\2020-CHG-CZA-BPA-1\plaque 1/@04 EE2 76/E4_03.tif "/>
    <s v=" 2790.2564 "/>
    <s v=" 63.9767 "/>
    <x v="0"/>
    <n v="178512"/>
    <m/>
    <m/>
  </r>
  <r>
    <x v="4"/>
    <x v="5"/>
    <s v="F:\Données chgh\2020-CHG-CZA-BPA-1\plaque 1/@04 EE2 76/F4_01.tif "/>
    <s v=" 2941.6657 "/>
    <s v=" 64.5588 "/>
    <x v="0"/>
    <n v="189910"/>
    <m/>
    <m/>
  </r>
  <r>
    <x v="4"/>
    <x v="5"/>
    <s v="F:\Données chgh\2020-CHG-CZA-BPA-1\plaque 1/@04 EE2 76/F4_02.tif "/>
    <s v=" 5558.8829 "/>
    <s v=" 67.8988 "/>
    <x v="0"/>
    <n v="377442"/>
    <m/>
    <m/>
  </r>
  <r>
    <x v="4"/>
    <x v="5"/>
    <s v="F:\Données chgh\2020-CHG-CZA-BPA-1\plaque 1/@04 EE2 76/F4_03.tif "/>
    <s v=" 1059.8648 "/>
    <s v=" 62.7143 "/>
    <x v="0"/>
    <n v="66469"/>
    <m/>
    <m/>
  </r>
  <r>
    <x v="4"/>
    <x v="6"/>
    <s v="F:\Données chgh\2020-CHG-CZA-BPA-1\plaque 1/@04 EE2 76/G4_01.tif "/>
    <s v=" 7462.3136 "/>
    <s v=" 71.342 "/>
    <x v="0"/>
    <n v="532377"/>
    <m/>
    <m/>
  </r>
  <r>
    <x v="4"/>
    <x v="6"/>
    <s v="F:\Données chgh\2020-CHG-CZA-BPA-1\plaque 1/@04 EE2 76/G4_02.tif "/>
    <s v=" 2725.3667 "/>
    <s v=" 64.8175 "/>
    <x v="0"/>
    <n v="176651"/>
    <m/>
    <m/>
  </r>
  <r>
    <x v="4"/>
    <x v="6"/>
    <s v="F:\Données chgh\2020-CHG-CZA-BPA-1\plaque 1/@04 EE2 76/G4_03.tif "/>
    <s v=" 5018.1356 "/>
    <s v=" 68.1164 "/>
    <x v="0"/>
    <n v="341817"/>
    <m/>
    <m/>
  </r>
  <r>
    <x v="4"/>
    <x v="7"/>
    <s v="F:\Données chgh\2020-CHG-CZA-BPA-1\plaque 1/@04 EE2 76/H4_01.tif "/>
    <s v=" 10036.2711 "/>
    <s v=" 64.2349 "/>
    <x v="0"/>
    <n v="644679"/>
    <m/>
    <m/>
  </r>
  <r>
    <x v="4"/>
    <x v="7"/>
    <s v="F:\Données chgh\2020-CHG-CZA-BPA-1\plaque 1/@04 EE2 76/H4_02.tif "/>
    <s v=" 7678.6126 "/>
    <s v=" 65.4394 "/>
    <x v="0"/>
    <n v="502484"/>
    <m/>
    <m/>
  </r>
  <r>
    <x v="4"/>
    <x v="7"/>
    <s v="F:\Données chgh\2020-CHG-CZA-BPA-1\plaque 1/@04 EE2 76/H4_03.tif "/>
    <s v=" 6380.8189 "/>
    <s v=" 64.1254 "/>
    <x v="0"/>
    <n v="409173"/>
    <m/>
    <m/>
  </r>
  <r>
    <x v="1"/>
    <x v="8"/>
    <s v=" "/>
    <m/>
    <m/>
    <x v="1"/>
    <m/>
    <m/>
    <m/>
  </r>
  <r>
    <x v="1"/>
    <x v="8"/>
    <s v="group "/>
    <s v=" "/>
    <s v=" mean of mean fluo "/>
    <x v="2"/>
    <s v=" mean of total fluo "/>
    <s v=" SD total fluo "/>
    <s v=" n fluorescent "/>
  </r>
  <r>
    <x v="4"/>
    <x v="9"/>
    <s v="F:\Données chgh\2020-CHG-CZA-BPA-1\plaque 1/@04 EE2 76/ "/>
    <s v=" "/>
    <s v=" 65.5444 "/>
    <x v="6"/>
    <s v=" 425158.125 "/>
    <s v=" 329257.8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BPA-1\plaque 1/@05 EE2 114/A5_01- exclu.tif"/>
    <m/>
    <m/>
    <x v="1"/>
    <m/>
    <m/>
    <m/>
  </r>
  <r>
    <x v="5"/>
    <x v="0"/>
    <s v="F:\Données chgh\2020-CHG-CZA-BPA-1\plaque 1/@05 EE2 114/A5_02- exclu.tif"/>
    <m/>
    <m/>
    <x v="1"/>
    <m/>
    <m/>
    <m/>
  </r>
  <r>
    <x v="5"/>
    <x v="0"/>
    <s v="F:\Données chgh\2020-CHG-CZA-BPA-1\plaque 1/@05 EE2 114/A5_03.tif "/>
    <s v=" 3395.8935 "/>
    <s v=" 66.8726 "/>
    <x v="0"/>
    <n v="227092"/>
    <m/>
    <m/>
  </r>
  <r>
    <x v="5"/>
    <x v="1"/>
    <s v="F:\Données chgh\2020-CHG-CZA-BPA-1\plaque 1/@05 EE2 114/B5_01.tif "/>
    <s v=" 14816.4778 "/>
    <s v=" 70.8905 "/>
    <x v="0"/>
    <n v="1050348"/>
    <m/>
    <m/>
  </r>
  <r>
    <x v="5"/>
    <x v="1"/>
    <s v="F:\Données chgh\2020-CHG-CZA-BPA-1\plaque 1/@05 EE2 114/B5_02.tif "/>
    <s v=" 14794.8479 "/>
    <s v=" 71.2354 "/>
    <x v="0"/>
    <n v="1053917"/>
    <m/>
    <m/>
  </r>
  <r>
    <x v="5"/>
    <x v="1"/>
    <s v="F:\Données chgh\2020-CHG-CZA-BPA-1\plaque 1/@05 EE2 114/B5_03.tif "/>
    <s v=" 13778.2429 "/>
    <s v=" 71.6013 "/>
    <x v="0"/>
    <n v="986539"/>
    <m/>
    <m/>
  </r>
  <r>
    <x v="5"/>
    <x v="2"/>
    <s v="F:\Données chgh\2020-CHG-CZA-BPA-1\plaque 1/@05 EE2 114/C5_01.tif "/>
    <s v=" 24614.8201 "/>
    <s v=" 75.304 "/>
    <x v="0"/>
    <n v="1853595"/>
    <m/>
    <m/>
  </r>
  <r>
    <x v="5"/>
    <x v="2"/>
    <s v="F:\Données chgh\2020-CHG-CZA-BPA-1\plaque 1/@05 EE2 114/C5_02.tif "/>
    <s v=" 27232.0373 "/>
    <s v=" 72.2732 "/>
    <x v="0"/>
    <n v="1968147"/>
    <m/>
    <m/>
  </r>
  <r>
    <x v="5"/>
    <x v="2"/>
    <s v="F:\Données chgh\2020-CHG-CZA-BPA-1\plaque 1/@05 EE2 114/C5_03.tif "/>
    <s v=" 28789.3898 "/>
    <s v=" 73.3479 "/>
    <x v="0"/>
    <n v="2111640"/>
    <m/>
    <m/>
  </r>
  <r>
    <x v="5"/>
    <x v="3"/>
    <s v="F:\Données chgh\2020-CHG-CZA-BPA-1\plaque 1/@05 EE2 114/D5_01.tif "/>
    <s v=" 40945.3905 "/>
    <s v=" 75.6524 "/>
    <x v="0"/>
    <n v="3097617"/>
    <m/>
    <m/>
  </r>
  <r>
    <x v="5"/>
    <x v="3"/>
    <s v="F:\Données chgh\2020-CHG-CZA-BPA-1\plaque 1/@05 EE2 114/D5_02.tif "/>
    <s v=" 39171.7392 "/>
    <s v=" 74.45 "/>
    <x v="0"/>
    <n v="2916337"/>
    <m/>
    <m/>
  </r>
  <r>
    <x v="5"/>
    <x v="3"/>
    <s v="F:\Données chgh\2020-CHG-CZA-BPA-1\plaque 1/@05 EE2 114/D5_03.tif "/>
    <s v=" 40209.9741 "/>
    <s v=" 70.9441 "/>
    <x v="0"/>
    <n v="2852659"/>
    <m/>
    <m/>
  </r>
  <r>
    <x v="5"/>
    <x v="4"/>
    <s v="F:\Données chgh\2020-CHG-CZA-BPA-1\plaque 1/@05 EE2 114/E5_01.tif "/>
    <s v=" 28356.7919 "/>
    <s v=" 69.2075 "/>
    <x v="0"/>
    <n v="1962502"/>
    <m/>
    <m/>
  </r>
  <r>
    <x v="5"/>
    <x v="4"/>
    <s v="F:\Données chgh\2020-CHG-CZA-BPA-1\plaque 1/@05 EE2 114/E5_02.tif "/>
    <s v=" 30390.002 "/>
    <s v=" 69.1395 "/>
    <x v="0"/>
    <n v="2101150"/>
    <m/>
    <m/>
  </r>
  <r>
    <x v="5"/>
    <x v="4"/>
    <s v="F:\Données chgh\2020-CHG-CZA-BPA-1\plaque 1/@05 EE2 114/E5_03.tif "/>
    <s v=" 27058.9982 "/>
    <s v=" 69.4636 "/>
    <x v="0"/>
    <n v="1879616"/>
    <m/>
    <m/>
  </r>
  <r>
    <x v="5"/>
    <x v="5"/>
    <s v="F:\Données chgh\2020-CHG-CZA-BPA-1\plaque 1/@05 EE2 114/F5_01.tif "/>
    <s v=" 16244.0509 "/>
    <s v=" 66.6711 "/>
    <x v="0"/>
    <n v="1083009"/>
    <m/>
    <m/>
  </r>
  <r>
    <x v="5"/>
    <x v="5"/>
    <s v="F:\Données chgh\2020-CHG-CZA-BPA-1\plaque 1/@05 EE2 114/F5_02.tif "/>
    <s v=" 13994.5418 "/>
    <s v=" 65.2566 "/>
    <x v="0"/>
    <n v="913236"/>
    <m/>
    <m/>
  </r>
  <r>
    <x v="5"/>
    <x v="5"/>
    <s v="F:\Données chgh\2020-CHG-CZA-BPA-1\plaque 1/@05 EE2 114/F5_03.tif "/>
    <s v=" 22019.2327 "/>
    <s v=" 66.9853 "/>
    <x v="0"/>
    <n v="1474964"/>
    <m/>
    <m/>
  </r>
  <r>
    <x v="5"/>
    <x v="6"/>
    <s v="F:\Données chgh\2020-CHG-CZA-BPA-1\plaque 1/@05 EE2 114/G5_01.tif "/>
    <s v=" 27253.6672 "/>
    <s v=" 68.9159 "/>
    <x v="0"/>
    <n v="1878210"/>
    <m/>
    <m/>
  </r>
  <r>
    <x v="5"/>
    <x v="6"/>
    <s v="F:\Données chgh\2020-CHG-CZA-BPA-1\plaque 1/@05 EE2 114/G5_02.tif "/>
    <s v=" 19618.3144 "/>
    <s v=" 66.5138 "/>
    <x v="0"/>
    <n v="1304888"/>
    <m/>
    <m/>
  </r>
  <r>
    <x v="5"/>
    <x v="6"/>
    <s v="F:\Données chgh\2020-CHG-CZA-BPA-1\plaque 1/@05 EE2 114/G5_03- exclu.tif"/>
    <m/>
    <m/>
    <x v="1"/>
    <m/>
    <m/>
    <m/>
  </r>
  <r>
    <x v="5"/>
    <x v="7"/>
    <s v="F:\Données chgh\2020-CHG-CZA-BPA-1\plaque 1/@05 EE2 114/H5_01- exclu.tif"/>
    <m/>
    <m/>
    <x v="1"/>
    <m/>
    <m/>
    <m/>
  </r>
  <r>
    <x v="5"/>
    <x v="7"/>
    <s v="F:\Données chgh\2020-CHG-CZA-BPA-1\plaque 1/@05 EE2 114/H5_02- exclu.tif"/>
    <m/>
    <m/>
    <x v="1"/>
    <m/>
    <m/>
    <m/>
  </r>
  <r>
    <x v="5"/>
    <x v="7"/>
    <s v="F:\Données chgh\2020-CHG-CZA-BPA-1\plaque 1/@05 EE2 114/H5_03- exclu.tif"/>
    <m/>
    <m/>
    <x v="1"/>
    <m/>
    <m/>
    <m/>
  </r>
  <r>
    <x v="1"/>
    <x v="8"/>
    <s v=" "/>
    <m/>
    <m/>
    <x v="1"/>
    <m/>
    <m/>
    <m/>
  </r>
  <r>
    <x v="1"/>
    <x v="8"/>
    <s v="group "/>
    <s v=" "/>
    <s v=" mean of mean fluo "/>
    <x v="2"/>
    <s v=" mean of total fluo "/>
    <s v=" SD total fluo "/>
    <s v=" n fluorescent "/>
  </r>
  <r>
    <x v="5"/>
    <x v="9"/>
    <s v="F:\Données chgh\2020-CHG-CZA-BPA-1\plaque 1/@05 EE2 114/ "/>
    <s v=" "/>
    <s v=" 68.584 "/>
    <x v="7"/>
    <s v=" 1314719.96 "/>
    <s v=" 965802.37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BPA-1\plaque 1/@06 EE2 171/A6_01.tif "/>
    <s v=" 42675.7821 "/>
    <s v=" 67.6442 "/>
    <x v="0"/>
    <n v="2886769"/>
    <m/>
    <m/>
  </r>
  <r>
    <x v="6"/>
    <x v="0"/>
    <s v="F:\Données chgh\2020-CHG-CZA-BPA-1\plaque 1/@06 EE2 171/A6_02.tif "/>
    <s v=" 37722.5362 "/>
    <s v=" 67.5682 "/>
    <x v="0"/>
    <n v="2548845"/>
    <m/>
    <m/>
  </r>
  <r>
    <x v="6"/>
    <x v="0"/>
    <s v="F:\Données chgh\2020-CHG-CZA-BPA-1\plaque 1/@06 EE2 171/A6_03.tif "/>
    <s v=" 43735.6469 "/>
    <s v=" 67.8368 "/>
    <x v="0"/>
    <n v="2966886"/>
    <m/>
    <m/>
  </r>
  <r>
    <x v="6"/>
    <x v="1"/>
    <s v="F:\Données chgh\2020-CHG-CZA-BPA-1\plaque 1/@06 EE2 171/B6_01- exclu.tif"/>
    <m/>
    <m/>
    <x v="1"/>
    <m/>
    <m/>
    <m/>
  </r>
  <r>
    <x v="6"/>
    <x v="1"/>
    <s v="F:\Données chgh\2020-CHG-CZA-BPA-1\plaque 1/@06 EE2 171/B6_02.tif "/>
    <s v=" 13215.8656 "/>
    <s v=" 71.2193 "/>
    <x v="0"/>
    <n v="941225"/>
    <m/>
    <m/>
  </r>
  <r>
    <x v="6"/>
    <x v="1"/>
    <s v="F:\Données chgh\2020-CHG-CZA-BPA-1\plaque 1/@06 EE2 171/B6_03.tif "/>
    <s v=" 15616.7839 "/>
    <s v=" 69.6413 "/>
    <x v="0"/>
    <n v="1087573"/>
    <m/>
    <m/>
  </r>
  <r>
    <x v="6"/>
    <x v="2"/>
    <s v="F:\Données chgh\2020-CHG-CZA-BPA-1\plaque 1/@06 EE2 171/C6_01.tif "/>
    <s v=" 32639.511 "/>
    <s v=" 72.1266 "/>
    <x v="0"/>
    <n v="2354176"/>
    <m/>
    <m/>
  </r>
  <r>
    <x v="6"/>
    <x v="2"/>
    <s v="F:\Données chgh\2020-CHG-CZA-BPA-1\plaque 1/@06 EE2 171/C6_02.tif "/>
    <s v=" 28140.4929 "/>
    <s v=" 78.2283 "/>
    <x v="0"/>
    <n v="2201383"/>
    <m/>
    <m/>
  </r>
  <r>
    <x v="6"/>
    <x v="2"/>
    <s v="F:\Données chgh\2020-CHG-CZA-BPA-1\plaque 1/@06 EE2 171/C6_03.tif "/>
    <s v=" 31860.8348 "/>
    <s v=" 77.4487 "/>
    <x v="0"/>
    <n v="2467582"/>
    <m/>
    <m/>
  </r>
  <r>
    <x v="6"/>
    <x v="3"/>
    <s v="F:\Données chgh\2020-CHG-CZA-BPA-1\plaque 1/@06 EE2 171/D6_01.tif "/>
    <s v=" 50094.836 "/>
    <s v=" 72.3148 "/>
    <x v="0"/>
    <n v="3622596"/>
    <m/>
    <m/>
  </r>
  <r>
    <x v="6"/>
    <x v="3"/>
    <s v="F:\Données chgh\2020-CHG-CZA-BPA-1\plaque 1/@06 EE2 171/D6_02.tif "/>
    <s v=" 49510.8288 "/>
    <s v=" 74.1433 "/>
    <x v="0"/>
    <n v="3670896"/>
    <m/>
    <m/>
  </r>
  <r>
    <x v="6"/>
    <x v="3"/>
    <s v="F:\Données chgh\2020-CHG-CZA-BPA-1\plaque 1/@06 EE2 171/D6_03.tif "/>
    <s v=" 52517.3842 "/>
    <s v=" 72.4506 "/>
    <x v="0"/>
    <n v="3804915"/>
    <m/>
    <m/>
  </r>
  <r>
    <x v="6"/>
    <x v="4"/>
    <s v="F:\Données chgh\2020-CHG-CZA-BPA-1\plaque 1/@06 EE2 171/E6_01.tif "/>
    <s v=" 50116.4659 "/>
    <s v=" 73.8718 "/>
    <x v="0"/>
    <n v="3702194"/>
    <m/>
    <m/>
  </r>
  <r>
    <x v="6"/>
    <x v="4"/>
    <s v="F:\Données chgh\2020-CHG-CZA-BPA-1\plaque 1/@06 EE2 171/E6_02.tif "/>
    <s v=" 45314.6292 "/>
    <s v=" 75.9733 "/>
    <x v="0"/>
    <n v="3442701"/>
    <m/>
    <m/>
  </r>
  <r>
    <x v="6"/>
    <x v="4"/>
    <s v="F:\Données chgh\2020-CHG-CZA-BPA-1\plaque 1/@06 EE2 171/E6_03.tif "/>
    <s v=" 43735.6469 "/>
    <s v=" 73.3734 "/>
    <x v="0"/>
    <n v="3209033"/>
    <m/>
    <m/>
  </r>
  <r>
    <x v="6"/>
    <x v="5"/>
    <s v="F:\Données chgh\2020-CHG-CZA-BPA-1\plaque 1/@06 EE2 171/F6_01.tif "/>
    <s v=" 45466.0385 "/>
    <s v=" 80.451 "/>
    <x v="0"/>
    <n v="3657788"/>
    <m/>
    <m/>
  </r>
  <r>
    <x v="6"/>
    <x v="5"/>
    <s v="F:\Données chgh\2020-CHG-CZA-BPA-1\plaque 1/@06 EE2 171/F6_02.tif "/>
    <s v=" 43714.017 "/>
    <s v=" 74.7432 "/>
    <x v="0"/>
    <n v="3267325"/>
    <m/>
    <m/>
  </r>
  <r>
    <x v="6"/>
    <x v="5"/>
    <s v="F:\Données chgh\2020-CHG-CZA-BPA-1\plaque 1/@06 EE2 171/F6_03.tif "/>
    <s v=" 43692.3872 "/>
    <s v=" 78.9436 "/>
    <x v="0"/>
    <n v="3449233"/>
    <m/>
    <m/>
  </r>
  <r>
    <x v="6"/>
    <x v="6"/>
    <s v="F:\Données chgh\2020-CHG-CZA-BPA-1\plaque 1/@06 EE2 171/G6_01.tif "/>
    <s v=" 49489.1989 "/>
    <s v=" 81.8632 "/>
    <x v="0"/>
    <n v="4051344"/>
    <m/>
    <m/>
  </r>
  <r>
    <x v="6"/>
    <x v="6"/>
    <s v="F:\Données chgh\2020-CHG-CZA-BPA-1\plaque 1/@06 EE2 171/G6_02.tif "/>
    <s v=" 47499.2486 "/>
    <s v=" 84.3852 "/>
    <x v="0"/>
    <n v="4008236"/>
    <m/>
    <m/>
  </r>
  <r>
    <x v="6"/>
    <x v="6"/>
    <s v="F:\Données chgh\2020-CHG-CZA-BPA-1\plaque 1/@06 EE2 171/G6_03.tif "/>
    <s v=" 48364.4444 "/>
    <s v=" 81.6243 "/>
    <x v="0"/>
    <n v="3947715"/>
    <m/>
    <m/>
  </r>
  <r>
    <x v="6"/>
    <x v="7"/>
    <s v="F:\Données chgh\2020-CHG-CZA-BPA-1\plaque 1/@06 EE2 171/H6_01- exclu.tif"/>
    <m/>
    <m/>
    <x v="1"/>
    <m/>
    <m/>
    <m/>
  </r>
  <r>
    <x v="6"/>
    <x v="7"/>
    <s v="F:\Données chgh\2020-CHG-CZA-BPA-1\plaque 1/@06 EE2 171/H6_02- exclu.tif"/>
    <m/>
    <m/>
    <x v="1"/>
    <m/>
    <m/>
    <m/>
  </r>
  <r>
    <x v="6"/>
    <x v="7"/>
    <s v="F:\Données chgh\2020-CHG-CZA-BPA-1\plaque 1/@06 EE2 171/H6_03- exclu.tif"/>
    <m/>
    <m/>
    <x v="1"/>
    <m/>
    <m/>
    <m/>
  </r>
  <r>
    <x v="1"/>
    <x v="8"/>
    <s v=" "/>
    <m/>
    <m/>
    <x v="1"/>
    <m/>
    <m/>
    <m/>
  </r>
  <r>
    <x v="1"/>
    <x v="8"/>
    <s v="group "/>
    <s v=" "/>
    <s v=" mean of mean fluo "/>
    <x v="2"/>
    <s v=" mean of total fluo "/>
    <s v=" SD total fluo "/>
    <s v=" n fluorescent "/>
  </r>
  <r>
    <x v="6"/>
    <x v="9"/>
    <s v="F:\Données chgh\2020-CHG-CZA-BPA-1\plaque 1/@06 EE2 171/ "/>
    <s v=" "/>
    <s v=" 73.0428 "/>
    <x v="8"/>
    <s v=" 2560477.54 "/>
    <s v=" 1411165.5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BPA-1\plaque 1/@07 EE2 488/A7_01.tif "/>
    <s v=" 57297.5909 "/>
    <s v=" 105.3356 "/>
    <x v="0"/>
    <n v="6035476"/>
    <m/>
    <m/>
  </r>
  <r>
    <x v="7"/>
    <x v="0"/>
    <s v="F:\Données chgh\2020-CHG-CZA-BPA-1\plaque 1/@07 EE2 488/A7_02.tif "/>
    <s v=" 51111.441 "/>
    <s v=" 114.1003 "/>
    <x v="0"/>
    <n v="5831831"/>
    <m/>
    <m/>
  </r>
  <r>
    <x v="7"/>
    <x v="0"/>
    <s v="F:\Données chgh\2020-CHG-CZA-BPA-1\plaque 1/@07 EE2 488/A7_03.tif "/>
    <s v=" 52041.5265 "/>
    <s v=" 111.3408 "/>
    <x v="0"/>
    <n v="5794346"/>
    <m/>
    <m/>
  </r>
  <r>
    <x v="7"/>
    <x v="1"/>
    <s v="F:\Données chgh\2020-CHG-CZA-BPA-1\plaque 1/@07 EE2 488/B7_01.tif "/>
    <s v=" 10598.6484 "/>
    <s v=" 71.6245 "/>
    <x v="0"/>
    <n v="759123"/>
    <m/>
    <m/>
  </r>
  <r>
    <x v="7"/>
    <x v="1"/>
    <s v="F:\Données chgh\2020-CHG-CZA-BPA-1\plaque 1/@07 EE2 488/B7_02.tif "/>
    <s v=" 13432.1646 "/>
    <s v=" 72.1948 "/>
    <x v="0"/>
    <n v="969733"/>
    <m/>
    <m/>
  </r>
  <r>
    <x v="7"/>
    <x v="1"/>
    <s v="F:\Données chgh\2020-CHG-CZA-BPA-1\plaque 1/@07 EE2 488/B7_03.tif "/>
    <s v=" 11550.3637 "/>
    <s v=" 73.5824 "/>
    <x v="0"/>
    <n v="849903"/>
    <m/>
    <m/>
  </r>
  <r>
    <x v="7"/>
    <x v="2"/>
    <s v="F:\Données chgh\2020-CHG-CZA-BPA-1\plaque 1/@07 EE2 488/C7_01.tif "/>
    <s v=" 43454.4583 "/>
    <s v=" 85.6406 "/>
    <x v="0"/>
    <n v="3721467"/>
    <m/>
    <m/>
  </r>
  <r>
    <x v="7"/>
    <x v="2"/>
    <s v="F:\Données chgh\2020-CHG-CZA-BPA-1\plaque 1/@07 EE2 488/C7_02.tif "/>
    <s v=" 47780.4372 "/>
    <s v=" 86.2544 "/>
    <x v="0"/>
    <n v="4121274"/>
    <m/>
    <m/>
  </r>
  <r>
    <x v="7"/>
    <x v="2"/>
    <s v="F:\Données chgh\2020-CHG-CZA-BPA-1\plaque 1/@07 EE2 488/C7_03.tif "/>
    <s v=" 51608.9286 "/>
    <s v=" 86.8064 "/>
    <x v="0"/>
    <n v="4479984"/>
    <m/>
    <m/>
  </r>
  <r>
    <x v="7"/>
    <x v="3"/>
    <s v="F:\Données chgh\2020-CHG-CZA-BPA-1\plaque 1/@07 EE2 488/D7_01.tif "/>
    <s v=" 60433.9256 "/>
    <s v=" 77.9581 "/>
    <x v="0"/>
    <n v="4711315"/>
    <m/>
    <m/>
  </r>
  <r>
    <x v="7"/>
    <x v="3"/>
    <s v="F:\Données chgh\2020-CHG-CZA-BPA-1\plaque 1/@07 EE2 488/D7_02- exclu.tif"/>
    <m/>
    <m/>
    <x v="1"/>
    <m/>
    <m/>
    <m/>
  </r>
  <r>
    <x v="7"/>
    <x v="3"/>
    <s v="F:\Données chgh\2020-CHG-CZA-BPA-1\plaque 1/@07 EE2 488/D7_03.tif "/>
    <s v=" 57946.4877 "/>
    <s v=" 84.5722 "/>
    <x v="0"/>
    <n v="4900664"/>
    <m/>
    <m/>
  </r>
  <r>
    <x v="7"/>
    <x v="4"/>
    <s v="F:\Données chgh\2020-CHG-CZA-BPA-1\plaque 1/@07 EE2 488/E7_01.tif "/>
    <s v=" 53858.4376 "/>
    <s v=" 95.41 "/>
    <x v="0"/>
    <n v="5138636"/>
    <m/>
    <m/>
  </r>
  <r>
    <x v="7"/>
    <x v="4"/>
    <s v="F:\Données chgh\2020-CHG-CZA-BPA-1\plaque 1/@07 EE2 488/E7_02.tif "/>
    <s v=" 58746.7938 "/>
    <s v=" 93.3321 "/>
    <x v="0"/>
    <n v="5482962"/>
    <m/>
    <m/>
  </r>
  <r>
    <x v="7"/>
    <x v="4"/>
    <s v="F:\Données chgh\2020-CHG-CZA-BPA-1\plaque 1/@07 EE2 488/E7_03.tif "/>
    <s v=" 61839.8687 "/>
    <s v=" 90.4278 "/>
    <x v="0"/>
    <n v="5592042"/>
    <m/>
    <m/>
  </r>
  <r>
    <x v="7"/>
    <x v="5"/>
    <s v="F:\Données chgh\2020-CHG-CZA-BPA-1\plaque 1/@07 EE2 488/F7_01.tif "/>
    <s v=" 25912.6138 "/>
    <s v=" 75.5401 "/>
    <x v="0"/>
    <n v="1957441"/>
    <m/>
    <m/>
  </r>
  <r>
    <x v="7"/>
    <x v="5"/>
    <s v="F:\Données chgh\2020-CHG-CZA-BPA-1\plaque 1/@07 EE2 488/F7_02.tif "/>
    <s v=" 23295.3965 "/>
    <s v=" 77.3649 "/>
    <x v="0"/>
    <n v="1802246"/>
    <m/>
    <m/>
  </r>
  <r>
    <x v="7"/>
    <x v="5"/>
    <s v="F:\Données chgh\2020-CHG-CZA-BPA-1\plaque 1/@07 EE2 488/F7_03.tif "/>
    <s v=" 23965.9232 "/>
    <s v=" 76.1128 "/>
    <x v="0"/>
    <n v="1824114"/>
    <m/>
    <m/>
  </r>
  <r>
    <x v="7"/>
    <x v="6"/>
    <s v="F:\Données chgh\2020-CHG-CZA-BPA-1\plaque 1/@07 EE2 488/G7_01.tif "/>
    <s v=" 63959.5984 "/>
    <s v=" 92.3189 "/>
    <x v="0"/>
    <n v="5904680"/>
    <m/>
    <m/>
  </r>
  <r>
    <x v="7"/>
    <x v="6"/>
    <s v="F:\Données chgh\2020-CHG-CZA-BPA-1\plaque 1/@07 EE2 488/G7_02.tif "/>
    <s v=" 64911.3138 "/>
    <s v=" 90.6331 "/>
    <x v="0"/>
    <n v="5883115"/>
    <m/>
    <m/>
  </r>
  <r>
    <x v="7"/>
    <x v="6"/>
    <s v="F:\Données chgh\2020-CHG-CZA-BPA-1\plaque 1/@07 EE2 488/G7_03.tif "/>
    <s v=" 62272.4666 "/>
    <s v=" 91.5828 "/>
    <x v="0"/>
    <n v="5703089"/>
    <m/>
    <m/>
  </r>
  <r>
    <x v="7"/>
    <x v="7"/>
    <s v="F:\Données chgh\2020-CHG-CZA-BPA-1\plaque 1/@07 EE2 488/H7_01.tif "/>
    <s v=" 56043.057 "/>
    <s v=" 94.1768 "/>
    <x v="0"/>
    <n v="5277954"/>
    <m/>
    <m/>
  </r>
  <r>
    <x v="7"/>
    <x v="7"/>
    <s v="F:\Données chgh\2020-CHG-CZA-BPA-1\plaque 1/@07 EE2 488/H7_02.tif "/>
    <s v=" 60066.2174 "/>
    <s v=" 94.1934 "/>
    <x v="0"/>
    <n v="5657840"/>
    <m/>
    <m/>
  </r>
  <r>
    <x v="7"/>
    <x v="7"/>
    <s v="F:\Données chgh\2020-CHG-CZA-BPA-1\plaque 1/@07 EE2 488/H7_03.tif "/>
    <s v=" 64997.8334 "/>
    <s v=" 93.8815 "/>
    <x v="0"/>
    <n v="6102096"/>
    <m/>
    <m/>
  </r>
  <r>
    <x v="1"/>
    <x v="8"/>
    <s v=" "/>
    <m/>
    <m/>
    <x v="1"/>
    <m/>
    <m/>
    <m/>
  </r>
  <r>
    <x v="1"/>
    <x v="8"/>
    <s v="group "/>
    <s v=" "/>
    <s v=" mean of mean fluo "/>
    <x v="2"/>
    <s v=" mean of total fluo "/>
    <s v=" SD total fluo "/>
    <s v=" n fluorescent "/>
  </r>
  <r>
    <x v="7"/>
    <x v="9"/>
    <s v="F:\Données chgh\2020-CHG-CZA-BPA-1\plaque 1/@07 EE2 488/ "/>
    <s v=" "/>
    <s v=" 87.4353 "/>
    <x v="9"/>
    <s v=" 4192673.96 "/>
    <s v=" 1902420.8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BPA-1\plaque 1/@08 BPA 1/A8_01.tif "/>
    <s v=" 432.5979 "/>
    <s v=" 63.5 "/>
    <x v="0"/>
    <n v="27470"/>
    <m/>
    <m/>
  </r>
  <r>
    <x v="8"/>
    <x v="0"/>
    <s v="F:\Données chgh\2020-CHG-CZA-BPA-1\plaque 1/@08 BPA 1/A8_02.tif "/>
    <s v=" 1081.4947 "/>
    <s v=" 64.22 "/>
    <x v="0"/>
    <n v="69454"/>
    <m/>
    <m/>
  </r>
  <r>
    <x v="8"/>
    <x v="0"/>
    <s v="F:\Données chgh\2020-CHG-CZA-BPA-1\plaque 1/@08 BPA 1/A8_03.tif "/>
    <s v=" 800.3061 "/>
    <s v=" 65.8919 "/>
    <x v="0"/>
    <n v="52734"/>
    <m/>
    <m/>
  </r>
  <r>
    <x v="8"/>
    <x v="1"/>
    <s v="F:\Données chgh\2020-CHG-CZA-BPA-1\plaque 1/@08 BPA 1/B8_01.tif "/>
    <s v=" 584.0072 "/>
    <s v=" 62.7778 "/>
    <x v="0"/>
    <n v="36663"/>
    <m/>
    <m/>
  </r>
  <r>
    <x v="8"/>
    <x v="1"/>
    <s v="F:\Données chgh\2020-CHG-CZA-BPA-1\plaque 1/@08 BPA 1/B8_02.tif "/>
    <s v=" 475.8577 "/>
    <s v=" 63.5 "/>
    <x v="0"/>
    <n v="30217"/>
    <m/>
    <m/>
  </r>
  <r>
    <x v="8"/>
    <x v="1"/>
    <s v="F:\Données chgh\2020-CHG-CZA-BPA-1\plaque 1/@08 BPA 1/B8_03.tif "/>
    <s v=" 367.7082 "/>
    <s v=" 63.4706 "/>
    <x v="0"/>
    <n v="23339"/>
    <m/>
    <m/>
  </r>
  <r>
    <x v="8"/>
    <x v="2"/>
    <s v="F:\Données chgh\2020-CHG-CZA-BPA-1\plaque 1/@08 BPA 1/C8_01.tif "/>
    <s v=" 778.6762 "/>
    <s v=" 63.0556 "/>
    <x v="0"/>
    <n v="49100"/>
    <m/>
    <m/>
  </r>
  <r>
    <x v="8"/>
    <x v="2"/>
    <s v="F:\Données chgh\2020-CHG-CZA-BPA-1\plaque 1/@08 BPA 1/C8_02.tif "/>
    <s v=" 410.968 "/>
    <s v=" 62.6316 "/>
    <x v="0"/>
    <n v="25740"/>
    <m/>
    <m/>
  </r>
  <r>
    <x v="8"/>
    <x v="2"/>
    <s v="F:\Données chgh\2020-CHG-CZA-BPA-1\plaque 1/@08 BPA 1/C8_03.tif "/>
    <s v=" 346.0783 "/>
    <s v=" 63.125 "/>
    <x v="0"/>
    <n v="21846"/>
    <m/>
    <m/>
  </r>
  <r>
    <x v="8"/>
    <x v="3"/>
    <s v="F:\Données chgh\2020-CHG-CZA-BPA-1\plaque 1/@08 BPA 1/D8_01.tif "/>
    <s v=" 324.4484 "/>
    <s v=" 63.6667 "/>
    <x v="0"/>
    <n v="20657"/>
    <m/>
    <m/>
  </r>
  <r>
    <x v="8"/>
    <x v="3"/>
    <s v="F:\Données chgh\2020-CHG-CZA-BPA-1\plaque 1/@08 BPA 1/D8_02.tif "/>
    <s v=" 432.5979 "/>
    <n v="64"/>
    <x v="0"/>
    <n v="27686"/>
    <m/>
    <m/>
  </r>
  <r>
    <x v="8"/>
    <x v="3"/>
    <s v="F:\Données chgh\2020-CHG-CZA-BPA-1\plaque 1/@08 BPA 1/D8_03.tif "/>
    <s v=" 778.6762 "/>
    <s v=" 63.1389 "/>
    <x v="0"/>
    <n v="49165"/>
    <m/>
    <m/>
  </r>
  <r>
    <x v="8"/>
    <x v="4"/>
    <s v="F:\Données chgh\2020-CHG-CZA-BPA-1\plaque 1/@08 BPA 1/E8_01.tif "/>
    <s v=" 1514.0926 "/>
    <s v=" 62.8286 "/>
    <x v="0"/>
    <n v="95128"/>
    <m/>
    <m/>
  </r>
  <r>
    <x v="8"/>
    <x v="4"/>
    <s v="F:\Données chgh\2020-CHG-CZA-BPA-1\plaque 1/@08 BPA 1/E8_02.tif "/>
    <s v=" 4715.317 "/>
    <s v=" 70.1055 "/>
    <x v="0"/>
    <n v="330570"/>
    <m/>
    <m/>
  </r>
  <r>
    <x v="8"/>
    <x v="4"/>
    <s v="F:\Données chgh\2020-CHG-CZA-BPA-1\plaque 1/@08 BPA 1/E8_03.tif "/>
    <s v=" 973.3453 "/>
    <s v=" 63.9333 "/>
    <x v="0"/>
    <n v="62229"/>
    <m/>
    <m/>
  </r>
  <r>
    <x v="8"/>
    <x v="5"/>
    <s v="F:\Données chgh\2020-CHG-CZA-BPA-1\plaque 1/@08 BPA 1/F8_01.tif "/>
    <s v=" 1665.5019 "/>
    <s v=" 65.3117 "/>
    <x v="0"/>
    <n v="108777"/>
    <m/>
    <m/>
  </r>
  <r>
    <x v="8"/>
    <x v="5"/>
    <s v="F:\Données chgh\2020-CHG-CZA-BPA-1\plaque 1/@08 BPA 1/F8_02.tif "/>
    <s v=" 1665.5019 "/>
    <s v=" 70.961 "/>
    <x v="0"/>
    <n v="118186"/>
    <m/>
    <m/>
  </r>
  <r>
    <x v="8"/>
    <x v="5"/>
    <s v="F:\Données chgh\2020-CHG-CZA-BPA-1\plaque 1/@08 BPA 1/F8_03.tif "/>
    <s v=" 1946.6905 "/>
    <s v=" 66.4333 "/>
    <x v="0"/>
    <n v="129325"/>
    <m/>
    <m/>
  </r>
  <r>
    <x v="8"/>
    <x v="6"/>
    <s v="F:\Données chgh\2020-CHG-CZA-BPA-1\plaque 1/@08 BPA 1/G8_01.tif "/>
    <s v=" 6943.1962 "/>
    <s v=" 72.4798 "/>
    <x v="0"/>
    <n v="503241"/>
    <m/>
    <m/>
  </r>
  <r>
    <x v="8"/>
    <x v="6"/>
    <s v="F:\Données chgh\2020-CHG-CZA-BPA-1\plaque 1/@08 BPA 1/G8_02.tif "/>
    <s v=" 4412.4985 "/>
    <s v=" 65.9951 "/>
    <x v="0"/>
    <n v="291203"/>
    <m/>
    <m/>
  </r>
  <r>
    <x v="8"/>
    <x v="6"/>
    <s v="F:\Données chgh\2020-CHG-CZA-BPA-1\plaque 1/@08 BPA 1/G8_03.tif "/>
    <s v=" 6402.4488 "/>
    <s v=" 68.1115 "/>
    <x v="0"/>
    <n v="436080"/>
    <m/>
    <m/>
  </r>
  <r>
    <x v="8"/>
    <x v="7"/>
    <s v="F:\Données chgh\2020-CHG-CZA-BPA-1\plaque 1/@08 BPA 1/H8_01.tif "/>
    <s v=" 2098.0998 "/>
    <s v=" 67.5567 "/>
    <x v="0"/>
    <n v="141741"/>
    <m/>
    <m/>
  </r>
  <r>
    <x v="8"/>
    <x v="7"/>
    <s v="F:\Données chgh\2020-CHG-CZA-BPA-1\plaque 1/@08 BPA 1/H8_02.tif "/>
    <s v=" 821.936 "/>
    <n v="64"/>
    <x v="0"/>
    <n v="52604"/>
    <m/>
    <m/>
  </r>
  <r>
    <x v="8"/>
    <x v="7"/>
    <s v="F:\Données chgh\2020-CHG-CZA-BPA-1\plaque 1/@08 BPA 1/H8_03.tif "/>
    <s v=" 4109.68 "/>
    <s v=" 64.4632 "/>
    <x v="0"/>
    <n v="264923"/>
    <m/>
    <m/>
  </r>
  <r>
    <x v="1"/>
    <x v="8"/>
    <s v=" "/>
    <m/>
    <m/>
    <x v="1"/>
    <m/>
    <m/>
    <m/>
  </r>
  <r>
    <x v="1"/>
    <x v="8"/>
    <s v="group "/>
    <s v=" "/>
    <s v=" mean of mean fluo "/>
    <x v="2"/>
    <s v=" mean of total fluo "/>
    <s v=" SD total fluo "/>
    <s v=" n fluorescent "/>
  </r>
  <r>
    <x v="8"/>
    <x v="9"/>
    <s v="F:\Données chgh\2020-CHG-CZA-BPA-1\plaque 1/@08 BPA 1/ "/>
    <s v=" "/>
    <s v=" 65.2149 "/>
    <x v="10"/>
    <s v=" 123669.917 "/>
    <s v=" 137878.70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BPA-1\plaque 1/@09 BPA 2/A9_01.tif "/>
    <s v=" 1319.4236 "/>
    <s v=" 64.8033 "/>
    <x v="0"/>
    <n v="85503"/>
    <m/>
    <m/>
  </r>
  <r>
    <x v="9"/>
    <x v="0"/>
    <s v="F:\Données chgh\2020-CHG-CZA-BPA-1\plaque 1/@09 BPA 2/A9_02.tif "/>
    <s v=" 908.4556 "/>
    <s v=" 65.119 "/>
    <x v="0"/>
    <n v="59158"/>
    <m/>
    <m/>
  </r>
  <r>
    <x v="9"/>
    <x v="0"/>
    <s v="F:\Données chgh\2020-CHG-CZA-BPA-1\plaque 1/@09 BPA 2/A9_03.tif "/>
    <s v=" 454.2278 "/>
    <s v=" 64.2857 "/>
    <x v="0"/>
    <n v="29200"/>
    <m/>
    <m/>
  </r>
  <r>
    <x v="9"/>
    <x v="1"/>
    <s v="F:\Données chgh\2020-CHG-CZA-BPA-1\plaque 1/@09 BPA 2/B9_01.tif "/>
    <s v=" 5320.9541 "/>
    <s v=" 75.6382 "/>
    <x v="0"/>
    <n v="402467"/>
    <m/>
    <m/>
  </r>
  <r>
    <x v="9"/>
    <x v="1"/>
    <s v="F:\Données chgh\2020-CHG-CZA-BPA-1\plaque 1/@09 BPA 2/B9_02.tif "/>
    <s v=" 9668.5629 "/>
    <s v=" 70.6734 "/>
    <x v="0"/>
    <n v="683310"/>
    <m/>
    <m/>
  </r>
  <r>
    <x v="9"/>
    <x v="1"/>
    <s v="F:\Données chgh\2020-CHG-CZA-BPA-1\plaque 1/@09 BPA 2/B9_03.tif "/>
    <s v=" 6683.6374 "/>
    <s v=" 71.7896 "/>
    <x v="0"/>
    <n v="479816"/>
    <m/>
    <m/>
  </r>
  <r>
    <x v="9"/>
    <x v="2"/>
    <s v="F:\Données chgh\2020-CHG-CZA-BPA-1\plaque 1/@09 BPA 2/C9_01.tif "/>
    <s v=" 562.3773 "/>
    <s v=" 66.1923 "/>
    <x v="0"/>
    <n v="37225"/>
    <m/>
    <m/>
  </r>
  <r>
    <x v="9"/>
    <x v="2"/>
    <s v="F:\Données chgh\2020-CHG-CZA-BPA-1\plaque 1/@09 BPA 2/C9_02.tif "/>
    <s v=" 2768.6265 "/>
    <s v=" 65.7812 "/>
    <x v="0"/>
    <n v="182124"/>
    <m/>
    <m/>
  </r>
  <r>
    <x v="9"/>
    <x v="2"/>
    <s v="F:\Données chgh\2020-CHG-CZA-BPA-1\plaque 1/@09 BPA 2/C9_03.tif "/>
    <s v=" 5710.2922 "/>
    <s v=" 68.7652 "/>
    <x v="0"/>
    <n v="392669"/>
    <m/>
    <m/>
  </r>
  <r>
    <x v="9"/>
    <x v="3"/>
    <s v="F:\Données chgh\2020-CHG-CZA-BPA-1\plaque 1/@09 BPA 2/D9_01.tif "/>
    <s v=" 994.9752 "/>
    <s v=" 67.3043 "/>
    <x v="0"/>
    <n v="66966"/>
    <m/>
    <m/>
  </r>
  <r>
    <x v="9"/>
    <x v="3"/>
    <s v="F:\Données chgh\2020-CHG-CZA-BPA-1\plaque 1/@09 BPA 2/D9_02.tif "/>
    <s v=" 1189.6442 "/>
    <s v=" 68.9091 "/>
    <x v="0"/>
    <n v="81977"/>
    <m/>
    <m/>
  </r>
  <r>
    <x v="9"/>
    <x v="3"/>
    <s v="F:\Données chgh\2020-CHG-CZA-BPA-1\plaque 1/@09 BPA 2/D9_03.tif "/>
    <s v=" 1297.7937 "/>
    <s v=" 66.2333 "/>
    <x v="0"/>
    <n v="85957"/>
    <m/>
    <m/>
  </r>
  <r>
    <x v="9"/>
    <x v="4"/>
    <s v="F:\Données chgh\2020-CHG-CZA-BPA-1\plaque 1/@09 BPA 2/E9_01.tif "/>
    <s v=" 410.968 "/>
    <s v=" 62.3684 "/>
    <x v="0"/>
    <n v="25631"/>
    <m/>
    <m/>
  </r>
  <r>
    <x v="9"/>
    <x v="4"/>
    <s v="F:\Données chgh\2020-CHG-CZA-BPA-1\plaque 1/@09 BPA 2/E9_02.tif "/>
    <s v=" 454.2278 "/>
    <s v=" 63.8571 "/>
    <x v="0"/>
    <n v="29006"/>
    <m/>
    <m/>
  </r>
  <r>
    <x v="9"/>
    <x v="4"/>
    <s v="F:\Données chgh\2020-CHG-CZA-BPA-1\plaque 1/@09 BPA 2/E9_03.tif "/>
    <s v=" 865.1958 "/>
    <s v=" 64.6 "/>
    <x v="0"/>
    <n v="55892"/>
    <m/>
    <m/>
  </r>
  <r>
    <x v="9"/>
    <x v="5"/>
    <s v="F:\Données chgh\2020-CHG-CZA-BPA-1\plaque 1/@09 BPA 2/F9_01.tif "/>
    <s v=" 1168.0143 "/>
    <s v=" 63.8333 "/>
    <x v="0"/>
    <n v="74558"/>
    <m/>
    <m/>
  </r>
  <r>
    <x v="9"/>
    <x v="5"/>
    <s v="F:\Données chgh\2020-CHG-CZA-BPA-1\plaque 1/@09 BPA 2/F9_02.tif "/>
    <s v=" 757.0463 "/>
    <s v=" 63.7429 "/>
    <x v="0"/>
    <n v="48256"/>
    <m/>
    <m/>
  </r>
  <r>
    <x v="9"/>
    <x v="5"/>
    <s v="F:\Données chgh\2020-CHG-CZA-BPA-1\plaque 1/@09 BPA 2/F9_03.tif "/>
    <s v=" 1557.3524 "/>
    <s v=" 62.8333 "/>
    <x v="0"/>
    <n v="97854"/>
    <m/>
    <m/>
  </r>
  <r>
    <x v="9"/>
    <x v="6"/>
    <s v="F:\Données chgh\2020-CHG-CZA-BPA-1\plaque 1/@09 BPA 2/G9_01.tif "/>
    <s v=" 6359.189 "/>
    <s v=" 69.5238 "/>
    <x v="0"/>
    <n v="442115"/>
    <m/>
    <m/>
  </r>
  <r>
    <x v="9"/>
    <x v="6"/>
    <s v="F:\Données chgh\2020-CHG-CZA-BPA-1\plaque 1/@09 BPA 2/G9_02.tif "/>
    <s v=" 3331.0038 "/>
    <s v=" 67.7078 "/>
    <x v="0"/>
    <n v="225535"/>
    <m/>
    <m/>
  </r>
  <r>
    <x v="9"/>
    <x v="6"/>
    <s v="F:\Données chgh\2020-CHG-CZA-BPA-1\plaque 1/@09 BPA 2/G9_03.tif "/>
    <s v=" 3201.2244 "/>
    <s v=" 65.3986 "/>
    <x v="0"/>
    <n v="209356"/>
    <m/>
    <m/>
  </r>
  <r>
    <x v="9"/>
    <x v="7"/>
    <s v="F:\Données chgh\2020-CHG-CZA-BPA-1\plaque 1/@09 BPA 2/H9_01.tif "/>
    <s v=" 1059.8648 "/>
    <s v=" 63.4082 "/>
    <x v="0"/>
    <n v="67204"/>
    <m/>
    <m/>
  </r>
  <r>
    <x v="9"/>
    <x v="7"/>
    <s v="F:\Données chgh\2020-CHG-CZA-BPA-1\plaque 1/@09 BPA 2/H9_02.tif "/>
    <s v=" 930.0855 "/>
    <s v=" 65.4186 "/>
    <x v="0"/>
    <n v="60845"/>
    <m/>
    <m/>
  </r>
  <r>
    <x v="9"/>
    <x v="7"/>
    <s v="F:\Données chgh\2020-CHG-CZA-BPA-1\plaque 1/@09 BPA 2/H9_03.tif "/>
    <s v=" 670.5267 "/>
    <s v=" 64.4516 "/>
    <x v="0"/>
    <n v="43217"/>
    <m/>
    <m/>
  </r>
  <r>
    <x v="1"/>
    <x v="8"/>
    <s v=" "/>
    <m/>
    <m/>
    <x v="1"/>
    <m/>
    <m/>
    <m/>
  </r>
  <r>
    <x v="1"/>
    <x v="8"/>
    <s v="group "/>
    <s v=" "/>
    <s v=" mean of mean fluo "/>
    <x v="2"/>
    <s v=" mean of total fluo "/>
    <s v=" SD total fluo "/>
    <s v=" n fluorescent "/>
  </r>
  <r>
    <x v="9"/>
    <x v="9"/>
    <s v="F:\Données chgh\2020-CHG-CZA-BPA-1\plaque 1/@09 BPA 2/ "/>
    <s v=" "/>
    <s v=" 66.3599 "/>
    <x v="11"/>
    <s v=" 165243.375 "/>
    <s v=" 179990.31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BPA-1\plaque 1/@10  BPA 3/A10_01- exclu.tif"/>
    <m/>
    <m/>
    <x v="1"/>
    <m/>
    <m/>
    <m/>
  </r>
  <r>
    <x v="10"/>
    <x v="0"/>
    <s v="F:\Données chgh\2020-CHG-CZA-BPA-1\plaque 1/@10  BPA 3/A10_02- exclu.tif"/>
    <m/>
    <m/>
    <x v="1"/>
    <m/>
    <m/>
    <m/>
  </r>
  <r>
    <x v="10"/>
    <x v="0"/>
    <s v="F:\Données chgh\2020-CHG-CZA-BPA-1\plaque 1/@10  BPA 3/A10_03.tif "/>
    <s v=" 8695.2176 "/>
    <s v=" 77.3831 "/>
    <x v="0"/>
    <n v="672863"/>
    <m/>
    <m/>
  </r>
  <r>
    <x v="10"/>
    <x v="1"/>
    <s v="F:\Données chgh\2020-CHG-CZA-BPA-1\plaque 1/@10  BPA 3/B10_01- exclu.tif"/>
    <m/>
    <m/>
    <x v="1"/>
    <m/>
    <m/>
    <m/>
  </r>
  <r>
    <x v="10"/>
    <x v="1"/>
    <s v="F:\Données chgh\2020-CHG-CZA-BPA-1\plaque 1/@10  BPA 3/B10_02- exclu.tif"/>
    <m/>
    <m/>
    <x v="1"/>
    <m/>
    <m/>
    <m/>
  </r>
  <r>
    <x v="10"/>
    <x v="1"/>
    <s v="F:\Données chgh\2020-CHG-CZA-BPA-1\plaque 1/@10  BPA 3/B10_03.tif "/>
    <s v=" 151.4093 "/>
    <s v=" 63.7143 "/>
    <x v="0"/>
    <n v="9647"/>
    <m/>
    <m/>
  </r>
  <r>
    <x v="10"/>
    <x v="2"/>
    <s v="F:\Données chgh\2020-CHG-CZA-BPA-1\plaque 1/@10  BPA 3/C10_01.tif "/>
    <s v=" 2292.7688 "/>
    <s v=" 62.9434 "/>
    <x v="0"/>
    <n v="144315"/>
    <m/>
    <m/>
  </r>
  <r>
    <x v="10"/>
    <x v="2"/>
    <s v="F:\Données chgh\2020-CHG-CZA-BPA-1\plaque 1/@10  BPA 3/C10_02.tif "/>
    <s v=" 865.1958 "/>
    <s v=" 63.3 "/>
    <x v="0"/>
    <n v="54767"/>
    <m/>
    <m/>
  </r>
  <r>
    <x v="10"/>
    <x v="2"/>
    <s v="F:\Données chgh\2020-CHG-CZA-BPA-1\plaque 1/@10  BPA 3/C10_03.tif "/>
    <s v=" 497.4876 "/>
    <s v=" 62.7826 "/>
    <x v="0"/>
    <n v="31234"/>
    <m/>
    <m/>
  </r>
  <r>
    <x v="10"/>
    <x v="3"/>
    <s v="F:\Données chgh\2020-CHG-CZA-BPA-1\plaque 1/@10  BPA 3/D10_01.tif "/>
    <s v=" 41832.2162 "/>
    <s v=" 68.6986 "/>
    <x v="0"/>
    <n v="2873813"/>
    <m/>
    <m/>
  </r>
  <r>
    <x v="10"/>
    <x v="3"/>
    <s v="F:\Données chgh\2020-CHG-CZA-BPA-1\plaque 1/@10  BPA 3/D10_02.tif "/>
    <s v=" 46287.9745 "/>
    <s v=" 69.2271 "/>
    <x v="0"/>
    <n v="3204382"/>
    <m/>
    <m/>
  </r>
  <r>
    <x v="10"/>
    <x v="3"/>
    <s v="F:\Données chgh\2020-CHG-CZA-BPA-1\plaque 1/@10  BPA 3/D10_03.tif "/>
    <s v=" 44081.7253 "/>
    <s v=" 68.5466 "/>
    <x v="0"/>
    <n v="3021653"/>
    <m/>
    <m/>
  </r>
  <r>
    <x v="10"/>
    <x v="4"/>
    <s v="F:\Données chgh\2020-CHG-CZA-BPA-1\plaque 1/@10  BPA 3/E10_01- exclu.tif"/>
    <m/>
    <m/>
    <x v="1"/>
    <m/>
    <m/>
    <m/>
  </r>
  <r>
    <x v="10"/>
    <x v="4"/>
    <s v="F:\Données chgh\2020-CHG-CZA-BPA-1\plaque 1/@10  BPA 3/E10_02.tif "/>
    <s v=" 951.7154 "/>
    <s v=" 62.6136 "/>
    <x v="0"/>
    <n v="59590"/>
    <m/>
    <m/>
  </r>
  <r>
    <x v="10"/>
    <x v="4"/>
    <s v="F:\Données chgh\2020-CHG-CZA-BPA-1\plaque 1/@10  BPA 3/E10_03.tif "/>
    <s v=" 1081.4947 "/>
    <s v=" 63.1 "/>
    <x v="0"/>
    <n v="68242"/>
    <m/>
    <m/>
  </r>
  <r>
    <x v="10"/>
    <x v="5"/>
    <s v="F:\Données chgh\2020-CHG-CZA-BPA-1\plaque 1/@10  BPA 3/F10_01.tif "/>
    <s v=" 17476.9549 "/>
    <s v=" 68.7908 "/>
    <x v="0"/>
    <n v="1202254"/>
    <m/>
    <m/>
  </r>
  <r>
    <x v="10"/>
    <x v="5"/>
    <s v="F:\Données chgh\2020-CHG-CZA-BPA-1\plaque 1/@10  BPA 3/F10_02.tif "/>
    <s v=" 16179.1612 "/>
    <s v=" 67.3703 "/>
    <x v="0"/>
    <n v="1089995"/>
    <m/>
    <m/>
  </r>
  <r>
    <x v="10"/>
    <x v="5"/>
    <s v="F:\Données chgh\2020-CHG-CZA-BPA-1\plaque 1/@10  BPA 3/F10_03.tif "/>
    <s v=" 13345.645 "/>
    <s v=" 67.6062 "/>
    <x v="0"/>
    <n v="902248"/>
    <m/>
    <m/>
  </r>
  <r>
    <x v="10"/>
    <x v="6"/>
    <s v="F:\Données chgh\2020-CHG-CZA-BPA-1\plaque 1/@10  BPA 3/G10_01- exclu.tif"/>
    <m/>
    <m/>
    <x v="1"/>
    <m/>
    <m/>
    <m/>
  </r>
  <r>
    <x v="10"/>
    <x v="6"/>
    <s v="F:\Données chgh\2020-CHG-CZA-BPA-1\plaque 1/@10  BPA 3/G10_02.tif "/>
    <s v=" 865.1958 "/>
    <s v=" 64.4 "/>
    <x v="0"/>
    <n v="55719"/>
    <m/>
    <m/>
  </r>
  <r>
    <x v="10"/>
    <x v="6"/>
    <s v="F:\Données chgh\2020-CHG-CZA-BPA-1\plaque 1/@10  BPA 3/G10_03- exclu.tif"/>
    <m/>
    <m/>
    <x v="1"/>
    <m/>
    <m/>
    <m/>
  </r>
  <r>
    <x v="10"/>
    <x v="7"/>
    <s v="F:\Données chgh\2020-CHG-CZA-BPA-1\plaque 1/@10  BPA 3/H10_01.tif "/>
    <s v=" 821.936 "/>
    <s v=" 64.0263 "/>
    <x v="0"/>
    <n v="52626"/>
    <m/>
    <m/>
  </r>
  <r>
    <x v="10"/>
    <x v="7"/>
    <s v="F:\Données chgh\2020-CHG-CZA-BPA-1\plaque 1/@10  BPA 3/H10_02.tif "/>
    <s v=" 627.2669 "/>
    <s v=" 62.8966 "/>
    <x v="0"/>
    <n v="39453"/>
    <m/>
    <m/>
  </r>
  <r>
    <x v="10"/>
    <x v="7"/>
    <s v="F:\Données chgh\2020-CHG-CZA-BPA-1\plaque 1/@10  BPA 3/H10_03.tif "/>
    <s v=" 1189.6442 "/>
    <s v=" 64.2909 "/>
    <x v="0"/>
    <n v="76483"/>
    <m/>
    <m/>
  </r>
  <r>
    <x v="1"/>
    <x v="8"/>
    <s v=" "/>
    <m/>
    <m/>
    <x v="1"/>
    <m/>
    <m/>
    <m/>
  </r>
  <r>
    <x v="1"/>
    <x v="8"/>
    <s v="group "/>
    <s v=" "/>
    <s v=" mean of mean fluo "/>
    <x v="2"/>
    <s v=" mean of total fluo "/>
    <s v=" SD total fluo "/>
    <s v=" n fluorescent "/>
  </r>
  <r>
    <x v="10"/>
    <x v="9"/>
    <s v="F:\Données chgh\2020-CHG-CZA-BPA-1\plaque 1/@10  BPA 3/ "/>
    <s v=" "/>
    <s v=" 66.8931 "/>
    <x v="12"/>
    <s v=" 671116.167 "/>
    <s v=" 995597.3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BPA-1\plaque 1/@11 BPA 4/A11_01.tif "/>
    <s v=" 25653.055 "/>
    <s v=" 67.5843 "/>
    <x v="0"/>
    <n v="1733744"/>
    <m/>
    <m/>
  </r>
  <r>
    <x v="11"/>
    <x v="0"/>
    <s v="F:\Données chgh\2020-CHG-CZA-BPA-1\plaque 1/@11 BPA 4/A11_02- exclu.tif"/>
    <m/>
    <m/>
    <x v="1"/>
    <m/>
    <m/>
    <m/>
  </r>
  <r>
    <x v="11"/>
    <x v="0"/>
    <s v="F:\Données chgh\2020-CHG-CZA-BPA-1\plaque 1/@11 BPA 4/A11_03.tif "/>
    <s v=" 25782.8344 "/>
    <s v=" 69.9824 "/>
    <x v="0"/>
    <n v="1804344"/>
    <m/>
    <m/>
  </r>
  <r>
    <x v="11"/>
    <x v="1"/>
    <s v="F:\Données chgh\2020-CHG-CZA-BPA-1\plaque 1/@11 BPA 4/B11_01.tif "/>
    <s v=" 41313.0987 "/>
    <s v=" 82.2063 "/>
    <x v="0"/>
    <n v="3396196"/>
    <m/>
    <m/>
  </r>
  <r>
    <x v="11"/>
    <x v="1"/>
    <s v="F:\Données chgh\2020-CHG-CZA-BPA-1\plaque 1/@11 BPA 4/B11_02.tif "/>
    <s v=" 43908.6861 "/>
    <s v=" 80.1793 "/>
    <x v="0"/>
    <n v="3520568"/>
    <m/>
    <m/>
  </r>
  <r>
    <x v="11"/>
    <x v="1"/>
    <s v="F:\Données chgh\2020-CHG-CZA-BPA-1\plaque 1/@11 BPA 4/B11_03.tif "/>
    <s v=" 40685.8318 "/>
    <s v=" 79.8107 "/>
    <x v="0"/>
    <n v="3247166"/>
    <m/>
    <m/>
  </r>
  <r>
    <x v="11"/>
    <x v="2"/>
    <s v="F:\Données chgh\2020-CHG-CZA-BPA-1\plaque 1/@11 BPA 4/C11_01.tif "/>
    <s v=" 5883.3313 "/>
    <s v=" 64.3382 "/>
    <x v="0"/>
    <n v="378523"/>
    <m/>
    <m/>
  </r>
  <r>
    <x v="11"/>
    <x v="2"/>
    <s v="F:\Données chgh\2020-CHG-CZA-BPA-1\plaque 1/@11 BPA 4/C11_02.tif "/>
    <s v=" 8760.1073 "/>
    <s v=" 65.4099 "/>
    <x v="0"/>
    <n v="572998"/>
    <m/>
    <m/>
  </r>
  <r>
    <x v="11"/>
    <x v="2"/>
    <s v="F:\Données chgh\2020-CHG-CZA-BPA-1\plaque 1/@11 BPA 4/C11_03.tif "/>
    <s v=" 4693.6871 "/>
    <s v=" 64.4977 "/>
    <x v="0"/>
    <n v="302732"/>
    <m/>
    <m/>
  </r>
  <r>
    <x v="11"/>
    <x v="3"/>
    <s v="F:\Données chgh\2020-CHG-CZA-BPA-1\plaque 1/@11 BPA 4/D11_01- exclu.tif"/>
    <m/>
    <m/>
    <x v="1"/>
    <m/>
    <m/>
    <m/>
  </r>
  <r>
    <x v="11"/>
    <x v="3"/>
    <s v="F:\Données chgh\2020-CHG-CZA-BPA-1\plaque 1/@11 BPA 4/D11_02- exclu.tif"/>
    <m/>
    <m/>
    <x v="1"/>
    <m/>
    <m/>
    <m/>
  </r>
  <r>
    <x v="11"/>
    <x v="3"/>
    <s v="F:\Données chgh\2020-CHG-CZA-BPA-1\plaque 1/@11 BPA 4/D11_03.tif "/>
    <s v=" 259.5587 "/>
    <s v=" 63.1667 "/>
    <x v="0"/>
    <n v="16395"/>
    <m/>
    <m/>
  </r>
  <r>
    <x v="11"/>
    <x v="4"/>
    <s v="F:\Données chgh\2020-CHG-CZA-BPA-1\plaque 1/@11 BPA 4/E11_01.tif "/>
    <s v=" 4088.0501 "/>
    <s v=" 64.9206 "/>
    <x v="0"/>
    <n v="265399"/>
    <m/>
    <m/>
  </r>
  <r>
    <x v="11"/>
    <x v="4"/>
    <s v="F:\Données chgh\2020-CHG-CZA-BPA-1\plaque 1/@11 BPA 4/E11_02.tif "/>
    <s v=" 6380.8189 "/>
    <s v=" 65.2271 "/>
    <x v="0"/>
    <n v="416202"/>
    <m/>
    <m/>
  </r>
  <r>
    <x v="11"/>
    <x v="4"/>
    <s v="F:\Données chgh\2020-CHG-CZA-BPA-1\plaque 1/@11 BPA 4/E11_03.tif "/>
    <s v=" 4628.7975 "/>
    <s v=" 64.5701 "/>
    <x v="0"/>
    <n v="298882"/>
    <m/>
    <m/>
  </r>
  <r>
    <x v="11"/>
    <x v="5"/>
    <s v="F:\Données chgh\2020-CHG-CZA-BPA-1\plaque 1/@11 BPA 4/F11_01- exclu.tif"/>
    <m/>
    <m/>
    <x v="1"/>
    <m/>
    <m/>
    <m/>
  </r>
  <r>
    <x v="11"/>
    <x v="5"/>
    <s v="F:\Données chgh\2020-CHG-CZA-BPA-1\plaque 1/@11 BPA 4/F11_02.tif "/>
    <s v=" 410.968 "/>
    <s v=" 62.6316 "/>
    <x v="0"/>
    <n v="25740"/>
    <m/>
    <m/>
  </r>
  <r>
    <x v="11"/>
    <x v="5"/>
    <s v="F:\Données chgh\2020-CHG-CZA-BPA-1\plaque 1/@11 BPA 4/F11_03.tif "/>
    <s v=" 216.2989 "/>
    <s v=" 63.2 "/>
    <x v="0"/>
    <n v="13670"/>
    <m/>
    <m/>
  </r>
  <r>
    <x v="11"/>
    <x v="6"/>
    <s v="F:\Données chgh\2020-CHG-CZA-BPA-1\plaque 1/@11 BPA 4/G11_01.tif "/>
    <s v=" 59287.5412 "/>
    <s v=" 76.0471 "/>
    <x v="0"/>
    <n v="4508643"/>
    <m/>
    <m/>
  </r>
  <r>
    <x v="11"/>
    <x v="6"/>
    <s v="F:\Données chgh\2020-CHG-CZA-BPA-1\plaque 1/@11 BPA 4/G11_02.tif "/>
    <s v=" 64435.4561 "/>
    <s v=" 76.7076 "/>
    <x v="0"/>
    <n v="4942690"/>
    <m/>
    <m/>
  </r>
  <r>
    <x v="11"/>
    <x v="6"/>
    <s v="F:\Données chgh\2020-CHG-CZA-BPA-1\plaque 1/@11 BPA 4/G11_03.tif "/>
    <s v=" 64197.5273 "/>
    <s v=" 76.2834 "/>
    <x v="0"/>
    <n v="4897203"/>
    <m/>
    <m/>
  </r>
  <r>
    <x v="11"/>
    <x v="7"/>
    <s v="F:\Données chgh\2020-CHG-CZA-BPA-1\plaque 1/@11 BPA 4/H11_01.tif "/>
    <s v=" 30563.0411 "/>
    <s v=" 70.7084 "/>
    <x v="0"/>
    <n v="2161064"/>
    <m/>
    <m/>
  </r>
  <r>
    <x v="11"/>
    <x v="7"/>
    <s v="F:\Données chgh\2020-CHG-CZA-BPA-1\plaque 1/@11 BPA 4/H11_02.tif "/>
    <s v=" 31622.9059 "/>
    <s v=" 70.2804 "/>
    <x v="0"/>
    <n v="2222472"/>
    <m/>
    <m/>
  </r>
  <r>
    <x v="11"/>
    <x v="7"/>
    <s v="F:\Données chgh\2020-CHG-CZA-BPA-1\plaque 1/@11 BPA 4/H11_03.tif "/>
    <s v=" 33721.0057 "/>
    <s v=" 71.0738 "/>
    <x v="0"/>
    <n v="2396679"/>
    <m/>
    <m/>
  </r>
  <r>
    <x v="1"/>
    <x v="8"/>
    <s v=" "/>
    <m/>
    <m/>
    <x v="1"/>
    <m/>
    <m/>
    <m/>
  </r>
  <r>
    <x v="1"/>
    <x v="8"/>
    <s v="group "/>
    <s v=" "/>
    <s v=" mean of mean fluo "/>
    <x v="2"/>
    <s v=" mean of total fluo "/>
    <s v=" SD total fluo "/>
    <s v=" n fluorescent "/>
  </r>
  <r>
    <x v="11"/>
    <x v="9"/>
    <s v="F:\Données chgh\2020-CHG-CZA-BPA-1\plaque 1/@11 BPA 4/ "/>
    <s v=" "/>
    <s v=" 69.1495 "/>
    <x v="13"/>
    <s v=" 1621074.92 "/>
    <s v=" 1689673.5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BPA-1\plaque 1/@12  BPA 5/A12_01.tif "/>
    <s v=" 49597.3484 "/>
    <s v=" 78.0632 "/>
    <x v="0"/>
    <n v="3871730"/>
    <m/>
    <m/>
  </r>
  <r>
    <x v="12"/>
    <x v="0"/>
    <s v="F:\Données chgh\2020-CHG-CZA-BPA-1\plaque 1/@12  BPA 5/A12_02.tif "/>
    <s v=" 48126.5155 "/>
    <s v=" 79.0697 "/>
    <x v="0"/>
    <n v="3805347"/>
    <m/>
    <m/>
  </r>
  <r>
    <x v="12"/>
    <x v="0"/>
    <s v="F:\Données chgh\2020-CHG-CZA-BPA-1\plaque 1/@12  BPA 5/A12_03.tif "/>
    <s v=" 46352.8642 "/>
    <s v=" 77.1489 "/>
    <x v="0"/>
    <n v="3576070"/>
    <m/>
    <m/>
  </r>
  <r>
    <x v="12"/>
    <x v="1"/>
    <s v="F:\Données chgh\2020-CHG-CZA-BPA-1\plaque 1/@12  BPA 5/B12_01- exclu.tif"/>
    <m/>
    <m/>
    <x v="1"/>
    <m/>
    <m/>
    <m/>
  </r>
  <r>
    <x v="12"/>
    <x v="1"/>
    <s v="F:\Données chgh\2020-CHG-CZA-BPA-1\plaque 1/@12  BPA 5/B12_02.tif "/>
    <s v=" 367.7082 "/>
    <s v=" 63.6471 "/>
    <x v="0"/>
    <n v="23404"/>
    <m/>
    <m/>
  </r>
  <r>
    <x v="12"/>
    <x v="1"/>
    <s v="F:\Données chgh\2020-CHG-CZA-BPA-1\plaque 1/@12  BPA 5/B12_03.tif "/>
    <s v=" 1687.1318 "/>
    <s v=" 63.0513 "/>
    <x v="0"/>
    <n v="106376"/>
    <m/>
    <m/>
  </r>
  <r>
    <x v="12"/>
    <x v="2"/>
    <s v="F:\Données chgh\2020-CHG-CZA-BPA-1\plaque 1/@12  BPA 5/C12_01.tif "/>
    <s v=" 1297.7937 "/>
    <s v=" 63.8167 "/>
    <x v="0"/>
    <n v="82821"/>
    <m/>
    <m/>
  </r>
  <r>
    <x v="12"/>
    <x v="2"/>
    <s v="F:\Données chgh\2020-CHG-CZA-BPA-1\plaque 1/@12  BPA 5/C12_02.tif "/>
    <s v=" 2530.6977 "/>
    <s v=" 64.0342 "/>
    <x v="0"/>
    <n v="162051"/>
    <m/>
    <m/>
  </r>
  <r>
    <x v="12"/>
    <x v="2"/>
    <s v="F:\Données chgh\2020-CHG-CZA-BPA-1\plaque 1/@12  BPA 5/C12_03.tif "/>
    <s v=" 4455.7583 "/>
    <s v=" 64.6311 "/>
    <x v="0"/>
    <n v="287980"/>
    <m/>
    <m/>
  </r>
  <r>
    <x v="12"/>
    <x v="3"/>
    <s v="F:\Données chgh\2020-CHG-CZA-BPA-1\plaque 1/@12  BPA 5/D12_01.tif "/>
    <s v=" 281.1886 "/>
    <s v=" 63.5385 "/>
    <x v="0"/>
    <n v="17866"/>
    <m/>
    <m/>
  </r>
  <r>
    <x v="12"/>
    <x v="3"/>
    <s v="F:\Données chgh\2020-CHG-CZA-BPA-1\plaque 1/@12  BPA 5/D12_02.tif "/>
    <s v=" 194.6691 "/>
    <s v=" 62.6667 "/>
    <x v="0"/>
    <n v="12199"/>
    <m/>
    <m/>
  </r>
  <r>
    <x v="12"/>
    <x v="3"/>
    <s v="F:\Données chgh\2020-CHG-CZA-BPA-1\plaque 1/@12  BPA 5/D12_03.tif "/>
    <s v=" 324.4484 "/>
    <s v=" 63.6667 "/>
    <x v="0"/>
    <n v="20657"/>
    <m/>
    <m/>
  </r>
  <r>
    <x v="12"/>
    <x v="4"/>
    <s v="F:\Données chgh\2020-CHG-CZA-BPA-1\plaque 1/@12  BPA 5/E12_01.tif "/>
    <s v=" 35299.988 "/>
    <s v=" 74.8756 "/>
    <x v="0"/>
    <n v="2643108"/>
    <m/>
    <m/>
  </r>
  <r>
    <x v="12"/>
    <x v="4"/>
    <s v="F:\Données chgh\2020-CHG-CZA-BPA-1\plaque 1/@12  BPA 5/E12_02.tif "/>
    <s v=" 33547.9666 "/>
    <s v=" 75.5216 "/>
    <x v="0"/>
    <n v="2533596"/>
    <m/>
    <m/>
  </r>
  <r>
    <x v="12"/>
    <x v="4"/>
    <s v="F:\Données chgh\2020-CHG-CZA-BPA-1\plaque 1/@12  BPA 5/E12_03.tif "/>
    <s v=" 32185.2832 "/>
    <s v=" 72.2016 "/>
    <x v="0"/>
    <n v="2323829"/>
    <m/>
    <m/>
  </r>
  <r>
    <x v="12"/>
    <x v="5"/>
    <s v="F:\Données chgh\2020-CHG-CZA-BPA-1\plaque 1/@12  BPA 5/F12_01.tif "/>
    <s v=" 46461.0137 "/>
    <s v=" 78.9809 "/>
    <x v="0"/>
    <n v="3669533"/>
    <m/>
    <m/>
  </r>
  <r>
    <x v="12"/>
    <x v="5"/>
    <s v="F:\Données chgh\2020-CHG-CZA-BPA-1\plaque 1/@12  BPA 5/F12_02.tif "/>
    <s v=" 50505.804 "/>
    <s v=" 76.185 "/>
    <x v="0"/>
    <n v="3847785"/>
    <m/>
    <m/>
  </r>
  <r>
    <x v="12"/>
    <x v="5"/>
    <s v="F:\Données chgh\2020-CHG-CZA-BPA-1\plaque 1/@12  BPA 5/F12_03.tif "/>
    <s v=" 48840.3021 "/>
    <s v=" 79.0558 "/>
    <x v="0"/>
    <n v="3861109"/>
    <m/>
    <m/>
  </r>
  <r>
    <x v="12"/>
    <x v="6"/>
    <s v="F:\Données chgh\2020-CHG-CZA-BPA-1\plaque 1/@12  BPA 5/G12_01- exclu.tif"/>
    <m/>
    <m/>
    <x v="1"/>
    <m/>
    <m/>
    <m/>
  </r>
  <r>
    <x v="12"/>
    <x v="6"/>
    <s v="F:\Données chgh\2020-CHG-CZA-BPA-1\plaque 1/@12  BPA 5/G12_02.tif "/>
    <s v=" 38695.8815 "/>
    <s v=" 75.2817 "/>
    <x v="0"/>
    <n v="2913093"/>
    <m/>
    <m/>
  </r>
  <r>
    <x v="12"/>
    <x v="6"/>
    <s v="F:\Données chgh\2020-CHG-CZA-BPA-1\plaque 1/@12  BPA 5/G12_03.tif "/>
    <s v=" 39085.2196 "/>
    <s v=" 73.5955 "/>
    <x v="0"/>
    <n v="2876495"/>
    <m/>
    <m/>
  </r>
  <r>
    <x v="12"/>
    <x v="7"/>
    <s v="F:\Données chgh\2020-CHG-CZA-BPA-1\plaque 1/@12  BPA 5/H12_01.tif "/>
    <s v=" 44298.0242 "/>
    <s v=" 85.2827 "/>
    <x v="0"/>
    <n v="3777856"/>
    <m/>
    <m/>
  </r>
  <r>
    <x v="12"/>
    <x v="7"/>
    <s v="F:\Données chgh\2020-CHG-CZA-BPA-1\plaque 1/@12  BPA 5/H12_02.tif "/>
    <s v=" 41983.6255 "/>
    <s v=" 84.7532 "/>
    <x v="0"/>
    <n v="3558247"/>
    <m/>
    <m/>
  </r>
  <r>
    <x v="12"/>
    <x v="7"/>
    <s v="F:\Données chgh\2020-CHG-CZA-BPA-1\plaque 1/@12  BPA 5/H12_03.tif "/>
    <s v=" 46634.0528 "/>
    <s v=" 86.0339 "/>
    <x v="0"/>
    <n v="4012108"/>
    <m/>
    <m/>
  </r>
  <r>
    <x v="1"/>
    <x v="8"/>
    <s v=" "/>
    <m/>
    <m/>
    <x v="1"/>
    <m/>
    <m/>
    <m/>
  </r>
  <r>
    <x v="1"/>
    <x v="8"/>
    <s v="group "/>
    <s v=" "/>
    <s v=" mean of mean fluo "/>
    <x v="2"/>
    <s v=" mean of total fluo "/>
    <s v=" SD total fluo "/>
    <s v=" n fluorescent "/>
  </r>
  <r>
    <x v="12"/>
    <x v="9"/>
    <s v="F:\Données chgh\2020-CHG-CZA-BPA-1\plaque 1/@12  BPA 5/ "/>
    <s v=" "/>
    <s v=" 72.5984 "/>
    <x v="14"/>
    <s v=" 2089119.75 "/>
    <s v=" 1668560.8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BPA-1\plaque 2/@13 Testo 30/A1_01.tif "/>
    <s v=" 15162.5561 "/>
    <s v=" 68.4494 "/>
    <x v="0"/>
    <n v="1037867"/>
    <m/>
    <m/>
  </r>
  <r>
    <x v="13"/>
    <x v="0"/>
    <s v="F:\Données chgh\2020-CHG-CZA-BPA-1\plaque 2/@13 Testo 30/A1_02.tif "/>
    <s v=" 13540.314 "/>
    <s v=" 67.3259 "/>
    <x v="0"/>
    <n v="911614"/>
    <m/>
    <m/>
  </r>
  <r>
    <x v="13"/>
    <x v="0"/>
    <s v="F:\Données chgh\2020-CHG-CZA-BPA-1\plaque 2/@13 Testo 30/A1_03.tif "/>
    <s v=" 15703.3035 "/>
    <s v=" 68.0895 "/>
    <x v="0"/>
    <n v="1069231"/>
    <m/>
    <m/>
  </r>
  <r>
    <x v="13"/>
    <x v="1"/>
    <s v="F:\Données chgh\2020-CHG-CZA-BPA-1\plaque 2/@13 Testo 30/B1_01.tif "/>
    <s v=" 34802.5005 "/>
    <s v=" 79.5295 "/>
    <x v="0"/>
    <n v="2767826"/>
    <m/>
    <m/>
  </r>
  <r>
    <x v="13"/>
    <x v="1"/>
    <s v="F:\Données chgh\2020-CHG-CZA-BPA-1\plaque 2/@13 Testo 30/B1_02.tif "/>
    <s v=" 39625.967 "/>
    <s v=" 77.2964 "/>
    <x v="0"/>
    <n v="3062944"/>
    <m/>
    <m/>
  </r>
  <r>
    <x v="13"/>
    <x v="1"/>
    <s v="F:\Données chgh\2020-CHG-CZA-BPA-1\plaque 2/@13 Testo 30/B1_03.tif "/>
    <s v=" 36943.86 "/>
    <s v=" 77.3929 "/>
    <x v="0"/>
    <n v="2859191"/>
    <m/>
    <m/>
  </r>
  <r>
    <x v="13"/>
    <x v="2"/>
    <s v="F:\Données chgh\2020-CHG-CZA-BPA-1\plaque 2/@13 Testo 30/C1_01.tif "/>
    <s v=" 3439.1532 "/>
    <s v=" 64.6226 "/>
    <x v="0"/>
    <n v="222247"/>
    <m/>
    <m/>
  </r>
  <r>
    <x v="13"/>
    <x v="2"/>
    <s v="F:\Données chgh\2020-CHG-CZA-BPA-1\plaque 2/@13 Testo 30/C1_02.tif "/>
    <s v=" 4044.7903 "/>
    <s v=" 63.9786 "/>
    <x v="0"/>
    <n v="258780"/>
    <m/>
    <m/>
  </r>
  <r>
    <x v="13"/>
    <x v="2"/>
    <s v="F:\Données chgh\2020-CHG-CZA-BPA-1\plaque 2/@13 Testo 30/C1_03.tif "/>
    <s v=" 4736.9469 "/>
    <s v=" 64.5388 "/>
    <x v="0"/>
    <n v="305717"/>
    <m/>
    <m/>
  </r>
  <r>
    <x v="13"/>
    <x v="3"/>
    <s v="F:\Données chgh\2020-CHG-CZA-BPA-1\plaque 2/@13 Testo 30/D1_01.tif "/>
    <s v=" 48342.8145 "/>
    <s v=" 72.8036 "/>
    <x v="0"/>
    <n v="3519530"/>
    <m/>
    <m/>
  </r>
  <r>
    <x v="13"/>
    <x v="3"/>
    <s v="F:\Données chgh\2020-CHG-CZA-BPA-1\plaque 2/@13 Testo 30/D1_02.tif "/>
    <s v=" 50440.9143 "/>
    <s v=" 71.9232 "/>
    <x v="0"/>
    <n v="3627874"/>
    <m/>
    <m/>
  </r>
  <r>
    <x v="13"/>
    <x v="3"/>
    <s v="F:\Données chgh\2020-CHG-CZA-BPA-1\plaque 2/@13 Testo 30/D1_03.tif "/>
    <s v=" 41399.6183 "/>
    <s v=" 72.0313 "/>
    <x v="0"/>
    <n v="2982070"/>
    <m/>
    <m/>
  </r>
  <r>
    <x v="13"/>
    <x v="4"/>
    <s v="F:\Données chgh\2020-CHG-CZA-BPA-1\plaque 2/@13 Testo 30/E1_01.tif "/>
    <s v=" 49900.1669 "/>
    <s v=" 75.2345 "/>
    <x v="0"/>
    <n v="3754214"/>
    <m/>
    <m/>
  </r>
  <r>
    <x v="13"/>
    <x v="4"/>
    <s v="F:\Données chgh\2020-CHG-CZA-BPA-1\plaque 2/@13 Testo 30/E1_02.tif "/>
    <s v=" 54053.1067 "/>
    <s v=" 75.5422 "/>
    <x v="0"/>
    <n v="4083292"/>
    <m/>
    <m/>
  </r>
  <r>
    <x v="13"/>
    <x v="4"/>
    <s v="F:\Données chgh\2020-CHG-CZA-BPA-1\plaque 2/@13 Testo 30/E1_03.tif "/>
    <s v=" 51479.1492 "/>
    <s v=" 74.4954 "/>
    <x v="0"/>
    <n v="3834959"/>
    <m/>
    <m/>
  </r>
  <r>
    <x v="13"/>
    <x v="5"/>
    <s v="F:\Données chgh\2020-CHG-CZA-BPA-1\plaque 2/@13 Testo 30/F1_01- exclu.tif"/>
    <m/>
    <m/>
    <x v="1"/>
    <m/>
    <m/>
    <m/>
  </r>
  <r>
    <x v="13"/>
    <x v="5"/>
    <s v="F:\Données chgh\2020-CHG-CZA-BPA-1\plaque 2/@13 Testo 30/F1_02.tif "/>
    <s v=" 27123.8879 "/>
    <s v=" 72.2209 "/>
    <x v="0"/>
    <n v="1958911"/>
    <m/>
    <m/>
  </r>
  <r>
    <x v="13"/>
    <x v="5"/>
    <s v="F:\Données chgh\2020-CHG-CZA-BPA-1\plaque 2/@13 Testo 30/F1_03- exclu.tif"/>
    <m/>
    <m/>
    <x v="1"/>
    <m/>
    <m/>
    <m/>
  </r>
  <r>
    <x v="13"/>
    <x v="6"/>
    <s v="F:\Données chgh\2020-CHG-CZA-BPA-1\plaque 2/@13 Testo 30/G1_01.tif "/>
    <s v=" 51133.0709 "/>
    <s v=" 84.1019 "/>
    <x v="0"/>
    <n v="4300391"/>
    <m/>
    <m/>
  </r>
  <r>
    <x v="13"/>
    <x v="6"/>
    <s v="F:\Données chgh\2020-CHG-CZA-BPA-1\plaque 2/@13 Testo 30/G1_02.tif "/>
    <s v=" 48667.2629 "/>
    <s v=" 81.5 "/>
    <x v="0"/>
    <n v="3966382"/>
    <m/>
    <m/>
  </r>
  <r>
    <x v="13"/>
    <x v="6"/>
    <s v="F:\Données chgh\2020-CHG-CZA-BPA-1\plaque 2/@13 Testo 30/G1_03.tif "/>
    <s v=" 51630.5585 "/>
    <s v=" 82.4315 "/>
    <x v="0"/>
    <n v="4255985"/>
    <m/>
    <m/>
  </r>
  <r>
    <x v="13"/>
    <x v="7"/>
    <s v="F:\Données chgh\2020-CHG-CZA-BPA-1\plaque 2/@13 Testo 30/H1_01.tif "/>
    <s v=" 51262.8503 "/>
    <s v=" 76.5519 "/>
    <x v="0"/>
    <n v="3924269"/>
    <m/>
    <m/>
  </r>
  <r>
    <x v="13"/>
    <x v="7"/>
    <s v="F:\Données chgh\2020-CHG-CZA-BPA-1\plaque 2/@13 Testo 30/H1_02.tif "/>
    <s v=" 49532.4587 "/>
    <s v=" 75.4393 "/>
    <x v="0"/>
    <n v="3736694"/>
    <m/>
    <m/>
  </r>
  <r>
    <x v="13"/>
    <x v="7"/>
    <s v="F:\Données chgh\2020-CHG-CZA-BPA-1\plaque 2/@13 Testo 30/H1_03.tif "/>
    <s v=" 44687.3623 "/>
    <s v=" 74.0015 "/>
    <x v="0"/>
    <n v="3306930"/>
    <m/>
    <m/>
  </r>
  <r>
    <x v="1"/>
    <x v="8"/>
    <s v=" "/>
    <m/>
    <m/>
    <x v="1"/>
    <m/>
    <m/>
    <m/>
  </r>
  <r>
    <x v="1"/>
    <x v="8"/>
    <s v="group "/>
    <s v=" "/>
    <s v=" mean of mean fluo "/>
    <x v="2"/>
    <s v=" mean of total fluo "/>
    <s v=" SD total fluo "/>
    <s v=" n fluorescent "/>
  </r>
  <r>
    <x v="13"/>
    <x v="9"/>
    <s v="F:\Données chgh\2020-CHG-CZA-BPA-1\plaque 2/@13 Testo 30/ "/>
    <s v=" "/>
    <s v=" 74.2116 "/>
    <x v="15"/>
    <s v=" 2808239.92 "/>
    <s v=" 1421408.3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BPA-1\plaque 2/@14 Testo 30/A2_01.tif "/>
    <s v=" 584.0072 "/>
    <s v=" 65.2963 "/>
    <x v="0"/>
    <n v="38134"/>
    <m/>
    <m/>
  </r>
  <r>
    <x v="14"/>
    <x v="0"/>
    <s v="F:\Données chgh\2020-CHG-CZA-BPA-1\plaque 2/@14 Testo 30/A2_02.tif "/>
    <s v=" 648.8968 "/>
    <s v=" 63.5333 "/>
    <x v="0"/>
    <n v="41227"/>
    <m/>
    <m/>
  </r>
  <r>
    <x v="14"/>
    <x v="0"/>
    <s v="F:\Données chgh\2020-CHG-CZA-BPA-1\plaque 2/@14 Testo 30/A2_03.tif "/>
    <s v=" 475.8577 "/>
    <s v=" 62.6364 "/>
    <x v="0"/>
    <n v="29806"/>
    <m/>
    <m/>
  </r>
  <r>
    <x v="14"/>
    <x v="1"/>
    <s v="F:\Données chgh\2020-CHG-CZA-BPA-1\plaque 2/@14 Testo 30/B2_01.tif "/>
    <s v=" 22451.8306 "/>
    <s v=" 71.9229 "/>
    <x v="0"/>
    <n v="1614801"/>
    <m/>
    <m/>
  </r>
  <r>
    <x v="14"/>
    <x v="1"/>
    <s v="F:\Données chgh\2020-CHG-CZA-BPA-1\plaque 2/@14 Testo 30/B2_02.tif "/>
    <s v=" 22365.311 "/>
    <s v=" 74.0251 "/>
    <x v="0"/>
    <n v="1655595"/>
    <m/>
    <m/>
  </r>
  <r>
    <x v="14"/>
    <x v="1"/>
    <s v="F:\Données chgh\2020-CHG-CZA-BPA-1\plaque 2/@14 Testo 30/B2_03- exclu.tif"/>
    <m/>
    <m/>
    <x v="1"/>
    <m/>
    <m/>
    <m/>
  </r>
  <r>
    <x v="14"/>
    <x v="2"/>
    <s v="F:\Données chgh\2020-CHG-CZA-BPA-1\plaque 2/@14 Testo 30/C2_01.tif "/>
    <s v=" 25544.9056 "/>
    <s v=" 67.4869 "/>
    <x v="0"/>
    <n v="1723946"/>
    <m/>
    <m/>
  </r>
  <r>
    <x v="14"/>
    <x v="2"/>
    <s v="F:\Données chgh\2020-CHG-CZA-BPA-1\plaque 2/@14 Testo 30/C2_02.tif "/>
    <s v=" 17476.9549 "/>
    <s v=" 65.7166 "/>
    <x v="0"/>
    <n v="1148526"/>
    <m/>
    <m/>
  </r>
  <r>
    <x v="14"/>
    <x v="2"/>
    <s v="F:\Données chgh\2020-CHG-CZA-BPA-1\plaque 2/@14 Testo 30/C2_03.tif "/>
    <s v=" 6359.189 "/>
    <s v=" 63.5034 "/>
    <x v="0"/>
    <n v="403830"/>
    <m/>
    <m/>
  </r>
  <r>
    <x v="14"/>
    <x v="3"/>
    <s v="F:\Données chgh\2020-CHG-CZA-BPA-1\plaque 2/@14 Testo 30/D2_01.tif "/>
    <s v=" 20029.2824 "/>
    <s v=" 66.7592 "/>
    <x v="0"/>
    <n v="1337138"/>
    <m/>
    <m/>
  </r>
  <r>
    <x v="14"/>
    <x v="3"/>
    <s v="F:\Données chgh\2020-CHG-CZA-BPA-1\plaque 2/@14 Testo 30/D2_02.tif "/>
    <s v=" 20267.2113 "/>
    <s v=" 66.2124 "/>
    <x v="0"/>
    <n v="1341940"/>
    <m/>
    <m/>
  </r>
  <r>
    <x v="14"/>
    <x v="3"/>
    <s v="F:\Données chgh\2020-CHG-CZA-BPA-1\plaque 2/@14 Testo 30/D2_03.tif "/>
    <s v=" 15746.5633 "/>
    <s v=" 65.8104 "/>
    <x v="0"/>
    <n v="1036288"/>
    <m/>
    <m/>
  </r>
  <r>
    <x v="14"/>
    <x v="4"/>
    <s v="F:\Données chgh\2020-CHG-CZA-BPA-1\plaque 2/@14 Testo 30/E2_01.tif "/>
    <s v=" 16006.122 "/>
    <s v=" 70.4135 "/>
    <x v="0"/>
    <n v="1127047"/>
    <m/>
    <m/>
  </r>
  <r>
    <x v="14"/>
    <x v="4"/>
    <s v="F:\Données chgh\2020-CHG-CZA-BPA-1\plaque 2/@14 Testo 30/E2_02.tif "/>
    <s v=" 22408.5708 "/>
    <s v=" 74.9093 "/>
    <x v="0"/>
    <n v="1678610"/>
    <m/>
    <m/>
  </r>
  <r>
    <x v="14"/>
    <x v="4"/>
    <s v="F:\Données chgh\2020-CHG-CZA-BPA-1\plaque 2/@14 Testo 30/E2_03.tif "/>
    <s v=" 14708.3283 "/>
    <s v=" 70.0603 "/>
    <x v="0"/>
    <n v="1030470"/>
    <m/>
    <m/>
  </r>
  <r>
    <x v="14"/>
    <x v="5"/>
    <s v="F:\Données chgh\2020-CHG-CZA-BPA-1\plaque 2/@14 Testo 30/F2_01.tif "/>
    <s v=" 22646.4997 "/>
    <s v=" 70.5444 "/>
    <x v="0"/>
    <n v="1597584"/>
    <m/>
    <m/>
  </r>
  <r>
    <x v="14"/>
    <x v="5"/>
    <s v="F:\Données chgh\2020-CHG-CZA-BPA-1\plaque 2/@14 Testo 30/F2_02.tif "/>
    <s v=" 27794.4146 "/>
    <s v=" 72.0887 "/>
    <x v="0"/>
    <n v="2003664"/>
    <m/>
    <m/>
  </r>
  <r>
    <x v="14"/>
    <x v="5"/>
    <s v="F:\Données chgh\2020-CHG-CZA-BPA-1\plaque 2/@14 Testo 30/F2_03- exclu.tif"/>
    <m/>
    <m/>
    <x v="1"/>
    <m/>
    <m/>
    <m/>
  </r>
  <r>
    <x v="14"/>
    <x v="6"/>
    <s v="F:\Données chgh\2020-CHG-CZA-BPA-1\plaque 2/@14 Testo 30/G2_01.tif "/>
    <s v=" 59049.6123 "/>
    <s v=" 77.0934 "/>
    <x v="0"/>
    <n v="4552336"/>
    <m/>
    <m/>
  </r>
  <r>
    <x v="14"/>
    <x v="6"/>
    <s v="F:\Données chgh\2020-CHG-CZA-BPA-1\plaque 2/@14 Testo 30/G2_02- exclu.tif"/>
    <m/>
    <m/>
    <x v="1"/>
    <m/>
    <m/>
    <m/>
  </r>
  <r>
    <x v="14"/>
    <x v="6"/>
    <s v="F:\Données chgh\2020-CHG-CZA-BPA-1\plaque 2/@14 Testo 30/G2_03.tif "/>
    <s v=" 58984.7227 "/>
    <s v=" 76.7246 "/>
    <x v="0"/>
    <n v="4525580"/>
    <m/>
    <m/>
  </r>
  <r>
    <x v="14"/>
    <x v="7"/>
    <s v="F:\Données chgh\2020-CHG-CZA-BPA-1\plaque 2/@14 Testo 30/H2_01.tif "/>
    <s v=" 10295.8298 "/>
    <s v=" 64.4013 "/>
    <x v="0"/>
    <n v="663064"/>
    <m/>
    <m/>
  </r>
  <r>
    <x v="14"/>
    <x v="7"/>
    <s v="F:\Données chgh\2020-CHG-CZA-BPA-1\plaque 2/@14 Testo 30/H2_02.tif "/>
    <s v=" 6705.2673 "/>
    <s v=" 64.4323 "/>
    <x v="0"/>
    <n v="432036"/>
    <m/>
    <m/>
  </r>
  <r>
    <x v="14"/>
    <x v="7"/>
    <s v="F:\Données chgh\2020-CHG-CZA-BPA-1\plaque 2/@14 Testo 30/H2_03.tif "/>
    <s v=" 3677.0821 "/>
    <s v=" 62.9941 "/>
    <x v="0"/>
    <n v="231635"/>
    <m/>
    <m/>
  </r>
  <r>
    <x v="1"/>
    <x v="8"/>
    <s v=" "/>
    <m/>
    <m/>
    <x v="1"/>
    <m/>
    <m/>
    <m/>
  </r>
  <r>
    <x v="1"/>
    <x v="8"/>
    <s v="group "/>
    <s v=" "/>
    <s v=" mean of mean fluo "/>
    <x v="2"/>
    <s v=" mean of total fluo "/>
    <s v=" SD total fluo "/>
    <s v=" n fluorescent "/>
  </r>
  <r>
    <x v="14"/>
    <x v="9"/>
    <s v="F:\Données chgh\2020-CHG-CZA-BPA-1\plaque 2/@14 Testo 30/ "/>
    <s v=" "/>
    <s v=" 68.1608 "/>
    <x v="16"/>
    <s v=" 1335002.54 "/>
    <s v=" 1172637.3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BPA-1\plaque 2/@15 Testo + EE2/A3_01.tif "/>
    <s v=" 34196.8634 "/>
    <s v=" 85.0291 "/>
    <x v="0"/>
    <n v="2907728"/>
    <m/>
    <m/>
  </r>
  <r>
    <x v="15"/>
    <x v="0"/>
    <s v="F:\Données chgh\2020-CHG-CZA-BPA-1\plaque 2/@15 Testo + EE2/A3_02.tif "/>
    <s v=" 38977.0701 "/>
    <s v=" 80.8541 "/>
    <x v="0"/>
    <n v="3151454"/>
    <m/>
    <m/>
  </r>
  <r>
    <x v="15"/>
    <x v="0"/>
    <s v="F:\Données chgh\2020-CHG-CZA-BPA-1\plaque 2/@15 Testo + EE2/A3_03.tif "/>
    <s v=" 31622.9059 "/>
    <s v=" 83.751 "/>
    <x v="0"/>
    <n v="2648451"/>
    <m/>
    <m/>
  </r>
  <r>
    <x v="15"/>
    <x v="1"/>
    <s v="F:\Données chgh\2020-CHG-CZA-BPA-1\plaque 2/@15 Testo + EE2/B3_01.tif "/>
    <s v=" 51133.0709 "/>
    <s v=" 78.8651 "/>
    <x v="0"/>
    <n v="4032613"/>
    <m/>
    <m/>
  </r>
  <r>
    <x v="15"/>
    <x v="1"/>
    <s v="F:\Données chgh\2020-CHG-CZA-BPA-1\plaque 2/@15 Testo + EE2/B3_02.tif "/>
    <s v=" 49424.3092 "/>
    <s v=" 79.9304 "/>
    <x v="0"/>
    <n v="3950506"/>
    <m/>
    <m/>
  </r>
  <r>
    <x v="15"/>
    <x v="1"/>
    <s v="F:\Données chgh\2020-CHG-CZA-BPA-1\plaque 2/@15 Testo + EE2/B3_03.tif "/>
    <s v=" 50419.2844 "/>
    <s v=" 78.1248 "/>
    <x v="0"/>
    <n v="3938998"/>
    <m/>
    <m/>
  </r>
  <r>
    <x v="15"/>
    <x v="2"/>
    <s v="F:\Données chgh\2020-CHG-CZA-BPA-1\plaque 2/@15 Testo + EE2/C3_01.tif "/>
    <s v=" 44795.5118 "/>
    <s v=" 78.3612 "/>
    <x v="0"/>
    <n v="3510229"/>
    <m/>
    <m/>
  </r>
  <r>
    <x v="15"/>
    <x v="2"/>
    <s v="F:\Données chgh\2020-CHG-CZA-BPA-1\plaque 2/@15 Testo + EE2/C3_02.tif "/>
    <s v=" 45920.2663 "/>
    <s v=" 78.8224 "/>
    <x v="0"/>
    <n v="3619547"/>
    <m/>
    <m/>
  </r>
  <r>
    <x v="15"/>
    <x v="2"/>
    <s v="F:\Données chgh\2020-CHG-CZA-BPA-1\plaque 2/@15 Testo + EE2/C3_03.tif "/>
    <s v=" 42935.3408 "/>
    <s v=" 80.0987 "/>
    <x v="0"/>
    <n v="3439067"/>
    <m/>
    <m/>
  </r>
  <r>
    <x v="15"/>
    <x v="3"/>
    <s v="F:\Données chgh\2020-CHG-CZA-BPA-1\plaque 2/@15 Testo + EE2/D3_01.tif "/>
    <s v=" 56648.694 "/>
    <s v=" 79.2089 "/>
    <x v="0"/>
    <n v="4487078"/>
    <m/>
    <m/>
  </r>
  <r>
    <x v="15"/>
    <x v="3"/>
    <s v="F:\Données chgh\2020-CHG-CZA-BPA-1\plaque 2/@15 Testo + EE2/D3_02.tif "/>
    <s v=" 49965.0566 "/>
    <s v=" 78.097 "/>
    <x v="0"/>
    <n v="3902120"/>
    <m/>
    <m/>
  </r>
  <r>
    <x v="15"/>
    <x v="3"/>
    <s v="F:\Données chgh\2020-CHG-CZA-BPA-1\plaque 2/@15 Testo + EE2/D3_03.tif "/>
    <s v=" 51846.8574 "/>
    <s v=" 76.9862 "/>
    <x v="0"/>
    <n v="3991494"/>
    <m/>
    <m/>
  </r>
  <r>
    <x v="15"/>
    <x v="4"/>
    <s v="F:\Données chgh\2020-CHG-CZA-BPA-1\plaque 2/@15 Testo + EE2/E3_01.tif "/>
    <s v=" 8889.8867 "/>
    <s v=" 70.9878 "/>
    <x v="0"/>
    <n v="631074"/>
    <m/>
    <m/>
  </r>
  <r>
    <x v="15"/>
    <x v="4"/>
    <s v="F:\Données chgh\2020-CHG-CZA-BPA-1\plaque 2/@15 Testo + EE2/E3_02.tif "/>
    <s v=" 10706.7978 "/>
    <s v=" 67.6364 "/>
    <x v="0"/>
    <n v="724169"/>
    <m/>
    <m/>
  </r>
  <r>
    <x v="15"/>
    <x v="4"/>
    <s v="F:\Données chgh\2020-CHG-CZA-BPA-1\plaque 2/@15 Testo + EE2/E3_03- exclu.tif"/>
    <m/>
    <m/>
    <x v="1"/>
    <m/>
    <m/>
    <m/>
  </r>
  <r>
    <x v="15"/>
    <x v="5"/>
    <s v="F:\Données chgh\2020-CHG-CZA-BPA-1\plaque 2/@15 Testo + EE2/F3_01.tif "/>
    <s v=" 32358.3224 "/>
    <s v=" 70.1858 "/>
    <x v="0"/>
    <n v="2271096"/>
    <m/>
    <m/>
  </r>
  <r>
    <x v="15"/>
    <x v="5"/>
    <s v="F:\Données chgh\2020-CHG-CZA-BPA-1\plaque 2/@15 Testo + EE2/F3_02.tif "/>
    <s v=" 30779.3401 "/>
    <s v=" 69.1609 "/>
    <x v="0"/>
    <n v="2128728"/>
    <m/>
    <m/>
  </r>
  <r>
    <x v="15"/>
    <x v="5"/>
    <s v="F:\Données chgh\2020-CHG-CZA-BPA-1\plaque 2/@15 Testo + EE2/F3_03.tif "/>
    <s v=" 31428.2369 "/>
    <s v=" 69.4804 "/>
    <x v="0"/>
    <n v="2183646"/>
    <m/>
    <m/>
  </r>
  <r>
    <x v="15"/>
    <x v="6"/>
    <s v="F:\Données chgh\2020-CHG-CZA-BPA-1\plaque 2/@15 Testo + EE2/G3_01.tif "/>
    <s v=" 19726.4639 "/>
    <s v=" 66.8191 "/>
    <x v="0"/>
    <n v="1318104"/>
    <m/>
    <m/>
  </r>
  <r>
    <x v="15"/>
    <x v="6"/>
    <s v="F:\Données chgh\2020-CHG-CZA-BPA-1\plaque 2/@15 Testo + EE2/G3_02.tif "/>
    <s v=" 18753.1186 "/>
    <s v=" 67.6678 "/>
    <x v="0"/>
    <n v="1268983"/>
    <m/>
    <m/>
  </r>
  <r>
    <x v="15"/>
    <x v="6"/>
    <s v="F:\Données chgh\2020-CHG-CZA-BPA-1\plaque 2/@15 Testo + EE2/G3_03.tif "/>
    <s v=" 15119.2963 "/>
    <s v=" 66.5479 "/>
    <x v="0"/>
    <n v="1006158"/>
    <m/>
    <m/>
  </r>
  <r>
    <x v="15"/>
    <x v="7"/>
    <s v="F:\Données chgh\2020-CHG-CZA-BPA-1\plaque 2/@15 Testo + EE2/H3_01.tif "/>
    <s v=" 51587.2987 "/>
    <s v=" 83.013 "/>
    <x v="0"/>
    <n v="4282416"/>
    <m/>
    <m/>
  </r>
  <r>
    <x v="15"/>
    <x v="7"/>
    <s v="F:\Données chgh\2020-CHG-CZA-BPA-1\plaque 2/@15 Testo + EE2/H3_02.tif "/>
    <s v=" 54745.2633 "/>
    <s v=" 82.0628 "/>
    <x v="0"/>
    <n v="4492551"/>
    <m/>
    <m/>
  </r>
  <r>
    <x v="15"/>
    <x v="7"/>
    <s v="F:\Données chgh\2020-CHG-CZA-BPA-1\plaque 2/@15 Testo + EE2/H3_03.tif "/>
    <s v=" 55415.79 "/>
    <s v=" 80.4617 "/>
    <x v="0"/>
    <n v="4458851"/>
    <m/>
    <m/>
  </r>
  <r>
    <x v="1"/>
    <x v="8"/>
    <s v=" "/>
    <m/>
    <m/>
    <x v="1"/>
    <m/>
    <m/>
    <m/>
  </r>
  <r>
    <x v="1"/>
    <x v="8"/>
    <s v="group "/>
    <s v=" "/>
    <s v=" mean of mean fluo "/>
    <x v="2"/>
    <s v=" mean of total fluo "/>
    <s v=" SD total fluo "/>
    <s v=" n fluorescent "/>
  </r>
  <r>
    <x v="15"/>
    <x v="9"/>
    <s v="F:\Données chgh\2020-CHG-CZA-BPA-1\plaque 2/@15 Testo + EE2/ "/>
    <s v=" "/>
    <s v=" 75.9632 "/>
    <x v="17"/>
    <s v=" 2872717.75 "/>
    <s v=" 1347644.3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BPA-1\plaque 2/@16 Testo + FAD/A4_01.tif "/>
    <s v=" 497.4876 "/>
    <s v=" 63.4348 "/>
    <x v="0"/>
    <n v="31558"/>
    <m/>
    <m/>
  </r>
  <r>
    <x v="16"/>
    <x v="0"/>
    <s v="F:\Données chgh\2020-CHG-CZA-BPA-1\plaque 2/@16 Testo + FAD/A4_02.tif "/>
    <s v=" 865.1958 "/>
    <s v=" 67.3 "/>
    <x v="0"/>
    <n v="58228"/>
    <m/>
    <m/>
  </r>
  <r>
    <x v="16"/>
    <x v="0"/>
    <s v="F:\Données chgh\2020-CHG-CZA-BPA-1\plaque 2/@16 Testo + FAD/A4_03- exclu.tif"/>
    <m/>
    <m/>
    <x v="1"/>
    <m/>
    <m/>
    <m/>
  </r>
  <r>
    <x v="16"/>
    <x v="1"/>
    <s v="F:\Données chgh\2020-CHG-CZA-BPA-1\plaque 2/@16 Testo + FAD/B4_01.tif "/>
    <s v=" 4563.9078 "/>
    <s v=" 70.1564 "/>
    <x v="0"/>
    <n v="320187"/>
    <m/>
    <m/>
  </r>
  <r>
    <x v="16"/>
    <x v="1"/>
    <s v="F:\Données chgh\2020-CHG-CZA-BPA-1\plaque 2/@16 Testo + FAD/B4_02.tif "/>
    <s v=" 4693.6871 "/>
    <s v=" 66.8571 "/>
    <x v="0"/>
    <n v="313807"/>
    <m/>
    <m/>
  </r>
  <r>
    <x v="16"/>
    <x v="1"/>
    <s v="F:\Données chgh\2020-CHG-CZA-BPA-1\plaque 2/@16 Testo + FAD/B4_03.tif "/>
    <s v=" 1146.3844 "/>
    <s v=" 64.6792 "/>
    <x v="0"/>
    <n v="74147"/>
    <m/>
    <m/>
  </r>
  <r>
    <x v="16"/>
    <x v="2"/>
    <s v="F:\Données chgh\2020-CHG-CZA-BPA-1\plaque 2/@16 Testo + FAD/C4_01.tif "/>
    <s v=" 5256.0644 "/>
    <s v=" 65.6914 "/>
    <x v="0"/>
    <n v="345278"/>
    <m/>
    <m/>
  </r>
  <r>
    <x v="16"/>
    <x v="2"/>
    <s v="F:\Données chgh\2020-CHG-CZA-BPA-1\plaque 2/@16 Testo + FAD/C4_02.tif "/>
    <s v=" 713.7865 "/>
    <s v=" 64.0303 "/>
    <x v="0"/>
    <n v="45704"/>
    <m/>
    <m/>
  </r>
  <r>
    <x v="16"/>
    <x v="2"/>
    <s v="F:\Données chgh\2020-CHG-CZA-BPA-1\plaque 2/@16 Testo + FAD/C4_03.tif "/>
    <s v=" 3460.7831 "/>
    <s v=" 64.5563 "/>
    <x v="0"/>
    <n v="223415"/>
    <m/>
    <m/>
  </r>
  <r>
    <x v="16"/>
    <x v="3"/>
    <s v="F:\Données chgh\2020-CHG-CZA-BPA-1\plaque 2/@16 Testo + FAD/D4_01.tif "/>
    <s v=" 2292.7688 "/>
    <s v=" 64.6415 "/>
    <x v="0"/>
    <n v="148208"/>
    <m/>
    <m/>
  </r>
  <r>
    <x v="16"/>
    <x v="3"/>
    <s v="F:\Données chgh\2020-CHG-CZA-BPA-1\plaque 2/@16 Testo + FAD/D4_02.tif "/>
    <s v=" 973.3453 "/>
    <s v=" 67.4667 "/>
    <x v="0"/>
    <n v="65668"/>
    <m/>
    <m/>
  </r>
  <r>
    <x v="16"/>
    <x v="3"/>
    <s v="F:\Données chgh\2020-CHG-CZA-BPA-1\plaque 2/@16 Testo + FAD/D4_03.tif "/>
    <s v=" 692.1566 "/>
    <s v=" 62.8438 "/>
    <x v="0"/>
    <n v="43498"/>
    <m/>
    <m/>
  </r>
  <r>
    <x v="16"/>
    <x v="4"/>
    <s v="F:\Données chgh\2020-CHG-CZA-BPA-1\plaque 2/@16 Testo + FAD/E4_01.tif "/>
    <s v=" 3049.8151 "/>
    <s v=" 64.9362 "/>
    <x v="0"/>
    <n v="198043"/>
    <m/>
    <m/>
  </r>
  <r>
    <x v="16"/>
    <x v="4"/>
    <s v="F:\Données chgh\2020-CHG-CZA-BPA-1\plaque 2/@16 Testo + FAD/E4_02.tif "/>
    <s v=" 670.5267 "/>
    <s v=" 63.5806 "/>
    <x v="0"/>
    <n v="42633"/>
    <m/>
    <m/>
  </r>
  <r>
    <x v="16"/>
    <x v="4"/>
    <s v="F:\Données chgh\2020-CHG-CZA-BPA-1\plaque 2/@16 Testo + FAD/E4_03.tif "/>
    <s v=" 865.1958 "/>
    <s v=" 64.7 "/>
    <x v="0"/>
    <n v="55978"/>
    <m/>
    <m/>
  </r>
  <r>
    <x v="16"/>
    <x v="5"/>
    <s v="F:\Données chgh\2020-CHG-CZA-BPA-1\plaque 2/@16 Testo + FAD/F4_01.tif "/>
    <s v=" 821.936 "/>
    <s v=" 64.5 "/>
    <x v="0"/>
    <n v="53015"/>
    <m/>
    <m/>
  </r>
  <r>
    <x v="16"/>
    <x v="5"/>
    <s v="F:\Données chgh\2020-CHG-CZA-BPA-1\plaque 2/@16 Testo + FAD/F4_02.tif "/>
    <s v=" 1232.904 "/>
    <s v=" 64.8772 "/>
    <x v="0"/>
    <n v="79987"/>
    <m/>
    <m/>
  </r>
  <r>
    <x v="16"/>
    <x v="5"/>
    <s v="F:\Données chgh\2020-CHG-CZA-BPA-1\plaque 2/@16 Testo + FAD/F4_03.tif "/>
    <s v=" 151.4093 "/>
    <n v="62"/>
    <x v="0"/>
    <n v="9387"/>
    <m/>
    <m/>
  </r>
  <r>
    <x v="16"/>
    <x v="6"/>
    <s v="F:\Données chgh\2020-CHG-CZA-BPA-1\plaque 2/@16 Testo + FAD/G4_01.tif "/>
    <s v=" 1449.2029 "/>
    <s v=" 64.6716 "/>
    <x v="0"/>
    <n v="93722"/>
    <m/>
    <m/>
  </r>
  <r>
    <x v="16"/>
    <x v="6"/>
    <s v="F:\Données chgh\2020-CHG-CZA-BPA-1\plaque 2/@16 Testo + FAD/G4_02.tif "/>
    <s v=" 410.968 "/>
    <s v=" 63.1053 "/>
    <x v="0"/>
    <n v="25934"/>
    <m/>
    <m/>
  </r>
  <r>
    <x v="16"/>
    <x v="6"/>
    <s v="F:\Données chgh\2020-CHG-CZA-BPA-1\plaque 2/@16 Testo + FAD/G4_03- exclu.tif"/>
    <m/>
    <m/>
    <x v="1"/>
    <m/>
    <m/>
    <m/>
  </r>
  <r>
    <x v="16"/>
    <x v="7"/>
    <s v="F:\Données chgh\2020-CHG-CZA-BPA-1\plaque 2/@16 Testo + FAD/H4_01.tif "/>
    <s v=" 1925.0606 "/>
    <s v=" 64.3708 "/>
    <x v="0"/>
    <n v="123918"/>
    <m/>
    <m/>
  </r>
  <r>
    <x v="16"/>
    <x v="7"/>
    <s v="F:\Données chgh\2020-CHG-CZA-BPA-1\plaque 2/@16 Testo + FAD/H4_02.tif "/>
    <s v=" 8608.6981 "/>
    <s v=" 71.1583 "/>
    <x v="0"/>
    <n v="612580"/>
    <m/>
    <m/>
  </r>
  <r>
    <x v="16"/>
    <x v="7"/>
    <s v="F:\Données chgh\2020-CHG-CZA-BPA-1\plaque 2/@16 Testo + FAD/H4_03.tif "/>
    <s v=" 4261.0892 "/>
    <s v=" 72.5584 "/>
    <x v="0"/>
    <n v="309178"/>
    <m/>
    <m/>
  </r>
  <r>
    <x v="1"/>
    <x v="8"/>
    <s v=" "/>
    <m/>
    <m/>
    <x v="1"/>
    <m/>
    <m/>
    <m/>
  </r>
  <r>
    <x v="1"/>
    <x v="8"/>
    <s v="group "/>
    <s v=" "/>
    <s v=" mean of mean fluo "/>
    <x v="2"/>
    <s v=" mean of total fluo "/>
    <s v=" SD total fluo "/>
    <s v=" n fluorescent "/>
  </r>
  <r>
    <x v="16"/>
    <x v="9"/>
    <s v="F:\Données chgh\2020-CHG-CZA-BPA-1\plaque 2/@16 Testo + FAD/ "/>
    <s v=" "/>
    <s v=" 65.7444 "/>
    <x v="18"/>
    <s v=" 154107.542 "/>
    <s v=" 151702.58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BPA-1\plaque 2/@17 Testo +  BPA 1/A5_01.tif "/>
    <s v=" 35667.6962 "/>
    <s v=" 72.3038 "/>
    <x v="0"/>
    <n v="2578911"/>
    <m/>
    <m/>
  </r>
  <r>
    <x v="17"/>
    <x v="0"/>
    <s v="F:\Données chgh\2020-CHG-CZA-BPA-1\plaque 2/@17 Testo +  BPA 1/A5_02.tif "/>
    <s v=" 30909.1194 "/>
    <s v=" 69.8936 "/>
    <x v="0"/>
    <n v="2160351"/>
    <m/>
    <m/>
  </r>
  <r>
    <x v="17"/>
    <x v="0"/>
    <s v="F:\Données chgh\2020-CHG-CZA-BPA-1\plaque 2/@17 Testo +  BPA 1/A5_03.tif "/>
    <s v=" 28551.4609 "/>
    <s v=" 68.1992 "/>
    <x v="0"/>
    <n v="1947188"/>
    <m/>
    <m/>
  </r>
  <r>
    <x v="17"/>
    <x v="1"/>
    <s v="F:\Données chgh\2020-CHG-CZA-BPA-1\plaque 2/@17 Testo +  BPA 1/B5_01- exclu.tif"/>
    <m/>
    <m/>
    <x v="1"/>
    <m/>
    <m/>
    <m/>
  </r>
  <r>
    <x v="17"/>
    <x v="1"/>
    <s v="F:\Données chgh\2020-CHG-CZA-BPA-1\plaque 2/@17 Testo +  BPA 1/B5_02.tif "/>
    <s v=" 39128.4794 "/>
    <s v=" 76.8364 "/>
    <x v="0"/>
    <n v="3006490"/>
    <m/>
    <m/>
  </r>
  <r>
    <x v="17"/>
    <x v="1"/>
    <s v="F:\Données chgh\2020-CHG-CZA-BPA-1\plaque 2/@17 Testo +  BPA 1/B5_03- exclu.tif"/>
    <m/>
    <m/>
    <x v="1"/>
    <m/>
    <m/>
    <m/>
  </r>
  <r>
    <x v="17"/>
    <x v="2"/>
    <s v="F:\Données chgh\2020-CHG-CZA-BPA-1\plaque 2/@17 Testo +  BPA 1/C5_01.tif "/>
    <s v=" 39885.5257 "/>
    <s v=" 72.6616 "/>
    <x v="0"/>
    <n v="2898146"/>
    <m/>
    <m/>
  </r>
  <r>
    <x v="17"/>
    <x v="2"/>
    <s v="F:\Données chgh\2020-CHG-CZA-BPA-1\plaque 2/@17 Testo +  BPA 1/C5_02- exclu.tif"/>
    <m/>
    <m/>
    <x v="1"/>
    <m/>
    <m/>
    <m/>
  </r>
  <r>
    <x v="17"/>
    <x v="2"/>
    <s v="F:\Données chgh\2020-CHG-CZA-BPA-1\plaque 2/@17 Testo +  BPA 1/C5_03.tif "/>
    <s v=" 34218.4933 "/>
    <s v=" 72.1498 "/>
    <x v="0"/>
    <n v="2468858"/>
    <m/>
    <m/>
  </r>
  <r>
    <x v="17"/>
    <x v="3"/>
    <s v="F:\Données chgh\2020-CHG-CZA-BPA-1\plaque 2/@17 Testo +  BPA 1/D5_01- exclu.tif"/>
    <m/>
    <m/>
    <x v="1"/>
    <m/>
    <m/>
    <m/>
  </r>
  <r>
    <x v="17"/>
    <x v="3"/>
    <s v="F:\Données chgh\2020-CHG-CZA-BPA-1\plaque 2/@17 Testo +  BPA 1/D5_02- exclu.tif"/>
    <m/>
    <m/>
    <x v="1"/>
    <m/>
    <m/>
    <m/>
  </r>
  <r>
    <x v="17"/>
    <x v="3"/>
    <s v="F:\Données chgh\2020-CHG-CZA-BPA-1\plaque 2/@17 Testo +  BPA 1/D5_03- exclu.tif"/>
    <m/>
    <m/>
    <x v="1"/>
    <m/>
    <m/>
    <m/>
  </r>
  <r>
    <x v="17"/>
    <x v="4"/>
    <s v="F:\Données chgh\2020-CHG-CZA-BPA-1\plaque 2/@17 Testo +  BPA 1/E5_01.tif "/>
    <s v=" 6445.7086 "/>
    <s v=" 66.8389 "/>
    <x v="0"/>
    <n v="430824"/>
    <m/>
    <m/>
  </r>
  <r>
    <x v="17"/>
    <x v="4"/>
    <s v="F:\Données chgh\2020-CHG-CZA-BPA-1\plaque 2/@17 Testo +  BPA 1/E5_02.tif "/>
    <s v=" 9365.7444 "/>
    <s v=" 67.7483 "/>
    <x v="0"/>
    <n v="634513"/>
    <m/>
    <m/>
  </r>
  <r>
    <x v="17"/>
    <x v="4"/>
    <s v="F:\Données chgh\2020-CHG-CZA-BPA-1\plaque 2/@17 Testo +  BPA 1/E5_03.tif "/>
    <s v=" 1059.8648 "/>
    <s v=" 64.1224 "/>
    <x v="0"/>
    <n v="67961"/>
    <m/>
    <m/>
  </r>
  <r>
    <x v="17"/>
    <x v="5"/>
    <s v="F:\Données chgh\2020-CHG-CZA-BPA-1\plaque 2/@17 Testo +  BPA 1/F5_01- exclu.tif"/>
    <m/>
    <m/>
    <x v="1"/>
    <m/>
    <m/>
    <m/>
  </r>
  <r>
    <x v="17"/>
    <x v="5"/>
    <s v="F:\Données chgh\2020-CHG-CZA-BPA-1\plaque 2/@17 Testo +  BPA 1/F5_02.tif "/>
    <s v=" 56216.0961 "/>
    <s v=" 75.1177 "/>
    <x v="0"/>
    <n v="4222826"/>
    <m/>
    <m/>
  </r>
  <r>
    <x v="17"/>
    <x v="5"/>
    <s v="F:\Données chgh\2020-CHG-CZA-BPA-1\plaque 2/@17 Testo +  BPA 1/F5_03.tif "/>
    <s v=" 52192.9357 "/>
    <s v=" 74.884 "/>
    <x v="0"/>
    <n v="3908414"/>
    <m/>
    <m/>
  </r>
  <r>
    <x v="17"/>
    <x v="6"/>
    <s v="F:\Données chgh\2020-CHG-CZA-BPA-1\plaque 2/@17 Testo +  BPA 1/G5_01.tif "/>
    <s v=" 39950.4154 "/>
    <s v=" 70.7158 "/>
    <x v="0"/>
    <n v="2825124"/>
    <m/>
    <m/>
  </r>
  <r>
    <x v="17"/>
    <x v="6"/>
    <s v="F:\Données chgh\2020-CHG-CZA-BPA-1\plaque 2/@17 Testo +  BPA 1/G5_02.tif "/>
    <s v=" 36749.191 "/>
    <s v=" 70.6574 "/>
    <x v="0"/>
    <n v="2596604"/>
    <m/>
    <m/>
  </r>
  <r>
    <x v="17"/>
    <x v="6"/>
    <s v="F:\Données chgh\2020-CHG-CZA-BPA-1\plaque 2/@17 Testo +  BPA 1/G5_03.tif "/>
    <s v=" 35537.9169 "/>
    <s v=" 70.2702 "/>
    <x v="0"/>
    <n v="2497258"/>
    <m/>
    <m/>
  </r>
  <r>
    <x v="17"/>
    <x v="7"/>
    <s v="F:\Données chgh\2020-CHG-CZA-BPA-1\plaque 2/@17 Testo +  BPA 1/H5_01.tif "/>
    <s v=" 60542.0751 "/>
    <s v=" 80.9786 "/>
    <x v="0"/>
    <n v="4902610"/>
    <m/>
    <m/>
  </r>
  <r>
    <x v="17"/>
    <x v="7"/>
    <s v="F:\Données chgh\2020-CHG-CZA-BPA-1\plaque 2/@17 Testo +  BPA 1/H5_02.tif "/>
    <s v=" 59265.9113 "/>
    <s v=" 83.985 "/>
    <x v="0"/>
    <n v="4977450"/>
    <m/>
    <m/>
  </r>
  <r>
    <x v="17"/>
    <x v="7"/>
    <s v="F:\Données chgh\2020-CHG-CZA-BPA-1\plaque 2/@17 Testo +  BPA 1/H5_03.tif "/>
    <s v=" 58227.6763 "/>
    <s v=" 81.7637 "/>
    <x v="0"/>
    <n v="4760913"/>
    <m/>
    <m/>
  </r>
  <r>
    <x v="1"/>
    <x v="8"/>
    <s v=" "/>
    <m/>
    <m/>
    <x v="1"/>
    <m/>
    <m/>
    <m/>
  </r>
  <r>
    <x v="1"/>
    <x v="8"/>
    <s v="group "/>
    <s v=" "/>
    <s v=" mean of mean fluo "/>
    <x v="2"/>
    <s v=" mean of total fluo "/>
    <s v=" SD total fluo "/>
    <s v=" n fluorescent "/>
  </r>
  <r>
    <x v="17"/>
    <x v="9"/>
    <s v="F:\Données chgh\2020-CHG-CZA-BPA-1\plaque 2/@17 Testo +  BPA 1/ "/>
    <s v=" "/>
    <s v=" 71.3753 "/>
    <x v="19"/>
    <s v=" 2187082.46 "/>
    <s v=" 1646152.6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BPA-1\plaque 2/@18  Testo +  BPA 2/A6_01.tif "/>
    <s v=" 11636.8833 "/>
    <s v=" 69.8048 "/>
    <x v="0"/>
    <n v="812311"/>
    <m/>
    <m/>
  </r>
  <r>
    <x v="18"/>
    <x v="0"/>
    <s v="F:\Données chgh\2020-CHG-CZA-BPA-1\plaque 2/@18  Testo +  BPA 2/A6_02.tif "/>
    <s v=" 13821.5027 "/>
    <s v=" 71.5556 "/>
    <x v="0"/>
    <n v="989005"/>
    <m/>
    <m/>
  </r>
  <r>
    <x v="18"/>
    <x v="0"/>
    <s v="F:\Données chgh\2020-CHG-CZA-BPA-1\plaque 2/@18  Testo +  BPA 2/A6_03.tif "/>
    <s v=" 15422.1149 "/>
    <s v=" 72.4151 "/>
    <x v="0"/>
    <n v="1116795"/>
    <m/>
    <m/>
  </r>
  <r>
    <x v="18"/>
    <x v="1"/>
    <s v="F:\Données chgh\2020-CHG-CZA-BPA-1\plaque 2/@18  Testo +  BPA 2/B6_01.tif "/>
    <s v=" 25177.1973 "/>
    <s v=" 74.3076 "/>
    <x v="0"/>
    <n v="1870856"/>
    <m/>
    <m/>
  </r>
  <r>
    <x v="18"/>
    <x v="1"/>
    <s v="F:\Données chgh\2020-CHG-CZA-BPA-1\plaque 2/@18  Testo +  BPA 2/B6_02.tif "/>
    <s v=" 23338.6563 "/>
    <s v=" 74.1177 "/>
    <x v="0"/>
    <n v="1729808"/>
    <m/>
    <m/>
  </r>
  <r>
    <x v="18"/>
    <x v="1"/>
    <s v="F:\Données chgh\2020-CHG-CZA-BPA-1\plaque 2/@18  Testo +  BPA 2/B6_03.tif "/>
    <s v=" 22927.6883 "/>
    <s v=" 74.9311 "/>
    <x v="0"/>
    <n v="1717998"/>
    <m/>
    <m/>
  </r>
  <r>
    <x v="18"/>
    <x v="2"/>
    <s v="F:\Données chgh\2020-CHG-CZA-BPA-1\plaque 2/@18  Testo +  BPA 2/C6_01.tif "/>
    <s v=" 60693.4843 "/>
    <s v=" 78.4897 "/>
    <x v="0"/>
    <n v="4763811"/>
    <m/>
    <m/>
  </r>
  <r>
    <x v="18"/>
    <x v="2"/>
    <s v="F:\Données chgh\2020-CHG-CZA-BPA-1\plaque 2/@18  Testo +  BPA 2/C6_02.tif "/>
    <s v=" 59071.2422 "/>
    <s v=" 79.0414 "/>
    <x v="0"/>
    <n v="4669072"/>
    <m/>
    <m/>
  </r>
  <r>
    <x v="18"/>
    <x v="2"/>
    <s v="F:\Données chgh\2020-CHG-CZA-BPA-1\plaque 2/@18  Testo +  BPA 2/C6_03.tif "/>
    <s v=" 57081.2919 "/>
    <s v=" 78.4282 "/>
    <x v="0"/>
    <n v="4476783"/>
    <m/>
    <m/>
  </r>
  <r>
    <x v="18"/>
    <x v="3"/>
    <s v="F:\Données chgh\2020-CHG-CZA-BPA-1\plaque 2/@18  Testo +  BPA 2/D6_01.tif "/>
    <s v=" 39561.0773 "/>
    <s v=" 97.6167 "/>
    <x v="0"/>
    <n v="3861823"/>
    <m/>
    <m/>
  </r>
  <r>
    <x v="18"/>
    <x v="3"/>
    <s v="F:\Données chgh\2020-CHG-CZA-BPA-1\plaque 2/@18  Testo +  BPA 2/D6_02.tif "/>
    <s v=" 44665.7324 "/>
    <s v=" 90.7617 "/>
    <x v="0"/>
    <n v="4053940"/>
    <m/>
    <m/>
  </r>
  <r>
    <x v="18"/>
    <x v="3"/>
    <s v="F:\Données chgh\2020-CHG-CZA-BPA-1\plaque 2/@18  Testo +  BPA 2/D6_03.tif "/>
    <s v=" 39539.4474 "/>
    <s v=" 98.9393 "/>
    <x v="0"/>
    <n v="3912004"/>
    <m/>
    <m/>
  </r>
  <r>
    <x v="18"/>
    <x v="4"/>
    <s v="F:\Données chgh\2020-CHG-CZA-BPA-1\plaque 2/@18  Testo +  BPA 2/E6_01.tif "/>
    <s v=" 4477.3882 "/>
    <s v=" 66.4058 "/>
    <x v="0"/>
    <n v="297325"/>
    <m/>
    <m/>
  </r>
  <r>
    <x v="18"/>
    <x v="4"/>
    <s v="F:\Données chgh\2020-CHG-CZA-BPA-1\plaque 2/@18  Testo +  BPA 2/E6_02- exclu.tif"/>
    <m/>
    <m/>
    <x v="1"/>
    <m/>
    <m/>
    <m/>
  </r>
  <r>
    <x v="18"/>
    <x v="4"/>
    <s v="F:\Données chgh\2020-CHG-CZA-BPA-1\plaque 2/@18  Testo +  BPA 2/E6_03.tif "/>
    <s v=" 735.4164 "/>
    <s v=" 63.1176 "/>
    <x v="0"/>
    <n v="46418"/>
    <m/>
    <m/>
  </r>
  <r>
    <x v="18"/>
    <x v="5"/>
    <s v="F:\Données chgh\2020-CHG-CZA-BPA-1\plaque 2/@18  Testo +  BPA 2/F6_01.tif "/>
    <s v=" 58811.6835 "/>
    <s v=" 81.9029 "/>
    <x v="0"/>
    <n v="4816848"/>
    <m/>
    <m/>
  </r>
  <r>
    <x v="18"/>
    <x v="5"/>
    <s v="F:\Données chgh\2020-CHG-CZA-BPA-1\plaque 2/@18  Testo +  BPA 2/F6_02.tif "/>
    <s v=" 53771.918 "/>
    <s v=" 82.146 "/>
    <x v="0"/>
    <n v="4417149"/>
    <m/>
    <m/>
  </r>
  <r>
    <x v="18"/>
    <x v="5"/>
    <s v="F:\Données chgh\2020-CHG-CZA-BPA-1\plaque 2/@18  Testo +  BPA 2/F6_03.tif "/>
    <s v=" 50505.804 "/>
    <s v=" 75.8805 "/>
    <x v="0"/>
    <n v="3832406"/>
    <m/>
    <m/>
  </r>
  <r>
    <x v="18"/>
    <x v="6"/>
    <s v="F:\Données chgh\2020-CHG-CZA-BPA-1\plaque 2/@18  Testo +  BPA 2/G6_01.tif "/>
    <s v=" 50505.804 "/>
    <s v=" 79.209 "/>
    <x v="0"/>
    <n v="4000514"/>
    <m/>
    <m/>
  </r>
  <r>
    <x v="18"/>
    <x v="6"/>
    <s v="F:\Données chgh\2020-CHG-CZA-BPA-1\plaque 2/@18  Testo +  BPA 2/G6_02.tif "/>
    <s v=" 49143.1206 "/>
    <s v=" 80.8393 "/>
    <x v="0"/>
    <n v="3972698"/>
    <m/>
    <m/>
  </r>
  <r>
    <x v="18"/>
    <x v="6"/>
    <s v="F:\Données chgh\2020-CHG-CZA-BPA-1\plaque 2/@18  Testo +  BPA 2/G6_03.tif "/>
    <s v=" 50592.3235 "/>
    <s v=" 80.9991 "/>
    <x v="0"/>
    <n v="4097935"/>
    <m/>
    <m/>
  </r>
  <r>
    <x v="18"/>
    <x v="7"/>
    <s v="F:\Données chgh\2020-CHG-CZA-BPA-1\plaque 2/@18  Testo +  BPA 2/H6_01.tif "/>
    <s v=" 4390.8686 "/>
    <s v=" 66.7783 "/>
    <x v="0"/>
    <n v="293215"/>
    <m/>
    <m/>
  </r>
  <r>
    <x v="18"/>
    <x v="7"/>
    <s v="F:\Données chgh\2020-CHG-CZA-BPA-1\plaque 2/@18  Testo +  BPA 2/H6_02.tif "/>
    <s v=" 4369.2387 "/>
    <s v=" 66.4653 "/>
    <x v="0"/>
    <n v="290403"/>
    <m/>
    <m/>
  </r>
  <r>
    <x v="18"/>
    <x v="7"/>
    <s v="F:\Données chgh\2020-CHG-CZA-BPA-1\plaque 2/@18  Testo +  BPA 2/H6_03.tif "/>
    <s v=" 4563.9078 "/>
    <s v=" 69.3555 "/>
    <x v="0"/>
    <n v="316532"/>
    <m/>
    <m/>
  </r>
  <r>
    <x v="1"/>
    <x v="8"/>
    <s v=" "/>
    <m/>
    <m/>
    <x v="1"/>
    <m/>
    <m/>
    <m/>
  </r>
  <r>
    <x v="1"/>
    <x v="8"/>
    <s v="group "/>
    <s v=" "/>
    <s v=" mean of mean fluo "/>
    <x v="2"/>
    <s v=" mean of total fluo "/>
    <s v=" SD total fluo "/>
    <s v=" n fluorescent "/>
  </r>
  <r>
    <x v="18"/>
    <x v="9"/>
    <s v="F:\Données chgh\2020-CHG-CZA-BPA-1\plaque 2/@18  Testo +  BPA 2/ "/>
    <s v=" "/>
    <s v=" 76.5301 "/>
    <x v="20"/>
    <s v=" 2515616.29 "/>
    <s v=" 1841293.9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BPA-1\plaque 2/@19 Testo + BPA 3/A7_01.tif "/>
    <s v=" 13302.3852 "/>
    <s v=" 69.8163 "/>
    <x v="0"/>
    <n v="928723"/>
    <m/>
    <m/>
  </r>
  <r>
    <x v="19"/>
    <x v="0"/>
    <s v="F:\Données chgh\2020-CHG-CZA-BPA-1\plaque 2/@19 Testo + BPA 3/A7_02.tif "/>
    <s v=" 15595.154 "/>
    <s v=" 68.3343 "/>
    <x v="0"/>
    <n v="1065683"/>
    <m/>
    <m/>
  </r>
  <r>
    <x v="19"/>
    <x v="0"/>
    <s v="F:\Données chgh\2020-CHG-CZA-BPA-1\plaque 2/@19 Testo + BPA 3/A7_03.tif "/>
    <s v=" 16676.6488 "/>
    <s v=" 69.6783 "/>
    <x v="0"/>
    <n v="1162001"/>
    <m/>
    <m/>
  </r>
  <r>
    <x v="19"/>
    <x v="1"/>
    <s v="F:\Données chgh\2020-CHG-CZA-BPA-1\plaque 2/@19 Testo + BPA 3/B7_01.tif "/>
    <s v=" 17779.7734 "/>
    <s v=" 68.1959 "/>
    <x v="0"/>
    <n v="1212507"/>
    <m/>
    <m/>
  </r>
  <r>
    <x v="19"/>
    <x v="1"/>
    <s v="F:\Données chgh\2020-CHG-CZA-BPA-1\plaque 2/@19 Testo + BPA 3/B7_02.tif "/>
    <s v=" 20721.4391 "/>
    <s v=" 71.8205 "/>
    <x v="0"/>
    <n v="1488223"/>
    <m/>
    <m/>
  </r>
  <r>
    <x v="19"/>
    <x v="1"/>
    <s v="F:\Données chgh\2020-CHG-CZA-BPA-1\plaque 2/@19 Testo + BPA 3/B7_03.tif "/>
    <s v=" 15551.8942 "/>
    <s v=" 71.1057 "/>
    <x v="0"/>
    <n v="1105828"/>
    <m/>
    <m/>
  </r>
  <r>
    <x v="19"/>
    <x v="2"/>
    <s v="F:\Données chgh\2020-CHG-CZA-BPA-1\plaque 2/@19 Testo + BPA 3/C7_01.tif "/>
    <s v=" 51068.1812 "/>
    <s v=" 92.8763 "/>
    <x v="0"/>
    <n v="4743025"/>
    <m/>
    <m/>
  </r>
  <r>
    <x v="19"/>
    <x v="2"/>
    <s v="F:\Données chgh\2020-CHG-CZA-BPA-1\plaque 2/@19 Testo + BPA 3/C7_02.tif "/>
    <s v=" 50960.0317 "/>
    <s v=" 94.5216 "/>
    <x v="0"/>
    <n v="4816826"/>
    <m/>
    <m/>
  </r>
  <r>
    <x v="19"/>
    <x v="2"/>
    <s v="F:\Données chgh\2020-CHG-CZA-BPA-1\plaque 2/@19 Testo + BPA 3/C7_03.tif "/>
    <s v=" 51868.4873 "/>
    <s v=" 85.8499 "/>
    <x v="0"/>
    <n v="4452903"/>
    <m/>
    <m/>
  </r>
  <r>
    <x v="19"/>
    <x v="3"/>
    <s v="F:\Données chgh\2020-CHG-CZA-BPA-1\plaque 2/@19 Testo + BPA 3/D7_01.tif "/>
    <s v=" 53187.9109 "/>
    <s v=" 84.4473 "/>
    <x v="0"/>
    <n v="4491577"/>
    <m/>
    <m/>
  </r>
  <r>
    <x v="19"/>
    <x v="3"/>
    <s v="F:\Données chgh\2020-CHG-CZA-BPA-1\plaque 2/@19 Testo + BPA 3/D7_02.tif "/>
    <s v=" 49575.7185 "/>
    <s v=" 84.3072 "/>
    <x v="0"/>
    <n v="4179588"/>
    <m/>
    <m/>
  </r>
  <r>
    <x v="19"/>
    <x v="3"/>
    <s v="F:\Données chgh\2020-CHG-CZA-BPA-1\plaque 2/@19 Testo + BPA 3/D7_03.tif "/>
    <s v=" 48277.9248 "/>
    <s v=" 83.1676 "/>
    <x v="0"/>
    <n v="4015157"/>
    <m/>
    <m/>
  </r>
  <r>
    <x v="19"/>
    <x v="4"/>
    <s v="F:\Données chgh\2020-CHG-CZA-BPA-1\plaque 2/@19 Testo + BPA 3/E7_01.tif "/>
    <s v=" 39604.3371 "/>
    <s v=" 76.9514 "/>
    <x v="0"/>
    <n v="3047609"/>
    <m/>
    <m/>
  </r>
  <r>
    <x v="19"/>
    <x v="4"/>
    <s v="F:\Données chgh\2020-CHG-CZA-BPA-1\plaque 2/@19 Testo + BPA 3/E7_02.tif "/>
    <s v=" 43540.9779 "/>
    <s v=" 82.3944 "/>
    <x v="0"/>
    <n v="3587534"/>
    <m/>
    <m/>
  </r>
  <r>
    <x v="19"/>
    <x v="4"/>
    <s v="F:\Données chgh\2020-CHG-CZA-BPA-1\plaque 2/@19 Testo + BPA 3/E7_03.tif "/>
    <s v=" 43216.5295 "/>
    <s v=" 81.9054 "/>
    <x v="0"/>
    <n v="3539667"/>
    <m/>
    <m/>
  </r>
  <r>
    <x v="19"/>
    <x v="5"/>
    <s v="F:\Données chgh\2020-CHG-CZA-BPA-1\plaque 2/@19 Testo + BPA 3/F7_01.tif "/>
    <s v=" 16308.9406 "/>
    <s v=" 71.5756 "/>
    <x v="0"/>
    <n v="1167322"/>
    <m/>
    <m/>
  </r>
  <r>
    <x v="19"/>
    <x v="5"/>
    <s v="F:\Données chgh\2020-CHG-CZA-BPA-1\plaque 2/@19 Testo + BPA 3/F7_02.tif "/>
    <s v=" 16417.09 "/>
    <s v=" 74.1779 "/>
    <x v="0"/>
    <n v="1217785"/>
    <m/>
    <m/>
  </r>
  <r>
    <x v="19"/>
    <x v="5"/>
    <s v="F:\Données chgh\2020-CHG-CZA-BPA-1\plaque 2/@19 Testo + BPA 3/F7_03.tif "/>
    <s v=" 17606.7342 "/>
    <s v=" 71.2703 "/>
    <x v="0"/>
    <n v="1254837"/>
    <m/>
    <m/>
  </r>
  <r>
    <x v="19"/>
    <x v="6"/>
    <s v="F:\Données chgh\2020-CHG-CZA-BPA-1\plaque 2/@19 Testo + BPA 3/G7_01.tif "/>
    <s v=" 74341.9478 "/>
    <s v=" 92.398 "/>
    <x v="0"/>
    <n v="6869049"/>
    <m/>
    <m/>
  </r>
  <r>
    <x v="19"/>
    <x v="6"/>
    <s v="F:\Données chgh\2020-CHG-CZA-BPA-1\plaque 2/@19 Testo + BPA 3/G7_02.tif "/>
    <s v=" 77088.9445 "/>
    <s v=" 85.1417 "/>
    <x v="0"/>
    <n v="6563483"/>
    <m/>
    <m/>
  </r>
  <r>
    <x v="19"/>
    <x v="6"/>
    <s v="F:\Données chgh\2020-CHG-CZA-BPA-1\plaque 2/@19 Testo + BPA 3/G7_03.tif "/>
    <s v=" 73173.9335 "/>
    <s v=" 92.1221 "/>
    <x v="0"/>
    <n v="6740935"/>
    <m/>
    <m/>
  </r>
  <r>
    <x v="19"/>
    <x v="7"/>
    <s v="F:\Données chgh\2020-CHG-CZA-BPA-1\plaque 2/@19 Testo + BPA 3/H7_01.tif "/>
    <s v=" 18039.3321 "/>
    <s v=" 75.1199 "/>
    <x v="0"/>
    <n v="1355113"/>
    <m/>
    <m/>
  </r>
  <r>
    <x v="19"/>
    <x v="7"/>
    <s v="F:\Données chgh\2020-CHG-CZA-BPA-1\plaque 2/@19 Testo + BPA 3/H7_02.tif "/>
    <s v=" 21002.6277 "/>
    <s v=" 73.0062 "/>
    <x v="0"/>
    <n v="1533322"/>
    <m/>
    <m/>
  </r>
  <r>
    <x v="19"/>
    <x v="7"/>
    <s v="F:\Données chgh\2020-CHG-CZA-BPA-1\plaque 2/@19 Testo + BPA 3/H7_03.tif "/>
    <s v=" 18039.3321 "/>
    <s v=" 72.7578 "/>
    <x v="0"/>
    <n v="1312502"/>
    <m/>
    <m/>
  </r>
  <r>
    <x v="1"/>
    <x v="8"/>
    <s v=" "/>
    <m/>
    <m/>
    <x v="1"/>
    <m/>
    <m/>
    <m/>
  </r>
  <r>
    <x v="1"/>
    <x v="8"/>
    <s v="group "/>
    <s v=" "/>
    <s v=" mean of mean fluo "/>
    <x v="2"/>
    <s v=" mean of total fluo "/>
    <s v=" SD total fluo "/>
    <s v=" n fluorescent "/>
  </r>
  <r>
    <x v="19"/>
    <x v="9"/>
    <s v="F:\Données chgh\2020-CHG-CZA-BPA-1\plaque 2/@19 Testo + BPA 3/ "/>
    <s v=" "/>
    <s v=" 78.8726 "/>
    <x v="21"/>
    <s v=" 2993799.96 "/>
    <s v=" 2012575.2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BPA-1\plaque 2/@20 Testo +  BPA 4/A8_01.tif "/>
    <s v=" 32920.6996 "/>
    <s v=" 78.1813 "/>
    <x v="0"/>
    <n v="2573784"/>
    <m/>
    <m/>
  </r>
  <r>
    <x v="20"/>
    <x v="0"/>
    <s v="F:\Données chgh\2020-CHG-CZA-BPA-1\plaque 2/@20 Testo +  BPA 4/A8_02.tif "/>
    <s v=" 35819.1055 "/>
    <s v=" 77.381 "/>
    <x v="0"/>
    <n v="2771720"/>
    <m/>
    <m/>
  </r>
  <r>
    <x v="20"/>
    <x v="0"/>
    <s v="F:\Données chgh\2020-CHG-CZA-BPA-1\plaque 2/@20 Testo +  BPA 4/A8_03.tif "/>
    <s v=" 33634.4861 "/>
    <s v=" 79.7711 "/>
    <x v="0"/>
    <n v="2683059"/>
    <m/>
    <m/>
  </r>
  <r>
    <x v="20"/>
    <x v="1"/>
    <s v="F:\Données chgh\2020-CHG-CZA-BPA-1\plaque 2/@20 Testo +  BPA 4/B8_01.tif "/>
    <s v=" 49813.6473 "/>
    <s v=" 90.9314 "/>
    <x v="0"/>
    <n v="4529624"/>
    <m/>
    <m/>
  </r>
  <r>
    <x v="20"/>
    <x v="1"/>
    <s v="F:\Données chgh\2020-CHG-CZA-BPA-1\plaque 2/@20 Testo +  BPA 4/B8_02.tif "/>
    <s v=" 50332.7648 "/>
    <s v=" 87.942 "/>
    <x v="0"/>
    <n v="4426363"/>
    <m/>
    <m/>
  </r>
  <r>
    <x v="20"/>
    <x v="1"/>
    <s v="F:\Données chgh\2020-CHG-CZA-BPA-1\plaque 2/@20 Testo +  BPA 4/B8_03.tif "/>
    <s v=" 48624.0031 "/>
    <s v=" 89.0053 "/>
    <x v="0"/>
    <n v="4327796"/>
    <m/>
    <m/>
  </r>
  <r>
    <x v="20"/>
    <x v="2"/>
    <s v="F:\Données chgh\2020-CHG-CZA-BPA-1\plaque 2/@20 Testo +  BPA 4/C8_01.tif "/>
    <s v=" 46655.6827 "/>
    <s v=" 78.3217 "/>
    <x v="0"/>
    <n v="3654154"/>
    <m/>
    <m/>
  </r>
  <r>
    <x v="20"/>
    <x v="2"/>
    <s v="F:\Données chgh\2020-CHG-CZA-BPA-1\plaque 2/@20 Testo +  BPA 4/C8_02.tif "/>
    <s v=" 46309.6044 "/>
    <s v=" 78.9318 "/>
    <x v="0"/>
    <n v="3655301"/>
    <m/>
    <m/>
  </r>
  <r>
    <x v="20"/>
    <x v="2"/>
    <s v="F:\Données chgh\2020-CHG-CZA-BPA-1\plaque 2/@20 Testo +  BPA 4/C8_03.tif "/>
    <s v=" 36468.0023 "/>
    <s v=" 84.0036 "/>
    <x v="0"/>
    <n v="3063442"/>
    <m/>
    <m/>
  </r>
  <r>
    <x v="20"/>
    <x v="3"/>
    <s v="F:\Données chgh\2020-CHG-CZA-BPA-1\plaque 2/@20 Testo +  BPA 4/D8_01- exclu.tif"/>
    <m/>
    <m/>
    <x v="1"/>
    <m/>
    <m/>
    <m/>
  </r>
  <r>
    <x v="20"/>
    <x v="3"/>
    <s v="F:\Données chgh\2020-CHG-CZA-BPA-1\plaque 2/@20 Testo +  BPA 4/D8_02.tif "/>
    <s v=" 33569.5965 "/>
    <s v=" 79.9974 "/>
    <x v="0"/>
    <n v="2685481"/>
    <m/>
    <m/>
  </r>
  <r>
    <x v="20"/>
    <x v="3"/>
    <s v="F:\Données chgh\2020-CHG-CZA-BPA-1\plaque 2/@20 Testo +  BPA 4/D8_03.tif "/>
    <s v=" 30195.3329 "/>
    <s v=" 80.8016 "/>
    <x v="0"/>
    <n v="2439830"/>
    <m/>
    <m/>
  </r>
  <r>
    <x v="20"/>
    <x v="4"/>
    <s v="F:\Données chgh\2020-CHG-CZA-BPA-1\plaque 2/@20 Testo +  BPA 4/E8_01.tif "/>
    <s v=" 37917.2053 "/>
    <s v=" 92.1272 "/>
    <x v="0"/>
    <n v="3493206"/>
    <m/>
    <m/>
  </r>
  <r>
    <x v="20"/>
    <x v="4"/>
    <s v="F:\Données chgh\2020-CHG-CZA-BPA-1\plaque 2/@20 Testo +  BPA 4/E8_02.tif "/>
    <s v=" 35191.8386 "/>
    <s v=" 93.7363 "/>
    <x v="0"/>
    <n v="3298754"/>
    <m/>
    <m/>
  </r>
  <r>
    <x v="20"/>
    <x v="4"/>
    <s v="F:\Données chgh\2020-CHG-CZA-BPA-1\plaque 2/@20 Testo +  BPA 4/E8_03.tif "/>
    <s v=" 36684.3013 "/>
    <s v=" 89.7235 "/>
    <x v="0"/>
    <n v="3291443"/>
    <m/>
    <m/>
  </r>
  <r>
    <x v="20"/>
    <x v="5"/>
    <s v="F:\Données chgh\2020-CHG-CZA-BPA-1\plaque 2/@20 Testo +  BPA 4/F8_01.tif "/>
    <s v=" 48191.4052 "/>
    <s v=" 99.9874 "/>
    <x v="0"/>
    <n v="4818535"/>
    <m/>
    <m/>
  </r>
  <r>
    <x v="20"/>
    <x v="5"/>
    <s v="F:\Données chgh\2020-CHG-CZA-BPA-1\plaque 2/@20 Testo +  BPA 4/F8_02.tif "/>
    <s v=" 52192.9357 "/>
    <s v=" 96.0381 "/>
    <x v="0"/>
    <n v="5012512"/>
    <m/>
    <m/>
  </r>
  <r>
    <x v="20"/>
    <x v="5"/>
    <s v="F:\Données chgh\2020-CHG-CZA-BPA-1\plaque 2/@20 Testo +  BPA 4/F8_03.tif "/>
    <s v=" 48472.5939 "/>
    <s v=" 100.2602 "/>
    <x v="0"/>
    <n v="4859870"/>
    <m/>
    <m/>
  </r>
  <r>
    <x v="20"/>
    <x v="6"/>
    <s v="F:\Données chgh\2020-CHG-CZA-BPA-1\plaque 2/@20 Testo +  BPA 4/G8_01- exclu.tif"/>
    <m/>
    <m/>
    <x v="1"/>
    <m/>
    <m/>
    <m/>
  </r>
  <r>
    <x v="20"/>
    <x v="6"/>
    <s v="F:\Données chgh\2020-CHG-CZA-BPA-1\plaque 2/@20 Testo +  BPA 4/G8_02.tif "/>
    <s v=" 55502.3096 "/>
    <s v=" 95.7214 "/>
    <x v="0"/>
    <n v="5312756"/>
    <m/>
    <m/>
  </r>
  <r>
    <x v="20"/>
    <x v="6"/>
    <s v="F:\Données chgh\2020-CHG-CZA-BPA-1\plaque 2/@20 Testo +  BPA 4/G8_03.tif "/>
    <s v=" 55523.9395 "/>
    <s v=" 95.2108 "/>
    <x v="0"/>
    <n v="5286476"/>
    <m/>
    <m/>
  </r>
  <r>
    <x v="20"/>
    <x v="7"/>
    <s v="F:\Données chgh\2020-CHG-CZA-BPA-1\plaque 2/@20 Testo +  BPA 4/H8_01.tif "/>
    <s v=" 53101.3913 "/>
    <s v=" 86.4721 "/>
    <x v="0"/>
    <n v="4591789"/>
    <m/>
    <m/>
  </r>
  <r>
    <x v="20"/>
    <x v="7"/>
    <s v="F:\Données chgh\2020-CHG-CZA-BPA-1\plaque 2/@20 Testo +  BPA 4/H8_02.tif "/>
    <s v=" 48797.0423 "/>
    <s v=" 87.2052 "/>
    <x v="0"/>
    <n v="4255357"/>
    <m/>
    <m/>
  </r>
  <r>
    <x v="20"/>
    <x v="7"/>
    <s v="F:\Données chgh\2020-CHG-CZA-BPA-1\plaque 2/@20 Testo +  BPA 4/H8_03- exclu.tif"/>
    <m/>
    <m/>
    <x v="1"/>
    <m/>
    <m/>
    <m/>
  </r>
  <r>
    <x v="1"/>
    <x v="8"/>
    <s v=" "/>
    <m/>
    <m/>
    <x v="1"/>
    <m/>
    <m/>
    <m/>
  </r>
  <r>
    <x v="1"/>
    <x v="8"/>
    <s v="group "/>
    <s v=" "/>
    <s v=" mean of mean fluo "/>
    <x v="2"/>
    <s v=" mean of total fluo "/>
    <s v=" SD total fluo "/>
    <s v=" n fluorescent "/>
  </r>
  <r>
    <x v="20"/>
    <x v="9"/>
    <s v="F:\Données chgh\2020-CHG-CZA-BPA-1\plaque 2/@20 Testo +  BPA 4/ "/>
    <s v=" "/>
    <s v=" 86.6291 "/>
    <x v="22"/>
    <s v=" 3839391.88 "/>
    <s v=" 1060896.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BPA-1\plaque 2/@21 Testo +  BPA 5/A9_01.tif "/>
    <s v=" 47629.028 "/>
    <s v=" 78.1381 "/>
    <x v="0"/>
    <n v="3721640"/>
    <m/>
    <m/>
  </r>
  <r>
    <x v="21"/>
    <x v="0"/>
    <s v="F:\Données chgh\2020-CHG-CZA-BPA-1\plaque 2/@21 Testo +  BPA 5/A9_02.tif "/>
    <s v=" 45011.8107 "/>
    <s v=" 78.4599 "/>
    <x v="0"/>
    <n v="3531621"/>
    <m/>
    <m/>
  </r>
  <r>
    <x v="21"/>
    <x v="0"/>
    <s v="F:\Données chgh\2020-CHG-CZA-BPA-1\plaque 2/@21 Testo +  BPA 5/A9_03.tif "/>
    <s v=" 45920.2663 "/>
    <s v=" 77.3608 "/>
    <x v="0"/>
    <n v="3552429"/>
    <m/>
    <m/>
  </r>
  <r>
    <x v="21"/>
    <x v="1"/>
    <s v="F:\Données chgh\2020-CHG-CZA-BPA-1\plaque 2/@21 Testo +  BPA 5/B9_01.tif "/>
    <s v=" 63894.7087 "/>
    <s v=" 89.8896 "/>
    <x v="0"/>
    <n v="5743472"/>
    <m/>
    <m/>
  </r>
  <r>
    <x v="21"/>
    <x v="1"/>
    <s v="F:\Données chgh\2020-CHG-CZA-BPA-1\plaque 2/@21 Testo +  BPA 5/B9_02.tif "/>
    <s v=" 61234.2317 "/>
    <s v=" 89.8029 "/>
    <x v="0"/>
    <n v="5499011"/>
    <m/>
    <m/>
  </r>
  <r>
    <x v="21"/>
    <x v="1"/>
    <s v="F:\Données chgh\2020-CHG-CZA-BPA-1\plaque 2/@21 Testo +  BPA 5/B9_03.tif "/>
    <s v=" 62337.3563 "/>
    <s v=" 89.8629 "/>
    <x v="0"/>
    <n v="5601818"/>
    <m/>
    <m/>
  </r>
  <r>
    <x v="21"/>
    <x v="2"/>
    <s v="F:\Données chgh\2020-CHG-CZA-BPA-1\plaque 2/@21 Testo +  BPA 5/C9_01.tif "/>
    <s v=" 33656.116 "/>
    <s v=" 72.1253 "/>
    <x v="0"/>
    <n v="2427458"/>
    <m/>
    <m/>
  </r>
  <r>
    <x v="21"/>
    <x v="2"/>
    <s v="F:\Données chgh\2020-CHG-CZA-BPA-1\plaque 2/@21 Testo +  BPA 5/C9_02.tif "/>
    <s v=" 32488.1017 "/>
    <s v=" 71.6272 "/>
    <x v="0"/>
    <n v="2327031"/>
    <m/>
    <m/>
  </r>
  <r>
    <x v="21"/>
    <x v="2"/>
    <s v="F:\Données chgh\2020-CHG-CZA-BPA-1\plaque 2/@21 Testo +  BPA 5/C9_03.tif "/>
    <s v=" 30757.7102 "/>
    <s v=" 70.661 "/>
    <x v="0"/>
    <n v="2173372"/>
    <m/>
    <m/>
  </r>
  <r>
    <x v="21"/>
    <x v="3"/>
    <s v="F:\Données chgh\2020-CHG-CZA-BPA-1\plaque 2/@21 Testo +  BPA 5/D9_01.tif "/>
    <s v=" 72243.8481 "/>
    <s v=" 82.926 "/>
    <x v="0"/>
    <n v="5990897"/>
    <m/>
    <m/>
  </r>
  <r>
    <x v="21"/>
    <x v="3"/>
    <s v="F:\Données chgh\2020-CHG-CZA-BPA-1\plaque 2/@21 Testo +  BPA 5/D9_02.tif "/>
    <s v=" 72871.115 "/>
    <s v=" 81.4725 "/>
    <x v="0"/>
    <n v="5936995"/>
    <m/>
    <m/>
  </r>
  <r>
    <x v="21"/>
    <x v="3"/>
    <s v="F:\Données chgh\2020-CHG-CZA-BPA-1\plaque 2/@21 Testo +  BPA 5/D9_03- exclu.tif"/>
    <m/>
    <m/>
    <x v="1"/>
    <m/>
    <m/>
    <m/>
  </r>
  <r>
    <x v="21"/>
    <x v="4"/>
    <s v="F:\Données chgh\2020-CHG-CZA-BPA-1\plaque 2/@21 Testo +  BPA 5/E9_01.tif "/>
    <s v=" 44946.921 "/>
    <s v=" 73.7878 "/>
    <x v="0"/>
    <n v="3316533"/>
    <m/>
    <m/>
  </r>
  <r>
    <x v="21"/>
    <x v="4"/>
    <s v="F:\Données chgh\2020-CHG-CZA-BPA-1\plaque 2/@21 Testo +  BPA 5/E9_02.tif "/>
    <s v=" 43065.1202 "/>
    <s v=" 74.6801 "/>
    <x v="0"/>
    <n v="3216106"/>
    <m/>
    <m/>
  </r>
  <r>
    <x v="21"/>
    <x v="4"/>
    <s v="F:\Données chgh\2020-CHG-CZA-BPA-1\plaque 2/@21 Testo +  BPA 5/E9_03.tif "/>
    <s v=" 37679.2764 "/>
    <s v=" 71.6056 "/>
    <x v="0"/>
    <n v="2698048"/>
    <m/>
    <m/>
  </r>
  <r>
    <x v="21"/>
    <x v="5"/>
    <s v="F:\Données chgh\2020-CHG-CZA-BPA-1\plaque 2/@21 Testo +  BPA 5/F9_01.tif "/>
    <s v=" 31947.3544 "/>
    <s v=" 83.4841 "/>
    <x v="0"/>
    <n v="2667096"/>
    <m/>
    <m/>
  </r>
  <r>
    <x v="21"/>
    <x v="5"/>
    <s v="F:\Données chgh\2020-CHG-CZA-BPA-1\plaque 2/@21 Testo +  BPA 5/F9_02.tif "/>
    <s v=" 28789.3898 "/>
    <s v=" 83.0293 "/>
    <x v="0"/>
    <n v="2390363"/>
    <m/>
    <m/>
  </r>
  <r>
    <x v="21"/>
    <x v="5"/>
    <s v="F:\Données chgh\2020-CHG-CZA-BPA-1\plaque 2/@21 Testo +  BPA 5/F9_03.tif "/>
    <s v=" 32574.6213 "/>
    <s v=" 82.4947 "/>
    <x v="0"/>
    <n v="2687233"/>
    <m/>
    <m/>
  </r>
  <r>
    <x v="21"/>
    <x v="6"/>
    <s v="F:\Données chgh\2020-CHG-CZA-BPA-1\plaque 2/@21 Testo +  BPA 5/G9_01.tif "/>
    <s v=" 66814.7445 "/>
    <s v=" 93.3247 "/>
    <x v="0"/>
    <n v="6235466"/>
    <m/>
    <m/>
  </r>
  <r>
    <x v="21"/>
    <x v="6"/>
    <s v="F:\Données chgh\2020-CHG-CZA-BPA-1\plaque 2/@21 Testo +  BPA 5/G9_02.tif "/>
    <s v=" 63656.7799 "/>
    <s v=" 97.0489 "/>
    <x v="0"/>
    <n v="6177822"/>
    <m/>
    <m/>
  </r>
  <r>
    <x v="21"/>
    <x v="6"/>
    <s v="F:\Données chgh\2020-CHG-CZA-BPA-1\plaque 2/@21 Testo +  BPA 5/G9_03.tif "/>
    <s v=" 68912.8443 "/>
    <s v=" 92.3628 "/>
    <x v="0"/>
    <n v="6364986"/>
    <m/>
    <m/>
  </r>
  <r>
    <x v="21"/>
    <x v="7"/>
    <s v="F:\Données chgh\2020-CHG-CZA-BPA-1\plaque 2/@21 Testo +  BPA 5/H9_01.tif "/>
    <s v=" 15573.5241 "/>
    <s v=" 65.4028 "/>
    <x v="0"/>
    <n v="1018552"/>
    <m/>
    <m/>
  </r>
  <r>
    <x v="21"/>
    <x v="7"/>
    <s v="F:\Données chgh\2020-CHG-CZA-BPA-1\plaque 2/@21 Testo +  BPA 5/H9_02- exclu.tif"/>
    <m/>
    <m/>
    <x v="1"/>
    <m/>
    <m/>
    <m/>
  </r>
  <r>
    <x v="21"/>
    <x v="7"/>
    <s v="F:\Données chgh\2020-CHG-CZA-BPA-1\plaque 2/@21 Testo +  BPA 5/H9_03.tif "/>
    <s v=" 12156.0008 "/>
    <s v=" 65.0018 "/>
    <x v="0"/>
    <n v="790162"/>
    <m/>
    <m/>
  </r>
  <r>
    <x v="1"/>
    <x v="8"/>
    <s v=" "/>
    <m/>
    <m/>
    <x v="1"/>
    <m/>
    <m/>
    <m/>
  </r>
  <r>
    <x v="1"/>
    <x v="8"/>
    <s v="group "/>
    <s v=" "/>
    <s v=" mean of mean fluo "/>
    <x v="2"/>
    <s v=" mean of total fluo "/>
    <s v=" SD total fluo "/>
    <s v=" n fluorescent "/>
  </r>
  <r>
    <x v="21"/>
    <x v="9"/>
    <s v="F:\Données chgh\2020-CHG-CZA-BPA-1\plaque 2/@21 Testo +  BPA 5/ "/>
    <s v=" "/>
    <s v=" 79.3634 "/>
    <x v="23"/>
    <n v="3714637"/>
    <s v=" 1881711.39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Données chgh\2020-CHG-CZA-BPA-2\plaque 1/@01 TS/A1_01.tif "/>
    <s v=" 389.3381 "/>
    <s v=" 62.6111 "/>
    <x v="0"/>
    <n v="24377"/>
    <m/>
    <m/>
  </r>
  <r>
    <x v="0"/>
    <x v="0"/>
    <s v="F:\Données chgh\2020-CHG-CZA-BPA-2\plaque 1/@01 TS/A1_02.tif "/>
    <s v=" 5883.3313 "/>
    <s v=" 66.3015 "/>
    <x v="0"/>
    <n v="390074"/>
    <m/>
    <m/>
  </r>
  <r>
    <x v="0"/>
    <x v="0"/>
    <s v="F:\Données chgh\2020-CHG-CZA-BPA-2\plaque 1/@01 TS/A1_03.tif "/>
    <s v=" 6791.7869 "/>
    <s v=" 71.3057 "/>
    <x v="0"/>
    <n v="484293"/>
    <m/>
    <m/>
  </r>
  <r>
    <x v="0"/>
    <x v="1"/>
    <s v="F:\Données chgh\2020-CHG-CZA-BPA-2\plaque 1/@01 TS/B1_01.tif "/>
    <s v=" 973.3453 "/>
    <n v="63"/>
    <x v="0"/>
    <n v="61321"/>
    <m/>
    <m/>
  </r>
  <r>
    <x v="0"/>
    <x v="1"/>
    <s v="F:\Données chgh\2020-CHG-CZA-BPA-2\plaque 1/@01 TS/B1_02.tif "/>
    <s v=" 6705.2673 "/>
    <s v=" 73.2548 "/>
    <x v="0"/>
    <n v="491193"/>
    <m/>
    <m/>
  </r>
  <r>
    <x v="0"/>
    <x v="1"/>
    <s v="F:\Données chgh\2020-CHG-CZA-BPA-2\plaque 1/@01 TS/B1_03.tif "/>
    <s v=" 259.5587 "/>
    <s v=" 63.1667 "/>
    <x v="0"/>
    <n v="16395"/>
    <m/>
    <m/>
  </r>
  <r>
    <x v="0"/>
    <x v="2"/>
    <s v="F:\Données chgh\2020-CHG-CZA-BPA-2\plaque 1/@01 TS/C1_01.tif "/>
    <s v=" 1946.6905 "/>
    <s v=" 64.5222 "/>
    <x v="0"/>
    <n v="125605"/>
    <m/>
    <m/>
  </r>
  <r>
    <x v="0"/>
    <x v="2"/>
    <s v="F:\Données chgh\2020-CHG-CZA-BPA-2\plaque 1/@01 TS/C1_02.tif "/>
    <s v=" 6575.488 "/>
    <s v=" 68.1414 "/>
    <x v="0"/>
    <n v="448063"/>
    <m/>
    <m/>
  </r>
  <r>
    <x v="0"/>
    <x v="2"/>
    <s v="F:\Données chgh\2020-CHG-CZA-BPA-2\plaque 1/@01 TS/C1_03.tif "/>
    <s v=" 10728.4277 "/>
    <s v=" 72.7863 "/>
    <x v="0"/>
    <n v="780882"/>
    <m/>
    <m/>
  </r>
  <r>
    <x v="0"/>
    <x v="3"/>
    <s v="F:\Données chgh\2020-CHG-CZA-BPA-2\plaque 1/@01 TS/D1_01.tif "/>
    <s v=" 13518.6841 "/>
    <s v=" 72.3616 "/>
    <x v="0"/>
    <n v="978234"/>
    <m/>
    <m/>
  </r>
  <r>
    <x v="0"/>
    <x v="3"/>
    <s v="F:\Données chgh\2020-CHG-CZA-BPA-2\plaque 1/@01 TS/D1_02- exclu.tif"/>
    <m/>
    <m/>
    <x v="1"/>
    <m/>
    <m/>
    <m/>
  </r>
  <r>
    <x v="0"/>
    <x v="3"/>
    <s v="F:\Données chgh\2020-CHG-CZA-BPA-2\plaque 1/@01 TS/D1_03.tif "/>
    <s v=" 8738.4774 "/>
    <s v=" 71.5842 "/>
    <x v="0"/>
    <n v="625537"/>
    <m/>
    <m/>
  </r>
  <r>
    <x v="0"/>
    <x v="4"/>
    <s v="F:\Données chgh\2020-CHG-CZA-BPA-2\plaque 1/@01 TS/E1_01.tif "/>
    <s v=" 1492.4627 "/>
    <s v=" 69.087 "/>
    <x v="0"/>
    <n v="103110"/>
    <m/>
    <m/>
  </r>
  <r>
    <x v="0"/>
    <x v="4"/>
    <s v="F:\Données chgh\2020-CHG-CZA-BPA-2\plaque 1/@01 TS/E1_02.tif "/>
    <s v=" 4088.0501 "/>
    <s v=" 67.3175 "/>
    <x v="0"/>
    <n v="275197"/>
    <m/>
    <m/>
  </r>
  <r>
    <x v="0"/>
    <x v="4"/>
    <s v="F:\Données chgh\2020-CHG-CZA-BPA-2\plaque 1/@01 TS/E1_03.tif "/>
    <s v=" 4412.4985 "/>
    <s v=" 67.8039 "/>
    <x v="0"/>
    <n v="299185"/>
    <m/>
    <m/>
  </r>
  <r>
    <x v="0"/>
    <x v="5"/>
    <s v="F:\Données chgh\2020-CHG-CZA-BPA-2\plaque 1/@01 TS/F1_01.tif "/>
    <s v=" 10706.7978 "/>
    <s v=" 68.7232 "/>
    <x v="0"/>
    <n v="735806"/>
    <m/>
    <m/>
  </r>
  <r>
    <x v="0"/>
    <x v="5"/>
    <s v="F:\Données chgh\2020-CHG-CZA-BPA-2\plaque 1/@01 TS/F1_02- exclu.tif"/>
    <m/>
    <m/>
    <x v="1"/>
    <m/>
    <m/>
    <m/>
  </r>
  <r>
    <x v="0"/>
    <x v="5"/>
    <s v="F:\Données chgh\2020-CHG-CZA-BPA-2\plaque 1/@01 TS/F1_03.tif "/>
    <s v=" 8392.3991 "/>
    <s v=" 68.2577 "/>
    <x v="0"/>
    <n v="572846"/>
    <m/>
    <m/>
  </r>
  <r>
    <x v="0"/>
    <x v="6"/>
    <s v="F:\Données chgh\2020-CHG-CZA-BPA-2\plaque 1/@01 TS/G1_01.tif "/>
    <s v=" 11831.5524 "/>
    <s v=" 72.1024 "/>
    <x v="0"/>
    <n v="853083"/>
    <m/>
    <m/>
  </r>
  <r>
    <x v="0"/>
    <x v="6"/>
    <s v="F:\Données chgh\2020-CHG-CZA-BPA-2\plaque 1/@01 TS/G1_02.tif "/>
    <s v=" 8738.4774 "/>
    <s v=" 77.6559 "/>
    <x v="0"/>
    <n v="678595"/>
    <m/>
    <m/>
  </r>
  <r>
    <x v="0"/>
    <x v="6"/>
    <s v="F:\Données chgh\2020-CHG-CZA-BPA-2\plaque 1/@01 TS/G1_03.tif "/>
    <s v=" 8349.1393 "/>
    <s v=" 75.6684 "/>
    <x v="0"/>
    <n v="631766"/>
    <m/>
    <m/>
  </r>
  <r>
    <x v="0"/>
    <x v="7"/>
    <s v="F:\Données chgh\2020-CHG-CZA-BPA-2\plaque 1/@01 TS/H1_01.tif "/>
    <s v=" 9711.8227 "/>
    <s v=" 72.9978 "/>
    <x v="0"/>
    <n v="708941"/>
    <m/>
    <m/>
  </r>
  <r>
    <x v="0"/>
    <x v="7"/>
    <s v="F:\Données chgh\2020-CHG-CZA-BPA-2\plaque 1/@01 TS/H1_02.tif "/>
    <s v=" 1081.4947 "/>
    <s v=" 63.52 "/>
    <x v="0"/>
    <n v="68697"/>
    <m/>
    <m/>
  </r>
  <r>
    <x v="0"/>
    <x v="7"/>
    <s v="F:\Données chgh\2020-CHG-CZA-BPA-2\plaque 1/@01 TS/H1_03.tif "/>
    <s v=" 6986.456 "/>
    <s v=" 74.6687 "/>
    <x v="0"/>
    <n v="521670"/>
    <m/>
    <m/>
  </r>
  <r>
    <x v="1"/>
    <x v="8"/>
    <s v=" "/>
    <m/>
    <m/>
    <x v="1"/>
    <m/>
    <m/>
    <m/>
  </r>
  <r>
    <x v="1"/>
    <x v="8"/>
    <s v="group "/>
    <s v=" "/>
    <s v=" mean of mean fluo "/>
    <x v="2"/>
    <s v=" mean of total fluo "/>
    <s v=" SD total fluo "/>
    <s v=" n fluorescent "/>
  </r>
  <r>
    <x v="0"/>
    <x v="9"/>
    <s v="F:\Données chgh\2020-CHG-CZA-BPA-2\plaque 1/@01 TS/ "/>
    <s v=" "/>
    <s v=" 69.6663 "/>
    <x v="3"/>
    <s v=" 465743.042 "/>
    <s v=" 327574.55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BPA-2\plaque 1/@02 EE2 34/A2_01.tif "/>
    <s v=" 562.3773 "/>
    <s v=" 62.4231 "/>
    <x v="0"/>
    <n v="35105"/>
    <m/>
    <m/>
  </r>
  <r>
    <x v="2"/>
    <x v="0"/>
    <s v="F:\Données chgh\2020-CHG-CZA-BPA-2\plaque 1/@02 EE2 34/A2_02.tif "/>
    <s v=" 562.3773 "/>
    <s v=" 63.6923 "/>
    <x v="0"/>
    <n v="35819"/>
    <m/>
    <m/>
  </r>
  <r>
    <x v="2"/>
    <x v="0"/>
    <s v="F:\Données chgh\2020-CHG-CZA-BPA-2\plaque 1/@02 EE2 34/A2_03.tif "/>
    <s v=" 1016.605 "/>
    <s v=" 62.9362 "/>
    <x v="0"/>
    <n v="63981"/>
    <m/>
    <m/>
  </r>
  <r>
    <x v="2"/>
    <x v="1"/>
    <s v="F:\Données chgh\2020-CHG-CZA-BPA-2\plaque 1/@02 EE2 34/B2_01.tif "/>
    <s v=" 2898.4059 "/>
    <s v=" 66.5149 "/>
    <x v="0"/>
    <n v="192787"/>
    <m/>
    <m/>
  </r>
  <r>
    <x v="2"/>
    <x v="1"/>
    <s v="F:\Données chgh\2020-CHG-CZA-BPA-2\plaque 1/@02 EE2 34/B2_02.tif "/>
    <s v=" 4109.68 "/>
    <s v=" 67.2684 "/>
    <x v="0"/>
    <n v="276452"/>
    <m/>
    <m/>
  </r>
  <r>
    <x v="2"/>
    <x v="1"/>
    <s v="F:\Données chgh\2020-CHG-CZA-BPA-2\plaque 1/@02 EE2 34/B2_03.tif "/>
    <s v=" 5904.9612 "/>
    <s v=" 71.5604 "/>
    <x v="0"/>
    <n v="422562"/>
    <m/>
    <m/>
  </r>
  <r>
    <x v="2"/>
    <x v="2"/>
    <s v="F:\Données chgh\2020-CHG-CZA-BPA-2\plaque 1/@02 EE2 34/C2_01.tif "/>
    <s v=" 12285.7801 "/>
    <s v=" 84.5915 "/>
    <x v="0"/>
    <n v="1039273"/>
    <m/>
    <m/>
  </r>
  <r>
    <x v="2"/>
    <x v="2"/>
    <s v="F:\Données chgh\2020-CHG-CZA-BPA-2\plaque 1/@02 EE2 34/C2_02.tif "/>
    <s v=" 15032.7768 "/>
    <s v=" 75.5986 "/>
    <x v="0"/>
    <n v="1136456"/>
    <m/>
    <m/>
  </r>
  <r>
    <x v="2"/>
    <x v="2"/>
    <s v="F:\Données chgh\2020-CHG-CZA-BPA-2\plaque 1/@02 EE2 34/C2_03.tif "/>
    <s v=" 5948.221 "/>
    <s v=" 67.9673 "/>
    <x v="0"/>
    <n v="404284"/>
    <m/>
    <m/>
  </r>
  <r>
    <x v="2"/>
    <x v="3"/>
    <s v="F:\Données chgh\2020-CHG-CZA-BPA-2\plaque 1/@02 EE2 34/D2_01.tif "/>
    <s v=" 6272.6694 "/>
    <s v=" 68.0069 "/>
    <x v="0"/>
    <n v="426585"/>
    <m/>
    <m/>
  </r>
  <r>
    <x v="2"/>
    <x v="3"/>
    <s v="F:\Données chgh\2020-CHG-CZA-BPA-2\plaque 1/@02 EE2 34/D2_02.tif "/>
    <s v=" 8868.2568 "/>
    <s v=" 75.5024 "/>
    <x v="0"/>
    <n v="669575"/>
    <m/>
    <m/>
  </r>
  <r>
    <x v="2"/>
    <x v="3"/>
    <s v="F:\Données chgh\2020-CHG-CZA-BPA-2\plaque 1/@02 EE2 34/D2_03- exclu.tif"/>
    <m/>
    <m/>
    <x v="1"/>
    <m/>
    <m/>
    <m/>
  </r>
  <r>
    <x v="2"/>
    <x v="4"/>
    <s v="F:\Données chgh\2020-CHG-CZA-BPA-2\plaque 1/@02 EE2 34/E2_01.tif "/>
    <s v=" 4304.349 "/>
    <s v=" 67.8794 "/>
    <x v="0"/>
    <n v="292177"/>
    <m/>
    <m/>
  </r>
  <r>
    <x v="2"/>
    <x v="4"/>
    <s v="F:\Données chgh\2020-CHG-CZA-BPA-2\plaque 1/@02 EE2 34/E2_02.tif "/>
    <s v=" 1925.0606 "/>
    <s v=" 64.8989 "/>
    <x v="0"/>
    <n v="124934"/>
    <m/>
    <m/>
  </r>
  <r>
    <x v="2"/>
    <x v="4"/>
    <s v="F:\Données chgh\2020-CHG-CZA-BPA-2\plaque 1/@02 EE2 34/E2_03.tif "/>
    <s v=" 3071.445 "/>
    <s v=" 65.4225 "/>
    <x v="0"/>
    <n v="200942"/>
    <m/>
    <m/>
  </r>
  <r>
    <x v="2"/>
    <x v="5"/>
    <s v="F:\Données chgh\2020-CHG-CZA-BPA-2\plaque 1/@02 EE2 34/F2_01.tif "/>
    <s v=" 6445.7086 "/>
    <s v=" 67.9664 "/>
    <x v="0"/>
    <n v="438092"/>
    <m/>
    <m/>
  </r>
  <r>
    <x v="2"/>
    <x v="5"/>
    <s v="F:\Données chgh\2020-CHG-CZA-BPA-2\plaque 1/@02 EE2 34/F2_02.tif "/>
    <s v=" 4542.2779 "/>
    <s v=" 65.2857 "/>
    <x v="0"/>
    <n v="296546"/>
    <m/>
    <m/>
  </r>
  <r>
    <x v="2"/>
    <x v="5"/>
    <s v="F:\Données chgh\2020-CHG-CZA-BPA-2\plaque 1/@02 EE2 34/F2_03.tif "/>
    <s v=" 3331.0038 "/>
    <s v=" 64.6104 "/>
    <x v="0"/>
    <n v="215217"/>
    <m/>
    <m/>
  </r>
  <r>
    <x v="2"/>
    <x v="6"/>
    <s v="F:\Données chgh\2020-CHG-CZA-BPA-2\plaque 1/@02 EE2 34/G2_01.tif "/>
    <s v=" 1384.3133 "/>
    <s v=" 65.125 "/>
    <x v="0"/>
    <n v="90153"/>
    <m/>
    <m/>
  </r>
  <r>
    <x v="2"/>
    <x v="6"/>
    <s v="F:\Données chgh\2020-CHG-CZA-BPA-2\plaque 1/@02 EE2 34/G2_02.tif "/>
    <s v=" 7354.1642 "/>
    <s v=" 75.6118 "/>
    <x v="0"/>
    <n v="556061"/>
    <m/>
    <m/>
  </r>
  <r>
    <x v="2"/>
    <x v="6"/>
    <s v="F:\Données chgh\2020-CHG-CZA-BPA-2\plaque 1/@02 EE2 34/G2_03.tif "/>
    <s v=" 2811.8863 "/>
    <s v=" 65.5077 "/>
    <x v="0"/>
    <n v="184200"/>
    <m/>
    <m/>
  </r>
  <r>
    <x v="2"/>
    <x v="7"/>
    <s v="F:\Données chgh\2020-CHG-CZA-BPA-2\plaque 1/@02 EE2 34/H2_01.tif "/>
    <s v=" 6121.2602 "/>
    <s v=" 66.6431 "/>
    <x v="0"/>
    <n v="407940"/>
    <m/>
    <m/>
  </r>
  <r>
    <x v="2"/>
    <x v="7"/>
    <s v="F:\Données chgh\2020-CHG-CZA-BPA-2\plaque 1/@02 EE2 34/H2_02.tif "/>
    <s v=" 3936.6408 "/>
    <s v=" 67.3736 "/>
    <x v="0"/>
    <n v="265226"/>
    <m/>
    <m/>
  </r>
  <r>
    <x v="2"/>
    <x v="7"/>
    <s v="F:\Données chgh\2020-CHG-CZA-BPA-2\plaque 1/@02 EE2 34/H2_03.tif "/>
    <s v=" 2725.3667 "/>
    <s v=" 64.9524 "/>
    <x v="0"/>
    <n v="177019"/>
    <m/>
    <m/>
  </r>
  <r>
    <x v="1"/>
    <x v="8"/>
    <s v=" "/>
    <m/>
    <m/>
    <x v="1"/>
    <m/>
    <m/>
    <m/>
  </r>
  <r>
    <x v="1"/>
    <x v="8"/>
    <s v="group "/>
    <s v=" "/>
    <s v=" mean of mean fluo "/>
    <x v="2"/>
    <s v=" mean of total fluo "/>
    <s v=" SD total fluo "/>
    <s v=" n fluorescent "/>
  </r>
  <r>
    <x v="2"/>
    <x v="9"/>
    <s v="F:\Données chgh\2020-CHG-CZA-BPA-2\plaque 1/@02 EE2 34/ "/>
    <s v=" "/>
    <s v=" 68.0406 "/>
    <x v="4"/>
    <s v=" 335862.625 "/>
    <s v=" 284045.75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BPA-2\plaque 1/@03 EE2 51/A3_01.tif "/>
    <s v=" 12480.4492 "/>
    <s v=" 72.8856 "/>
    <x v="0"/>
    <n v="909645"/>
    <m/>
    <m/>
  </r>
  <r>
    <x v="3"/>
    <x v="0"/>
    <s v="F:\Données chgh\2020-CHG-CZA-BPA-2\plaque 1/@03 EE2 51/A3_02.tif "/>
    <s v=" 7008.0859 "/>
    <s v=" 69.0494 "/>
    <x v="0"/>
    <n v="483904"/>
    <m/>
    <m/>
  </r>
  <r>
    <x v="3"/>
    <x v="0"/>
    <s v="F:\Données chgh\2020-CHG-CZA-BPA-2\plaque 1/@03 EE2 51/A3_03.tif "/>
    <s v=" 10663.5381 "/>
    <s v=" 71.7302 "/>
    <x v="0"/>
    <n v="764898"/>
    <m/>
    <m/>
  </r>
  <r>
    <x v="3"/>
    <x v="1"/>
    <s v="F:\Données chgh\2020-CHG-CZA-BPA-2\plaque 1/@03 EE2 51/B3_01.tif "/>
    <s v=" 8911.5166 "/>
    <s v=" 80.7961 "/>
    <x v="0"/>
    <n v="720016"/>
    <m/>
    <m/>
  </r>
  <r>
    <x v="3"/>
    <x v="1"/>
    <s v="F:\Données chgh\2020-CHG-CZA-BPA-2\plaque 1/@03 EE2 51/B3_02.tif "/>
    <s v=" 7938.1713 "/>
    <s v=" 75.5014 "/>
    <x v="0"/>
    <n v="599343"/>
    <m/>
    <m/>
  </r>
  <r>
    <x v="3"/>
    <x v="1"/>
    <s v="F:\Données chgh\2020-CHG-CZA-BPA-2\plaque 1/@03 EE2 51/B3_03.tif "/>
    <s v=" 5991.4808 "/>
    <s v=" 68.3502 "/>
    <x v="0"/>
    <n v="409519"/>
    <m/>
    <m/>
  </r>
  <r>
    <x v="3"/>
    <x v="2"/>
    <s v="F:\Données chgh\2020-CHG-CZA-BPA-2\plaque 1/@03 EE2 51/C3_01.tif "/>
    <s v=" 173.0392 "/>
    <s v=" 62.125 "/>
    <x v="0"/>
    <n v="10750"/>
    <m/>
    <m/>
  </r>
  <r>
    <x v="3"/>
    <x v="2"/>
    <s v="F:\Données chgh\2020-CHG-CZA-BPA-2\plaque 1/@03 EE2 51/C3_02.tif "/>
    <s v=" 194.6691 "/>
    <s v=" 65.4444 "/>
    <x v="0"/>
    <n v="12740"/>
    <m/>
    <m/>
  </r>
  <r>
    <x v="3"/>
    <x v="2"/>
    <s v="F:\Données chgh\2020-CHG-CZA-BPA-2\plaque 1/@03 EE2 51/C3_03.tif "/>
    <s v=" 173.0392 "/>
    <s v=" 64.25 "/>
    <x v="0"/>
    <n v="11118"/>
    <m/>
    <m/>
  </r>
  <r>
    <x v="3"/>
    <x v="3"/>
    <s v="F:\Données chgh\2020-CHG-CZA-BPA-2\plaque 1/@03 EE2 51/D3_01.tif "/>
    <s v=" 2703.7368 "/>
    <s v=" 63.808 "/>
    <x v="0"/>
    <n v="172520"/>
    <m/>
    <m/>
  </r>
  <r>
    <x v="3"/>
    <x v="3"/>
    <s v="F:\Données chgh\2020-CHG-CZA-BPA-2\plaque 1/@03 EE2 51/D3_02.tif "/>
    <s v=" 3222.8543 "/>
    <s v=" 63.6107 "/>
    <x v="0"/>
    <n v="205008"/>
    <m/>
    <m/>
  </r>
  <r>
    <x v="3"/>
    <x v="3"/>
    <s v="F:\Données chgh\2020-CHG-CZA-BPA-2\plaque 1/@03 EE2 51/D3_03.tif "/>
    <s v=" 1146.3844 "/>
    <s v=" 65.3396 "/>
    <x v="0"/>
    <n v="74904"/>
    <m/>
    <m/>
  </r>
  <r>
    <x v="3"/>
    <x v="4"/>
    <s v="F:\Données chgh\2020-CHG-CZA-BPA-2\plaque 1/@03 EE2 51/E3_01.tif "/>
    <s v=" 3525.6728 "/>
    <s v=" 66.1288 "/>
    <x v="0"/>
    <n v="233149"/>
    <m/>
    <m/>
  </r>
  <r>
    <x v="3"/>
    <x v="4"/>
    <s v="F:\Données chgh\2020-CHG-CZA-BPA-2\plaque 1/@03 EE2 51/E3_02.tif "/>
    <s v=" 1189.6442 "/>
    <s v=" 65.1818 "/>
    <x v="0"/>
    <n v="77543"/>
    <m/>
    <m/>
  </r>
  <r>
    <x v="3"/>
    <x v="4"/>
    <s v="F:\Données chgh\2020-CHG-CZA-BPA-2\plaque 1/@03 EE2 51/E3_03.tif "/>
    <s v=" 2206.2493 "/>
    <s v=" 65.9804 "/>
    <x v="0"/>
    <n v="145569"/>
    <m/>
    <m/>
  </r>
  <r>
    <x v="3"/>
    <x v="5"/>
    <s v="F:\Données chgh\2020-CHG-CZA-BPA-2\plaque 1/@03 EE2 51/F3_01.tif "/>
    <s v=" 8803.3671 "/>
    <s v=" 75.0246 "/>
    <x v="0"/>
    <n v="660469"/>
    <m/>
    <m/>
  </r>
  <r>
    <x v="3"/>
    <x v="5"/>
    <s v="F:\Données chgh\2020-CHG-CZA-BPA-2\plaque 1/@03 EE2 51/F3_02.tif "/>
    <s v=" 6943.1962 "/>
    <s v=" 67.4486 "/>
    <x v="0"/>
    <n v="468309"/>
    <m/>
    <m/>
  </r>
  <r>
    <x v="3"/>
    <x v="5"/>
    <s v="F:\Données chgh\2020-CHG-CZA-BPA-2\plaque 1/@03 EE2 51/F3_03.tif "/>
    <s v=" 7505.5734 "/>
    <s v=" 75.7435 "/>
    <x v="0"/>
    <n v="568499"/>
    <m/>
    <m/>
  </r>
  <r>
    <x v="3"/>
    <x v="6"/>
    <s v="F:\Données chgh\2020-CHG-CZA-BPA-2\plaque 1/@03 EE2 51/G3_01.tif "/>
    <s v=" 1557.3524 "/>
    <s v=" 64.3611 "/>
    <x v="0"/>
    <n v="100233"/>
    <m/>
    <m/>
  </r>
  <r>
    <x v="3"/>
    <x v="6"/>
    <s v="F:\Données chgh\2020-CHG-CZA-BPA-2\plaque 1/@03 EE2 51/G3_02- exclu.tif"/>
    <m/>
    <m/>
    <x v="1"/>
    <m/>
    <m/>
    <m/>
  </r>
  <r>
    <x v="3"/>
    <x v="6"/>
    <s v="F:\Données chgh\2020-CHG-CZA-BPA-2\plaque 1/@03 EE2 51/G3_03.tif "/>
    <s v=" 2227.8791 "/>
    <s v=" 65.6019 "/>
    <x v="0"/>
    <n v="146153"/>
    <m/>
    <m/>
  </r>
  <r>
    <x v="3"/>
    <x v="7"/>
    <s v="F:\Données chgh\2020-CHG-CZA-BPA-2\plaque 1/@03 EE2 51/H3_01.tif "/>
    <s v=" 4823.4665 "/>
    <s v=" 66.5874 "/>
    <x v="0"/>
    <n v="321182"/>
    <m/>
    <m/>
  </r>
  <r>
    <x v="3"/>
    <x v="7"/>
    <s v="F:\Données chgh\2020-CHG-CZA-BPA-2\plaque 1/@03 EE2 51/H3_02.tif "/>
    <s v=" 886.8257 "/>
    <s v=" 64.7317 "/>
    <x v="0"/>
    <n v="57406"/>
    <m/>
    <m/>
  </r>
  <r>
    <x v="3"/>
    <x v="7"/>
    <s v="F:\Données chgh\2020-CHG-CZA-BPA-2\plaque 1/@03 EE2 51/H3_03.tif "/>
    <s v=" 692.1566 "/>
    <s v=" 64.3125 "/>
    <x v="0"/>
    <n v="44514"/>
    <m/>
    <m/>
  </r>
  <r>
    <x v="1"/>
    <x v="8"/>
    <s v=" "/>
    <m/>
    <m/>
    <x v="1"/>
    <m/>
    <m/>
    <m/>
  </r>
  <r>
    <x v="1"/>
    <x v="8"/>
    <s v="group "/>
    <s v=" "/>
    <s v=" mean of mean fluo "/>
    <x v="2"/>
    <s v=" mean of total fluo "/>
    <s v=" SD total fluo "/>
    <s v=" n fluorescent "/>
  </r>
  <r>
    <x v="3"/>
    <x v="9"/>
    <s v="F:\Données chgh\2020-CHG-CZA-BPA-2\plaque 1/@03 EE2 51/ "/>
    <s v=" "/>
    <s v=" 67.861 "/>
    <x v="5"/>
    <s v=" 304320.917 "/>
    <s v=" 276514.86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BPA-2\plaque 1/@04 EE2 76/A4_01.tif "/>
    <s v=" 2444.1781 "/>
    <s v=" 65.823 "/>
    <x v="0"/>
    <n v="160883"/>
    <m/>
    <m/>
  </r>
  <r>
    <x v="4"/>
    <x v="0"/>
    <s v="F:\Données chgh\2020-CHG-CZA-BPA-2\plaque 1/@04 EE2 76/A4_02.tif "/>
    <s v=" 6402.4488 "/>
    <s v=" 66.8953 "/>
    <x v="0"/>
    <n v="428294"/>
    <m/>
    <m/>
  </r>
  <r>
    <x v="4"/>
    <x v="0"/>
    <s v="F:\Données chgh\2020-CHG-CZA-BPA-2\plaque 1/@04 EE2 76/A4_03.tif "/>
    <s v=" 4823.4665 "/>
    <s v=" 66.3543 "/>
    <x v="0"/>
    <n v="320058"/>
    <m/>
    <m/>
  </r>
  <r>
    <x v="4"/>
    <x v="1"/>
    <s v="F:\Données chgh\2020-CHG-CZA-BPA-2\plaque 1/@04 EE2 76/B4_01- exclu.tif"/>
    <m/>
    <m/>
    <x v="1"/>
    <m/>
    <m/>
    <m/>
  </r>
  <r>
    <x v="4"/>
    <x v="1"/>
    <s v="F:\Données chgh\2020-CHG-CZA-BPA-2\plaque 1/@04 EE2 76/B4_02.tif "/>
    <s v=" 3871.7511 "/>
    <s v=" 65.676 "/>
    <x v="0"/>
    <n v="254281"/>
    <m/>
    <m/>
  </r>
  <r>
    <x v="4"/>
    <x v="1"/>
    <s v="F:\Données chgh\2020-CHG-CZA-BPA-2\plaque 1/@04 EE2 76/B4_03.tif "/>
    <s v=" 3785.2316 "/>
    <s v=" 64.4171 "/>
    <x v="0"/>
    <n v="243834"/>
    <m/>
    <m/>
  </r>
  <r>
    <x v="4"/>
    <x v="2"/>
    <s v="F:\Données chgh\2020-CHG-CZA-BPA-2\plaque 1/@04 EE2 76/C4_01.tif "/>
    <s v=" 6164.52 "/>
    <s v=" 66.8386 "/>
    <x v="0"/>
    <n v="412028"/>
    <m/>
    <m/>
  </r>
  <r>
    <x v="4"/>
    <x v="2"/>
    <s v="F:\Données chgh\2020-CHG-CZA-BPA-2\plaque 1/@04 EE2 76/C4_02.tif "/>
    <s v=" 3266.1141 "/>
    <s v=" 63.9205 "/>
    <x v="0"/>
    <n v="208772"/>
    <m/>
    <m/>
  </r>
  <r>
    <x v="4"/>
    <x v="2"/>
    <s v="F:\Données chgh\2020-CHG-CZA-BPA-2\plaque 1/@04 EE2 76/C4_03.tif "/>
    <s v=" 2098.0998 "/>
    <s v=" 62.7113 "/>
    <x v="0"/>
    <n v="131575"/>
    <m/>
    <m/>
  </r>
  <r>
    <x v="4"/>
    <x v="3"/>
    <s v="F:\Données chgh\2020-CHG-CZA-BPA-2\plaque 1/@04 EE2 76/D4_01- exclu.tif"/>
    <m/>
    <m/>
    <x v="1"/>
    <m/>
    <m/>
    <m/>
  </r>
  <r>
    <x v="4"/>
    <x v="3"/>
    <s v="F:\Données chgh\2020-CHG-CZA-BPA-2\plaque 1/@04 EE2 76/D4_02.tif "/>
    <s v=" 10663.5381 "/>
    <s v=" 71.2535 "/>
    <x v="0"/>
    <n v="759815"/>
    <m/>
    <m/>
  </r>
  <r>
    <x v="4"/>
    <x v="3"/>
    <s v="F:\Données chgh\2020-CHG-CZA-BPA-2\plaque 1/@04 EE2 76/D4_03.tif "/>
    <s v=" 8176.1002 "/>
    <s v=" 67.9365 "/>
    <x v="0"/>
    <n v="555456"/>
    <m/>
    <m/>
  </r>
  <r>
    <x v="4"/>
    <x v="4"/>
    <s v="F:\Données chgh\2020-CHG-CZA-BPA-2\plaque 1/@04 EE2 76/E4_01.tif "/>
    <s v=" 9884.8618 "/>
    <s v=" 67.07 "/>
    <x v="0"/>
    <n v="662978"/>
    <m/>
    <m/>
  </r>
  <r>
    <x v="4"/>
    <x v="4"/>
    <s v="F:\Données chgh\2020-CHG-CZA-BPA-2\plaque 1/@04 EE2 76/E4_02.tif "/>
    <s v=" 6034.7406 "/>
    <s v=" 65.8853 "/>
    <x v="0"/>
    <n v="397601"/>
    <m/>
    <m/>
  </r>
  <r>
    <x v="4"/>
    <x v="4"/>
    <s v="F:\Données chgh\2020-CHG-CZA-BPA-2\plaque 1/@04 EE2 76/E4_03.tif "/>
    <s v=" 2984.9255 "/>
    <s v=" 63.6232 "/>
    <x v="0"/>
    <n v="189910"/>
    <m/>
    <m/>
  </r>
  <r>
    <x v="4"/>
    <x v="5"/>
    <s v="F:\Données chgh\2020-CHG-CZA-BPA-2\plaque 1/@04 EE2 76/F4_01.tif "/>
    <s v=" 6078.0004 "/>
    <s v=" 64.5053 "/>
    <x v="0"/>
    <n v="392063"/>
    <m/>
    <m/>
  </r>
  <r>
    <x v="4"/>
    <x v="5"/>
    <s v="F:\Données chgh\2020-CHG-CZA-BPA-2\plaque 1/@04 EE2 76/F4_02.tif "/>
    <s v=" 4001.5305 "/>
    <s v=" 63.4162 "/>
    <x v="0"/>
    <n v="253762"/>
    <m/>
    <m/>
  </r>
  <r>
    <x v="4"/>
    <x v="5"/>
    <s v="F:\Données chgh\2020-CHG-CZA-BPA-2\plaque 1/@04 EE2 76/F4_03.tif "/>
    <s v=" 4953.2459 "/>
    <s v=" 64.2926 "/>
    <x v="0"/>
    <n v="318457"/>
    <m/>
    <m/>
  </r>
  <r>
    <x v="4"/>
    <x v="6"/>
    <s v="F:\Données chgh\2020-CHG-CZA-BPA-2\plaque 1/@04 EE2 76/G4_01.tif "/>
    <s v=" 8219.36 "/>
    <s v=" 71.7421 "/>
    <x v="0"/>
    <n v="589674"/>
    <m/>
    <m/>
  </r>
  <r>
    <x v="4"/>
    <x v="6"/>
    <s v="F:\Données chgh\2020-CHG-CZA-BPA-2\plaque 1/@04 EE2 76/G4_02.tif "/>
    <s v=" 5147.9149 "/>
    <s v=" 68.8992 "/>
    <x v="0"/>
    <n v="354687"/>
    <m/>
    <m/>
  </r>
  <r>
    <x v="4"/>
    <x v="6"/>
    <s v="F:\Données chgh\2020-CHG-CZA-BPA-2\plaque 1/@04 EE2 76/G4_03.tif "/>
    <s v=" 5212.8046 "/>
    <s v=" 72.5062 "/>
    <x v="0"/>
    <n v="377961"/>
    <m/>
    <m/>
  </r>
  <r>
    <x v="4"/>
    <x v="7"/>
    <s v="F:\Données chgh\2020-CHG-CZA-BPA-2\plaque 1/@04 EE2 76/H4_01.tif "/>
    <s v=" 2227.8791 "/>
    <s v=" 65.7379 "/>
    <x v="0"/>
    <n v="146456"/>
    <m/>
    <m/>
  </r>
  <r>
    <x v="4"/>
    <x v="7"/>
    <s v="F:\Données chgh\2020-CHG-CZA-BPA-2\plaque 1/@04 EE2 76/H4_02.tif "/>
    <s v=" 497.4876 "/>
    <s v=" 62.1304 "/>
    <x v="0"/>
    <n v="30909"/>
    <m/>
    <m/>
  </r>
  <r>
    <x v="4"/>
    <x v="7"/>
    <s v="F:\Données chgh\2020-CHG-CZA-BPA-2\plaque 1/@04 EE2 76/H4_03.tif "/>
    <s v=" 605.637 "/>
    <s v=" 64.4643 "/>
    <x v="0"/>
    <n v="39042"/>
    <m/>
    <m/>
  </r>
  <r>
    <x v="1"/>
    <x v="8"/>
    <s v=" "/>
    <m/>
    <m/>
    <x v="1"/>
    <m/>
    <m/>
    <m/>
  </r>
  <r>
    <x v="1"/>
    <x v="8"/>
    <s v="group "/>
    <s v=" "/>
    <s v=" mean of mean fluo "/>
    <x v="2"/>
    <s v=" mean of total fluo "/>
    <s v=" SD total fluo "/>
    <s v=" n fluorescent "/>
  </r>
  <r>
    <x v="4"/>
    <x v="9"/>
    <s v="F:\Données chgh\2020-CHG-CZA-BPA-2\plaque 1/@04 EE2 76/ "/>
    <s v=" "/>
    <s v=" 67.4448 "/>
    <x v="6"/>
    <s v=" 347732.167 "/>
    <s v=" 241635.70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BPA-2\plaque 1/@05 EE2 114/A5_01.tif "/>
    <s v=" 35689.3261 "/>
    <s v=" 69.4727 "/>
    <x v="0"/>
    <n v="2479435"/>
    <m/>
    <m/>
  </r>
  <r>
    <x v="5"/>
    <x v="0"/>
    <s v="F:\Données chgh\2020-CHG-CZA-BPA-2\plaque 1/@05 EE2 114/A5_02.tif "/>
    <s v=" 29524.8062 "/>
    <s v=" 67.9883 "/>
    <x v="0"/>
    <n v="2007341"/>
    <m/>
    <m/>
  </r>
  <r>
    <x v="5"/>
    <x v="0"/>
    <s v="F:\Données chgh\2020-CHG-CZA-BPA-2\plaque 1/@05 EE2 114/A5_03.tif "/>
    <s v=" 20072.5422 "/>
    <s v=" 65.5172 "/>
    <x v="0"/>
    <n v="1315098"/>
    <m/>
    <m/>
  </r>
  <r>
    <x v="5"/>
    <x v="1"/>
    <s v="F:\Données chgh\2020-CHG-CZA-BPA-2\plaque 1/@05 EE2 114/B5_01.tif "/>
    <s v=" 12631.8585 "/>
    <s v=" 65.0873 "/>
    <x v="0"/>
    <n v="822174"/>
    <m/>
    <m/>
  </r>
  <r>
    <x v="5"/>
    <x v="1"/>
    <s v="F:\Données chgh\2020-CHG-CZA-BPA-2\plaque 1/@05 EE2 114/B5_02- exclu.tif"/>
    <m/>
    <m/>
    <x v="1"/>
    <m/>
    <m/>
    <m/>
  </r>
  <r>
    <x v="5"/>
    <x v="1"/>
    <s v="F:\Données chgh\2020-CHG-CZA-BPA-2\plaque 1/@05 EE2 114/B5_03.tif "/>
    <s v=" 21651.5245 "/>
    <s v=" 68.8222 "/>
    <x v="0"/>
    <n v="1490105"/>
    <m/>
    <m/>
  </r>
  <r>
    <x v="5"/>
    <x v="2"/>
    <s v="F:\Données chgh\2020-CHG-CZA-BPA-2\plaque 1/@05 EE2 114/C5_01.tif "/>
    <s v=" 41810.5863 "/>
    <s v=" 70.492 "/>
    <x v="0"/>
    <n v="2947311"/>
    <m/>
    <m/>
  </r>
  <r>
    <x v="5"/>
    <x v="2"/>
    <s v="F:\Données chgh\2020-CHG-CZA-BPA-2\plaque 1/@05 EE2 114/C5_02- exclu.tif"/>
    <m/>
    <m/>
    <x v="1"/>
    <m/>
    <m/>
    <m/>
  </r>
  <r>
    <x v="5"/>
    <x v="2"/>
    <s v="F:\Données chgh\2020-CHG-CZA-BPA-2\plaque 1/@05 EE2 114/C5_03- exclu.tif"/>
    <m/>
    <m/>
    <x v="1"/>
    <m/>
    <m/>
    <m/>
  </r>
  <r>
    <x v="5"/>
    <x v="3"/>
    <s v="F:\Données chgh\2020-CHG-CZA-BPA-2\plaque 1/@05 EE2 114/D5_01.tif "/>
    <s v=" 12718.378 "/>
    <s v=" 65.5578 "/>
    <x v="0"/>
    <n v="833789"/>
    <m/>
    <m/>
  </r>
  <r>
    <x v="5"/>
    <x v="3"/>
    <s v="F:\Données chgh\2020-CHG-CZA-BPA-2\plaque 1/@05 EE2 114/D5_02.tif "/>
    <s v=" 14037.8016 "/>
    <s v=" 65.3513 "/>
    <x v="0"/>
    <n v="917389"/>
    <m/>
    <m/>
  </r>
  <r>
    <x v="5"/>
    <x v="3"/>
    <s v="F:\Données chgh\2020-CHG-CZA-BPA-2\plaque 1/@05 EE2 114/D5_03.tif "/>
    <s v=" 12177.6307 "/>
    <s v=" 63.7851 "/>
    <x v="0"/>
    <n v="776751"/>
    <m/>
    <m/>
  </r>
  <r>
    <x v="5"/>
    <x v="4"/>
    <s v="F:\Données chgh\2020-CHG-CZA-BPA-2\plaque 1/@05 EE2 114/E5_01.tif "/>
    <s v=" 6618.7478 "/>
    <s v=" 69.0686 "/>
    <x v="0"/>
    <n v="457148"/>
    <m/>
    <m/>
  </r>
  <r>
    <x v="5"/>
    <x v="4"/>
    <s v="F:\Données chgh\2020-CHG-CZA-BPA-2\plaque 1/@05 EE2 114/E5_02.tif "/>
    <s v=" 1838.541 "/>
    <s v=" 63.1176 "/>
    <x v="0"/>
    <n v="116044"/>
    <m/>
    <m/>
  </r>
  <r>
    <x v="5"/>
    <x v="4"/>
    <s v="F:\Données chgh\2020-CHG-CZA-BPA-2\plaque 1/@05 EE2 114/E5_03- exclu.tif"/>
    <m/>
    <m/>
    <x v="1"/>
    <m/>
    <m/>
    <m/>
  </r>
  <r>
    <x v="5"/>
    <x v="5"/>
    <s v="F:\Données chgh\2020-CHG-CZA-BPA-2\plaque 1/@05 EE2 114/F5_01.tif "/>
    <s v=" 19986.0226 "/>
    <s v=" 69.4069 "/>
    <x v="0"/>
    <n v="1387168"/>
    <m/>
    <m/>
  </r>
  <r>
    <x v="5"/>
    <x v="5"/>
    <s v="F:\Données chgh\2020-CHG-CZA-BPA-2\plaque 1/@05 EE2 114/F5_02.tif "/>
    <s v=" 16244.0509 "/>
    <s v=" 75.1238 "/>
    <x v="0"/>
    <n v="1220315"/>
    <m/>
    <m/>
  </r>
  <r>
    <x v="5"/>
    <x v="5"/>
    <s v="F:\Données chgh\2020-CHG-CZA-BPA-2\plaque 1/@05 EE2 114/F5_03.tif "/>
    <s v=" 20570.0298 "/>
    <s v=" 70.4921 "/>
    <x v="0"/>
    <n v="1450025"/>
    <m/>
    <m/>
  </r>
  <r>
    <x v="5"/>
    <x v="6"/>
    <s v="F:\Données chgh\2020-CHG-CZA-BPA-2\plaque 1/@05 EE2 114/G5_01.tif "/>
    <s v=" 5234.4345 "/>
    <s v=" 63.9752 "/>
    <x v="0"/>
    <n v="334874"/>
    <m/>
    <m/>
  </r>
  <r>
    <x v="5"/>
    <x v="6"/>
    <s v="F:\Données chgh\2020-CHG-CZA-BPA-2\plaque 1/@05 EE2 114/G5_02- exclu.tif"/>
    <m/>
    <m/>
    <x v="1"/>
    <m/>
    <m/>
    <m/>
  </r>
  <r>
    <x v="5"/>
    <x v="6"/>
    <s v="F:\Données chgh\2020-CHG-CZA-BPA-2\plaque 1/@05 EE2 114/G5_03.tif "/>
    <s v=" 1514.0926 "/>
    <s v=" 62.8857 "/>
    <x v="0"/>
    <n v="95215"/>
    <m/>
    <m/>
  </r>
  <r>
    <x v="5"/>
    <x v="7"/>
    <s v="F:\Données chgh\2020-CHG-CZA-BPA-2\plaque 1/@05 EE2 114/H5_01.tif "/>
    <s v=" 29589.6959 "/>
    <s v=" 67.3706 "/>
    <x v="0"/>
    <n v="1993476"/>
    <m/>
    <m/>
  </r>
  <r>
    <x v="5"/>
    <x v="7"/>
    <s v="F:\Données chgh\2020-CHG-CZA-BPA-2\plaque 1/@05 EE2 114/H5_02.tif "/>
    <s v=" 27729.5249 "/>
    <s v=" 67.9462 "/>
    <x v="0"/>
    <n v="1884115"/>
    <m/>
    <m/>
  </r>
  <r>
    <x v="5"/>
    <x v="7"/>
    <s v="F:\Données chgh\2020-CHG-CZA-BPA-2\plaque 1/@05 EE2 114/H5_03- exclu.tif"/>
    <m/>
    <m/>
    <x v="1"/>
    <m/>
    <m/>
    <m/>
  </r>
  <r>
    <x v="1"/>
    <x v="8"/>
    <s v=" "/>
    <m/>
    <m/>
    <x v="1"/>
    <m/>
    <m/>
    <m/>
  </r>
  <r>
    <x v="1"/>
    <x v="8"/>
    <s v="group "/>
    <s v=" "/>
    <s v=" mean of mean fluo "/>
    <x v="2"/>
    <s v=" mean of total fluo "/>
    <s v=" SD total fluo "/>
    <s v=" n fluorescent "/>
  </r>
  <r>
    <x v="5"/>
    <x v="9"/>
    <s v="F:\Données chgh\2020-CHG-CZA-BPA-2\plaque 1/@05 EE2 114/ "/>
    <s v=" "/>
    <s v=" 67.1142 "/>
    <x v="7"/>
    <s v=" 1169509.42 "/>
    <s v=" 775908.7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BPA-2\plaque 1/@06 EE2 171/A6_01.tif "/>
    <s v=" 43995.2057 "/>
    <s v=" 70.5339 "/>
    <x v="0"/>
    <n v="3103154"/>
    <m/>
    <m/>
  </r>
  <r>
    <x v="6"/>
    <x v="0"/>
    <s v="F:\Données chgh\2020-CHG-CZA-BPA-2\plaque 1/@06 EE2 171/A6_02.tif "/>
    <s v=" 52733.6831 "/>
    <s v=" 70.3765 "/>
    <x v="0"/>
    <n v="3711214"/>
    <m/>
    <m/>
  </r>
  <r>
    <x v="6"/>
    <x v="0"/>
    <s v="F:\Données chgh\2020-CHG-CZA-BPA-2\plaque 1/@06 EE2 171/A6_03.tif "/>
    <s v=" 36943.86 "/>
    <s v=" 68.8308 "/>
    <x v="0"/>
    <n v="2542875"/>
    <m/>
    <m/>
  </r>
  <r>
    <x v="6"/>
    <x v="1"/>
    <s v="F:\Données chgh\2020-CHG-CZA-BPA-2\plaque 1/@06 EE2 171/B6_01.tif "/>
    <s v=" 43476.0882 "/>
    <s v=" 79.5269 "/>
    <x v="0"/>
    <n v="3457517"/>
    <m/>
    <m/>
  </r>
  <r>
    <x v="6"/>
    <x v="1"/>
    <s v="F:\Données chgh\2020-CHG-CZA-BPA-2\plaque 1/@06 EE2 171/B6_02.tif "/>
    <s v=" 42459.4832 "/>
    <s v=" 72.3938 "/>
    <x v="0"/>
    <n v="3073803"/>
    <m/>
    <m/>
  </r>
  <r>
    <x v="6"/>
    <x v="1"/>
    <s v="F:\Données chgh\2020-CHG-CZA-BPA-2\plaque 1/@06 EE2 171/B6_03.tif "/>
    <s v=" 47629.028 "/>
    <s v=" 76.4914 "/>
    <x v="0"/>
    <n v="3643210"/>
    <m/>
    <m/>
  </r>
  <r>
    <x v="6"/>
    <x v="2"/>
    <s v="F:\Données chgh\2020-CHG-CZA-BPA-2\plaque 1/@06 EE2 171/C6_01.tif "/>
    <s v=" 33115.3687 "/>
    <s v=" 67.885 "/>
    <x v="0"/>
    <n v="2248038"/>
    <m/>
    <m/>
  </r>
  <r>
    <x v="6"/>
    <x v="2"/>
    <s v="F:\Données chgh\2020-CHG-CZA-BPA-2\plaque 1/@06 EE2 171/C6_02.tif "/>
    <s v=" 31276.8276 "/>
    <s v=" 66.9239 "/>
    <x v="0"/>
    <n v="2093168"/>
    <m/>
    <m/>
  </r>
  <r>
    <x v="6"/>
    <x v="2"/>
    <s v="F:\Données chgh\2020-CHG-CZA-BPA-2\plaque 1/@06 EE2 171/C6_03.tif "/>
    <s v=" 34737.6108 "/>
    <s v=" 68.6768 "/>
    <x v="0"/>
    <n v="2385669"/>
    <m/>
    <m/>
  </r>
  <r>
    <x v="6"/>
    <x v="3"/>
    <s v="F:\Données chgh\2020-CHG-CZA-BPA-2\plaque 1/@06 EE2 171/D6_01.tif "/>
    <s v=" 45228.1097 "/>
    <s v=" 76.1865 "/>
    <x v="0"/>
    <n v="3445772"/>
    <m/>
    <m/>
  </r>
  <r>
    <x v="6"/>
    <x v="3"/>
    <s v="F:\Données chgh\2020-CHG-CZA-BPA-2\plaque 1/@06 EE2 171/D6_02.tif "/>
    <s v=" 41637.5472 "/>
    <s v=" 79.9491 "/>
    <x v="0"/>
    <n v="3328884"/>
    <m/>
    <m/>
  </r>
  <r>
    <x v="6"/>
    <x v="3"/>
    <s v="F:\Données chgh\2020-CHG-CZA-BPA-2\plaque 1/@06 EE2 171/D6_03- exclu.tif"/>
    <m/>
    <m/>
    <x v="1"/>
    <m/>
    <m/>
    <m/>
  </r>
  <r>
    <x v="6"/>
    <x v="4"/>
    <s v="F:\Données chgh\2020-CHG-CZA-BPA-2\plaque 1/@06 EE2 171/E6_01- exclu.tif"/>
    <m/>
    <m/>
    <x v="1"/>
    <m/>
    <m/>
    <m/>
  </r>
  <r>
    <x v="6"/>
    <x v="4"/>
    <s v="F:\Données chgh\2020-CHG-CZA-BPA-2\plaque 1/@06 EE2 171/E6_02.tif "/>
    <s v=" 46374.4941 "/>
    <s v=" 68.3223 "/>
    <x v="0"/>
    <n v="3168412"/>
    <m/>
    <m/>
  </r>
  <r>
    <x v="6"/>
    <x v="4"/>
    <s v="F:\Données chgh\2020-CHG-CZA-BPA-2\plaque 1/@06 EE2 171/E6_03.tif "/>
    <s v=" 42740.6718 "/>
    <s v=" 68.961 "/>
    <x v="0"/>
    <n v="2947441"/>
    <m/>
    <m/>
  </r>
  <r>
    <x v="6"/>
    <x v="5"/>
    <s v="F:\Données chgh\2020-CHG-CZA-BPA-2\plaque 1/@06 EE2 171/F6_01.tif "/>
    <s v=" 74147.2788 "/>
    <s v=" 90.7106 "/>
    <x v="0"/>
    <n v="6725946"/>
    <m/>
    <m/>
  </r>
  <r>
    <x v="6"/>
    <x v="5"/>
    <s v="F:\Données chgh\2020-CHG-CZA-BPA-2\plaque 1/@06 EE2 171/F6_02.tif "/>
    <s v=" 71421.9121 "/>
    <s v=" 92.8159 "/>
    <x v="0"/>
    <n v="6629087"/>
    <m/>
    <m/>
  </r>
  <r>
    <x v="6"/>
    <x v="5"/>
    <s v="F:\Données chgh\2020-CHG-CZA-BPA-2\plaque 1/@06 EE2 171/F6_03.tif "/>
    <s v=" 69842.9298 "/>
    <s v=" 89.3605 "/>
    <x v="0"/>
    <n v="6241198"/>
    <m/>
    <m/>
  </r>
  <r>
    <x v="6"/>
    <x v="6"/>
    <s v="F:\Données chgh\2020-CHG-CZA-BPA-2\plaque 1/@06 EE2 171/G6_01.tif "/>
    <s v=" 43411.1985 "/>
    <s v=" 71.2795 "/>
    <x v="0"/>
    <n v="3094329"/>
    <m/>
    <m/>
  </r>
  <r>
    <x v="6"/>
    <x v="6"/>
    <s v="F:\Données chgh\2020-CHG-CZA-BPA-2\plaque 1/@06 EE2 171/G6_02.tif "/>
    <s v=" 57730.1888 "/>
    <s v=" 75.1461 "/>
    <x v="0"/>
    <n v="4338200"/>
    <m/>
    <m/>
  </r>
  <r>
    <x v="6"/>
    <x v="6"/>
    <s v="F:\Données chgh\2020-CHG-CZA-BPA-2\plaque 1/@06 EE2 171/G6_03.tif "/>
    <s v=" 52279.4553 "/>
    <s v=" 73.8676 "/>
    <x v="0"/>
    <n v="3861758"/>
    <m/>
    <m/>
  </r>
  <r>
    <x v="6"/>
    <x v="7"/>
    <s v="F:\Données chgh\2020-CHG-CZA-BPA-2\plaque 1/@06 EE2 171/H6_01.tif "/>
    <s v=" 34607.8314 "/>
    <s v=" 71.85 "/>
    <x v="0"/>
    <n v="2486573"/>
    <m/>
    <m/>
  </r>
  <r>
    <x v="6"/>
    <x v="7"/>
    <s v="F:\Données chgh\2020-CHG-CZA-BPA-2\plaque 1/@06 EE2 171/H6_02.tif "/>
    <s v=" 33266.7779 "/>
    <s v=" 71.2484 "/>
    <x v="0"/>
    <n v="2370204"/>
    <m/>
    <m/>
  </r>
  <r>
    <x v="6"/>
    <x v="7"/>
    <s v="F:\Données chgh\2020-CHG-CZA-BPA-2\plaque 1/@06 EE2 171/H6_03.tif "/>
    <s v=" 40685.8318 "/>
    <s v=" 71.5019 "/>
    <x v="0"/>
    <n v="2909113"/>
    <m/>
    <m/>
  </r>
  <r>
    <x v="1"/>
    <x v="8"/>
    <s v=" "/>
    <m/>
    <m/>
    <x v="1"/>
    <m/>
    <m/>
    <m/>
  </r>
  <r>
    <x v="1"/>
    <x v="8"/>
    <s v="group "/>
    <s v=" "/>
    <s v=" mean of mean fluo "/>
    <x v="2"/>
    <s v=" mean of total fluo "/>
    <s v=" SD total fluo "/>
    <s v=" n fluorescent "/>
  </r>
  <r>
    <x v="6"/>
    <x v="9"/>
    <s v="F:\Données chgh\2020-CHG-CZA-BPA-2\plaque 1/@06 EE2 171/ "/>
    <s v=" "/>
    <s v=" 74.4393 "/>
    <x v="8"/>
    <s v=" 3456577.04 "/>
    <s v=" 1312357.2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BPA-2\plaque 1/@07 EE2 488/A7_01.tif "/>
    <s v=" 74125.6489 "/>
    <s v=" 82.7628 "/>
    <x v="0"/>
    <n v="6134844"/>
    <m/>
    <m/>
  </r>
  <r>
    <x v="7"/>
    <x v="0"/>
    <s v="F:\Données chgh\2020-CHG-CZA-BPA-2\plaque 1/@07 EE2 488/A7_02.tif "/>
    <s v=" 70470.1967 "/>
    <s v=" 83.1949 "/>
    <x v="0"/>
    <n v="5862761"/>
    <m/>
    <m/>
  </r>
  <r>
    <x v="7"/>
    <x v="0"/>
    <s v="F:\Données chgh\2020-CHG-CZA-BPA-2\plaque 1/@07 EE2 488/A7_03.tif "/>
    <s v=" 69907.8194 "/>
    <s v=" 83.9709 "/>
    <x v="0"/>
    <n v="5870224"/>
    <m/>
    <m/>
  </r>
  <r>
    <x v="7"/>
    <x v="1"/>
    <s v="F:\Données chgh\2020-CHG-CZA-BPA-2\plaque 1/@07 EE2 488/B7_01.tif "/>
    <s v=" 51738.708 "/>
    <s v=" 76.9904 "/>
    <x v="0"/>
    <n v="3983383"/>
    <m/>
    <m/>
  </r>
  <r>
    <x v="7"/>
    <x v="1"/>
    <s v="F:\Données chgh\2020-CHG-CZA-BPA-2\plaque 1/@07 EE2 488/B7_02- exclu.tif"/>
    <m/>
    <m/>
    <x v="1"/>
    <m/>
    <m/>
    <m/>
  </r>
  <r>
    <x v="7"/>
    <x v="1"/>
    <s v="F:\Données chgh\2020-CHG-CZA-BPA-2\plaque 1/@07 EE2 488/B7_03.tif "/>
    <s v=" 54334.2953 "/>
    <s v=" 77.918 "/>
    <x v="0"/>
    <n v="4233619"/>
    <m/>
    <m/>
  </r>
  <r>
    <x v="7"/>
    <x v="2"/>
    <s v="F:\Données chgh\2020-CHG-CZA-BPA-2\plaque 1/@07 EE2 488/C7_01.tif "/>
    <s v=" 65322.2818 "/>
    <s v=" 95.1669 "/>
    <x v="0"/>
    <n v="6216518"/>
    <m/>
    <m/>
  </r>
  <r>
    <x v="7"/>
    <x v="2"/>
    <s v="F:\Données chgh\2020-CHG-CZA-BPA-2\plaque 1/@07 EE2 488/C7_02.tif "/>
    <s v=" 55891.6477 "/>
    <s v=" 96.1641 "/>
    <x v="0"/>
    <n v="5374769"/>
    <m/>
    <m/>
  </r>
  <r>
    <x v="7"/>
    <x v="2"/>
    <s v="F:\Données chgh\2020-CHG-CZA-BPA-2\plaque 1/@07 EE2 488/C7_03.tif "/>
    <s v=" 59633.6195 "/>
    <s v=" 94.992 "/>
    <x v="0"/>
    <n v="5664718"/>
    <m/>
    <m/>
  </r>
  <r>
    <x v="7"/>
    <x v="3"/>
    <s v="F:\Données chgh\2020-CHG-CZA-BPA-2\plaque 1/@07 EE2 488/D7_01.tif "/>
    <s v=" 54117.9964 "/>
    <s v=" 88.1079 "/>
    <x v="0"/>
    <n v="4768224"/>
    <m/>
    <m/>
  </r>
  <r>
    <x v="7"/>
    <x v="3"/>
    <s v="F:\Données chgh\2020-CHG-CZA-BPA-2\plaque 1/@07 EE2 488/D7_02.tif "/>
    <s v=" 56302.6157 "/>
    <s v=" 86.0734 "/>
    <x v="0"/>
    <n v="4846156"/>
    <m/>
    <m/>
  </r>
  <r>
    <x v="7"/>
    <x v="3"/>
    <s v="F:\Données chgh\2020-CHG-CZA-BPA-2\plaque 1/@07 EE2 488/D7_03.tif "/>
    <s v=" 67333.862 "/>
    <s v=" 83.8269 "/>
    <x v="0"/>
    <n v="5644386"/>
    <m/>
    <m/>
  </r>
  <r>
    <x v="7"/>
    <x v="4"/>
    <s v="F:\Données chgh\2020-CHG-CZA-BPA-2\plaque 1/@07 EE2 488/E7_01.tif "/>
    <s v=" 60433.9256 "/>
    <s v=" 90.2455 "/>
    <x v="0"/>
    <n v="5453891"/>
    <m/>
    <m/>
  </r>
  <r>
    <x v="7"/>
    <x v="4"/>
    <s v="F:\Données chgh\2020-CHG-CZA-BPA-2\plaque 1/@07 EE2 488/E7_02.tif "/>
    <s v=" 68631.6557 "/>
    <s v=" 88.4223 "/>
    <x v="0"/>
    <n v="6068570"/>
    <m/>
    <m/>
  </r>
  <r>
    <x v="7"/>
    <x v="4"/>
    <s v="F:\Données chgh\2020-CHG-CZA-BPA-2\plaque 1/@07 EE2 488/E7_03- exclu.tif"/>
    <m/>
    <m/>
    <x v="1"/>
    <m/>
    <m/>
    <m/>
  </r>
  <r>
    <x v="7"/>
    <x v="5"/>
    <s v="F:\Données chgh\2020-CHG-CZA-BPA-2\plaque 1/@07 EE2 488/F7_01.tif "/>
    <s v=" 58768.4237 "/>
    <s v=" 78.8215 "/>
    <x v="0"/>
    <n v="4632215"/>
    <m/>
    <m/>
  </r>
  <r>
    <x v="7"/>
    <x v="5"/>
    <s v="F:\Données chgh\2020-CHG-CZA-BPA-2\plaque 1/@07 EE2 488/F7_02.tif "/>
    <s v=" 51544.0389 "/>
    <s v=" 77.6832 "/>
    <x v="0"/>
    <n v="4004104"/>
    <m/>
    <m/>
  </r>
  <r>
    <x v="7"/>
    <x v="5"/>
    <s v="F:\Données chgh\2020-CHG-CZA-BPA-2\plaque 1/@07 EE2 488/F7_03.tif "/>
    <s v=" 53079.7614 "/>
    <s v=" 78.8598 "/>
    <x v="0"/>
    <n v="4185860"/>
    <m/>
    <m/>
  </r>
  <r>
    <x v="7"/>
    <x v="6"/>
    <s v="F:\Données chgh\2020-CHG-CZA-BPA-2\plaque 1/@07 EE2 488/G7_01- exclu.tif"/>
    <m/>
    <m/>
    <x v="1"/>
    <m/>
    <m/>
    <m/>
  </r>
  <r>
    <x v="7"/>
    <x v="6"/>
    <s v="F:\Données chgh\2020-CHG-CZA-BPA-2\plaque 1/@07 EE2 488/G7_02- exclu.tif"/>
    <m/>
    <m/>
    <x v="1"/>
    <m/>
    <m/>
    <m/>
  </r>
  <r>
    <x v="7"/>
    <x v="6"/>
    <s v="F:\Données chgh\2020-CHG-CZA-BPA-2\plaque 1/@07 EE2 488/G7_03.tif "/>
    <s v=" 85935.5714 "/>
    <s v=" 87.2419 "/>
    <x v="0"/>
    <n v="7497181"/>
    <m/>
    <m/>
  </r>
  <r>
    <x v="7"/>
    <x v="7"/>
    <s v="F:\Données chgh\2020-CHG-CZA-BPA-2\plaque 1/@07 EE2 488/H7_01.tif "/>
    <s v=" 46569.1631 "/>
    <s v=" 84.6972 "/>
    <x v="0"/>
    <n v="3944276"/>
    <m/>
    <m/>
  </r>
  <r>
    <x v="7"/>
    <x v="7"/>
    <s v="F:\Données chgh\2020-CHG-CZA-BPA-2\plaque 1/@07 EE2 488/H7_02.tif "/>
    <s v=" 50332.7648 "/>
    <s v=" 76.5355 "/>
    <x v="0"/>
    <n v="3852241"/>
    <m/>
    <m/>
  </r>
  <r>
    <x v="7"/>
    <x v="7"/>
    <s v="F:\Données chgh\2020-CHG-CZA-BPA-2\plaque 1/@07 EE2 488/H7_03.tif "/>
    <s v=" 41226.5792 "/>
    <s v=" 76.6049 "/>
    <x v="0"/>
    <n v="3158159"/>
    <m/>
    <m/>
  </r>
  <r>
    <x v="1"/>
    <x v="8"/>
    <s v=" "/>
    <m/>
    <m/>
    <x v="1"/>
    <m/>
    <m/>
    <m/>
  </r>
  <r>
    <x v="1"/>
    <x v="8"/>
    <s v="group "/>
    <s v=" "/>
    <s v=" mean of mean fluo "/>
    <x v="2"/>
    <s v=" mean of total fluo "/>
    <s v=" SD total fluo "/>
    <s v=" n fluorescent "/>
  </r>
  <r>
    <x v="7"/>
    <x v="9"/>
    <s v="F:\Données chgh\2020-CHG-CZA-BPA-2\plaque 1/@07 EE2 488/ "/>
    <s v=" "/>
    <s v=" 82.7103 "/>
    <x v="9"/>
    <s v=" 4667386.88 "/>
    <s v=" 1450361.2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BPA-2\plaque 1/@08 BPA 1/A8_01.tif "/>
    <s v=" 4672.0572 "/>
    <s v=" 71.4815 "/>
    <x v="0"/>
    <n v="333966"/>
    <m/>
    <m/>
  </r>
  <r>
    <x v="8"/>
    <x v="0"/>
    <s v="F:\Données chgh\2020-CHG-CZA-BPA-2\plaque 1/@08 BPA 1/A8_02.tif "/>
    <s v=" 1600.6122 "/>
    <s v=" 64.1486 "/>
    <x v="0"/>
    <n v="102677"/>
    <m/>
    <m/>
  </r>
  <r>
    <x v="8"/>
    <x v="0"/>
    <s v="F:\Données chgh\2020-CHG-CZA-BPA-2\plaque 1/@08 BPA 1/A8_03.tif "/>
    <s v=" 3374.2636 "/>
    <s v=" 65.3462 "/>
    <x v="0"/>
    <n v="220495"/>
    <m/>
    <m/>
  </r>
  <r>
    <x v="8"/>
    <x v="1"/>
    <s v="F:\Données chgh\2020-CHG-CZA-BPA-2\plaque 1/@08 BPA 1/B8_01.tif "/>
    <s v=" 8024.6909 "/>
    <s v=" 69.5606 "/>
    <x v="0"/>
    <n v="558203"/>
    <m/>
    <m/>
  </r>
  <r>
    <x v="8"/>
    <x v="1"/>
    <s v="F:\Données chgh\2020-CHG-CZA-BPA-2\plaque 1/@08 BPA 1/B8_02.tif "/>
    <s v=" 6099.6303 "/>
    <s v=" 67.5674 "/>
    <x v="0"/>
    <n v="412136"/>
    <m/>
    <m/>
  </r>
  <r>
    <x v="8"/>
    <x v="1"/>
    <s v="F:\Données chgh\2020-CHG-CZA-BPA-2\plaque 1/@08 BPA 1/B8_03.tif "/>
    <s v=" 908.4556 "/>
    <s v=" 62.5952 "/>
    <x v="0"/>
    <n v="56865"/>
    <m/>
    <m/>
  </r>
  <r>
    <x v="8"/>
    <x v="2"/>
    <s v="F:\Données chgh\2020-CHG-CZA-BPA-2\plaque 1/@08 BPA 1/C8_01.tif "/>
    <s v=" 7981.4311 "/>
    <s v=" 71.9539 "/>
    <x v="0"/>
    <n v="574295"/>
    <m/>
    <m/>
  </r>
  <r>
    <x v="8"/>
    <x v="2"/>
    <s v="F:\Données chgh\2020-CHG-CZA-BPA-2\plaque 1/@08 BPA 1/C8_02.tif "/>
    <s v=" 6510.5983 "/>
    <s v=" 69.7076 "/>
    <x v="0"/>
    <n v="453838"/>
    <m/>
    <m/>
  </r>
  <r>
    <x v="8"/>
    <x v="2"/>
    <s v="F:\Données chgh\2020-CHG-CZA-BPA-2\plaque 1/@08 BPA 1/C8_03.tif "/>
    <s v=" 4239.4593 "/>
    <s v=" 66.3776 "/>
    <x v="0"/>
    <n v="281405"/>
    <m/>
    <m/>
  </r>
  <r>
    <x v="8"/>
    <x v="3"/>
    <s v="F:\Données chgh\2020-CHG-CZA-BPA-2\plaque 1/@08 BPA 1/D8_01.tif "/>
    <s v=" 10166.0505 "/>
    <s v=" 77.0362 "/>
    <x v="0"/>
    <n v="783154"/>
    <m/>
    <m/>
  </r>
  <r>
    <x v="8"/>
    <x v="3"/>
    <s v="F:\Données chgh\2020-CHG-CZA-BPA-2\plaque 1/@08 BPA 1/D8_02.tif "/>
    <s v=" 8089.5806 "/>
    <s v=" 75.0374 "/>
    <x v="0"/>
    <n v="607021"/>
    <m/>
    <m/>
  </r>
  <r>
    <x v="8"/>
    <x v="3"/>
    <s v="F:\Données chgh\2020-CHG-CZA-BPA-2\plaque 1/@08 BPA 1/D8_03.tif "/>
    <s v=" 8478.9187 "/>
    <s v=" 75.5485 "/>
    <x v="0"/>
    <n v="640569"/>
    <m/>
    <m/>
  </r>
  <r>
    <x v="8"/>
    <x v="4"/>
    <s v="F:\Données chgh\2020-CHG-CZA-BPA-2\plaque 1/@08 BPA 1/E8_01.tif "/>
    <s v=" 3287.744 "/>
    <s v=" 67.3553 "/>
    <x v="0"/>
    <n v="221447"/>
    <m/>
    <m/>
  </r>
  <r>
    <x v="8"/>
    <x v="4"/>
    <s v="F:\Données chgh\2020-CHG-CZA-BPA-2\plaque 1/@08 BPA 1/E8_02.tif "/>
    <s v=" 5991.4808 "/>
    <s v=" 71.1083 "/>
    <x v="0"/>
    <n v="426044"/>
    <m/>
    <m/>
  </r>
  <r>
    <x v="8"/>
    <x v="4"/>
    <s v="F:\Données chgh\2020-CHG-CZA-BPA-2\plaque 1/@08 BPA 1/E8_03.tif "/>
    <s v=" 2833.5162 "/>
    <s v=" 65.5038 "/>
    <x v="0"/>
    <n v="185606"/>
    <m/>
    <m/>
  </r>
  <r>
    <x v="8"/>
    <x v="5"/>
    <s v="F:\Données chgh\2020-CHG-CZA-BPA-2\plaque 1/@08 BPA 1/F8_01.tif "/>
    <s v=" 2271.1389 "/>
    <s v=" 64.5238 "/>
    <x v="0"/>
    <n v="146543"/>
    <m/>
    <m/>
  </r>
  <r>
    <x v="8"/>
    <x v="5"/>
    <s v="F:\Données chgh\2020-CHG-CZA-BPA-2\plaque 1/@08 BPA 1/F8_02.tif "/>
    <s v=" 1103.1246 "/>
    <s v=" 63.8235 "/>
    <x v="0"/>
    <n v="70405"/>
    <m/>
    <m/>
  </r>
  <r>
    <x v="8"/>
    <x v="5"/>
    <s v="F:\Données chgh\2020-CHG-CZA-BPA-2\plaque 1/@08 BPA 1/F8_03.tif "/>
    <s v=" 1384.3133 "/>
    <s v=" 64.4062 "/>
    <x v="0"/>
    <n v="89158"/>
    <m/>
    <m/>
  </r>
  <r>
    <x v="8"/>
    <x v="6"/>
    <s v="F:\Données chgh\2020-CHG-CZA-BPA-2\plaque 1/@08 BPA 1/G8_01.tif "/>
    <s v=" 6597.1179 "/>
    <s v=" 70.6197 "/>
    <x v="0"/>
    <n v="465886"/>
    <m/>
    <m/>
  </r>
  <r>
    <x v="8"/>
    <x v="6"/>
    <s v="F:\Données chgh\2020-CHG-CZA-BPA-2\plaque 1/@08 BPA 1/G8_02.tif "/>
    <s v=" 5515.6231 "/>
    <s v=" 70.5176 "/>
    <x v="0"/>
    <n v="388949"/>
    <m/>
    <m/>
  </r>
  <r>
    <x v="8"/>
    <x v="6"/>
    <s v="F:\Données chgh\2020-CHG-CZA-BPA-2\plaque 1/@08 BPA 1/G8_03.tif "/>
    <s v=" 4109.68 "/>
    <s v=" 71.3263 "/>
    <x v="0"/>
    <n v="293128"/>
    <m/>
    <m/>
  </r>
  <r>
    <x v="8"/>
    <x v="7"/>
    <s v="F:\Données chgh\2020-CHG-CZA-BPA-2\plaque 1/@08 BPA 1/H8_01- exclu.tif"/>
    <m/>
    <m/>
    <x v="1"/>
    <m/>
    <m/>
    <m/>
  </r>
  <r>
    <x v="8"/>
    <x v="7"/>
    <s v="F:\Données chgh\2020-CHG-CZA-BPA-2\plaque 1/@08 BPA 1/H8_02- exclu.tif"/>
    <m/>
    <m/>
    <x v="1"/>
    <m/>
    <m/>
    <m/>
  </r>
  <r>
    <x v="8"/>
    <x v="7"/>
    <s v="F:\Données chgh\2020-CHG-CZA-BPA-2\plaque 1/@08 BPA 1/H8_03- exclu.tif"/>
    <m/>
    <m/>
    <x v="1"/>
    <m/>
    <m/>
    <m/>
  </r>
  <r>
    <x v="1"/>
    <x v="8"/>
    <s v=" "/>
    <m/>
    <m/>
    <x v="1"/>
    <m/>
    <m/>
    <m/>
  </r>
  <r>
    <x v="1"/>
    <x v="8"/>
    <s v="group "/>
    <s v=" "/>
    <s v=" mean of mean fluo "/>
    <x v="2"/>
    <s v=" mean of total fluo "/>
    <s v=" SD total fluo "/>
    <s v=" n fluorescent "/>
  </r>
  <r>
    <x v="8"/>
    <x v="9"/>
    <s v="F:\Données chgh\2020-CHG-CZA-BPA-2\plaque 1/@08 BPA 1/ "/>
    <s v=" "/>
    <s v=" 68.1425 "/>
    <x v="10"/>
    <s v=" 305801.583 "/>
    <s v=" 225741.0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BPA-2\plaque 1/@09 BPA 2/A9_01.tif "/>
    <s v=" 3893.381 "/>
    <s v=" 69.6889 "/>
    <x v="0"/>
    <n v="271325"/>
    <m/>
    <m/>
  </r>
  <r>
    <x v="9"/>
    <x v="0"/>
    <s v="F:\Données chgh\2020-CHG-CZA-BPA-2\plaque 1/@09 BPA 2/A9_02.tif "/>
    <s v=" 3006.5554 "/>
    <s v=" 66.6763 "/>
    <x v="0"/>
    <n v="200466"/>
    <m/>
    <m/>
  </r>
  <r>
    <x v="9"/>
    <x v="0"/>
    <s v="F:\Données chgh\2020-CHG-CZA-BPA-2\plaque 1/@09 BPA 2/A9_03.tif "/>
    <s v=" 670.5267 "/>
    <s v=" 61.7097 "/>
    <x v="0"/>
    <n v="41378"/>
    <m/>
    <m/>
  </r>
  <r>
    <x v="9"/>
    <x v="1"/>
    <s v="F:\Données chgh\2020-CHG-CZA-BPA-2\plaque 1/@09 BPA 2/B9_01.tif "/>
    <s v=" 1146.3844 "/>
    <s v=" 63.717 "/>
    <x v="0"/>
    <n v="73044"/>
    <m/>
    <m/>
  </r>
  <r>
    <x v="9"/>
    <x v="1"/>
    <s v="F:\Données chgh\2020-CHG-CZA-BPA-2\plaque 1/@09 BPA 2/B9_02.tif "/>
    <s v=" 627.2669 "/>
    <s v=" 64.1724 "/>
    <x v="0"/>
    <n v="40253"/>
    <m/>
    <m/>
  </r>
  <r>
    <x v="9"/>
    <x v="1"/>
    <s v="F:\Données chgh\2020-CHG-CZA-BPA-2\plaque 1/@09 BPA 2/B9_03.tif "/>
    <s v=" 2768.6265 "/>
    <s v=" 66.6016 "/>
    <x v="0"/>
    <n v="184395"/>
    <m/>
    <m/>
  </r>
  <r>
    <x v="9"/>
    <x v="2"/>
    <s v="F:\Données chgh\2020-CHG-CZA-BPA-2\plaque 1/@09 BPA 2/C9_01.tif "/>
    <s v=" 475.8577 "/>
    <s v=" 64.4545 "/>
    <x v="0"/>
    <n v="30671"/>
    <m/>
    <m/>
  </r>
  <r>
    <x v="9"/>
    <x v="2"/>
    <s v="F:\Données chgh\2020-CHG-CZA-BPA-2\plaque 1/@09 BPA 2/C9_02.tif "/>
    <s v=" 3331.0038 "/>
    <s v=" 64.7987 "/>
    <x v="0"/>
    <n v="215845"/>
    <m/>
    <m/>
  </r>
  <r>
    <x v="9"/>
    <x v="2"/>
    <s v="F:\Données chgh\2020-CHG-CZA-BPA-2\plaque 1/@09 BPA 2/C9_03.tif "/>
    <s v=" 454.2278 "/>
    <s v=" 62.0476 "/>
    <x v="0"/>
    <n v="28184"/>
    <m/>
    <m/>
  </r>
  <r>
    <x v="9"/>
    <x v="3"/>
    <s v="F:\Données chgh\2020-CHG-CZA-BPA-2\plaque 1/@09 BPA 2/D9_01.tif "/>
    <s v=" 9993.0113 "/>
    <s v=" 72.3939 "/>
    <x v="0"/>
    <n v="723433"/>
    <m/>
    <m/>
  </r>
  <r>
    <x v="9"/>
    <x v="3"/>
    <s v="F:\Données chgh\2020-CHG-CZA-BPA-2\plaque 1/@09 BPA 2/D9_02.tif "/>
    <s v=" 10814.9473 "/>
    <s v=" 79.726 "/>
    <x v="0"/>
    <n v="862232"/>
    <m/>
    <m/>
  </r>
  <r>
    <x v="9"/>
    <x v="3"/>
    <s v="F:\Données chgh\2020-CHG-CZA-BPA-2\plaque 1/@09 BPA 2/D9_03- exclu.tif"/>
    <m/>
    <m/>
    <x v="1"/>
    <m/>
    <m/>
    <m/>
  </r>
  <r>
    <x v="9"/>
    <x v="4"/>
    <s v="F:\Données chgh\2020-CHG-CZA-BPA-2\plaque 1/@09 BPA 2/E9_01.tif "/>
    <s v=" 4001.5305 "/>
    <s v=" 64.9189 "/>
    <x v="0"/>
    <n v="259775"/>
    <m/>
    <m/>
  </r>
  <r>
    <x v="9"/>
    <x v="4"/>
    <s v="F:\Données chgh\2020-CHG-CZA-BPA-2\plaque 1/@09 BPA 2/E9_02.tif "/>
    <s v=" 7894.9115 "/>
    <s v=" 78.1671 "/>
    <x v="0"/>
    <n v="617123"/>
    <m/>
    <m/>
  </r>
  <r>
    <x v="9"/>
    <x v="4"/>
    <s v="F:\Données chgh\2020-CHG-CZA-BPA-2\plaque 1/@09 BPA 2/E9_03.tif "/>
    <s v=" 3677.0821 "/>
    <s v=" 64.9824 "/>
    <x v="0"/>
    <n v="238945"/>
    <m/>
    <m/>
  </r>
  <r>
    <x v="9"/>
    <x v="5"/>
    <s v="F:\Données chgh\2020-CHG-CZA-BPA-2\plaque 1/@09 BPA 2/F9_01.tif "/>
    <s v=" 3309.3739 "/>
    <s v=" 66.4967 "/>
    <x v="0"/>
    <n v="220063"/>
    <m/>
    <m/>
  </r>
  <r>
    <x v="9"/>
    <x v="5"/>
    <s v="F:\Données chgh\2020-CHG-CZA-BPA-2\plaque 1/@09 BPA 2/F9_02.tif "/>
    <s v=" 670.5267 "/>
    <s v=" 62.6129 "/>
    <x v="0"/>
    <n v="41984"/>
    <m/>
    <m/>
  </r>
  <r>
    <x v="9"/>
    <x v="5"/>
    <s v="F:\Données chgh\2020-CHG-CZA-BPA-2\plaque 1/@09 BPA 2/F9_03.tif "/>
    <s v=" 3785.2316 "/>
    <s v=" 67.2457 "/>
    <x v="0"/>
    <n v="254541"/>
    <m/>
    <m/>
  </r>
  <r>
    <x v="9"/>
    <x v="6"/>
    <s v="F:\Données chgh\2020-CHG-CZA-BPA-2\plaque 1/@09 BPA 2/G9_01.tif "/>
    <s v=" 8998.0362 "/>
    <s v=" 71.1851 "/>
    <x v="0"/>
    <n v="640526"/>
    <m/>
    <m/>
  </r>
  <r>
    <x v="9"/>
    <x v="6"/>
    <s v="F:\Données chgh\2020-CHG-CZA-BPA-2\plaque 1/@09 BPA 2/G9_02.tif "/>
    <s v=" 6488.9684 "/>
    <s v=" 70.3233 "/>
    <x v="0"/>
    <n v="456326"/>
    <m/>
    <m/>
  </r>
  <r>
    <x v="9"/>
    <x v="6"/>
    <s v="F:\Données chgh\2020-CHG-CZA-BPA-2\plaque 1/@09 BPA 2/G9_03.tif "/>
    <s v=" 6986.456 "/>
    <s v=" 70.0433 "/>
    <x v="0"/>
    <n v="489355"/>
    <m/>
    <m/>
  </r>
  <r>
    <x v="9"/>
    <x v="7"/>
    <s v="F:\Données chgh\2020-CHG-CZA-BPA-2\plaque 1/@09 BPA 2/H9_01- exclu.tif"/>
    <m/>
    <m/>
    <x v="1"/>
    <m/>
    <m/>
    <m/>
  </r>
  <r>
    <x v="9"/>
    <x v="7"/>
    <s v="F:\Données chgh\2020-CHG-CZA-BPA-2\plaque 1/@09 BPA 2/H9_02- exclu.tif"/>
    <m/>
    <m/>
    <x v="1"/>
    <m/>
    <m/>
    <m/>
  </r>
  <r>
    <x v="9"/>
    <x v="7"/>
    <s v="F:\Données chgh\2020-CHG-CZA-BPA-2\plaque 1/@09 BPA 2/H9_03- exclu.tif"/>
    <m/>
    <m/>
    <x v="1"/>
    <m/>
    <m/>
    <m/>
  </r>
  <r>
    <x v="1"/>
    <x v="8"/>
    <s v=" "/>
    <m/>
    <m/>
    <x v="1"/>
    <m/>
    <m/>
    <m/>
  </r>
  <r>
    <x v="1"/>
    <x v="8"/>
    <s v="group "/>
    <s v=" "/>
    <s v=" mean of mean fluo "/>
    <x v="2"/>
    <s v=" mean of total fluo "/>
    <s v=" SD total fluo "/>
    <s v=" n fluorescent "/>
  </r>
  <r>
    <x v="9"/>
    <x v="9"/>
    <s v="F:\Données chgh\2020-CHG-CZA-BPA-2\plaque 1/@09 BPA 2/ "/>
    <s v=" "/>
    <s v=" 66.9319 "/>
    <x v="11"/>
    <s v=" 250309.292 "/>
    <s v=" 251546.61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BPA-2\plaque 1/@10  BPA 3/A10_01.tif "/>
    <s v=" 8846.6269 "/>
    <s v=" 70.4499 "/>
    <x v="0"/>
    <n v="623244"/>
    <m/>
    <m/>
  </r>
  <r>
    <x v="10"/>
    <x v="0"/>
    <s v="F:\Données chgh\2020-CHG-CZA-BPA-2\plaque 1/@10  BPA 3/A10_02.tif "/>
    <s v=" 7678.6126 "/>
    <s v=" 70.3268 "/>
    <x v="0"/>
    <n v="540012"/>
    <m/>
    <m/>
  </r>
  <r>
    <x v="10"/>
    <x v="0"/>
    <s v="F:\Données chgh\2020-CHG-CZA-BPA-2\plaque 1/@10  BPA 3/A10_03.tif "/>
    <s v=" 6943.1962 "/>
    <s v=" 69.1713 "/>
    <x v="0"/>
    <n v="480270"/>
    <m/>
    <m/>
  </r>
  <r>
    <x v="10"/>
    <x v="1"/>
    <s v="F:\Données chgh\2020-CHG-CZA-BPA-2\plaque 1/@10  BPA 3/B10_01.tif "/>
    <s v=" 12480.4492 "/>
    <s v=" 65.1941 "/>
    <x v="0"/>
    <n v="813652"/>
    <m/>
    <m/>
  </r>
  <r>
    <x v="10"/>
    <x v="1"/>
    <s v="F:\Données chgh\2020-CHG-CZA-BPA-2\plaque 1/@10  BPA 3/B10_02.tif "/>
    <s v=" 15595.154 "/>
    <s v=" 65.9792 "/>
    <x v="0"/>
    <n v="1028956"/>
    <m/>
    <m/>
  </r>
  <r>
    <x v="10"/>
    <x v="1"/>
    <s v="F:\Données chgh\2020-CHG-CZA-BPA-2\plaque 1/@10  BPA 3/B10_03.tif "/>
    <s v=" 5948.221 "/>
    <s v=" 63.8909 "/>
    <x v="0"/>
    <n v="380037"/>
    <m/>
    <m/>
  </r>
  <r>
    <x v="10"/>
    <x v="2"/>
    <s v="F:\Données chgh\2020-CHG-CZA-BPA-2\plaque 1/@10  BPA 3/C10_01- exclu.tif"/>
    <m/>
    <m/>
    <x v="1"/>
    <m/>
    <m/>
    <m/>
  </r>
  <r>
    <x v="10"/>
    <x v="2"/>
    <s v="F:\Données chgh\2020-CHG-CZA-BPA-2\plaque 1/@10  BPA 3/C10_02.tif "/>
    <s v=" 6056.3705 "/>
    <s v=" 64.1179 "/>
    <x v="0"/>
    <n v="388321"/>
    <m/>
    <m/>
  </r>
  <r>
    <x v="10"/>
    <x v="2"/>
    <s v="F:\Données chgh\2020-CHG-CZA-BPA-2\plaque 1/@10  BPA 3/C10_03.tif "/>
    <s v=" 3806.8615 "/>
    <s v=" 63.6364 "/>
    <x v="0"/>
    <n v="242255"/>
    <m/>
    <m/>
  </r>
  <r>
    <x v="10"/>
    <x v="3"/>
    <s v="F:\Données chgh\2020-CHG-CZA-BPA-2\plaque 1/@10  BPA 3/D10_01.tif "/>
    <s v=" 12804.8976 "/>
    <s v=" 65.223 "/>
    <x v="0"/>
    <n v="835173"/>
    <m/>
    <m/>
  </r>
  <r>
    <x v="10"/>
    <x v="3"/>
    <s v="F:\Données chgh\2020-CHG-CZA-BPA-2\plaque 1/@10  BPA 3/D10_02.tif "/>
    <s v=" 5926.5911 "/>
    <s v=" 64.8759 "/>
    <x v="0"/>
    <n v="384493"/>
    <m/>
    <m/>
  </r>
  <r>
    <x v="10"/>
    <x v="3"/>
    <s v="F:\Données chgh\2020-CHG-CZA-BPA-2\plaque 1/@10  BPA 3/D10_03.tif "/>
    <s v=" 1492.4627 "/>
    <s v=" 62.5652 "/>
    <x v="0"/>
    <n v="93376"/>
    <m/>
    <m/>
  </r>
  <r>
    <x v="10"/>
    <x v="4"/>
    <s v="F:\Données chgh\2020-CHG-CZA-BPA-2\plaque 1/@10  BPA 3/E10_01.tif "/>
    <s v=" 3114.7048 "/>
    <s v=" 66.9167 "/>
    <x v="0"/>
    <n v="208426"/>
    <m/>
    <m/>
  </r>
  <r>
    <x v="10"/>
    <x v="4"/>
    <s v="F:\Données chgh\2020-CHG-CZA-BPA-2\plaque 1/@10  BPA 3/E10_02.tif "/>
    <s v=" 475.8577 "/>
    <s v=" 63.7727 "/>
    <x v="0"/>
    <n v="30347"/>
    <m/>
    <m/>
  </r>
  <r>
    <x v="10"/>
    <x v="4"/>
    <s v="F:\Données chgh\2020-CHG-CZA-BPA-2\plaque 1/@10  BPA 3/E10_03.tif "/>
    <s v=" 324.4484 "/>
    <s v=" 63.7333 "/>
    <x v="0"/>
    <n v="20678"/>
    <m/>
    <m/>
  </r>
  <r>
    <x v="10"/>
    <x v="5"/>
    <s v="F:\Données chgh\2020-CHG-CZA-BPA-2\plaque 1/@10  BPA 3/F10_01.tif "/>
    <s v=" 3352.6337 "/>
    <s v=" 68.6774 "/>
    <x v="0"/>
    <n v="230250"/>
    <m/>
    <m/>
  </r>
  <r>
    <x v="10"/>
    <x v="5"/>
    <s v="F:\Données chgh\2020-CHG-CZA-BPA-2\plaque 1/@10  BPA 3/F10_02.tif "/>
    <s v=" 4563.9078 "/>
    <s v=" 67.1611 "/>
    <x v="0"/>
    <n v="306517"/>
    <m/>
    <m/>
  </r>
  <r>
    <x v="10"/>
    <x v="5"/>
    <s v="F:\Données chgh\2020-CHG-CZA-BPA-2\plaque 1/@10  BPA 3/F10_03.tif "/>
    <s v=" 2054.84 "/>
    <s v=" 65.7579 "/>
    <x v="0"/>
    <n v="135122"/>
    <m/>
    <m/>
  </r>
  <r>
    <x v="10"/>
    <x v="6"/>
    <s v="F:\Données chgh\2020-CHG-CZA-BPA-2\plaque 1/@10  BPA 3/G10_01- exclu.tif"/>
    <m/>
    <m/>
    <x v="1"/>
    <m/>
    <m/>
    <m/>
  </r>
  <r>
    <x v="10"/>
    <x v="6"/>
    <s v="F:\Données chgh\2020-CHG-CZA-BPA-2\plaque 1/@10  BPA 3/G10_02.tif "/>
    <s v=" 10814.9473 "/>
    <s v=" 85.296 "/>
    <x v="0"/>
    <n v="922472"/>
    <m/>
    <m/>
  </r>
  <r>
    <x v="10"/>
    <x v="6"/>
    <s v="F:\Données chgh\2020-CHG-CZA-BPA-2\plaque 1/@10  BPA 3/G10_03.tif "/>
    <s v=" 13713.3532 "/>
    <s v=" 83.1341 "/>
    <x v="0"/>
    <n v="1140047"/>
    <m/>
    <m/>
  </r>
  <r>
    <x v="10"/>
    <x v="7"/>
    <s v="F:\Données chgh\2020-CHG-CZA-BPA-2\plaque 1/@10  BPA 3/H10_01.tif "/>
    <s v=" 3828.4913 "/>
    <s v=" 67.9774 "/>
    <x v="0"/>
    <n v="260251"/>
    <m/>
    <m/>
  </r>
  <r>
    <x v="10"/>
    <x v="7"/>
    <s v="F:\Données chgh\2020-CHG-CZA-BPA-2\plaque 1/@10  BPA 3/H10_02.tif "/>
    <s v=" 1968.3204 "/>
    <s v=" 64.967 "/>
    <x v="0"/>
    <n v="127876"/>
    <m/>
    <m/>
  </r>
  <r>
    <x v="10"/>
    <x v="7"/>
    <s v="F:\Données chgh\2020-CHG-CZA-BPA-2\plaque 1/@10  BPA 3/H10_03.tif "/>
    <s v=" 454.2278 "/>
    <s v=" 62.4762 "/>
    <x v="0"/>
    <n v="28378"/>
    <m/>
    <m/>
  </r>
  <r>
    <x v="1"/>
    <x v="8"/>
    <s v=" "/>
    <m/>
    <m/>
    <x v="1"/>
    <m/>
    <m/>
    <m/>
  </r>
  <r>
    <x v="1"/>
    <x v="8"/>
    <s v="group "/>
    <s v=" "/>
    <s v=" mean of mean fluo "/>
    <x v="2"/>
    <s v=" mean of total fluo "/>
    <s v=" SD total fluo "/>
    <s v=" n fluorescent "/>
  </r>
  <r>
    <x v="10"/>
    <x v="9"/>
    <s v="F:\Données chgh\2020-CHG-CZA-BPA-2\plaque 1/@10  BPA 3/ "/>
    <s v=" "/>
    <s v=" 68.1865 "/>
    <x v="12"/>
    <s v=" 452176.542 "/>
    <s v=" 388841.95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BPA-2\plaque 1/@11 BPA 4/A11_01.tif "/>
    <s v=" 562.3773 "/>
    <s v=" 63.3462 "/>
    <x v="0"/>
    <n v="35624"/>
    <m/>
    <m/>
  </r>
  <r>
    <x v="11"/>
    <x v="0"/>
    <s v="F:\Données chgh\2020-CHG-CZA-BPA-2\plaque 1/@11 BPA 4/A11_02- exclu.tif"/>
    <m/>
    <m/>
    <x v="1"/>
    <m/>
    <m/>
    <m/>
  </r>
  <r>
    <x v="11"/>
    <x v="0"/>
    <s v="F:\Données chgh\2020-CHG-CZA-BPA-2\plaque 1/@11 BPA 4/A11_03.tif "/>
    <s v=" 346.0783 "/>
    <s v=" 62.5 "/>
    <x v="0"/>
    <n v="21630"/>
    <m/>
    <m/>
  </r>
  <r>
    <x v="11"/>
    <x v="1"/>
    <s v="F:\Données chgh\2020-CHG-CZA-BPA-2\plaque 1/@11 BPA 4/B11_01.tif "/>
    <s v=" 24355.2614 "/>
    <s v=" 68.6474 "/>
    <x v="0"/>
    <n v="1671926"/>
    <m/>
    <m/>
  </r>
  <r>
    <x v="11"/>
    <x v="1"/>
    <s v="F:\Données chgh\2020-CHG-CZA-BPA-2\plaque 1/@11 BPA 4/B11_02.tif "/>
    <s v=" 16914.5776 "/>
    <s v=" 68.1458 "/>
    <x v="0"/>
    <n v="1152657"/>
    <m/>
    <m/>
  </r>
  <r>
    <x v="11"/>
    <x v="1"/>
    <s v="F:\Données chgh\2020-CHG-CZA-BPA-2\plaque 1/@11 BPA 4/B11_03.tif "/>
    <s v=" 23360.2862 "/>
    <s v=" 68.1463 "/>
    <x v="0"/>
    <n v="1591917"/>
    <m/>
    <m/>
  </r>
  <r>
    <x v="11"/>
    <x v="2"/>
    <s v="F:\Données chgh\2020-CHG-CZA-BPA-2\plaque 1/@11 BPA 4/C11_01.tif "/>
    <s v=" 1297.7937 "/>
    <s v=" 63.3167 "/>
    <x v="0"/>
    <n v="82172"/>
    <m/>
    <m/>
  </r>
  <r>
    <x v="11"/>
    <x v="2"/>
    <s v="F:\Données chgh\2020-CHG-CZA-BPA-2\plaque 1/@11 BPA 4/C11_02.tif "/>
    <s v=" 4672.0572 "/>
    <s v=" 65.3519 "/>
    <x v="0"/>
    <n v="305328"/>
    <m/>
    <m/>
  </r>
  <r>
    <x v="11"/>
    <x v="2"/>
    <s v="F:\Données chgh\2020-CHG-CZA-BPA-2\plaque 1/@11 BPA 4/C11_03.tif "/>
    <s v=" 951.7154 "/>
    <s v=" 62.6364 "/>
    <x v="0"/>
    <n v="59612"/>
    <m/>
    <m/>
  </r>
  <r>
    <x v="11"/>
    <x v="3"/>
    <s v="F:\Données chgh\2020-CHG-CZA-BPA-2\plaque 1/@11 BPA 4/D11_01.tif "/>
    <s v=" 8154.4703 "/>
    <s v=" 64.5491 "/>
    <x v="0"/>
    <n v="526363"/>
    <m/>
    <m/>
  </r>
  <r>
    <x v="11"/>
    <x v="3"/>
    <s v="F:\Données chgh\2020-CHG-CZA-BPA-2\plaque 1/@11 BPA 4/D11_02.tif "/>
    <s v=" 10339.0896 "/>
    <s v=" 67.0209 "/>
    <x v="0"/>
    <n v="692935"/>
    <m/>
    <m/>
  </r>
  <r>
    <x v="11"/>
    <x v="3"/>
    <s v="F:\Données chgh\2020-CHG-CZA-BPA-2\plaque 1/@11 BPA 4/D11_03.tif "/>
    <s v=" 7873.2816 "/>
    <s v=" 66.3736 "/>
    <x v="0"/>
    <n v="522578"/>
    <m/>
    <m/>
  </r>
  <r>
    <x v="11"/>
    <x v="4"/>
    <s v="F:\Données chgh\2020-CHG-CZA-BPA-2\plaque 1/@11 BPA 4/E11_01.tif "/>
    <s v=" 3806.8615 "/>
    <s v=" 66.0568 "/>
    <x v="0"/>
    <n v="251469"/>
    <m/>
    <m/>
  </r>
  <r>
    <x v="11"/>
    <x v="4"/>
    <s v="F:\Données chgh\2020-CHG-CZA-BPA-2\plaque 1/@11 BPA 4/E11_02.tif "/>
    <s v=" 778.6762 "/>
    <s v=" 62.0556 "/>
    <x v="0"/>
    <n v="48321"/>
    <m/>
    <m/>
  </r>
  <r>
    <x v="11"/>
    <x v="4"/>
    <s v="F:\Données chgh\2020-CHG-CZA-BPA-2\plaque 1/@11 BPA 4/E11_03.tif "/>
    <s v=" 994.9752 "/>
    <s v=" 62.5435 "/>
    <x v="0"/>
    <n v="62229"/>
    <m/>
    <m/>
  </r>
  <r>
    <x v="11"/>
    <x v="5"/>
    <s v="F:\Données chgh\2020-CHG-CZA-BPA-2\plaque 1/@11 BPA 4/F11_01.tif "/>
    <s v=" 21175.6668 "/>
    <s v=" 65.5761 "/>
    <x v="0"/>
    <n v="1388618"/>
    <m/>
    <m/>
  </r>
  <r>
    <x v="11"/>
    <x v="5"/>
    <s v="F:\Données chgh\2020-CHG-CZA-BPA-2\plaque 1/@11 BPA 4/F11_02.tif "/>
    <s v=" 22603.2399 "/>
    <s v=" 65.2718 "/>
    <x v="0"/>
    <n v="1475353"/>
    <m/>
    <m/>
  </r>
  <r>
    <x v="11"/>
    <x v="5"/>
    <s v="F:\Données chgh\2020-CHG-CZA-BPA-2\plaque 1/@11 BPA 4/F11_03.tif "/>
    <s v=" 10836.5772 "/>
    <s v=" 64.8164 "/>
    <x v="0"/>
    <n v="702388"/>
    <m/>
    <m/>
  </r>
  <r>
    <x v="11"/>
    <x v="6"/>
    <s v="F:\Données chgh\2020-CHG-CZA-BPA-2\plaque 1/@11 BPA 4/G11_01- exclu.tif"/>
    <m/>
    <m/>
    <x v="1"/>
    <m/>
    <m/>
    <m/>
  </r>
  <r>
    <x v="11"/>
    <x v="6"/>
    <s v="F:\Données chgh\2020-CHG-CZA-BPA-2\plaque 1/@11 BPA 4/G11_02- exclu.tif"/>
    <m/>
    <m/>
    <x v="1"/>
    <m/>
    <m/>
    <m/>
  </r>
  <r>
    <x v="11"/>
    <x v="6"/>
    <s v="F:\Données chgh\2020-CHG-CZA-BPA-2\plaque 1/@11 BPA 4/G11_03.tif "/>
    <s v=" 45985.156 "/>
    <s v=" 72.6218 "/>
    <x v="0"/>
    <n v="3339526"/>
    <m/>
    <m/>
  </r>
  <r>
    <x v="11"/>
    <x v="7"/>
    <s v="F:\Données chgh\2020-CHG-CZA-BPA-2\plaque 1/@11 BPA 4/H11_01.tif "/>
    <s v=" 4953.2459 "/>
    <s v=" 63.4323 "/>
    <x v="0"/>
    <n v="314196"/>
    <m/>
    <m/>
  </r>
  <r>
    <x v="11"/>
    <x v="7"/>
    <s v="F:\Données chgh\2020-CHG-CZA-BPA-2\plaque 1/@11 BPA 4/H11_02.tif "/>
    <s v=" 12091.1111 "/>
    <s v=" 70.6225 "/>
    <x v="0"/>
    <n v="853905"/>
    <m/>
    <m/>
  </r>
  <r>
    <x v="11"/>
    <x v="7"/>
    <s v="F:\Données chgh\2020-CHG-CZA-BPA-2\plaque 1/@11 BPA 4/H11_03.tif "/>
    <s v=" 10663.5381 "/>
    <s v=" 67.6897 "/>
    <x v="0"/>
    <n v="721811"/>
    <m/>
    <m/>
  </r>
  <r>
    <x v="1"/>
    <x v="8"/>
    <s v=" "/>
    <m/>
    <m/>
    <x v="1"/>
    <m/>
    <m/>
    <m/>
  </r>
  <r>
    <x v="1"/>
    <x v="8"/>
    <s v="group "/>
    <s v=" "/>
    <s v=" mean of mean fluo "/>
    <x v="2"/>
    <s v=" mean of total fluo "/>
    <s v=" SD total fluo "/>
    <s v=" n fluorescent "/>
  </r>
  <r>
    <x v="11"/>
    <x v="9"/>
    <s v="F:\Données chgh\2020-CHG-CZA-BPA-2\plaque 1/@11 BPA 4/ "/>
    <s v=" "/>
    <s v=" 66.2753 "/>
    <x v="13"/>
    <s v=" 737917.292 "/>
    <s v=" 785819.87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BPA-2\plaque 1/@12  BPA 5/A12_01.tif "/>
    <s v=" 17714.8837 "/>
    <s v=" 67.0415 "/>
    <x v="0"/>
    <n v="1187633"/>
    <m/>
    <m/>
  </r>
  <r>
    <x v="12"/>
    <x v="0"/>
    <s v="F:\Données chgh\2020-CHG-CZA-BPA-2\plaque 1/@12  BPA 5/A12_02.tif "/>
    <s v=" 17606.7342 "/>
    <s v=" 67.6069 "/>
    <x v="0"/>
    <n v="1190336"/>
    <m/>
    <m/>
  </r>
  <r>
    <x v="12"/>
    <x v="0"/>
    <s v="F:\Données chgh\2020-CHG-CZA-BPA-2\plaque 1/@12  BPA 5/A12_03- exclu.tif"/>
    <m/>
    <m/>
    <x v="1"/>
    <m/>
    <m/>
    <m/>
  </r>
  <r>
    <x v="12"/>
    <x v="1"/>
    <s v="F:\Données chgh\2020-CHG-CZA-BPA-2\plaque 1/@12  BPA 5/B12_01.tif "/>
    <s v=" 56605.4342 "/>
    <s v=" 76.1429 "/>
    <x v="0"/>
    <n v="4310103"/>
    <m/>
    <m/>
  </r>
  <r>
    <x v="12"/>
    <x v="1"/>
    <s v="F:\Données chgh\2020-CHG-CZA-BPA-2\plaque 1/@12  BPA 5/B12_02.tif "/>
    <s v=" 45833.7467 "/>
    <s v=" 71.4445 "/>
    <x v="0"/>
    <n v="3274571"/>
    <m/>
    <m/>
  </r>
  <r>
    <x v="12"/>
    <x v="1"/>
    <s v="F:\Données chgh\2020-CHG-CZA-BPA-2\plaque 1/@12  BPA 5/B12_03.tif "/>
    <s v=" 50440.9143 "/>
    <s v=" 75.6329 "/>
    <x v="0"/>
    <n v="3814994"/>
    <m/>
    <m/>
  </r>
  <r>
    <x v="12"/>
    <x v="2"/>
    <s v="F:\Données chgh\2020-CHG-CZA-BPA-2\plaque 1/@12  BPA 5/C12_01- exclu.tif"/>
    <m/>
    <m/>
    <x v="1"/>
    <m/>
    <m/>
    <m/>
  </r>
  <r>
    <x v="12"/>
    <x v="2"/>
    <s v="F:\Données chgh\2020-CHG-CZA-BPA-2\plaque 1/@12  BPA 5/C12_02.tif "/>
    <s v=" 60823.2637 "/>
    <s v=" 75.346 "/>
    <x v="0"/>
    <n v="4582791"/>
    <m/>
    <m/>
  </r>
  <r>
    <x v="12"/>
    <x v="2"/>
    <s v="F:\Données chgh\2020-CHG-CZA-BPA-2\plaque 1/@12  BPA 5/C12_03.tif "/>
    <s v=" 63245.8119 "/>
    <s v=" 72.0893 "/>
    <x v="0"/>
    <n v="4559344"/>
    <m/>
    <m/>
  </r>
  <r>
    <x v="12"/>
    <x v="3"/>
    <s v="F:\Données chgh\2020-CHG-CZA-BPA-2\plaque 1/@12  BPA 5/D12_01.tif "/>
    <s v=" 259.5587 "/>
    <s v=" 63.4167 "/>
    <x v="0"/>
    <n v="16460"/>
    <m/>
    <m/>
  </r>
  <r>
    <x v="12"/>
    <x v="3"/>
    <s v="F:\Données chgh\2020-CHG-CZA-BPA-2\plaque 1/@12  BPA 5/D12_02- exclu.tif"/>
    <m/>
    <m/>
    <x v="1"/>
    <m/>
    <m/>
    <m/>
  </r>
  <r>
    <x v="12"/>
    <x v="3"/>
    <s v="F:\Données chgh\2020-CHG-CZA-BPA-2\plaque 1/@12  BPA 5/D12_03.tif "/>
    <s v=" 281.1886 "/>
    <s v=" 62.6154 "/>
    <x v="0"/>
    <n v="17607"/>
    <m/>
    <m/>
  </r>
  <r>
    <x v="12"/>
    <x v="4"/>
    <s v="F:\Données chgh\2020-CHG-CZA-BPA-2\plaque 1/@12  BPA 5/E12_01.tif "/>
    <s v=" 49056.601 "/>
    <s v=" 72.996 "/>
    <x v="0"/>
    <n v="3580937"/>
    <m/>
    <m/>
  </r>
  <r>
    <x v="12"/>
    <x v="4"/>
    <s v="F:\Données chgh\2020-CHG-CZA-BPA-2\plaque 1/@12  BPA 5/E12_02.tif "/>
    <s v=" 50419.2844 "/>
    <s v=" 73.4153 "/>
    <x v="0"/>
    <n v="3701545"/>
    <m/>
    <m/>
  </r>
  <r>
    <x v="12"/>
    <x v="4"/>
    <s v="F:\Données chgh\2020-CHG-CZA-BPA-2\plaque 1/@12  BPA 5/E12_03.tif "/>
    <s v=" 52344.345 "/>
    <s v=" 72.4393 "/>
    <x v="0"/>
    <n v="3791785"/>
    <m/>
    <m/>
  </r>
  <r>
    <x v="12"/>
    <x v="5"/>
    <s v="F:\Données chgh\2020-CHG-CZA-BPA-2\plaque 1/@12  BPA 5/F12_01.tif "/>
    <s v=" 20029.2824 "/>
    <s v=" 66.27 "/>
    <x v="0"/>
    <n v="1327340"/>
    <m/>
    <m/>
  </r>
  <r>
    <x v="12"/>
    <x v="5"/>
    <s v="F:\Données chgh\2020-CHG-CZA-BPA-2\plaque 1/@12  BPA 5/F12_02.tif "/>
    <s v=" 23122.3574 "/>
    <s v=" 66.2844 "/>
    <x v="0"/>
    <n v="1532651"/>
    <m/>
    <m/>
  </r>
  <r>
    <x v="12"/>
    <x v="5"/>
    <s v="F:\Données chgh\2020-CHG-CZA-BPA-2\plaque 1/@12  BPA 5/F12_03.tif "/>
    <s v=" 20180.6917 "/>
    <s v=" 65.8864 "/>
    <x v="0"/>
    <n v="1329633"/>
    <m/>
    <m/>
  </r>
  <r>
    <x v="12"/>
    <x v="6"/>
    <s v="F:\Données chgh\2020-CHG-CZA-BPA-2\plaque 1/@12  BPA 5/G12_01.tif "/>
    <s v=" 43497.7181 "/>
    <s v=" 77.1213 "/>
    <x v="0"/>
    <n v="3354602"/>
    <m/>
    <m/>
  </r>
  <r>
    <x v="12"/>
    <x v="6"/>
    <s v="F:\Données chgh\2020-CHG-CZA-BPA-2\plaque 1/@12  BPA 5/G12_02.tif "/>
    <s v=" 44319.6541 "/>
    <s v=" 77.572 "/>
    <x v="0"/>
    <n v="3437964"/>
    <m/>
    <m/>
  </r>
  <r>
    <x v="12"/>
    <x v="6"/>
    <s v="F:\Données chgh\2020-CHG-CZA-BPA-2\plaque 1/@12  BPA 5/G12_03.tif "/>
    <s v=" 48429.3341 "/>
    <s v=" 74.8361 "/>
    <x v="0"/>
    <n v="3624262"/>
    <m/>
    <m/>
  </r>
  <r>
    <x v="12"/>
    <x v="7"/>
    <s v="F:\Données chgh\2020-CHG-CZA-BPA-2\plaque 1/@12  BPA 5/H12_01.tif "/>
    <s v=" 46612.4229 "/>
    <s v=" 70.2691 "/>
    <x v="0"/>
    <n v="3275415"/>
    <m/>
    <m/>
  </r>
  <r>
    <x v="12"/>
    <x v="7"/>
    <s v="F:\Données chgh\2020-CHG-CZA-BPA-2\plaque 1/@12  BPA 5/H12_02.tif "/>
    <s v=" 56043.057 "/>
    <s v=" 73.3381 "/>
    <x v="0"/>
    <n v="4110091"/>
    <m/>
    <m/>
  </r>
  <r>
    <x v="12"/>
    <x v="7"/>
    <s v="F:\Données chgh\2020-CHG-CZA-BPA-2\plaque 1/@12  BPA 5/H12_03.tif "/>
    <s v=" 52820.2027 "/>
    <s v=" 73.0684 "/>
    <x v="0"/>
    <n v="3859487"/>
    <m/>
    <m/>
  </r>
  <r>
    <x v="1"/>
    <x v="8"/>
    <s v=" "/>
    <m/>
    <m/>
    <x v="1"/>
    <m/>
    <m/>
    <m/>
  </r>
  <r>
    <x v="1"/>
    <x v="8"/>
    <s v="group "/>
    <s v=" "/>
    <s v=" mean of mean fluo "/>
    <x v="2"/>
    <s v=" mean of total fluo "/>
    <s v=" SD total fluo "/>
    <s v=" n fluorescent "/>
  </r>
  <r>
    <x v="12"/>
    <x v="9"/>
    <s v="F:\Données chgh\2020-CHG-CZA-BPA-2\plaque 1/@12  BPA 5/ "/>
    <s v=" "/>
    <s v=" 70.6852 "/>
    <x v="14"/>
    <s v=" 2656642.25 "/>
    <s v=" 1589013.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BPA-2\plaque 2/@13 Testo 30/A1_01.tif "/>
    <s v=" 44838.7716 "/>
    <s v=" 70.7574 "/>
    <x v="0"/>
    <n v="3172673"/>
    <m/>
    <m/>
  </r>
  <r>
    <x v="13"/>
    <x v="0"/>
    <s v="F:\Données chgh\2020-CHG-CZA-BPA-2\plaque 2/@13 Testo 30/A1_02.tif "/>
    <s v=" 43281.4192 "/>
    <s v=" 70.2014 "/>
    <x v="0"/>
    <n v="3038416"/>
    <m/>
    <m/>
  </r>
  <r>
    <x v="13"/>
    <x v="0"/>
    <s v="F:\Données chgh\2020-CHG-CZA-BPA-2\plaque 2/@13 Testo 30/A1_03.tif "/>
    <s v=" 50916.772 "/>
    <s v=" 72.2931 "/>
    <x v="0"/>
    <n v="3680932"/>
    <m/>
    <m/>
  </r>
  <r>
    <x v="13"/>
    <x v="1"/>
    <s v="F:\Données chgh\2020-CHG-CZA-BPA-2\plaque 2/@13 Testo 30/B1_01.tif "/>
    <s v=" 66879.6342 "/>
    <s v=" 79.444 "/>
    <x v="0"/>
    <n v="5313189"/>
    <m/>
    <m/>
  </r>
  <r>
    <x v="13"/>
    <x v="1"/>
    <s v="F:\Données chgh\2020-CHG-CZA-BPA-2\plaque 2/@13 Testo 30/B1_02.tif "/>
    <s v=" 66987.7837 "/>
    <s v=" 80.0019 "/>
    <x v="0"/>
    <n v="5359152"/>
    <m/>
    <m/>
  </r>
  <r>
    <x v="13"/>
    <x v="1"/>
    <s v="F:\Données chgh\2020-CHG-CZA-BPA-2\plaque 2/@13 Testo 30/B1_03.tif "/>
    <s v=" 60282.5163 "/>
    <s v=" 78.4137 "/>
    <x v="0"/>
    <n v="4726976"/>
    <m/>
    <m/>
  </r>
  <r>
    <x v="13"/>
    <x v="2"/>
    <s v="F:\Données chgh\2020-CHG-CZA-BPA-2\plaque 2/@13 Testo 30/C1_01.tif "/>
    <s v=" 30822.5998 "/>
    <s v=" 69.4049 "/>
    <x v="0"/>
    <n v="2139240"/>
    <m/>
    <m/>
  </r>
  <r>
    <x v="13"/>
    <x v="2"/>
    <s v="F:\Données chgh\2020-CHG-CZA-BPA-2\plaque 2/@13 Testo 30/C1_02.tif "/>
    <s v=" 38155.1341 "/>
    <s v=" 69.7483 "/>
    <x v="0"/>
    <n v="2661256"/>
    <m/>
    <m/>
  </r>
  <r>
    <x v="13"/>
    <x v="2"/>
    <s v="F:\Données chgh\2020-CHG-CZA-BPA-2\plaque 2/@13 Testo 30/C1_03.tif "/>
    <s v=" 30606.3009 "/>
    <s v=" 69.8883 "/>
    <x v="0"/>
    <n v="2139024"/>
    <m/>
    <m/>
  </r>
  <r>
    <x v="13"/>
    <x v="3"/>
    <s v="F:\Données chgh\2020-CHG-CZA-BPA-2\plaque 2/@13 Testo 30/D1_01.tif "/>
    <s v=" 37289.9383 "/>
    <s v=" 68.8167 "/>
    <x v="0"/>
    <n v="2566171"/>
    <m/>
    <m/>
  </r>
  <r>
    <x v="13"/>
    <x v="3"/>
    <s v="F:\Données chgh\2020-CHG-CZA-BPA-2\plaque 2/@13 Testo 30/D1_02.tif "/>
    <s v=" 40923.7606 "/>
    <s v=" 68.6829 "/>
    <x v="0"/>
    <n v="2810762"/>
    <m/>
    <m/>
  </r>
  <r>
    <x v="13"/>
    <x v="3"/>
    <s v="F:\Données chgh\2020-CHG-CZA-BPA-2\plaque 2/@13 Testo 30/D1_03.tif "/>
    <s v=" 36532.892 "/>
    <s v=" 68.643 "/>
    <x v="0"/>
    <n v="2507727"/>
    <m/>
    <m/>
  </r>
  <r>
    <x v="13"/>
    <x v="4"/>
    <s v="F:\Données chgh\2020-CHG-CZA-BPA-2\plaque 2/@13 Testo 30/E1_01.tif "/>
    <s v=" 42589.2625 "/>
    <s v=" 69.0112 "/>
    <x v="0"/>
    <n v="2939135"/>
    <m/>
    <m/>
  </r>
  <r>
    <x v="13"/>
    <x v="4"/>
    <s v="F:\Données chgh\2020-CHG-CZA-BPA-2\plaque 2/@13 Testo 30/E1_02.tif "/>
    <s v=" 46287.9745 "/>
    <s v=" 70.1701 "/>
    <x v="0"/>
    <n v="3248031"/>
    <m/>
    <m/>
  </r>
  <r>
    <x v="13"/>
    <x v="4"/>
    <s v="F:\Données chgh\2020-CHG-CZA-BPA-2\plaque 2/@13 Testo 30/E1_03.tif "/>
    <s v=" 39431.2979 "/>
    <s v=" 69.1514 "/>
    <x v="0"/>
    <n v="2726729"/>
    <m/>
    <m/>
  </r>
  <r>
    <x v="13"/>
    <x v="5"/>
    <s v="F:\Données chgh\2020-CHG-CZA-BPA-2\plaque 2/@13 Testo 30/F1_01.tif "/>
    <s v=" 389.3381 "/>
    <s v=" 62.6667 "/>
    <x v="0"/>
    <n v="24399"/>
    <m/>
    <m/>
  </r>
  <r>
    <x v="13"/>
    <x v="5"/>
    <s v="F:\Données chgh\2020-CHG-CZA-BPA-2\plaque 2/@13 Testo 30/F1_02.tif "/>
    <s v=" 994.9752 "/>
    <s v=" 62.7826 "/>
    <x v="0"/>
    <n v="62467"/>
    <m/>
    <m/>
  </r>
  <r>
    <x v="13"/>
    <x v="5"/>
    <s v="F:\Données chgh\2020-CHG-CZA-BPA-2\plaque 2/@13 Testo 30/F1_03.tif "/>
    <s v=" 1622.2421 "/>
    <s v=" 63.4267 "/>
    <x v="0"/>
    <n v="102893"/>
    <m/>
    <m/>
  </r>
  <r>
    <x v="13"/>
    <x v="6"/>
    <s v="F:\Données chgh\2020-CHG-CZA-BPA-2\plaque 2/@13 Testo 30/G1_01- exclu.tif"/>
    <m/>
    <m/>
    <x v="1"/>
    <m/>
    <m/>
    <m/>
  </r>
  <r>
    <x v="13"/>
    <x v="6"/>
    <s v="F:\Données chgh\2020-CHG-CZA-BPA-2\plaque 2/@13 Testo 30/G1_02.tif "/>
    <s v=" 62596.9151 "/>
    <s v=" 81.2094 "/>
    <x v="0"/>
    <n v="5083458"/>
    <m/>
    <m/>
  </r>
  <r>
    <x v="13"/>
    <x v="6"/>
    <s v="F:\Données chgh\2020-CHG-CZA-BPA-2\plaque 2/@13 Testo 30/G1_03.tif "/>
    <s v=" 63029.5129 "/>
    <s v=" 80.3833 "/>
    <x v="0"/>
    <n v="5066522"/>
    <m/>
    <m/>
  </r>
  <r>
    <x v="13"/>
    <x v="7"/>
    <s v="F:\Données chgh\2020-CHG-CZA-BPA-2\plaque 2/@13 Testo 30/H1_01.tif "/>
    <s v=" 69886.1895 "/>
    <s v=" 75.2841 "/>
    <x v="0"/>
    <n v="5261320"/>
    <m/>
    <m/>
  </r>
  <r>
    <x v="13"/>
    <x v="7"/>
    <s v="F:\Données chgh\2020-CHG-CZA-BPA-2\plaque 2/@13 Testo 30/H1_02.tif "/>
    <s v=" 68545.1361 "/>
    <s v=" 73.4576 "/>
    <x v="0"/>
    <n v="5035158"/>
    <m/>
    <m/>
  </r>
  <r>
    <x v="13"/>
    <x v="7"/>
    <s v="F:\Données chgh\2020-CHG-CZA-BPA-2\plaque 2/@13 Testo 30/H1_03- exclu.tif"/>
    <m/>
    <m/>
    <x v="1"/>
    <m/>
    <m/>
    <m/>
  </r>
  <r>
    <x v="1"/>
    <x v="8"/>
    <s v=" "/>
    <m/>
    <m/>
    <x v="1"/>
    <m/>
    <m/>
    <m/>
  </r>
  <r>
    <x v="1"/>
    <x v="8"/>
    <s v="group "/>
    <s v=" "/>
    <s v=" mean of mean fluo "/>
    <x v="2"/>
    <s v=" mean of total fluo "/>
    <s v=" SD total fluo "/>
    <s v=" n fluorescent "/>
  </r>
  <r>
    <x v="13"/>
    <x v="9"/>
    <s v="F:\Données chgh\2020-CHG-CZA-BPA-2\plaque 2/@13 Testo 30/ "/>
    <s v=" "/>
    <s v=" 71.5287 "/>
    <x v="15"/>
    <s v=" 3223914.17 "/>
    <s v=" 1623399.0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BPA-2\plaque 2/@14 Testo 30/A2_01.tif "/>
    <s v=" 12913.0471 "/>
    <s v=" 65.8291 "/>
    <x v="0"/>
    <n v="850055"/>
    <m/>
    <m/>
  </r>
  <r>
    <x v="14"/>
    <x v="0"/>
    <s v="F:\Données chgh\2020-CHG-CZA-BPA-2\plaque 2/@14 Testo 30/A2_02.tif "/>
    <s v=" 17022.7271 "/>
    <s v=" 67.878 "/>
    <x v="0"/>
    <n v="1155469"/>
    <m/>
    <m/>
  </r>
  <r>
    <x v="14"/>
    <x v="0"/>
    <s v="F:\Données chgh\2020-CHG-CZA-BPA-2\plaque 2/@14 Testo 30/A2_03- exclu.tif"/>
    <m/>
    <m/>
    <x v="1"/>
    <m/>
    <m/>
    <m/>
  </r>
  <r>
    <x v="14"/>
    <x v="1"/>
    <s v="F:\Données chgh\2020-CHG-CZA-BPA-2\plaque 2/@14 Testo 30/B2_01.tif "/>
    <s v=" 3936.6408 "/>
    <s v=" 64.2363 "/>
    <x v="0"/>
    <n v="252875"/>
    <m/>
    <m/>
  </r>
  <r>
    <x v="14"/>
    <x v="1"/>
    <s v="F:\Données chgh\2020-CHG-CZA-BPA-2\plaque 2/@14 Testo 30/B2_02.tif "/>
    <s v=" 5948.221 "/>
    <s v=" 70.0945 "/>
    <x v="0"/>
    <n v="416938"/>
    <m/>
    <m/>
  </r>
  <r>
    <x v="14"/>
    <x v="1"/>
    <s v="F:\Données chgh\2020-CHG-CZA-BPA-2\plaque 2/@14 Testo 30/B2_03.tif "/>
    <s v=" 2573.9575 "/>
    <s v=" 64.0756 "/>
    <x v="0"/>
    <n v="164928"/>
    <m/>
    <m/>
  </r>
  <r>
    <x v="14"/>
    <x v="2"/>
    <s v="F:\Données chgh\2020-CHG-CZA-BPA-2\plaque 2/@14 Testo 30/C2_01.tif "/>
    <s v=" 49532.4587 "/>
    <s v=" 75.1074 "/>
    <x v="0"/>
    <n v="3720255"/>
    <m/>
    <m/>
  </r>
  <r>
    <x v="14"/>
    <x v="2"/>
    <s v="F:\Données chgh\2020-CHG-CZA-BPA-2\plaque 2/@14 Testo 30/C2_02.tif "/>
    <s v=" 47672.2878 "/>
    <s v=" 79.1012 "/>
    <x v="0"/>
    <n v="3770934"/>
    <m/>
    <m/>
  </r>
  <r>
    <x v="14"/>
    <x v="2"/>
    <s v="F:\Données chgh\2020-CHG-CZA-BPA-2\plaque 2/@14 Testo 30/C2_03.tif "/>
    <s v=" 45639.0777 "/>
    <s v=" 73.1118 "/>
    <x v="0"/>
    <n v="3336757"/>
    <m/>
    <m/>
  </r>
  <r>
    <x v="14"/>
    <x v="3"/>
    <s v="F:\Données chgh\2020-CHG-CZA-BPA-2\plaque 2/@14 Testo 30/D2_01.tif "/>
    <s v=" 51241.2204 "/>
    <s v=" 73.214 "/>
    <x v="0"/>
    <n v="3751575"/>
    <m/>
    <m/>
  </r>
  <r>
    <x v="14"/>
    <x v="3"/>
    <s v="F:\Données chgh\2020-CHG-CZA-BPA-2\plaque 2/@14 Testo 30/D2_02.tif "/>
    <s v=" 54009.8469 "/>
    <s v=" 73.0637 "/>
    <x v="0"/>
    <n v="3946158"/>
    <m/>
    <m/>
  </r>
  <r>
    <x v="14"/>
    <x v="3"/>
    <s v="F:\Données chgh\2020-CHG-CZA-BPA-2\plaque 2/@14 Testo 30/D2_03.tif "/>
    <s v=" 57232.7012 "/>
    <s v=" 72.407 "/>
    <x v="0"/>
    <n v="4144050"/>
    <m/>
    <m/>
  </r>
  <r>
    <x v="14"/>
    <x v="4"/>
    <s v="F:\Données chgh\2020-CHG-CZA-BPA-2\plaque 2/@14 Testo 30/E2_01.tif "/>
    <s v=" 57427.3702 "/>
    <s v=" 74.4591 "/>
    <x v="0"/>
    <n v="4275992"/>
    <m/>
    <m/>
  </r>
  <r>
    <x v="14"/>
    <x v="4"/>
    <s v="F:\Données chgh\2020-CHG-CZA-BPA-2\plaque 2/@14 Testo 30/E2_02.tif "/>
    <s v=" 52755.313 "/>
    <s v=" 74.4744 "/>
    <x v="0"/>
    <n v="3928919"/>
    <m/>
    <m/>
  </r>
  <r>
    <x v="14"/>
    <x v="4"/>
    <s v="F:\Données chgh\2020-CHG-CZA-BPA-2\plaque 2/@14 Testo 30/E2_03.tif "/>
    <s v=" 54961.5623 "/>
    <s v=" 72.8855 "/>
    <x v="0"/>
    <n v="4005900"/>
    <m/>
    <m/>
  </r>
  <r>
    <x v="14"/>
    <x v="5"/>
    <s v="F:\Données chgh\2020-CHG-CZA-BPA-2\plaque 2/@14 Testo 30/F2_01.tif "/>
    <s v=" 45509.2983 "/>
    <s v=" 73.2918 "/>
    <x v="0"/>
    <n v="3335460"/>
    <m/>
    <m/>
  </r>
  <r>
    <x v="14"/>
    <x v="5"/>
    <s v="F:\Données chgh\2020-CHG-CZA-BPA-2\plaque 2/@14 Testo 30/F2_02.tif "/>
    <s v=" 42675.7821 "/>
    <s v=" 74.9088 "/>
    <x v="0"/>
    <n v="3196790"/>
    <m/>
    <m/>
  </r>
  <r>
    <x v="14"/>
    <x v="5"/>
    <s v="F:\Données chgh\2020-CHG-CZA-BPA-2\plaque 2/@14 Testo 30/F2_03.tif "/>
    <s v=" 30606.3009 "/>
    <s v=" 80.9915 "/>
    <x v="0"/>
    <n v="2478851"/>
    <m/>
    <m/>
  </r>
  <r>
    <x v="14"/>
    <x v="6"/>
    <s v="F:\Données chgh\2020-CHG-CZA-BPA-2\plaque 2/@14 Testo 30/G2_01.tif "/>
    <s v=" 60174.3669 "/>
    <s v=" 77.3821 "/>
    <x v="0"/>
    <n v="4656419"/>
    <m/>
    <m/>
  </r>
  <r>
    <x v="14"/>
    <x v="6"/>
    <s v="F:\Données chgh\2020-CHG-CZA-BPA-2\plaque 2/@14 Testo 30/G2_02.tif "/>
    <s v=" 63613.5201 "/>
    <s v=" 75.9891 "/>
    <x v="0"/>
    <n v="4833935"/>
    <m/>
    <m/>
  </r>
  <r>
    <x v="14"/>
    <x v="6"/>
    <s v="F:\Données chgh\2020-CHG-CZA-BPA-2\plaque 2/@14 Testo 30/G2_03.tif "/>
    <s v=" 62467.1357 "/>
    <s v=" 75.8241 "/>
    <x v="0"/>
    <n v="4736514"/>
    <m/>
    <m/>
  </r>
  <r>
    <x v="14"/>
    <x v="7"/>
    <s v="F:\Données chgh\2020-CHG-CZA-BPA-2\plaque 2/@14 Testo 30/H2_01.tif "/>
    <s v=" 50094.836 "/>
    <s v=" 71.0898 "/>
    <x v="0"/>
    <n v="3561232"/>
    <m/>
    <m/>
  </r>
  <r>
    <x v="14"/>
    <x v="7"/>
    <s v="F:\Données chgh\2020-CHG-CZA-BPA-2\plaque 2/@14 Testo 30/H2_02.tif "/>
    <s v=" 45487.6684 "/>
    <s v=" 70.0761 "/>
    <x v="0"/>
    <n v="3187598"/>
    <m/>
    <m/>
  </r>
  <r>
    <x v="14"/>
    <x v="7"/>
    <s v="F:\Données chgh\2020-CHG-CZA-BPA-2\plaque 2/@14 Testo 30/H2_03.tif "/>
    <s v=" 49662.2381 "/>
    <s v=" 71.0627 "/>
    <x v="0"/>
    <n v="3529134"/>
    <m/>
    <m/>
  </r>
  <r>
    <x v="1"/>
    <x v="8"/>
    <s v=" "/>
    <m/>
    <m/>
    <x v="1"/>
    <m/>
    <m/>
    <m/>
  </r>
  <r>
    <x v="1"/>
    <x v="8"/>
    <s v="group "/>
    <s v=" "/>
    <s v=" mean of mean fluo "/>
    <x v="2"/>
    <s v=" mean of total fluo "/>
    <s v=" SD total fluo "/>
    <s v=" n fluorescent "/>
  </r>
  <r>
    <x v="14"/>
    <x v="9"/>
    <s v="F:\Données chgh\2020-CHG-CZA-BPA-2\plaque 2/@14 Testo 30/ "/>
    <s v=" "/>
    <s v=" 72.2357 "/>
    <x v="16"/>
    <s v=" 2974225.83 "/>
    <s v=" 1561658.1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BPA-2\plaque 2/@15 Testo + EE2/A3_01- exclu.tif"/>
    <m/>
    <m/>
    <x v="1"/>
    <m/>
    <m/>
    <m/>
  </r>
  <r>
    <x v="15"/>
    <x v="0"/>
    <s v="F:\Données chgh\2020-CHG-CZA-BPA-2\plaque 2/@15 Testo + EE2/A3_02.tif "/>
    <s v=" 60931.4132 "/>
    <s v=" 74.9045 "/>
    <x v="0"/>
    <n v="4564038"/>
    <m/>
    <m/>
  </r>
  <r>
    <x v="15"/>
    <x v="0"/>
    <s v="F:\Données chgh\2020-CHG-CZA-BPA-2\plaque 2/@15 Testo + EE2/A3_03.tif "/>
    <s v=" 60563.705 "/>
    <s v=" 74.9186 "/>
    <x v="0"/>
    <n v="4537346"/>
    <m/>
    <m/>
  </r>
  <r>
    <x v="15"/>
    <x v="1"/>
    <s v="F:\Données chgh\2020-CHG-CZA-BPA-2\plaque 2/@15 Testo + EE2/B3_01.tif "/>
    <s v=" 44103.3551 "/>
    <s v=" 83.6268 "/>
    <x v="0"/>
    <n v="3688221"/>
    <m/>
    <m/>
  </r>
  <r>
    <x v="15"/>
    <x v="1"/>
    <s v="F:\Données chgh\2020-CHG-CZA-BPA-2\plaque 2/@15 Testo + EE2/B3_02.tif "/>
    <s v=" 38912.1804 "/>
    <s v=" 83.2974 "/>
    <x v="0"/>
    <n v="3241283"/>
    <m/>
    <m/>
  </r>
  <r>
    <x v="15"/>
    <x v="1"/>
    <s v="F:\Données chgh\2020-CHG-CZA-BPA-2\plaque 2/@15 Testo + EE2/B3_03.tif "/>
    <s v=" 34023.8243 "/>
    <s v=" 85.7419 "/>
    <x v="0"/>
    <n v="2917267"/>
    <m/>
    <m/>
  </r>
  <r>
    <x v="15"/>
    <x v="2"/>
    <s v="F:\Données chgh\2020-CHG-CZA-BPA-2\plaque 2/@15 Testo + EE2/C3_01.tif "/>
    <s v=" 51565.6688 "/>
    <s v=" 74.3146 "/>
    <x v="0"/>
    <n v="3832082"/>
    <m/>
    <m/>
  </r>
  <r>
    <x v="15"/>
    <x v="2"/>
    <s v="F:\Données chgh\2020-CHG-CZA-BPA-2\plaque 2/@15 Testo + EE2/C3_02.tif "/>
    <s v=" 60044.5875 "/>
    <s v=" 75.0609 "/>
    <x v="0"/>
    <n v="4507000"/>
    <m/>
    <m/>
  </r>
  <r>
    <x v="15"/>
    <x v="2"/>
    <s v="F:\Données chgh\2020-CHG-CZA-BPA-2\plaque 2/@15 Testo + EE2/C3_03.tif "/>
    <s v=" 61277.4915 "/>
    <s v=" 73.1027 "/>
    <x v="0"/>
    <n v="4479551"/>
    <m/>
    <m/>
  </r>
  <r>
    <x v="15"/>
    <x v="3"/>
    <s v="F:\Données chgh\2020-CHG-CZA-BPA-2\plaque 2/@15 Testo + EE2/D3_01.tif "/>
    <s v=" 40512.7926 "/>
    <s v=" 72.3129 "/>
    <x v="0"/>
    <n v="2929596"/>
    <m/>
    <m/>
  </r>
  <r>
    <x v="15"/>
    <x v="3"/>
    <s v="F:\Données chgh\2020-CHG-CZA-BPA-2\plaque 2/@15 Testo + EE2/D3_02.tif "/>
    <s v=" 36446.3724 "/>
    <s v=" 71.1134 "/>
    <x v="0"/>
    <n v="2591824"/>
    <m/>
    <m/>
  </r>
  <r>
    <x v="15"/>
    <x v="3"/>
    <s v="F:\Données chgh\2020-CHG-CZA-BPA-2\plaque 2/@15 Testo + EE2/D3_03.tif "/>
    <s v=" 39452.9278 "/>
    <s v=" 74.1393 "/>
    <x v="0"/>
    <n v="2925011"/>
    <m/>
    <m/>
  </r>
  <r>
    <x v="15"/>
    <x v="4"/>
    <s v="F:\Données chgh\2020-CHG-CZA-BPA-2\plaque 2/@15 Testo + EE2/E3_01.tif "/>
    <s v=" 35754.2158 "/>
    <s v=" 70.5868 "/>
    <x v="0"/>
    <n v="2523776"/>
    <m/>
    <m/>
  </r>
  <r>
    <x v="15"/>
    <x v="4"/>
    <s v="F:\Données chgh\2020-CHG-CZA-BPA-2\plaque 2/@15 Testo + EE2/E3_02.tif "/>
    <s v=" 34261.7531 "/>
    <s v=" 70.4545 "/>
    <x v="0"/>
    <n v="2413896"/>
    <m/>
    <m/>
  </r>
  <r>
    <x v="15"/>
    <x v="4"/>
    <s v="F:\Données chgh\2020-CHG-CZA-BPA-2\plaque 2/@15 Testo + EE2/E3_03.tif "/>
    <s v=" 33353.2975 "/>
    <s v=" 70.3917 "/>
    <x v="0"/>
    <n v="2347795"/>
    <m/>
    <m/>
  </r>
  <r>
    <x v="15"/>
    <x v="5"/>
    <s v="F:\Données chgh\2020-CHG-CZA-BPA-2\plaque 2/@15 Testo + EE2/F3_01.tif "/>
    <s v=" 59460.5803 "/>
    <s v=" 80.8403 "/>
    <x v="0"/>
    <n v="4806811"/>
    <m/>
    <m/>
  </r>
  <r>
    <x v="15"/>
    <x v="5"/>
    <s v="F:\Données chgh\2020-CHG-CZA-BPA-2\plaque 2/@15 Testo + EE2/F3_02.tif "/>
    <s v=" 66706.595 "/>
    <s v=" 79.3074 "/>
    <x v="0"/>
    <n v="5290326"/>
    <m/>
    <m/>
  </r>
  <r>
    <x v="15"/>
    <x v="5"/>
    <s v="F:\Données chgh\2020-CHG-CZA-BPA-2\plaque 2/@15 Testo + EE2/F3_03.tif "/>
    <s v=" 59136.1319 "/>
    <s v=" 78.7396 "/>
    <x v="0"/>
    <n v="4656354"/>
    <m/>
    <m/>
  </r>
  <r>
    <x v="15"/>
    <x v="6"/>
    <s v="F:\Données chgh\2020-CHG-CZA-BPA-2\plaque 2/@15 Testo + EE2/G3_01.tif "/>
    <s v=" 49164.7505 "/>
    <s v=" 73.2996 "/>
    <x v="0"/>
    <n v="3603757"/>
    <m/>
    <m/>
  </r>
  <r>
    <x v="15"/>
    <x v="6"/>
    <s v="F:\Données chgh\2020-CHG-CZA-BPA-2\plaque 2/@15 Testo + EE2/G3_02.tif "/>
    <s v=" 48515.8537 "/>
    <s v=" 72.9652 "/>
    <x v="0"/>
    <n v="3539970"/>
    <m/>
    <m/>
  </r>
  <r>
    <x v="15"/>
    <x v="6"/>
    <s v="F:\Données chgh\2020-CHG-CZA-BPA-2\plaque 2/@15 Testo + EE2/G3_03.tif "/>
    <s v=" 49575.7185 "/>
    <s v=" 72.5908 "/>
    <x v="0"/>
    <n v="3598739"/>
    <m/>
    <m/>
  </r>
  <r>
    <x v="15"/>
    <x v="7"/>
    <s v="F:\Données chgh\2020-CHG-CZA-BPA-2\plaque 2/@15 Testo + EE2/H3_01.tif "/>
    <s v=" 55567.1993 "/>
    <s v=" 75.3636 "/>
    <x v="0"/>
    <n v="4187742"/>
    <m/>
    <m/>
  </r>
  <r>
    <x v="15"/>
    <x v="7"/>
    <s v="F:\Données chgh\2020-CHG-CZA-BPA-2\plaque 2/@15 Testo + EE2/H3_02.tif "/>
    <s v=" 54096.3665 "/>
    <s v=" 75.0876 "/>
    <x v="0"/>
    <n v="4061964"/>
    <m/>
    <m/>
  </r>
  <r>
    <x v="15"/>
    <x v="7"/>
    <s v="F:\Données chgh\2020-CHG-CZA-BPA-2\plaque 2/@15 Testo + EE2/H3_03.tif "/>
    <s v=" 58530.4949 "/>
    <s v=" 75.6138 "/>
    <x v="0"/>
    <n v="4425714"/>
    <m/>
    <m/>
  </r>
  <r>
    <x v="1"/>
    <x v="8"/>
    <s v=" "/>
    <m/>
    <m/>
    <x v="1"/>
    <m/>
    <m/>
    <m/>
  </r>
  <r>
    <x v="1"/>
    <x v="8"/>
    <s v="group "/>
    <s v=" "/>
    <s v=" mean of mean fluo "/>
    <x v="2"/>
    <s v=" mean of total fluo "/>
    <s v=" SD total fluo "/>
    <s v=" n fluorescent "/>
  </r>
  <r>
    <x v="15"/>
    <x v="9"/>
    <s v="F:\Données chgh\2020-CHG-CZA-BPA-2\plaque 2/@15 Testo + EE2/ "/>
    <s v=" "/>
    <s v=" 75.532 "/>
    <x v="17"/>
    <s v=" 3671441.12 "/>
    <s v=" 884692.7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BPA-2\plaque 2/@16 Testo + FAD/A4_01.tif "/>
    <s v=" 6618.7478 "/>
    <s v=" 67.4085 "/>
    <x v="0"/>
    <n v="446160"/>
    <m/>
    <m/>
  </r>
  <r>
    <x v="16"/>
    <x v="0"/>
    <s v="F:\Données chgh\2020-CHG-CZA-BPA-2\plaque 2/@16 Testo + FAD/A4_02.tif "/>
    <s v=" 4542.2779 "/>
    <s v=" 65.6619 "/>
    <x v="0"/>
    <n v="298255"/>
    <m/>
    <m/>
  </r>
  <r>
    <x v="16"/>
    <x v="0"/>
    <s v="F:\Données chgh\2020-CHG-CZA-BPA-2\plaque 2/@16 Testo + FAD/A4_03.tif "/>
    <s v=" 3157.9646 "/>
    <s v=" 65.7397 "/>
    <x v="0"/>
    <n v="207604"/>
    <m/>
    <m/>
  </r>
  <r>
    <x v="16"/>
    <x v="1"/>
    <s v="F:\Données chgh\2020-CHG-CZA-BPA-2\plaque 2/@16 Testo + FAD/B4_01.tif "/>
    <s v=" 5515.6231 "/>
    <s v=" 67.0588 "/>
    <x v="0"/>
    <n v="369871"/>
    <m/>
    <m/>
  </r>
  <r>
    <x v="16"/>
    <x v="1"/>
    <s v="F:\Données chgh\2020-CHG-CZA-BPA-2\plaque 2/@16 Testo + FAD/B4_02.tif "/>
    <s v=" 8457.2888 "/>
    <s v=" 78.1074 "/>
    <x v="0"/>
    <n v="660577"/>
    <m/>
    <m/>
  </r>
  <r>
    <x v="16"/>
    <x v="1"/>
    <s v="F:\Données chgh\2020-CHG-CZA-BPA-2\plaque 2/@16 Testo + FAD/B4_03.tif "/>
    <s v=" 10533.7587 "/>
    <s v=" 81.0308 "/>
    <x v="0"/>
    <n v="853559"/>
    <m/>
    <m/>
  </r>
  <r>
    <x v="16"/>
    <x v="2"/>
    <s v="F:\Données chgh\2020-CHG-CZA-BPA-2\plaque 2/@16 Testo + FAD/C4_01.tif "/>
    <s v=" 7656.9827 "/>
    <s v=" 67.709 "/>
    <x v="0"/>
    <n v="518447"/>
    <m/>
    <m/>
  </r>
  <r>
    <x v="16"/>
    <x v="2"/>
    <s v="F:\Données chgh\2020-CHG-CZA-BPA-2\plaque 2/@16 Testo + FAD/C4_02.tif "/>
    <s v=" 6770.157 "/>
    <s v=" 66.3067 "/>
    <x v="0"/>
    <n v="448907"/>
    <m/>
    <m/>
  </r>
  <r>
    <x v="16"/>
    <x v="2"/>
    <s v="F:\Données chgh\2020-CHG-CZA-BPA-2\plaque 2/@16 Testo + FAD/C4_03.tif "/>
    <s v=" 6056.3705 "/>
    <s v=" 66.8429 "/>
    <x v="0"/>
    <n v="404825"/>
    <m/>
    <m/>
  </r>
  <r>
    <x v="16"/>
    <x v="3"/>
    <s v="F:\Données chgh\2020-CHG-CZA-BPA-2\plaque 2/@16 Testo + FAD/D4_01.tif "/>
    <s v=" 1449.2029 "/>
    <s v=" 65.2239 "/>
    <x v="0"/>
    <n v="94523"/>
    <m/>
    <m/>
  </r>
  <r>
    <x v="16"/>
    <x v="3"/>
    <s v="F:\Données chgh\2020-CHG-CZA-BPA-2\plaque 2/@16 Testo + FAD/D4_02.tif "/>
    <s v=" 973.3453 "/>
    <s v=" 64.0444 "/>
    <x v="0"/>
    <n v="62337"/>
    <m/>
    <m/>
  </r>
  <r>
    <x v="16"/>
    <x v="3"/>
    <s v="F:\Données chgh\2020-CHG-CZA-BPA-2\plaque 2/@16 Testo + FAD/D4_03.tif "/>
    <s v=" 4347.6088 "/>
    <s v=" 69.8109 "/>
    <x v="0"/>
    <n v="303511"/>
    <m/>
    <m/>
  </r>
  <r>
    <x v="16"/>
    <x v="4"/>
    <s v="F:\Données chgh\2020-CHG-CZA-BPA-2\plaque 2/@16 Testo + FAD/E4_01.tif "/>
    <s v=" 4001.5305 "/>
    <s v=" 66.0541 "/>
    <x v="0"/>
    <n v="264317"/>
    <m/>
    <m/>
  </r>
  <r>
    <x v="16"/>
    <x v="4"/>
    <s v="F:\Données chgh\2020-CHG-CZA-BPA-2\plaque 2/@16 Testo + FAD/E4_02.tif "/>
    <s v=" 2184.6194 "/>
    <s v=" 65.4554 "/>
    <x v="0"/>
    <n v="142995"/>
    <m/>
    <m/>
  </r>
  <r>
    <x v="16"/>
    <x v="4"/>
    <s v="F:\Données chgh\2020-CHG-CZA-BPA-2\plaque 2/@16 Testo + FAD/E4_03.tif "/>
    <s v=" 713.7865 "/>
    <s v=" 64.1515 "/>
    <x v="0"/>
    <n v="45790"/>
    <m/>
    <m/>
  </r>
  <r>
    <x v="16"/>
    <x v="5"/>
    <s v="F:\Données chgh\2020-CHG-CZA-BPA-2\plaque 2/@16 Testo + FAD/F4_01.tif "/>
    <s v=" 4066.4202 "/>
    <s v=" 65.5213 "/>
    <x v="0"/>
    <n v="266437"/>
    <m/>
    <m/>
  </r>
  <r>
    <x v="16"/>
    <x v="5"/>
    <s v="F:\Données chgh\2020-CHG-CZA-BPA-2\plaque 2/@16 Testo + FAD/F4_02.tif "/>
    <s v=" 2249.509 "/>
    <s v=" 63.5481 "/>
    <x v="0"/>
    <n v="142952"/>
    <m/>
    <m/>
  </r>
  <r>
    <x v="16"/>
    <x v="5"/>
    <s v="F:\Données chgh\2020-CHG-CZA-BPA-2\plaque 2/@16 Testo + FAD/F4_03.tif "/>
    <s v=" 1687.1318 "/>
    <s v=" 64.2692 "/>
    <x v="0"/>
    <n v="108431"/>
    <m/>
    <m/>
  </r>
  <r>
    <x v="16"/>
    <x v="6"/>
    <s v="F:\Données chgh\2020-CHG-CZA-BPA-2\plaque 2/@16 Testo + FAD/G4_01.tif "/>
    <s v=" 10577.0185 "/>
    <s v=" 73.8344 "/>
    <x v="0"/>
    <n v="780947"/>
    <m/>
    <m/>
  </r>
  <r>
    <x v="16"/>
    <x v="6"/>
    <s v="F:\Données chgh\2020-CHG-CZA-BPA-2\plaque 2/@16 Testo + FAD/G4_02.tif "/>
    <s v=" 7721.8724 "/>
    <s v=" 72.4314 "/>
    <x v="0"/>
    <n v="559306"/>
    <m/>
    <m/>
  </r>
  <r>
    <x v="16"/>
    <x v="6"/>
    <s v="F:\Données chgh\2020-CHG-CZA-BPA-2\plaque 2/@16 Testo + FAD/G4_03.tif "/>
    <s v=" 2011.5802 "/>
    <s v=" 63.3441 "/>
    <x v="0"/>
    <n v="127422"/>
    <m/>
    <m/>
  </r>
  <r>
    <x v="16"/>
    <x v="7"/>
    <s v="F:\Données chgh\2020-CHG-CZA-BPA-2\plaque 2/@16 Testo + FAD/H4_01.tif "/>
    <s v=" 4109.68 "/>
    <s v=" 65.8105 "/>
    <x v="0"/>
    <n v="270460"/>
    <m/>
    <m/>
  </r>
  <r>
    <x v="16"/>
    <x v="7"/>
    <s v="F:\Données chgh\2020-CHG-CZA-BPA-2\plaque 2/@16 Testo + FAD/H4_02.tif "/>
    <s v=" 10620.2783 "/>
    <s v=" 73.8615 "/>
    <x v="0"/>
    <n v="784430"/>
    <m/>
    <m/>
  </r>
  <r>
    <x v="16"/>
    <x v="7"/>
    <s v="F:\Données chgh\2020-CHG-CZA-BPA-2\plaque 2/@16 Testo + FAD/H4_03.tif "/>
    <s v=" 6683.6374 "/>
    <s v=" 68.2913 "/>
    <x v="0"/>
    <n v="456434"/>
    <m/>
    <m/>
  </r>
  <r>
    <x v="1"/>
    <x v="8"/>
    <s v=" "/>
    <m/>
    <m/>
    <x v="1"/>
    <m/>
    <m/>
    <m/>
  </r>
  <r>
    <x v="1"/>
    <x v="8"/>
    <s v="group "/>
    <s v=" "/>
    <s v=" mean of mean fluo "/>
    <x v="2"/>
    <s v=" mean of total fluo "/>
    <s v=" SD total fluo "/>
    <s v=" n fluorescent "/>
  </r>
  <r>
    <x v="16"/>
    <x v="9"/>
    <s v="F:\Données chgh\2020-CHG-CZA-BPA-2\plaque 2/@16 Testo + FAD/ "/>
    <s v=" "/>
    <s v=" 67.9799 "/>
    <x v="18"/>
    <s v=" 359104.042 "/>
    <s v=" 238507.3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BPA-2\plaque 2/@17 Testo +  BPA 1/A5_01.tif "/>
    <s v=" 48926.8217 "/>
    <s v=" 71.5199 "/>
    <x v="0"/>
    <n v="3499241"/>
    <m/>
    <m/>
  </r>
  <r>
    <x v="17"/>
    <x v="0"/>
    <s v="F:\Données chgh\2020-CHG-CZA-BPA-2\plaque 2/@17 Testo +  BPA 1/A5_02.tif "/>
    <s v=" 54420.8149 "/>
    <s v=" 72.3744 "/>
    <x v="0"/>
    <n v="3938674"/>
    <m/>
    <m/>
  </r>
  <r>
    <x v="17"/>
    <x v="0"/>
    <s v="F:\Données chgh\2020-CHG-CZA-BPA-2\plaque 2/@17 Testo +  BPA 1/A5_03.tif "/>
    <s v=" 39474.5577 "/>
    <s v=" 69.9414 "/>
    <x v="0"/>
    <n v="2760905"/>
    <m/>
    <m/>
  </r>
  <r>
    <x v="17"/>
    <x v="1"/>
    <s v="F:\Données chgh\2020-CHG-CZA-BPA-2\plaque 2/@17 Testo +  BPA 1/B5_01.tif "/>
    <s v=" 40404.6432 "/>
    <s v=" 76.0642 "/>
    <x v="0"/>
    <n v="3073348"/>
    <m/>
    <m/>
  </r>
  <r>
    <x v="17"/>
    <x v="1"/>
    <s v="F:\Données chgh\2020-CHG-CZA-BPA-2\plaque 2/@17 Testo +  BPA 1/B5_02.tif "/>
    <s v=" 41399.6183 "/>
    <s v=" 76.256 "/>
    <x v="0"/>
    <n v="3156970"/>
    <m/>
    <m/>
  </r>
  <r>
    <x v="17"/>
    <x v="1"/>
    <s v="F:\Données chgh\2020-CHG-CZA-BPA-2\plaque 2/@17 Testo +  BPA 1/B5_03- exclu.tif"/>
    <m/>
    <m/>
    <x v="1"/>
    <m/>
    <m/>
    <m/>
  </r>
  <r>
    <x v="17"/>
    <x v="2"/>
    <s v="F:\Données chgh\2020-CHG-CZA-BPA-2\plaque 2/@17 Testo +  BPA 1/C5_01.tif "/>
    <s v=" 29286.8773 "/>
    <s v=" 68.274 "/>
    <x v="0"/>
    <n v="1999532"/>
    <m/>
    <m/>
  </r>
  <r>
    <x v="17"/>
    <x v="2"/>
    <s v="F:\Données chgh\2020-CHG-CZA-BPA-2\plaque 2/@17 Testo +  BPA 1/C5_02.tif "/>
    <s v=" 36035.4045 "/>
    <s v=" 71.1687 "/>
    <x v="0"/>
    <n v="2564592"/>
    <m/>
    <m/>
  </r>
  <r>
    <x v="17"/>
    <x v="2"/>
    <s v="F:\Données chgh\2020-CHG-CZA-BPA-2\plaque 2/@17 Testo +  BPA 1/C5_03.tif "/>
    <s v=" 33483.0769 "/>
    <s v=" 69.9348 "/>
    <x v="0"/>
    <n v="2341631"/>
    <m/>
    <m/>
  </r>
  <r>
    <x v="17"/>
    <x v="3"/>
    <s v="F:\Données chgh\2020-CHG-CZA-BPA-2\plaque 2/@17 Testo +  BPA 1/D5_01.tif "/>
    <s v=" 25696.3148 "/>
    <s v=" 77.2239 "/>
    <x v="0"/>
    <n v="1984370"/>
    <m/>
    <m/>
  </r>
  <r>
    <x v="17"/>
    <x v="3"/>
    <s v="F:\Données chgh\2020-CHG-CZA-BPA-2\plaque 2/@17 Testo +  BPA 1/D5_02.tif "/>
    <s v=" 26842.6992 "/>
    <s v=" 71.0967 "/>
    <x v="0"/>
    <n v="1908427"/>
    <m/>
    <m/>
  </r>
  <r>
    <x v="17"/>
    <x v="3"/>
    <s v="F:\Données chgh\2020-CHG-CZA-BPA-2\plaque 2/@17 Testo +  BPA 1/D5_03.tif "/>
    <s v=" 26756.1797 "/>
    <s v=" 73.8941 "/>
    <x v="0"/>
    <n v="1977124"/>
    <m/>
    <m/>
  </r>
  <r>
    <x v="17"/>
    <x v="4"/>
    <s v="F:\Données chgh\2020-CHG-CZA-BPA-2\plaque 2/@17 Testo +  BPA 1/E5_01.tif "/>
    <s v=" 46396.124 "/>
    <s v=" 79.5207 "/>
    <x v="0"/>
    <n v="3689454"/>
    <m/>
    <m/>
  </r>
  <r>
    <x v="17"/>
    <x v="4"/>
    <s v="F:\Données chgh\2020-CHG-CZA-BPA-2\plaque 2/@17 Testo +  BPA 1/E5_02.tif "/>
    <s v=" 45422.7787 "/>
    <s v=" 80.4971 "/>
    <x v="0"/>
    <n v="3656404"/>
    <m/>
    <m/>
  </r>
  <r>
    <x v="17"/>
    <x v="4"/>
    <s v="F:\Données chgh\2020-CHG-CZA-BPA-2\plaque 2/@17 Testo +  BPA 1/E5_03.tif "/>
    <s v=" 45985.156 "/>
    <s v=" 79.2018 "/>
    <x v="0"/>
    <n v="3642107"/>
    <m/>
    <m/>
  </r>
  <r>
    <x v="17"/>
    <x v="5"/>
    <s v="F:\Données chgh\2020-CHG-CZA-BPA-2\plaque 2/@17 Testo +  BPA 1/F5_01.tif "/>
    <s v=" 59179.3917 "/>
    <s v=" 77.2763 "/>
    <x v="0"/>
    <n v="4573165"/>
    <m/>
    <m/>
  </r>
  <r>
    <x v="17"/>
    <x v="5"/>
    <s v="F:\Données chgh\2020-CHG-CZA-BPA-2\plaque 2/@17 Testo +  BPA 1/F5_02.tif "/>
    <s v=" 65062.723 "/>
    <s v=" 77.607 "/>
    <x v="0"/>
    <n v="5049326"/>
    <m/>
    <m/>
  </r>
  <r>
    <x v="17"/>
    <x v="5"/>
    <s v="F:\Données chgh\2020-CHG-CZA-BPA-2\plaque 2/@17 Testo +  BPA 1/F5_03.tif "/>
    <s v=" 62510.3955 "/>
    <s v=" 77.8862 "/>
    <x v="0"/>
    <n v="4868695"/>
    <m/>
    <m/>
  </r>
  <r>
    <x v="17"/>
    <x v="6"/>
    <s v="F:\Données chgh\2020-CHG-CZA-BPA-2\plaque 2/@17 Testo +  BPA 1/G5_01.tif "/>
    <s v=" 58595.3845 "/>
    <s v=" 81.2348 "/>
    <x v="0"/>
    <n v="4759983"/>
    <m/>
    <m/>
  </r>
  <r>
    <x v="17"/>
    <x v="6"/>
    <s v="F:\Données chgh\2020-CHG-CZA-BPA-2\plaque 2/@17 Testo +  BPA 1/G5_02.tif "/>
    <s v=" 53252.8006 "/>
    <s v=" 79.9622 "/>
    <x v="0"/>
    <n v="4258212"/>
    <m/>
    <m/>
  </r>
  <r>
    <x v="17"/>
    <x v="6"/>
    <s v="F:\Données chgh\2020-CHG-CZA-BPA-2\plaque 2/@17 Testo +  BPA 1/G5_03- exclu.tif"/>
    <m/>
    <m/>
    <x v="1"/>
    <m/>
    <m/>
    <m/>
  </r>
  <r>
    <x v="17"/>
    <x v="7"/>
    <s v="F:\Données chgh\2020-CHG-CZA-BPA-2\plaque 2/@17 Testo +  BPA 1/H5_01.tif "/>
    <s v=" 48364.4444 "/>
    <s v=" 73.4401 "/>
    <x v="0"/>
    <n v="3551888"/>
    <m/>
    <m/>
  </r>
  <r>
    <x v="17"/>
    <x v="7"/>
    <s v="F:\Données chgh\2020-CHG-CZA-BPA-2\plaque 2/@17 Testo +  BPA 1/H5_02.tif "/>
    <s v=" 40880.5008 "/>
    <s v=" 72.1519 "/>
    <x v="0"/>
    <n v="2949604"/>
    <m/>
    <m/>
  </r>
  <r>
    <x v="17"/>
    <x v="7"/>
    <s v="F:\Données chgh\2020-CHG-CZA-BPA-2\plaque 2/@17 Testo +  BPA 1/H5_03.tif "/>
    <s v=" 40664.2019 "/>
    <s v=" 69.9234 "/>
    <x v="0"/>
    <n v="2843379"/>
    <m/>
    <m/>
  </r>
  <r>
    <x v="1"/>
    <x v="8"/>
    <s v=" "/>
    <m/>
    <m/>
    <x v="1"/>
    <m/>
    <m/>
    <m/>
  </r>
  <r>
    <x v="1"/>
    <x v="8"/>
    <s v="group "/>
    <s v=" "/>
    <s v=" mean of mean fluo "/>
    <x v="2"/>
    <s v=" mean of total fluo "/>
    <s v=" SD total fluo "/>
    <s v=" n fluorescent "/>
  </r>
  <r>
    <x v="17"/>
    <x v="9"/>
    <s v="F:\Données chgh\2020-CHG-CZA-BPA-2\plaque 2/@17 Testo +  BPA 1/ "/>
    <s v=" "/>
    <s v=" 75.0121 "/>
    <x v="19"/>
    <s v=" 3320183.42 "/>
    <s v=" 999159.38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BPA-2\plaque 2/@18  Testo +  BPA 2/A6_01.tif "/>
    <s v=" 39452.9278 "/>
    <s v=" 79.693 "/>
    <x v="0"/>
    <n v="3144121"/>
    <m/>
    <m/>
  </r>
  <r>
    <x v="18"/>
    <x v="0"/>
    <s v="F:\Données chgh\2020-CHG-CZA-BPA-2\plaque 2/@18  Testo +  BPA 2/A6_02.tif "/>
    <s v=" 38630.9918 "/>
    <s v=" 79.1993 "/>
    <x v="0"/>
    <n v="3059549"/>
    <m/>
    <m/>
  </r>
  <r>
    <x v="18"/>
    <x v="0"/>
    <s v="F:\Données chgh\2020-CHG-CZA-BPA-2\plaque 2/@18  Testo +  BPA 2/A6_03.tif "/>
    <s v=" 41724.0667 "/>
    <s v=" 80.2758 "/>
    <x v="0"/>
    <n v="3349432"/>
    <m/>
    <m/>
  </r>
  <r>
    <x v="18"/>
    <x v="1"/>
    <s v="F:\Données chgh\2020-CHG-CZA-BPA-2\plaque 2/@18  Testo +  BPA 2/B6_01.tif "/>
    <s v=" 81566.3326 "/>
    <s v=" 85.0379 "/>
    <x v="0"/>
    <n v="6936231"/>
    <m/>
    <m/>
  </r>
  <r>
    <x v="18"/>
    <x v="1"/>
    <s v="F:\Données chgh\2020-CHG-CZA-BPA-2\plaque 2/@18  Testo +  BPA 2/B6_02.tif "/>
    <s v=" 80592.9874 "/>
    <s v=" 85.9675 "/>
    <x v="0"/>
    <n v="6928380"/>
    <m/>
    <m/>
  </r>
  <r>
    <x v="18"/>
    <x v="1"/>
    <s v="F:\Données chgh\2020-CHG-CZA-BPA-2\plaque 2/@18  Testo +  BPA 2/B6_03.tif "/>
    <s v=" 75445.0725 "/>
    <s v=" 86.076 "/>
    <x v="0"/>
    <n v="6494008"/>
    <m/>
    <m/>
  </r>
  <r>
    <x v="18"/>
    <x v="2"/>
    <s v="F:\Données chgh\2020-CHG-CZA-BPA-2\plaque 2/@18  Testo +  BPA 2/C6_01- exclu.tif"/>
    <m/>
    <m/>
    <x v="1"/>
    <m/>
    <m/>
    <m/>
  </r>
  <r>
    <x v="18"/>
    <x v="2"/>
    <s v="F:\Données chgh\2020-CHG-CZA-BPA-2\plaque 2/@18  Testo +  BPA 2/C6_02.tif "/>
    <s v=" 77456.6527 "/>
    <s v=" 90.3815 "/>
    <x v="0"/>
    <n v="7000645"/>
    <m/>
    <m/>
  </r>
  <r>
    <x v="18"/>
    <x v="2"/>
    <s v="F:\Données chgh\2020-CHG-CZA-BPA-2\plaque 2/@18  Testo +  BPA 2/C6_03.tif "/>
    <s v=" 75942.56 "/>
    <s v=" 87.0994 "/>
    <x v="0"/>
    <n v="6614552"/>
    <m/>
    <m/>
  </r>
  <r>
    <x v="18"/>
    <x v="3"/>
    <s v="F:\Données chgh\2020-CHG-CZA-BPA-2\plaque 2/@18  Testo +  BPA 2/D6_01.tif "/>
    <s v=" 54637.1138 "/>
    <s v=" 87.3785 "/>
    <x v="0"/>
    <n v="4774107"/>
    <m/>
    <m/>
  </r>
  <r>
    <x v="18"/>
    <x v="3"/>
    <s v="F:\Données chgh\2020-CHG-CZA-BPA-2\plaque 2/@18  Testo +  BPA 2/D6_02.tif "/>
    <s v=" 54593.854 "/>
    <s v=" 89.2116 "/>
    <x v="0"/>
    <n v="4870403"/>
    <m/>
    <m/>
  </r>
  <r>
    <x v="18"/>
    <x v="3"/>
    <s v="F:\Données chgh\2020-CHG-CZA-BPA-2\plaque 2/@18  Testo +  BPA 2/D6_03.tif "/>
    <s v=" 53707.0284 "/>
    <s v=" 85.1015 "/>
    <x v="0"/>
    <n v="4570548"/>
    <m/>
    <m/>
  </r>
  <r>
    <x v="18"/>
    <x v="4"/>
    <s v="F:\Données chgh\2020-CHG-CZA-BPA-2\plaque 2/@18  Testo +  BPA 2/E6_01.tif "/>
    <s v=" 60931.4132 "/>
    <s v=" 96.5449 "/>
    <x v="0"/>
    <n v="5882618"/>
    <m/>
    <m/>
  </r>
  <r>
    <x v="18"/>
    <x v="4"/>
    <s v="F:\Données chgh\2020-CHG-CZA-BPA-2\plaque 2/@18  Testo +  BPA 2/E6_02.tif "/>
    <s v=" 60109.4772 "/>
    <s v=" 97.5819 "/>
    <x v="0"/>
    <n v="5865595"/>
    <m/>
    <m/>
  </r>
  <r>
    <x v="18"/>
    <x v="4"/>
    <s v="F:\Données chgh\2020-CHG-CZA-BPA-2\plaque 2/@18  Testo +  BPA 2/E6_03.tif "/>
    <s v=" 51111.441 "/>
    <s v=" 97.0355 "/>
    <x v="0"/>
    <n v="4959627"/>
    <m/>
    <m/>
  </r>
  <r>
    <x v="18"/>
    <x v="5"/>
    <s v="F:\Données chgh\2020-CHG-CZA-BPA-2\plaque 2/@18  Testo +  BPA 2/F6_01.tif "/>
    <s v=" 52733.6831 "/>
    <s v=" 75.6058 "/>
    <x v="0"/>
    <n v="3986974"/>
    <m/>
    <m/>
  </r>
  <r>
    <x v="18"/>
    <x v="5"/>
    <s v="F:\Données chgh\2020-CHG-CZA-BPA-2\plaque 2/@18  Testo +  BPA 2/F6_02.tif "/>
    <s v=" 52301.0852 "/>
    <s v=" 76.6663 "/>
    <x v="0"/>
    <n v="4009728"/>
    <m/>
    <m/>
  </r>
  <r>
    <x v="18"/>
    <x v="5"/>
    <s v="F:\Données chgh\2020-CHG-CZA-BPA-2\plaque 2/@18  Testo +  BPA 2/F6_03.tif "/>
    <s v=" 48948.4515 "/>
    <s v=" 74.5404 "/>
    <x v="0"/>
    <n v="3648639"/>
    <m/>
    <m/>
  </r>
  <r>
    <x v="18"/>
    <x v="6"/>
    <s v="F:\Données chgh\2020-CHG-CZA-BPA-2\plaque 2/@18  Testo +  BPA 2/G6_01.tif "/>
    <s v=" 79187.0442 "/>
    <s v=" 90.6127 "/>
    <x v="0"/>
    <n v="7175350"/>
    <m/>
    <m/>
  </r>
  <r>
    <x v="18"/>
    <x v="6"/>
    <s v="F:\Données chgh\2020-CHG-CZA-BPA-2\plaque 2/@18  Testo +  BPA 2/G6_02- exclu.tif"/>
    <m/>
    <m/>
    <x v="1"/>
    <m/>
    <m/>
    <m/>
  </r>
  <r>
    <x v="18"/>
    <x v="6"/>
    <s v="F:\Données chgh\2020-CHG-CZA-BPA-2\plaque 2/@18  Testo +  BPA 2/G6_03.tif "/>
    <s v=" 71486.8017 "/>
    <s v=" 92.3398 "/>
    <x v="0"/>
    <n v="6601076"/>
    <m/>
    <m/>
  </r>
  <r>
    <x v="18"/>
    <x v="7"/>
    <s v="F:\Données chgh\2020-CHG-CZA-BPA-2\plaque 2/@18  Testo +  BPA 2/H6_01.tif "/>
    <s v=" 54074.7366 "/>
    <s v=" 82.8816 "/>
    <x v="0"/>
    <n v="4481801"/>
    <m/>
    <m/>
  </r>
  <r>
    <x v="18"/>
    <x v="7"/>
    <s v="F:\Données chgh\2020-CHG-CZA-BPA-2\plaque 2/@18  Testo +  BPA 2/H6_02.tif "/>
    <s v=" 53728.6583 "/>
    <s v=" 84.7685 "/>
    <x v="0"/>
    <n v="4554499"/>
    <m/>
    <m/>
  </r>
  <r>
    <x v="18"/>
    <x v="7"/>
    <s v="F:\Données chgh\2020-CHG-CZA-BPA-2\plaque 2/@18  Testo +  BPA 2/H6_03- exclu.tif"/>
    <m/>
    <m/>
    <x v="1"/>
    <m/>
    <m/>
    <m/>
  </r>
  <r>
    <x v="1"/>
    <x v="8"/>
    <s v=" "/>
    <m/>
    <m/>
    <x v="1"/>
    <m/>
    <m/>
    <m/>
  </r>
  <r>
    <x v="1"/>
    <x v="8"/>
    <s v="group "/>
    <s v=" "/>
    <s v=" mean of mean fluo "/>
    <x v="2"/>
    <s v=" mean of total fluo "/>
    <s v=" SD total fluo "/>
    <s v=" n fluorescent "/>
  </r>
  <r>
    <x v="18"/>
    <x v="9"/>
    <s v="F:\Données chgh\2020-CHG-CZA-BPA-2\plaque 2/@18  Testo +  BPA 2/ "/>
    <s v=" "/>
    <s v=" 85.7391 "/>
    <x v="20"/>
    <s v=" 5204561.88 "/>
    <s v=" 1356320.8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BPA-2\plaque 2/@19 Testo + BPA 3/A7_01- exclu.tif"/>
    <m/>
    <m/>
    <x v="1"/>
    <m/>
    <m/>
    <m/>
  </r>
  <r>
    <x v="19"/>
    <x v="0"/>
    <s v="F:\Données chgh\2020-CHG-CZA-BPA-2\plaque 2/@19 Testo + BPA 3/A7_02.tif "/>
    <s v=" 37873.9455 "/>
    <s v=" 92.442 "/>
    <x v="0"/>
    <n v="3501145"/>
    <m/>
    <m/>
  </r>
  <r>
    <x v="19"/>
    <x v="0"/>
    <s v="F:\Données chgh\2020-CHG-CZA-BPA-2\plaque 2/@19 Testo + BPA 3/A7_03.tif "/>
    <s v=" 32250.1729 "/>
    <s v=" 95.3159 "/>
    <x v="0"/>
    <n v="3073954"/>
    <m/>
    <m/>
  </r>
  <r>
    <x v="19"/>
    <x v="1"/>
    <s v="F:\Données chgh\2020-CHG-CZA-BPA-2\plaque 2/@19 Testo + BPA 3/B7_01.tif "/>
    <s v=" 43930.316 "/>
    <s v=" 70.3934 "/>
    <x v="0"/>
    <n v="3092404"/>
    <m/>
    <m/>
  </r>
  <r>
    <x v="19"/>
    <x v="1"/>
    <s v="F:\Données chgh\2020-CHG-CZA-BPA-2\plaque 2/@19 Testo + BPA 3/B7_02.tif "/>
    <s v=" 38782.4011 "/>
    <s v=" 67.6676 "/>
    <x v="0"/>
    <n v="2624312"/>
    <m/>
    <m/>
  </r>
  <r>
    <x v="19"/>
    <x v="1"/>
    <s v="F:\Données chgh\2020-CHG-CZA-BPA-2\plaque 2/@19 Testo + BPA 3/B7_03.tif "/>
    <s v=" 41313.0987 "/>
    <s v=" 68.9325 "/>
    <x v="0"/>
    <n v="2847814"/>
    <m/>
    <m/>
  </r>
  <r>
    <x v="19"/>
    <x v="2"/>
    <s v="F:\Données chgh\2020-CHG-CZA-BPA-2\plaque 2/@19 Testo + BPA 3/C7_01.tif "/>
    <s v=" 55653.7189 "/>
    <s v=" 87.8741 "/>
    <x v="0"/>
    <n v="4890519"/>
    <m/>
    <m/>
  </r>
  <r>
    <x v="19"/>
    <x v="2"/>
    <s v="F:\Données chgh\2020-CHG-CZA-BPA-2\plaque 2/@19 Testo + BPA 3/C7_02.tif "/>
    <s v=" 53512.3593 "/>
    <s v=" 90.1374 "/>
    <x v="0"/>
    <n v="4823467"/>
    <m/>
    <m/>
  </r>
  <r>
    <x v="19"/>
    <x v="2"/>
    <s v="F:\Données chgh\2020-CHG-CZA-BPA-2\plaque 2/@19 Testo + BPA 3/C7_03.tif "/>
    <s v=" 56908.2528 "/>
    <s v=" 89.9745 "/>
    <x v="0"/>
    <n v="5120294"/>
    <m/>
    <m/>
  </r>
  <r>
    <x v="19"/>
    <x v="3"/>
    <s v="F:\Données chgh\2020-CHG-CZA-BPA-2\plaque 2/@19 Testo + BPA 3/D7_01.tif "/>
    <s v=" 48364.4444 "/>
    <s v=" 93.1494 "/>
    <x v="0"/>
    <n v="4505118"/>
    <m/>
    <m/>
  </r>
  <r>
    <x v="19"/>
    <x v="3"/>
    <s v="F:\Données chgh\2020-CHG-CZA-BPA-2\plaque 2/@19 Testo + BPA 3/D7_02.tif "/>
    <s v=" 46807.092 "/>
    <s v=" 92.7412 "/>
    <x v="0"/>
    <n v="4340947"/>
    <m/>
    <m/>
  </r>
  <r>
    <x v="19"/>
    <x v="3"/>
    <s v="F:\Données chgh\2020-CHG-CZA-BPA-2\plaque 2/@19 Testo + BPA 3/D7_03.tif "/>
    <s v=" 52906.7223 "/>
    <s v=" 91.5626 "/>
    <x v="0"/>
    <n v="4844274"/>
    <m/>
    <m/>
  </r>
  <r>
    <x v="19"/>
    <x v="4"/>
    <s v="F:\Données chgh\2020-CHG-CZA-BPA-2\plaque 2/@19 Testo + BPA 3/E7_01.tif "/>
    <s v=" 74709.656 "/>
    <s v=" 78.6378 "/>
    <x v="0"/>
    <n v="5875004"/>
    <m/>
    <m/>
  </r>
  <r>
    <x v="19"/>
    <x v="4"/>
    <s v="F:\Données chgh\2020-CHG-CZA-BPA-2\plaque 2/@19 Testo + BPA 3/E7_02.tif "/>
    <s v=" 68393.7268 "/>
    <s v=" 80.7723 "/>
    <x v="0"/>
    <n v="5524318"/>
    <m/>
    <m/>
  </r>
  <r>
    <x v="19"/>
    <x v="4"/>
    <s v="F:\Données chgh\2020-CHG-CZA-BPA-2\plaque 2/@19 Testo + BPA 3/E7_03.tif "/>
    <s v=" 77348.5032 "/>
    <s v=" 78.403 "/>
    <x v="0"/>
    <n v="6064352"/>
    <m/>
    <m/>
  </r>
  <r>
    <x v="19"/>
    <x v="5"/>
    <s v="F:\Données chgh\2020-CHG-CZA-BPA-2\plaque 2/@19 Testo + BPA 3/F7_01.tif "/>
    <s v=" 68631.6557 "/>
    <s v=" 80.8481 "/>
    <x v="0"/>
    <n v="5548738"/>
    <m/>
    <m/>
  </r>
  <r>
    <x v="19"/>
    <x v="5"/>
    <s v="F:\Données chgh\2020-CHG-CZA-BPA-2\plaque 2/@19 Testo + BPA 3/F7_02.tif "/>
    <s v=" 63808.1892 "/>
    <s v=" 79.158 "/>
    <x v="0"/>
    <n v="5050926"/>
    <m/>
    <m/>
  </r>
  <r>
    <x v="19"/>
    <x v="5"/>
    <s v="F:\Données chgh\2020-CHG-CZA-BPA-2\plaque 2/@19 Testo + BPA 3/F7_03.tif "/>
    <s v=" 64803.1643 "/>
    <s v=" 80.6689 "/>
    <x v="0"/>
    <n v="5227599"/>
    <m/>
    <m/>
  </r>
  <r>
    <x v="19"/>
    <x v="6"/>
    <s v="F:\Données chgh\2020-CHG-CZA-BPA-2\plaque 2/@19 Testo + BPA 3/G7_01.tif "/>
    <s v=" 51781.9677 "/>
    <s v=" 77.2322 "/>
    <x v="0"/>
    <n v="3999238"/>
    <m/>
    <m/>
  </r>
  <r>
    <x v="19"/>
    <x v="6"/>
    <s v="F:\Données chgh\2020-CHG-CZA-BPA-2\plaque 2/@19 Testo + BPA 3/G7_02.tif "/>
    <s v=" 44016.8356 "/>
    <s v=" 75.1125 "/>
    <x v="0"/>
    <n v="3306216"/>
    <m/>
    <m/>
  </r>
  <r>
    <x v="19"/>
    <x v="6"/>
    <s v="F:\Données chgh\2020-CHG-CZA-BPA-2\plaque 2/@19 Testo + BPA 3/G7_03.tif "/>
    <s v=" 48861.932 "/>
    <s v=" 77.7402 "/>
    <x v="0"/>
    <n v="3798534"/>
    <m/>
    <m/>
  </r>
  <r>
    <x v="19"/>
    <x v="7"/>
    <s v="F:\Données chgh\2020-CHG-CZA-BPA-2\plaque 2/@19 Testo + BPA 3/H7_01.tif "/>
    <s v=" 77954.1402 "/>
    <s v=" 90.2969 "/>
    <x v="0"/>
    <n v="7039017"/>
    <m/>
    <m/>
  </r>
  <r>
    <x v="19"/>
    <x v="7"/>
    <s v="F:\Données chgh\2020-CHG-CZA-BPA-2\plaque 2/@19 Testo + BPA 3/H7_02.tif "/>
    <s v=" 76072.3394 "/>
    <s v=" 89.0014 "/>
    <x v="0"/>
    <n v="6770546"/>
    <m/>
    <m/>
  </r>
  <r>
    <x v="19"/>
    <x v="7"/>
    <s v="F:\Données chgh\2020-CHG-CZA-BPA-2\plaque 2/@19 Testo + BPA 3/H7_03.tif "/>
    <s v=" 69431.9618 "/>
    <s v=" 85.7785 "/>
    <x v="0"/>
    <n v="5955770"/>
    <m/>
    <m/>
  </r>
  <r>
    <x v="1"/>
    <x v="8"/>
    <s v=" "/>
    <m/>
    <m/>
    <x v="1"/>
    <m/>
    <m/>
    <m/>
  </r>
  <r>
    <x v="1"/>
    <x v="8"/>
    <s v="group "/>
    <s v=" "/>
    <s v=" mean of mean fluo "/>
    <x v="2"/>
    <s v=" mean of total fluo "/>
    <s v=" SD total fluo "/>
    <s v=" n fluorescent "/>
  </r>
  <r>
    <x v="19"/>
    <x v="9"/>
    <s v="F:\Données chgh\2020-CHG-CZA-BPA-2\plaque 2/@19 Testo + BPA 3/ "/>
    <s v=" "/>
    <s v=" 83.8466 "/>
    <x v="21"/>
    <s v=" 4624750.88 "/>
    <s v=" 1262365.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BPA-2\plaque 2/@20 Testo +  BPA 4/A8_01.tif "/>
    <s v=" 68999.3639 "/>
    <s v=" 87.9392 "/>
    <x v="0"/>
    <n v="6067748"/>
    <m/>
    <m/>
  </r>
  <r>
    <x v="20"/>
    <x v="0"/>
    <s v="F:\Données chgh\2020-CHG-CZA-BPA-2\plaque 2/@20 Testo +  BPA 4/A8_02.tif "/>
    <s v=" 60823.2637 "/>
    <s v=" 88.6565 "/>
    <x v="0"/>
    <n v="5392376"/>
    <m/>
    <m/>
  </r>
  <r>
    <x v="20"/>
    <x v="0"/>
    <s v="F:\Données chgh\2020-CHG-CZA-BPA-2\plaque 2/@20 Testo +  BPA 4/A8_03.tif "/>
    <s v=" 58249.3062 "/>
    <s v=" 90.2395 "/>
    <x v="0"/>
    <n v="5256389"/>
    <m/>
    <m/>
  </r>
  <r>
    <x v="20"/>
    <x v="1"/>
    <s v="F:\Données chgh\2020-CHG-CZA-BPA-2\plaque 2/@20 Testo +  BPA 4/B8_01.tif "/>
    <s v=" 88963.7566 "/>
    <s v=" 94.6083 "/>
    <x v="0"/>
    <n v="8416711"/>
    <m/>
    <m/>
  </r>
  <r>
    <x v="20"/>
    <x v="1"/>
    <s v="F:\Données chgh\2020-CHG-CZA-BPA-2\plaque 2/@20 Testo +  BPA 4/B8_02.tif "/>
    <s v=" 83275.0943 "/>
    <s v=" 95.6395 "/>
    <x v="0"/>
    <n v="7964387"/>
    <m/>
    <m/>
  </r>
  <r>
    <x v="20"/>
    <x v="1"/>
    <s v="F:\Données chgh\2020-CHG-CZA-BPA-2\plaque 2/@20 Testo +  BPA 4/B8_03.tif "/>
    <s v=" 79424.9731 "/>
    <s v=" 97.1863 "/>
    <x v="0"/>
    <n v="7719017"/>
    <m/>
    <m/>
  </r>
  <r>
    <x v="20"/>
    <x v="2"/>
    <s v="F:\Données chgh\2020-CHG-CZA-BPA-2\plaque 2/@20 Testo +  BPA 4/C8_01.tif "/>
    <s v=" 80917.4358 "/>
    <s v=" 88.5993 "/>
    <x v="0"/>
    <n v="7169229"/>
    <m/>
    <m/>
  </r>
  <r>
    <x v="20"/>
    <x v="2"/>
    <s v="F:\Données chgh\2020-CHG-CZA-BPA-2\plaque 2/@20 Testo +  BPA 4/C8_02.tif "/>
    <s v=" 81501.443 "/>
    <s v=" 89.6712 "/>
    <x v="0"/>
    <n v="7308330"/>
    <m/>
    <m/>
  </r>
  <r>
    <x v="20"/>
    <x v="2"/>
    <s v="F:\Données chgh\2020-CHG-CZA-BPA-2\plaque 2/@20 Testo +  BPA 4/C8_03.tif "/>
    <s v=" 83556.283 "/>
    <s v=" 89.752 "/>
    <x v="0"/>
    <n v="7499344"/>
    <m/>
    <m/>
  </r>
  <r>
    <x v="20"/>
    <x v="3"/>
    <s v="F:\Données chgh\2020-CHG-CZA-BPA-2\plaque 2/@20 Testo +  BPA 4/D8_01.tif "/>
    <s v=" 48148.1454 "/>
    <s v=" 83.7466 "/>
    <x v="0"/>
    <n v="4032245"/>
    <m/>
    <m/>
  </r>
  <r>
    <x v="20"/>
    <x v="3"/>
    <s v="F:\Données chgh\2020-CHG-CZA-BPA-2\plaque 2/@20 Testo +  BPA 4/D8_02.tif "/>
    <s v=" 47931.8465 "/>
    <s v=" 81.1588 "/>
    <x v="0"/>
    <n v="3890093"/>
    <m/>
    <m/>
  </r>
  <r>
    <x v="20"/>
    <x v="3"/>
    <s v="F:\Données chgh\2020-CHG-CZA-BPA-2\plaque 2/@20 Testo +  BPA 4/D8_03.tif "/>
    <s v=" 50397.6545 "/>
    <s v=" 79.3841 "/>
    <x v="0"/>
    <n v="4000773"/>
    <m/>
    <m/>
  </r>
  <r>
    <x v="20"/>
    <x v="4"/>
    <s v="F:\Données chgh\2020-CHG-CZA-BPA-2\plaque 2/@20 Testo +  BPA 4/E8_01.tif "/>
    <s v=" 60412.2957 "/>
    <s v=" 84.3738 "/>
    <x v="0"/>
    <n v="5097214"/>
    <m/>
    <m/>
  </r>
  <r>
    <x v="20"/>
    <x v="4"/>
    <s v="F:\Données chgh\2020-CHG-CZA-BPA-2\plaque 2/@20 Testo +  BPA 4/E8_02.tif "/>
    <s v=" 68155.798 "/>
    <s v=" 83.5189 "/>
    <x v="0"/>
    <n v="5692296"/>
    <m/>
    <m/>
  </r>
  <r>
    <x v="20"/>
    <x v="4"/>
    <s v="F:\Données chgh\2020-CHG-CZA-BPA-2\plaque 2/@20 Testo +  BPA 4/E8_03.tif "/>
    <s v=" 69734.7803 "/>
    <s v=" 81.5983 "/>
    <x v="0"/>
    <n v="5690241"/>
    <m/>
    <m/>
  </r>
  <r>
    <x v="20"/>
    <x v="5"/>
    <s v="F:\Données chgh\2020-CHG-CZA-BPA-2\plaque 2/@20 Testo +  BPA 4/F8_01.tif "/>
    <s v=" 68501.8763 "/>
    <s v=" 87.306 "/>
    <x v="0"/>
    <n v="5980623"/>
    <m/>
    <m/>
  </r>
  <r>
    <x v="20"/>
    <x v="5"/>
    <s v="F:\Données chgh\2020-CHG-CZA-BPA-2\plaque 2/@20 Testo +  BPA 4/F8_02.tif "/>
    <s v=" 65841.3993 "/>
    <s v=" 89.2388 "/>
    <x v="0"/>
    <n v="5875609"/>
    <m/>
    <m/>
  </r>
  <r>
    <x v="20"/>
    <x v="5"/>
    <s v="F:\Données chgh\2020-CHG-CZA-BPA-2\plaque 2/@20 Testo +  BPA 4/F8_03.tif "/>
    <s v=" 68891.2144 "/>
    <s v=" 89.3812 "/>
    <x v="0"/>
    <n v="6157577"/>
    <m/>
    <m/>
  </r>
  <r>
    <x v="20"/>
    <x v="6"/>
    <s v="F:\Données chgh\2020-CHG-CZA-BPA-2\plaque 2/@20 Testo +  BPA 4/G8_01.tif "/>
    <s v=" 77283.6135 "/>
    <s v=" 88.6367 "/>
    <x v="0"/>
    <n v="6850166"/>
    <m/>
    <m/>
  </r>
  <r>
    <x v="20"/>
    <x v="6"/>
    <s v="F:\Données chgh\2020-CHG-CZA-BPA-2\plaque 2/@20 Testo +  BPA 4/G8_02.tif "/>
    <s v=" 67117.563 "/>
    <s v=" 87.7129 "/>
    <x v="0"/>
    <n v="5887073"/>
    <m/>
    <m/>
  </r>
  <r>
    <x v="20"/>
    <x v="6"/>
    <s v="F:\Données chgh\2020-CHG-CZA-BPA-2\plaque 2/@20 Testo +  BPA 4/G8_03- exclu.tif"/>
    <m/>
    <m/>
    <x v="1"/>
    <m/>
    <m/>
    <m/>
  </r>
  <r>
    <x v="20"/>
    <x v="7"/>
    <s v="F:\Données chgh\2020-CHG-CZA-BPA-2\plaque 2/@20 Testo +  BPA 4/H8_01- exclu.tif"/>
    <m/>
    <m/>
    <x v="1"/>
    <m/>
    <m/>
    <m/>
  </r>
  <r>
    <x v="20"/>
    <x v="7"/>
    <s v="F:\Données chgh\2020-CHG-CZA-BPA-2\plaque 2/@20 Testo +  BPA 4/H8_02.tif "/>
    <s v=" 45941.8962 "/>
    <s v=" 80.3592 "/>
    <x v="0"/>
    <n v="3691855"/>
    <m/>
    <m/>
  </r>
  <r>
    <x v="20"/>
    <x v="7"/>
    <s v="F:\Données chgh\2020-CHG-CZA-BPA-2\plaque 2/@20 Testo +  BPA 4/H8_03.tif "/>
    <s v=" 44795.5118 "/>
    <s v=" 79.6625 "/>
    <x v="0"/>
    <n v="3568522"/>
    <m/>
    <m/>
  </r>
  <r>
    <x v="1"/>
    <x v="8"/>
    <s v=" "/>
    <m/>
    <m/>
    <x v="1"/>
    <m/>
    <m/>
    <m/>
  </r>
  <r>
    <x v="1"/>
    <x v="8"/>
    <s v="group "/>
    <s v=" "/>
    <s v=" mean of mean fluo "/>
    <x v="2"/>
    <s v=" mean of total fluo "/>
    <s v=" SD total fluo "/>
    <s v=" n fluorescent "/>
  </r>
  <r>
    <x v="20"/>
    <x v="9"/>
    <s v="F:\Données chgh\2020-CHG-CZA-BPA-2\plaque 2/@20 Testo +  BPA 4/ "/>
    <s v=" "/>
    <s v=" 85.5494 "/>
    <x v="22"/>
    <n v="5589025"/>
    <s v=" 1735247.3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BPA-2\plaque 2/@21 Testo +  BPA 5/A9_01.tif "/>
    <s v=" 60498.8153 "/>
    <s v=" 83.8237 "/>
    <x v="0"/>
    <n v="5071237"/>
    <m/>
    <m/>
  </r>
  <r>
    <x v="21"/>
    <x v="0"/>
    <s v="F:\Données chgh\2020-CHG-CZA-BPA-2\plaque 2/@21 Testo +  BPA 5/A9_02.tif "/>
    <s v=" 57513.8898 "/>
    <s v=" 84.3975 "/>
    <x v="0"/>
    <n v="4854030"/>
    <m/>
    <m/>
  </r>
  <r>
    <x v="21"/>
    <x v="0"/>
    <s v="F:\Données chgh\2020-CHG-CZA-BPA-2\plaque 2/@21 Testo +  BPA 5/A9_03.tif "/>
    <s v=" 56345.8755 "/>
    <s v=" 83.2929 "/>
    <x v="0"/>
    <n v="4693211"/>
    <m/>
    <m/>
  </r>
  <r>
    <x v="21"/>
    <x v="1"/>
    <s v="F:\Données chgh\2020-CHG-CZA-BPA-2\plaque 2/@21 Testo +  BPA 5/B9_01.tif "/>
    <s v=" 70859.5348 "/>
    <s v=" 86.6716 "/>
    <x v="0"/>
    <n v="6141506"/>
    <m/>
    <m/>
  </r>
  <r>
    <x v="21"/>
    <x v="1"/>
    <s v="F:\Données chgh\2020-CHG-CZA-BPA-2\plaque 2/@21 Testo +  BPA 5/B9_02.tif "/>
    <s v=" 68393.7268 "/>
    <s v=" 92.272 "/>
    <x v="0"/>
    <n v="6310825"/>
    <m/>
    <m/>
  </r>
  <r>
    <x v="21"/>
    <x v="1"/>
    <s v="F:\Données chgh\2020-CHG-CZA-BPA-2\plaque 2/@21 Testo +  BPA 5/B9_03.tif "/>
    <s v=" 68263.9474 "/>
    <s v=" 91.9376 "/>
    <x v="0"/>
    <n v="6276022"/>
    <m/>
    <m/>
  </r>
  <r>
    <x v="21"/>
    <x v="2"/>
    <s v="F:\Données chgh\2020-CHG-CZA-BPA-2\plaque 2/@21 Testo +  BPA 5/C9_01.tif "/>
    <s v=" 87514.5537 "/>
    <s v=" 91.5865 "/>
    <x v="0"/>
    <n v="8015152"/>
    <m/>
    <m/>
  </r>
  <r>
    <x v="21"/>
    <x v="2"/>
    <s v="F:\Données chgh\2020-CHG-CZA-BPA-2\plaque 2/@21 Testo +  BPA 5/C9_02.tif "/>
    <s v=" 79598.0122 "/>
    <s v=" 92.5421 "/>
    <x v="0"/>
    <n v="7366169"/>
    <m/>
    <m/>
  </r>
  <r>
    <x v="21"/>
    <x v="2"/>
    <s v="F:\Données chgh\2020-CHG-CZA-BPA-2\plaque 2/@21 Testo +  BPA 5/C9_03.tif "/>
    <s v=" 82518.048 "/>
    <s v=" 92.1337 "/>
    <x v="0"/>
    <n v="7602692"/>
    <m/>
    <m/>
  </r>
  <r>
    <x v="21"/>
    <x v="3"/>
    <s v="F:\Données chgh\2020-CHG-CZA-BPA-2\plaque 2/@21 Testo +  BPA 5/D9_01.tif "/>
    <s v=" 37830.6857 "/>
    <s v=" 71.3442 "/>
    <x v="0"/>
    <n v="2699000"/>
    <m/>
    <m/>
  </r>
  <r>
    <x v="21"/>
    <x v="3"/>
    <s v="F:\Données chgh\2020-CHG-CZA-BPA-2\plaque 2/@21 Testo +  BPA 5/D9_02.tif "/>
    <s v=" 35992.1447 "/>
    <s v=" 71.64 "/>
    <x v="0"/>
    <n v="2578478"/>
    <m/>
    <m/>
  </r>
  <r>
    <x v="21"/>
    <x v="3"/>
    <s v="F:\Données chgh\2020-CHG-CZA-BPA-2\plaque 2/@21 Testo +  BPA 5/D9_03.tif "/>
    <s v=" 31904.0946 "/>
    <s v=" 71.8949 "/>
    <x v="0"/>
    <n v="2293742"/>
    <m/>
    <m/>
  </r>
  <r>
    <x v="21"/>
    <x v="4"/>
    <s v="F:\Données chgh\2020-CHG-CZA-BPA-2\plaque 2/@21 Testo +  BPA 5/E9_01.tif "/>
    <s v=" 64695.0148 "/>
    <s v=" 80.0027 "/>
    <x v="0"/>
    <n v="5175774"/>
    <m/>
    <m/>
  </r>
  <r>
    <x v="21"/>
    <x v="4"/>
    <s v="F:\Données chgh\2020-CHG-CZA-BPA-2\plaque 2/@21 Testo +  BPA 5/E9_02.tif "/>
    <s v=" 63678.4098 "/>
    <s v=" 77.9783 "/>
    <x v="0"/>
    <n v="4965532"/>
    <m/>
    <m/>
  </r>
  <r>
    <x v="21"/>
    <x v="4"/>
    <s v="F:\Données chgh\2020-CHG-CZA-BPA-2\plaque 2/@21 Testo +  BPA 5/E9_03.tif "/>
    <s v=" 61255.8616 "/>
    <s v=" 76.5816 "/>
    <x v="0"/>
    <n v="4691070"/>
    <m/>
    <m/>
  </r>
  <r>
    <x v="21"/>
    <x v="5"/>
    <s v="F:\Données chgh\2020-CHG-CZA-BPA-2\plaque 2/@21 Testo +  BPA 5/F9_01.tif "/>
    <s v=" 40642.572 "/>
    <s v=" 78.5423 "/>
    <x v="0"/>
    <n v="3192161"/>
    <m/>
    <m/>
  </r>
  <r>
    <x v="21"/>
    <x v="5"/>
    <s v="F:\Données chgh\2020-CHG-CZA-BPA-2\plaque 2/@21 Testo +  BPA 5/F9_02.tif "/>
    <s v=" 37398.0878 "/>
    <s v=" 78.742 "/>
    <x v="0"/>
    <n v="2944802"/>
    <m/>
    <m/>
  </r>
  <r>
    <x v="21"/>
    <x v="5"/>
    <s v="F:\Données chgh\2020-CHG-CZA-BPA-2\plaque 2/@21 Testo +  BPA 5/F9_03.tif "/>
    <s v=" 37852.3156 "/>
    <s v=" 79.4434 "/>
    <x v="0"/>
    <n v="3007118"/>
    <m/>
    <m/>
  </r>
  <r>
    <x v="21"/>
    <x v="6"/>
    <s v="F:\Données chgh\2020-CHG-CZA-BPA-2\plaque 2/@21 Testo +  BPA 5/G9_01.tif "/>
    <s v=" 68696.5453 "/>
    <s v=" 86.9751 "/>
    <x v="0"/>
    <n v="5974891"/>
    <m/>
    <m/>
  </r>
  <r>
    <x v="21"/>
    <x v="6"/>
    <s v="F:\Données chgh\2020-CHG-CZA-BPA-2\plaque 2/@21 Testo +  BPA 5/G9_02.tif "/>
    <s v=" 65754.8797 "/>
    <s v=" 83.4701 "/>
    <x v="0"/>
    <n v="5488564"/>
    <m/>
    <m/>
  </r>
  <r>
    <x v="21"/>
    <x v="6"/>
    <s v="F:\Données chgh\2020-CHG-CZA-BPA-2\plaque 2/@21 Testo +  BPA 5/G9_03.tif "/>
    <s v=" 64911.3138 "/>
    <s v=" 84.7314 "/>
    <x v="0"/>
    <n v="5500028"/>
    <m/>
    <m/>
  </r>
  <r>
    <x v="21"/>
    <x v="7"/>
    <s v="F:\Données chgh\2020-CHG-CZA-BPA-2\plaque 2/@21 Testo +  BPA 5/H9_01.tif "/>
    <s v=" 57384.1105 "/>
    <s v=" 85.0049 "/>
    <x v="0"/>
    <n v="4877931"/>
    <m/>
    <m/>
  </r>
  <r>
    <x v="21"/>
    <x v="7"/>
    <s v="F:\Données chgh\2020-CHG-CZA-BPA-2\plaque 2/@21 Testo +  BPA 5/H9_02.tif "/>
    <s v=" 58508.865 "/>
    <s v=" 86.6085 "/>
    <x v="0"/>
    <n v="5067365"/>
    <m/>
    <m/>
  </r>
  <r>
    <x v="21"/>
    <x v="7"/>
    <s v="F:\Données chgh\2020-CHG-CZA-BPA-2\plaque 2/@21 Testo +  BPA 5/H9_03.tif "/>
    <s v=" 57211.0713 "/>
    <s v=" 82.0484 "/>
    <x v="0"/>
    <n v="4694076"/>
    <m/>
    <m/>
  </r>
  <r>
    <x v="1"/>
    <x v="8"/>
    <s v=" "/>
    <m/>
    <m/>
    <x v="1"/>
    <m/>
    <m/>
    <m/>
  </r>
  <r>
    <x v="1"/>
    <x v="8"/>
    <s v="group "/>
    <s v=" "/>
    <s v=" mean of mean fluo "/>
    <x v="2"/>
    <s v=" mean of total fluo "/>
    <s v=" SD total fluo "/>
    <s v=" n fluorescent "/>
  </r>
  <r>
    <x v="21"/>
    <x v="9"/>
    <s v="F:\Données chgh\2020-CHG-CZA-BPA-2\plaque 2/@21 Testo +  BPA 5/ "/>
    <s v=" "/>
    <s v=" 83.0694 "/>
    <x v="23"/>
    <s v=" 4978390.67 "/>
    <s v=" 1585920.59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Données chgh\2020-CHG-CZA-BPA-3\plaque 1/@01 TS/A1_01.tif "/>
    <s v=" 237.9288 "/>
    <s v=" 62.3636 "/>
    <x v="0"/>
    <n v="14838"/>
    <m/>
    <m/>
  </r>
  <r>
    <x v="0"/>
    <x v="0"/>
    <s v="F:\Données chgh\2020-CHG-CZA-BPA-3\plaque 1/@01 TS/A1_02.tif "/>
    <s v=" 367.7082 "/>
    <s v=" 63.5294 "/>
    <x v="0"/>
    <n v="23360"/>
    <m/>
    <m/>
  </r>
  <r>
    <x v="0"/>
    <x v="0"/>
    <s v="F:\Données chgh\2020-CHG-CZA-BPA-3\plaque 1/@01 TS/A1_03.tif "/>
    <s v=" 108.1495 "/>
    <s v=" 62.6 "/>
    <x v="0"/>
    <n v="6770"/>
    <m/>
    <m/>
  </r>
  <r>
    <x v="0"/>
    <x v="1"/>
    <s v="F:\Données chgh\2020-CHG-CZA-BPA-3\plaque 1/@01 TS/B1_01.tif "/>
    <s v=" 821.936 "/>
    <s v=" 63.5263 "/>
    <x v="0"/>
    <n v="52215"/>
    <m/>
    <m/>
  </r>
  <r>
    <x v="0"/>
    <x v="1"/>
    <s v="F:\Données chgh\2020-CHG-CZA-BPA-3\plaque 1/@01 TS/B1_02.tif "/>
    <s v=" 497.4876 "/>
    <s v=" 62.2174 "/>
    <x v="0"/>
    <n v="30952"/>
    <m/>
    <m/>
  </r>
  <r>
    <x v="0"/>
    <x v="1"/>
    <s v="F:\Données chgh\2020-CHG-CZA-BPA-3\plaque 1/@01 TS/B1_03.tif "/>
    <s v=" 1081.4947 "/>
    <s v=" 63.94 "/>
    <x v="0"/>
    <n v="69151"/>
    <m/>
    <m/>
  </r>
  <r>
    <x v="0"/>
    <x v="2"/>
    <s v="F:\Données chgh\2020-CHG-CZA-BPA-3\plaque 1/@01 TS/C1_01.tif "/>
    <s v=" 8176.1002 "/>
    <s v=" 65.2566 "/>
    <x v="0"/>
    <n v="533545"/>
    <m/>
    <m/>
  </r>
  <r>
    <x v="0"/>
    <x v="2"/>
    <s v="F:\Données chgh\2020-CHG-CZA-BPA-3\plaque 1/@01 TS/C1_02.tif "/>
    <s v=" 6726.8972 "/>
    <s v=" 65.4727 "/>
    <x v="0"/>
    <n v="440428"/>
    <m/>
    <m/>
  </r>
  <r>
    <x v="0"/>
    <x v="2"/>
    <s v="F:\Données chgh\2020-CHG-CZA-BPA-3\plaque 1/@01 TS/C1_03.tif "/>
    <s v=" 8046.3208 "/>
    <s v=" 65.9462 "/>
    <x v="0"/>
    <n v="530625"/>
    <m/>
    <m/>
  </r>
  <r>
    <x v="0"/>
    <x v="3"/>
    <s v="F:\Données chgh\2020-CHG-CZA-BPA-3\plaque 1/@01 TS/D1_01.tif "/>
    <s v=" 7224.3848 "/>
    <s v=" 69.2754 "/>
    <x v="0"/>
    <n v="500473"/>
    <m/>
    <m/>
  </r>
  <r>
    <x v="0"/>
    <x v="3"/>
    <s v="F:\Données chgh\2020-CHG-CZA-BPA-3\plaque 1/@01 TS/D1_02.tif "/>
    <s v=" 7397.424 "/>
    <s v=" 70.2573 "/>
    <x v="0"/>
    <n v="519723"/>
    <m/>
    <m/>
  </r>
  <r>
    <x v="0"/>
    <x v="3"/>
    <s v="F:\Données chgh\2020-CHG-CZA-BPA-3\plaque 1/@01 TS/D1_03- exclu.tif"/>
    <m/>
    <m/>
    <x v="1"/>
    <m/>
    <m/>
    <m/>
  </r>
  <r>
    <x v="0"/>
    <x v="4"/>
    <s v="F:\Données chgh\2020-CHG-CZA-BPA-3\plaque 1/@01 TS/E1_01.tif "/>
    <s v=" 930.0855 "/>
    <s v=" 64.6512 "/>
    <x v="0"/>
    <n v="60131"/>
    <m/>
    <m/>
  </r>
  <r>
    <x v="0"/>
    <x v="4"/>
    <s v="F:\Données chgh\2020-CHG-CZA-BPA-3\plaque 1/@01 TS/E1_02.tif "/>
    <s v=" 540.7474 "/>
    <s v=" 62.76 "/>
    <x v="0"/>
    <n v="33937"/>
    <m/>
    <m/>
  </r>
  <r>
    <x v="0"/>
    <x v="4"/>
    <s v="F:\Données chgh\2020-CHG-CZA-BPA-3\plaque 1/@01 TS/E1_03.tif "/>
    <s v=" 821.936 "/>
    <s v=" 62.6053 "/>
    <x v="0"/>
    <n v="51458"/>
    <m/>
    <m/>
  </r>
  <r>
    <x v="0"/>
    <x v="5"/>
    <s v="F:\Données chgh\2020-CHG-CZA-BPA-3\plaque 1/@01 TS/F1_01.tif "/>
    <s v=" 6272.6694 "/>
    <s v=" 65.2621 "/>
    <x v="0"/>
    <n v="409367"/>
    <m/>
    <m/>
  </r>
  <r>
    <x v="0"/>
    <x v="5"/>
    <s v="F:\Données chgh\2020-CHG-CZA-BPA-3\plaque 1/@01 TS/F1_02.tif "/>
    <s v=" 7765.1322 "/>
    <s v=" 77.1421 "/>
    <x v="0"/>
    <n v="599018"/>
    <m/>
    <m/>
  </r>
  <r>
    <x v="0"/>
    <x v="5"/>
    <s v="F:\Données chgh\2020-CHG-CZA-BPA-3\plaque 1/@01 TS/F1_03.tif "/>
    <s v=" 6640.3777 "/>
    <s v=" 67.6678 "/>
    <x v="0"/>
    <n v="449339"/>
    <m/>
    <m/>
  </r>
  <r>
    <x v="0"/>
    <x v="6"/>
    <s v="F:\Données chgh\2020-CHG-CZA-BPA-3\plaque 1/@01 TS/G1_01.tif "/>
    <s v=" 1816.9111 "/>
    <n v="65"/>
    <x v="0"/>
    <n v="118099"/>
    <m/>
    <m/>
  </r>
  <r>
    <x v="0"/>
    <x v="6"/>
    <s v="F:\Données chgh\2020-CHG-CZA-BPA-3\plaque 1/@01 TS/G1_02.tif "/>
    <s v=" 3785.2316 "/>
    <s v=" 65.7486 "/>
    <x v="0"/>
    <n v="248874"/>
    <m/>
    <m/>
  </r>
  <r>
    <x v="0"/>
    <x v="6"/>
    <s v="F:\Données chgh\2020-CHG-CZA-BPA-3\plaque 1/@01 TS/G1_03.tif "/>
    <s v=" 5429.1036 "/>
    <s v=" 66.2789 "/>
    <x v="0"/>
    <n v="359835"/>
    <m/>
    <m/>
  </r>
  <r>
    <x v="0"/>
    <x v="7"/>
    <s v="F:\Données chgh\2020-CHG-CZA-BPA-3\plaque 1/@01 TS/H1_01.tif "/>
    <s v=" 735.4164 "/>
    <s v=" 62.7353 "/>
    <x v="0"/>
    <n v="46137"/>
    <m/>
    <m/>
  </r>
  <r>
    <x v="0"/>
    <x v="7"/>
    <s v="F:\Données chgh\2020-CHG-CZA-BPA-3\plaque 1/@01 TS/H1_02.tif "/>
    <s v=" 194.6691 "/>
    <s v=" 63.1111 "/>
    <x v="0"/>
    <n v="12286"/>
    <m/>
    <m/>
  </r>
  <r>
    <x v="0"/>
    <x v="7"/>
    <s v="F:\Données chgh\2020-CHG-CZA-BPA-3\plaque 1/@01 TS/H1_03.tif "/>
    <s v=" 670.5267 "/>
    <s v=" 63.5161 "/>
    <x v="0"/>
    <n v="42589"/>
    <m/>
    <m/>
  </r>
  <r>
    <x v="1"/>
    <x v="8"/>
    <s v=" "/>
    <m/>
    <m/>
    <x v="1"/>
    <m/>
    <m/>
    <m/>
  </r>
  <r>
    <x v="1"/>
    <x v="8"/>
    <s v="group "/>
    <s v=" "/>
    <s v=" mean of mean fluo "/>
    <x v="2"/>
    <s v=" mean of total fluo "/>
    <s v=" SD total fluo "/>
    <s v=" n fluorescent "/>
  </r>
  <r>
    <x v="0"/>
    <x v="9"/>
    <s v="F:\Données chgh\2020-CHG-CZA-BPA-3\plaque 1/@01 TS/ "/>
    <s v=" "/>
    <s v=" 65.2245 "/>
    <x v="3"/>
    <s v=" 215935.792 "/>
    <s v=" 220379.01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BPA-3\plaque 1/@02 EE2 34/A2_01.tif "/>
    <s v=" 281.1886 "/>
    <n v="64"/>
    <x v="0"/>
    <n v="17996"/>
    <m/>
    <m/>
  </r>
  <r>
    <x v="2"/>
    <x v="0"/>
    <s v="F:\Données chgh\2020-CHG-CZA-BPA-3\plaque 1/@02 EE2 34/A2_02.tif "/>
    <s v=" 346.0783 "/>
    <s v=" 64.5625 "/>
    <x v="0"/>
    <n v="22344"/>
    <m/>
    <m/>
  </r>
  <r>
    <x v="2"/>
    <x v="0"/>
    <s v="F:\Données chgh\2020-CHG-CZA-BPA-3\plaque 1/@02 EE2 34/A2_03.tif "/>
    <s v=" 735.4164 "/>
    <s v=" 62.8235 "/>
    <x v="0"/>
    <n v="46201"/>
    <m/>
    <m/>
  </r>
  <r>
    <x v="2"/>
    <x v="1"/>
    <s v="F:\Données chgh\2020-CHG-CZA-BPA-3\plaque 1/@02 EE2 34/B2_01.tif "/>
    <s v=" 410.968 "/>
    <s v=" 64.4737 "/>
    <x v="0"/>
    <n v="26497"/>
    <m/>
    <m/>
  </r>
  <r>
    <x v="2"/>
    <x v="1"/>
    <s v="F:\Données chgh\2020-CHG-CZA-BPA-3\plaque 1/@02 EE2 34/B2_02.tif "/>
    <s v=" 302.8185 "/>
    <s v=" 64.7143 "/>
    <x v="0"/>
    <n v="19597"/>
    <m/>
    <m/>
  </r>
  <r>
    <x v="2"/>
    <x v="1"/>
    <s v="F:\Données chgh\2020-CHG-CZA-BPA-3\plaque 1/@02 EE2 34/B2_03.tif "/>
    <s v=" 1168.0143 "/>
    <s v=" 63.0741 "/>
    <x v="0"/>
    <n v="73671"/>
    <m/>
    <m/>
  </r>
  <r>
    <x v="2"/>
    <x v="2"/>
    <s v="F:\Données chgh\2020-CHG-CZA-BPA-3\plaque 1/@02 EE2 34/C2_01.tif "/>
    <s v=" 713.7865 "/>
    <s v=" 64.4545 "/>
    <x v="0"/>
    <n v="46007"/>
    <m/>
    <m/>
  </r>
  <r>
    <x v="2"/>
    <x v="2"/>
    <s v="F:\Données chgh\2020-CHG-CZA-BPA-3\plaque 1/@02 EE2 34/C2_02.tif "/>
    <s v=" 1341.0535 "/>
    <s v=" 65.2258 "/>
    <x v="0"/>
    <n v="87471"/>
    <m/>
    <m/>
  </r>
  <r>
    <x v="2"/>
    <x v="2"/>
    <s v="F:\Données chgh\2020-CHG-CZA-BPA-3\plaque 1/@02 EE2 34/C2_03.tif "/>
    <s v=" 194.6691 "/>
    <n v="65"/>
    <x v="0"/>
    <n v="12653"/>
    <m/>
    <m/>
  </r>
  <r>
    <x v="2"/>
    <x v="3"/>
    <s v="F:\Données chgh\2020-CHG-CZA-BPA-3\plaque 1/@02 EE2 34/D2_01.tif "/>
    <s v=" 1059.8648 "/>
    <s v=" 62.6327 "/>
    <x v="0"/>
    <n v="66382"/>
    <m/>
    <m/>
  </r>
  <r>
    <x v="2"/>
    <x v="3"/>
    <s v="F:\Données chgh\2020-CHG-CZA-BPA-3\plaque 1/@02 EE2 34/D2_02.tif "/>
    <s v=" 6142.8901 "/>
    <s v=" 66.2289 "/>
    <x v="0"/>
    <n v="406837"/>
    <m/>
    <m/>
  </r>
  <r>
    <x v="2"/>
    <x v="3"/>
    <s v="F:\Données chgh\2020-CHG-CZA-BPA-3\plaque 1/@02 EE2 34/D2_03- exclu.tif"/>
    <m/>
    <m/>
    <x v="1"/>
    <m/>
    <m/>
    <m/>
  </r>
  <r>
    <x v="2"/>
    <x v="4"/>
    <s v="F:\Données chgh\2020-CHG-CZA-BPA-3\plaque 1/@02 EE2 34/E2_01.tif "/>
    <s v=" 10663.5381 "/>
    <s v=" 90.4787 "/>
    <x v="0"/>
    <n v="964823"/>
    <m/>
    <m/>
  </r>
  <r>
    <x v="2"/>
    <x v="4"/>
    <s v="F:\Données chgh\2020-CHG-CZA-BPA-3\plaque 1/@02 EE2 34/E2_02.tif "/>
    <s v=" 9127.8155 "/>
    <s v=" 74.4787 "/>
    <x v="0"/>
    <n v="679828"/>
    <m/>
    <m/>
  </r>
  <r>
    <x v="2"/>
    <x v="4"/>
    <s v="F:\Données chgh\2020-CHG-CZA-BPA-3\plaque 1/@02 EE2 34/E2_03.tif "/>
    <s v=" 8219.36 "/>
    <s v=" 71.0395 "/>
    <x v="0"/>
    <n v="583899"/>
    <m/>
    <m/>
  </r>
  <r>
    <x v="2"/>
    <x v="5"/>
    <s v="F:\Données chgh\2020-CHG-CZA-BPA-3\plaque 1/@02 EE2 34/F2_01.tif "/>
    <s v=" 4239.4593 "/>
    <s v=" 67.5357 "/>
    <x v="0"/>
    <n v="286315"/>
    <m/>
    <m/>
  </r>
  <r>
    <x v="2"/>
    <x v="5"/>
    <s v="F:\Données chgh\2020-CHG-CZA-BPA-3\plaque 1/@02 EE2 34/F2_02.tif "/>
    <s v=" 1232.904 "/>
    <s v=" 63.8596 "/>
    <x v="0"/>
    <n v="78733"/>
    <m/>
    <m/>
  </r>
  <r>
    <x v="2"/>
    <x v="5"/>
    <s v="F:\Données chgh\2020-CHG-CZA-BPA-3\plaque 1/@02 EE2 34/F2_03.tif "/>
    <s v=" 821.936 "/>
    <s v=" 66.3684 "/>
    <x v="0"/>
    <n v="54551"/>
    <m/>
    <m/>
  </r>
  <r>
    <x v="2"/>
    <x v="6"/>
    <s v="F:\Données chgh\2020-CHG-CZA-BPA-3\plaque 1/@02 EE2 34/G2_01.tif "/>
    <s v=" 4131.3099 "/>
    <s v=" 65.8743 "/>
    <x v="0"/>
    <n v="272147"/>
    <m/>
    <m/>
  </r>
  <r>
    <x v="2"/>
    <x v="6"/>
    <s v="F:\Données chgh\2020-CHG-CZA-BPA-3\plaque 1/@02 EE2 34/G2_02.tif "/>
    <s v=" 1319.4236 "/>
    <s v=" 64.377 "/>
    <x v="0"/>
    <n v="84941"/>
    <m/>
    <m/>
  </r>
  <r>
    <x v="2"/>
    <x v="6"/>
    <s v="F:\Données chgh\2020-CHG-CZA-BPA-3\plaque 1/@02 EE2 34/G2_03.tif "/>
    <s v=" 865.1958 "/>
    <s v=" 63.725 "/>
    <x v="0"/>
    <n v="55135"/>
    <m/>
    <m/>
  </r>
  <r>
    <x v="2"/>
    <x v="7"/>
    <s v="F:\Données chgh\2020-CHG-CZA-BPA-3\plaque 1/@02 EE2 34/H2_01.tif "/>
    <s v=" 302.8185 "/>
    <s v=" 64.8571 "/>
    <x v="0"/>
    <n v="19640"/>
    <m/>
    <m/>
  </r>
  <r>
    <x v="2"/>
    <x v="7"/>
    <s v="F:\Données chgh\2020-CHG-CZA-BPA-3\plaque 1/@02 EE2 34/H2_02.tif "/>
    <s v=" 1168.0143 "/>
    <s v=" 64.5926 "/>
    <x v="0"/>
    <n v="75445"/>
    <m/>
    <m/>
  </r>
  <r>
    <x v="2"/>
    <x v="7"/>
    <s v="F:\Données chgh\2020-CHG-CZA-BPA-3\plaque 1/@02 EE2 34/H2_03.tif "/>
    <s v=" 2227.8791 "/>
    <s v=" 65.5437 "/>
    <x v="0"/>
    <n v="146023"/>
    <m/>
    <m/>
  </r>
  <r>
    <x v="1"/>
    <x v="8"/>
    <s v=" "/>
    <m/>
    <m/>
    <x v="1"/>
    <m/>
    <m/>
    <m/>
  </r>
  <r>
    <x v="1"/>
    <x v="8"/>
    <s v="group "/>
    <s v=" "/>
    <s v=" mean of mean fluo "/>
    <x v="2"/>
    <s v=" mean of total fluo "/>
    <s v=" SD total fluo "/>
    <s v=" n fluorescent "/>
  </r>
  <r>
    <x v="2"/>
    <x v="9"/>
    <s v="F:\Données chgh\2020-CHG-CZA-BPA-3\plaque 1/@02 EE2 34/ "/>
    <s v=" "/>
    <s v=" 66.4984 "/>
    <x v="4"/>
    <s v=" 173451.958 "/>
    <s v=" 247193.0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BPA-3\plaque 1/@03 EE2 51/A3_01.tif "/>
    <s v=" 2876.776 "/>
    <s v=" 67.2707 "/>
    <x v="0"/>
    <n v="193523"/>
    <m/>
    <m/>
  </r>
  <r>
    <x v="3"/>
    <x v="0"/>
    <s v="F:\Données chgh\2020-CHG-CZA-BPA-3\plaque 1/@03 EE2 51/A3_02.tif "/>
    <s v=" 3504.0429 "/>
    <s v=" 66.821 "/>
    <x v="0"/>
    <n v="234144"/>
    <m/>
    <m/>
  </r>
  <r>
    <x v="3"/>
    <x v="0"/>
    <s v="F:\Données chgh\2020-CHG-CZA-BPA-3\plaque 1/@03 EE2 51/A3_03.tif "/>
    <s v=" 1103.1246 "/>
    <s v=" 63.9804 "/>
    <x v="0"/>
    <n v="70578"/>
    <m/>
    <m/>
  </r>
  <r>
    <x v="3"/>
    <x v="1"/>
    <s v="F:\Données chgh\2020-CHG-CZA-BPA-3\plaque 1/@03 EE2 51/B3_01.tif "/>
    <s v=" 237.9288 "/>
    <n v="62"/>
    <x v="0"/>
    <n v="14752"/>
    <m/>
    <m/>
  </r>
  <r>
    <x v="3"/>
    <x v="1"/>
    <s v="F:\Données chgh\2020-CHG-CZA-BPA-3\plaque 1/@03 EE2 51/B3_02.tif "/>
    <s v=" 1622.2421 "/>
    <s v=" 64.9867 "/>
    <x v="0"/>
    <n v="105424"/>
    <m/>
    <m/>
  </r>
  <r>
    <x v="3"/>
    <x v="1"/>
    <s v="F:\Données chgh\2020-CHG-CZA-BPA-3\plaque 1/@03 EE2 51/B3_03- exclu.tif"/>
    <m/>
    <m/>
    <x v="1"/>
    <m/>
    <m/>
    <m/>
  </r>
  <r>
    <x v="3"/>
    <x v="2"/>
    <s v="F:\Données chgh\2020-CHG-CZA-BPA-3\plaque 1/@03 EE2 51/C3_01- exclu.tif"/>
    <m/>
    <m/>
    <x v="1"/>
    <m/>
    <m/>
    <m/>
  </r>
  <r>
    <x v="3"/>
    <x v="2"/>
    <s v="F:\Données chgh\2020-CHG-CZA-BPA-3\plaque 1/@03 EE2 51/C3_02.tif "/>
    <s v=" 4542.2779 "/>
    <s v=" 67.7762 "/>
    <x v="0"/>
    <n v="307858"/>
    <m/>
    <m/>
  </r>
  <r>
    <x v="3"/>
    <x v="2"/>
    <s v="F:\Données chgh\2020-CHG-CZA-BPA-3\plaque 1/@03 EE2 51/C3_03.tif "/>
    <s v=" 4369.2387 "/>
    <s v=" 66.2921 "/>
    <x v="0"/>
    <n v="289646"/>
    <m/>
    <m/>
  </r>
  <r>
    <x v="3"/>
    <x v="3"/>
    <s v="F:\Données chgh\2020-CHG-CZA-BPA-3\plaque 1/@03 EE2 51/D3_01.tif "/>
    <s v=" 1968.3204 "/>
    <s v=" 66.6154 "/>
    <x v="0"/>
    <n v="131120"/>
    <m/>
    <m/>
  </r>
  <r>
    <x v="3"/>
    <x v="3"/>
    <s v="F:\Données chgh\2020-CHG-CZA-BPA-3\plaque 1/@03 EE2 51/D3_02.tif "/>
    <s v=" 3395.8935 "/>
    <s v=" 67.9236 "/>
    <x v="0"/>
    <n v="230661"/>
    <m/>
    <m/>
  </r>
  <r>
    <x v="3"/>
    <x v="3"/>
    <s v="F:\Données chgh\2020-CHG-CZA-BPA-3\plaque 1/@03 EE2 51/D3_03.tif "/>
    <s v=" 1470.8328 "/>
    <s v=" 65.4118 "/>
    <x v="0"/>
    <n v="96210"/>
    <m/>
    <m/>
  </r>
  <r>
    <x v="3"/>
    <x v="4"/>
    <s v="F:\Données chgh\2020-CHG-CZA-BPA-3\plaque 1/@03 EE2 51/E3_01.tif "/>
    <s v=" 3006.5554 "/>
    <s v=" 66.259 "/>
    <x v="0"/>
    <n v="199211"/>
    <m/>
    <m/>
  </r>
  <r>
    <x v="3"/>
    <x v="4"/>
    <s v="F:\Données chgh\2020-CHG-CZA-BPA-3\plaque 1/@03 EE2 51/E3_02.tif "/>
    <s v=" 2898.4059 "/>
    <s v=" 65.3209 "/>
    <x v="0"/>
    <n v="189326"/>
    <m/>
    <m/>
  </r>
  <r>
    <x v="3"/>
    <x v="4"/>
    <s v="F:\Données chgh\2020-CHG-CZA-BPA-3\plaque 1/@03 EE2 51/E3_03.tif "/>
    <s v=" 1708.7617 "/>
    <s v=" 63.2532 "/>
    <x v="0"/>
    <n v="108085"/>
    <m/>
    <m/>
  </r>
  <r>
    <x v="3"/>
    <x v="5"/>
    <s v="F:\Données chgh\2020-CHG-CZA-BPA-3\plaque 1/@03 EE2 51/F3_01.tif "/>
    <s v=" 5602.1427 "/>
    <s v=" 69.0695 "/>
    <x v="0"/>
    <n v="386937"/>
    <m/>
    <m/>
  </r>
  <r>
    <x v="3"/>
    <x v="5"/>
    <s v="F:\Données chgh\2020-CHG-CZA-BPA-3\plaque 1/@03 EE2 51/F3_02.tif "/>
    <s v=" 4390.8686 "/>
    <s v=" 66.5369 "/>
    <x v="0"/>
    <n v="292155"/>
    <m/>
    <m/>
  </r>
  <r>
    <x v="3"/>
    <x v="5"/>
    <s v="F:\Données chgh\2020-CHG-CZA-BPA-3\plaque 1/@03 EE2 51/F3_03.tif "/>
    <s v=" 4563.9078 "/>
    <s v=" 68.2275 "/>
    <x v="0"/>
    <n v="311384"/>
    <m/>
    <m/>
  </r>
  <r>
    <x v="3"/>
    <x v="6"/>
    <s v="F:\Données chgh\2020-CHG-CZA-BPA-3\plaque 1/@03 EE2 51/G3_01.tif "/>
    <s v=" 2400.9183 "/>
    <s v=" 64.1261 "/>
    <x v="0"/>
    <n v="153962"/>
    <m/>
    <m/>
  </r>
  <r>
    <x v="3"/>
    <x v="6"/>
    <s v="F:\Données chgh\2020-CHG-CZA-BPA-3\plaque 1/@03 EE2 51/G3_02.tif "/>
    <s v=" 2054.84 "/>
    <s v=" 64.9789 "/>
    <x v="0"/>
    <n v="133521"/>
    <m/>
    <m/>
  </r>
  <r>
    <x v="3"/>
    <x v="6"/>
    <s v="F:\Données chgh\2020-CHG-CZA-BPA-3\plaque 1/@03 EE2 51/G3_03.tif "/>
    <s v=" 1276.1638 "/>
    <s v=" 64.8305 "/>
    <x v="0"/>
    <n v="82734"/>
    <m/>
    <m/>
  </r>
  <r>
    <x v="3"/>
    <x v="7"/>
    <s v="F:\Données chgh\2020-CHG-CZA-BPA-3\plaque 1/@03 EE2 51/H3_01.tif "/>
    <s v=" 3287.744 "/>
    <s v=" 63.4211 "/>
    <x v="0"/>
    <n v="208512"/>
    <m/>
    <m/>
  </r>
  <r>
    <x v="3"/>
    <x v="7"/>
    <s v="F:\Données chgh\2020-CHG-CZA-BPA-3\plaque 1/@03 EE2 51/H3_02.tif "/>
    <s v=" 7873.2816 "/>
    <s v=" 72.3407 "/>
    <x v="0"/>
    <n v="569558"/>
    <m/>
    <m/>
  </r>
  <r>
    <x v="3"/>
    <x v="7"/>
    <s v="F:\Données chgh\2020-CHG-CZA-BPA-3\plaque 1/@03 EE2 51/H3_03.tif "/>
    <s v=" 8565.4383 "/>
    <s v=" 70.0657 "/>
    <x v="0"/>
    <n v="600143"/>
    <m/>
    <m/>
  </r>
  <r>
    <x v="1"/>
    <x v="8"/>
    <s v=" "/>
    <m/>
    <m/>
    <x v="1"/>
    <m/>
    <m/>
    <m/>
  </r>
  <r>
    <x v="1"/>
    <x v="8"/>
    <s v="group "/>
    <s v=" "/>
    <s v=" mean of mean fluo "/>
    <x v="2"/>
    <s v=" mean of total fluo "/>
    <s v=" SD total fluo "/>
    <s v=" n fluorescent "/>
  </r>
  <r>
    <x v="3"/>
    <x v="9"/>
    <s v="F:\Données chgh\2020-CHG-CZA-BPA-3\plaque 1/@03 EE2 51/ "/>
    <s v=" "/>
    <s v=" 66.0756 "/>
    <x v="5"/>
    <s v=" 207685.708 "/>
    <s v=" 151908.81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BPA-3\plaque 1/@04 EE2 76/A4_01.tif "/>
    <s v=" 3331.0038 "/>
    <s v=" 63.7013 "/>
    <x v="0"/>
    <n v="212189"/>
    <m/>
    <m/>
  </r>
  <r>
    <x v="4"/>
    <x v="0"/>
    <s v="F:\Données chgh\2020-CHG-CZA-BPA-3\plaque 1/@04 EE2 76/A4_02.tif "/>
    <s v=" 3698.712 "/>
    <s v=" 64.2339 "/>
    <x v="0"/>
    <n v="237583"/>
    <m/>
    <m/>
  </r>
  <r>
    <x v="4"/>
    <x v="0"/>
    <s v="F:\Données chgh\2020-CHG-CZA-BPA-3\plaque 1/@04 EE2 76/A4_03.tif "/>
    <s v=" 2682.1069 "/>
    <s v=" 64.1048 "/>
    <x v="0"/>
    <n v="171936"/>
    <m/>
    <m/>
  </r>
  <r>
    <x v="4"/>
    <x v="1"/>
    <s v="F:\Données chgh\2020-CHG-CZA-BPA-3\plaque 1/@04 EE2 76/B4_01.tif "/>
    <s v=" 12156.0008 "/>
    <s v=" 68.0854 "/>
    <x v="0"/>
    <n v="827646"/>
    <m/>
    <m/>
  </r>
  <r>
    <x v="4"/>
    <x v="1"/>
    <s v="F:\Données chgh\2020-CHG-CZA-BPA-3\plaque 1/@04 EE2 76/B4_02.tif "/>
    <s v=" 10122.7907 "/>
    <s v=" 65.5598 "/>
    <x v="0"/>
    <n v="663648"/>
    <m/>
    <m/>
  </r>
  <r>
    <x v="4"/>
    <x v="1"/>
    <s v="F:\Données chgh\2020-CHG-CZA-BPA-3\plaque 1/@04 EE2 76/B4_03.tif "/>
    <s v=" 7851.6518 "/>
    <s v=" 66.8567 "/>
    <x v="0"/>
    <n v="524936"/>
    <m/>
    <m/>
  </r>
  <r>
    <x v="4"/>
    <x v="2"/>
    <s v="F:\Données chgh\2020-CHG-CZA-BPA-3\plaque 1/@04 EE2 76/C4_01.tif "/>
    <s v=" 23014.2079 "/>
    <s v=" 66.485 "/>
    <x v="0"/>
    <n v="1530099"/>
    <m/>
    <m/>
  </r>
  <r>
    <x v="4"/>
    <x v="2"/>
    <s v="F:\Données chgh\2020-CHG-CZA-BPA-3\plaque 1/@04 EE2 76/C4_02.tif "/>
    <s v=" 25090.6778 "/>
    <s v=" 66.1871 "/>
    <x v="0"/>
    <n v="1660678"/>
    <m/>
    <m/>
  </r>
  <r>
    <x v="4"/>
    <x v="2"/>
    <s v="F:\Données chgh\2020-CHG-CZA-BPA-3\plaque 1/@04 EE2 76/C4_03.tif "/>
    <s v=" 26626.4003 "/>
    <s v=" 66.8757 "/>
    <x v="0"/>
    <n v="1780659"/>
    <m/>
    <m/>
  </r>
  <r>
    <x v="4"/>
    <x v="3"/>
    <s v="F:\Données chgh\2020-CHG-CZA-BPA-3\plaque 1/@04 EE2 76/D4_01.tif "/>
    <s v=" 8349.1393 "/>
    <s v=" 66.8627 "/>
    <x v="0"/>
    <n v="558246"/>
    <m/>
    <m/>
  </r>
  <r>
    <x v="4"/>
    <x v="3"/>
    <s v="F:\Données chgh\2020-CHG-CZA-BPA-3\plaque 1/@04 EE2 76/D4_02.tif "/>
    <s v=" 2638.8471 "/>
    <s v=" 65.5492 "/>
    <x v="0"/>
    <n v="172974"/>
    <m/>
    <m/>
  </r>
  <r>
    <x v="4"/>
    <x v="3"/>
    <s v="F:\Données chgh\2020-CHG-CZA-BPA-3\plaque 1/@04 EE2 76/D4_03.tif "/>
    <s v=" 2530.6977 "/>
    <s v=" 63.8462 "/>
    <x v="0"/>
    <n v="161575"/>
    <m/>
    <m/>
  </r>
  <r>
    <x v="4"/>
    <x v="4"/>
    <s v="F:\Données chgh\2020-CHG-CZA-BPA-3\plaque 1/@04 EE2 76/E4_01- exclu.tif"/>
    <m/>
    <m/>
    <x v="1"/>
    <m/>
    <m/>
    <m/>
  </r>
  <r>
    <x v="4"/>
    <x v="4"/>
    <s v="F:\Données chgh\2020-CHG-CZA-BPA-3\plaque 1/@04 EE2 76/E4_02.tif "/>
    <s v=" 605.637 "/>
    <s v=" 62.5714 "/>
    <x v="0"/>
    <n v="37896"/>
    <m/>
    <m/>
  </r>
  <r>
    <x v="4"/>
    <x v="4"/>
    <s v="F:\Données chgh\2020-CHG-CZA-BPA-3\plaque 1/@04 EE2 76/E4_03.tif "/>
    <s v=" 1881.8008 "/>
    <s v=" 64.5402 "/>
    <x v="0"/>
    <n v="121452"/>
    <m/>
    <m/>
  </r>
  <r>
    <x v="4"/>
    <x v="5"/>
    <s v="F:\Données chgh\2020-CHG-CZA-BPA-3\plaque 1/@04 EE2 76/F4_01- exclu.tif"/>
    <m/>
    <m/>
    <x v="1"/>
    <m/>
    <m/>
    <m/>
  </r>
  <r>
    <x v="4"/>
    <x v="5"/>
    <s v="F:\Données chgh\2020-CHG-CZA-BPA-3\plaque 1/@04 EE2 76/F4_02.tif "/>
    <s v=" 1038.2349 "/>
    <s v=" 65.6875 "/>
    <x v="0"/>
    <n v="68199"/>
    <m/>
    <m/>
  </r>
  <r>
    <x v="4"/>
    <x v="5"/>
    <s v="F:\Données chgh\2020-CHG-CZA-BPA-3\plaque 1/@04 EE2 76/F4_03.tif "/>
    <s v=" 454.2278 "/>
    <s v=" 63.1905 "/>
    <x v="0"/>
    <n v="28703"/>
    <m/>
    <m/>
  </r>
  <r>
    <x v="4"/>
    <x v="6"/>
    <s v="F:\Données chgh\2020-CHG-CZA-BPA-3\plaque 1/@04 EE2 76/G4_01.tif "/>
    <s v=" 8673.5877 "/>
    <s v=" 65.3367 "/>
    <x v="0"/>
    <n v="566703"/>
    <m/>
    <m/>
  </r>
  <r>
    <x v="4"/>
    <x v="6"/>
    <s v="F:\Données chgh\2020-CHG-CZA-BPA-3\plaque 1/@04 EE2 76/G4_02.tif "/>
    <s v=" 6597.1179 "/>
    <s v=" 63.4754 "/>
    <x v="0"/>
    <n v="418755"/>
    <m/>
    <m/>
  </r>
  <r>
    <x v="4"/>
    <x v="6"/>
    <s v="F:\Données chgh\2020-CHG-CZA-BPA-3\plaque 1/@04 EE2 76/G4_03.tif "/>
    <s v=" 5623.7726 "/>
    <s v=" 64.7577 "/>
    <x v="0"/>
    <n v="364183"/>
    <m/>
    <m/>
  </r>
  <r>
    <x v="4"/>
    <x v="7"/>
    <s v="F:\Données chgh\2020-CHG-CZA-BPA-3\plaque 1/@04 EE2 76/H4_01.tif "/>
    <s v=" 10620.2783 "/>
    <s v=" 66.2525 "/>
    <x v="0"/>
    <n v="703620"/>
    <m/>
    <m/>
  </r>
  <r>
    <x v="4"/>
    <x v="7"/>
    <s v="F:\Données chgh\2020-CHG-CZA-BPA-3\plaque 1/@04 EE2 76/H4_02.tif "/>
    <s v=" 12047.8513 "/>
    <s v=" 65.7953 "/>
    <x v="0"/>
    <n v="792692"/>
    <m/>
    <m/>
  </r>
  <r>
    <x v="4"/>
    <x v="7"/>
    <s v="F:\Données chgh\2020-CHG-CZA-BPA-3\plaque 1/@04 EE2 76/H4_03.tif "/>
    <s v=" 12329.0399 "/>
    <s v=" 66.3737 "/>
    <x v="0"/>
    <n v="818324"/>
    <m/>
    <m/>
  </r>
  <r>
    <x v="1"/>
    <x v="8"/>
    <s v=" "/>
    <m/>
    <m/>
    <x v="1"/>
    <m/>
    <m/>
    <m/>
  </r>
  <r>
    <x v="1"/>
    <x v="8"/>
    <s v="group "/>
    <s v=" "/>
    <s v=" mean of mean fluo "/>
    <x v="2"/>
    <s v=" mean of total fluo "/>
    <s v=" SD total fluo "/>
    <s v=" n fluorescent "/>
  </r>
  <r>
    <x v="4"/>
    <x v="9"/>
    <s v="F:\Données chgh\2020-CHG-CZA-BPA-3\plaque 1/@04 EE2 76/ "/>
    <s v=" "/>
    <s v=" 65.1685 "/>
    <x v="6"/>
    <s v=" 520234.083 "/>
    <s v=" 515873.1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BPA-3\plaque 1/@05 EE2 114/A5_01.tif "/>
    <s v=" 6078.0004 "/>
    <s v=" 64.5587 "/>
    <x v="0"/>
    <n v="392388"/>
    <m/>
    <m/>
  </r>
  <r>
    <x v="5"/>
    <x v="0"/>
    <s v="F:\Données chgh\2020-CHG-CZA-BPA-3\plaque 1/@05 EE2 114/A5_02.tif "/>
    <s v=" 713.7865 "/>
    <s v=" 62.5758 "/>
    <x v="0"/>
    <n v="44666"/>
    <m/>
    <m/>
  </r>
  <r>
    <x v="5"/>
    <x v="0"/>
    <s v="F:\Données chgh\2020-CHG-CZA-BPA-3\plaque 1/@05 EE2 114/A5_03.tif "/>
    <s v=" 7548.8332 "/>
    <s v=" 65.5473 "/>
    <x v="0"/>
    <n v="494805"/>
    <m/>
    <m/>
  </r>
  <r>
    <x v="5"/>
    <x v="1"/>
    <s v="F:\Données chgh\2020-CHG-CZA-BPA-3\plaque 1/@05 EE2 114/B5_01.tif "/>
    <s v=" 12826.5275 "/>
    <s v=" 66.4553 "/>
    <x v="0"/>
    <n v="852391"/>
    <m/>
    <m/>
  </r>
  <r>
    <x v="5"/>
    <x v="1"/>
    <s v="F:\Données chgh\2020-CHG-CZA-BPA-3\plaque 1/@05 EE2 114/B5_02- exclu.tif"/>
    <m/>
    <m/>
    <x v="1"/>
    <m/>
    <m/>
    <m/>
  </r>
  <r>
    <x v="5"/>
    <x v="1"/>
    <s v="F:\Données chgh\2020-CHG-CZA-BPA-3\plaque 1/@05 EE2 114/B5_03.tif "/>
    <s v=" 12220.8905 "/>
    <s v=" 65.7628 "/>
    <x v="0"/>
    <n v="803680"/>
    <m/>
    <m/>
  </r>
  <r>
    <x v="5"/>
    <x v="2"/>
    <s v="F:\Données chgh\2020-CHG-CZA-BPA-3\plaque 1/@05 EE2 114/C5_01.tif "/>
    <s v=" 23273.7666 "/>
    <s v=" 65.4099 "/>
    <x v="0"/>
    <n v="1522334"/>
    <m/>
    <m/>
  </r>
  <r>
    <x v="5"/>
    <x v="2"/>
    <s v="F:\Données chgh\2020-CHG-CZA-BPA-3\plaque 1/@05 EE2 114/C5_02.tif "/>
    <s v=" 16438.7199 "/>
    <s v=" 65.0816 "/>
    <x v="0"/>
    <n v="1069858"/>
    <m/>
    <m/>
  </r>
  <r>
    <x v="5"/>
    <x v="2"/>
    <s v="F:\Données chgh\2020-CHG-CZA-BPA-3\plaque 1/@05 EE2 114/C5_03.tif "/>
    <s v=" 15811.453 "/>
    <s v=" 64.9015 "/>
    <x v="0"/>
    <n v="1026187"/>
    <m/>
    <m/>
  </r>
  <r>
    <x v="5"/>
    <x v="3"/>
    <s v="F:\Données chgh\2020-CHG-CZA-BPA-3\plaque 1/@05 EE2 114/D5_01.tif "/>
    <s v=" 47477.6187 "/>
    <s v=" 77.1157 "/>
    <x v="0"/>
    <n v="3661271"/>
    <m/>
    <m/>
  </r>
  <r>
    <x v="5"/>
    <x v="3"/>
    <s v="F:\Données chgh\2020-CHG-CZA-BPA-3\plaque 1/@05 EE2 114/D5_02.tif "/>
    <s v=" 49316.1598 "/>
    <s v=" 78.9061 "/>
    <x v="0"/>
    <n v="3891348"/>
    <m/>
    <m/>
  </r>
  <r>
    <x v="5"/>
    <x v="3"/>
    <s v="F:\Données chgh\2020-CHG-CZA-BPA-3\plaque 1/@05 EE2 114/D5_03.tif "/>
    <s v=" 48039.996 "/>
    <s v=" 76.8712 "/>
    <x v="0"/>
    <n v="3692894"/>
    <m/>
    <m/>
  </r>
  <r>
    <x v="5"/>
    <x v="4"/>
    <s v="F:\Données chgh\2020-CHG-CZA-BPA-3\plaque 1/@05 EE2 114/E5_01- exclu.tif"/>
    <m/>
    <m/>
    <x v="1"/>
    <m/>
    <m/>
    <m/>
  </r>
  <r>
    <x v="5"/>
    <x v="4"/>
    <s v="F:\Données chgh\2020-CHG-CZA-BPA-3\plaque 1/@05 EE2 114/E5_02- exclu.tif"/>
    <m/>
    <m/>
    <x v="1"/>
    <m/>
    <m/>
    <m/>
  </r>
  <r>
    <x v="5"/>
    <x v="4"/>
    <s v="F:\Données chgh\2020-CHG-CZA-BPA-3\plaque 1/@05 EE2 114/E5_03- exclu.tif"/>
    <m/>
    <m/>
    <x v="1"/>
    <m/>
    <m/>
    <m/>
  </r>
  <r>
    <x v="5"/>
    <x v="5"/>
    <s v="F:\Données chgh\2020-CHG-CZA-BPA-3\plaque 1/@05 EE2 114/F5_01.tif "/>
    <s v=" 19445.2753 "/>
    <s v=" 66.2948 "/>
    <x v="0"/>
    <n v="1289120"/>
    <m/>
    <m/>
  </r>
  <r>
    <x v="5"/>
    <x v="5"/>
    <s v="F:\Données chgh\2020-CHG-CZA-BPA-3\plaque 1/@05 EE2 114/F5_02.tif "/>
    <s v=" 18493.5599 "/>
    <s v=" 66.3368 "/>
    <x v="0"/>
    <n v="1226804"/>
    <m/>
    <m/>
  </r>
  <r>
    <x v="5"/>
    <x v="5"/>
    <s v="F:\Données chgh\2020-CHG-CZA-BPA-3\plaque 1/@05 EE2 114/F5_03.tif "/>
    <s v=" 13324.0151 "/>
    <s v=" 65.651 "/>
    <x v="0"/>
    <n v="874735"/>
    <m/>
    <m/>
  </r>
  <r>
    <x v="5"/>
    <x v="6"/>
    <s v="F:\Données chgh\2020-CHG-CZA-BPA-3\plaque 1/@05 EE2 114/G5_01.tif "/>
    <s v=" 28616.3506 "/>
    <s v=" 66.9426 "/>
    <x v="0"/>
    <n v="1915652"/>
    <m/>
    <m/>
  </r>
  <r>
    <x v="5"/>
    <x v="6"/>
    <s v="F:\Données chgh\2020-CHG-CZA-BPA-3\plaque 1/@05 EE2 114/G5_02.tif "/>
    <s v=" 28637.9805 "/>
    <s v=" 66.1427 "/>
    <x v="0"/>
    <n v="1894195"/>
    <m/>
    <m/>
  </r>
  <r>
    <x v="5"/>
    <x v="6"/>
    <s v="F:\Données chgh\2020-CHG-CZA-BPA-3\plaque 1/@05 EE2 114/G5_03.tif "/>
    <s v=" 22408.5708 "/>
    <s v=" 66.1149 "/>
    <x v="0"/>
    <n v="1481540"/>
    <m/>
    <m/>
  </r>
  <r>
    <x v="5"/>
    <x v="7"/>
    <s v="F:\Données chgh\2020-CHG-CZA-BPA-3\plaque 1/@05 EE2 114/H5_01.tif "/>
    <s v=" 44752.252 "/>
    <s v=" 79.7081 "/>
    <x v="0"/>
    <n v="3567116"/>
    <m/>
    <m/>
  </r>
  <r>
    <x v="5"/>
    <x v="7"/>
    <s v="F:\Données chgh\2020-CHG-CZA-BPA-3\plaque 1/@05 EE2 114/H5_02.tif "/>
    <s v=" 45466.0385 "/>
    <s v=" 77.2745 "/>
    <x v="0"/>
    <n v="3513365"/>
    <m/>
    <m/>
  </r>
  <r>
    <x v="5"/>
    <x v="7"/>
    <s v="F:\Données chgh\2020-CHG-CZA-BPA-3\plaque 1/@05 EE2 114/H5_03.tif "/>
    <s v=" 43649.1274 "/>
    <s v=" 78.6274 "/>
    <x v="0"/>
    <n v="3432015"/>
    <m/>
    <m/>
  </r>
  <r>
    <x v="1"/>
    <x v="8"/>
    <s v=" "/>
    <m/>
    <m/>
    <x v="1"/>
    <m/>
    <m/>
    <m/>
  </r>
  <r>
    <x v="1"/>
    <x v="8"/>
    <s v="group "/>
    <s v=" "/>
    <s v=" mean of mean fluo "/>
    <x v="2"/>
    <s v=" mean of total fluo "/>
    <s v=" SD total fluo "/>
    <s v=" n fluorescent "/>
  </r>
  <r>
    <x v="5"/>
    <x v="9"/>
    <s v="F:\Données chgh\2020-CHG-CZA-BPA-3\plaque 1/@05 EE2 114/ "/>
    <s v=" "/>
    <s v=" 68.95 "/>
    <x v="7"/>
    <s v=" 1564405.62 "/>
    <s v=" 1325344.1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BPA-3\plaque 1/@06 EE2 171/A6_01.tif "/>
    <s v=" 30974.0091 "/>
    <s v=" 69.102 "/>
    <x v="0"/>
    <n v="2140365"/>
    <m/>
    <m/>
  </r>
  <r>
    <x v="6"/>
    <x v="0"/>
    <s v="F:\Données chgh\2020-CHG-CZA-BPA-3\plaque 1/@06 EE2 171/A6_02.tif "/>
    <s v=" 29243.6175 "/>
    <s v=" 67.9638 "/>
    <x v="0"/>
    <n v="1987506"/>
    <m/>
    <m/>
  </r>
  <r>
    <x v="6"/>
    <x v="0"/>
    <s v="F:\Données chgh\2020-CHG-CZA-BPA-3\plaque 1/@06 EE2 171/A6_03.tif "/>
    <s v=" 28832.6495 "/>
    <s v=" 71.3841 "/>
    <x v="0"/>
    <n v="2058193"/>
    <m/>
    <m/>
  </r>
  <r>
    <x v="6"/>
    <x v="1"/>
    <s v="F:\Données chgh\2020-CHG-CZA-BPA-3\plaque 1/@06 EE2 171/B6_01.tif "/>
    <s v=" 46720.5724 "/>
    <s v=" 71.2176 "/>
    <x v="0"/>
    <n v="3327327"/>
    <m/>
    <m/>
  </r>
  <r>
    <x v="6"/>
    <x v="1"/>
    <s v="F:\Données chgh\2020-CHG-CZA-BPA-3\plaque 1/@06 EE2 171/B6_02.tif "/>
    <s v=" 40902.1307 "/>
    <s v=" 70.6092 "/>
    <x v="0"/>
    <n v="2888067"/>
    <m/>
    <m/>
  </r>
  <r>
    <x v="6"/>
    <x v="1"/>
    <s v="F:\Données chgh\2020-CHG-CZA-BPA-3\plaque 1/@06 EE2 171/B6_03.tif "/>
    <s v=" 35732.5859 "/>
    <s v=" 69.204 "/>
    <x v="0"/>
    <n v="2472838"/>
    <m/>
    <m/>
  </r>
  <r>
    <x v="6"/>
    <x v="2"/>
    <s v="F:\Données chgh\2020-CHG-CZA-BPA-3\plaque 1/@06 EE2 171/C6_01.tif "/>
    <s v=" 30087.1834 "/>
    <s v=" 71.3393 "/>
    <x v="0"/>
    <n v="2146399"/>
    <m/>
    <m/>
  </r>
  <r>
    <x v="6"/>
    <x v="2"/>
    <s v="F:\Données chgh\2020-CHG-CZA-BPA-3\plaque 1/@06 EE2 171/C6_02.tif "/>
    <s v=" 25198.8272 "/>
    <s v=" 71.3854 "/>
    <x v="0"/>
    <n v="1798829"/>
    <m/>
    <m/>
  </r>
  <r>
    <x v="6"/>
    <x v="2"/>
    <s v="F:\Données chgh\2020-CHG-CZA-BPA-3\plaque 1/@06 EE2 171/C6_03.tif "/>
    <s v=" 34975.5396 "/>
    <s v=" 69.4552 "/>
    <x v="0"/>
    <n v="2429232"/>
    <m/>
    <m/>
  </r>
  <r>
    <x v="6"/>
    <x v="3"/>
    <s v="F:\Données chgh\2020-CHG-CZA-BPA-3\plaque 1/@06 EE2 171/D6_01.tif "/>
    <s v=" 432.5979 "/>
    <s v=" 62.3 "/>
    <x v="0"/>
    <n v="26951"/>
    <m/>
    <m/>
  </r>
  <r>
    <x v="6"/>
    <x v="3"/>
    <s v="F:\Données chgh\2020-CHG-CZA-BPA-3\plaque 1/@06 EE2 171/D6_02.tif "/>
    <s v=" 8435.6589 "/>
    <s v=" 66.9564 "/>
    <x v="0"/>
    <n v="564821"/>
    <m/>
    <m/>
  </r>
  <r>
    <x v="6"/>
    <x v="3"/>
    <s v="F:\Données chgh\2020-CHG-CZA-BPA-3\plaque 1/@06 EE2 171/D6_03.tif "/>
    <s v=" 713.7865 "/>
    <s v=" 62.6061 "/>
    <x v="0"/>
    <n v="44687"/>
    <m/>
    <m/>
  </r>
  <r>
    <x v="6"/>
    <x v="4"/>
    <s v="F:\Données chgh\2020-CHG-CZA-BPA-3\plaque 1/@06 EE2 171/E6_01.tif "/>
    <s v=" 5948.221 "/>
    <s v=" 63.3855 "/>
    <x v="0"/>
    <n v="377031"/>
    <m/>
    <m/>
  </r>
  <r>
    <x v="6"/>
    <x v="4"/>
    <s v="F:\Données chgh\2020-CHG-CZA-BPA-3\plaque 1/@06 EE2 171/E6_02.tif "/>
    <s v=" 11636.8833 "/>
    <s v=" 64.4796 "/>
    <x v="0"/>
    <n v="750341"/>
    <m/>
    <m/>
  </r>
  <r>
    <x v="6"/>
    <x v="4"/>
    <s v="F:\Données chgh\2020-CHG-CZA-BPA-3\plaque 1/@06 EE2 171/E6_03.tif "/>
    <s v=" 25004.1582 "/>
    <s v=" 68.3322 "/>
    <x v="0"/>
    <n v="1708589"/>
    <m/>
    <m/>
  </r>
  <r>
    <x v="6"/>
    <x v="5"/>
    <s v="F:\Données chgh\2020-CHG-CZA-BPA-3\plaque 1/@06 EE2 171/F6_01.tif "/>
    <s v=" 40923.7606 "/>
    <s v=" 69.9947 "/>
    <x v="0"/>
    <n v="2864447"/>
    <m/>
    <m/>
  </r>
  <r>
    <x v="6"/>
    <x v="5"/>
    <s v="F:\Données chgh\2020-CHG-CZA-BPA-3\plaque 1/@06 EE2 171/F6_02.tif "/>
    <s v=" 16265.6808 "/>
    <s v=" 65.8338 "/>
    <x v="0"/>
    <n v="1070831"/>
    <m/>
    <m/>
  </r>
  <r>
    <x v="6"/>
    <x v="5"/>
    <s v="F:\Données chgh\2020-CHG-CZA-BPA-3\plaque 1/@06 EE2 171/F6_03.tif "/>
    <s v=" 22819.5388 "/>
    <s v=" 68.4047 "/>
    <x v="0"/>
    <n v="1560965"/>
    <m/>
    <m/>
  </r>
  <r>
    <x v="6"/>
    <x v="6"/>
    <s v="F:\Données chgh\2020-CHG-CZA-BPA-3\plaque 1/@06 EE2 171/G6_01.tif "/>
    <s v=" 26366.8416 "/>
    <s v=" 77.7646 "/>
    <x v="0"/>
    <n v="2050406"/>
    <m/>
    <m/>
  </r>
  <r>
    <x v="6"/>
    <x v="6"/>
    <s v="F:\Données chgh\2020-CHG-CZA-BPA-3\plaque 1/@06 EE2 171/G6_02.tif "/>
    <s v=" 23230.5068 "/>
    <s v=" 76.122 "/>
    <x v="0"/>
    <n v="1768352"/>
    <m/>
    <m/>
  </r>
  <r>
    <x v="6"/>
    <x v="6"/>
    <s v="F:\Données chgh\2020-CHG-CZA-BPA-3\plaque 1/@06 EE2 171/G6_03.tif "/>
    <s v=" 21478.4854 "/>
    <s v=" 79.4139 "/>
    <x v="0"/>
    <n v="1705690"/>
    <m/>
    <m/>
  </r>
  <r>
    <x v="6"/>
    <x v="7"/>
    <s v="F:\Données chgh\2020-CHG-CZA-BPA-3\plaque 1/@06 EE2 171/H6_01.tif "/>
    <s v=" 7419.0539 "/>
    <s v=" 65.7318 "/>
    <x v="0"/>
    <n v="487668"/>
    <m/>
    <m/>
  </r>
  <r>
    <x v="6"/>
    <x v="7"/>
    <s v="F:\Données chgh\2020-CHG-CZA-BPA-3\plaque 1/@06 EE2 171/H6_02.tif "/>
    <s v=" 17952.8125 "/>
    <s v=" 76.6036 "/>
    <x v="0"/>
    <n v="1375250"/>
    <m/>
    <m/>
  </r>
  <r>
    <x v="6"/>
    <x v="7"/>
    <s v="F:\Données chgh\2020-CHG-CZA-BPA-3\plaque 1/@06 EE2 171/H6_03.tif "/>
    <s v=" 4672.0572 "/>
    <s v=" 64.5417 "/>
    <x v="0"/>
    <n v="301542"/>
    <m/>
    <m/>
  </r>
  <r>
    <x v="1"/>
    <x v="8"/>
    <s v=" "/>
    <m/>
    <m/>
    <x v="1"/>
    <m/>
    <m/>
    <m/>
  </r>
  <r>
    <x v="1"/>
    <x v="8"/>
    <s v="group "/>
    <s v=" "/>
    <s v=" mean of mean fluo "/>
    <x v="2"/>
    <s v=" mean of total fluo "/>
    <s v=" SD total fluo "/>
    <s v=" n fluorescent "/>
  </r>
  <r>
    <x v="6"/>
    <x v="9"/>
    <s v="F:\Données chgh\2020-CHG-CZA-BPA-3\plaque 1/@06 EE2 171/ "/>
    <s v=" "/>
    <s v=" 69.3388 "/>
    <x v="8"/>
    <s v=" 1579430.29 "/>
    <s v=" 940935.05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BPA-3\plaque 1/@07 EE2 488/A7_01.tif "/>
    <s v=" 74277.0582 "/>
    <s v=" 95.3142 "/>
    <x v="0"/>
    <n v="7079659"/>
    <m/>
    <m/>
  </r>
  <r>
    <x v="7"/>
    <x v="0"/>
    <s v="F:\Données chgh\2020-CHG-CZA-BPA-3\plaque 1/@07 EE2 488/A7_02- exclu.tif"/>
    <m/>
    <m/>
    <x v="1"/>
    <m/>
    <m/>
    <m/>
  </r>
  <r>
    <x v="7"/>
    <x v="0"/>
    <s v="F:\Données chgh\2020-CHG-CZA-BPA-3\plaque 1/@07 EE2 488/A7_03.tif "/>
    <s v=" 77932.5103 "/>
    <s v=" 92.4893 "/>
    <x v="0"/>
    <n v="7207924"/>
    <m/>
    <m/>
  </r>
  <r>
    <x v="7"/>
    <x v="1"/>
    <s v="F:\Données chgh\2020-CHG-CZA-BPA-3\plaque 1/@07 EE2 488/B7_01.tif "/>
    <s v=" 80874.176 "/>
    <s v=" 100.6306 "/>
    <x v="0"/>
    <n v="8138421"/>
    <m/>
    <m/>
  </r>
  <r>
    <x v="7"/>
    <x v="1"/>
    <s v="F:\Données chgh\2020-CHG-CZA-BPA-3\plaque 1/@07 EE2 488/B7_02.tif "/>
    <s v=" 80939.0657 "/>
    <s v=" 97.4329 "/>
    <x v="0"/>
    <n v="7886130"/>
    <m/>
    <m/>
  </r>
  <r>
    <x v="7"/>
    <x v="1"/>
    <s v="F:\Données chgh\2020-CHG-CZA-BPA-3\plaque 1/@07 EE2 488/B7_03.tif "/>
    <s v=" 78235.3289 "/>
    <s v=" 97.8394 "/>
    <x v="0"/>
    <n v="7654495"/>
    <m/>
    <m/>
  </r>
  <r>
    <x v="7"/>
    <x v="2"/>
    <s v="F:\Données chgh\2020-CHG-CZA-BPA-3\plaque 1/@07 EE2 488/C7_01.tif "/>
    <s v=" 47585.7682 "/>
    <s v=" 91.6191 "/>
    <x v="0"/>
    <n v="4359765"/>
    <m/>
    <m/>
  </r>
  <r>
    <x v="7"/>
    <x v="2"/>
    <s v="F:\Données chgh\2020-CHG-CZA-BPA-3\plaque 1/@07 EE2 488/C7_02.tif "/>
    <s v=" 51262.8503 "/>
    <s v=" 86.5207 "/>
    <x v="0"/>
    <n v="4435296"/>
    <m/>
    <m/>
  </r>
  <r>
    <x v="7"/>
    <x v="2"/>
    <s v="F:\Données chgh\2020-CHG-CZA-BPA-3\plaque 1/@07 EE2 488/C7_03.tif "/>
    <s v=" 51803.5976 "/>
    <s v=" 87.0342 "/>
    <x v="0"/>
    <n v="4508687"/>
    <m/>
    <m/>
  </r>
  <r>
    <x v="7"/>
    <x v="3"/>
    <s v="F:\Données chgh\2020-CHG-CZA-BPA-3\plaque 1/@07 EE2 488/D7_01.tif "/>
    <s v=" 61342.3812 "/>
    <s v=" 96.6023 "/>
    <x v="0"/>
    <n v="5925812"/>
    <m/>
    <m/>
  </r>
  <r>
    <x v="7"/>
    <x v="3"/>
    <s v="F:\Données chgh\2020-CHG-CZA-BPA-3\plaque 1/@07 EE2 488/D7_02.tif "/>
    <s v=" 57124.5517 "/>
    <s v=" 100.5381 "/>
    <x v="0"/>
    <n v="5743191"/>
    <m/>
    <m/>
  </r>
  <r>
    <x v="7"/>
    <x v="3"/>
    <s v="F:\Données chgh\2020-CHG-CZA-BPA-3\plaque 1/@07 EE2 488/D7_03.tif "/>
    <s v=" 55480.6797 "/>
    <s v=" 99.0546 "/>
    <x v="0"/>
    <n v="5495615"/>
    <m/>
    <m/>
  </r>
  <r>
    <x v="7"/>
    <x v="4"/>
    <s v="F:\Données chgh\2020-CHG-CZA-BPA-3\plaque 1/@07 EE2 488/E7_01.tif "/>
    <s v=" 61104.4523 "/>
    <s v=" 96.7508 "/>
    <x v="0"/>
    <n v="5911904"/>
    <m/>
    <m/>
  </r>
  <r>
    <x v="7"/>
    <x v="4"/>
    <s v="F:\Données chgh\2020-CHG-CZA-BPA-3\plaque 1/@07 EE2 488/E7_02.tif "/>
    <s v=" 56389.1353 "/>
    <s v=" 100.8796 "/>
    <x v="0"/>
    <n v="5688511"/>
    <m/>
    <m/>
  </r>
  <r>
    <x v="7"/>
    <x v="4"/>
    <s v="F:\Données chgh\2020-CHG-CZA-BPA-3\plaque 1/@07 EE2 488/E7_03- exclu.tif"/>
    <m/>
    <m/>
    <x v="1"/>
    <m/>
    <m/>
    <m/>
  </r>
  <r>
    <x v="7"/>
    <x v="5"/>
    <s v="F:\Données chgh\2020-CHG-CZA-BPA-3\plaque 1/@07 EE2 488/F7_01- exclu.tif"/>
    <m/>
    <m/>
    <x v="1"/>
    <m/>
    <m/>
    <m/>
  </r>
  <r>
    <x v="7"/>
    <x v="5"/>
    <s v="F:\Données chgh\2020-CHG-CZA-BPA-3\plaque 1/@07 EE2 488/F7_02.tif "/>
    <s v=" 63829.819 "/>
    <s v=" 91.6405 "/>
    <x v="0"/>
    <n v="5849394"/>
    <m/>
    <m/>
  </r>
  <r>
    <x v="7"/>
    <x v="5"/>
    <s v="F:\Données chgh\2020-CHG-CZA-BPA-3\plaque 1/@07 EE2 488/F7_03.tif "/>
    <s v=" 63159.2923 "/>
    <s v=" 91.0815 "/>
    <x v="0"/>
    <n v="5752644"/>
    <m/>
    <m/>
  </r>
  <r>
    <x v="7"/>
    <x v="6"/>
    <s v="F:\Données chgh\2020-CHG-CZA-BPA-3\plaque 1/@07 EE2 488/G7_01.tif "/>
    <s v=" 60087.8473 "/>
    <s v=" 90.9928 "/>
    <x v="0"/>
    <n v="5467562"/>
    <m/>
    <m/>
  </r>
  <r>
    <x v="7"/>
    <x v="6"/>
    <s v="F:\Données chgh\2020-CHG-CZA-BPA-3\plaque 1/@07 EE2 488/G7_02.tif "/>
    <s v=" 58660.2742 "/>
    <s v=" 90.6914 "/>
    <x v="0"/>
    <n v="5319981"/>
    <m/>
    <m/>
  </r>
  <r>
    <x v="7"/>
    <x v="6"/>
    <s v="F:\Données chgh\2020-CHG-CZA-BPA-3\plaque 1/@07 EE2 488/G7_03.tif "/>
    <s v=" 64089.3778 "/>
    <s v=" 89.2977 "/>
    <x v="0"/>
    <n v="5723032"/>
    <m/>
    <m/>
  </r>
  <r>
    <x v="7"/>
    <x v="7"/>
    <s v="F:\Données chgh\2020-CHG-CZA-BPA-3\plaque 1/@07 EE2 488/H7_01.tif "/>
    <s v=" 50895.1421 "/>
    <s v=" 94.6324 "/>
    <x v="0"/>
    <n v="4816329"/>
    <m/>
    <m/>
  </r>
  <r>
    <x v="7"/>
    <x v="7"/>
    <s v="F:\Données chgh\2020-CHG-CZA-BPA-3\plaque 1/@07 EE2 488/H7_02.tif "/>
    <s v=" 49705.4979 "/>
    <s v=" 94.0827 "/>
    <x v="0"/>
    <n v="4676426"/>
    <m/>
    <m/>
  </r>
  <r>
    <x v="7"/>
    <x v="7"/>
    <s v="F:\Données chgh\2020-CHG-CZA-BPA-3\plaque 1/@07 EE2 488/H7_03.tif "/>
    <s v=" 52019.8966 "/>
    <s v=" 94.4582 "/>
    <x v="0"/>
    <n v="4913706"/>
    <m/>
    <m/>
  </r>
  <r>
    <x v="1"/>
    <x v="8"/>
    <s v=" "/>
    <m/>
    <m/>
    <x v="1"/>
    <m/>
    <m/>
    <m/>
  </r>
  <r>
    <x v="1"/>
    <x v="8"/>
    <s v="group "/>
    <s v=" "/>
    <s v=" mean of mean fluo "/>
    <x v="2"/>
    <s v=" mean of total fluo "/>
    <s v=" SD total fluo "/>
    <s v=" n fluorescent "/>
  </r>
  <r>
    <x v="7"/>
    <x v="9"/>
    <s v="F:\Données chgh\2020-CHG-CZA-BPA-3\plaque 1/@07 EE2 488/ "/>
    <s v=" "/>
    <s v=" 91.9001 "/>
    <x v="9"/>
    <s v=" 5590018.17 "/>
    <s v=" 1593978.7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BPA-3\plaque 1/@08 BPA 1/A8_01.tif "/>
    <s v=" 1319.4236 "/>
    <s v=" 62.6721 "/>
    <x v="0"/>
    <n v="82691"/>
    <m/>
    <m/>
  </r>
  <r>
    <x v="8"/>
    <x v="0"/>
    <s v="F:\Données chgh\2020-CHG-CZA-BPA-3\plaque 1/@08 BPA 1/A8_02.tif "/>
    <s v=" 692.1566 "/>
    <s v=" 62.0938 "/>
    <x v="0"/>
    <n v="42979"/>
    <m/>
    <m/>
  </r>
  <r>
    <x v="8"/>
    <x v="0"/>
    <s v="F:\Données chgh\2020-CHG-CZA-BPA-3\plaque 1/@08 BPA 1/A8_03.tif "/>
    <s v=" 627.2669 "/>
    <s v=" 62.2414 "/>
    <x v="0"/>
    <n v="39042"/>
    <m/>
    <m/>
  </r>
  <r>
    <x v="8"/>
    <x v="1"/>
    <s v="F:\Données chgh\2020-CHG-CZA-BPA-3\plaque 1/@08 BPA 1/B8_01.tif "/>
    <s v=" 5710.2922 "/>
    <s v=" 68.2159 "/>
    <x v="0"/>
    <n v="389533"/>
    <m/>
    <m/>
  </r>
  <r>
    <x v="8"/>
    <x v="1"/>
    <s v="F:\Données chgh\2020-CHG-CZA-BPA-3\plaque 1/@08 BPA 1/B8_02.tif "/>
    <s v=" 5580.5128 "/>
    <s v=" 70.969 "/>
    <x v="0"/>
    <n v="396043"/>
    <m/>
    <m/>
  </r>
  <r>
    <x v="8"/>
    <x v="1"/>
    <s v="F:\Données chgh\2020-CHG-CZA-BPA-3\plaque 1/@08 BPA 1/B8_03.tif "/>
    <s v=" 4780.2067 "/>
    <s v=" 69.2443 "/>
    <x v="0"/>
    <n v="331002"/>
    <m/>
    <m/>
  </r>
  <r>
    <x v="8"/>
    <x v="2"/>
    <s v="F:\Données chgh\2020-CHG-CZA-BPA-3\plaque 1/@08 BPA 1/C8_01.tif "/>
    <s v=" 627.2669 "/>
    <s v=" 63.2414 "/>
    <x v="0"/>
    <n v="39669"/>
    <m/>
    <m/>
  </r>
  <r>
    <x v="8"/>
    <x v="2"/>
    <s v="F:\Données chgh\2020-CHG-CZA-BPA-3\plaque 1/@08 BPA 1/C8_02.tif "/>
    <s v=" 627.2669 "/>
    <s v=" 63.8276 "/>
    <x v="0"/>
    <n v="40037"/>
    <m/>
    <m/>
  </r>
  <r>
    <x v="8"/>
    <x v="2"/>
    <s v="F:\Données chgh\2020-CHG-CZA-BPA-3\plaque 1/@08 BPA 1/C8_03.tif "/>
    <s v=" 454.2278 "/>
    <s v=" 61.9524 "/>
    <x v="0"/>
    <n v="28140"/>
    <m/>
    <m/>
  </r>
  <r>
    <x v="8"/>
    <x v="3"/>
    <s v="F:\Données chgh\2020-CHG-CZA-BPA-3\plaque 1/@08 BPA 1/D8_01.tif "/>
    <s v=" 519.1175 "/>
    <s v=" 64.4583 "/>
    <x v="0"/>
    <n v="33461"/>
    <m/>
    <m/>
  </r>
  <r>
    <x v="8"/>
    <x v="3"/>
    <s v="F:\Données chgh\2020-CHG-CZA-BPA-3\plaque 1/@08 BPA 1/D8_02.tif "/>
    <s v=" 1470.8328 "/>
    <s v=" 66.0294 "/>
    <x v="0"/>
    <n v="97118"/>
    <m/>
    <m/>
  </r>
  <r>
    <x v="8"/>
    <x v="3"/>
    <s v="F:\Données chgh\2020-CHG-CZA-BPA-3\plaque 1/@08 BPA 1/D8_03.tif "/>
    <s v=" 735.4164 "/>
    <s v=" 66.8529 "/>
    <x v="0"/>
    <n v="49165"/>
    <m/>
    <m/>
  </r>
  <r>
    <x v="8"/>
    <x v="4"/>
    <s v="F:\Données chgh\2020-CHG-CZA-BPA-3\plaque 1/@08 BPA 1/E8_01.tif "/>
    <s v=" 5256.0644 "/>
    <s v=" 71.0082 "/>
    <x v="0"/>
    <n v="373224"/>
    <m/>
    <m/>
  </r>
  <r>
    <x v="8"/>
    <x v="4"/>
    <s v="F:\Données chgh\2020-CHG-CZA-BPA-3\plaque 1/@08 BPA 1/E8_02.tif "/>
    <s v=" 2141.3596 "/>
    <s v=" 65.8889 "/>
    <x v="0"/>
    <n v="141092"/>
    <m/>
    <m/>
  </r>
  <r>
    <x v="8"/>
    <x v="4"/>
    <s v="F:\Données chgh\2020-CHG-CZA-BPA-3\plaque 1/@08 BPA 1/E8_03.tif "/>
    <s v=" 5926.5911 "/>
    <s v=" 67.7117 "/>
    <x v="0"/>
    <n v="401299"/>
    <m/>
    <m/>
  </r>
  <r>
    <x v="8"/>
    <x v="5"/>
    <s v="F:\Données chgh\2020-CHG-CZA-BPA-3\plaque 1/@08 BPA 1/F8_01- exclu.tif"/>
    <m/>
    <m/>
    <x v="1"/>
    <m/>
    <m/>
    <m/>
  </r>
  <r>
    <x v="8"/>
    <x v="5"/>
    <s v="F:\Données chgh\2020-CHG-CZA-BPA-3\plaque 1/@08 BPA 1/F8_02.tif "/>
    <s v=" 584.0072 "/>
    <n v="64"/>
    <x v="0"/>
    <n v="37376"/>
    <m/>
    <m/>
  </r>
  <r>
    <x v="8"/>
    <x v="5"/>
    <s v="F:\Données chgh\2020-CHG-CZA-BPA-3\plaque 1/@08 BPA 1/F8_03.tif "/>
    <s v=" 908.4556 "/>
    <s v=" 63.0714 "/>
    <x v="0"/>
    <n v="57298"/>
    <m/>
    <m/>
  </r>
  <r>
    <x v="8"/>
    <x v="6"/>
    <s v="F:\Données chgh\2020-CHG-CZA-BPA-3\plaque 1/@08 BPA 1/G8_01.tif "/>
    <s v=" 1384.3133 "/>
    <s v=" 65.6406 "/>
    <x v="0"/>
    <n v="90867"/>
    <m/>
    <m/>
  </r>
  <r>
    <x v="8"/>
    <x v="6"/>
    <s v="F:\Données chgh\2020-CHG-CZA-BPA-3\plaque 1/@08 BPA 1/G8_02.tif "/>
    <s v=" 1146.3844 "/>
    <s v=" 65.7925 "/>
    <x v="0"/>
    <n v="75423"/>
    <m/>
    <m/>
  </r>
  <r>
    <x v="8"/>
    <x v="6"/>
    <s v="F:\Données chgh\2020-CHG-CZA-BPA-3\plaque 1/@08 BPA 1/G8_03.tif "/>
    <s v=" 1362.6834 "/>
    <s v=" 64.3016 "/>
    <x v="0"/>
    <n v="87623"/>
    <m/>
    <m/>
  </r>
  <r>
    <x v="8"/>
    <x v="7"/>
    <s v="F:\Données chgh\2020-CHG-CZA-BPA-3\plaque 1/@08 BPA 1/H8_01.tif "/>
    <s v=" 302.8185 "/>
    <s v=" 67.1429 "/>
    <x v="0"/>
    <n v="20332"/>
    <m/>
    <m/>
  </r>
  <r>
    <x v="8"/>
    <x v="7"/>
    <s v="F:\Données chgh\2020-CHG-CZA-BPA-3\plaque 1/@08 BPA 1/H8_02.tif "/>
    <s v=" 237.9288 "/>
    <s v=" 62.3636 "/>
    <x v="0"/>
    <n v="14838"/>
    <m/>
    <m/>
  </r>
  <r>
    <x v="8"/>
    <x v="7"/>
    <s v="F:\Données chgh\2020-CHG-CZA-BPA-3\plaque 1/@08 BPA 1/H8_03.tif "/>
    <s v=" 173.0392 "/>
    <s v=" 62.625 "/>
    <x v="0"/>
    <n v="10837"/>
    <m/>
    <m/>
  </r>
  <r>
    <x v="1"/>
    <x v="8"/>
    <s v=" "/>
    <m/>
    <m/>
    <x v="1"/>
    <m/>
    <m/>
    <m/>
  </r>
  <r>
    <x v="1"/>
    <x v="8"/>
    <s v="group "/>
    <s v=" "/>
    <s v=" mean of mean fluo "/>
    <x v="2"/>
    <s v=" mean of total fluo "/>
    <s v=" SD total fluo "/>
    <s v=" n fluorescent "/>
  </r>
  <r>
    <x v="8"/>
    <x v="9"/>
    <s v="F:\Données chgh\2020-CHG-CZA-BPA-3\plaque 1/@08 BPA 1/ "/>
    <s v=" "/>
    <s v=" 65.3274 "/>
    <x v="10"/>
    <s v=" 175650.917 "/>
    <s v=" 282722.45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BPA-3\plaque 1/@09 BPA 2/A9_01.tif "/>
    <s v=" 3266.1141 "/>
    <s v=" 65.7682 "/>
    <x v="0"/>
    <n v="214806"/>
    <m/>
    <m/>
  </r>
  <r>
    <x v="9"/>
    <x v="0"/>
    <s v="F:\Données chgh\2020-CHG-CZA-BPA-3\plaque 1/@09 BPA 2/A9_02.tif "/>
    <s v=" 3655.4522 "/>
    <s v=" 65.4379 "/>
    <x v="0"/>
    <n v="239205"/>
    <m/>
    <m/>
  </r>
  <r>
    <x v="9"/>
    <x v="0"/>
    <s v="F:\Données chgh\2020-CHG-CZA-BPA-3\plaque 1/@09 BPA 2/A9_03.tif "/>
    <s v=" 5623.7726 "/>
    <s v=" 65.4654 "/>
    <x v="0"/>
    <n v="368162"/>
    <m/>
    <m/>
  </r>
  <r>
    <x v="9"/>
    <x v="1"/>
    <s v="F:\Données chgh\2020-CHG-CZA-BPA-3\plaque 1/@09 BPA 2/B9_01.tif "/>
    <s v=" 5191.1747 "/>
    <s v=" 68.0917 "/>
    <x v="0"/>
    <n v="353476"/>
    <m/>
    <m/>
  </r>
  <r>
    <x v="9"/>
    <x v="1"/>
    <s v="F:\Données chgh\2020-CHG-CZA-BPA-3\plaque 1/@09 BPA 2/B9_02.tif "/>
    <s v=" 3266.1141 "/>
    <s v=" 65.5894 "/>
    <x v="0"/>
    <n v="214222"/>
    <m/>
    <m/>
  </r>
  <r>
    <x v="9"/>
    <x v="1"/>
    <s v="F:\Données chgh\2020-CHG-CZA-BPA-3\plaque 1/@09 BPA 2/B9_03.tif "/>
    <s v=" 5602.1427 "/>
    <s v=" 67.3089 "/>
    <x v="0"/>
    <n v="377074"/>
    <m/>
    <m/>
  </r>
  <r>
    <x v="9"/>
    <x v="2"/>
    <s v="F:\Données chgh\2020-CHG-CZA-BPA-3\plaque 1/@09 BPA 2/C9_01.tif "/>
    <s v=" 1081.4947 "/>
    <s v=" 63.34 "/>
    <x v="0"/>
    <n v="68502"/>
    <m/>
    <m/>
  </r>
  <r>
    <x v="9"/>
    <x v="2"/>
    <s v="F:\Données chgh\2020-CHG-CZA-BPA-3\plaque 1/@09 BPA 2/C9_02.tif "/>
    <s v=" 670.5267 "/>
    <s v=" 62.871 "/>
    <x v="0"/>
    <n v="42157"/>
    <m/>
    <m/>
  </r>
  <r>
    <x v="9"/>
    <x v="2"/>
    <s v="F:\Données chgh\2020-CHG-CZA-BPA-3\plaque 1/@09 BPA 2/C9_03.tif "/>
    <s v=" 2638.8471 "/>
    <s v=" 64.9344 "/>
    <x v="0"/>
    <n v="171352"/>
    <m/>
    <m/>
  </r>
  <r>
    <x v="9"/>
    <x v="3"/>
    <s v="F:\Données chgh\2020-CHG-CZA-BPA-3\plaque 1/@09 BPA 2/D9_01.tif "/>
    <s v=" 8003.061 "/>
    <s v=" 85.2297 "/>
    <x v="0"/>
    <n v="682099"/>
    <m/>
    <m/>
  </r>
  <r>
    <x v="9"/>
    <x v="3"/>
    <s v="F:\Données chgh\2020-CHG-CZA-BPA-3\plaque 1/@09 BPA 2/D9_02.tif "/>
    <s v=" 1016.605 "/>
    <s v=" 64.8511 "/>
    <x v="0"/>
    <n v="65928"/>
    <m/>
    <m/>
  </r>
  <r>
    <x v="9"/>
    <x v="3"/>
    <s v="F:\Données chgh\2020-CHG-CZA-BPA-3\plaque 1/@09 BPA 2/D9_03.tif "/>
    <s v=" 821.936 "/>
    <s v=" 64.8684 "/>
    <x v="0"/>
    <n v="53318"/>
    <m/>
    <m/>
  </r>
  <r>
    <x v="9"/>
    <x v="4"/>
    <s v="F:\Données chgh\2020-CHG-CZA-BPA-3\plaque 1/@09 BPA 2/E9_01.tif "/>
    <s v=" 2054.84 "/>
    <s v=" 65.0526 "/>
    <x v="0"/>
    <n v="133673"/>
    <m/>
    <m/>
  </r>
  <r>
    <x v="9"/>
    <x v="4"/>
    <s v="F:\Données chgh\2020-CHG-CZA-BPA-3\plaque 1/@09 BPA 2/E9_02.tif "/>
    <s v=" 4304.349 "/>
    <s v=" 67.7337 "/>
    <x v="0"/>
    <n v="291549"/>
    <m/>
    <m/>
  </r>
  <r>
    <x v="9"/>
    <x v="4"/>
    <s v="F:\Données chgh\2020-CHG-CZA-BPA-3\plaque 1/@09 BPA 2/E9_03.tif "/>
    <s v=" 5796.8118 "/>
    <s v=" 68.8507 "/>
    <x v="0"/>
    <n v="399115"/>
    <m/>
    <m/>
  </r>
  <r>
    <x v="9"/>
    <x v="5"/>
    <s v="F:\Données chgh\2020-CHG-CZA-BPA-3\plaque 1/@09 BPA 2/F9_01- exclu.tif"/>
    <m/>
    <m/>
    <x v="1"/>
    <m/>
    <m/>
    <m/>
  </r>
  <r>
    <x v="9"/>
    <x v="5"/>
    <s v="F:\Données chgh\2020-CHG-CZA-BPA-3\plaque 1/@09 BPA 2/F9_02.tif "/>
    <s v=" 346.0783 "/>
    <s v=" 63.875 "/>
    <x v="0"/>
    <n v="22106"/>
    <m/>
    <m/>
  </r>
  <r>
    <x v="9"/>
    <x v="5"/>
    <s v="F:\Données chgh\2020-CHG-CZA-BPA-3\plaque 1/@09 BPA 2/F9_03.tif "/>
    <s v=" 1319.4236 "/>
    <s v=" 64.0164 "/>
    <x v="0"/>
    <n v="84465"/>
    <m/>
    <m/>
  </r>
  <r>
    <x v="9"/>
    <x v="6"/>
    <s v="F:\Données chgh\2020-CHG-CZA-BPA-3\plaque 1/@09 BPA 2/G9_01.tif "/>
    <s v=" 367.7082 "/>
    <s v=" 62.6471 "/>
    <x v="0"/>
    <n v="23036"/>
    <m/>
    <m/>
  </r>
  <r>
    <x v="9"/>
    <x v="6"/>
    <s v="F:\Données chgh\2020-CHG-CZA-BPA-3\plaque 1/@09 BPA 2/G9_02.tif "/>
    <s v=" 1514.0926 "/>
    <s v=" 65.1 "/>
    <x v="0"/>
    <n v="98567"/>
    <m/>
    <m/>
  </r>
  <r>
    <x v="9"/>
    <x v="6"/>
    <s v="F:\Données chgh\2020-CHG-CZA-BPA-3\plaque 1/@09 BPA 2/G9_03.tif "/>
    <s v=" 605.637 "/>
    <s v=" 63.3571 "/>
    <x v="0"/>
    <n v="38371"/>
    <m/>
    <m/>
  </r>
  <r>
    <x v="9"/>
    <x v="7"/>
    <s v="F:\Données chgh\2020-CHG-CZA-BPA-3\plaque 1/@09 BPA 2/H9_01.tif "/>
    <s v=" 1168.0143 "/>
    <s v=" 66.037 "/>
    <x v="0"/>
    <n v="77132"/>
    <m/>
    <m/>
  </r>
  <r>
    <x v="9"/>
    <x v="7"/>
    <s v="F:\Données chgh\2020-CHG-CZA-BPA-3\plaque 1/@09 BPA 2/H9_02.tif "/>
    <s v=" 3850.1212 "/>
    <s v=" 65.8539 "/>
    <x v="0"/>
    <n v="253546"/>
    <m/>
    <m/>
  </r>
  <r>
    <x v="9"/>
    <x v="7"/>
    <s v="F:\Données chgh\2020-CHG-CZA-BPA-3\plaque 1/@09 BPA 2/H9_03.tif "/>
    <s v=" 692.1566 "/>
    <s v=" 62.2188 "/>
    <x v="0"/>
    <n v="43065"/>
    <m/>
    <m/>
  </r>
  <r>
    <x v="1"/>
    <x v="8"/>
    <s v=" "/>
    <m/>
    <m/>
    <x v="1"/>
    <m/>
    <m/>
    <m/>
  </r>
  <r>
    <x v="1"/>
    <x v="8"/>
    <s v="group "/>
    <s v=" "/>
    <s v=" mean of mean fluo "/>
    <x v="2"/>
    <s v=" mean of total fluo "/>
    <s v=" SD total fluo "/>
    <s v=" n fluorescent "/>
  </r>
  <r>
    <x v="9"/>
    <x v="9"/>
    <s v="F:\Données chgh\2020-CHG-CZA-BPA-3\plaque 1/@09 BPA 2/ "/>
    <s v=" "/>
    <s v=" 66.0774 "/>
    <x v="11"/>
    <s v=" 181306.292 "/>
    <s v=" 165002.9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BPA-3\plaque 1/@10  BPA 3/A10_01.tif "/>
    <s v=" 6359.189 "/>
    <s v=" 69.1531 "/>
    <x v="0"/>
    <n v="439757"/>
    <m/>
    <m/>
  </r>
  <r>
    <x v="10"/>
    <x v="0"/>
    <s v="F:\Données chgh\2020-CHG-CZA-BPA-3\plaque 1/@10  BPA 3/A10_02.tif "/>
    <s v=" 1081.4947 "/>
    <s v=" 64.42 "/>
    <x v="0"/>
    <n v="69670"/>
    <m/>
    <m/>
  </r>
  <r>
    <x v="10"/>
    <x v="0"/>
    <s v="F:\Données chgh\2020-CHG-CZA-BPA-3\plaque 1/@10  BPA 3/A10_03- exclu.tif"/>
    <m/>
    <m/>
    <x v="1"/>
    <m/>
    <m/>
    <m/>
  </r>
  <r>
    <x v="10"/>
    <x v="1"/>
    <s v="F:\Données chgh\2020-CHG-CZA-BPA-3\plaque 1/@10  BPA 3/B10_01.tif "/>
    <s v=" 5883.3313 "/>
    <s v=" 64.75 "/>
    <x v="0"/>
    <n v="380946"/>
    <m/>
    <m/>
  </r>
  <r>
    <x v="10"/>
    <x v="1"/>
    <s v="F:\Données chgh\2020-CHG-CZA-BPA-3\plaque 1/@10  BPA 3/B10_02.tif "/>
    <s v=" 4758.5768 "/>
    <s v=" 64.5045 "/>
    <x v="0"/>
    <n v="306950"/>
    <m/>
    <m/>
  </r>
  <r>
    <x v="10"/>
    <x v="1"/>
    <s v="F:\Données chgh\2020-CHG-CZA-BPA-3\plaque 1/@10  BPA 3/B10_03.tif "/>
    <s v=" 5212.8046 "/>
    <s v=" 66.3651 "/>
    <x v="0"/>
    <n v="345949"/>
    <m/>
    <m/>
  </r>
  <r>
    <x v="10"/>
    <x v="2"/>
    <s v="F:\Données chgh\2020-CHG-CZA-BPA-3\plaque 1/@10  BPA 3/C10_01.tif "/>
    <s v=" 648.8968 "/>
    <s v=" 63.6667 "/>
    <x v="0"/>
    <n v="41313"/>
    <m/>
    <m/>
  </r>
  <r>
    <x v="10"/>
    <x v="2"/>
    <s v="F:\Données chgh\2020-CHG-CZA-BPA-3\plaque 1/@10  BPA 3/C10_02.tif "/>
    <s v=" 237.9288 "/>
    <s v=" 63.8182 "/>
    <x v="0"/>
    <n v="15184"/>
    <m/>
    <m/>
  </r>
  <r>
    <x v="10"/>
    <x v="2"/>
    <s v="F:\Données chgh\2020-CHG-CZA-BPA-3\plaque 1/@10  BPA 3/C10_03.tif "/>
    <s v=" 173.0392 "/>
    <s v=" 63.75 "/>
    <x v="0"/>
    <n v="11031"/>
    <m/>
    <m/>
  </r>
  <r>
    <x v="10"/>
    <x v="3"/>
    <s v="F:\Données chgh\2020-CHG-CZA-BPA-3\plaque 1/@10  BPA 3/D10_01.tif "/>
    <s v=" 28659.6104 "/>
    <s v=" 68.5442 "/>
    <x v="0"/>
    <n v="1964449"/>
    <m/>
    <m/>
  </r>
  <r>
    <x v="10"/>
    <x v="3"/>
    <s v="F:\Données chgh\2020-CHG-CZA-BPA-3\plaque 1/@10  BPA 3/D10_02.tif "/>
    <s v=" 30433.2617 "/>
    <s v=" 68.8813 "/>
    <x v="0"/>
    <n v="2096283"/>
    <m/>
    <m/>
  </r>
  <r>
    <x v="10"/>
    <x v="3"/>
    <s v="F:\Données chgh\2020-CHG-CZA-BPA-3\plaque 1/@10  BPA 3/D10_03.tif "/>
    <s v=" 26280.322 "/>
    <s v=" 67.6239 "/>
    <x v="0"/>
    <n v="1777177"/>
    <m/>
    <m/>
  </r>
  <r>
    <x v="10"/>
    <x v="4"/>
    <s v="F:\Données chgh\2020-CHG-CZA-BPA-3\plaque 1/@10  BPA 3/E10_01.tif "/>
    <s v=" 2660.477 "/>
    <s v=" 64.3171 "/>
    <x v="0"/>
    <n v="171114"/>
    <m/>
    <m/>
  </r>
  <r>
    <x v="10"/>
    <x v="4"/>
    <s v="F:\Données chgh\2020-CHG-CZA-BPA-3\plaque 1/@10  BPA 3/E10_02.tif "/>
    <s v=" 1557.3524 "/>
    <s v=" 64.6667 "/>
    <x v="0"/>
    <n v="100709"/>
    <m/>
    <m/>
  </r>
  <r>
    <x v="10"/>
    <x v="4"/>
    <s v="F:\Données chgh\2020-CHG-CZA-BPA-3\plaque 1/@10  BPA 3/E10_03.tif "/>
    <s v=" 2963.2956 "/>
    <s v=" 65.7664 "/>
    <x v="0"/>
    <n v="194885"/>
    <m/>
    <m/>
  </r>
  <r>
    <x v="10"/>
    <x v="5"/>
    <s v="F:\Données chgh\2020-CHG-CZA-BPA-3\plaque 1/@10  BPA 3/F10_01.tif "/>
    <s v=" 346.0783 "/>
    <s v=" 62.625 "/>
    <x v="0"/>
    <n v="21673"/>
    <m/>
    <m/>
  </r>
  <r>
    <x v="10"/>
    <x v="5"/>
    <s v="F:\Données chgh\2020-CHG-CZA-BPA-3\plaque 1/@10  BPA 3/F10_02.tif "/>
    <s v=" 1362.6834 "/>
    <s v=" 64.1111 "/>
    <x v="0"/>
    <n v="87363"/>
    <m/>
    <m/>
  </r>
  <r>
    <x v="10"/>
    <x v="5"/>
    <s v="F:\Données chgh\2020-CHG-CZA-BPA-3\plaque 1/@10  BPA 3/F10_03.tif "/>
    <s v=" 2033.2101 "/>
    <s v=" 63.8404 "/>
    <x v="0"/>
    <n v="129801"/>
    <m/>
    <m/>
  </r>
  <r>
    <x v="10"/>
    <x v="6"/>
    <s v="F:\Données chgh\2020-CHG-CZA-BPA-3\plaque 1/@10  BPA 3/G10_01.tif "/>
    <s v=" 10101.1608 "/>
    <s v=" 72.409 "/>
    <x v="0"/>
    <n v="731415"/>
    <m/>
    <m/>
  </r>
  <r>
    <x v="10"/>
    <x v="6"/>
    <s v="F:\Données chgh\2020-CHG-CZA-BPA-3\plaque 1/@10  BPA 3/G10_02- exclu.tif"/>
    <m/>
    <m/>
    <x v="1"/>
    <m/>
    <m/>
    <m/>
  </r>
  <r>
    <x v="10"/>
    <x v="6"/>
    <s v="F:\Données chgh\2020-CHG-CZA-BPA-3\plaque 1/@10  BPA 3/G10_03- exclu.tif"/>
    <m/>
    <m/>
    <x v="1"/>
    <m/>
    <m/>
    <m/>
  </r>
  <r>
    <x v="10"/>
    <x v="7"/>
    <s v="F:\Données chgh\2020-CHG-CZA-BPA-3\plaque 1/@10  BPA 3/H10_01.tif "/>
    <s v=" 18861.2681 "/>
    <s v=" 69.5516 "/>
    <x v="0"/>
    <n v="1311831"/>
    <m/>
    <m/>
  </r>
  <r>
    <x v="10"/>
    <x v="7"/>
    <s v="F:\Données chgh\2020-CHG-CZA-BPA-3\plaque 1/@10  BPA 3/H10_02.tif "/>
    <s v=" 20267.2113 "/>
    <s v=" 69.4173 "/>
    <x v="0"/>
    <n v="1406895"/>
    <m/>
    <m/>
  </r>
  <r>
    <x v="10"/>
    <x v="7"/>
    <s v="F:\Données chgh\2020-CHG-CZA-BPA-3\plaque 1/@10  BPA 3/H10_03.tif "/>
    <s v=" 20916.1081 "/>
    <s v=" 68.6525 "/>
    <x v="0"/>
    <n v="1435944"/>
    <m/>
    <m/>
  </r>
  <r>
    <x v="1"/>
    <x v="8"/>
    <s v=" "/>
    <m/>
    <m/>
    <x v="1"/>
    <m/>
    <m/>
    <m/>
  </r>
  <r>
    <x v="1"/>
    <x v="8"/>
    <s v="group "/>
    <s v=" "/>
    <s v=" mean of mean fluo "/>
    <x v="2"/>
    <s v=" mean of total fluo "/>
    <s v=" SD total fluo "/>
    <s v=" n fluorescent "/>
  </r>
  <r>
    <x v="10"/>
    <x v="9"/>
    <s v="F:\Données chgh\2020-CHG-CZA-BPA-3\plaque 1/@10  BPA 3/ "/>
    <s v=" "/>
    <s v=" 69.1086 "/>
    <x v="12"/>
    <s v=" 655542.625 "/>
    <s v=" 711323.24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BPA-3\plaque 1/@11 BPA 4/A11_01.tif "/>
    <s v=" 8370.7692 "/>
    <s v=" 67.1395 "/>
    <x v="0"/>
    <n v="562010"/>
    <m/>
    <m/>
  </r>
  <r>
    <x v="11"/>
    <x v="0"/>
    <s v="F:\Données chgh\2020-CHG-CZA-BPA-3\plaque 1/@11 BPA 4/A11_02.tif "/>
    <s v=" 2422.5482 "/>
    <s v=" 64.0804 "/>
    <x v="0"/>
    <n v="155238"/>
    <m/>
    <m/>
  </r>
  <r>
    <x v="11"/>
    <x v="0"/>
    <s v="F:\Données chgh\2020-CHG-CZA-BPA-3\plaque 1/@11 BPA 4/A11_03.tif "/>
    <s v=" 519.1175 "/>
    <s v=" 63.3333 "/>
    <x v="0"/>
    <n v="32877"/>
    <m/>
    <m/>
  </r>
  <r>
    <x v="11"/>
    <x v="1"/>
    <s v="F:\Données chgh\2020-CHG-CZA-BPA-3\plaque 1/@11 BPA 4/B11_01.tif "/>
    <s v=" 9863.232 "/>
    <s v=" 65.9408 "/>
    <x v="0"/>
    <n v="650389"/>
    <m/>
    <m/>
  </r>
  <r>
    <x v="11"/>
    <x v="1"/>
    <s v="F:\Données chgh\2020-CHG-CZA-BPA-3\plaque 1/@11 BPA 4/B11_02.tif "/>
    <s v=" 7332.5343 "/>
    <s v=" 65.7316 "/>
    <x v="0"/>
    <n v="481979"/>
    <m/>
    <m/>
  </r>
  <r>
    <x v="11"/>
    <x v="1"/>
    <s v="F:\Données chgh\2020-CHG-CZA-BPA-3\plaque 1/@11 BPA 4/B11_03.tif "/>
    <s v=" 5969.8509 "/>
    <s v=" 64.7645 "/>
    <x v="0"/>
    <n v="386634"/>
    <m/>
    <m/>
  </r>
  <r>
    <x v="11"/>
    <x v="2"/>
    <s v="F:\Données chgh\2020-CHG-CZA-BPA-3\plaque 1/@11 BPA 4/C11_01.tif "/>
    <s v=" 29200.3577 "/>
    <s v=" 67.3096 "/>
    <x v="0"/>
    <n v="1965465"/>
    <m/>
    <m/>
  </r>
  <r>
    <x v="11"/>
    <x v="2"/>
    <s v="F:\Données chgh\2020-CHG-CZA-BPA-3\plaque 1/@11 BPA 4/C11_02.tif "/>
    <s v=" 27037.3683 "/>
    <s v=" 66.5096 "/>
    <x v="0"/>
    <n v="1798245"/>
    <m/>
    <m/>
  </r>
  <r>
    <x v="11"/>
    <x v="2"/>
    <s v="F:\Données chgh\2020-CHG-CZA-BPA-3\plaque 1/@11 BPA 4/C11_03.tif "/>
    <s v=" 26172.1725 "/>
    <s v=" 66.8603 "/>
    <x v="0"/>
    <n v="1749880"/>
    <m/>
    <m/>
  </r>
  <r>
    <x v="11"/>
    <x v="3"/>
    <s v="F:\Données chgh\2020-CHG-CZA-BPA-3\plaque 1/@11 BPA 4/D11_01.tif "/>
    <s v=" 42243.1842 "/>
    <s v=" 72.1987 "/>
    <x v="0"/>
    <n v="3049902"/>
    <m/>
    <m/>
  </r>
  <r>
    <x v="11"/>
    <x v="3"/>
    <s v="F:\Données chgh\2020-CHG-CZA-BPA-3\plaque 1/@11 BPA 4/D11_02- exclu.tif"/>
    <m/>
    <m/>
    <x v="1"/>
    <m/>
    <m/>
    <m/>
  </r>
  <r>
    <x v="11"/>
    <x v="3"/>
    <s v="F:\Données chgh\2020-CHG-CZA-BPA-3\plaque 1/@11 BPA 4/D11_03.tif "/>
    <s v=" 46807.092 "/>
    <s v=" 72.2389 "/>
    <x v="0"/>
    <n v="3381293"/>
    <m/>
    <m/>
  </r>
  <r>
    <x v="11"/>
    <x v="4"/>
    <s v="F:\Données chgh\2020-CHG-CZA-BPA-3\plaque 1/@11 BPA 4/E11_01.tif "/>
    <s v=" 34305.0129 "/>
    <s v=" 68.6431 "/>
    <x v="0"/>
    <n v="2354803"/>
    <m/>
    <m/>
  </r>
  <r>
    <x v="11"/>
    <x v="4"/>
    <s v="F:\Données chgh\2020-CHG-CZA-BPA-3\plaque 1/@11 BPA 4/E11_02.tif "/>
    <s v=" 32661.1409 "/>
    <s v=" 69.702 "/>
    <x v="0"/>
    <n v="2276546"/>
    <m/>
    <m/>
  </r>
  <r>
    <x v="11"/>
    <x v="4"/>
    <s v="F:\Données chgh\2020-CHG-CZA-BPA-3\plaque 1/@11 BPA 4/E11_03.tif "/>
    <s v=" 21954.343 "/>
    <s v=" 67.4877 "/>
    <x v="0"/>
    <n v="1481648"/>
    <m/>
    <m/>
  </r>
  <r>
    <x v="11"/>
    <x v="5"/>
    <s v="F:\Données chgh\2020-CHG-CZA-BPA-3\plaque 1/@11 BPA 4/F11_01.tif "/>
    <s v=" 49532.4587 "/>
    <s v=" 75.6799 "/>
    <x v="0"/>
    <n v="3748612"/>
    <m/>
    <m/>
  </r>
  <r>
    <x v="11"/>
    <x v="5"/>
    <s v="F:\Données chgh\2020-CHG-CZA-BPA-3\plaque 1/@11 BPA 4/F11_02.tif "/>
    <s v=" 43238.1594 "/>
    <s v=" 77.6803 "/>
    <x v="0"/>
    <n v="3358755"/>
    <m/>
    <m/>
  </r>
  <r>
    <x v="11"/>
    <x v="5"/>
    <s v="F:\Données chgh\2020-CHG-CZA-BPA-3\plaque 1/@11 BPA 4/F11_03.tif "/>
    <s v=" 48991.7113 "/>
    <s v=" 79.094 "/>
    <x v="0"/>
    <n v="3874952"/>
    <m/>
    <m/>
  </r>
  <r>
    <x v="11"/>
    <x v="6"/>
    <s v="F:\Données chgh\2020-CHG-CZA-BPA-3\plaque 1/@11 BPA 4/G11_01.tif "/>
    <s v=" 21500.1153 "/>
    <s v=" 66.2827 "/>
    <x v="0"/>
    <n v="1425086"/>
    <m/>
    <m/>
  </r>
  <r>
    <x v="11"/>
    <x v="6"/>
    <s v="F:\Données chgh\2020-CHG-CZA-BPA-3\plaque 1/@11 BPA 4/G11_02.tif "/>
    <s v=" 15551.8942 "/>
    <s v=" 65.7719 "/>
    <x v="0"/>
    <n v="1022878"/>
    <m/>
    <m/>
  </r>
  <r>
    <x v="11"/>
    <x v="6"/>
    <s v="F:\Données chgh\2020-CHG-CZA-BPA-3\plaque 1/@11 BPA 4/G11_03.tif "/>
    <s v=" 7808.392 "/>
    <s v=" 65.0305 "/>
    <x v="0"/>
    <n v="507783"/>
    <m/>
    <m/>
  </r>
  <r>
    <x v="11"/>
    <x v="7"/>
    <s v="F:\Données chgh\2020-CHG-CZA-BPA-3\plaque 1/@11 BPA 4/H11_01.tif "/>
    <s v=" 2227.8791 "/>
    <s v=" 64.2427 "/>
    <x v="0"/>
    <n v="143125"/>
    <m/>
    <m/>
  </r>
  <r>
    <x v="11"/>
    <x v="7"/>
    <s v="F:\Données chgh\2020-CHG-CZA-BPA-3\plaque 1/@11 BPA 4/H11_02.tif "/>
    <s v=" 3958.2707 "/>
    <s v=" 64.1967 "/>
    <x v="0"/>
    <n v="254108"/>
    <m/>
    <m/>
  </r>
  <r>
    <x v="11"/>
    <x v="7"/>
    <s v="F:\Données chgh\2020-CHG-CZA-BPA-3\plaque 1/@11 BPA 4/H11_03.tif "/>
    <s v=" 2336.0286 "/>
    <s v=" 63.6204 "/>
    <x v="0"/>
    <n v="148619"/>
    <m/>
    <m/>
  </r>
  <r>
    <x v="1"/>
    <x v="8"/>
    <s v=" "/>
    <m/>
    <m/>
    <x v="1"/>
    <m/>
    <m/>
    <m/>
  </r>
  <r>
    <x v="1"/>
    <x v="8"/>
    <s v="group "/>
    <s v=" "/>
    <s v=" mean of mean fluo "/>
    <x v="2"/>
    <s v=" mean of total fluo "/>
    <s v=" SD total fluo "/>
    <s v=" n fluorescent "/>
  </r>
  <r>
    <x v="11"/>
    <x v="9"/>
    <s v="F:\Données chgh\2020-CHG-CZA-BPA-3\plaque 1/@11 BPA 4/ "/>
    <s v=" "/>
    <s v=" 68.1493 "/>
    <x v="13"/>
    <s v=" 1520834.79 "/>
    <s v=" 1252759.5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BPA-3\plaque 1/@12  BPA 5/A12_01- exclu.tif"/>
    <m/>
    <m/>
    <x v="1"/>
    <m/>
    <m/>
    <m/>
  </r>
  <r>
    <x v="12"/>
    <x v="0"/>
    <s v="F:\Données chgh\2020-CHG-CZA-BPA-3\plaque 1/@12  BPA 5/A12_02.tif "/>
    <s v=" 20613.2896 "/>
    <s v=" 65.2676 "/>
    <x v="0"/>
    <n v="1345379"/>
    <m/>
    <m/>
  </r>
  <r>
    <x v="12"/>
    <x v="0"/>
    <s v="F:\Données chgh\2020-CHG-CZA-BPA-3\plaque 1/@12  BPA 5/A12_03.tif "/>
    <s v=" 36878.9703 "/>
    <s v=" 70.1155 "/>
    <x v="0"/>
    <n v="2585789"/>
    <m/>
    <m/>
  </r>
  <r>
    <x v="12"/>
    <x v="1"/>
    <s v="F:\Données chgh\2020-CHG-CZA-BPA-3\plaque 1/@12  BPA 5/B12_01- exclu.tif"/>
    <m/>
    <m/>
    <x v="1"/>
    <m/>
    <m/>
    <m/>
  </r>
  <r>
    <x v="12"/>
    <x v="1"/>
    <s v="F:\Données chgh\2020-CHG-CZA-BPA-3\plaque 1/@12  BPA 5/B12_02.tif "/>
    <s v=" 41464.508 "/>
    <s v=" 67.1388 "/>
    <x v="0"/>
    <n v="2783876"/>
    <m/>
    <m/>
  </r>
  <r>
    <x v="12"/>
    <x v="1"/>
    <s v="F:\Données chgh\2020-CHG-CZA-BPA-3\plaque 1/@12  BPA 5/B12_03.tif "/>
    <s v=" 48299.5547 "/>
    <s v=" 73.9557 "/>
    <x v="0"/>
    <n v="3572026"/>
    <m/>
    <m/>
  </r>
  <r>
    <x v="12"/>
    <x v="2"/>
    <s v="F:\Données chgh\2020-CHG-CZA-BPA-3\plaque 1/@12  BPA 5/C12_01.tif "/>
    <s v=" 2162.9895 "/>
    <s v=" 63.95 "/>
    <x v="0"/>
    <n v="138323"/>
    <m/>
    <m/>
  </r>
  <r>
    <x v="12"/>
    <x v="2"/>
    <s v="F:\Données chgh\2020-CHG-CZA-BPA-3\plaque 1/@12  BPA 5/C12_02.tif "/>
    <s v=" 13799.8728 "/>
    <s v=" 83.7006 "/>
    <x v="0"/>
    <n v="1155058"/>
    <m/>
    <m/>
  </r>
  <r>
    <x v="12"/>
    <x v="2"/>
    <s v="F:\Données chgh\2020-CHG-CZA-BPA-3\plaque 1/@12  BPA 5/C12_03.tif "/>
    <s v=" 13237.4955 "/>
    <s v=" 81.2418 "/>
    <x v="0"/>
    <n v="1075438"/>
    <m/>
    <m/>
  </r>
  <r>
    <x v="12"/>
    <x v="3"/>
    <s v="F:\Données chgh\2020-CHG-CZA-BPA-3\plaque 1/@12  BPA 5/D12_01.tif "/>
    <s v=" 21673.1544 "/>
    <s v=" 64.7355 "/>
    <x v="0"/>
    <n v="1403023"/>
    <m/>
    <m/>
  </r>
  <r>
    <x v="12"/>
    <x v="3"/>
    <s v="F:\Données chgh\2020-CHG-CZA-BPA-3\plaque 1/@12  BPA 5/D12_02.tif "/>
    <s v=" 11571.9936 "/>
    <s v=" 63.957 "/>
    <x v="0"/>
    <n v="740110"/>
    <m/>
    <m/>
  </r>
  <r>
    <x v="12"/>
    <x v="3"/>
    <s v="F:\Données chgh\2020-CHG-CZA-BPA-3\plaque 1/@12  BPA 5/D12_03.tif "/>
    <s v=" 21391.9658 "/>
    <s v=" 64.7685 "/>
    <x v="0"/>
    <n v="1385525"/>
    <m/>
    <m/>
  </r>
  <r>
    <x v="12"/>
    <x v="4"/>
    <s v="F:\Données chgh\2020-CHG-CZA-BPA-3\plaque 1/@12  BPA 5/E12_01.tif "/>
    <s v=" 15205.8159 "/>
    <s v=" 66.1195 "/>
    <x v="0"/>
    <n v="1005401"/>
    <m/>
    <m/>
  </r>
  <r>
    <x v="12"/>
    <x v="4"/>
    <s v="F:\Données chgh\2020-CHG-CZA-BPA-3\plaque 1/@12  BPA 5/E12_02.tif "/>
    <s v=" 14102.6913 "/>
    <s v=" 65.5798 "/>
    <x v="0"/>
    <n v="924851"/>
    <m/>
    <m/>
  </r>
  <r>
    <x v="12"/>
    <x v="4"/>
    <s v="F:\Données chgh\2020-CHG-CZA-BPA-3\plaque 1/@12  BPA 5/E12_03.tif "/>
    <s v=" 15205.8159 "/>
    <s v=" 65.8208 "/>
    <x v="0"/>
    <n v="1000858"/>
    <m/>
    <m/>
  </r>
  <r>
    <x v="12"/>
    <x v="5"/>
    <s v="F:\Données chgh\2020-CHG-CZA-BPA-3\plaque 1/@12  BPA 5/F12_01.tif "/>
    <s v=" 33504.7068 "/>
    <s v=" 74.3409 "/>
    <x v="0"/>
    <n v="2490769"/>
    <m/>
    <m/>
  </r>
  <r>
    <x v="12"/>
    <x v="5"/>
    <s v="F:\Données chgh\2020-CHG-CZA-BPA-3\plaque 1/@12  BPA 5/F12_02.tif "/>
    <s v=" 26085.6529 "/>
    <s v=" 76.2322 "/>
    <x v="0"/>
    <n v="1988566"/>
    <m/>
    <m/>
  </r>
  <r>
    <x v="12"/>
    <x v="5"/>
    <s v="F:\Données chgh\2020-CHG-CZA-BPA-3\plaque 1/@12  BPA 5/F12_03.tif "/>
    <s v=" 30584.671 "/>
    <s v=" 74.7362 "/>
    <x v="0"/>
    <n v="2285782"/>
    <m/>
    <m/>
  </r>
  <r>
    <x v="12"/>
    <x v="6"/>
    <s v="F:\Données chgh\2020-CHG-CZA-BPA-3\plaque 1/@12  BPA 5/G12_01.tif "/>
    <s v=" 47693.9177 "/>
    <s v=" 72.005 "/>
    <x v="0"/>
    <n v="3434200"/>
    <m/>
    <m/>
  </r>
  <r>
    <x v="12"/>
    <x v="6"/>
    <s v="F:\Données chgh\2020-CHG-CZA-BPA-3\plaque 1/@12  BPA 5/G12_02.tif "/>
    <s v=" 45941.8962 "/>
    <s v=" 74.9143 "/>
    <x v="0"/>
    <n v="3441706"/>
    <m/>
    <m/>
  </r>
  <r>
    <x v="12"/>
    <x v="6"/>
    <s v="F:\Données chgh\2020-CHG-CZA-BPA-3\plaque 1/@12  BPA 5/G12_03.tif "/>
    <s v=" 40145.0844 "/>
    <s v=" 73.1061 "/>
    <x v="0"/>
    <n v="2934852"/>
    <m/>
    <m/>
  </r>
  <r>
    <x v="12"/>
    <x v="7"/>
    <s v="F:\Données chgh\2020-CHG-CZA-BPA-3\plaque 1/@12  BPA 5/H12_01.tif "/>
    <s v=" 22776.279 "/>
    <s v=" 69.4739 "/>
    <x v="0"/>
    <n v="1582357"/>
    <m/>
    <m/>
  </r>
  <r>
    <x v="12"/>
    <x v="7"/>
    <s v="F:\Données chgh\2020-CHG-CZA-BPA-3\plaque 1/@12  BPA 5/H12_02.tif "/>
    <s v=" 22149.0121 "/>
    <s v=" 69.4912 "/>
    <x v="0"/>
    <n v="1539162"/>
    <m/>
    <m/>
  </r>
  <r>
    <x v="12"/>
    <x v="7"/>
    <s v="F:\Données chgh\2020-CHG-CZA-BPA-3\plaque 1/@12  BPA 5/H12_03.tif "/>
    <s v=" 22538.3502 "/>
    <s v=" 69.1296 "/>
    <x v="0"/>
    <n v="1558066"/>
    <m/>
    <m/>
  </r>
  <r>
    <x v="1"/>
    <x v="8"/>
    <s v=" "/>
    <m/>
    <m/>
    <x v="1"/>
    <m/>
    <m/>
    <m/>
  </r>
  <r>
    <x v="1"/>
    <x v="8"/>
    <s v="group "/>
    <s v=" "/>
    <s v=" mean of mean fluo "/>
    <x v="2"/>
    <s v=" mean of total fluo "/>
    <s v=" SD total fluo "/>
    <s v=" n fluorescent "/>
  </r>
  <r>
    <x v="12"/>
    <x v="9"/>
    <s v="F:\Données chgh\2020-CHG-CZA-BPA-3\plaque 1/@12  BPA 5/ "/>
    <s v=" "/>
    <s v=" 70.1679 "/>
    <x v="14"/>
    <s v=" 1836058.12 "/>
    <s v=" 949905.79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BPA-3\plaque 2/@13 Testo 30/A1_01.tif "/>
    <s v=" 36208.4436 "/>
    <s v=" 69.5167 "/>
    <x v="0"/>
    <n v="2517092"/>
    <m/>
    <m/>
  </r>
  <r>
    <x v="13"/>
    <x v="0"/>
    <s v="F:\Données chgh\2020-CHG-CZA-BPA-3\plaque 2/@13 Testo 30/A1_02.tif "/>
    <s v=" 38090.2444 "/>
    <s v=" 70.5497 "/>
    <x v="0"/>
    <n v="2687255"/>
    <m/>
    <m/>
  </r>
  <r>
    <x v="13"/>
    <x v="0"/>
    <s v="F:\Données chgh\2020-CHG-CZA-BPA-3\plaque 2/@13 Testo 30/A1_03.tif "/>
    <s v=" 48429.3341 "/>
    <s v=" 70.0389 "/>
    <x v="0"/>
    <n v="3391935"/>
    <m/>
    <m/>
  </r>
  <r>
    <x v="13"/>
    <x v="1"/>
    <s v="F:\Données chgh\2020-CHG-CZA-BPA-3\plaque 2/@13 Testo 30/B1_01.tif "/>
    <s v=" 4347.6088 "/>
    <s v=" 64.8408 "/>
    <x v="0"/>
    <n v="281902"/>
    <m/>
    <m/>
  </r>
  <r>
    <x v="13"/>
    <x v="1"/>
    <s v="F:\Données chgh\2020-CHG-CZA-BPA-3\plaque 2/@13 Testo 30/B1_02.tif "/>
    <s v=" 1557.3524 "/>
    <s v=" 64.5556 "/>
    <x v="0"/>
    <n v="100536"/>
    <m/>
    <m/>
  </r>
  <r>
    <x v="13"/>
    <x v="1"/>
    <s v="F:\Données chgh\2020-CHG-CZA-BPA-3\plaque 2/@13 Testo 30/B1_03.tif "/>
    <s v=" 4996.5057 "/>
    <s v=" 65.8485 "/>
    <x v="0"/>
    <n v="329012"/>
    <m/>
    <m/>
  </r>
  <r>
    <x v="13"/>
    <x v="2"/>
    <s v="F:\Données chgh\2020-CHG-CZA-BPA-3\plaque 2/@13 Testo 30/C1_01.tif "/>
    <s v=" 9409.0042 "/>
    <s v=" 65.5448 "/>
    <x v="0"/>
    <n v="616712"/>
    <m/>
    <m/>
  </r>
  <r>
    <x v="13"/>
    <x v="2"/>
    <s v="F:\Données chgh\2020-CHG-CZA-BPA-3\plaque 2/@13 Testo 30/C1_02.tif "/>
    <s v=" 7700.2425 "/>
    <s v=" 66.4494 "/>
    <x v="0"/>
    <n v="511677"/>
    <m/>
    <m/>
  </r>
  <r>
    <x v="13"/>
    <x v="2"/>
    <s v="F:\Données chgh\2020-CHG-CZA-BPA-3\plaque 2/@13 Testo 30/C1_03.tif "/>
    <s v=" 6553.8581 "/>
    <s v=" 65.4323 "/>
    <x v="0"/>
    <n v="428834"/>
    <m/>
    <m/>
  </r>
  <r>
    <x v="13"/>
    <x v="3"/>
    <s v="F:\Données chgh\2020-CHG-CZA-BPA-3\plaque 2/@13 Testo 30/D1_01- exclu.tif"/>
    <m/>
    <m/>
    <x v="1"/>
    <m/>
    <m/>
    <m/>
  </r>
  <r>
    <x v="13"/>
    <x v="3"/>
    <s v="F:\Données chgh\2020-CHG-CZA-BPA-3\plaque 2/@13 Testo 30/D1_02- exclu.tif"/>
    <m/>
    <m/>
    <x v="1"/>
    <m/>
    <m/>
    <m/>
  </r>
  <r>
    <x v="13"/>
    <x v="3"/>
    <s v="F:\Données chgh\2020-CHG-CZA-BPA-3\plaque 2/@13 Testo 30/D1_03.tif "/>
    <s v=" 39755.7463 "/>
    <s v=" 76.3754 "/>
    <x v="0"/>
    <n v="3036361"/>
    <m/>
    <m/>
  </r>
  <r>
    <x v="13"/>
    <x v="4"/>
    <s v="F:\Données chgh\2020-CHG-CZA-BPA-3\plaque 2/@13 Testo 30/E1_01- exclu.tif"/>
    <m/>
    <m/>
    <x v="1"/>
    <m/>
    <m/>
    <m/>
  </r>
  <r>
    <x v="13"/>
    <x v="4"/>
    <s v="F:\Données chgh\2020-CHG-CZA-BPA-3\plaque 2/@13 Testo 30/E1_02.tif "/>
    <s v=" 12047.8513 "/>
    <s v=" 70.2244 "/>
    <x v="0"/>
    <n v="846053"/>
    <m/>
    <m/>
  </r>
  <r>
    <x v="13"/>
    <x v="4"/>
    <s v="F:\Données chgh\2020-CHG-CZA-BPA-3\plaque 2/@13 Testo 30/E1_03.tif "/>
    <s v=" 12437.1894 "/>
    <s v=" 69.2557 "/>
    <x v="0"/>
    <n v="861346"/>
    <m/>
    <m/>
  </r>
  <r>
    <x v="13"/>
    <x v="5"/>
    <s v="F:\Données chgh\2020-CHG-CZA-BPA-3\plaque 2/@13 Testo 30/F1_01- exclu.tif"/>
    <m/>
    <m/>
    <x v="1"/>
    <m/>
    <m/>
    <m/>
  </r>
  <r>
    <x v="13"/>
    <x v="5"/>
    <s v="F:\Données chgh\2020-CHG-CZA-BPA-3\plaque 2/@13 Testo 30/F1_02.tif "/>
    <s v=" 25393.4963 "/>
    <s v=" 71.9779 "/>
    <x v="0"/>
    <n v="1827769"/>
    <m/>
    <m/>
  </r>
  <r>
    <x v="13"/>
    <x v="5"/>
    <s v="F:\Données chgh\2020-CHG-CZA-BPA-3\plaque 2/@13 Testo 30/F1_03.tif "/>
    <s v=" 27643.0053 "/>
    <s v=" 72.5869 "/>
    <x v="0"/>
    <n v="2006519"/>
    <m/>
    <m/>
  </r>
  <r>
    <x v="13"/>
    <x v="6"/>
    <s v="F:\Données chgh\2020-CHG-CZA-BPA-3\plaque 2/@13 Testo 30/G1_01.tif "/>
    <s v=" 17174.1363 "/>
    <s v=" 66.9433 "/>
    <x v="0"/>
    <n v="1149694"/>
    <m/>
    <m/>
  </r>
  <r>
    <x v="13"/>
    <x v="6"/>
    <s v="F:\Données chgh\2020-CHG-CZA-BPA-3\plaque 2/@13 Testo 30/G1_02.tif "/>
    <s v=" 19856.2433 "/>
    <s v=" 65.9281 "/>
    <x v="0"/>
    <n v="1309084"/>
    <m/>
    <m/>
  </r>
  <r>
    <x v="13"/>
    <x v="6"/>
    <s v="F:\Données chgh\2020-CHG-CZA-BPA-3\plaque 2/@13 Testo 30/G1_03.tif "/>
    <s v=" 19618.3144 "/>
    <s v=" 67.6185 "/>
    <x v="0"/>
    <n v="1326561"/>
    <m/>
    <m/>
  </r>
  <r>
    <x v="13"/>
    <x v="7"/>
    <s v="F:\Données chgh\2020-CHG-CZA-BPA-3\plaque 2/@13 Testo 30/H1_01.tif "/>
    <s v=" 31882.4647 "/>
    <s v=" 71.8697 "/>
    <x v="0"/>
    <n v="2291385"/>
    <m/>
    <m/>
  </r>
  <r>
    <x v="13"/>
    <x v="7"/>
    <s v="F:\Données chgh\2020-CHG-CZA-BPA-3\plaque 2/@13 Testo 30/H1_02.tif "/>
    <s v=" 34975.5396 "/>
    <s v=" 71.5597 "/>
    <x v="0"/>
    <n v="2502838"/>
    <m/>
    <m/>
  </r>
  <r>
    <x v="13"/>
    <x v="7"/>
    <s v="F:\Données chgh\2020-CHG-CZA-BPA-3\plaque 2/@13 Testo 30/H1_03.tif "/>
    <s v=" 33093.7388 "/>
    <s v=" 71.2719 "/>
    <x v="0"/>
    <n v="2358653"/>
    <m/>
    <m/>
  </r>
  <r>
    <x v="1"/>
    <x v="8"/>
    <s v=" "/>
    <m/>
    <m/>
    <x v="1"/>
    <m/>
    <m/>
    <m/>
  </r>
  <r>
    <x v="1"/>
    <x v="8"/>
    <s v="group "/>
    <s v=" "/>
    <s v=" mean of mean fluo "/>
    <x v="2"/>
    <s v=" mean of total fluo "/>
    <s v=" SD total fluo "/>
    <s v=" n fluorescent "/>
  </r>
  <r>
    <x v="13"/>
    <x v="9"/>
    <s v="F:\Données chgh\2020-CHG-CZA-BPA-3\plaque 2/@13 Testo 30/ "/>
    <s v=" "/>
    <s v=" 69.0413 "/>
    <x v="15"/>
    <s v=" 1525420.29 "/>
    <s v=" 1007743.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BPA-3\plaque 2/@14 Testo 30/A2_01.tif "/>
    <s v=" 23100.7275 "/>
    <s v=" 69.3549 "/>
    <x v="0"/>
    <n v="1602148"/>
    <m/>
    <m/>
  </r>
  <r>
    <x v="14"/>
    <x v="0"/>
    <s v="F:\Données chgh\2020-CHG-CZA-BPA-3\plaque 2/@14 Testo 30/A2_02- exclu.tif"/>
    <m/>
    <m/>
    <x v="1"/>
    <m/>
    <m/>
    <m/>
  </r>
  <r>
    <x v="14"/>
    <x v="0"/>
    <s v="F:\Données chgh\2020-CHG-CZA-BPA-3\plaque 2/@14 Testo 30/A2_03.tif "/>
    <s v=" 22689.7595 "/>
    <s v=" 69.531 "/>
    <x v="0"/>
    <n v="1577641"/>
    <m/>
    <m/>
  </r>
  <r>
    <x v="14"/>
    <x v="1"/>
    <s v="F:\Données chgh\2020-CHG-CZA-BPA-3\plaque 2/@14 Testo 30/B2_01.tif "/>
    <s v=" 33937.3047 "/>
    <s v=" 70.1307 "/>
    <x v="0"/>
    <n v="2380045"/>
    <m/>
    <m/>
  </r>
  <r>
    <x v="14"/>
    <x v="1"/>
    <s v="F:\Données chgh\2020-CHG-CZA-BPA-3\plaque 2/@14 Testo 30/B2_02.tif "/>
    <s v=" 24225.482 "/>
    <s v=" 67.6116 "/>
    <x v="0"/>
    <n v="1637924"/>
    <m/>
    <m/>
  </r>
  <r>
    <x v="14"/>
    <x v="1"/>
    <s v="F:\Données chgh\2020-CHG-CZA-BPA-3\plaque 2/@14 Testo 30/B2_03.tif "/>
    <s v=" 24290.3717 "/>
    <s v=" 68.0267 "/>
    <x v="0"/>
    <n v="1652394"/>
    <m/>
    <m/>
  </r>
  <r>
    <x v="14"/>
    <x v="2"/>
    <s v="F:\Données chgh\2020-CHG-CZA-BPA-3\plaque 2/@14 Testo 30/C2_01- exclu.tif"/>
    <m/>
    <m/>
    <x v="1"/>
    <m/>
    <m/>
    <m/>
  </r>
  <r>
    <x v="14"/>
    <x v="2"/>
    <s v="F:\Données chgh\2020-CHG-CZA-BPA-3\plaque 2/@14 Testo 30/C2_02.tif "/>
    <s v=" 35970.5148 "/>
    <s v=" 69.6645 "/>
    <x v="0"/>
    <n v="2505867"/>
    <m/>
    <m/>
  </r>
  <r>
    <x v="14"/>
    <x v="2"/>
    <s v="F:\Données chgh\2020-CHG-CZA-BPA-3\plaque 2/@14 Testo 30/C2_03.tif "/>
    <s v=" 31276.8276 "/>
    <s v=" 70.0823 "/>
    <x v="0"/>
    <n v="2191952"/>
    <m/>
    <m/>
  </r>
  <r>
    <x v="14"/>
    <x v="3"/>
    <s v="F:\Données chgh\2020-CHG-CZA-BPA-3\plaque 2/@14 Testo 30/D2_01.tif "/>
    <s v=" 12502.0791 "/>
    <s v=" 66.5398 "/>
    <x v="0"/>
    <n v="831886"/>
    <m/>
    <m/>
  </r>
  <r>
    <x v="14"/>
    <x v="3"/>
    <s v="F:\Données chgh\2020-CHG-CZA-BPA-3\plaque 2/@14 Testo 30/D2_02.tif "/>
    <s v=" 14946.2572 "/>
    <s v=" 66.8871 "/>
    <x v="0"/>
    <n v="999712"/>
    <m/>
    <m/>
  </r>
  <r>
    <x v="14"/>
    <x v="3"/>
    <s v="F:\Données chgh\2020-CHG-CZA-BPA-3\plaque 2/@14 Testo 30/D2_03.tif "/>
    <s v=" 15768.1932 "/>
    <s v=" 67.6077 "/>
    <x v="0"/>
    <n v="1066051"/>
    <m/>
    <m/>
  </r>
  <r>
    <x v="14"/>
    <x v="4"/>
    <s v="F:\Données chgh\2020-CHG-CZA-BPA-3\plaque 2/@14 Testo 30/E2_01.tif "/>
    <s v=" 14124.3212 "/>
    <s v=" 65.8361 "/>
    <x v="0"/>
    <n v="929891"/>
    <m/>
    <m/>
  </r>
  <r>
    <x v="14"/>
    <x v="4"/>
    <s v="F:\Données chgh\2020-CHG-CZA-BPA-3\plaque 2/@14 Testo 30/E2_02.tif "/>
    <s v=" 15941.2323 "/>
    <s v=" 65.2456 "/>
    <x v="0"/>
    <n v="1040095"/>
    <m/>
    <m/>
  </r>
  <r>
    <x v="14"/>
    <x v="4"/>
    <s v="F:\Données chgh\2020-CHG-CZA-BPA-3\plaque 2/@14 Testo 30/E2_03- exclu.tif"/>
    <m/>
    <m/>
    <x v="1"/>
    <m/>
    <m/>
    <m/>
  </r>
  <r>
    <x v="14"/>
    <x v="5"/>
    <s v="F:\Données chgh\2020-CHG-CZA-BPA-3\plaque 2/@14 Testo 30/F2_01.tif "/>
    <s v=" 27210.4074 "/>
    <s v=" 74.1836 "/>
    <x v="0"/>
    <n v="2018567"/>
    <m/>
    <m/>
  </r>
  <r>
    <x v="14"/>
    <x v="5"/>
    <s v="F:\Données chgh\2020-CHG-CZA-BPA-3\plaque 2/@14 Testo 30/F2_02.tif "/>
    <s v=" 29221.9876 "/>
    <s v=" 73.0681 "/>
    <x v="0"/>
    <n v="2135195"/>
    <m/>
    <m/>
  </r>
  <r>
    <x v="14"/>
    <x v="5"/>
    <s v="F:\Données chgh\2020-CHG-CZA-BPA-3\plaque 2/@14 Testo 30/F2_03.tif "/>
    <s v=" 22927.6883 "/>
    <s v=" 75.933 "/>
    <x v="0"/>
    <n v="1740969"/>
    <m/>
    <m/>
  </r>
  <r>
    <x v="14"/>
    <x v="6"/>
    <s v="F:\Données chgh\2020-CHG-CZA-BPA-3\plaque 2/@14 Testo 30/G2_01.tif "/>
    <s v=" 60888.1534 "/>
    <s v=" 77.6046 "/>
    <x v="0"/>
    <n v="4725202"/>
    <m/>
    <m/>
  </r>
  <r>
    <x v="14"/>
    <x v="6"/>
    <s v="F:\Données chgh\2020-CHG-CZA-BPA-3\plaque 2/@14 Testo 30/G2_02.tif "/>
    <s v=" 55502.3096 "/>
    <s v=" 77.4606 "/>
    <x v="0"/>
    <n v="4299244"/>
    <m/>
    <m/>
  </r>
  <r>
    <x v="14"/>
    <x v="6"/>
    <s v="F:\Données chgh\2020-CHG-CZA-BPA-3\plaque 2/@14 Testo 30/G2_03.tif "/>
    <s v=" 52863.4625 "/>
    <s v=" 76.1334 "/>
    <x v="0"/>
    <n v="4024674"/>
    <m/>
    <m/>
  </r>
  <r>
    <x v="14"/>
    <x v="7"/>
    <s v="F:\Données chgh\2020-CHG-CZA-BPA-3\plaque 2/@14 Testo 30/H2_01.tif "/>
    <s v=" 27232.0373 "/>
    <s v=" 68.618 "/>
    <x v="0"/>
    <n v="1868607"/>
    <m/>
    <m/>
  </r>
  <r>
    <x v="14"/>
    <x v="7"/>
    <s v="F:\Données chgh\2020-CHG-CZA-BPA-3\plaque 2/@14 Testo 30/H2_02- exclu.tif"/>
    <m/>
    <m/>
    <x v="1"/>
    <m/>
    <m/>
    <m/>
  </r>
  <r>
    <x v="14"/>
    <x v="7"/>
    <s v="F:\Données chgh\2020-CHG-CZA-BPA-3\plaque 2/@14 Testo 30/H2_03- exclu.tif"/>
    <m/>
    <m/>
    <x v="1"/>
    <m/>
    <m/>
    <m/>
  </r>
  <r>
    <x v="1"/>
    <x v="8"/>
    <s v=" "/>
    <m/>
    <m/>
    <x v="1"/>
    <m/>
    <m/>
    <m/>
  </r>
  <r>
    <x v="1"/>
    <x v="8"/>
    <s v="group "/>
    <s v=" "/>
    <s v=" mean of mean fluo "/>
    <x v="2"/>
    <s v=" mean of total fluo "/>
    <s v=" SD total fluo "/>
    <s v=" n fluorescent "/>
  </r>
  <r>
    <x v="14"/>
    <x v="9"/>
    <s v="F:\Données chgh\2020-CHG-CZA-BPA-3\plaque 2/@14 Testo 30/ "/>
    <s v=" "/>
    <s v=" 70.0477 "/>
    <x v="16"/>
    <s v=" 1925215.67 "/>
    <s v=" 1086728.2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BPA-3\plaque 2/@15 Testo + EE2/A3_01.tif "/>
    <s v=" 47455.9888 "/>
    <s v=" 77.3532 "/>
    <x v="0"/>
    <n v="3670874"/>
    <m/>
    <m/>
  </r>
  <r>
    <x v="15"/>
    <x v="0"/>
    <s v="F:\Données chgh\2020-CHG-CZA-BPA-3\plaque 2/@15 Testo + EE2/A3_02- exclu.tif"/>
    <m/>
    <m/>
    <x v="1"/>
    <m/>
    <m/>
    <m/>
  </r>
  <r>
    <x v="15"/>
    <x v="0"/>
    <s v="F:\Données chgh\2020-CHG-CZA-BPA-3\plaque 2/@15 Testo + EE2/A3_03.tif "/>
    <s v=" 47953.4764 "/>
    <s v=" 72.8345 "/>
    <x v="0"/>
    <n v="3492666"/>
    <m/>
    <m/>
  </r>
  <r>
    <x v="15"/>
    <x v="1"/>
    <s v="F:\Données chgh\2020-CHG-CZA-BPA-3\plaque 2/@15 Testo + EE2/B3_01.tif "/>
    <s v=" 61623.5698 "/>
    <s v=" 84.133 "/>
    <x v="0"/>
    <n v="5184578"/>
    <m/>
    <m/>
  </r>
  <r>
    <x v="15"/>
    <x v="1"/>
    <s v="F:\Données chgh\2020-CHG-CZA-BPA-3\plaque 2/@15 Testo + EE2/B3_02.tif "/>
    <s v=" 63051.1428 "/>
    <s v=" 85.5115 "/>
    <x v="0"/>
    <n v="5391597"/>
    <m/>
    <m/>
  </r>
  <r>
    <x v="15"/>
    <x v="1"/>
    <s v="F:\Données chgh\2020-CHG-CZA-BPA-3\plaque 2/@15 Testo + EE2/B3_03.tif "/>
    <s v=" 64067.7479 "/>
    <s v=" 83.3815 "/>
    <x v="0"/>
    <n v="5342065"/>
    <m/>
    <m/>
  </r>
  <r>
    <x v="15"/>
    <x v="2"/>
    <s v="F:\Données chgh\2020-CHG-CZA-BPA-3\plaque 2/@15 Testo + EE2/C3_01.tif "/>
    <s v=" 45357.889 "/>
    <s v=" 77.3495 "/>
    <x v="0"/>
    <n v="3508412"/>
    <m/>
    <m/>
  </r>
  <r>
    <x v="15"/>
    <x v="2"/>
    <s v="F:\Données chgh\2020-CHG-CZA-BPA-3\plaque 2/@15 Testo + EE2/C3_02.tif "/>
    <s v=" 46309.6044 "/>
    <s v=" 78.4092 "/>
    <x v="0"/>
    <n v="3631097"/>
    <m/>
    <m/>
  </r>
  <r>
    <x v="15"/>
    <x v="2"/>
    <s v="F:\Données chgh\2020-CHG-CZA-BPA-3\plaque 2/@15 Testo + EE2/C3_03.tif "/>
    <s v=" 50311.1349 "/>
    <s v=" 78.0791 "/>
    <x v="0"/>
    <n v="3928248"/>
    <m/>
    <m/>
  </r>
  <r>
    <x v="15"/>
    <x v="3"/>
    <s v="F:\Données chgh\2020-CHG-CZA-BPA-3\plaque 2/@15 Testo + EE2/D3_01.tif "/>
    <s v=" 39690.8566 "/>
    <s v=" 72.2567 "/>
    <x v="0"/>
    <n v="2867929"/>
    <m/>
    <m/>
  </r>
  <r>
    <x v="15"/>
    <x v="3"/>
    <s v="F:\Données chgh\2020-CHG-CZA-BPA-3\plaque 2/@15 Testo + EE2/D3_02.tif "/>
    <s v=" 27880.9342 "/>
    <s v=" 68.3126 "/>
    <x v="0"/>
    <n v="1904620"/>
    <m/>
    <m/>
  </r>
  <r>
    <x v="15"/>
    <x v="3"/>
    <s v="F:\Données chgh\2020-CHG-CZA-BPA-3\plaque 2/@15 Testo + EE2/D3_03.tif "/>
    <s v=" 38479.5825 "/>
    <s v=" 71.1012 "/>
    <x v="0"/>
    <n v="2735944"/>
    <m/>
    <m/>
  </r>
  <r>
    <x v="15"/>
    <x v="4"/>
    <s v="F:\Données chgh\2020-CHG-CZA-BPA-3\plaque 2/@15 Testo + EE2/E3_01.tif "/>
    <s v=" 33764.2655 "/>
    <s v=" 70.722 "/>
    <x v="0"/>
    <n v="2387875"/>
    <m/>
    <m/>
  </r>
  <r>
    <x v="15"/>
    <x v="4"/>
    <s v="F:\Données chgh\2020-CHG-CZA-BPA-3\plaque 2/@15 Testo + EE2/E3_02.tif "/>
    <s v=" 26345.2117 "/>
    <s v=" 72.9392 "/>
    <x v="0"/>
    <n v="1921600"/>
    <m/>
    <m/>
  </r>
  <r>
    <x v="15"/>
    <x v="4"/>
    <s v="F:\Données chgh\2020-CHG-CZA-BPA-3\plaque 2/@15 Testo + EE2/E3_03.tif "/>
    <s v=" 33764.2655 "/>
    <s v=" 70.581 "/>
    <x v="0"/>
    <n v="2383117"/>
    <m/>
    <m/>
  </r>
  <r>
    <x v="15"/>
    <x v="5"/>
    <s v="F:\Données chgh\2020-CHG-CZA-BPA-3\plaque 2/@15 Testo + EE2/F3_01.tif "/>
    <s v=" 41313.0987 "/>
    <s v=" 81.0319 "/>
    <x v="0"/>
    <n v="3347680"/>
    <m/>
    <m/>
  </r>
  <r>
    <x v="15"/>
    <x v="5"/>
    <s v="F:\Données chgh\2020-CHG-CZA-BPA-3\plaque 2/@15 Testo + EE2/F3_02.tif "/>
    <s v=" 45639.0777 "/>
    <s v=" 80.5611 "/>
    <x v="0"/>
    <n v="3676736"/>
    <m/>
    <m/>
  </r>
  <r>
    <x v="15"/>
    <x v="5"/>
    <s v="F:\Données chgh\2020-CHG-CZA-BPA-3\plaque 2/@15 Testo + EE2/F3_03.tif "/>
    <s v=" 41875.476 "/>
    <s v=" 78.3704 "/>
    <x v="0"/>
    <n v="3281796"/>
    <m/>
    <m/>
  </r>
  <r>
    <x v="15"/>
    <x v="6"/>
    <s v="F:\Données chgh\2020-CHG-CZA-BPA-3\plaque 2/@15 Testo + EE2/G3_01.tif "/>
    <s v=" 57665.2991 "/>
    <s v=" 78.1107 "/>
    <x v="0"/>
    <n v="4504274"/>
    <m/>
    <m/>
  </r>
  <r>
    <x v="15"/>
    <x v="6"/>
    <s v="F:\Données chgh\2020-CHG-CZA-BPA-3\plaque 2/@15 Testo + EE2/G3_02.tif "/>
    <s v=" 46785.4621 "/>
    <s v=" 80.8132 "/>
    <x v="0"/>
    <n v="3780884"/>
    <m/>
    <m/>
  </r>
  <r>
    <x v="15"/>
    <x v="6"/>
    <s v="F:\Données chgh\2020-CHG-CZA-BPA-3\plaque 2/@15 Testo + EE2/G3_03.tif "/>
    <s v=" 46136.5652 "/>
    <s v=" 75.1772 "/>
    <x v="0"/>
    <n v="3468418"/>
    <m/>
    <m/>
  </r>
  <r>
    <x v="15"/>
    <x v="7"/>
    <s v="F:\Données chgh\2020-CHG-CZA-BPA-3\plaque 2/@15 Testo + EE2/H3_01.tif "/>
    <s v=" 26518.2508 "/>
    <s v=" 72.168 "/>
    <x v="0"/>
    <n v="1913770"/>
    <m/>
    <m/>
  </r>
  <r>
    <x v="15"/>
    <x v="7"/>
    <s v="F:\Données chgh\2020-CHG-CZA-BPA-3\plaque 2/@15 Testo + EE2/H3_02.tif "/>
    <s v=" 25177.1973 "/>
    <s v=" 71.0249 "/>
    <x v="0"/>
    <n v="1788208"/>
    <m/>
    <m/>
  </r>
  <r>
    <x v="15"/>
    <x v="7"/>
    <s v="F:\Données chgh\2020-CHG-CZA-BPA-3\plaque 2/@15 Testo + EE2/H3_03.tif "/>
    <s v=" 25350.2365 "/>
    <s v=" 71.5128 "/>
    <x v="0"/>
    <n v="1812866"/>
    <m/>
    <m/>
  </r>
  <r>
    <x v="1"/>
    <x v="8"/>
    <s v=" "/>
    <m/>
    <m/>
    <x v="1"/>
    <m/>
    <m/>
    <m/>
  </r>
  <r>
    <x v="1"/>
    <x v="8"/>
    <s v="group "/>
    <s v=" "/>
    <s v=" mean of mean fluo "/>
    <x v="2"/>
    <s v=" mean of total fluo "/>
    <s v=" SD total fluo "/>
    <s v=" n fluorescent "/>
  </r>
  <r>
    <x v="15"/>
    <x v="9"/>
    <s v="F:\Données chgh\2020-CHG-CZA-BPA-3\plaque 2/@15 Testo + EE2/ "/>
    <s v=" "/>
    <s v=" 75.6403 "/>
    <x v="17"/>
    <s v=" 3185287.58 "/>
    <s v=" 1225099.7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BPA-3\plaque 2/@16 Testo + FAD/A4_01.tif "/>
    <s v=" 4131.3099 "/>
    <s v=" 66.3717 "/>
    <x v="0"/>
    <n v="274202"/>
    <m/>
    <m/>
  </r>
  <r>
    <x v="16"/>
    <x v="0"/>
    <s v="F:\Données chgh\2020-CHG-CZA-BPA-3\plaque 2/@16 Testo + FAD/A4_02.tif "/>
    <s v=" 4585.5377 "/>
    <s v=" 64.434 "/>
    <x v="0"/>
    <n v="295464"/>
    <m/>
    <m/>
  </r>
  <r>
    <x v="16"/>
    <x v="0"/>
    <s v="F:\Données chgh\2020-CHG-CZA-BPA-3\plaque 2/@16 Testo + FAD/A4_03.tif "/>
    <s v=" 2833.5162 "/>
    <s v=" 64.1985 "/>
    <x v="0"/>
    <n v="181907"/>
    <m/>
    <m/>
  </r>
  <r>
    <x v="16"/>
    <x v="1"/>
    <s v="F:\Données chgh\2020-CHG-CZA-BPA-3\plaque 2/@16 Testo + FAD/B4_01.tif "/>
    <s v=" 2638.8471 "/>
    <s v=" 66.6148 "/>
    <x v="0"/>
    <n v="175786"/>
    <m/>
    <m/>
  </r>
  <r>
    <x v="16"/>
    <x v="1"/>
    <s v="F:\Données chgh\2020-CHG-CZA-BPA-3\plaque 2/@16 Testo + FAD/B4_02.tif "/>
    <s v=" 2530.6977 "/>
    <s v=" 67.9829 "/>
    <x v="0"/>
    <n v="172044"/>
    <m/>
    <m/>
  </r>
  <r>
    <x v="16"/>
    <x v="1"/>
    <s v="F:\Données chgh\2020-CHG-CZA-BPA-3\plaque 2/@16 Testo + FAD/B4_03.tif "/>
    <s v=" 4650.4273 "/>
    <s v=" 69.5628 "/>
    <x v="0"/>
    <n v="323497"/>
    <m/>
    <m/>
  </r>
  <r>
    <x v="16"/>
    <x v="2"/>
    <s v="F:\Données chgh\2020-CHG-CZA-BPA-3\plaque 2/@16 Testo + FAD/C4_01.tif "/>
    <s v=" 757.0463 "/>
    <s v=" 65.9143 "/>
    <x v="0"/>
    <n v="49900"/>
    <m/>
    <m/>
  </r>
  <r>
    <x v="16"/>
    <x v="2"/>
    <s v="F:\Données chgh\2020-CHG-CZA-BPA-3\plaque 2/@16 Testo + FAD/C4_02- exclu.tif"/>
    <m/>
    <m/>
    <x v="1"/>
    <m/>
    <m/>
    <m/>
  </r>
  <r>
    <x v="16"/>
    <x v="2"/>
    <s v="F:\Données chgh\2020-CHG-CZA-BPA-3\plaque 2/@16 Testo + FAD/C4_03- exclu.tif"/>
    <m/>
    <m/>
    <x v="1"/>
    <m/>
    <m/>
    <m/>
  </r>
  <r>
    <x v="16"/>
    <x v="3"/>
    <s v="F:\Données chgh\2020-CHG-CZA-BPA-3\plaque 2/@16 Testo + FAD/D4_01.tif "/>
    <s v=" 5147.9149 "/>
    <s v=" 69.6639 "/>
    <x v="0"/>
    <n v="358624"/>
    <m/>
    <m/>
  </r>
  <r>
    <x v="16"/>
    <x v="3"/>
    <s v="F:\Données chgh\2020-CHG-CZA-BPA-3\plaque 2/@16 Testo + FAD/D4_02.tif "/>
    <s v=" 3222.8543 "/>
    <s v=" 66.6846 "/>
    <x v="0"/>
    <n v="214915"/>
    <m/>
    <m/>
  </r>
  <r>
    <x v="16"/>
    <x v="3"/>
    <s v="F:\Données chgh\2020-CHG-CZA-BPA-3\plaque 2/@16 Testo + FAD/D4_03.tif "/>
    <s v=" 4585.5377 "/>
    <s v=" 67.3491 "/>
    <x v="0"/>
    <n v="308832"/>
    <m/>
    <m/>
  </r>
  <r>
    <x v="16"/>
    <x v="4"/>
    <s v="F:\Données chgh\2020-CHG-CZA-BPA-3\plaque 2/@16 Testo + FAD/E4_01.tif "/>
    <s v=" 713.7865 "/>
    <s v=" 65.1212 "/>
    <x v="0"/>
    <n v="46483"/>
    <m/>
    <m/>
  </r>
  <r>
    <x v="16"/>
    <x v="4"/>
    <s v="F:\Données chgh\2020-CHG-CZA-BPA-3\plaque 2/@16 Testo + FAD/E4_02.tif "/>
    <s v=" 1038.2349 "/>
    <s v=" 62.5625 "/>
    <x v="0"/>
    <n v="64955"/>
    <m/>
    <m/>
  </r>
  <r>
    <x v="16"/>
    <x v="4"/>
    <s v="F:\Données chgh\2020-CHG-CZA-BPA-3\plaque 2/@16 Testo + FAD/E4_03.tif "/>
    <s v=" 4866.7263 "/>
    <s v=" 71.8489 "/>
    <x v="0"/>
    <n v="349669"/>
    <m/>
    <m/>
  </r>
  <r>
    <x v="16"/>
    <x v="5"/>
    <s v="F:\Données chgh\2020-CHG-CZA-BPA-3\plaque 2/@16 Testo + FAD/F4_01.tif "/>
    <s v=" 1146.3844 "/>
    <s v=" 63.0189 "/>
    <x v="0"/>
    <n v="72244"/>
    <m/>
    <m/>
  </r>
  <r>
    <x v="16"/>
    <x v="5"/>
    <s v="F:\Données chgh\2020-CHG-CZA-BPA-3\plaque 2/@16 Testo + FAD/F4_02.tif "/>
    <s v=" 1989.9503 "/>
    <s v=" 65.4891 "/>
    <x v="0"/>
    <n v="130320"/>
    <m/>
    <m/>
  </r>
  <r>
    <x v="16"/>
    <x v="5"/>
    <s v="F:\Données chgh\2020-CHG-CZA-BPA-3\plaque 2/@16 Testo + FAD/F4_03.tif "/>
    <s v=" 713.7865 "/>
    <s v=" 61.9697 "/>
    <x v="0"/>
    <n v="44233"/>
    <m/>
    <m/>
  </r>
  <r>
    <x v="16"/>
    <x v="6"/>
    <s v="F:\Données chgh\2020-CHG-CZA-BPA-3\plaque 2/@16 Testo + FAD/G4_01.tif "/>
    <s v=" 1795.2813 "/>
    <s v=" 66.0482 "/>
    <x v="0"/>
    <n v="118575"/>
    <m/>
    <m/>
  </r>
  <r>
    <x v="16"/>
    <x v="6"/>
    <s v="F:\Données chgh\2020-CHG-CZA-BPA-3\plaque 2/@16 Testo + FAD/G4_02.tif "/>
    <s v=" 7959.8012 "/>
    <s v=" 67.6902 "/>
    <x v="0"/>
    <n v="538801"/>
    <m/>
    <m/>
  </r>
  <r>
    <x v="16"/>
    <x v="6"/>
    <s v="F:\Données chgh\2020-CHG-CZA-BPA-3\plaque 2/@16 Testo + FAD/G4_03.tif "/>
    <s v=" 2876.776 "/>
    <s v=" 66.9925 "/>
    <x v="0"/>
    <n v="192722"/>
    <m/>
    <m/>
  </r>
  <r>
    <x v="16"/>
    <x v="7"/>
    <s v="F:\Données chgh\2020-CHG-CZA-BPA-3\plaque 2/@16 Testo + FAD/H4_01- exclu.tif"/>
    <m/>
    <m/>
    <x v="1"/>
    <m/>
    <m/>
    <m/>
  </r>
  <r>
    <x v="16"/>
    <x v="7"/>
    <s v="F:\Données chgh\2020-CHG-CZA-BPA-3\plaque 2/@16 Testo + FAD/H4_02- exclu.tif"/>
    <m/>
    <m/>
    <x v="1"/>
    <m/>
    <m/>
    <m/>
  </r>
  <r>
    <x v="16"/>
    <x v="7"/>
    <s v="F:\Données chgh\2020-CHG-CZA-BPA-3\plaque 2/@16 Testo + FAD/H4_03- exclu.tif"/>
    <m/>
    <m/>
    <x v="1"/>
    <m/>
    <m/>
    <m/>
  </r>
  <r>
    <x v="1"/>
    <x v="8"/>
    <s v=" "/>
    <m/>
    <m/>
    <x v="1"/>
    <m/>
    <m/>
    <m/>
  </r>
  <r>
    <x v="1"/>
    <x v="8"/>
    <s v="group "/>
    <s v=" "/>
    <s v=" mean of mean fluo "/>
    <x v="2"/>
    <s v=" mean of total fluo "/>
    <s v=" SD total fluo "/>
    <s v=" n fluorescent "/>
  </r>
  <r>
    <x v="16"/>
    <x v="9"/>
    <s v="F:\Données chgh\2020-CHG-CZA-BPA-3\plaque 2/@16 Testo + FAD/ "/>
    <s v=" "/>
    <s v=" 65.9718 "/>
    <x v="18"/>
    <s v=" 164969.5 "/>
    <s v=" 143713.24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BPA-3\plaque 2/@17 Testo +  BPA 1/A5_01.tif "/>
    <s v=" 29351.767 "/>
    <s v=" 69.1872 "/>
    <x v="0"/>
    <n v="2030766"/>
    <m/>
    <m/>
  </r>
  <r>
    <x v="17"/>
    <x v="0"/>
    <s v="F:\Données chgh\2020-CHG-CZA-BPA-3\plaque 2/@17 Testo +  BPA 1/A5_02.tif "/>
    <s v=" 33223.5181 "/>
    <s v=" 70.5703 "/>
    <x v="0"/>
    <n v="2344594"/>
    <m/>
    <m/>
  </r>
  <r>
    <x v="17"/>
    <x v="0"/>
    <s v="F:\Données chgh\2020-CHG-CZA-BPA-3\plaque 2/@17 Testo +  BPA 1/A5_03.tif "/>
    <s v=" 30974.0091 "/>
    <s v=" 71.1962 "/>
    <x v="0"/>
    <n v="2205233"/>
    <m/>
    <m/>
  </r>
  <r>
    <x v="17"/>
    <x v="1"/>
    <s v="F:\Données chgh\2020-CHG-CZA-BPA-3\plaque 2/@17 Testo +  BPA 1/B5_01.tif "/>
    <s v=" 33937.3047 "/>
    <s v=" 70.7999 "/>
    <x v="0"/>
    <n v="2402757"/>
    <m/>
    <m/>
  </r>
  <r>
    <x v="17"/>
    <x v="1"/>
    <s v="F:\Données chgh\2020-CHG-CZA-BPA-3\plaque 2/@17 Testo +  BPA 1/B5_02.tif "/>
    <s v=" 36554.5219 "/>
    <s v=" 71.3947 "/>
    <x v="0"/>
    <n v="2609798"/>
    <m/>
    <m/>
  </r>
  <r>
    <x v="17"/>
    <x v="1"/>
    <s v="F:\Données chgh\2020-CHG-CZA-BPA-3\plaque 2/@17 Testo +  BPA 1/B5_03.tif "/>
    <s v=" 37246.6786 "/>
    <s v=" 71.9303 "/>
    <x v="0"/>
    <n v="2679165"/>
    <m/>
    <m/>
  </r>
  <r>
    <x v="17"/>
    <x v="2"/>
    <s v="F:\Données chgh\2020-CHG-CZA-BPA-3\plaque 2/@17 Testo +  BPA 1/C5_01.tif "/>
    <s v=" 25761.2045 "/>
    <s v=" 70.4643 "/>
    <x v="0"/>
    <n v="1815246"/>
    <m/>
    <m/>
  </r>
  <r>
    <x v="17"/>
    <x v="2"/>
    <s v="F:\Données chgh\2020-CHG-CZA-BPA-3\plaque 2/@17 Testo +  BPA 1/C5_02.tif "/>
    <s v=" 27080.6281 "/>
    <s v=" 73.3546 "/>
    <x v="0"/>
    <n v="1986490"/>
    <m/>
    <m/>
  </r>
  <r>
    <x v="17"/>
    <x v="2"/>
    <s v="F:\Données chgh\2020-CHG-CZA-BPA-3\plaque 2/@17 Testo +  BPA 1/C5_03.tif "/>
    <s v=" 21824.5637 "/>
    <s v=" 72.448 "/>
    <x v="0"/>
    <n v="1581145"/>
    <m/>
    <m/>
  </r>
  <r>
    <x v="17"/>
    <x v="3"/>
    <s v="F:\Données chgh\2020-CHG-CZA-BPA-3\plaque 2/@17 Testo +  BPA 1/D5_01.tif "/>
    <s v=" 34910.6499 "/>
    <s v=" 73.3563 "/>
    <x v="0"/>
    <n v="2560915"/>
    <m/>
    <m/>
  </r>
  <r>
    <x v="17"/>
    <x v="3"/>
    <s v="F:\Données chgh\2020-CHG-CZA-BPA-3\plaque 2/@17 Testo +  BPA 1/D5_02- exclu.tif"/>
    <m/>
    <m/>
    <x v="1"/>
    <m/>
    <m/>
    <m/>
  </r>
  <r>
    <x v="17"/>
    <x v="3"/>
    <s v="F:\Données chgh\2020-CHG-CZA-BPA-3\plaque 2/@17 Testo +  BPA 1/D5_03.tif "/>
    <s v=" 35862.3653 "/>
    <s v=" 72.915 "/>
    <x v="0"/>
    <n v="2614903"/>
    <m/>
    <m/>
  </r>
  <r>
    <x v="17"/>
    <x v="4"/>
    <s v="F:\Données chgh\2020-CHG-CZA-BPA-3\plaque 2/@17 Testo +  BPA 1/E5_01- exclu.tif"/>
    <m/>
    <m/>
    <x v="1"/>
    <m/>
    <m/>
    <m/>
  </r>
  <r>
    <x v="17"/>
    <x v="4"/>
    <s v="F:\Données chgh\2020-CHG-CZA-BPA-3\plaque 2/@17 Testo +  BPA 1/E5_02.tif "/>
    <s v=" 34369.9026 "/>
    <s v=" 76.5104 "/>
    <x v="0"/>
    <n v="2629654"/>
    <m/>
    <m/>
  </r>
  <r>
    <x v="17"/>
    <x v="4"/>
    <s v="F:\Données chgh\2020-CHG-CZA-BPA-3\plaque 2/@17 Testo +  BPA 1/E5_03.tif "/>
    <s v=" 36143.5539 "/>
    <s v=" 76.839 "/>
    <x v="0"/>
    <n v="2777235"/>
    <m/>
    <m/>
  </r>
  <r>
    <x v="17"/>
    <x v="5"/>
    <s v="F:\Données chgh\2020-CHG-CZA-BPA-3\plaque 2/@17 Testo +  BPA 1/F5_01.tif "/>
    <s v=" 32250.1729 "/>
    <s v=" 74.6593 "/>
    <x v="0"/>
    <n v="2407775"/>
    <m/>
    <m/>
  </r>
  <r>
    <x v="17"/>
    <x v="5"/>
    <s v="F:\Données chgh\2020-CHG-CZA-BPA-3\plaque 2/@17 Testo +  BPA 1/F5_02.tif "/>
    <s v=" 30260.2226 "/>
    <s v=" 76.9535 "/>
    <x v="0"/>
    <n v="2328631"/>
    <m/>
    <m/>
  </r>
  <r>
    <x v="17"/>
    <x v="5"/>
    <s v="F:\Données chgh\2020-CHG-CZA-BPA-3\plaque 2/@17 Testo +  BPA 1/F5_03.tif "/>
    <s v=" 30563.0411 "/>
    <s v=" 74.3163 "/>
    <x v="0"/>
    <n v="2271334"/>
    <m/>
    <m/>
  </r>
  <r>
    <x v="17"/>
    <x v="6"/>
    <s v="F:\Données chgh\2020-CHG-CZA-BPA-3\plaque 2/@17 Testo +  BPA 1/G5_01.tif "/>
    <s v=" 37441.3476 "/>
    <s v=" 73.0277 "/>
    <x v="0"/>
    <n v="2734257"/>
    <m/>
    <m/>
  </r>
  <r>
    <x v="17"/>
    <x v="6"/>
    <s v="F:\Données chgh\2020-CHG-CZA-BPA-3\plaque 2/@17 Testo +  BPA 1/G5_02.tif "/>
    <s v=" 32163.6533 "/>
    <s v=" 72.0558 "/>
    <x v="0"/>
    <n v="2317578"/>
    <m/>
    <m/>
  </r>
  <r>
    <x v="17"/>
    <x v="6"/>
    <s v="F:\Données chgh\2020-CHG-CZA-BPA-3\plaque 2/@17 Testo +  BPA 1/G5_03.tif "/>
    <s v=" 35992.1447 "/>
    <s v=" 72.9591 "/>
    <x v="0"/>
    <n v="2625956"/>
    <m/>
    <m/>
  </r>
  <r>
    <x v="17"/>
    <x v="7"/>
    <s v="F:\Données chgh\2020-CHG-CZA-BPA-3\plaque 2/@17 Testo +  BPA 1/H5_01.tif "/>
    <s v=" 15119.2963 "/>
    <s v=" 69.3262 "/>
    <x v="0"/>
    <n v="1048163"/>
    <m/>
    <m/>
  </r>
  <r>
    <x v="17"/>
    <x v="7"/>
    <s v="F:\Données chgh\2020-CHG-CZA-BPA-3\plaque 2/@17 Testo +  BPA 1/H5_02.tif "/>
    <s v=" 12977.9368 "/>
    <s v=" 66.6467 "/>
    <x v="0"/>
    <n v="864936"/>
    <m/>
    <m/>
  </r>
  <r>
    <x v="17"/>
    <x v="7"/>
    <s v="F:\Données chgh\2020-CHG-CZA-BPA-3\plaque 2/@17 Testo +  BPA 1/H5_03.tif "/>
    <s v=" 10295.8298 "/>
    <s v=" 66.6092 "/>
    <x v="0"/>
    <n v="685797"/>
    <m/>
    <m/>
  </r>
  <r>
    <x v="1"/>
    <x v="8"/>
    <s v=" "/>
    <m/>
    <m/>
    <x v="1"/>
    <m/>
    <m/>
    <m/>
  </r>
  <r>
    <x v="1"/>
    <x v="8"/>
    <s v="group "/>
    <s v=" "/>
    <s v=" mean of mean fluo "/>
    <x v="2"/>
    <s v=" mean of total fluo "/>
    <s v=" SD total fluo "/>
    <s v=" n fluorescent "/>
  </r>
  <r>
    <x v="17"/>
    <x v="9"/>
    <s v="F:\Données chgh\2020-CHG-CZA-BPA-3\plaque 2/@17 Testo +  BPA 1/ "/>
    <s v=" "/>
    <s v=" 71.9574 "/>
    <x v="19"/>
    <s v=" 2154646.67 "/>
    <s v=" 602208.0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BPA-3\plaque 2/@18  Testo +  BPA 2/A6_01.tif "/>
    <s v=" 24679.7098 "/>
    <s v=" 77.5022 "/>
    <x v="0"/>
    <n v="1912732"/>
    <m/>
    <m/>
  </r>
  <r>
    <x v="18"/>
    <x v="0"/>
    <s v="F:\Données chgh\2020-CHG-CZA-BPA-3\plaque 2/@18  Testo +  BPA 2/A6_02.tif "/>
    <s v=" 21370.3359 "/>
    <s v=" 76.7753 "/>
    <x v="0"/>
    <n v="1640714"/>
    <m/>
    <m/>
  </r>
  <r>
    <x v="18"/>
    <x v="0"/>
    <s v="F:\Données chgh\2020-CHG-CZA-BPA-3\plaque 2/@18  Testo +  BPA 2/A6_03.tif "/>
    <s v=" 23749.6243 "/>
    <s v=" 76.6557 "/>
    <x v="0"/>
    <n v="1820545"/>
    <m/>
    <m/>
  </r>
  <r>
    <x v="18"/>
    <x v="1"/>
    <s v="F:\Données chgh\2020-CHG-CZA-BPA-3\plaque 2/@18  Testo +  BPA 2/B6_01.tif "/>
    <s v=" 23446.8058 "/>
    <s v=" 69.7122 "/>
    <x v="0"/>
    <n v="1634528"/>
    <m/>
    <m/>
  </r>
  <r>
    <x v="18"/>
    <x v="1"/>
    <s v="F:\Données chgh\2020-CHG-CZA-BPA-3\plaque 2/@18  Testo +  BPA 2/B6_02.tif "/>
    <s v=" 31082.1586 "/>
    <s v=" 70.7697 "/>
    <x v="0"/>
    <n v="2199674"/>
    <m/>
    <m/>
  </r>
  <r>
    <x v="18"/>
    <x v="1"/>
    <s v="F:\Données chgh\2020-CHG-CZA-BPA-3\plaque 2/@18  Testo +  BPA 2/B6_03.tif "/>
    <s v=" 37549.4971 "/>
    <s v=" 72.1486 "/>
    <x v="0"/>
    <n v="2709144"/>
    <m/>
    <m/>
  </r>
  <r>
    <x v="18"/>
    <x v="2"/>
    <s v="F:\Données chgh\2020-CHG-CZA-BPA-3\plaque 2/@18  Testo +  BPA 2/C6_01.tif "/>
    <s v=" 18493.5599 "/>
    <s v=" 80.6971 "/>
    <x v="0"/>
    <n v="1492376"/>
    <m/>
    <m/>
  </r>
  <r>
    <x v="18"/>
    <x v="2"/>
    <s v="F:\Données chgh\2020-CHG-CZA-BPA-3\plaque 2/@18  Testo +  BPA 2/C6_02- exclu.tif"/>
    <m/>
    <m/>
    <x v="1"/>
    <m/>
    <m/>
    <m/>
  </r>
  <r>
    <x v="18"/>
    <x v="2"/>
    <s v="F:\Données chgh\2020-CHG-CZA-BPA-3\plaque 2/@18  Testo +  BPA 2/C6_03.tif "/>
    <s v=" 18255.6311 "/>
    <s v=" 71.2145 "/>
    <x v="0"/>
    <n v="1300065"/>
    <m/>
    <m/>
  </r>
  <r>
    <x v="18"/>
    <x v="3"/>
    <s v="F:\Données chgh\2020-CHG-CZA-BPA-3\plaque 2/@18  Testo +  BPA 2/D6_01- exclu.tif"/>
    <m/>
    <m/>
    <x v="1"/>
    <m/>
    <m/>
    <m/>
  </r>
  <r>
    <x v="18"/>
    <x v="3"/>
    <s v="F:\Données chgh\2020-CHG-CZA-BPA-3\plaque 2/@18  Testo +  BPA 2/D6_02.tif "/>
    <s v=" 27188.7775 "/>
    <s v=" 71.8846 "/>
    <x v="0"/>
    <n v="1954456"/>
    <m/>
    <m/>
  </r>
  <r>
    <x v="18"/>
    <x v="3"/>
    <s v="F:\Données chgh\2020-CHG-CZA-BPA-3\plaque 2/@18  Testo +  BPA 2/D6_03.tif "/>
    <s v=" 22192.2719 "/>
    <s v=" 71.8558 "/>
    <x v="0"/>
    <n v="1594642"/>
    <m/>
    <m/>
  </r>
  <r>
    <x v="18"/>
    <x v="4"/>
    <s v="F:\Données chgh\2020-CHG-CZA-BPA-3\plaque 2/@18  Testo +  BPA 2/E6_01.tif "/>
    <s v=" 40729.0916 "/>
    <s v=" 79.3521 "/>
    <x v="0"/>
    <n v="3231939"/>
    <m/>
    <m/>
  </r>
  <r>
    <x v="18"/>
    <x v="4"/>
    <s v="F:\Données chgh\2020-CHG-CZA-BPA-3\plaque 2/@18  Testo +  BPA 2/E6_02- exclu.tif"/>
    <m/>
    <m/>
    <x v="1"/>
    <m/>
    <m/>
    <m/>
  </r>
  <r>
    <x v="18"/>
    <x v="4"/>
    <s v="F:\Données chgh\2020-CHG-CZA-BPA-3\plaque 2/@18  Testo +  BPA 2/E6_03.tif "/>
    <s v=" 39907.1556 "/>
    <s v=" 79.9545 "/>
    <x v="0"/>
    <n v="3190756"/>
    <m/>
    <m/>
  </r>
  <r>
    <x v="18"/>
    <x v="5"/>
    <s v="F:\Données chgh\2020-CHG-CZA-BPA-3\plaque 2/@18  Testo +  BPA 2/F6_01- exclu.tif"/>
    <m/>
    <m/>
    <x v="1"/>
    <m/>
    <m/>
    <m/>
  </r>
  <r>
    <x v="18"/>
    <x v="5"/>
    <s v="F:\Données chgh\2020-CHG-CZA-BPA-3\plaque 2/@18  Testo +  BPA 2/F6_02.tif "/>
    <s v=" 5364.2139 "/>
    <s v=" 65.1694 "/>
    <x v="0"/>
    <n v="349582"/>
    <m/>
    <m/>
  </r>
  <r>
    <x v="18"/>
    <x v="5"/>
    <s v="F:\Données chgh\2020-CHG-CZA-BPA-3\plaque 2/@18  Testo +  BPA 2/F6_03.tif "/>
    <s v=" 4909.9861 "/>
    <s v=" 64.8634 "/>
    <x v="0"/>
    <n v="318479"/>
    <m/>
    <m/>
  </r>
  <r>
    <x v="18"/>
    <x v="6"/>
    <s v="F:\Données chgh\2020-CHG-CZA-BPA-3\plaque 2/@18  Testo +  BPA 2/G6_01.tif "/>
    <s v=" 46244.7147 "/>
    <s v=" 82.9977 "/>
    <x v="0"/>
    <n v="3838203"/>
    <m/>
    <m/>
  </r>
  <r>
    <x v="18"/>
    <x v="6"/>
    <s v="F:\Données chgh\2020-CHG-CZA-BPA-3\plaque 2/@18  Testo +  BPA 2/G6_02.tif "/>
    <s v=" 47520.8785 "/>
    <s v=" 82.0187 "/>
    <x v="0"/>
    <n v="3897599"/>
    <m/>
    <m/>
  </r>
  <r>
    <x v="18"/>
    <x v="6"/>
    <s v="F:\Données chgh\2020-CHG-CZA-BPA-3\plaque 2/@18  Testo +  BPA 2/G6_03.tif "/>
    <s v=" 42091.7749 "/>
    <s v=" 82.5899 "/>
    <x v="0"/>
    <n v="3476357"/>
    <m/>
    <m/>
  </r>
  <r>
    <x v="18"/>
    <x v="7"/>
    <s v="F:\Données chgh\2020-CHG-CZA-BPA-3\plaque 2/@18  Testo +  BPA 2/H6_01.tif "/>
    <s v=" 40296.4937 "/>
    <s v=" 88.2104 "/>
    <x v="0"/>
    <n v="3554570"/>
    <m/>
    <m/>
  </r>
  <r>
    <x v="18"/>
    <x v="7"/>
    <s v="F:\Données chgh\2020-CHG-CZA-BPA-3\plaque 2/@18  Testo +  BPA 2/H6_02.tif "/>
    <s v=" 39323.1484 "/>
    <s v=" 88.3724 "/>
    <x v="0"/>
    <n v="3475081"/>
    <m/>
    <m/>
  </r>
  <r>
    <x v="18"/>
    <x v="7"/>
    <s v="F:\Données chgh\2020-CHG-CZA-BPA-3\plaque 2/@18  Testo +  BPA 2/H6_03.tif "/>
    <s v=" 39323.1484 "/>
    <s v=" 90.9659 "/>
    <x v="0"/>
    <n v="3577065"/>
    <m/>
    <m/>
  </r>
  <r>
    <x v="1"/>
    <x v="8"/>
    <s v=" "/>
    <m/>
    <m/>
    <x v="1"/>
    <m/>
    <m/>
    <m/>
  </r>
  <r>
    <x v="1"/>
    <x v="8"/>
    <s v="group "/>
    <s v=" "/>
    <s v=" mean of mean fluo "/>
    <x v="2"/>
    <s v=" mean of total fluo "/>
    <s v=" SD total fluo "/>
    <s v=" n fluorescent "/>
  </r>
  <r>
    <x v="18"/>
    <x v="9"/>
    <s v="F:\Données chgh\2020-CHG-CZA-BPA-3\plaque 2/@18  Testo +  BPA 2/ "/>
    <s v=" "/>
    <s v=" 75.3415 "/>
    <x v="20"/>
    <s v=" 2003115.71 "/>
    <s v=" 1311410.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BPA-3\plaque 2/@19 Testo + BPA 3/A7_01.tif "/>
    <s v=" 37354.828 "/>
    <s v=" 82.6427 "/>
    <x v="0"/>
    <n v="3087105"/>
    <m/>
    <m/>
  </r>
  <r>
    <x v="19"/>
    <x v="0"/>
    <s v="F:\Données chgh\2020-CHG-CZA-BPA-3\plaque 2/@19 Testo + BPA 3/A7_02.tif "/>
    <s v=" 37982.095 "/>
    <s v=" 79.6777 "/>
    <x v="0"/>
    <n v="3026325"/>
    <m/>
    <m/>
  </r>
  <r>
    <x v="19"/>
    <x v="0"/>
    <s v="F:\Données chgh\2020-CHG-CZA-BPA-3\plaque 2/@19 Testo + BPA 3/A7_03.tif "/>
    <s v=" 36749.191 "/>
    <s v=" 80.6398 "/>
    <x v="0"/>
    <n v="2963447"/>
    <m/>
    <m/>
  </r>
  <r>
    <x v="19"/>
    <x v="1"/>
    <s v="F:\Données chgh\2020-CHG-CZA-BPA-3\plaque 2/@19 Testo + BPA 3/B7_01.tif "/>
    <s v=" 47261.3198 "/>
    <s v=" 85.7606 "/>
    <x v="0"/>
    <n v="4053161"/>
    <m/>
    <m/>
  </r>
  <r>
    <x v="19"/>
    <x v="1"/>
    <s v="F:\Données chgh\2020-CHG-CZA-BPA-3\plaque 2/@19 Testo + BPA 3/B7_02.tif "/>
    <s v=" 43303.049 "/>
    <s v=" 89.4461 "/>
    <x v="0"/>
    <n v="3873287"/>
    <m/>
    <m/>
  </r>
  <r>
    <x v="19"/>
    <x v="1"/>
    <s v="F:\Données chgh\2020-CHG-CZA-BPA-3\plaque 2/@19 Testo + BPA 3/B7_03.tif "/>
    <s v=" 52409.2347 "/>
    <s v=" 84.5266 "/>
    <x v="0"/>
    <n v="4429975"/>
    <m/>
    <m/>
  </r>
  <r>
    <x v="19"/>
    <x v="2"/>
    <s v="F:\Données chgh\2020-CHG-CZA-BPA-3\plaque 2/@19 Testo + BPA 3/C7_01.tif "/>
    <s v=" 36965.4899 "/>
    <s v=" 84.1363 "/>
    <x v="0"/>
    <n v="3110141"/>
    <m/>
    <m/>
  </r>
  <r>
    <x v="19"/>
    <x v="2"/>
    <s v="F:\Données chgh\2020-CHG-CZA-BPA-3\plaque 2/@19 Testo + BPA 3/C7_02- exclu.tif"/>
    <m/>
    <m/>
    <x v="1"/>
    <m/>
    <m/>
    <m/>
  </r>
  <r>
    <x v="19"/>
    <x v="2"/>
    <s v="F:\Données chgh\2020-CHG-CZA-BPA-3\plaque 2/@19 Testo + BPA 3/C7_03.tif "/>
    <s v=" 37030.3796 "/>
    <s v=" 82.2868 "/>
    <x v="0"/>
    <n v="3047111"/>
    <m/>
    <m/>
  </r>
  <r>
    <x v="19"/>
    <x v="3"/>
    <s v="F:\Données chgh\2020-CHG-CZA-BPA-3\plaque 2/@19 Testo + BPA 3/D7_01.tif "/>
    <s v=" 36057.0343 "/>
    <s v=" 79.754 "/>
    <x v="0"/>
    <n v="2875694"/>
    <m/>
    <m/>
  </r>
  <r>
    <x v="19"/>
    <x v="3"/>
    <s v="F:\Données chgh\2020-CHG-CZA-BPA-3\plaque 2/@19 Testo + BPA 3/D7_02.tif "/>
    <s v=" 33721.0057 "/>
    <s v=" 79.4997 "/>
    <x v="0"/>
    <n v="2680809"/>
    <m/>
    <m/>
  </r>
  <r>
    <x v="19"/>
    <x v="3"/>
    <s v="F:\Données chgh\2020-CHG-CZA-BPA-3\plaque 2/@19 Testo + BPA 3/D7_03.tif "/>
    <s v=" 37116.8992 "/>
    <s v=" 79.9038 "/>
    <x v="0"/>
    <n v="2965783"/>
    <m/>
    <m/>
  </r>
  <r>
    <x v="19"/>
    <x v="4"/>
    <s v="F:\Données chgh\2020-CHG-CZA-BPA-3\plaque 2/@19 Testo + BPA 3/E7_01.tif "/>
    <s v=" 20483.5102 "/>
    <s v=" 73.49 "/>
    <x v="0"/>
    <n v="1505333"/>
    <m/>
    <m/>
  </r>
  <r>
    <x v="19"/>
    <x v="4"/>
    <s v="F:\Données chgh\2020-CHG-CZA-BPA-3\plaque 2/@19 Testo + BPA 3/E7_02.tif "/>
    <s v=" 19899.5031 "/>
    <s v=" 76.3141 "/>
    <x v="0"/>
    <n v="1518613"/>
    <m/>
    <m/>
  </r>
  <r>
    <x v="19"/>
    <x v="4"/>
    <s v="F:\Données chgh\2020-CHG-CZA-BPA-3\plaque 2/@19 Testo + BPA 3/E7_03.tif "/>
    <s v=" 18471.93 "/>
    <s v=" 76.2728 "/>
    <x v="0"/>
    <n v="1408906"/>
    <m/>
    <m/>
  </r>
  <r>
    <x v="19"/>
    <x v="5"/>
    <s v="F:\Données chgh\2020-CHG-CZA-BPA-3\plaque 2/@19 Testo + BPA 3/F7_01.tif "/>
    <s v=" 40015.3051 "/>
    <s v=" 89.0416 "/>
    <x v="0"/>
    <n v="3563028"/>
    <m/>
    <m/>
  </r>
  <r>
    <x v="19"/>
    <x v="5"/>
    <s v="F:\Données chgh\2020-CHG-CZA-BPA-3\plaque 2/@19 Testo + BPA 3/F7_02.tif "/>
    <s v=" 39106.8495 "/>
    <s v=" 88.2848 "/>
    <x v="0"/>
    <n v="3452542"/>
    <m/>
    <m/>
  </r>
  <r>
    <x v="19"/>
    <x v="5"/>
    <s v="F:\Données chgh\2020-CHG-CZA-BPA-3\plaque 2/@19 Testo + BPA 3/F7_03.tif "/>
    <s v=" 36835.7106 "/>
    <s v=" 90.542 "/>
    <x v="0"/>
    <n v="3335178"/>
    <m/>
    <m/>
  </r>
  <r>
    <x v="19"/>
    <x v="6"/>
    <s v="F:\Données chgh\2020-CHG-CZA-BPA-3\plaque 2/@19 Testo + BPA 3/G7_01.tif "/>
    <s v=" 64478.7159 "/>
    <s v=" 87.0876 "/>
    <x v="0"/>
    <n v="5615294"/>
    <m/>
    <m/>
  </r>
  <r>
    <x v="19"/>
    <x v="6"/>
    <s v="F:\Données chgh\2020-CHG-CZA-BPA-3\plaque 2/@19 Testo + BPA 3/G7_02.tif "/>
    <s v=" 64305.6767 "/>
    <s v=" 86.0377 "/>
    <x v="0"/>
    <n v="5532711"/>
    <m/>
    <m/>
  </r>
  <r>
    <x v="19"/>
    <x v="6"/>
    <s v="F:\Données chgh\2020-CHG-CZA-BPA-3\plaque 2/@19 Testo + BPA 3/G7_03.tif "/>
    <s v=" 70167.3782 "/>
    <s v=" 82.9846 "/>
    <x v="0"/>
    <n v="5822811"/>
    <m/>
    <m/>
  </r>
  <r>
    <x v="19"/>
    <x v="7"/>
    <s v="F:\Données chgh\2020-CHG-CZA-BPA-3\plaque 2/@19 Testo + BPA 3/H7_01.tif "/>
    <s v=" 34607.8314 "/>
    <s v=" 102.8206 "/>
    <x v="0"/>
    <n v="3558399"/>
    <m/>
    <m/>
  </r>
  <r>
    <x v="19"/>
    <x v="7"/>
    <s v="F:\Données chgh\2020-CHG-CZA-BPA-3\plaque 2/@19 Testo + BPA 3/H7_02.tif "/>
    <s v=" 37917.2053 "/>
    <s v=" 100.2715 "/>
    <x v="0"/>
    <n v="3802016"/>
    <m/>
    <m/>
  </r>
  <r>
    <x v="19"/>
    <x v="7"/>
    <s v="F:\Données chgh\2020-CHG-CZA-BPA-3\plaque 2/@19 Testo + BPA 3/H7_03.tif "/>
    <s v=" 36792.4508 "/>
    <s v=" 97.0506 "/>
    <x v="0"/>
    <n v="3570728"/>
    <m/>
    <m/>
  </r>
  <r>
    <x v="1"/>
    <x v="8"/>
    <s v=" "/>
    <m/>
    <m/>
    <x v="1"/>
    <m/>
    <m/>
    <m/>
  </r>
  <r>
    <x v="1"/>
    <x v="8"/>
    <s v="group "/>
    <s v=" "/>
    <s v=" mean of mean fluo "/>
    <x v="2"/>
    <s v=" mean of total fluo "/>
    <s v=" SD total fluo "/>
    <s v=" n fluorescent "/>
  </r>
  <r>
    <x v="19"/>
    <x v="9"/>
    <s v="F:\Données chgh\2020-CHG-CZA-BPA-3\plaque 2/@19 Testo + BPA 3/ "/>
    <s v=" "/>
    <s v=" 84.5099 "/>
    <x v="21"/>
    <s v=" 3290497.25 "/>
    <s v=" 1320742.8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BPA-3\plaque 2/@20 Testo +  BPA 4/A8_01.tif "/>
    <s v=" 43021.8604 "/>
    <s v=" 83.6873 "/>
    <x v="0"/>
    <n v="3600382"/>
    <m/>
    <m/>
  </r>
  <r>
    <x v="20"/>
    <x v="0"/>
    <s v="F:\Données chgh\2020-CHG-CZA-BPA-3\plaque 2/@20 Testo +  BPA 4/A8_02.tif "/>
    <s v=" 49640.6082 "/>
    <s v=" 81.2471 "/>
    <x v="0"/>
    <n v="4033153"/>
    <m/>
    <m/>
  </r>
  <r>
    <x v="20"/>
    <x v="0"/>
    <s v="F:\Données chgh\2020-CHG-CZA-BPA-3\plaque 2/@20 Testo +  BPA 4/A8_03.tif "/>
    <s v=" 46266.3446 "/>
    <s v=" 81.9271 "/>
    <x v="0"/>
    <n v="3790466"/>
    <m/>
    <m/>
  </r>
  <r>
    <x v="20"/>
    <x v="1"/>
    <s v="F:\Données chgh\2020-CHG-CZA-BPA-3\plaque 2/@20 Testo +  BPA 4/B8_01- exclu.tif"/>
    <m/>
    <m/>
    <x v="1"/>
    <m/>
    <m/>
    <m/>
  </r>
  <r>
    <x v="20"/>
    <x v="1"/>
    <s v="F:\Données chgh\2020-CHG-CZA-BPA-3\plaque 2/@20 Testo +  BPA 4/B8_02.tif "/>
    <s v=" 61472.1605 "/>
    <s v=" 86.9127 "/>
    <x v="0"/>
    <n v="5342714"/>
    <m/>
    <m/>
  </r>
  <r>
    <x v="20"/>
    <x v="1"/>
    <s v="F:\Données chgh\2020-CHG-CZA-BPA-3\plaque 2/@20 Testo +  BPA 4/B8_03.tif "/>
    <s v=" 65516.9508 "/>
    <s v=" 83.7455 "/>
    <x v="0"/>
    <n v="5486747"/>
    <m/>
    <m/>
  </r>
  <r>
    <x v="20"/>
    <x v="2"/>
    <s v="F:\Données chgh\2020-CHG-CZA-BPA-3\plaque 2/@20 Testo +  BPA 4/C8_01- exclu.tif"/>
    <m/>
    <m/>
    <x v="1"/>
    <m/>
    <m/>
    <m/>
  </r>
  <r>
    <x v="20"/>
    <x v="2"/>
    <s v="F:\Données chgh\2020-CHG-CZA-BPA-3\plaque 2/@20 Testo +  BPA 4/C8_02- exclu.tif"/>
    <m/>
    <m/>
    <x v="1"/>
    <m/>
    <m/>
    <m/>
  </r>
  <r>
    <x v="20"/>
    <x v="2"/>
    <s v="F:\Données chgh\2020-CHG-CZA-BPA-3\plaque 2/@20 Testo +  BPA 4/C8_03.tif "/>
    <s v=" 4758.5768 "/>
    <s v=" 66.1909 "/>
    <x v="0"/>
    <n v="314975"/>
    <m/>
    <m/>
  </r>
  <r>
    <x v="20"/>
    <x v="3"/>
    <s v="F:\Données chgh\2020-CHG-CZA-BPA-3\plaque 2/@20 Testo +  BPA 4/D8_01.tif "/>
    <s v=" 62683.4346 "/>
    <s v=" 89.4182 "/>
    <x v="0"/>
    <n v="5605041"/>
    <m/>
    <m/>
  </r>
  <r>
    <x v="20"/>
    <x v="3"/>
    <s v="F:\Données chgh\2020-CHG-CZA-BPA-3\plaque 2/@20 Testo +  BPA 4/D8_02.tif "/>
    <s v=" 53512.3593 "/>
    <s v=" 89.0905 "/>
    <x v="0"/>
    <n v="4767445"/>
    <m/>
    <m/>
  </r>
  <r>
    <x v="20"/>
    <x v="3"/>
    <s v="F:\Données chgh\2020-CHG-CZA-BPA-3\plaque 2/@20 Testo +  BPA 4/D8_03.tif "/>
    <s v=" 56994.7723 "/>
    <s v=" 89.8182 "/>
    <x v="0"/>
    <n v="5119169"/>
    <m/>
    <m/>
  </r>
  <r>
    <x v="20"/>
    <x v="4"/>
    <s v="F:\Données chgh\2020-CHG-CZA-BPA-3\plaque 2/@20 Testo +  BPA 4/E8_01.tif "/>
    <s v=" 59503.8401 "/>
    <s v=" 84.2712 "/>
    <x v="0"/>
    <n v="5014458"/>
    <m/>
    <m/>
  </r>
  <r>
    <x v="20"/>
    <x v="4"/>
    <s v="F:\Données chgh\2020-CHG-CZA-BPA-3\plaque 2/@20 Testo +  BPA 4/E8_02.tif "/>
    <s v=" 73584.9015 "/>
    <s v=" 85.0344 "/>
    <x v="0"/>
    <n v="6257247"/>
    <m/>
    <m/>
  </r>
  <r>
    <x v="20"/>
    <x v="4"/>
    <s v="F:\Données chgh\2020-CHG-CZA-BPA-3\plaque 2/@20 Testo +  BPA 4/E8_03.tif "/>
    <s v=" 70556.7163 "/>
    <s v=" 83.5294 "/>
    <x v="0"/>
    <n v="5893562"/>
    <m/>
    <m/>
  </r>
  <r>
    <x v="20"/>
    <x v="5"/>
    <s v="F:\Données chgh\2020-CHG-CZA-BPA-3\plaque 2/@20 Testo +  BPA 4/F8_01.tif "/>
    <s v=" 67679.9403 "/>
    <s v=" 84.0313 "/>
    <x v="0"/>
    <n v="5687235"/>
    <m/>
    <m/>
  </r>
  <r>
    <x v="20"/>
    <x v="5"/>
    <s v="F:\Données chgh\2020-CHG-CZA-BPA-3\plaque 2/@20 Testo +  BPA 4/F8_02.tif "/>
    <s v=" 69388.702 "/>
    <s v=" 85.8317 "/>
    <x v="0"/>
    <n v="5955748"/>
    <m/>
    <m/>
  </r>
  <r>
    <x v="20"/>
    <x v="5"/>
    <s v="F:\Données chgh\2020-CHG-CZA-BPA-3\plaque 2/@20 Testo +  BPA 4/F8_03- exclu.tif"/>
    <m/>
    <m/>
    <x v="1"/>
    <m/>
    <m/>
    <m/>
  </r>
  <r>
    <x v="20"/>
    <x v="6"/>
    <s v="F:\Données chgh\2020-CHG-CZA-BPA-3\plaque 2/@20 Testo +  BPA 4/G8_01.tif "/>
    <s v=" 68177.4279 "/>
    <s v=" 87.5631 "/>
    <x v="0"/>
    <n v="5969829"/>
    <m/>
    <m/>
  </r>
  <r>
    <x v="20"/>
    <x v="6"/>
    <s v="F:\Données chgh\2020-CHG-CZA-BPA-3\plaque 2/@20 Testo +  BPA 4/G8_02- exclu.tif"/>
    <m/>
    <m/>
    <x v="1"/>
    <m/>
    <m/>
    <m/>
  </r>
  <r>
    <x v="20"/>
    <x v="6"/>
    <s v="F:\Données chgh\2020-CHG-CZA-BPA-3\plaque 2/@20 Testo +  BPA 4/G8_03.tif "/>
    <s v=" 71832.8801 "/>
    <s v=" 87.5191 "/>
    <x v="0"/>
    <n v="6286751"/>
    <m/>
    <m/>
  </r>
  <r>
    <x v="20"/>
    <x v="7"/>
    <s v="F:\Données chgh\2020-CHG-CZA-BPA-3\plaque 2/@20 Testo +  BPA 4/H8_01.tif "/>
    <s v=" 54896.6726 "/>
    <s v=" 93.4732 "/>
    <x v="0"/>
    <n v="5131368"/>
    <m/>
    <m/>
  </r>
  <r>
    <x v="20"/>
    <x v="7"/>
    <s v="F:\Données chgh\2020-CHG-CZA-BPA-3\plaque 2/@20 Testo +  BPA 4/H8_02.tif "/>
    <s v=" 58790.0536 "/>
    <s v=" 91.0758 "/>
    <x v="0"/>
    <n v="5354351"/>
    <m/>
    <m/>
  </r>
  <r>
    <x v="20"/>
    <x v="7"/>
    <s v="F:\Données chgh\2020-CHG-CZA-BPA-3\plaque 2/@20 Testo +  BPA 4/H8_03.tif "/>
    <s v=" 53793.5479 "/>
    <s v=" 92.8468 "/>
    <x v="0"/>
    <n v="4994559"/>
    <m/>
    <m/>
  </r>
  <r>
    <x v="1"/>
    <x v="8"/>
    <s v=" "/>
    <m/>
    <m/>
    <x v="1"/>
    <m/>
    <m/>
    <m/>
  </r>
  <r>
    <x v="1"/>
    <x v="8"/>
    <s v="group "/>
    <s v=" "/>
    <s v=" mean of mean fluo "/>
    <x v="2"/>
    <s v=" mean of total fluo "/>
    <s v=" SD total fluo "/>
    <s v=" n fluorescent "/>
  </r>
  <r>
    <x v="20"/>
    <x v="9"/>
    <s v="F:\Données chgh\2020-CHG-CZA-BPA-3\plaque 2/@20 Testo +  BPA 4/ "/>
    <s v=" "/>
    <s v=" 83.2693 "/>
    <x v="22"/>
    <s v=" 4578694.46 "/>
    <s v=" 1847066.5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BPA-3\plaque 2/@21 Testo +  BPA 5/A9_01.tif "/>
    <s v=" 66447.0363 "/>
    <s v=" 86.0117 "/>
    <x v="0"/>
    <n v="5715224"/>
    <m/>
    <m/>
  </r>
  <r>
    <x v="21"/>
    <x v="0"/>
    <s v="F:\Données chgh\2020-CHG-CZA-BPA-3\plaque 2/@21 Testo +  BPA 5/A9_02.tif "/>
    <s v=" 64889.6839 "/>
    <s v=" 87.4253 "/>
    <x v="0"/>
    <n v="5673002"/>
    <m/>
    <m/>
  </r>
  <r>
    <x v="21"/>
    <x v="0"/>
    <s v="F:\Données chgh\2020-CHG-CZA-BPA-3\plaque 2/@21 Testo +  BPA 5/A9_03.tif "/>
    <s v=" 64521.9757 "/>
    <s v=" 84.5639 "/>
    <x v="0"/>
    <n v="5456227"/>
    <m/>
    <m/>
  </r>
  <r>
    <x v="21"/>
    <x v="1"/>
    <s v="F:\Données chgh\2020-CHG-CZA-BPA-3\plaque 2/@21 Testo +  BPA 5/B9_01- exclu.tif"/>
    <m/>
    <m/>
    <x v="1"/>
    <m/>
    <m/>
    <m/>
  </r>
  <r>
    <x v="21"/>
    <x v="1"/>
    <s v="F:\Données chgh\2020-CHG-CZA-BPA-3\plaque 2/@21 Testo +  BPA 5/B9_02.tif "/>
    <s v=" 27232.0373 "/>
    <s v=" 76.6807 "/>
    <x v="0"/>
    <n v="2088172"/>
    <m/>
    <m/>
  </r>
  <r>
    <x v="21"/>
    <x v="1"/>
    <s v="F:\Données chgh\2020-CHG-CZA-BPA-3\plaque 2/@21 Testo +  BPA 5/B9_03.tif "/>
    <s v=" 31795.9451 "/>
    <s v=" 74.4041 "/>
    <x v="0"/>
    <n v="2365748"/>
    <m/>
    <m/>
  </r>
  <r>
    <x v="21"/>
    <x v="2"/>
    <s v="F:\Données chgh\2020-CHG-CZA-BPA-3\plaque 2/@21 Testo +  BPA 5/C9_01- exclu.tif"/>
    <m/>
    <m/>
    <x v="1"/>
    <m/>
    <m/>
    <m/>
  </r>
  <r>
    <x v="21"/>
    <x v="2"/>
    <s v="F:\Données chgh\2020-CHG-CZA-BPA-3\plaque 2/@21 Testo +  BPA 5/C9_02.tif "/>
    <s v=" 19207.3464 "/>
    <s v=" 70.4358 "/>
    <x v="0"/>
    <n v="1352885"/>
    <m/>
    <m/>
  </r>
  <r>
    <x v="21"/>
    <x v="2"/>
    <s v="F:\Données chgh\2020-CHG-CZA-BPA-3\plaque 2/@21 Testo +  BPA 5/C9_03.tif "/>
    <s v=" 16417.09 "/>
    <s v=" 70.8999 "/>
    <x v="0"/>
    <n v="1163970"/>
    <m/>
    <m/>
  </r>
  <r>
    <x v="21"/>
    <x v="3"/>
    <s v="F:\Données chgh\2020-CHG-CZA-BPA-3\plaque 2/@21 Testo +  BPA 5/D9_01- exclu.tif"/>
    <m/>
    <m/>
    <x v="1"/>
    <m/>
    <m/>
    <m/>
  </r>
  <r>
    <x v="21"/>
    <x v="3"/>
    <s v="F:\Données chgh\2020-CHG-CZA-BPA-3\plaque 2/@21 Testo +  BPA 5/D9_02.tif "/>
    <s v=" 56778.4734 "/>
    <s v=" 84.8373 "/>
    <x v="0"/>
    <n v="4816934"/>
    <m/>
    <m/>
  </r>
  <r>
    <x v="21"/>
    <x v="3"/>
    <s v="F:\Données chgh\2020-CHG-CZA-BPA-3\plaque 2/@21 Testo +  BPA 5/D9_03.tif "/>
    <s v=" 55177.8612 "/>
    <s v=" 85.1866 "/>
    <x v="0"/>
    <n v="4700414"/>
    <m/>
    <m/>
  </r>
  <r>
    <x v="21"/>
    <x v="4"/>
    <s v="F:\Données chgh\2020-CHG-CZA-BPA-3\plaque 2/@21 Testo +  BPA 5/E9_01- exclu.tif"/>
    <m/>
    <m/>
    <x v="1"/>
    <m/>
    <m/>
    <m/>
  </r>
  <r>
    <x v="21"/>
    <x v="4"/>
    <s v="F:\Données chgh\2020-CHG-CZA-BPA-3\plaque 2/@21 Testo +  BPA 5/E9_02.tif "/>
    <s v=" 34067.084 "/>
    <s v=" 83.214 "/>
    <x v="0"/>
    <n v="2834857"/>
    <m/>
    <m/>
  </r>
  <r>
    <x v="21"/>
    <x v="4"/>
    <s v="F:\Données chgh\2020-CHG-CZA-BPA-3\plaque 2/@21 Testo +  BPA 5/E9_03.tif "/>
    <s v=" 39020.3299 "/>
    <s v=" 82.4191 "/>
    <x v="0"/>
    <n v="3216019"/>
    <m/>
    <m/>
  </r>
  <r>
    <x v="21"/>
    <x v="5"/>
    <s v="F:\Données chgh\2020-CHG-CZA-BPA-3\plaque 2/@21 Testo +  BPA 5/F9_01- exclu.tif"/>
    <m/>
    <m/>
    <x v="1"/>
    <m/>
    <m/>
    <m/>
  </r>
  <r>
    <x v="21"/>
    <x v="5"/>
    <s v="F:\Données chgh\2020-CHG-CZA-BPA-3\plaque 2/@21 Testo +  BPA 5/F9_02.tif "/>
    <s v=" 60650.2245 "/>
    <s v=" 87.4868 "/>
    <x v="0"/>
    <n v="5306094"/>
    <m/>
    <m/>
  </r>
  <r>
    <x v="21"/>
    <x v="5"/>
    <s v="F:\Données chgh\2020-CHG-CZA-BPA-3\plaque 2/@21 Testo +  BPA 5/F9_03.tif "/>
    <s v=" 61364.0111 "/>
    <s v=" 88.4808 "/>
    <x v="0"/>
    <n v="5429536"/>
    <m/>
    <m/>
  </r>
  <r>
    <x v="21"/>
    <x v="6"/>
    <s v="F:\Données chgh\2020-CHG-CZA-BPA-3\plaque 2/@21 Testo +  BPA 5/G9_01.tif "/>
    <s v=" 713.7865 "/>
    <s v=" 62.8788 "/>
    <x v="0"/>
    <n v="44882"/>
    <m/>
    <m/>
  </r>
  <r>
    <x v="21"/>
    <x v="6"/>
    <s v="F:\Données chgh\2020-CHG-CZA-BPA-3\plaque 2/@21 Testo +  BPA 5/G9_02.tif "/>
    <s v=" 1773.6514 "/>
    <s v=" 63.2927 "/>
    <x v="0"/>
    <n v="112259"/>
    <m/>
    <m/>
  </r>
  <r>
    <x v="21"/>
    <x v="6"/>
    <s v="F:\Données chgh\2020-CHG-CZA-BPA-3\plaque 2/@21 Testo +  BPA 5/G9_03.tif "/>
    <s v=" 1319.4236 "/>
    <s v=" 62.7213 "/>
    <x v="0"/>
    <n v="82756"/>
    <m/>
    <m/>
  </r>
  <r>
    <x v="21"/>
    <x v="7"/>
    <s v="F:\Données chgh\2020-CHG-CZA-BPA-3\plaque 2/@21 Testo +  BPA 5/H9_01.tif "/>
    <s v=" 72546.6666 "/>
    <s v=" 87.1527 "/>
    <x v="0"/>
    <n v="6322634"/>
    <m/>
    <m/>
  </r>
  <r>
    <x v="21"/>
    <x v="7"/>
    <s v="F:\Données chgh\2020-CHG-CZA-BPA-3\plaque 2/@21 Testo +  BPA 5/H9_02.tif "/>
    <s v=" 72308.7377 "/>
    <s v=" 87.5471 "/>
    <x v="0"/>
    <n v="6330421"/>
    <m/>
    <m/>
  </r>
  <r>
    <x v="21"/>
    <x v="7"/>
    <s v="F:\Données chgh\2020-CHG-CZA-BPA-3\plaque 2/@21 Testo +  BPA 5/H9_03.tif "/>
    <s v=" 76353.528 "/>
    <s v=" 84.8598 "/>
    <x v="0"/>
    <n v="6479343"/>
    <m/>
    <m/>
  </r>
  <r>
    <x v="1"/>
    <x v="8"/>
    <s v=" "/>
    <m/>
    <m/>
    <x v="1"/>
    <m/>
    <m/>
    <m/>
  </r>
  <r>
    <x v="1"/>
    <x v="8"/>
    <s v="group "/>
    <s v=" "/>
    <s v=" mean of mean fluo "/>
    <x v="2"/>
    <s v=" mean of total fluo "/>
    <s v=" SD total fluo "/>
    <s v=" n fluorescent "/>
  </r>
  <r>
    <x v="21"/>
    <x v="9"/>
    <s v="F:\Données chgh\2020-CHG-CZA-BPA-3\plaque 2/@21 Testo +  BPA 5/ "/>
    <s v=" "/>
    <s v=" 77.0935 "/>
    <x v="23"/>
    <s v=" 3039818.46 "/>
    <s v=" 2410515.74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49"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5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5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48"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48"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41" dataDxfId="40" tableBorderDxfId="39">
  <autoFilter ref="A6:F57"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C2" sqref="C2:D2"/>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6" t="s">
        <v>36</v>
      </c>
      <c r="B1" s="197"/>
      <c r="C1" s="197"/>
      <c r="D1" s="197"/>
      <c r="E1" s="197"/>
      <c r="F1" s="197"/>
      <c r="G1" s="197"/>
      <c r="H1" s="197"/>
      <c r="I1" s="198"/>
    </row>
    <row r="2" spans="1:9" ht="21.5" thickBot="1" x14ac:dyDescent="0.55000000000000004">
      <c r="A2" s="189" t="s">
        <v>17</v>
      </c>
      <c r="B2" s="42" t="s">
        <v>115</v>
      </c>
      <c r="C2" s="199" t="s">
        <v>166</v>
      </c>
      <c r="D2" s="200"/>
      <c r="E2" s="42" t="s">
        <v>21</v>
      </c>
      <c r="F2" s="207">
        <v>44159</v>
      </c>
      <c r="G2" s="208"/>
      <c r="H2" s="208"/>
      <c r="I2" s="209"/>
    </row>
    <row r="3" spans="1:9" ht="21.5" thickBot="1" x14ac:dyDescent="0.55000000000000004">
      <c r="A3" s="190" t="s">
        <v>18</v>
      </c>
      <c r="B3" s="43" t="s">
        <v>115</v>
      </c>
      <c r="C3" s="199" t="s">
        <v>167</v>
      </c>
      <c r="D3" s="200"/>
      <c r="E3" s="43" t="s">
        <v>21</v>
      </c>
      <c r="F3" s="204"/>
      <c r="G3" s="205"/>
      <c r="H3" s="205"/>
      <c r="I3" s="206"/>
    </row>
    <row r="4" spans="1:9" ht="21.5" thickBot="1" x14ac:dyDescent="0.55000000000000004">
      <c r="A4" s="191" t="s">
        <v>22</v>
      </c>
      <c r="B4" s="179" t="s">
        <v>115</v>
      </c>
      <c r="C4" s="199" t="s">
        <v>168</v>
      </c>
      <c r="D4" s="200"/>
      <c r="E4" s="179" t="s">
        <v>21</v>
      </c>
      <c r="F4" s="201"/>
      <c r="G4" s="202"/>
      <c r="H4" s="202"/>
      <c r="I4" s="203"/>
    </row>
    <row r="5" spans="1:9" s="1" customFormat="1" ht="65.25" customHeight="1" thickBot="1" x14ac:dyDescent="0.4">
      <c r="A5" s="196" t="s">
        <v>37</v>
      </c>
      <c r="B5" s="197"/>
      <c r="C5" s="197"/>
      <c r="D5" s="197"/>
      <c r="E5" s="197"/>
      <c r="F5" s="197"/>
      <c r="G5" s="197"/>
      <c r="H5" s="197"/>
      <c r="I5" s="198"/>
    </row>
    <row r="6" spans="1:9" s="110" customFormat="1" ht="39" customHeight="1" x14ac:dyDescent="0.5">
      <c r="A6" s="76" t="s">
        <v>35</v>
      </c>
      <c r="B6" s="101" t="s">
        <v>7</v>
      </c>
      <c r="C6" s="64" t="s">
        <v>19</v>
      </c>
      <c r="D6" s="64" t="s">
        <v>75</v>
      </c>
      <c r="E6" s="157" t="s">
        <v>51</v>
      </c>
      <c r="F6" s="109"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1"/>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8" s="162" t="s">
        <v>123</v>
      </c>
      <c r="C8" s="163">
        <v>33.799999999999997</v>
      </c>
      <c r="D8" s="164" t="s">
        <v>124</v>
      </c>
      <c r="E8" s="165" t="s">
        <v>126</v>
      </c>
      <c r="F8" s="111"/>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9" s="162" t="s">
        <v>123</v>
      </c>
      <c r="C9" s="163">
        <v>50.6</v>
      </c>
      <c r="D9" s="164" t="s">
        <v>124</v>
      </c>
      <c r="E9" s="165" t="s">
        <v>126</v>
      </c>
      <c r="F9" s="111"/>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0" s="162" t="s">
        <v>123</v>
      </c>
      <c r="C10" s="163">
        <v>76</v>
      </c>
      <c r="D10" s="164" t="s">
        <v>124</v>
      </c>
      <c r="E10" s="165" t="s">
        <v>126</v>
      </c>
      <c r="F10" s="111"/>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1" s="162" t="s">
        <v>123</v>
      </c>
      <c r="C11" s="163">
        <v>114</v>
      </c>
      <c r="D11" s="164" t="s">
        <v>124</v>
      </c>
      <c r="E11" s="165" t="s">
        <v>126</v>
      </c>
      <c r="F11" s="111"/>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2" s="162" t="s">
        <v>123</v>
      </c>
      <c r="C12" s="163">
        <v>170.9</v>
      </c>
      <c r="D12" s="164" t="s">
        <v>124</v>
      </c>
      <c r="E12" s="165" t="s">
        <v>126</v>
      </c>
      <c r="F12" s="111"/>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3" s="162" t="s">
        <v>123</v>
      </c>
      <c r="C13" s="163">
        <v>488</v>
      </c>
      <c r="D13" s="164" t="s">
        <v>124</v>
      </c>
      <c r="E13" s="165" t="s">
        <v>126</v>
      </c>
      <c r="F13" s="111"/>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BPA-1mg/L</v>
      </c>
      <c r="B14" s="162" t="s">
        <v>169</v>
      </c>
      <c r="C14" s="163">
        <v>1</v>
      </c>
      <c r="D14" s="164" t="s">
        <v>129</v>
      </c>
      <c r="E14" s="165" t="s">
        <v>174</v>
      </c>
      <c r="F14" s="111"/>
    </row>
    <row r="15" spans="1:9" s="112" customFormat="1" ht="39" customHeight="1" x14ac:dyDescent="0.35">
      <c r="A1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BPA-2mg/L</v>
      </c>
      <c r="B15" s="162" t="s">
        <v>170</v>
      </c>
      <c r="C15" s="106">
        <v>2</v>
      </c>
      <c r="D15" s="164" t="s">
        <v>129</v>
      </c>
      <c r="E15" s="165" t="s">
        <v>174</v>
      </c>
      <c r="F15" s="111"/>
    </row>
    <row r="16" spans="1:9" s="112"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BPA-3mg/L</v>
      </c>
      <c r="B16" s="162" t="s">
        <v>171</v>
      </c>
      <c r="C16" s="106">
        <v>3</v>
      </c>
      <c r="D16" s="164" t="s">
        <v>129</v>
      </c>
      <c r="E16" s="165" t="s">
        <v>174</v>
      </c>
      <c r="F16" s="111"/>
    </row>
    <row r="17" spans="1:6" s="112"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BPA-4mg/L</v>
      </c>
      <c r="B17" s="162" t="s">
        <v>172</v>
      </c>
      <c r="C17" s="106">
        <v>4</v>
      </c>
      <c r="D17" s="164" t="s">
        <v>129</v>
      </c>
      <c r="E17" s="165" t="s">
        <v>174</v>
      </c>
      <c r="F17" s="111"/>
    </row>
    <row r="18" spans="1:6" s="112"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BPA-5mg/L</v>
      </c>
      <c r="B18" s="162" t="s">
        <v>173</v>
      </c>
      <c r="C18" s="106">
        <v>5</v>
      </c>
      <c r="D18" s="164" t="s">
        <v>129</v>
      </c>
      <c r="E18" s="165" t="s">
        <v>174</v>
      </c>
      <c r="F18" s="111"/>
    </row>
    <row r="19" spans="1:6" s="112"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40"/>
      <c r="C19" s="106"/>
      <c r="D19" s="106"/>
      <c r="E19" s="40"/>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102"/>
      <c r="C20" s="106"/>
      <c r="D20" s="106"/>
      <c r="E20" s="102"/>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40"/>
      <c r="C21" s="106"/>
      <c r="D21" s="106"/>
      <c r="E21" s="40"/>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102"/>
      <c r="C22" s="106"/>
      <c r="D22" s="106"/>
      <c r="E22" s="102"/>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40"/>
      <c r="C23" s="106"/>
      <c r="D23" s="106"/>
      <c r="E23" s="40"/>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102"/>
      <c r="C24" s="106"/>
      <c r="D24" s="106"/>
      <c r="E24" s="102"/>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40"/>
      <c r="C25" s="106"/>
      <c r="D25" s="106"/>
      <c r="E25" s="40"/>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102"/>
      <c r="C26" s="106"/>
      <c r="D26" s="106"/>
      <c r="E26" s="102"/>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40"/>
      <c r="C27" s="106"/>
      <c r="D27" s="106"/>
      <c r="E27" s="40"/>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102"/>
      <c r="C28" s="106"/>
      <c r="D28" s="106"/>
      <c r="E28" s="102"/>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40"/>
      <c r="C29" s="106"/>
      <c r="D29" s="115"/>
      <c r="E29" s="40"/>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102"/>
      <c r="C30" s="106"/>
      <c r="D30" s="115"/>
      <c r="E30" s="102"/>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40"/>
      <c r="C31" s="106"/>
      <c r="D31" s="115"/>
      <c r="E31" s="40"/>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102"/>
      <c r="C32" s="106"/>
      <c r="D32" s="115"/>
      <c r="E32" s="102"/>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40"/>
      <c r="C33" s="106"/>
      <c r="D33" s="115"/>
      <c r="E33" s="40"/>
      <c r="F33" s="111"/>
    </row>
    <row r="34" spans="1:6" s="112" customFormat="1" ht="39" customHeight="1" thickBot="1" x14ac:dyDescent="0.4">
      <c r="A3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167"/>
      <c r="C34" s="168"/>
      <c r="D34" s="116"/>
      <c r="E34" s="167"/>
      <c r="F34" s="111"/>
    </row>
    <row r="35" spans="1:6" s="112" customFormat="1" ht="39" customHeight="1" x14ac:dyDescent="0.35">
      <c r="A35"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5" s="103" t="s">
        <v>123</v>
      </c>
      <c r="C35" s="107">
        <v>30</v>
      </c>
      <c r="D35" s="117" t="s">
        <v>127</v>
      </c>
      <c r="E35" s="158" t="s">
        <v>20</v>
      </c>
      <c r="F35" s="170"/>
    </row>
    <row r="36" spans="1:6" s="112" customFormat="1" ht="39" customHeight="1" x14ac:dyDescent="0.35">
      <c r="A36"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6" s="104" t="s">
        <v>123</v>
      </c>
      <c r="C36" s="108">
        <v>64</v>
      </c>
      <c r="D36" s="118" t="s">
        <v>124</v>
      </c>
      <c r="E36" s="159" t="s">
        <v>128</v>
      </c>
      <c r="F36" s="172"/>
    </row>
    <row r="37" spans="1:6" s="112" customFormat="1" ht="39" customHeight="1" thickBot="1" x14ac:dyDescent="0.4">
      <c r="A37"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7" s="174" t="s">
        <v>123</v>
      </c>
      <c r="C37" s="175">
        <v>10</v>
      </c>
      <c r="D37" s="176" t="s">
        <v>129</v>
      </c>
      <c r="E37" s="177" t="s">
        <v>130</v>
      </c>
      <c r="F37" s="178"/>
    </row>
    <row r="38" spans="1:6" s="112" customFormat="1" ht="39" customHeight="1" x14ac:dyDescent="0.35">
      <c r="A38"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BPA-1mg/L + Testostérone</v>
      </c>
      <c r="B38" s="192" t="str">
        <f>B14</f>
        <v>191-20</v>
      </c>
      <c r="C38" s="192">
        <f t="shared" ref="C38:E38" si="0">C14</f>
        <v>1</v>
      </c>
      <c r="D38" s="192" t="str">
        <f t="shared" si="0"/>
        <v>mg/L</v>
      </c>
      <c r="E38" s="192" t="str">
        <f t="shared" si="0"/>
        <v>BPA</v>
      </c>
      <c r="F38" s="113" t="s">
        <v>50</v>
      </c>
    </row>
    <row r="39" spans="1:6" s="112" customFormat="1" ht="39" customHeight="1" x14ac:dyDescent="0.35">
      <c r="A3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BPA-2mg/L + Testostérone</v>
      </c>
      <c r="B39" s="194" t="str">
        <f t="shared" ref="B39:E39" si="1">B15</f>
        <v>191-21</v>
      </c>
      <c r="C39" s="194">
        <f t="shared" si="1"/>
        <v>2</v>
      </c>
      <c r="D39" s="194" t="str">
        <f t="shared" si="1"/>
        <v>mg/L</v>
      </c>
      <c r="E39" s="194" t="str">
        <f t="shared" si="1"/>
        <v>BPA</v>
      </c>
      <c r="F39" s="114"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BPA-3mg/L + Testostérone</v>
      </c>
      <c r="B40" s="194" t="str">
        <f t="shared" ref="B40:E40" si="2">B16</f>
        <v>191-22</v>
      </c>
      <c r="C40" s="194">
        <f t="shared" si="2"/>
        <v>3</v>
      </c>
      <c r="D40" s="194" t="str">
        <f t="shared" si="2"/>
        <v>mg/L</v>
      </c>
      <c r="E40" s="194" t="str">
        <f t="shared" si="2"/>
        <v>BPA</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BPA-4mg/L + Testostérone</v>
      </c>
      <c r="B41" s="194" t="str">
        <f t="shared" ref="B41:E41" si="3">B17</f>
        <v>191-23</v>
      </c>
      <c r="C41" s="194">
        <f t="shared" si="3"/>
        <v>4</v>
      </c>
      <c r="D41" s="194" t="str">
        <f t="shared" si="3"/>
        <v>mg/L</v>
      </c>
      <c r="E41" s="194" t="str">
        <f t="shared" si="3"/>
        <v>BPA</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BPA-5mg/L + Testostérone</v>
      </c>
      <c r="B42" s="194" t="str">
        <f t="shared" ref="B42:E42" si="4">B18</f>
        <v>191-24</v>
      </c>
      <c r="C42" s="194">
        <f t="shared" si="4"/>
        <v>5</v>
      </c>
      <c r="D42" s="194" t="str">
        <f t="shared" si="4"/>
        <v>mg/L</v>
      </c>
      <c r="E42" s="194" t="str">
        <f t="shared" si="4"/>
        <v>BPA</v>
      </c>
      <c r="F42" s="114" t="s">
        <v>50</v>
      </c>
    </row>
    <row r="43" spans="1:6" s="112" customFormat="1" ht="39" customHeight="1" x14ac:dyDescent="0.35">
      <c r="A43" s="75"/>
      <c r="B43" s="194"/>
      <c r="C43" s="194"/>
      <c r="D43" s="194"/>
      <c r="E43" s="194"/>
      <c r="F43" s="114"/>
    </row>
    <row r="44" spans="1:6" s="112" customFormat="1" ht="39" customHeight="1" x14ac:dyDescent="0.35">
      <c r="A44" s="75"/>
      <c r="B44" s="194"/>
      <c r="C44" s="194"/>
      <c r="D44" s="194"/>
      <c r="E44" s="194"/>
      <c r="F44" s="114"/>
    </row>
    <row r="45" spans="1:6" s="112" customFormat="1" ht="39" customHeight="1" x14ac:dyDescent="0.35">
      <c r="A45" s="75"/>
      <c r="B45" s="194"/>
      <c r="C45" s="194"/>
      <c r="D45" s="194"/>
      <c r="E45" s="194"/>
      <c r="F45" s="114"/>
    </row>
    <row r="46" spans="1:6" s="112" customFormat="1" ht="39" customHeight="1" x14ac:dyDescent="0.35">
      <c r="A46" s="75"/>
      <c r="B46" s="194"/>
      <c r="C46" s="194"/>
      <c r="D46" s="194"/>
      <c r="E46" s="194"/>
      <c r="F46" s="114"/>
    </row>
    <row r="47" spans="1:6" s="112" customFormat="1" ht="39" customHeight="1" x14ac:dyDescent="0.35">
      <c r="A47" s="75"/>
      <c r="B47" s="194"/>
      <c r="C47" s="194"/>
      <c r="D47" s="194"/>
      <c r="E47" s="194"/>
      <c r="F47" s="114"/>
    </row>
    <row r="48" spans="1:6" s="112" customFormat="1" ht="39" customHeight="1" x14ac:dyDescent="0.35">
      <c r="A48" s="75"/>
      <c r="B48" s="194"/>
      <c r="C48" s="194"/>
      <c r="D48" s="194"/>
      <c r="E48" s="194"/>
      <c r="F48" s="114"/>
    </row>
    <row r="49" spans="1:6" s="112" customFormat="1" ht="39" customHeight="1" x14ac:dyDescent="0.35">
      <c r="A49" s="75"/>
      <c r="B49" s="194"/>
      <c r="C49" s="194"/>
      <c r="D49" s="194"/>
      <c r="E49" s="194"/>
      <c r="F49" s="114"/>
    </row>
    <row r="50" spans="1:6" s="112" customFormat="1" ht="39" customHeight="1" x14ac:dyDescent="0.35">
      <c r="A50" s="75"/>
      <c r="B50" s="194"/>
      <c r="C50" s="194"/>
      <c r="D50" s="194"/>
      <c r="E50" s="194"/>
      <c r="F50" s="114"/>
    </row>
    <row r="51" spans="1:6" s="112" customFormat="1" ht="39" customHeight="1" x14ac:dyDescent="0.35">
      <c r="A51" s="75"/>
      <c r="B51" s="194"/>
      <c r="C51" s="194"/>
      <c r="D51" s="194"/>
      <c r="E51" s="194"/>
      <c r="F51" s="114"/>
    </row>
    <row r="52" spans="1:6" s="112" customFormat="1" ht="39" customHeight="1" x14ac:dyDescent="0.35">
      <c r="A52" s="75"/>
      <c r="B52" s="194"/>
      <c r="C52" s="194"/>
      <c r="D52" s="194"/>
      <c r="E52" s="194"/>
      <c r="F52" s="114"/>
    </row>
    <row r="53" spans="1:6" s="112" customFormat="1" ht="39" customHeight="1" x14ac:dyDescent="0.35">
      <c r="A53" s="75"/>
      <c r="B53" s="194"/>
      <c r="C53" s="194"/>
      <c r="D53" s="194"/>
      <c r="E53" s="194"/>
      <c r="F53" s="114"/>
    </row>
    <row r="54" spans="1:6" s="112" customFormat="1" ht="39" customHeight="1" x14ac:dyDescent="0.35">
      <c r="A54" s="75"/>
      <c r="B54" s="194"/>
      <c r="C54" s="194"/>
      <c r="D54" s="194"/>
      <c r="E54" s="194"/>
      <c r="F54" s="114"/>
    </row>
    <row r="55" spans="1:6" s="112" customFormat="1" ht="39" customHeight="1" x14ac:dyDescent="0.35">
      <c r="A55" s="75"/>
      <c r="B55" s="194"/>
      <c r="C55" s="194"/>
      <c r="D55" s="194"/>
      <c r="E55" s="194"/>
      <c r="F55" s="114"/>
    </row>
    <row r="56" spans="1:6" s="112" customFormat="1" ht="39" customHeight="1" x14ac:dyDescent="0.35">
      <c r="A56" s="75"/>
      <c r="B56" s="194"/>
      <c r="C56" s="194"/>
      <c r="D56" s="194"/>
      <c r="E56" s="194"/>
      <c r="F56" s="114"/>
    </row>
    <row r="57" spans="1:6" s="112" customFormat="1" ht="39" customHeight="1" x14ac:dyDescent="0.35">
      <c r="A57" s="105"/>
      <c r="B57" s="193"/>
      <c r="C57" s="193"/>
      <c r="D57" s="193"/>
      <c r="E57" s="193"/>
      <c r="F57" s="114"/>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H1" zoomScale="70" zoomScaleNormal="70" workbookViewId="0">
      <selection activeCell="Z5" sqref="Z5:AF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42"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175</v>
      </c>
      <c r="D2" s="1" t="s">
        <v>176</v>
      </c>
      <c r="E2" s="1" t="s">
        <v>177</v>
      </c>
      <c r="F2" s="1" t="s">
        <v>112</v>
      </c>
      <c r="G2" s="1">
        <v>18364</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178</v>
      </c>
      <c r="D3" s="1" t="s">
        <v>179</v>
      </c>
      <c r="E3" s="1" t="s">
        <v>180</v>
      </c>
      <c r="F3" s="1" t="s">
        <v>112</v>
      </c>
      <c r="G3" s="1">
        <v>38674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181</v>
      </c>
      <c r="D4" s="1" t="s">
        <v>182</v>
      </c>
      <c r="E4" s="1" t="s">
        <v>183</v>
      </c>
      <c r="F4" s="1" t="s">
        <v>112</v>
      </c>
      <c r="G4" s="1">
        <v>44687</v>
      </c>
      <c r="K4" s="119" t="s">
        <v>100</v>
      </c>
      <c r="L4" s="1" t="s">
        <v>1600</v>
      </c>
      <c r="M4" s="1" t="s">
        <v>1601</v>
      </c>
      <c r="N4" s="1" t="s">
        <v>1602</v>
      </c>
      <c r="O4" s="1" t="s">
        <v>1603</v>
      </c>
      <c r="P4" s="1" t="s">
        <v>1604</v>
      </c>
      <c r="Q4" s="1" t="s">
        <v>1605</v>
      </c>
      <c r="R4" s="1" t="s">
        <v>1606</v>
      </c>
      <c r="S4" s="1" t="s">
        <v>1607</v>
      </c>
      <c r="T4" s="1" t="s">
        <v>1608</v>
      </c>
      <c r="U4" s="1" t="s">
        <v>1609</v>
      </c>
      <c r="V4" s="1" t="s">
        <v>1610</v>
      </c>
      <c r="W4" s="1" t="s">
        <v>1611</v>
      </c>
      <c r="X4" s="1" t="s">
        <v>1612</v>
      </c>
      <c r="Y4" s="1" t="s">
        <v>1613</v>
      </c>
      <c r="Z4" s="1" t="s">
        <v>1614</v>
      </c>
      <c r="AA4" s="1" t="s">
        <v>1615</v>
      </c>
      <c r="AB4" s="1" t="s">
        <v>1616</v>
      </c>
      <c r="AC4" s="1" t="s">
        <v>1617</v>
      </c>
      <c r="AD4" s="1" t="s">
        <v>1618</v>
      </c>
      <c r="AE4" s="1" t="s">
        <v>1619</v>
      </c>
      <c r="AF4" s="1" t="s">
        <v>1620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184</v>
      </c>
      <c r="D5" s="1" t="s">
        <v>185</v>
      </c>
      <c r="E5" s="1" t="s">
        <v>186</v>
      </c>
      <c r="F5" s="1" t="s">
        <v>112</v>
      </c>
      <c r="G5" s="1">
        <v>201482</v>
      </c>
      <c r="K5" s="146" t="s">
        <v>164</v>
      </c>
      <c r="L5" s="44">
        <v>33908.333333333336</v>
      </c>
      <c r="M5" s="44">
        <v>306301.33333333331</v>
      </c>
      <c r="N5" s="44">
        <v>650937.66666666663</v>
      </c>
      <c r="O5" s="44">
        <v>1289293.5</v>
      </c>
      <c r="P5" s="44">
        <v>227092</v>
      </c>
      <c r="Q5" s="44">
        <v>2800833.3333333335</v>
      </c>
      <c r="R5" s="44">
        <v>5887217.666666667</v>
      </c>
      <c r="S5" s="44">
        <v>49886</v>
      </c>
      <c r="T5" s="44">
        <v>57953.666666666664</v>
      </c>
      <c r="U5" s="44">
        <v>672863</v>
      </c>
      <c r="V5" s="44">
        <v>1769044</v>
      </c>
      <c r="W5" s="44">
        <v>3751049</v>
      </c>
      <c r="X5" s="44">
        <v>1006237.3333333334</v>
      </c>
      <c r="Y5" s="44">
        <v>36389</v>
      </c>
      <c r="Z5" s="44">
        <v>2902544.3333333335</v>
      </c>
      <c r="AA5" s="44">
        <v>44893</v>
      </c>
      <c r="AB5" s="44">
        <v>2228816.6666666665</v>
      </c>
      <c r="AC5" s="44">
        <v>972703.66666666663</v>
      </c>
      <c r="AD5" s="44">
        <v>1052135.6666666667</v>
      </c>
      <c r="AE5" s="44">
        <v>2676187.6666666665</v>
      </c>
      <c r="AF5" s="44">
        <v>3601896.6666666665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187</v>
      </c>
      <c r="D6" s="1" t="s">
        <v>188</v>
      </c>
      <c r="E6" s="1" t="s">
        <v>189</v>
      </c>
      <c r="F6" s="1" t="s">
        <v>112</v>
      </c>
      <c r="G6" s="1">
        <v>134776</v>
      </c>
      <c r="K6" s="146" t="s">
        <v>1621</v>
      </c>
      <c r="L6" s="44">
        <v>116311</v>
      </c>
      <c r="M6" s="44">
        <v>129758</v>
      </c>
      <c r="N6" s="44">
        <v>37189</v>
      </c>
      <c r="O6" s="44">
        <v>665241.66666666663</v>
      </c>
      <c r="P6" s="44">
        <v>1030268</v>
      </c>
      <c r="Q6" s="44">
        <v>1014399</v>
      </c>
      <c r="R6" s="44">
        <v>859586.33333333337</v>
      </c>
      <c r="S6" s="44">
        <v>30073</v>
      </c>
      <c r="T6" s="44">
        <v>521864.33333333331</v>
      </c>
      <c r="U6" s="44">
        <v>9647</v>
      </c>
      <c r="V6" s="44">
        <v>3387976.6666666665</v>
      </c>
      <c r="W6" s="44">
        <v>64890</v>
      </c>
      <c r="X6" s="44">
        <v>2896653.6666666665</v>
      </c>
      <c r="Y6" s="44">
        <v>1635198</v>
      </c>
      <c r="Z6" s="44">
        <v>3974039</v>
      </c>
      <c r="AA6" s="44">
        <v>236047</v>
      </c>
      <c r="AB6" s="44">
        <v>3006490</v>
      </c>
      <c r="AC6" s="44">
        <v>1772887.3333333333</v>
      </c>
      <c r="AD6" s="44">
        <v>1268852.6666666667</v>
      </c>
      <c r="AE6" s="44">
        <v>4427927.666666667</v>
      </c>
      <c r="AF6" s="44">
        <v>5614767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190</v>
      </c>
      <c r="D7" s="1" t="s">
        <v>191</v>
      </c>
      <c r="E7" s="1" t="s">
        <v>192</v>
      </c>
      <c r="F7" s="1" t="s">
        <v>112</v>
      </c>
      <c r="G7" s="1">
        <v>12675</v>
      </c>
      <c r="K7" s="146" t="s">
        <v>1622</v>
      </c>
      <c r="L7" s="44">
        <v>281585</v>
      </c>
      <c r="M7" s="44">
        <v>167595.66666666666</v>
      </c>
      <c r="N7" s="44">
        <v>514113.33333333331</v>
      </c>
      <c r="O7" s="44">
        <v>368076</v>
      </c>
      <c r="P7" s="44">
        <v>1977794</v>
      </c>
      <c r="Q7" s="44">
        <v>2341047</v>
      </c>
      <c r="R7" s="44">
        <v>4107575</v>
      </c>
      <c r="S7" s="44">
        <v>32228.666666666668</v>
      </c>
      <c r="T7" s="44">
        <v>204006</v>
      </c>
      <c r="U7" s="44">
        <v>76772</v>
      </c>
      <c r="V7" s="44">
        <v>418084.33333333331</v>
      </c>
      <c r="W7" s="44">
        <v>177617.33333333334</v>
      </c>
      <c r="X7" s="44">
        <v>262248</v>
      </c>
      <c r="Y7" s="44">
        <v>1092100.6666666667</v>
      </c>
      <c r="Z7" s="44">
        <v>3522947.6666666665</v>
      </c>
      <c r="AA7" s="44">
        <v>204799</v>
      </c>
      <c r="AB7" s="44">
        <v>2683502</v>
      </c>
      <c r="AC7" s="44">
        <v>4636555.333333333</v>
      </c>
      <c r="AD7" s="44">
        <v>4670918</v>
      </c>
      <c r="AE7" s="44">
        <v>3457632.3333333335</v>
      </c>
      <c r="AF7" s="44">
        <v>2309287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193</v>
      </c>
      <c r="D8" s="1" t="s">
        <v>194</v>
      </c>
      <c r="E8" s="1" t="s">
        <v>195</v>
      </c>
      <c r="F8" s="1" t="s">
        <v>112</v>
      </c>
      <c r="G8" s="1">
        <v>100492</v>
      </c>
      <c r="K8" s="146" t="s">
        <v>1623</v>
      </c>
      <c r="L8" s="44">
        <v>77878.5</v>
      </c>
      <c r="M8" s="44">
        <v>145706.33333333334</v>
      </c>
      <c r="N8" s="44">
        <v>134992</v>
      </c>
      <c r="O8" s="44">
        <v>168453.66666666666</v>
      </c>
      <c r="P8" s="44">
        <v>2955537.6666666665</v>
      </c>
      <c r="Q8" s="44">
        <v>3699469</v>
      </c>
      <c r="R8" s="44">
        <v>4805989.5</v>
      </c>
      <c r="S8" s="44">
        <v>32502.666666666668</v>
      </c>
      <c r="T8" s="44">
        <v>78300</v>
      </c>
      <c r="U8" s="44">
        <v>3033282.6666666665</v>
      </c>
      <c r="V8" s="44">
        <v>16395</v>
      </c>
      <c r="W8" s="44">
        <v>16907.333333333332</v>
      </c>
      <c r="X8" s="44">
        <v>3376491.3333333335</v>
      </c>
      <c r="Y8" s="44">
        <v>1238455.3333333333</v>
      </c>
      <c r="Z8" s="44">
        <v>4126897.3333333335</v>
      </c>
      <c r="AA8" s="44">
        <v>85791.333333333328</v>
      </c>
      <c r="AB8" s="44"/>
      <c r="AC8" s="44">
        <v>3942589</v>
      </c>
      <c r="AD8" s="44">
        <v>4228774</v>
      </c>
      <c r="AE8" s="44">
        <v>2562655.5</v>
      </c>
      <c r="AF8" s="44">
        <v>5963946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196</v>
      </c>
      <c r="D9" s="1" t="s">
        <v>197</v>
      </c>
      <c r="E9" s="1" t="s">
        <v>198</v>
      </c>
      <c r="F9" s="1" t="s">
        <v>112</v>
      </c>
      <c r="G9" s="1">
        <v>195361</v>
      </c>
      <c r="K9" s="146" t="s">
        <v>1624</v>
      </c>
      <c r="L9" s="44">
        <v>53771.5</v>
      </c>
      <c r="M9" s="44">
        <v>500422.33333333331</v>
      </c>
      <c r="N9" s="44">
        <v>75942.333333333328</v>
      </c>
      <c r="O9" s="44">
        <v>164632.33333333334</v>
      </c>
      <c r="P9" s="44">
        <v>1981089.3333333333</v>
      </c>
      <c r="Q9" s="44">
        <v>3451309.3333333335</v>
      </c>
      <c r="R9" s="44">
        <v>5404546.666666667</v>
      </c>
      <c r="S9" s="44">
        <v>162642.33333333334</v>
      </c>
      <c r="T9" s="44">
        <v>36843</v>
      </c>
      <c r="U9" s="44">
        <v>63916</v>
      </c>
      <c r="V9" s="44">
        <v>326827.66666666669</v>
      </c>
      <c r="W9" s="44">
        <v>2500177.6666666665</v>
      </c>
      <c r="X9" s="44">
        <v>3890821.6666666665</v>
      </c>
      <c r="Y9" s="44">
        <v>1278709</v>
      </c>
      <c r="Z9" s="44">
        <v>677621.5</v>
      </c>
      <c r="AA9" s="44">
        <v>98884.666666666672</v>
      </c>
      <c r="AB9" s="44">
        <v>377766</v>
      </c>
      <c r="AC9" s="44">
        <v>171871.5</v>
      </c>
      <c r="AD9" s="44">
        <v>3391603.3333333335</v>
      </c>
      <c r="AE9" s="44">
        <v>3361134.3333333335</v>
      </c>
      <c r="AF9" s="44">
        <v>3076895.6666666665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199</v>
      </c>
      <c r="D10" s="1" t="s">
        <v>200</v>
      </c>
      <c r="E10" s="1" t="s">
        <v>201</v>
      </c>
      <c r="F10" s="1" t="s">
        <v>112</v>
      </c>
      <c r="G10" s="1">
        <v>548902</v>
      </c>
      <c r="K10" s="146" t="s">
        <v>1625</v>
      </c>
      <c r="L10" s="44">
        <v>18537</v>
      </c>
      <c r="M10" s="44">
        <v>55762</v>
      </c>
      <c r="N10" s="44">
        <v>121134.33333333333</v>
      </c>
      <c r="O10" s="44">
        <v>211273.66666666666</v>
      </c>
      <c r="P10" s="44">
        <v>1157069.6666666667</v>
      </c>
      <c r="Q10" s="44">
        <v>3458115.3333333335</v>
      </c>
      <c r="R10" s="44">
        <v>1861267</v>
      </c>
      <c r="S10" s="44">
        <v>118762.66666666667</v>
      </c>
      <c r="T10" s="44">
        <v>73556</v>
      </c>
      <c r="U10" s="44">
        <v>1064832.3333333333</v>
      </c>
      <c r="V10" s="44">
        <v>19705</v>
      </c>
      <c r="W10" s="44">
        <v>3792809</v>
      </c>
      <c r="X10" s="44">
        <v>1958911</v>
      </c>
      <c r="Y10" s="44">
        <v>1800624</v>
      </c>
      <c r="Z10" s="44">
        <v>2194490</v>
      </c>
      <c r="AA10" s="44">
        <v>47463</v>
      </c>
      <c r="AB10" s="44">
        <v>4065620</v>
      </c>
      <c r="AC10" s="44">
        <v>4355467.666666667</v>
      </c>
      <c r="AD10" s="44">
        <v>1213314.6666666667</v>
      </c>
      <c r="AE10" s="44">
        <v>4896972.333333333</v>
      </c>
      <c r="AF10" s="44">
        <v>2581564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202</v>
      </c>
      <c r="D11" s="1" t="s">
        <v>203</v>
      </c>
      <c r="E11" s="1" t="s">
        <v>204</v>
      </c>
      <c r="F11" s="1" t="s">
        <v>112</v>
      </c>
      <c r="G11" s="1">
        <v>98589</v>
      </c>
      <c r="K11" s="146" t="s">
        <v>1626</v>
      </c>
      <c r="L11" s="44">
        <v>20894.333333333332</v>
      </c>
      <c r="M11" s="44">
        <v>238837.33333333334</v>
      </c>
      <c r="N11" s="44">
        <v>21176</v>
      </c>
      <c r="O11" s="44">
        <v>350281.66666666669</v>
      </c>
      <c r="P11" s="44">
        <v>1591549</v>
      </c>
      <c r="Q11" s="44">
        <v>4002431.6666666665</v>
      </c>
      <c r="R11" s="44">
        <v>5830294.666666667</v>
      </c>
      <c r="S11" s="44">
        <v>410174.66666666669</v>
      </c>
      <c r="T11" s="44">
        <v>292335.33333333331</v>
      </c>
      <c r="U11" s="44">
        <v>55719</v>
      </c>
      <c r="V11" s="44">
        <v>4782845.333333333</v>
      </c>
      <c r="W11" s="44">
        <v>2894794</v>
      </c>
      <c r="X11" s="44">
        <v>4174252.6666666665</v>
      </c>
      <c r="Y11" s="44">
        <v>4538958</v>
      </c>
      <c r="Z11" s="44">
        <v>1197748.3333333333</v>
      </c>
      <c r="AA11" s="44">
        <v>59828</v>
      </c>
      <c r="AB11" s="44">
        <v>2639662</v>
      </c>
      <c r="AC11" s="44">
        <v>4023715.6666666665</v>
      </c>
      <c r="AD11" s="44">
        <v>6724489</v>
      </c>
      <c r="AE11" s="44">
        <v>5299616</v>
      </c>
      <c r="AF11" s="44">
        <v>6259424.666666667</v>
      </c>
      <c r="AG11"/>
    </row>
    <row r="12" spans="1:144" x14ac:dyDescent="0.3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205</v>
      </c>
      <c r="D12" s="1" t="s">
        <v>206</v>
      </c>
      <c r="E12" s="1" t="s">
        <v>207</v>
      </c>
      <c r="F12" s="1" t="s">
        <v>112</v>
      </c>
      <c r="G12" s="1">
        <v>57168</v>
      </c>
      <c r="K12" s="146" t="s">
        <v>1627</v>
      </c>
      <c r="L12" s="44">
        <v>26330.666666666668</v>
      </c>
      <c r="M12" s="44">
        <v>31969</v>
      </c>
      <c r="N12" s="44">
        <v>26302</v>
      </c>
      <c r="O12" s="44">
        <v>518778.66666666669</v>
      </c>
      <c r="P12" s="44"/>
      <c r="Q12" s="44"/>
      <c r="R12" s="44">
        <v>5679296.666666667</v>
      </c>
      <c r="S12" s="44">
        <v>153089.33333333334</v>
      </c>
      <c r="T12" s="44">
        <v>57088.666666666664</v>
      </c>
      <c r="U12" s="44">
        <v>56187.333333333336</v>
      </c>
      <c r="V12" s="44">
        <v>2260071.6666666665</v>
      </c>
      <c r="W12" s="44">
        <v>3782737</v>
      </c>
      <c r="X12" s="44">
        <v>3655964.3333333335</v>
      </c>
      <c r="Y12" s="44">
        <v>442245</v>
      </c>
      <c r="Z12" s="44">
        <v>4411272.666666667</v>
      </c>
      <c r="AA12" s="44">
        <v>348558.66666666669</v>
      </c>
      <c r="AB12" s="44">
        <v>4880324.333333333</v>
      </c>
      <c r="AC12" s="44">
        <v>300050</v>
      </c>
      <c r="AD12" s="44">
        <v>1400312.3333333333</v>
      </c>
      <c r="AE12" s="44">
        <v>4423573</v>
      </c>
      <c r="AF12" s="44">
        <v>904357</v>
      </c>
      <c r="AG12"/>
    </row>
    <row r="13" spans="1:144" x14ac:dyDescent="0.3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208</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209</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210</v>
      </c>
      <c r="D15" s="1" t="s">
        <v>211</v>
      </c>
      <c r="E15" s="1" t="s">
        <v>212</v>
      </c>
      <c r="F15" s="1" t="s">
        <v>112</v>
      </c>
      <c r="G15" s="1">
        <v>40123</v>
      </c>
    </row>
    <row r="16" spans="1:144" x14ac:dyDescent="0.3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213</v>
      </c>
      <c r="D16" s="1" t="s">
        <v>214</v>
      </c>
      <c r="E16" s="1" t="s">
        <v>215</v>
      </c>
      <c r="F16" s="1" t="s">
        <v>112</v>
      </c>
      <c r="G16" s="1">
        <v>67420</v>
      </c>
      <c r="M16"/>
      <c r="N16"/>
      <c r="O16"/>
      <c r="P16"/>
      <c r="Q16"/>
      <c r="R16"/>
      <c r="S16"/>
      <c r="T16"/>
      <c r="U16"/>
      <c r="V16"/>
      <c r="W16"/>
      <c r="X16"/>
      <c r="Y16"/>
      <c r="Z16"/>
      <c r="AA16"/>
      <c r="AB16"/>
      <c r="AC16"/>
      <c r="AD16"/>
      <c r="AE16"/>
      <c r="AF16"/>
      <c r="AG16"/>
      <c r="AH16"/>
    </row>
    <row r="17" spans="1:34" x14ac:dyDescent="0.3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216</v>
      </c>
      <c r="D17" s="1" t="s">
        <v>217</v>
      </c>
      <c r="E17" s="1" t="s">
        <v>218</v>
      </c>
      <c r="F17" s="1" t="s">
        <v>112</v>
      </c>
      <c r="G17" s="1">
        <v>26562</v>
      </c>
      <c r="M17"/>
      <c r="N17"/>
      <c r="O17"/>
      <c r="P17"/>
      <c r="Q17"/>
      <c r="R17"/>
      <c r="S17"/>
      <c r="T17"/>
      <c r="U17"/>
      <c r="V17"/>
      <c r="W17"/>
      <c r="X17"/>
      <c r="Y17"/>
      <c r="Z17"/>
      <c r="AA17"/>
      <c r="AB17"/>
      <c r="AC17"/>
      <c r="AD17"/>
      <c r="AE17"/>
      <c r="AF17"/>
      <c r="AG17"/>
      <c r="AH17"/>
    </row>
    <row r="18" spans="1:34" x14ac:dyDescent="0.3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219</v>
      </c>
      <c r="D18" s="1" t="s">
        <v>220</v>
      </c>
      <c r="E18" s="1">
        <v>64</v>
      </c>
      <c r="F18" s="1" t="s">
        <v>112</v>
      </c>
      <c r="G18" s="1">
        <v>15227</v>
      </c>
      <c r="M18"/>
      <c r="N18"/>
      <c r="O18"/>
      <c r="P18"/>
      <c r="Q18"/>
      <c r="R18"/>
      <c r="S18"/>
      <c r="T18"/>
      <c r="U18"/>
      <c r="V18"/>
      <c r="W18"/>
      <c r="X18"/>
      <c r="Y18"/>
      <c r="Z18"/>
      <c r="AA18"/>
      <c r="AB18"/>
      <c r="AC18"/>
      <c r="AD18"/>
      <c r="AE18"/>
      <c r="AF18"/>
      <c r="AG18"/>
      <c r="AH18"/>
    </row>
    <row r="19" spans="1:34" x14ac:dyDescent="0.3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221</v>
      </c>
      <c r="D19" s="1" t="s">
        <v>222</v>
      </c>
      <c r="E19" s="1" t="s">
        <v>223</v>
      </c>
      <c r="F19" s="1" t="s">
        <v>112</v>
      </c>
      <c r="G19" s="1">
        <v>13822</v>
      </c>
      <c r="K19"/>
      <c r="L19"/>
      <c r="M19"/>
      <c r="N19"/>
      <c r="O19"/>
      <c r="P19"/>
      <c r="Q19"/>
      <c r="R19"/>
      <c r="S19"/>
      <c r="T19"/>
      <c r="U19"/>
      <c r="V19"/>
      <c r="W19"/>
      <c r="X19"/>
      <c r="Y19"/>
      <c r="Z19"/>
      <c r="AA19"/>
      <c r="AB19"/>
      <c r="AC19"/>
      <c r="AD19"/>
      <c r="AE19"/>
      <c r="AF19"/>
      <c r="AG19"/>
      <c r="AH19"/>
    </row>
    <row r="20" spans="1:34" x14ac:dyDescent="0.3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224</v>
      </c>
      <c r="D20" s="1" t="s">
        <v>191</v>
      </c>
      <c r="E20" s="1" t="s">
        <v>225</v>
      </c>
      <c r="F20" s="1" t="s">
        <v>112</v>
      </c>
      <c r="G20" s="1">
        <v>12740</v>
      </c>
      <c r="K20"/>
      <c r="L20"/>
      <c r="M20"/>
      <c r="N20"/>
      <c r="O20"/>
      <c r="P20"/>
      <c r="Q20"/>
      <c r="R20"/>
      <c r="S20"/>
      <c r="T20"/>
      <c r="U20"/>
      <c r="V20"/>
      <c r="W20"/>
      <c r="X20"/>
      <c r="Y20"/>
      <c r="Z20"/>
      <c r="AA20"/>
      <c r="AB20"/>
      <c r="AC20"/>
      <c r="AD20"/>
      <c r="AE20"/>
      <c r="AF20"/>
      <c r="AG20"/>
      <c r="AH20"/>
    </row>
    <row r="21" spans="1:34" x14ac:dyDescent="0.3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226</v>
      </c>
      <c r="D21" s="1" t="s">
        <v>227</v>
      </c>
      <c r="E21" s="1" t="s">
        <v>228</v>
      </c>
      <c r="F21" s="1" t="s">
        <v>112</v>
      </c>
      <c r="G21" s="1">
        <v>28919</v>
      </c>
      <c r="K21"/>
      <c r="L21"/>
      <c r="M21"/>
      <c r="N21"/>
      <c r="O21"/>
      <c r="P21"/>
      <c r="Q21"/>
      <c r="R21"/>
      <c r="S21"/>
      <c r="T21"/>
      <c r="U21"/>
      <c r="V21"/>
      <c r="W21"/>
      <c r="X21"/>
      <c r="Y21"/>
      <c r="Z21"/>
      <c r="AA21"/>
      <c r="AB21"/>
      <c r="AC21"/>
      <c r="AD21"/>
      <c r="AE21"/>
      <c r="AF21"/>
      <c r="AG21"/>
      <c r="AH21"/>
    </row>
    <row r="22" spans="1:34" x14ac:dyDescent="0.3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229</v>
      </c>
      <c r="D22" s="1" t="s">
        <v>230</v>
      </c>
      <c r="E22" s="1" t="s">
        <v>231</v>
      </c>
      <c r="F22" s="1" t="s">
        <v>112</v>
      </c>
      <c r="G22" s="1">
        <v>21024</v>
      </c>
      <c r="K22"/>
      <c r="L22"/>
      <c r="M22"/>
      <c r="N22"/>
      <c r="O22"/>
      <c r="P22"/>
      <c r="Q22"/>
      <c r="R22"/>
      <c r="S22"/>
      <c r="T22"/>
      <c r="U22"/>
      <c r="V22"/>
      <c r="W22"/>
      <c r="X22"/>
      <c r="Y22"/>
      <c r="Z22"/>
      <c r="AA22"/>
      <c r="AB22"/>
      <c r="AC22"/>
      <c r="AD22"/>
      <c r="AE22"/>
      <c r="AF22"/>
      <c r="AG22"/>
      <c r="AH22"/>
    </row>
    <row r="23" spans="1:34" x14ac:dyDescent="0.3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232</v>
      </c>
      <c r="D23" s="1" t="s">
        <v>233</v>
      </c>
      <c r="E23" s="1" t="s">
        <v>234</v>
      </c>
      <c r="F23" s="1" t="s">
        <v>112</v>
      </c>
      <c r="G23" s="1">
        <v>36987</v>
      </c>
      <c r="K23"/>
      <c r="L23"/>
      <c r="M23"/>
      <c r="N23"/>
      <c r="O23"/>
      <c r="P23"/>
      <c r="Q23"/>
      <c r="R23"/>
      <c r="S23"/>
      <c r="T23"/>
      <c r="U23"/>
      <c r="V23"/>
      <c r="W23"/>
      <c r="X23"/>
      <c r="Y23"/>
      <c r="Z23"/>
      <c r="AA23"/>
      <c r="AB23"/>
      <c r="AC23"/>
      <c r="AD23"/>
      <c r="AE23"/>
      <c r="AF23"/>
      <c r="AG23"/>
      <c r="AH23"/>
    </row>
    <row r="24" spans="1:34" x14ac:dyDescent="0.3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235</v>
      </c>
      <c r="D24" s="1" t="s">
        <v>236</v>
      </c>
      <c r="E24" s="1" t="s">
        <v>237</v>
      </c>
      <c r="F24" s="1" t="s">
        <v>112</v>
      </c>
      <c r="G24" s="1">
        <v>21846</v>
      </c>
      <c r="K24"/>
      <c r="L24"/>
      <c r="M24"/>
      <c r="N24"/>
      <c r="O24"/>
      <c r="P24"/>
      <c r="Q24"/>
      <c r="R24"/>
      <c r="S24"/>
      <c r="T24"/>
      <c r="U24"/>
      <c r="V24"/>
      <c r="W24"/>
      <c r="X24"/>
      <c r="Y24"/>
      <c r="Z24"/>
      <c r="AA24"/>
      <c r="AB24"/>
      <c r="AC24"/>
      <c r="AD24"/>
      <c r="AE24"/>
      <c r="AF24"/>
      <c r="AG24"/>
      <c r="AH24"/>
    </row>
    <row r="25" spans="1:34" x14ac:dyDescent="0.3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238</v>
      </c>
      <c r="D25" s="1" t="s">
        <v>239</v>
      </c>
      <c r="E25" s="1" t="s">
        <v>240</v>
      </c>
      <c r="F25" s="1" t="s">
        <v>112</v>
      </c>
      <c r="G25" s="1">
        <v>20159</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241</v>
      </c>
      <c r="D27" s="1" t="s">
        <v>112</v>
      </c>
      <c r="E27" s="1" t="s">
        <v>242</v>
      </c>
      <c r="F27" s="1" t="s">
        <v>243</v>
      </c>
      <c r="G27" s="1" t="s">
        <v>244</v>
      </c>
      <c r="H27" s="1" t="s">
        <v>245</v>
      </c>
      <c r="I27" s="1" t="s">
        <v>246</v>
      </c>
      <c r="K27"/>
      <c r="L27"/>
      <c r="M27"/>
      <c r="N27"/>
      <c r="O27"/>
      <c r="P27"/>
      <c r="Q27"/>
      <c r="R27"/>
      <c r="S27"/>
      <c r="T27"/>
      <c r="U27"/>
      <c r="V27"/>
      <c r="W27"/>
      <c r="X27"/>
      <c r="Y27"/>
      <c r="Z27"/>
      <c r="AA27"/>
      <c r="AB27"/>
      <c r="AC27"/>
      <c r="AD27"/>
      <c r="AE27"/>
      <c r="AF27"/>
      <c r="AG27"/>
      <c r="AH27"/>
    </row>
    <row r="28" spans="1:34" x14ac:dyDescent="0.3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247</v>
      </c>
      <c r="D28" s="1" t="s">
        <v>112</v>
      </c>
      <c r="E28" s="1" t="s">
        <v>248</v>
      </c>
      <c r="F28" s="1" t="s">
        <v>249</v>
      </c>
      <c r="G28" s="1" t="s">
        <v>250</v>
      </c>
      <c r="H28" s="1" t="s">
        <v>251</v>
      </c>
      <c r="I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252</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5">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253</v>
      </c>
      <c r="D35" s="1" t="s">
        <v>254</v>
      </c>
      <c r="E35" s="1" t="s">
        <v>255</v>
      </c>
      <c r="F35" s="1" t="s">
        <v>112</v>
      </c>
      <c r="G35" s="1">
        <v>425309</v>
      </c>
      <c r="K35"/>
      <c r="L35"/>
      <c r="M35"/>
      <c r="N35"/>
      <c r="O35"/>
      <c r="P35"/>
      <c r="Q35"/>
      <c r="R35"/>
      <c r="S35"/>
      <c r="T35"/>
      <c r="U35"/>
      <c r="V35"/>
      <c r="W35"/>
      <c r="X35"/>
      <c r="Y35"/>
      <c r="Z35"/>
      <c r="AA35"/>
      <c r="AB35"/>
      <c r="AC35"/>
      <c r="AD35"/>
      <c r="AE35"/>
      <c r="AF35"/>
      <c r="AG35"/>
      <c r="AH35"/>
    </row>
    <row r="36" spans="1:34" x14ac:dyDescent="0.35">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256</v>
      </c>
      <c r="D36" s="1" t="s">
        <v>257</v>
      </c>
      <c r="E36" s="1" t="s">
        <v>258</v>
      </c>
      <c r="F36" s="1" t="s">
        <v>112</v>
      </c>
      <c r="G36" s="1">
        <v>149874</v>
      </c>
      <c r="K36"/>
      <c r="L36"/>
      <c r="M36"/>
      <c r="N36"/>
      <c r="O36"/>
      <c r="P36"/>
      <c r="Q36"/>
      <c r="R36"/>
      <c r="S36"/>
      <c r="T36"/>
      <c r="U36"/>
      <c r="V36"/>
      <c r="W36"/>
      <c r="X36"/>
      <c r="Y36"/>
      <c r="Z36"/>
      <c r="AA36"/>
      <c r="AB36"/>
      <c r="AC36"/>
      <c r="AD36"/>
      <c r="AE36"/>
      <c r="AF36"/>
      <c r="AG36"/>
      <c r="AH36"/>
    </row>
    <row r="37" spans="1:34" x14ac:dyDescent="0.35">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259</v>
      </c>
      <c r="D37" s="1" t="s">
        <v>260</v>
      </c>
      <c r="E37" s="1" t="s">
        <v>261</v>
      </c>
      <c r="F37" s="1" t="s">
        <v>112</v>
      </c>
      <c r="G37" s="1">
        <v>343721</v>
      </c>
      <c r="K37"/>
      <c r="L37"/>
      <c r="M37"/>
      <c r="N37"/>
      <c r="O37"/>
      <c r="P37"/>
      <c r="Q37"/>
      <c r="R37"/>
      <c r="S37"/>
      <c r="T37"/>
      <c r="U37"/>
      <c r="V37"/>
      <c r="W37"/>
      <c r="X37"/>
      <c r="Y37"/>
      <c r="Z37"/>
      <c r="AA37"/>
      <c r="AB37"/>
      <c r="AC37"/>
      <c r="AD37"/>
      <c r="AE37"/>
      <c r="AF37"/>
      <c r="AG37"/>
      <c r="AH37"/>
    </row>
    <row r="38" spans="1:34" x14ac:dyDescent="0.35">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262</v>
      </c>
      <c r="K38"/>
      <c r="L38"/>
      <c r="M38"/>
      <c r="N38"/>
      <c r="O38"/>
      <c r="P38"/>
      <c r="Q38"/>
      <c r="R38"/>
      <c r="S38"/>
      <c r="T38"/>
      <c r="U38"/>
      <c r="V38"/>
      <c r="W38"/>
      <c r="X38"/>
      <c r="Y38"/>
      <c r="Z38"/>
      <c r="AA38"/>
      <c r="AB38"/>
      <c r="AC38"/>
      <c r="AD38"/>
      <c r="AE38"/>
      <c r="AF38"/>
      <c r="AG38"/>
      <c r="AH38"/>
    </row>
    <row r="39" spans="1:34" x14ac:dyDescent="0.35">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263</v>
      </c>
      <c r="D39" s="1" t="s">
        <v>264</v>
      </c>
      <c r="E39" s="1" t="s">
        <v>265</v>
      </c>
      <c r="F39" s="1" t="s">
        <v>112</v>
      </c>
      <c r="G39" s="1">
        <v>129758</v>
      </c>
    </row>
    <row r="40" spans="1:34" x14ac:dyDescent="0.35">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266</v>
      </c>
    </row>
    <row r="41" spans="1:34" x14ac:dyDescent="0.35">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267</v>
      </c>
      <c r="D41" s="1" t="s">
        <v>206</v>
      </c>
      <c r="E41" s="1" t="s">
        <v>268</v>
      </c>
      <c r="F41" s="1" t="s">
        <v>112</v>
      </c>
      <c r="G41" s="1">
        <v>55762</v>
      </c>
    </row>
    <row r="42" spans="1:34" x14ac:dyDescent="0.35">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269</v>
      </c>
      <c r="D42" s="1" t="s">
        <v>270</v>
      </c>
      <c r="E42" s="1" t="s">
        <v>271</v>
      </c>
      <c r="F42" s="1" t="s">
        <v>112</v>
      </c>
      <c r="G42" s="1">
        <v>203299</v>
      </c>
    </row>
    <row r="43" spans="1:34" x14ac:dyDescent="0.35">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272</v>
      </c>
      <c r="D43" s="1" t="s">
        <v>151</v>
      </c>
      <c r="E43" s="1" t="s">
        <v>273</v>
      </c>
      <c r="F43" s="1" t="s">
        <v>112</v>
      </c>
      <c r="G43" s="1">
        <v>243726</v>
      </c>
    </row>
    <row r="44" spans="1:34" x14ac:dyDescent="0.35">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274</v>
      </c>
      <c r="D44" s="1" t="s">
        <v>275</v>
      </c>
      <c r="E44" s="1" t="s">
        <v>276</v>
      </c>
      <c r="F44" s="1" t="s">
        <v>112</v>
      </c>
      <c r="G44" s="1">
        <v>64327</v>
      </c>
    </row>
    <row r="45" spans="1:34" x14ac:dyDescent="0.35">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277</v>
      </c>
      <c r="D45" s="1" t="s">
        <v>278</v>
      </c>
      <c r="E45" s="1" t="s">
        <v>279</v>
      </c>
      <c r="F45" s="1" t="s">
        <v>112</v>
      </c>
      <c r="G45" s="1">
        <v>265464</v>
      </c>
    </row>
    <row r="46" spans="1:34" x14ac:dyDescent="0.35">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280</v>
      </c>
      <c r="D46" s="1" t="s">
        <v>281</v>
      </c>
      <c r="E46" s="1" t="s">
        <v>282</v>
      </c>
      <c r="F46" s="1" t="s">
        <v>112</v>
      </c>
      <c r="G46" s="1">
        <v>107328</v>
      </c>
    </row>
    <row r="47" spans="1:34" x14ac:dyDescent="0.35">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283</v>
      </c>
      <c r="D47" s="1" t="s">
        <v>284</v>
      </c>
      <c r="E47" s="1" t="s">
        <v>285</v>
      </c>
      <c r="F47" s="1" t="s">
        <v>112</v>
      </c>
      <c r="G47" s="1">
        <v>598348</v>
      </c>
    </row>
    <row r="48" spans="1:34" x14ac:dyDescent="0.35">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286</v>
      </c>
      <c r="D48" s="1" t="s">
        <v>287</v>
      </c>
      <c r="E48" s="1" t="s">
        <v>288</v>
      </c>
      <c r="F48" s="1" t="s">
        <v>112</v>
      </c>
      <c r="G48" s="1">
        <v>315905</v>
      </c>
    </row>
    <row r="49" spans="1:9" x14ac:dyDescent="0.35">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289</v>
      </c>
      <c r="D49" s="1" t="s">
        <v>290</v>
      </c>
      <c r="E49" s="1" t="s">
        <v>291</v>
      </c>
      <c r="F49" s="1" t="s">
        <v>112</v>
      </c>
      <c r="G49" s="1">
        <v>587014</v>
      </c>
    </row>
    <row r="50" spans="1:9" x14ac:dyDescent="0.35">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292</v>
      </c>
      <c r="D50" s="1" t="s">
        <v>293</v>
      </c>
      <c r="E50" s="1" t="s">
        <v>294</v>
      </c>
      <c r="F50" s="1" t="s">
        <v>112</v>
      </c>
      <c r="G50" s="1">
        <v>71660</v>
      </c>
    </row>
    <row r="51" spans="1:9" x14ac:dyDescent="0.35">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295</v>
      </c>
    </row>
    <row r="52" spans="1:9" x14ac:dyDescent="0.35">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296</v>
      </c>
      <c r="D52" s="1" t="s">
        <v>211</v>
      </c>
      <c r="E52" s="1" t="s">
        <v>297</v>
      </c>
      <c r="F52" s="1" t="s">
        <v>112</v>
      </c>
      <c r="G52" s="1">
        <v>39864</v>
      </c>
    </row>
    <row r="53" spans="1:9" x14ac:dyDescent="0.35">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298</v>
      </c>
      <c r="D53" s="1" t="s">
        <v>299</v>
      </c>
      <c r="E53" s="1" t="s">
        <v>300</v>
      </c>
      <c r="F53" s="1" t="s">
        <v>112</v>
      </c>
      <c r="G53" s="1">
        <v>286726</v>
      </c>
    </row>
    <row r="54" spans="1:9" x14ac:dyDescent="0.35">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301</v>
      </c>
      <c r="D54" s="1" t="s">
        <v>302</v>
      </c>
      <c r="E54" s="1" t="s">
        <v>303</v>
      </c>
      <c r="F54" s="1" t="s">
        <v>112</v>
      </c>
      <c r="G54" s="1">
        <v>266329</v>
      </c>
    </row>
    <row r="55" spans="1:9" x14ac:dyDescent="0.35">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304</v>
      </c>
      <c r="D55" s="1" t="s">
        <v>305</v>
      </c>
      <c r="E55" s="1" t="s">
        <v>306</v>
      </c>
      <c r="F55" s="1" t="s">
        <v>112</v>
      </c>
      <c r="G55" s="1">
        <v>163457</v>
      </c>
    </row>
    <row r="56" spans="1:9" x14ac:dyDescent="0.35">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307</v>
      </c>
      <c r="D56" s="1" t="s">
        <v>182</v>
      </c>
      <c r="E56" s="1" t="s">
        <v>308</v>
      </c>
      <c r="F56" s="1" t="s">
        <v>112</v>
      </c>
      <c r="G56" s="1">
        <v>47369</v>
      </c>
    </row>
    <row r="57" spans="1:9" x14ac:dyDescent="0.35">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309</v>
      </c>
      <c r="D57" s="1" t="s">
        <v>230</v>
      </c>
      <c r="E57" s="1" t="s">
        <v>310</v>
      </c>
      <c r="F57" s="1" t="s">
        <v>112</v>
      </c>
      <c r="G57" s="1">
        <v>19229</v>
      </c>
    </row>
    <row r="58" spans="1:9" x14ac:dyDescent="0.35">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311</v>
      </c>
      <c r="D58" s="1" t="s">
        <v>227</v>
      </c>
      <c r="E58" s="1" t="s">
        <v>312</v>
      </c>
      <c r="F58" s="1" t="s">
        <v>112</v>
      </c>
      <c r="G58" s="1">
        <v>29309</v>
      </c>
    </row>
    <row r="59" spans="1:9"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9"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313</v>
      </c>
      <c r="D61" s="1" t="s">
        <v>112</v>
      </c>
      <c r="E61" s="1" t="s">
        <v>314</v>
      </c>
      <c r="F61" s="1" t="s">
        <v>315</v>
      </c>
      <c r="G61" s="1" t="s">
        <v>316</v>
      </c>
      <c r="H61" s="1" t="s">
        <v>317</v>
      </c>
      <c r="I61" s="1">
        <v>24</v>
      </c>
    </row>
    <row r="62" spans="1:9"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9"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9"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252</v>
      </c>
      <c r="D67" s="1" t="s">
        <v>110</v>
      </c>
      <c r="E67" s="1" t="s">
        <v>111</v>
      </c>
      <c r="F67" s="1" t="s">
        <v>112</v>
      </c>
      <c r="G67" s="1" t="s">
        <v>113</v>
      </c>
    </row>
    <row r="68" spans="1:7" x14ac:dyDescent="0.35">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318</v>
      </c>
      <c r="D68" s="1" t="s">
        <v>319</v>
      </c>
      <c r="E68" s="1" t="s">
        <v>320</v>
      </c>
      <c r="F68" s="1" t="s">
        <v>112</v>
      </c>
      <c r="G68" s="1">
        <v>537698</v>
      </c>
    </row>
    <row r="69" spans="1:7" x14ac:dyDescent="0.35">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321</v>
      </c>
      <c r="D69" s="1" t="s">
        <v>322</v>
      </c>
      <c r="E69" s="1" t="s">
        <v>323</v>
      </c>
      <c r="F69" s="1" t="s">
        <v>112</v>
      </c>
      <c r="G69" s="1">
        <v>1014356</v>
      </c>
    </row>
    <row r="70" spans="1:7" x14ac:dyDescent="0.35">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324</v>
      </c>
      <c r="D70" s="1" t="s">
        <v>325</v>
      </c>
      <c r="E70" s="1" t="s">
        <v>326</v>
      </c>
      <c r="F70" s="1" t="s">
        <v>112</v>
      </c>
      <c r="G70" s="1">
        <v>400759</v>
      </c>
    </row>
    <row r="71" spans="1:7" x14ac:dyDescent="0.35">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327</v>
      </c>
      <c r="D71" s="1" t="s">
        <v>328</v>
      </c>
      <c r="E71" s="1" t="s">
        <v>329</v>
      </c>
      <c r="F71" s="1" t="s">
        <v>112</v>
      </c>
      <c r="G71" s="1">
        <v>60845</v>
      </c>
    </row>
    <row r="72" spans="1:7" x14ac:dyDescent="0.35">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330</v>
      </c>
      <c r="D72" s="1" t="s">
        <v>331</v>
      </c>
      <c r="E72" s="1" t="s">
        <v>332</v>
      </c>
      <c r="F72" s="1" t="s">
        <v>112</v>
      </c>
      <c r="G72" s="1">
        <v>27794</v>
      </c>
    </row>
    <row r="73" spans="1:7" x14ac:dyDescent="0.35">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333</v>
      </c>
      <c r="D73" s="1" t="s">
        <v>236</v>
      </c>
      <c r="E73" s="1" t="s">
        <v>212</v>
      </c>
      <c r="F73" s="1" t="s">
        <v>112</v>
      </c>
      <c r="G73" s="1">
        <v>22928</v>
      </c>
    </row>
    <row r="74" spans="1:7" x14ac:dyDescent="0.35">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334</v>
      </c>
      <c r="D74" s="1" t="s">
        <v>335</v>
      </c>
      <c r="E74" s="1" t="s">
        <v>336</v>
      </c>
      <c r="F74" s="1" t="s">
        <v>112</v>
      </c>
      <c r="G74" s="1">
        <v>435193</v>
      </c>
    </row>
    <row r="75" spans="1:7" x14ac:dyDescent="0.35">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337</v>
      </c>
      <c r="D75" s="1" t="s">
        <v>338</v>
      </c>
      <c r="E75" s="1" t="s">
        <v>339</v>
      </c>
      <c r="F75" s="1" t="s">
        <v>112</v>
      </c>
      <c r="G75" s="1">
        <v>577972</v>
      </c>
    </row>
    <row r="76" spans="1:7" x14ac:dyDescent="0.35">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340</v>
      </c>
      <c r="D76" s="1" t="s">
        <v>341</v>
      </c>
      <c r="E76" s="1" t="s">
        <v>342</v>
      </c>
      <c r="F76" s="1" t="s">
        <v>112</v>
      </c>
      <c r="G76" s="1">
        <v>529175</v>
      </c>
    </row>
    <row r="77" spans="1:7" x14ac:dyDescent="0.35">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343</v>
      </c>
      <c r="D77" s="1" t="s">
        <v>344</v>
      </c>
      <c r="E77" s="1" t="s">
        <v>345</v>
      </c>
      <c r="F77" s="1" t="s">
        <v>112</v>
      </c>
      <c r="G77" s="1">
        <v>86390</v>
      </c>
    </row>
    <row r="78" spans="1:7" x14ac:dyDescent="0.35">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346</v>
      </c>
      <c r="D78" s="1" t="s">
        <v>347</v>
      </c>
      <c r="E78" s="1" t="s">
        <v>348</v>
      </c>
      <c r="F78" s="1" t="s">
        <v>112</v>
      </c>
      <c r="G78" s="1">
        <v>156903</v>
      </c>
    </row>
    <row r="79" spans="1:7" x14ac:dyDescent="0.35">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349</v>
      </c>
      <c r="D79" s="1" t="s">
        <v>350</v>
      </c>
      <c r="E79" s="1" t="s">
        <v>351</v>
      </c>
      <c r="F79" s="1" t="s">
        <v>112</v>
      </c>
      <c r="G79" s="1">
        <v>161683</v>
      </c>
    </row>
    <row r="80" spans="1:7" x14ac:dyDescent="0.35">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352</v>
      </c>
      <c r="D80" s="1" t="s">
        <v>353</v>
      </c>
      <c r="E80" s="1" t="s">
        <v>354</v>
      </c>
      <c r="F80" s="1" t="s">
        <v>112</v>
      </c>
      <c r="G80" s="1">
        <v>94414</v>
      </c>
    </row>
    <row r="81" spans="1:9" x14ac:dyDescent="0.35">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355</v>
      </c>
      <c r="D81" s="1" t="s">
        <v>214</v>
      </c>
      <c r="E81" s="1" t="s">
        <v>356</v>
      </c>
      <c r="F81" s="1" t="s">
        <v>112</v>
      </c>
      <c r="G81" s="1">
        <v>69886</v>
      </c>
    </row>
    <row r="82" spans="1:9" x14ac:dyDescent="0.35">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357</v>
      </c>
      <c r="D82" s="1" t="s">
        <v>275</v>
      </c>
      <c r="E82" s="1" t="s">
        <v>358</v>
      </c>
      <c r="F82" s="1" t="s">
        <v>112</v>
      </c>
      <c r="G82" s="1">
        <v>63527</v>
      </c>
    </row>
    <row r="83" spans="1:9" x14ac:dyDescent="0.35">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359</v>
      </c>
      <c r="D83" s="1" t="s">
        <v>360</v>
      </c>
      <c r="E83" s="1" t="s">
        <v>361</v>
      </c>
      <c r="F83" s="1" t="s">
        <v>112</v>
      </c>
      <c r="G83" s="1">
        <v>127335</v>
      </c>
    </row>
    <row r="84" spans="1:9" x14ac:dyDescent="0.35">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362</v>
      </c>
      <c r="D84" s="1" t="s">
        <v>360</v>
      </c>
      <c r="E84" s="1" t="s">
        <v>363</v>
      </c>
      <c r="F84" s="1" t="s">
        <v>112</v>
      </c>
      <c r="G84" s="1">
        <v>129130</v>
      </c>
    </row>
    <row r="85" spans="1:9" x14ac:dyDescent="0.35">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364</v>
      </c>
      <c r="D85" s="1" t="s">
        <v>365</v>
      </c>
      <c r="E85" s="1" t="s">
        <v>366</v>
      </c>
      <c r="F85" s="1" t="s">
        <v>112</v>
      </c>
      <c r="G85" s="1">
        <v>106938</v>
      </c>
    </row>
    <row r="86" spans="1:9" x14ac:dyDescent="0.35">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367</v>
      </c>
      <c r="D86" s="1" t="s">
        <v>220</v>
      </c>
      <c r="E86" s="1" t="s">
        <v>368</v>
      </c>
      <c r="F86" s="1" t="s">
        <v>112</v>
      </c>
      <c r="G86" s="1">
        <v>15444</v>
      </c>
    </row>
    <row r="87" spans="1:9" x14ac:dyDescent="0.35">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369</v>
      </c>
      <c r="D87" s="1" t="s">
        <v>331</v>
      </c>
      <c r="E87" s="1" t="s">
        <v>370</v>
      </c>
      <c r="F87" s="1" t="s">
        <v>112</v>
      </c>
      <c r="G87" s="1">
        <v>26908</v>
      </c>
    </row>
    <row r="88" spans="1:9" x14ac:dyDescent="0.35">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371</v>
      </c>
    </row>
    <row r="89" spans="1:9" x14ac:dyDescent="0.35">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372</v>
      </c>
      <c r="D89" s="1" t="s">
        <v>373</v>
      </c>
      <c r="E89" s="1" t="s">
        <v>374</v>
      </c>
      <c r="F89" s="1" t="s">
        <v>112</v>
      </c>
      <c r="G89" s="1">
        <v>24961</v>
      </c>
    </row>
    <row r="90" spans="1:9" x14ac:dyDescent="0.35">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375</v>
      </c>
      <c r="D90" s="1" t="s">
        <v>331</v>
      </c>
      <c r="E90" s="1" t="s">
        <v>223</v>
      </c>
      <c r="F90" s="1" t="s">
        <v>112</v>
      </c>
      <c r="G90" s="1">
        <v>27643</v>
      </c>
    </row>
    <row r="91" spans="1:9" x14ac:dyDescent="0.35">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376</v>
      </c>
    </row>
    <row r="92" spans="1:9"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9"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377</v>
      </c>
      <c r="D94" s="1" t="s">
        <v>112</v>
      </c>
      <c r="E94" s="1" t="s">
        <v>378</v>
      </c>
      <c r="F94" s="1" t="s">
        <v>379</v>
      </c>
      <c r="G94" s="1" t="s">
        <v>380</v>
      </c>
      <c r="H94" s="1" t="s">
        <v>381</v>
      </c>
      <c r="I94" s="1">
        <v>24</v>
      </c>
    </row>
    <row r="95" spans="1:9"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9"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252</v>
      </c>
      <c r="D100" s="1" t="s">
        <v>110</v>
      </c>
      <c r="E100" s="1" t="s">
        <v>111</v>
      </c>
      <c r="F100" s="1" t="s">
        <v>112</v>
      </c>
      <c r="G100" s="1" t="s">
        <v>113</v>
      </c>
    </row>
    <row r="101" spans="1:7" x14ac:dyDescent="0.3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382</v>
      </c>
      <c r="D101" s="1" t="s">
        <v>383</v>
      </c>
      <c r="E101" s="1" t="s">
        <v>384</v>
      </c>
      <c r="F101" s="1" t="s">
        <v>112</v>
      </c>
      <c r="G101" s="1">
        <v>1288861</v>
      </c>
    </row>
    <row r="102" spans="1:7" x14ac:dyDescent="0.3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385</v>
      </c>
    </row>
    <row r="103" spans="1:7" x14ac:dyDescent="0.3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386</v>
      </c>
      <c r="D103" s="1" t="s">
        <v>387</v>
      </c>
      <c r="E103" s="1" t="s">
        <v>388</v>
      </c>
      <c r="F103" s="1" t="s">
        <v>112</v>
      </c>
      <c r="G103" s="1">
        <v>1289726</v>
      </c>
    </row>
    <row r="104" spans="1:7" x14ac:dyDescent="0.3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389</v>
      </c>
      <c r="D104" s="1" t="s">
        <v>390</v>
      </c>
      <c r="E104" s="1" t="s">
        <v>391</v>
      </c>
      <c r="F104" s="1" t="s">
        <v>112</v>
      </c>
      <c r="G104" s="1">
        <v>726591</v>
      </c>
    </row>
    <row r="105" spans="1:7" x14ac:dyDescent="0.3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392</v>
      </c>
      <c r="D105" s="1" t="s">
        <v>393</v>
      </c>
      <c r="E105" s="1" t="s">
        <v>394</v>
      </c>
      <c r="F105" s="1" t="s">
        <v>112</v>
      </c>
      <c r="G105" s="1">
        <v>761286</v>
      </c>
    </row>
    <row r="106" spans="1:7" x14ac:dyDescent="0.3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395</v>
      </c>
      <c r="D106" s="1" t="s">
        <v>396</v>
      </c>
      <c r="E106" s="1" t="s">
        <v>397</v>
      </c>
      <c r="F106" s="1" t="s">
        <v>112</v>
      </c>
      <c r="G106" s="1">
        <v>507848</v>
      </c>
    </row>
    <row r="107" spans="1:7" x14ac:dyDescent="0.3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398</v>
      </c>
      <c r="D107" s="1" t="s">
        <v>399</v>
      </c>
      <c r="E107" s="1" t="s">
        <v>400</v>
      </c>
      <c r="F107" s="1" t="s">
        <v>112</v>
      </c>
      <c r="G107" s="1">
        <v>435886</v>
      </c>
    </row>
    <row r="108" spans="1:7" x14ac:dyDescent="0.3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401</v>
      </c>
      <c r="D108" s="1" t="s">
        <v>402</v>
      </c>
      <c r="E108" s="1" t="s">
        <v>403</v>
      </c>
      <c r="F108" s="1" t="s">
        <v>112</v>
      </c>
      <c r="G108" s="1">
        <v>316229</v>
      </c>
    </row>
    <row r="109" spans="1:7" x14ac:dyDescent="0.3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404</v>
      </c>
      <c r="D109" s="1" t="s">
        <v>405</v>
      </c>
      <c r="E109" s="1" t="s">
        <v>406</v>
      </c>
      <c r="F109" s="1" t="s">
        <v>112</v>
      </c>
      <c r="G109" s="1">
        <v>352113</v>
      </c>
    </row>
    <row r="110" spans="1:7" x14ac:dyDescent="0.3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407</v>
      </c>
      <c r="D110" s="1" t="s">
        <v>211</v>
      </c>
      <c r="E110" s="1" t="s">
        <v>408</v>
      </c>
      <c r="F110" s="1" t="s">
        <v>112</v>
      </c>
      <c r="G110" s="1">
        <v>38090</v>
      </c>
    </row>
    <row r="111" spans="1:7" x14ac:dyDescent="0.3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409</v>
      </c>
      <c r="D111" s="1" t="s">
        <v>410</v>
      </c>
      <c r="E111" s="1" t="s">
        <v>411</v>
      </c>
      <c r="F111" s="1" t="s">
        <v>112</v>
      </c>
      <c r="G111" s="1">
        <v>279891</v>
      </c>
    </row>
    <row r="112" spans="1:7" x14ac:dyDescent="0.3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412</v>
      </c>
      <c r="D112" s="1" t="s">
        <v>413</v>
      </c>
      <c r="E112" s="1" t="s">
        <v>414</v>
      </c>
      <c r="F112" s="1" t="s">
        <v>112</v>
      </c>
      <c r="G112" s="1">
        <v>187380</v>
      </c>
    </row>
    <row r="113" spans="1:9" x14ac:dyDescent="0.3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415</v>
      </c>
      <c r="D113" s="1" t="s">
        <v>416</v>
      </c>
      <c r="E113" s="1" t="s">
        <v>417</v>
      </c>
      <c r="F113" s="1" t="s">
        <v>112</v>
      </c>
      <c r="G113" s="1">
        <v>151690</v>
      </c>
    </row>
    <row r="114" spans="1:9" x14ac:dyDescent="0.3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418</v>
      </c>
      <c r="D114" s="1" t="s">
        <v>350</v>
      </c>
      <c r="E114" s="1" t="s">
        <v>419</v>
      </c>
      <c r="F114" s="1" t="s">
        <v>112</v>
      </c>
      <c r="G114" s="1">
        <v>163695</v>
      </c>
    </row>
    <row r="115" spans="1:9" x14ac:dyDescent="0.3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420</v>
      </c>
      <c r="D115" s="1" t="s">
        <v>421</v>
      </c>
      <c r="E115" s="1" t="s">
        <v>422</v>
      </c>
      <c r="F115" s="1" t="s">
        <v>112</v>
      </c>
      <c r="G115" s="1">
        <v>178512</v>
      </c>
    </row>
    <row r="116" spans="1:9" x14ac:dyDescent="0.3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423</v>
      </c>
      <c r="D116" s="1" t="s">
        <v>413</v>
      </c>
      <c r="E116" s="1" t="s">
        <v>424</v>
      </c>
      <c r="F116" s="1" t="s">
        <v>112</v>
      </c>
      <c r="G116" s="1">
        <v>189910</v>
      </c>
    </row>
    <row r="117" spans="1:9" x14ac:dyDescent="0.3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425</v>
      </c>
      <c r="D117" s="1" t="s">
        <v>426</v>
      </c>
      <c r="E117" s="1" t="s">
        <v>427</v>
      </c>
      <c r="F117" s="1" t="s">
        <v>112</v>
      </c>
      <c r="G117" s="1">
        <v>377442</v>
      </c>
    </row>
    <row r="118" spans="1:9" x14ac:dyDescent="0.3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428</v>
      </c>
      <c r="D118" s="1" t="s">
        <v>214</v>
      </c>
      <c r="E118" s="1" t="s">
        <v>429</v>
      </c>
      <c r="F118" s="1" t="s">
        <v>112</v>
      </c>
      <c r="G118" s="1">
        <v>66469</v>
      </c>
    </row>
    <row r="119" spans="1:9" x14ac:dyDescent="0.3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430</v>
      </c>
      <c r="D119" s="1" t="s">
        <v>200</v>
      </c>
      <c r="E119" s="1" t="s">
        <v>431</v>
      </c>
      <c r="F119" s="1" t="s">
        <v>112</v>
      </c>
      <c r="G119" s="1">
        <v>532377</v>
      </c>
    </row>
    <row r="120" spans="1:9" x14ac:dyDescent="0.3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432</v>
      </c>
      <c r="D120" s="1" t="s">
        <v>433</v>
      </c>
      <c r="E120" s="1" t="s">
        <v>434</v>
      </c>
      <c r="F120" s="1" t="s">
        <v>112</v>
      </c>
      <c r="G120" s="1">
        <v>176651</v>
      </c>
    </row>
    <row r="121" spans="1:9" x14ac:dyDescent="0.3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435</v>
      </c>
      <c r="D121" s="1" t="s">
        <v>436</v>
      </c>
      <c r="E121" s="1" t="s">
        <v>437</v>
      </c>
      <c r="F121" s="1" t="s">
        <v>112</v>
      </c>
      <c r="G121" s="1">
        <v>341817</v>
      </c>
    </row>
    <row r="122" spans="1:9" x14ac:dyDescent="0.3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438</v>
      </c>
      <c r="D122" s="1" t="s">
        <v>439</v>
      </c>
      <c r="E122" s="1" t="s">
        <v>440</v>
      </c>
      <c r="F122" s="1" t="s">
        <v>112</v>
      </c>
      <c r="G122" s="1">
        <v>644679</v>
      </c>
    </row>
    <row r="123" spans="1:9" x14ac:dyDescent="0.3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441</v>
      </c>
      <c r="D123" s="1" t="s">
        <v>442</v>
      </c>
      <c r="E123" s="1" t="s">
        <v>443</v>
      </c>
      <c r="F123" s="1" t="s">
        <v>112</v>
      </c>
      <c r="G123" s="1">
        <v>502484</v>
      </c>
    </row>
    <row r="124" spans="1:9" x14ac:dyDescent="0.3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444</v>
      </c>
      <c r="D124" s="1" t="s">
        <v>445</v>
      </c>
      <c r="E124" s="1" t="s">
        <v>446</v>
      </c>
      <c r="F124" s="1" t="s">
        <v>112</v>
      </c>
      <c r="G124" s="1">
        <v>409173</v>
      </c>
    </row>
    <row r="125" spans="1:9"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9"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447</v>
      </c>
      <c r="D127" s="1" t="s">
        <v>112</v>
      </c>
      <c r="E127" s="1" t="s">
        <v>448</v>
      </c>
      <c r="F127" s="1" t="s">
        <v>449</v>
      </c>
      <c r="G127" s="1" t="s">
        <v>450</v>
      </c>
      <c r="H127" s="1" t="s">
        <v>451</v>
      </c>
      <c r="I127" s="1">
        <v>24</v>
      </c>
    </row>
    <row r="128" spans="1:9"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252</v>
      </c>
      <c r="D133" s="1" t="s">
        <v>110</v>
      </c>
      <c r="E133" s="1" t="s">
        <v>111</v>
      </c>
      <c r="F133" s="1" t="s">
        <v>112</v>
      </c>
      <c r="G133" s="1" t="s">
        <v>113</v>
      </c>
    </row>
    <row r="134" spans="1:7" x14ac:dyDescent="0.3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452</v>
      </c>
    </row>
    <row r="135" spans="1:7" x14ac:dyDescent="0.3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453</v>
      </c>
    </row>
    <row r="136" spans="1:7" x14ac:dyDescent="0.3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454</v>
      </c>
      <c r="D136" s="1" t="s">
        <v>455</v>
      </c>
      <c r="E136" s="1" t="s">
        <v>456</v>
      </c>
      <c r="F136" s="1" t="s">
        <v>112</v>
      </c>
      <c r="G136" s="1">
        <v>227092</v>
      </c>
    </row>
    <row r="137" spans="1:7" x14ac:dyDescent="0.3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457</v>
      </c>
      <c r="D137" s="1" t="s">
        <v>458</v>
      </c>
      <c r="E137" s="1" t="s">
        <v>459</v>
      </c>
      <c r="F137" s="1" t="s">
        <v>112</v>
      </c>
      <c r="G137" s="1">
        <v>1050348</v>
      </c>
    </row>
    <row r="138" spans="1:7" x14ac:dyDescent="0.3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460</v>
      </c>
      <c r="D138" s="1" t="s">
        <v>461</v>
      </c>
      <c r="E138" s="1" t="s">
        <v>462</v>
      </c>
      <c r="F138" s="1" t="s">
        <v>112</v>
      </c>
      <c r="G138" s="1">
        <v>1053917</v>
      </c>
    </row>
    <row r="139" spans="1:7" x14ac:dyDescent="0.3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463</v>
      </c>
      <c r="D139" s="1" t="s">
        <v>464</v>
      </c>
      <c r="E139" s="1" t="s">
        <v>465</v>
      </c>
      <c r="F139" s="1" t="s">
        <v>112</v>
      </c>
      <c r="G139" s="1">
        <v>986539</v>
      </c>
    </row>
    <row r="140" spans="1:7" x14ac:dyDescent="0.3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466</v>
      </c>
      <c r="D140" s="1" t="s">
        <v>467</v>
      </c>
      <c r="E140" s="1" t="s">
        <v>468</v>
      </c>
      <c r="F140" s="1" t="s">
        <v>112</v>
      </c>
      <c r="G140" s="1">
        <v>1853595</v>
      </c>
    </row>
    <row r="141" spans="1:7" x14ac:dyDescent="0.3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469</v>
      </c>
      <c r="D141" s="1" t="s">
        <v>470</v>
      </c>
      <c r="E141" s="1" t="s">
        <v>471</v>
      </c>
      <c r="F141" s="1" t="s">
        <v>112</v>
      </c>
      <c r="G141" s="1">
        <v>1968147</v>
      </c>
    </row>
    <row r="142" spans="1:7" x14ac:dyDescent="0.3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472</v>
      </c>
      <c r="D142" s="1" t="s">
        <v>473</v>
      </c>
      <c r="E142" s="1" t="s">
        <v>474</v>
      </c>
      <c r="F142" s="1" t="s">
        <v>112</v>
      </c>
      <c r="G142" s="1">
        <v>2111640</v>
      </c>
    </row>
    <row r="143" spans="1:7" x14ac:dyDescent="0.3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475</v>
      </c>
      <c r="D143" s="1" t="s">
        <v>476</v>
      </c>
      <c r="E143" s="1" t="s">
        <v>477</v>
      </c>
      <c r="F143" s="1" t="s">
        <v>112</v>
      </c>
      <c r="G143" s="1">
        <v>3097617</v>
      </c>
    </row>
    <row r="144" spans="1:7" x14ac:dyDescent="0.3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478</v>
      </c>
      <c r="D144" s="1" t="s">
        <v>479</v>
      </c>
      <c r="E144" s="1" t="s">
        <v>480</v>
      </c>
      <c r="F144" s="1" t="s">
        <v>112</v>
      </c>
      <c r="G144" s="1">
        <v>2916337</v>
      </c>
    </row>
    <row r="145" spans="1:9" x14ac:dyDescent="0.3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481</v>
      </c>
      <c r="D145" s="1" t="s">
        <v>482</v>
      </c>
      <c r="E145" s="1" t="s">
        <v>483</v>
      </c>
      <c r="F145" s="1" t="s">
        <v>112</v>
      </c>
      <c r="G145" s="1">
        <v>2852659</v>
      </c>
    </row>
    <row r="146" spans="1:9" x14ac:dyDescent="0.3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484</v>
      </c>
      <c r="D146" s="1" t="s">
        <v>485</v>
      </c>
      <c r="E146" s="1" t="s">
        <v>486</v>
      </c>
      <c r="F146" s="1" t="s">
        <v>112</v>
      </c>
      <c r="G146" s="1">
        <v>1962502</v>
      </c>
    </row>
    <row r="147" spans="1:9" x14ac:dyDescent="0.3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487</v>
      </c>
      <c r="D147" s="1" t="s">
        <v>488</v>
      </c>
      <c r="E147" s="1" t="s">
        <v>489</v>
      </c>
      <c r="F147" s="1" t="s">
        <v>112</v>
      </c>
      <c r="G147" s="1">
        <v>2101150</v>
      </c>
    </row>
    <row r="148" spans="1:9" x14ac:dyDescent="0.3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490</v>
      </c>
      <c r="D148" s="1" t="s">
        <v>491</v>
      </c>
      <c r="E148" s="1" t="s">
        <v>492</v>
      </c>
      <c r="F148" s="1" t="s">
        <v>112</v>
      </c>
      <c r="G148" s="1">
        <v>1879616</v>
      </c>
    </row>
    <row r="149" spans="1:9" x14ac:dyDescent="0.3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493</v>
      </c>
      <c r="D149" s="1" t="s">
        <v>494</v>
      </c>
      <c r="E149" s="1" t="s">
        <v>495</v>
      </c>
      <c r="F149" s="1" t="s">
        <v>112</v>
      </c>
      <c r="G149" s="1">
        <v>1083009</v>
      </c>
    </row>
    <row r="150" spans="1:9" x14ac:dyDescent="0.3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496</v>
      </c>
      <c r="D150" s="1" t="s">
        <v>497</v>
      </c>
      <c r="E150" s="1" t="s">
        <v>498</v>
      </c>
      <c r="F150" s="1" t="s">
        <v>112</v>
      </c>
      <c r="G150" s="1">
        <v>913236</v>
      </c>
    </row>
    <row r="151" spans="1:9" x14ac:dyDescent="0.3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499</v>
      </c>
      <c r="D151" s="1" t="s">
        <v>500</v>
      </c>
      <c r="E151" s="1" t="s">
        <v>501</v>
      </c>
      <c r="F151" s="1" t="s">
        <v>112</v>
      </c>
      <c r="G151" s="1">
        <v>1474964</v>
      </c>
    </row>
    <row r="152" spans="1:9" x14ac:dyDescent="0.3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502</v>
      </c>
      <c r="D152" s="1" t="s">
        <v>503</v>
      </c>
      <c r="E152" s="1" t="s">
        <v>504</v>
      </c>
      <c r="F152" s="1" t="s">
        <v>112</v>
      </c>
      <c r="G152" s="1">
        <v>1878210</v>
      </c>
    </row>
    <row r="153" spans="1:9" x14ac:dyDescent="0.3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505</v>
      </c>
      <c r="D153" s="1" t="s">
        <v>506</v>
      </c>
      <c r="E153" s="1" t="s">
        <v>507</v>
      </c>
      <c r="F153" s="1" t="s">
        <v>112</v>
      </c>
      <c r="G153" s="1">
        <v>1304888</v>
      </c>
    </row>
    <row r="154" spans="1:9" x14ac:dyDescent="0.3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508</v>
      </c>
    </row>
    <row r="155" spans="1:9" x14ac:dyDescent="0.3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509</v>
      </c>
    </row>
    <row r="156" spans="1:9" x14ac:dyDescent="0.3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510</v>
      </c>
    </row>
    <row r="157" spans="1:9" x14ac:dyDescent="0.3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511</v>
      </c>
    </row>
    <row r="158" spans="1:9"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9"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512</v>
      </c>
      <c r="D160" s="1" t="s">
        <v>112</v>
      </c>
      <c r="E160" s="1" t="s">
        <v>513</v>
      </c>
      <c r="F160" s="1" t="s">
        <v>514</v>
      </c>
      <c r="G160" s="1" t="s">
        <v>515</v>
      </c>
      <c r="H160" s="1" t="s">
        <v>516</v>
      </c>
      <c r="I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252</v>
      </c>
      <c r="D166" s="1" t="s">
        <v>110</v>
      </c>
      <c r="E166" s="1" t="s">
        <v>111</v>
      </c>
      <c r="F166" s="1" t="s">
        <v>112</v>
      </c>
      <c r="G166" s="1" t="s">
        <v>113</v>
      </c>
    </row>
    <row r="167" spans="1:7" x14ac:dyDescent="0.35">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517</v>
      </c>
      <c r="D167" s="1" t="s">
        <v>518</v>
      </c>
      <c r="E167" s="1" t="s">
        <v>519</v>
      </c>
      <c r="F167" s="1" t="s">
        <v>112</v>
      </c>
      <c r="G167" s="1">
        <v>2886769</v>
      </c>
    </row>
    <row r="168" spans="1:7" x14ac:dyDescent="0.35">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520</v>
      </c>
      <c r="D168" s="1" t="s">
        <v>521</v>
      </c>
      <c r="E168" s="1" t="s">
        <v>522</v>
      </c>
      <c r="F168" s="1" t="s">
        <v>112</v>
      </c>
      <c r="G168" s="1">
        <v>2548845</v>
      </c>
    </row>
    <row r="169" spans="1:7" x14ac:dyDescent="0.35">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523</v>
      </c>
      <c r="D169" s="1" t="s">
        <v>524</v>
      </c>
      <c r="E169" s="1" t="s">
        <v>525</v>
      </c>
      <c r="F169" s="1" t="s">
        <v>112</v>
      </c>
      <c r="G169" s="1">
        <v>2966886</v>
      </c>
    </row>
    <row r="170" spans="1:7" x14ac:dyDescent="0.35">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526</v>
      </c>
    </row>
    <row r="171" spans="1:7" x14ac:dyDescent="0.35">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527</v>
      </c>
      <c r="D171" s="1" t="s">
        <v>528</v>
      </c>
      <c r="E171" s="1" t="s">
        <v>529</v>
      </c>
      <c r="F171" s="1" t="s">
        <v>112</v>
      </c>
      <c r="G171" s="1">
        <v>941225</v>
      </c>
    </row>
    <row r="172" spans="1:7" x14ac:dyDescent="0.35">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530</v>
      </c>
      <c r="D172" s="1" t="s">
        <v>531</v>
      </c>
      <c r="E172" s="1" t="s">
        <v>532</v>
      </c>
      <c r="F172" s="1" t="s">
        <v>112</v>
      </c>
      <c r="G172" s="1">
        <v>1087573</v>
      </c>
    </row>
    <row r="173" spans="1:7" x14ac:dyDescent="0.35">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533</v>
      </c>
      <c r="D173" s="1" t="s">
        <v>534</v>
      </c>
      <c r="E173" s="1" t="s">
        <v>535</v>
      </c>
      <c r="F173" s="1" t="s">
        <v>112</v>
      </c>
      <c r="G173" s="1">
        <v>2354176</v>
      </c>
    </row>
    <row r="174" spans="1:7" x14ac:dyDescent="0.35">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536</v>
      </c>
      <c r="D174" s="1" t="s">
        <v>537</v>
      </c>
      <c r="E174" s="1" t="s">
        <v>538</v>
      </c>
      <c r="F174" s="1" t="s">
        <v>112</v>
      </c>
      <c r="G174" s="1">
        <v>2201383</v>
      </c>
    </row>
    <row r="175" spans="1:7" x14ac:dyDescent="0.35">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539</v>
      </c>
      <c r="D175" s="1" t="s">
        <v>540</v>
      </c>
      <c r="E175" s="1" t="s">
        <v>541</v>
      </c>
      <c r="F175" s="1" t="s">
        <v>112</v>
      </c>
      <c r="G175" s="1">
        <v>2467582</v>
      </c>
    </row>
    <row r="176" spans="1:7" x14ac:dyDescent="0.35">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542</v>
      </c>
      <c r="D176" s="1" t="s">
        <v>543</v>
      </c>
      <c r="E176" s="1" t="s">
        <v>544</v>
      </c>
      <c r="F176" s="1" t="s">
        <v>112</v>
      </c>
      <c r="G176" s="1">
        <v>3622596</v>
      </c>
    </row>
    <row r="177" spans="1:9" x14ac:dyDescent="0.35">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545</v>
      </c>
      <c r="D177" s="1" t="s">
        <v>546</v>
      </c>
      <c r="E177" s="1" t="s">
        <v>547</v>
      </c>
      <c r="F177" s="1" t="s">
        <v>112</v>
      </c>
      <c r="G177" s="1">
        <v>3670896</v>
      </c>
    </row>
    <row r="178" spans="1:9" x14ac:dyDescent="0.35">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548</v>
      </c>
      <c r="D178" s="1" t="s">
        <v>549</v>
      </c>
      <c r="E178" s="1" t="s">
        <v>550</v>
      </c>
      <c r="F178" s="1" t="s">
        <v>112</v>
      </c>
      <c r="G178" s="1">
        <v>3804915</v>
      </c>
    </row>
    <row r="179" spans="1:9" x14ac:dyDescent="0.35">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551</v>
      </c>
      <c r="D179" s="1" t="s">
        <v>552</v>
      </c>
      <c r="E179" s="1" t="s">
        <v>553</v>
      </c>
      <c r="F179" s="1" t="s">
        <v>112</v>
      </c>
      <c r="G179" s="1">
        <v>3702194</v>
      </c>
    </row>
    <row r="180" spans="1:9" x14ac:dyDescent="0.35">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554</v>
      </c>
      <c r="D180" s="1" t="s">
        <v>555</v>
      </c>
      <c r="E180" s="1" t="s">
        <v>556</v>
      </c>
      <c r="F180" s="1" t="s">
        <v>112</v>
      </c>
      <c r="G180" s="1">
        <v>3442701</v>
      </c>
    </row>
    <row r="181" spans="1:9" x14ac:dyDescent="0.35">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557</v>
      </c>
      <c r="D181" s="1" t="s">
        <v>524</v>
      </c>
      <c r="E181" s="1" t="s">
        <v>558</v>
      </c>
      <c r="F181" s="1" t="s">
        <v>112</v>
      </c>
      <c r="G181" s="1">
        <v>3209033</v>
      </c>
    </row>
    <row r="182" spans="1:9" x14ac:dyDescent="0.35">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559</v>
      </c>
      <c r="D182" s="1" t="s">
        <v>560</v>
      </c>
      <c r="E182" s="1" t="s">
        <v>561</v>
      </c>
      <c r="F182" s="1" t="s">
        <v>112</v>
      </c>
      <c r="G182" s="1">
        <v>3657788</v>
      </c>
    </row>
    <row r="183" spans="1:9" x14ac:dyDescent="0.35">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562</v>
      </c>
      <c r="D183" s="1" t="s">
        <v>563</v>
      </c>
      <c r="E183" s="1" t="s">
        <v>564</v>
      </c>
      <c r="F183" s="1" t="s">
        <v>112</v>
      </c>
      <c r="G183" s="1">
        <v>3267325</v>
      </c>
    </row>
    <row r="184" spans="1:9" x14ac:dyDescent="0.35">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565</v>
      </c>
      <c r="D184" s="1" t="s">
        <v>566</v>
      </c>
      <c r="E184" s="1" t="s">
        <v>567</v>
      </c>
      <c r="F184" s="1" t="s">
        <v>112</v>
      </c>
      <c r="G184" s="1">
        <v>3449233</v>
      </c>
    </row>
    <row r="185" spans="1:9" x14ac:dyDescent="0.35">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568</v>
      </c>
      <c r="D185" s="1" t="s">
        <v>569</v>
      </c>
      <c r="E185" s="1" t="s">
        <v>570</v>
      </c>
      <c r="F185" s="1" t="s">
        <v>112</v>
      </c>
      <c r="G185" s="1">
        <v>4051344</v>
      </c>
    </row>
    <row r="186" spans="1:9" x14ac:dyDescent="0.35">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571</v>
      </c>
      <c r="D186" s="1" t="s">
        <v>572</v>
      </c>
      <c r="E186" s="1" t="s">
        <v>573</v>
      </c>
      <c r="F186" s="1" t="s">
        <v>112</v>
      </c>
      <c r="G186" s="1">
        <v>4008236</v>
      </c>
    </row>
    <row r="187" spans="1:9" x14ac:dyDescent="0.35">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574</v>
      </c>
      <c r="D187" s="1" t="s">
        <v>575</v>
      </c>
      <c r="E187" s="1" t="s">
        <v>576</v>
      </c>
      <c r="F187" s="1" t="s">
        <v>112</v>
      </c>
      <c r="G187" s="1">
        <v>3947715</v>
      </c>
    </row>
    <row r="188" spans="1:9" x14ac:dyDescent="0.35">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577</v>
      </c>
    </row>
    <row r="189" spans="1:9" x14ac:dyDescent="0.35">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578</v>
      </c>
    </row>
    <row r="190" spans="1:9" x14ac:dyDescent="0.35">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579</v>
      </c>
    </row>
    <row r="191" spans="1:9"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9"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580</v>
      </c>
      <c r="D193" s="1" t="s">
        <v>112</v>
      </c>
      <c r="E193" s="1" t="s">
        <v>581</v>
      </c>
      <c r="F193" s="1" t="s">
        <v>582</v>
      </c>
      <c r="G193" s="1" t="s">
        <v>583</v>
      </c>
      <c r="H193" s="1" t="s">
        <v>584</v>
      </c>
      <c r="I193" s="1">
        <v>24</v>
      </c>
    </row>
    <row r="194" spans="1:9"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9"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9"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9"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9"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9"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252</v>
      </c>
      <c r="D199" s="1" t="s">
        <v>110</v>
      </c>
      <c r="E199" s="1" t="s">
        <v>111</v>
      </c>
      <c r="F199" s="1" t="s">
        <v>112</v>
      </c>
      <c r="G199" s="1" t="s">
        <v>113</v>
      </c>
    </row>
    <row r="200" spans="1:9" x14ac:dyDescent="0.3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585</v>
      </c>
      <c r="D200" s="1" t="s">
        <v>586</v>
      </c>
      <c r="E200" s="1" t="s">
        <v>587</v>
      </c>
      <c r="F200" s="1" t="s">
        <v>112</v>
      </c>
      <c r="G200" s="1">
        <v>6035476</v>
      </c>
    </row>
    <row r="201" spans="1:9" x14ac:dyDescent="0.3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588</v>
      </c>
      <c r="D201" s="1" t="s">
        <v>589</v>
      </c>
      <c r="E201" s="1" t="s">
        <v>590</v>
      </c>
      <c r="F201" s="1" t="s">
        <v>112</v>
      </c>
      <c r="G201" s="1">
        <v>5831831</v>
      </c>
    </row>
    <row r="202" spans="1:9" x14ac:dyDescent="0.3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591</v>
      </c>
      <c r="D202" s="1" t="s">
        <v>592</v>
      </c>
      <c r="E202" s="1" t="s">
        <v>593</v>
      </c>
      <c r="F202" s="1" t="s">
        <v>112</v>
      </c>
      <c r="G202" s="1">
        <v>5794346</v>
      </c>
    </row>
    <row r="203" spans="1:9" x14ac:dyDescent="0.3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594</v>
      </c>
      <c r="D203" s="1" t="s">
        <v>595</v>
      </c>
      <c r="E203" s="1" t="s">
        <v>596</v>
      </c>
      <c r="F203" s="1" t="s">
        <v>112</v>
      </c>
      <c r="G203" s="1">
        <v>759123</v>
      </c>
    </row>
    <row r="204" spans="1:9" x14ac:dyDescent="0.3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597</v>
      </c>
      <c r="D204" s="1" t="s">
        <v>598</v>
      </c>
      <c r="E204" s="1" t="s">
        <v>599</v>
      </c>
      <c r="F204" s="1" t="s">
        <v>112</v>
      </c>
      <c r="G204" s="1">
        <v>969733</v>
      </c>
    </row>
    <row r="205" spans="1:9" x14ac:dyDescent="0.3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600</v>
      </c>
      <c r="D205" s="1" t="s">
        <v>601</v>
      </c>
      <c r="E205" s="1" t="s">
        <v>602</v>
      </c>
      <c r="F205" s="1" t="s">
        <v>112</v>
      </c>
      <c r="G205" s="1">
        <v>849903</v>
      </c>
    </row>
    <row r="206" spans="1:9" x14ac:dyDescent="0.3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603</v>
      </c>
      <c r="D206" s="1" t="s">
        <v>604</v>
      </c>
      <c r="E206" s="1" t="s">
        <v>605</v>
      </c>
      <c r="F206" s="1" t="s">
        <v>112</v>
      </c>
      <c r="G206" s="1">
        <v>3721467</v>
      </c>
    </row>
    <row r="207" spans="1:9" x14ac:dyDescent="0.3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606</v>
      </c>
      <c r="D207" s="1" t="s">
        <v>607</v>
      </c>
      <c r="E207" s="1" t="s">
        <v>608</v>
      </c>
      <c r="F207" s="1" t="s">
        <v>112</v>
      </c>
      <c r="G207" s="1">
        <v>4121274</v>
      </c>
    </row>
    <row r="208" spans="1:9" x14ac:dyDescent="0.3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609</v>
      </c>
      <c r="D208" s="1" t="s">
        <v>610</v>
      </c>
      <c r="E208" s="1" t="s">
        <v>611</v>
      </c>
      <c r="F208" s="1" t="s">
        <v>112</v>
      </c>
      <c r="G208" s="1">
        <v>4479984</v>
      </c>
    </row>
    <row r="209" spans="1:7" x14ac:dyDescent="0.3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612</v>
      </c>
      <c r="D209" s="1" t="s">
        <v>613</v>
      </c>
      <c r="E209" s="1" t="s">
        <v>614</v>
      </c>
      <c r="F209" s="1" t="s">
        <v>112</v>
      </c>
      <c r="G209" s="1">
        <v>4711315</v>
      </c>
    </row>
    <row r="210" spans="1:7" x14ac:dyDescent="0.3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615</v>
      </c>
    </row>
    <row r="211" spans="1:7" x14ac:dyDescent="0.3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616</v>
      </c>
      <c r="D211" s="1" t="s">
        <v>617</v>
      </c>
      <c r="E211" s="1" t="s">
        <v>618</v>
      </c>
      <c r="F211" s="1" t="s">
        <v>112</v>
      </c>
      <c r="G211" s="1">
        <v>4900664</v>
      </c>
    </row>
    <row r="212" spans="1:7" x14ac:dyDescent="0.3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619</v>
      </c>
      <c r="D212" s="1" t="s">
        <v>620</v>
      </c>
      <c r="E212" s="1" t="s">
        <v>621</v>
      </c>
      <c r="F212" s="1" t="s">
        <v>112</v>
      </c>
      <c r="G212" s="1">
        <v>5138636</v>
      </c>
    </row>
    <row r="213" spans="1:7" x14ac:dyDescent="0.3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622</v>
      </c>
      <c r="D213" s="1" t="s">
        <v>623</v>
      </c>
      <c r="E213" s="1" t="s">
        <v>624</v>
      </c>
      <c r="F213" s="1" t="s">
        <v>112</v>
      </c>
      <c r="G213" s="1">
        <v>5482962</v>
      </c>
    </row>
    <row r="214" spans="1:7" x14ac:dyDescent="0.3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625</v>
      </c>
      <c r="D214" s="1" t="s">
        <v>626</v>
      </c>
      <c r="E214" s="1" t="s">
        <v>627</v>
      </c>
      <c r="F214" s="1" t="s">
        <v>112</v>
      </c>
      <c r="G214" s="1">
        <v>5592042</v>
      </c>
    </row>
    <row r="215" spans="1:7" x14ac:dyDescent="0.3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628</v>
      </c>
      <c r="D215" s="1" t="s">
        <v>629</v>
      </c>
      <c r="E215" s="1" t="s">
        <v>630</v>
      </c>
      <c r="F215" s="1" t="s">
        <v>112</v>
      </c>
      <c r="G215" s="1">
        <v>1957441</v>
      </c>
    </row>
    <row r="216" spans="1:7" x14ac:dyDescent="0.3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631</v>
      </c>
      <c r="D216" s="1" t="s">
        <v>632</v>
      </c>
      <c r="E216" s="1" t="s">
        <v>633</v>
      </c>
      <c r="F216" s="1" t="s">
        <v>112</v>
      </c>
      <c r="G216" s="1">
        <v>1802246</v>
      </c>
    </row>
    <row r="217" spans="1:7" x14ac:dyDescent="0.3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634</v>
      </c>
      <c r="D217" s="1" t="s">
        <v>635</v>
      </c>
      <c r="E217" s="1" t="s">
        <v>636</v>
      </c>
      <c r="F217" s="1" t="s">
        <v>112</v>
      </c>
      <c r="G217" s="1">
        <v>1824114</v>
      </c>
    </row>
    <row r="218" spans="1:7" x14ac:dyDescent="0.3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637</v>
      </c>
      <c r="D218" s="1" t="s">
        <v>638</v>
      </c>
      <c r="E218" s="1" t="s">
        <v>639</v>
      </c>
      <c r="F218" s="1" t="s">
        <v>112</v>
      </c>
      <c r="G218" s="1">
        <v>5904680</v>
      </c>
    </row>
    <row r="219" spans="1:7" x14ac:dyDescent="0.3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640</v>
      </c>
      <c r="D219" s="1" t="s">
        <v>641</v>
      </c>
      <c r="E219" s="1" t="s">
        <v>642</v>
      </c>
      <c r="F219" s="1" t="s">
        <v>112</v>
      </c>
      <c r="G219" s="1">
        <v>5883115</v>
      </c>
    </row>
    <row r="220" spans="1:7" x14ac:dyDescent="0.3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643</v>
      </c>
      <c r="D220" s="1" t="s">
        <v>644</v>
      </c>
      <c r="E220" s="1" t="s">
        <v>645</v>
      </c>
      <c r="F220" s="1" t="s">
        <v>112</v>
      </c>
      <c r="G220" s="1">
        <v>5703089</v>
      </c>
    </row>
    <row r="221" spans="1:7" x14ac:dyDescent="0.3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646</v>
      </c>
      <c r="D221" s="1" t="s">
        <v>647</v>
      </c>
      <c r="E221" s="1" t="s">
        <v>648</v>
      </c>
      <c r="F221" s="1" t="s">
        <v>112</v>
      </c>
      <c r="G221" s="1">
        <v>5277954</v>
      </c>
    </row>
    <row r="222" spans="1:7" x14ac:dyDescent="0.3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649</v>
      </c>
      <c r="D222" s="1" t="s">
        <v>650</v>
      </c>
      <c r="E222" s="1" t="s">
        <v>651</v>
      </c>
      <c r="F222" s="1" t="s">
        <v>112</v>
      </c>
      <c r="G222" s="1">
        <v>5657840</v>
      </c>
    </row>
    <row r="223" spans="1:7" x14ac:dyDescent="0.3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652</v>
      </c>
      <c r="D223" s="1" t="s">
        <v>653</v>
      </c>
      <c r="E223" s="1" t="s">
        <v>654</v>
      </c>
      <c r="F223" s="1" t="s">
        <v>112</v>
      </c>
      <c r="G223" s="1">
        <v>6102096</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9"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655</v>
      </c>
      <c r="D226" s="1" t="s">
        <v>112</v>
      </c>
      <c r="E226" s="1" t="s">
        <v>656</v>
      </c>
      <c r="F226" s="1" t="s">
        <v>657</v>
      </c>
      <c r="G226" s="1" t="s">
        <v>658</v>
      </c>
      <c r="H226" s="1" t="s">
        <v>659</v>
      </c>
      <c r="I226" s="1">
        <v>24</v>
      </c>
    </row>
    <row r="227" spans="1:9"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9"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9"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9"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9"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9"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252</v>
      </c>
      <c r="D232" s="1" t="s">
        <v>110</v>
      </c>
      <c r="E232" s="1" t="s">
        <v>111</v>
      </c>
      <c r="F232" s="1" t="s">
        <v>112</v>
      </c>
      <c r="G232" s="1" t="s">
        <v>113</v>
      </c>
    </row>
    <row r="233" spans="1:9" x14ac:dyDescent="0.35">
      <c r="A233" s="1" t="str">
        <f t="shared" si="3"/>
        <v>08 BPA 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660</v>
      </c>
      <c r="D233" s="1" t="s">
        <v>331</v>
      </c>
      <c r="E233" s="1" t="s">
        <v>310</v>
      </c>
      <c r="F233" s="1" t="s">
        <v>112</v>
      </c>
      <c r="G233" s="1">
        <v>27470</v>
      </c>
    </row>
    <row r="234" spans="1:9" x14ac:dyDescent="0.35">
      <c r="A234" s="1" t="str">
        <f t="shared" si="3"/>
        <v>08 BPA 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661</v>
      </c>
      <c r="D234" s="1" t="s">
        <v>662</v>
      </c>
      <c r="E234" s="1" t="s">
        <v>663</v>
      </c>
      <c r="F234" s="1" t="s">
        <v>112</v>
      </c>
      <c r="G234" s="1">
        <v>69454</v>
      </c>
    </row>
    <row r="235" spans="1:9" x14ac:dyDescent="0.35">
      <c r="A235" s="1" t="str">
        <f t="shared" si="3"/>
        <v>08 BPA 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664</v>
      </c>
      <c r="D235" s="1" t="s">
        <v>665</v>
      </c>
      <c r="E235" s="1" t="s">
        <v>666</v>
      </c>
      <c r="F235" s="1" t="s">
        <v>112</v>
      </c>
      <c r="G235" s="1">
        <v>52734</v>
      </c>
    </row>
    <row r="236" spans="1:9" x14ac:dyDescent="0.35">
      <c r="A236" s="1" t="str">
        <f t="shared" si="3"/>
        <v>08 BPA 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667</v>
      </c>
      <c r="D236" s="1" t="s">
        <v>233</v>
      </c>
      <c r="E236" s="1" t="s">
        <v>668</v>
      </c>
      <c r="F236" s="1" t="s">
        <v>112</v>
      </c>
      <c r="G236" s="1">
        <v>36663</v>
      </c>
    </row>
    <row r="237" spans="1:9" x14ac:dyDescent="0.35">
      <c r="A237" s="1" t="str">
        <f t="shared" si="3"/>
        <v>08 BPA 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669</v>
      </c>
      <c r="D237" s="1" t="s">
        <v>670</v>
      </c>
      <c r="E237" s="1" t="s">
        <v>310</v>
      </c>
      <c r="F237" s="1" t="s">
        <v>112</v>
      </c>
      <c r="G237" s="1">
        <v>30217</v>
      </c>
    </row>
    <row r="238" spans="1:9" x14ac:dyDescent="0.35">
      <c r="A238" s="1" t="str">
        <f t="shared" si="3"/>
        <v>08 BPA 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671</v>
      </c>
      <c r="D238" s="1" t="s">
        <v>672</v>
      </c>
      <c r="E238" s="1" t="s">
        <v>673</v>
      </c>
      <c r="F238" s="1" t="s">
        <v>112</v>
      </c>
      <c r="G238" s="1">
        <v>23339</v>
      </c>
    </row>
    <row r="239" spans="1:9" x14ac:dyDescent="0.35">
      <c r="A239" s="1" t="str">
        <f t="shared" si="3"/>
        <v>08 BPA 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674</v>
      </c>
      <c r="D239" s="1" t="s">
        <v>675</v>
      </c>
      <c r="E239" s="1" t="s">
        <v>676</v>
      </c>
      <c r="F239" s="1" t="s">
        <v>112</v>
      </c>
      <c r="G239" s="1">
        <v>49100</v>
      </c>
    </row>
    <row r="240" spans="1:9" x14ac:dyDescent="0.35">
      <c r="A240" s="1" t="str">
        <f t="shared" si="3"/>
        <v>08 BPA 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677</v>
      </c>
      <c r="D240" s="1" t="s">
        <v>217</v>
      </c>
      <c r="E240" s="1" t="s">
        <v>678</v>
      </c>
      <c r="F240" s="1" t="s">
        <v>112</v>
      </c>
      <c r="G240" s="1">
        <v>25740</v>
      </c>
    </row>
    <row r="241" spans="1:7" x14ac:dyDescent="0.35">
      <c r="A241" s="1" t="str">
        <f t="shared" si="3"/>
        <v>08 BPA 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679</v>
      </c>
      <c r="D241" s="1" t="s">
        <v>236</v>
      </c>
      <c r="E241" s="1" t="s">
        <v>237</v>
      </c>
      <c r="F241" s="1" t="s">
        <v>112</v>
      </c>
      <c r="G241" s="1">
        <v>21846</v>
      </c>
    </row>
    <row r="242" spans="1:7" x14ac:dyDescent="0.35">
      <c r="A242" s="1" t="str">
        <f t="shared" si="3"/>
        <v>08 BPA 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680</v>
      </c>
      <c r="D242" s="1" t="s">
        <v>239</v>
      </c>
      <c r="E242" s="1" t="s">
        <v>228</v>
      </c>
      <c r="F242" s="1" t="s">
        <v>112</v>
      </c>
      <c r="G242" s="1">
        <v>20657</v>
      </c>
    </row>
    <row r="243" spans="1:7" x14ac:dyDescent="0.35">
      <c r="A243" s="1" t="str">
        <f t="shared" si="3"/>
        <v>08 BPA 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681</v>
      </c>
      <c r="D243" s="1" t="s">
        <v>331</v>
      </c>
      <c r="E243" s="1">
        <v>64</v>
      </c>
      <c r="F243" s="1" t="s">
        <v>112</v>
      </c>
      <c r="G243" s="1">
        <v>27686</v>
      </c>
    </row>
    <row r="244" spans="1:7" x14ac:dyDescent="0.35">
      <c r="A244" s="1" t="str">
        <f t="shared" si="3"/>
        <v>08 BPA 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682</v>
      </c>
      <c r="D244" s="1" t="s">
        <v>675</v>
      </c>
      <c r="E244" s="1" t="s">
        <v>683</v>
      </c>
      <c r="F244" s="1" t="s">
        <v>112</v>
      </c>
      <c r="G244" s="1">
        <v>49165</v>
      </c>
    </row>
    <row r="245" spans="1:7" x14ac:dyDescent="0.35">
      <c r="A245" s="1" t="str">
        <f t="shared" si="3"/>
        <v>08 BPA 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684</v>
      </c>
      <c r="D245" s="1" t="s">
        <v>194</v>
      </c>
      <c r="E245" s="1" t="s">
        <v>685</v>
      </c>
      <c r="F245" s="1" t="s">
        <v>112</v>
      </c>
      <c r="G245" s="1">
        <v>95128</v>
      </c>
    </row>
    <row r="246" spans="1:7" x14ac:dyDescent="0.35">
      <c r="A246" s="1" t="str">
        <f t="shared" si="3"/>
        <v>08 BPA 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686</v>
      </c>
      <c r="D246" s="1" t="s">
        <v>687</v>
      </c>
      <c r="E246" s="1" t="s">
        <v>688</v>
      </c>
      <c r="F246" s="1" t="s">
        <v>112</v>
      </c>
      <c r="G246" s="1">
        <v>330570</v>
      </c>
    </row>
    <row r="247" spans="1:7" x14ac:dyDescent="0.35">
      <c r="A247" s="1" t="str">
        <f t="shared" si="3"/>
        <v>08 BPA 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689</v>
      </c>
      <c r="D247" s="1" t="s">
        <v>690</v>
      </c>
      <c r="E247" s="1" t="s">
        <v>691</v>
      </c>
      <c r="F247" s="1" t="s">
        <v>112</v>
      </c>
      <c r="G247" s="1">
        <v>62229</v>
      </c>
    </row>
    <row r="248" spans="1:7" x14ac:dyDescent="0.35">
      <c r="A248" s="1" t="str">
        <f t="shared" si="3"/>
        <v>08 BPA 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692</v>
      </c>
      <c r="D248" s="1" t="s">
        <v>365</v>
      </c>
      <c r="E248" s="1" t="s">
        <v>693</v>
      </c>
      <c r="F248" s="1" t="s">
        <v>112</v>
      </c>
      <c r="G248" s="1">
        <v>108777</v>
      </c>
    </row>
    <row r="249" spans="1:7" x14ac:dyDescent="0.35">
      <c r="A249" s="1" t="str">
        <f t="shared" si="3"/>
        <v>08 BPA 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694</v>
      </c>
      <c r="D249" s="1" t="s">
        <v>365</v>
      </c>
      <c r="E249" s="1" t="s">
        <v>695</v>
      </c>
      <c r="F249" s="1" t="s">
        <v>112</v>
      </c>
      <c r="G249" s="1">
        <v>118186</v>
      </c>
    </row>
    <row r="250" spans="1:7" x14ac:dyDescent="0.35">
      <c r="A250" s="1" t="str">
        <f t="shared" si="3"/>
        <v>08 BPA 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696</v>
      </c>
      <c r="D250" s="1" t="s">
        <v>697</v>
      </c>
      <c r="E250" s="1" t="s">
        <v>698</v>
      </c>
      <c r="F250" s="1" t="s">
        <v>112</v>
      </c>
      <c r="G250" s="1">
        <v>129325</v>
      </c>
    </row>
    <row r="251" spans="1:7" x14ac:dyDescent="0.35">
      <c r="A251" s="1" t="str">
        <f t="shared" si="3"/>
        <v>08 BPA 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699</v>
      </c>
      <c r="D251" s="1" t="s">
        <v>700</v>
      </c>
      <c r="E251" s="1" t="s">
        <v>701</v>
      </c>
      <c r="F251" s="1" t="s">
        <v>112</v>
      </c>
      <c r="G251" s="1">
        <v>503241</v>
      </c>
    </row>
    <row r="252" spans="1:7" x14ac:dyDescent="0.35">
      <c r="A252" s="1" t="str">
        <f t="shared" si="3"/>
        <v>08 BPA 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702</v>
      </c>
      <c r="D252" s="1" t="s">
        <v>703</v>
      </c>
      <c r="E252" s="1" t="s">
        <v>704</v>
      </c>
      <c r="F252" s="1" t="s">
        <v>112</v>
      </c>
      <c r="G252" s="1">
        <v>291203</v>
      </c>
    </row>
    <row r="253" spans="1:7" x14ac:dyDescent="0.35">
      <c r="A253" s="1" t="str">
        <f t="shared" si="3"/>
        <v>08 BPA 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705</v>
      </c>
      <c r="D253" s="1" t="s">
        <v>706</v>
      </c>
      <c r="E253" s="1" t="s">
        <v>707</v>
      </c>
      <c r="F253" s="1" t="s">
        <v>112</v>
      </c>
      <c r="G253" s="1">
        <v>436080</v>
      </c>
    </row>
    <row r="254" spans="1:7" x14ac:dyDescent="0.35">
      <c r="A254" s="1" t="str">
        <f t="shared" si="3"/>
        <v>08 BPA 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708</v>
      </c>
      <c r="D254" s="1" t="s">
        <v>188</v>
      </c>
      <c r="E254" s="1" t="s">
        <v>709</v>
      </c>
      <c r="F254" s="1" t="s">
        <v>112</v>
      </c>
      <c r="G254" s="1">
        <v>141741</v>
      </c>
    </row>
    <row r="255" spans="1:7" x14ac:dyDescent="0.35">
      <c r="A255" s="1" t="str">
        <f t="shared" si="3"/>
        <v>08 BPA 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710</v>
      </c>
      <c r="D255" s="1" t="s">
        <v>711</v>
      </c>
      <c r="E255" s="1">
        <v>64</v>
      </c>
      <c r="F255" s="1" t="s">
        <v>112</v>
      </c>
      <c r="G255" s="1">
        <v>52604</v>
      </c>
    </row>
    <row r="256" spans="1:7" x14ac:dyDescent="0.35">
      <c r="A256" s="1" t="str">
        <f t="shared" si="3"/>
        <v>08 BPA 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712</v>
      </c>
      <c r="D256" s="1" t="s">
        <v>713</v>
      </c>
      <c r="E256" s="1" t="s">
        <v>714</v>
      </c>
      <c r="F256" s="1" t="s">
        <v>112</v>
      </c>
      <c r="G256" s="1">
        <v>264923</v>
      </c>
    </row>
    <row r="257" spans="1:9"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9"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241</v>
      </c>
      <c r="D258" s="1" t="s">
        <v>112</v>
      </c>
      <c r="E258" s="1" t="s">
        <v>242</v>
      </c>
      <c r="F258" s="1" t="s">
        <v>243</v>
      </c>
      <c r="G258" s="1" t="s">
        <v>244</v>
      </c>
      <c r="H258" s="1" t="s">
        <v>245</v>
      </c>
      <c r="I258" s="1" t="s">
        <v>246</v>
      </c>
    </row>
    <row r="259" spans="1:9" x14ac:dyDescent="0.35">
      <c r="A259" s="1" t="str">
        <f t="shared" si="4"/>
        <v>08 BPA 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715</v>
      </c>
      <c r="D259" s="1" t="s">
        <v>112</v>
      </c>
      <c r="E259" s="1" t="s">
        <v>716</v>
      </c>
      <c r="F259" s="1" t="s">
        <v>717</v>
      </c>
      <c r="G259" s="1" t="s">
        <v>718</v>
      </c>
      <c r="H259" s="1" t="s">
        <v>719</v>
      </c>
      <c r="I259" s="1">
        <v>24</v>
      </c>
    </row>
    <row r="260" spans="1:9"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9"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9"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9"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9"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9"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252</v>
      </c>
      <c r="D265" s="1" t="s">
        <v>110</v>
      </c>
      <c r="E265" s="1" t="s">
        <v>111</v>
      </c>
      <c r="F265" s="1" t="s">
        <v>112</v>
      </c>
      <c r="G265" s="1" t="s">
        <v>113</v>
      </c>
    </row>
    <row r="266" spans="1:9" x14ac:dyDescent="0.35">
      <c r="A266" s="1" t="str">
        <f t="shared" si="4"/>
        <v>09 BPA 2</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720</v>
      </c>
      <c r="D266" s="1" t="s">
        <v>721</v>
      </c>
      <c r="E266" s="1" t="s">
        <v>722</v>
      </c>
      <c r="F266" s="1" t="s">
        <v>112</v>
      </c>
      <c r="G266" s="1">
        <v>85503</v>
      </c>
    </row>
    <row r="267" spans="1:9" x14ac:dyDescent="0.35">
      <c r="A267" s="1" t="str">
        <f t="shared" si="4"/>
        <v>09 BPA 2</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723</v>
      </c>
      <c r="D267" s="1" t="s">
        <v>724</v>
      </c>
      <c r="E267" s="1" t="s">
        <v>725</v>
      </c>
      <c r="F267" s="1" t="s">
        <v>112</v>
      </c>
      <c r="G267" s="1">
        <v>59158</v>
      </c>
    </row>
    <row r="268" spans="1:9" x14ac:dyDescent="0.35">
      <c r="A268" s="1" t="str">
        <f t="shared" si="4"/>
        <v>09 BPA 2</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726</v>
      </c>
      <c r="D268" s="1" t="s">
        <v>227</v>
      </c>
      <c r="E268" s="1" t="s">
        <v>727</v>
      </c>
      <c r="F268" s="1" t="s">
        <v>112</v>
      </c>
      <c r="G268" s="1">
        <v>29200</v>
      </c>
    </row>
    <row r="269" spans="1:9" x14ac:dyDescent="0.35">
      <c r="A269" s="1" t="str">
        <f t="shared" si="4"/>
        <v>09 BPA 2</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728</v>
      </c>
      <c r="D269" s="1" t="s">
        <v>729</v>
      </c>
      <c r="E269" s="1" t="s">
        <v>730</v>
      </c>
      <c r="F269" s="1" t="s">
        <v>112</v>
      </c>
      <c r="G269" s="1">
        <v>402467</v>
      </c>
    </row>
    <row r="270" spans="1:9" x14ac:dyDescent="0.35">
      <c r="A270" s="1" t="str">
        <f t="shared" si="4"/>
        <v>09 BPA 2</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731</v>
      </c>
      <c r="D270" s="1" t="s">
        <v>732</v>
      </c>
      <c r="E270" s="1" t="s">
        <v>733</v>
      </c>
      <c r="F270" s="1" t="s">
        <v>112</v>
      </c>
      <c r="G270" s="1">
        <v>683310</v>
      </c>
    </row>
    <row r="271" spans="1:9" x14ac:dyDescent="0.35">
      <c r="A271" s="1" t="str">
        <f t="shared" si="4"/>
        <v>09 BPA 2</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734</v>
      </c>
      <c r="D271" s="1" t="s">
        <v>735</v>
      </c>
      <c r="E271" s="1" t="s">
        <v>736</v>
      </c>
      <c r="F271" s="1" t="s">
        <v>112</v>
      </c>
      <c r="G271" s="1">
        <v>479816</v>
      </c>
    </row>
    <row r="272" spans="1:9" x14ac:dyDescent="0.35">
      <c r="A272" s="1" t="str">
        <f t="shared" si="4"/>
        <v>09 BPA 2</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737</v>
      </c>
      <c r="D272" s="1" t="s">
        <v>738</v>
      </c>
      <c r="E272" s="1" t="s">
        <v>739</v>
      </c>
      <c r="F272" s="1" t="s">
        <v>112</v>
      </c>
      <c r="G272" s="1">
        <v>37225</v>
      </c>
    </row>
    <row r="273" spans="1:7" x14ac:dyDescent="0.35">
      <c r="A273" s="1" t="str">
        <f t="shared" si="4"/>
        <v>09 BPA 2</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740</v>
      </c>
      <c r="D273" s="1" t="s">
        <v>741</v>
      </c>
      <c r="E273" s="1" t="s">
        <v>742</v>
      </c>
      <c r="F273" s="1" t="s">
        <v>112</v>
      </c>
      <c r="G273" s="1">
        <v>182124</v>
      </c>
    </row>
    <row r="274" spans="1:7" x14ac:dyDescent="0.35">
      <c r="A274" s="1" t="str">
        <f t="shared" si="4"/>
        <v>09 BPA 2</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743</v>
      </c>
      <c r="D274" s="1" t="s">
        <v>744</v>
      </c>
      <c r="E274" s="1" t="s">
        <v>745</v>
      </c>
      <c r="F274" s="1" t="s">
        <v>112</v>
      </c>
      <c r="G274" s="1">
        <v>392669</v>
      </c>
    </row>
    <row r="275" spans="1:7" x14ac:dyDescent="0.35">
      <c r="A275" s="1" t="str">
        <f t="shared" si="4"/>
        <v>09 BPA 2</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746</v>
      </c>
      <c r="D275" s="1" t="s">
        <v>275</v>
      </c>
      <c r="E275" s="1" t="s">
        <v>747</v>
      </c>
      <c r="F275" s="1" t="s">
        <v>112</v>
      </c>
      <c r="G275" s="1">
        <v>66966</v>
      </c>
    </row>
    <row r="276" spans="1:7" x14ac:dyDescent="0.35">
      <c r="A276" s="1" t="str">
        <f t="shared" si="4"/>
        <v>09 BPA 2</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748</v>
      </c>
      <c r="D276" s="1" t="s">
        <v>749</v>
      </c>
      <c r="E276" s="1" t="s">
        <v>750</v>
      </c>
      <c r="F276" s="1" t="s">
        <v>112</v>
      </c>
      <c r="G276" s="1">
        <v>81977</v>
      </c>
    </row>
    <row r="277" spans="1:7" x14ac:dyDescent="0.35">
      <c r="A277" s="1" t="str">
        <f t="shared" si="4"/>
        <v>09 BPA 2</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751</v>
      </c>
      <c r="D277" s="1" t="s">
        <v>752</v>
      </c>
      <c r="E277" s="1" t="s">
        <v>753</v>
      </c>
      <c r="F277" s="1" t="s">
        <v>112</v>
      </c>
      <c r="G277" s="1">
        <v>85957</v>
      </c>
    </row>
    <row r="278" spans="1:7" x14ac:dyDescent="0.35">
      <c r="A278" s="1" t="str">
        <f t="shared" si="4"/>
        <v>09 BPA 2</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754</v>
      </c>
      <c r="D278" s="1" t="s">
        <v>217</v>
      </c>
      <c r="E278" s="1" t="s">
        <v>755</v>
      </c>
      <c r="F278" s="1" t="s">
        <v>112</v>
      </c>
      <c r="G278" s="1">
        <v>25631</v>
      </c>
    </row>
    <row r="279" spans="1:7" x14ac:dyDescent="0.35">
      <c r="A279" s="1" t="str">
        <f t="shared" si="4"/>
        <v>09 BPA 2</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756</v>
      </c>
      <c r="D279" s="1" t="s">
        <v>227</v>
      </c>
      <c r="E279" s="1" t="s">
        <v>757</v>
      </c>
      <c r="F279" s="1" t="s">
        <v>112</v>
      </c>
      <c r="G279" s="1">
        <v>29006</v>
      </c>
    </row>
    <row r="280" spans="1:7" x14ac:dyDescent="0.35">
      <c r="A280" s="1" t="str">
        <f t="shared" si="4"/>
        <v>09 BPA 2</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758</v>
      </c>
      <c r="D280" s="1" t="s">
        <v>759</v>
      </c>
      <c r="E280" s="1" t="s">
        <v>760</v>
      </c>
      <c r="F280" s="1" t="s">
        <v>112</v>
      </c>
      <c r="G280" s="1">
        <v>55892</v>
      </c>
    </row>
    <row r="281" spans="1:7" x14ac:dyDescent="0.35">
      <c r="A281" s="1" t="str">
        <f t="shared" si="4"/>
        <v>09 BPA 2</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761</v>
      </c>
      <c r="D281" s="1" t="s">
        <v>762</v>
      </c>
      <c r="E281" s="1" t="s">
        <v>763</v>
      </c>
      <c r="F281" s="1" t="s">
        <v>112</v>
      </c>
      <c r="G281" s="1">
        <v>74558</v>
      </c>
    </row>
    <row r="282" spans="1:7" x14ac:dyDescent="0.35">
      <c r="A282" s="1" t="str">
        <f t="shared" si="4"/>
        <v>09 BPA 2</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764</v>
      </c>
      <c r="D282" s="1" t="s">
        <v>765</v>
      </c>
      <c r="E282" s="1" t="s">
        <v>766</v>
      </c>
      <c r="F282" s="1" t="s">
        <v>112</v>
      </c>
      <c r="G282" s="1">
        <v>48256</v>
      </c>
    </row>
    <row r="283" spans="1:7" x14ac:dyDescent="0.35">
      <c r="A283" s="1" t="str">
        <f t="shared" si="4"/>
        <v>09 BPA 2</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767</v>
      </c>
      <c r="D283" s="1" t="s">
        <v>768</v>
      </c>
      <c r="E283" s="1" t="s">
        <v>769</v>
      </c>
      <c r="F283" s="1" t="s">
        <v>112</v>
      </c>
      <c r="G283" s="1">
        <v>97854</v>
      </c>
    </row>
    <row r="284" spans="1:7" x14ac:dyDescent="0.35">
      <c r="A284" s="1" t="str">
        <f t="shared" si="4"/>
        <v>09 BPA 2</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770</v>
      </c>
      <c r="D284" s="1" t="s">
        <v>771</v>
      </c>
      <c r="E284" s="1" t="s">
        <v>772</v>
      </c>
      <c r="F284" s="1" t="s">
        <v>112</v>
      </c>
      <c r="G284" s="1">
        <v>442115</v>
      </c>
    </row>
    <row r="285" spans="1:7" x14ac:dyDescent="0.35">
      <c r="A285" s="1" t="str">
        <f t="shared" si="4"/>
        <v>09 BPA 2</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773</v>
      </c>
      <c r="D285" s="1" t="s">
        <v>774</v>
      </c>
      <c r="E285" s="1" t="s">
        <v>775</v>
      </c>
      <c r="F285" s="1" t="s">
        <v>112</v>
      </c>
      <c r="G285" s="1">
        <v>225535</v>
      </c>
    </row>
    <row r="286" spans="1:7" x14ac:dyDescent="0.35">
      <c r="A286" s="1" t="str">
        <f t="shared" si="4"/>
        <v>09 BPA 2</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776</v>
      </c>
      <c r="D286" s="1" t="s">
        <v>777</v>
      </c>
      <c r="E286" s="1" t="s">
        <v>778</v>
      </c>
      <c r="F286" s="1" t="s">
        <v>112</v>
      </c>
      <c r="G286" s="1">
        <v>209356</v>
      </c>
    </row>
    <row r="287" spans="1:7" x14ac:dyDescent="0.35">
      <c r="A287" s="1" t="str">
        <f t="shared" si="4"/>
        <v>09 BPA 2</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779</v>
      </c>
      <c r="D287" s="1" t="s">
        <v>214</v>
      </c>
      <c r="E287" s="1" t="s">
        <v>780</v>
      </c>
      <c r="F287" s="1" t="s">
        <v>112</v>
      </c>
      <c r="G287" s="1">
        <v>67204</v>
      </c>
    </row>
    <row r="288" spans="1:7" x14ac:dyDescent="0.35">
      <c r="A288" s="1" t="str">
        <f t="shared" si="4"/>
        <v>09 BPA 2</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781</v>
      </c>
      <c r="D288" s="1" t="s">
        <v>782</v>
      </c>
      <c r="E288" s="1" t="s">
        <v>783</v>
      </c>
      <c r="F288" s="1" t="s">
        <v>112</v>
      </c>
      <c r="G288" s="1">
        <v>60845</v>
      </c>
    </row>
    <row r="289" spans="1:9" x14ac:dyDescent="0.35">
      <c r="A289" s="1" t="str">
        <f t="shared" si="4"/>
        <v>09 BPA 2</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784</v>
      </c>
      <c r="D289" s="1" t="s">
        <v>785</v>
      </c>
      <c r="E289" s="1" t="s">
        <v>786</v>
      </c>
      <c r="F289" s="1" t="s">
        <v>112</v>
      </c>
      <c r="G289" s="1">
        <v>43217</v>
      </c>
    </row>
    <row r="290" spans="1:9"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9"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241</v>
      </c>
      <c r="D291" s="1" t="s">
        <v>112</v>
      </c>
      <c r="E291" s="1" t="s">
        <v>242</v>
      </c>
      <c r="F291" s="1" t="s">
        <v>243</v>
      </c>
      <c r="G291" s="1" t="s">
        <v>244</v>
      </c>
      <c r="H291" s="1" t="s">
        <v>245</v>
      </c>
      <c r="I291" s="1" t="s">
        <v>246</v>
      </c>
    </row>
    <row r="292" spans="1:9" x14ac:dyDescent="0.35">
      <c r="A292" s="1" t="str">
        <f t="shared" si="4"/>
        <v>09 BPA 2</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787</v>
      </c>
      <c r="D292" s="1" t="s">
        <v>112</v>
      </c>
      <c r="E292" s="1" t="s">
        <v>788</v>
      </c>
      <c r="F292" s="1" t="s">
        <v>789</v>
      </c>
      <c r="G292" s="1" t="s">
        <v>790</v>
      </c>
      <c r="H292" s="1" t="s">
        <v>791</v>
      </c>
      <c r="I292" s="1">
        <v>24</v>
      </c>
    </row>
    <row r="293" spans="1:9"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9"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9"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9"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9"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9"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252</v>
      </c>
      <c r="D298" s="1" t="s">
        <v>110</v>
      </c>
      <c r="E298" s="1" t="s">
        <v>111</v>
      </c>
      <c r="F298" s="1" t="s">
        <v>112</v>
      </c>
      <c r="G298" s="1" t="s">
        <v>113</v>
      </c>
    </row>
    <row r="299" spans="1:9" x14ac:dyDescent="0.35">
      <c r="A299" s="1" t="str">
        <f t="shared" si="4"/>
        <v>10  BPA 3</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792</v>
      </c>
    </row>
    <row r="300" spans="1:9" x14ac:dyDescent="0.35">
      <c r="A300" s="1" t="str">
        <f t="shared" si="4"/>
        <v>10  BPA 3</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793</v>
      </c>
    </row>
    <row r="301" spans="1:9" x14ac:dyDescent="0.35">
      <c r="A301" s="1" t="str">
        <f t="shared" si="4"/>
        <v>10  BPA 3</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794</v>
      </c>
      <c r="D301" s="1" t="s">
        <v>284</v>
      </c>
      <c r="E301" s="1" t="s">
        <v>795</v>
      </c>
      <c r="F301" s="1" t="s">
        <v>112</v>
      </c>
      <c r="G301" s="1">
        <v>672863</v>
      </c>
    </row>
    <row r="302" spans="1:9" x14ac:dyDescent="0.35">
      <c r="A302" s="1" t="str">
        <f t="shared" si="4"/>
        <v>10  BPA 3</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796</v>
      </c>
    </row>
    <row r="303" spans="1:9" x14ac:dyDescent="0.35">
      <c r="A303" s="1" t="str">
        <f t="shared" si="4"/>
        <v>10  BPA 3</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797</v>
      </c>
    </row>
    <row r="304" spans="1:9" x14ac:dyDescent="0.35">
      <c r="A304" s="1" t="str">
        <f t="shared" si="4"/>
        <v>10  BPA 3</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798</v>
      </c>
      <c r="D304" s="1" t="s">
        <v>799</v>
      </c>
      <c r="E304" s="1" t="s">
        <v>800</v>
      </c>
      <c r="F304" s="1" t="s">
        <v>112</v>
      </c>
      <c r="G304" s="1">
        <v>9647</v>
      </c>
    </row>
    <row r="305" spans="1:7" x14ac:dyDescent="0.35">
      <c r="A305" s="1" t="str">
        <f t="shared" si="4"/>
        <v>10  BPA 3</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801</v>
      </c>
      <c r="D305" s="1" t="s">
        <v>802</v>
      </c>
      <c r="E305" s="1" t="s">
        <v>803</v>
      </c>
      <c r="F305" s="1" t="s">
        <v>112</v>
      </c>
      <c r="G305" s="1">
        <v>144315</v>
      </c>
    </row>
    <row r="306" spans="1:7" x14ac:dyDescent="0.35">
      <c r="A306" s="1" t="str">
        <f t="shared" si="4"/>
        <v>10  BPA 3</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804</v>
      </c>
      <c r="D306" s="1" t="s">
        <v>759</v>
      </c>
      <c r="E306" s="1" t="s">
        <v>805</v>
      </c>
      <c r="F306" s="1" t="s">
        <v>112</v>
      </c>
      <c r="G306" s="1">
        <v>54767</v>
      </c>
    </row>
    <row r="307" spans="1:7" x14ac:dyDescent="0.35">
      <c r="A307" s="1" t="str">
        <f t="shared" si="4"/>
        <v>10  BPA 3</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806</v>
      </c>
      <c r="D307" s="1" t="s">
        <v>807</v>
      </c>
      <c r="E307" s="1" t="s">
        <v>808</v>
      </c>
      <c r="F307" s="1" t="s">
        <v>112</v>
      </c>
      <c r="G307" s="1">
        <v>31234</v>
      </c>
    </row>
    <row r="308" spans="1:7" x14ac:dyDescent="0.35">
      <c r="A308" s="1" t="str">
        <f t="shared" si="4"/>
        <v>10  BPA 3</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809</v>
      </c>
      <c r="D308" s="1" t="s">
        <v>810</v>
      </c>
      <c r="E308" s="1" t="s">
        <v>811</v>
      </c>
      <c r="F308" s="1" t="s">
        <v>112</v>
      </c>
      <c r="G308" s="1">
        <v>2873813</v>
      </c>
    </row>
    <row r="309" spans="1:7" x14ac:dyDescent="0.35">
      <c r="A309" s="1" t="str">
        <f t="shared" si="4"/>
        <v>10  BPA 3</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812</v>
      </c>
      <c r="D309" s="1" t="s">
        <v>813</v>
      </c>
      <c r="E309" s="1" t="s">
        <v>814</v>
      </c>
      <c r="F309" s="1" t="s">
        <v>112</v>
      </c>
      <c r="G309" s="1">
        <v>3204382</v>
      </c>
    </row>
    <row r="310" spans="1:7" x14ac:dyDescent="0.35">
      <c r="A310" s="1" t="str">
        <f t="shared" si="4"/>
        <v>10  BPA 3</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815</v>
      </c>
      <c r="D310" s="1" t="s">
        <v>816</v>
      </c>
      <c r="E310" s="1" t="s">
        <v>817</v>
      </c>
      <c r="F310" s="1" t="s">
        <v>112</v>
      </c>
      <c r="G310" s="1">
        <v>3021653</v>
      </c>
    </row>
    <row r="311" spans="1:7" x14ac:dyDescent="0.35">
      <c r="A311" s="1" t="str">
        <f t="shared" si="4"/>
        <v>10  BPA 3</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818</v>
      </c>
    </row>
    <row r="312" spans="1:7" x14ac:dyDescent="0.35">
      <c r="A312" s="1" t="str">
        <f t="shared" si="4"/>
        <v>10  BPA 3</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819</v>
      </c>
      <c r="D312" s="1" t="s">
        <v>328</v>
      </c>
      <c r="E312" s="1" t="s">
        <v>820</v>
      </c>
      <c r="F312" s="1" t="s">
        <v>112</v>
      </c>
      <c r="G312" s="1">
        <v>59590</v>
      </c>
    </row>
    <row r="313" spans="1:7" x14ac:dyDescent="0.35">
      <c r="A313" s="1" t="str">
        <f t="shared" si="4"/>
        <v>10  BPA 3</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821</v>
      </c>
      <c r="D313" s="1" t="s">
        <v>662</v>
      </c>
      <c r="E313" s="1" t="s">
        <v>822</v>
      </c>
      <c r="F313" s="1" t="s">
        <v>112</v>
      </c>
      <c r="G313" s="1">
        <v>68242</v>
      </c>
    </row>
    <row r="314" spans="1:7" x14ac:dyDescent="0.35">
      <c r="A314" s="1" t="str">
        <f t="shared" si="4"/>
        <v>10  BPA 3</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823</v>
      </c>
      <c r="D314" s="1" t="s">
        <v>824</v>
      </c>
      <c r="E314" s="1" t="s">
        <v>825</v>
      </c>
      <c r="F314" s="1" t="s">
        <v>112</v>
      </c>
      <c r="G314" s="1">
        <v>1202254</v>
      </c>
    </row>
    <row r="315" spans="1:7" x14ac:dyDescent="0.35">
      <c r="A315" s="1" t="str">
        <f t="shared" si="4"/>
        <v>10  BPA 3</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826</v>
      </c>
      <c r="D315" s="1" t="s">
        <v>827</v>
      </c>
      <c r="E315" s="1" t="s">
        <v>828</v>
      </c>
      <c r="F315" s="1" t="s">
        <v>112</v>
      </c>
      <c r="G315" s="1">
        <v>1089995</v>
      </c>
    </row>
    <row r="316" spans="1:7" x14ac:dyDescent="0.35">
      <c r="A316" s="1" t="str">
        <f t="shared" si="4"/>
        <v>10  BPA 3</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829</v>
      </c>
      <c r="D316" s="1" t="s">
        <v>830</v>
      </c>
      <c r="E316" s="1" t="s">
        <v>831</v>
      </c>
      <c r="F316" s="1" t="s">
        <v>112</v>
      </c>
      <c r="G316" s="1">
        <v>902248</v>
      </c>
    </row>
    <row r="317" spans="1:7" x14ac:dyDescent="0.35">
      <c r="A317" s="1" t="str">
        <f t="shared" si="4"/>
        <v>10  BPA 3</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832</v>
      </c>
    </row>
    <row r="318" spans="1:7" x14ac:dyDescent="0.35">
      <c r="A318" s="1" t="str">
        <f t="shared" si="4"/>
        <v>10  BPA 3</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833</v>
      </c>
      <c r="D318" s="1" t="s">
        <v>759</v>
      </c>
      <c r="E318" s="1" t="s">
        <v>834</v>
      </c>
      <c r="F318" s="1" t="s">
        <v>112</v>
      </c>
      <c r="G318" s="1">
        <v>55719</v>
      </c>
    </row>
    <row r="319" spans="1:7" x14ac:dyDescent="0.35">
      <c r="A319" s="1" t="str">
        <f t="shared" si="4"/>
        <v>10  BPA 3</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835</v>
      </c>
    </row>
    <row r="320" spans="1:7" x14ac:dyDescent="0.35">
      <c r="A320" s="1" t="str">
        <f t="shared" si="4"/>
        <v>10  BPA 3</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836</v>
      </c>
      <c r="D320" s="1" t="s">
        <v>711</v>
      </c>
      <c r="E320" s="1" t="s">
        <v>837</v>
      </c>
      <c r="F320" s="1" t="s">
        <v>112</v>
      </c>
      <c r="G320" s="1">
        <v>52626</v>
      </c>
    </row>
    <row r="321" spans="1:9" x14ac:dyDescent="0.35">
      <c r="A321" s="1" t="str">
        <f t="shared" si="4"/>
        <v>10  BPA 3</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838</v>
      </c>
      <c r="D321" s="1" t="s">
        <v>179</v>
      </c>
      <c r="E321" s="1" t="s">
        <v>839</v>
      </c>
      <c r="F321" s="1" t="s">
        <v>112</v>
      </c>
      <c r="G321" s="1">
        <v>39453</v>
      </c>
    </row>
    <row r="322" spans="1:9" x14ac:dyDescent="0.35">
      <c r="A322" s="1" t="str">
        <f t="shared" ref="A322:A385" si="5">IFERROR(LEFT(RIGHT(C322,LEN(C322)-SEARCH("@",C322)),SEARCH("/",RIGHT(C322,LEN(C322)-SEARCH("@",C322)-1))),"")</f>
        <v>10  BPA 3</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840</v>
      </c>
      <c r="D322" s="1" t="s">
        <v>749</v>
      </c>
      <c r="E322" s="1" t="s">
        <v>841</v>
      </c>
      <c r="F322" s="1" t="s">
        <v>112</v>
      </c>
      <c r="G322" s="1">
        <v>76483</v>
      </c>
    </row>
    <row r="323" spans="1:9"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9"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241</v>
      </c>
      <c r="D324" s="1" t="s">
        <v>112</v>
      </c>
      <c r="E324" s="1" t="s">
        <v>242</v>
      </c>
      <c r="F324" s="1" t="s">
        <v>243</v>
      </c>
      <c r="G324" s="1" t="s">
        <v>244</v>
      </c>
      <c r="H324" s="1" t="s">
        <v>245</v>
      </c>
      <c r="I324" s="1" t="s">
        <v>246</v>
      </c>
    </row>
    <row r="325" spans="1:9" x14ac:dyDescent="0.35">
      <c r="A325" s="1" t="str">
        <f t="shared" si="5"/>
        <v>10  BPA 3</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842</v>
      </c>
      <c r="D325" s="1" t="s">
        <v>112</v>
      </c>
      <c r="E325" s="1" t="s">
        <v>843</v>
      </c>
      <c r="F325" s="1" t="s">
        <v>844</v>
      </c>
      <c r="G325" s="1" t="s">
        <v>845</v>
      </c>
      <c r="H325" s="1" t="s">
        <v>846</v>
      </c>
      <c r="I325" s="1">
        <v>24</v>
      </c>
    </row>
    <row r="326" spans="1:9"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9"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9"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9"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9"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9"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252</v>
      </c>
      <c r="D331" s="1" t="s">
        <v>110</v>
      </c>
      <c r="E331" s="1" t="s">
        <v>111</v>
      </c>
      <c r="F331" s="1" t="s">
        <v>112</v>
      </c>
      <c r="G331" s="1" t="s">
        <v>113</v>
      </c>
    </row>
    <row r="332" spans="1:9" x14ac:dyDescent="0.35">
      <c r="A332" s="1" t="str">
        <f t="shared" si="5"/>
        <v>11 BPA 4</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847</v>
      </c>
      <c r="D332" s="1" t="s">
        <v>848</v>
      </c>
      <c r="E332" s="1" t="s">
        <v>849</v>
      </c>
      <c r="F332" s="1" t="s">
        <v>112</v>
      </c>
      <c r="G332" s="1">
        <v>1733744</v>
      </c>
    </row>
    <row r="333" spans="1:9" x14ac:dyDescent="0.35">
      <c r="A333" s="1" t="str">
        <f t="shared" si="5"/>
        <v>11 BPA 4</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850</v>
      </c>
    </row>
    <row r="334" spans="1:9" x14ac:dyDescent="0.35">
      <c r="A334" s="1" t="str">
        <f t="shared" si="5"/>
        <v>11 BPA 4</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851</v>
      </c>
      <c r="D334" s="1" t="s">
        <v>852</v>
      </c>
      <c r="E334" s="1" t="s">
        <v>853</v>
      </c>
      <c r="F334" s="1" t="s">
        <v>112</v>
      </c>
      <c r="G334" s="1">
        <v>1804344</v>
      </c>
    </row>
    <row r="335" spans="1:9" x14ac:dyDescent="0.35">
      <c r="A335" s="1" t="str">
        <f t="shared" si="5"/>
        <v>11 BPA 4</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854</v>
      </c>
      <c r="D335" s="1" t="s">
        <v>855</v>
      </c>
      <c r="E335" s="1" t="s">
        <v>856</v>
      </c>
      <c r="F335" s="1" t="s">
        <v>112</v>
      </c>
      <c r="G335" s="1">
        <v>3396196</v>
      </c>
    </row>
    <row r="336" spans="1:9" x14ac:dyDescent="0.35">
      <c r="A336" s="1" t="str">
        <f t="shared" si="5"/>
        <v>11 BPA 4</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857</v>
      </c>
      <c r="D336" s="1" t="s">
        <v>858</v>
      </c>
      <c r="E336" s="1" t="s">
        <v>859</v>
      </c>
      <c r="F336" s="1" t="s">
        <v>112</v>
      </c>
      <c r="G336" s="1">
        <v>3520568</v>
      </c>
    </row>
    <row r="337" spans="1:7" x14ac:dyDescent="0.35">
      <c r="A337" s="1" t="str">
        <f t="shared" si="5"/>
        <v>11 BPA 4</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860</v>
      </c>
      <c r="D337" s="1" t="s">
        <v>861</v>
      </c>
      <c r="E337" s="1" t="s">
        <v>862</v>
      </c>
      <c r="F337" s="1" t="s">
        <v>112</v>
      </c>
      <c r="G337" s="1">
        <v>3247166</v>
      </c>
    </row>
    <row r="338" spans="1:7" x14ac:dyDescent="0.35">
      <c r="A338" s="1" t="str">
        <f t="shared" si="5"/>
        <v>11 BPA 4</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863</v>
      </c>
      <c r="D338" s="1" t="s">
        <v>864</v>
      </c>
      <c r="E338" s="1" t="s">
        <v>865</v>
      </c>
      <c r="F338" s="1" t="s">
        <v>112</v>
      </c>
      <c r="G338" s="1">
        <v>378523</v>
      </c>
    </row>
    <row r="339" spans="1:7" x14ac:dyDescent="0.35">
      <c r="A339" s="1" t="str">
        <f t="shared" si="5"/>
        <v>11 BPA 4</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866</v>
      </c>
      <c r="D339" s="1" t="s">
        <v>867</v>
      </c>
      <c r="E339" s="1" t="s">
        <v>868</v>
      </c>
      <c r="F339" s="1" t="s">
        <v>112</v>
      </c>
      <c r="G339" s="1">
        <v>572998</v>
      </c>
    </row>
    <row r="340" spans="1:7" x14ac:dyDescent="0.35">
      <c r="A340" s="1" t="str">
        <f t="shared" si="5"/>
        <v>11 BPA 4</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869</v>
      </c>
      <c r="D340" s="1" t="s">
        <v>870</v>
      </c>
      <c r="E340" s="1" t="s">
        <v>871</v>
      </c>
      <c r="F340" s="1" t="s">
        <v>112</v>
      </c>
      <c r="G340" s="1">
        <v>302732</v>
      </c>
    </row>
    <row r="341" spans="1:7" x14ac:dyDescent="0.35">
      <c r="A341" s="1" t="str">
        <f t="shared" si="5"/>
        <v>11 BPA 4</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872</v>
      </c>
    </row>
    <row r="342" spans="1:7" x14ac:dyDescent="0.35">
      <c r="A342" s="1" t="str">
        <f t="shared" si="5"/>
        <v>11 BPA 4</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873</v>
      </c>
    </row>
    <row r="343" spans="1:7" x14ac:dyDescent="0.35">
      <c r="A343" s="1" t="str">
        <f t="shared" si="5"/>
        <v>11 BPA 4</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874</v>
      </c>
      <c r="D343" s="1" t="s">
        <v>875</v>
      </c>
      <c r="E343" s="1" t="s">
        <v>876</v>
      </c>
      <c r="F343" s="1" t="s">
        <v>112</v>
      </c>
      <c r="G343" s="1">
        <v>16395</v>
      </c>
    </row>
    <row r="344" spans="1:7" x14ac:dyDescent="0.35">
      <c r="A344" s="1" t="str">
        <f t="shared" si="5"/>
        <v>11 BPA 4</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877</v>
      </c>
      <c r="D344" s="1" t="s">
        <v>299</v>
      </c>
      <c r="E344" s="1" t="s">
        <v>878</v>
      </c>
      <c r="F344" s="1" t="s">
        <v>112</v>
      </c>
      <c r="G344" s="1">
        <v>265399</v>
      </c>
    </row>
    <row r="345" spans="1:7" x14ac:dyDescent="0.35">
      <c r="A345" s="1" t="str">
        <f t="shared" si="5"/>
        <v>11 BPA 4</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879</v>
      </c>
      <c r="D345" s="1" t="s">
        <v>445</v>
      </c>
      <c r="E345" s="1" t="s">
        <v>880</v>
      </c>
      <c r="F345" s="1" t="s">
        <v>112</v>
      </c>
      <c r="G345" s="1">
        <v>416202</v>
      </c>
    </row>
    <row r="346" spans="1:7" x14ac:dyDescent="0.35">
      <c r="A346" s="1" t="str">
        <f t="shared" si="5"/>
        <v>11 BPA 4</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881</v>
      </c>
      <c r="D346" s="1" t="s">
        <v>882</v>
      </c>
      <c r="E346" s="1" t="s">
        <v>883</v>
      </c>
      <c r="F346" s="1" t="s">
        <v>112</v>
      </c>
      <c r="G346" s="1">
        <v>298882</v>
      </c>
    </row>
    <row r="347" spans="1:7" x14ac:dyDescent="0.35">
      <c r="A347" s="1" t="str">
        <f t="shared" si="5"/>
        <v>11 BPA 4</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884</v>
      </c>
    </row>
    <row r="348" spans="1:7" x14ac:dyDescent="0.35">
      <c r="A348" s="1" t="str">
        <f t="shared" si="5"/>
        <v>11 BPA 4</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885</v>
      </c>
      <c r="D348" s="1" t="s">
        <v>217</v>
      </c>
      <c r="E348" s="1" t="s">
        <v>678</v>
      </c>
      <c r="F348" s="1" t="s">
        <v>112</v>
      </c>
      <c r="G348" s="1">
        <v>25740</v>
      </c>
    </row>
    <row r="349" spans="1:7" x14ac:dyDescent="0.35">
      <c r="A349" s="1" t="str">
        <f t="shared" si="5"/>
        <v>11 BPA 4</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886</v>
      </c>
      <c r="D349" s="1" t="s">
        <v>222</v>
      </c>
      <c r="E349" s="1" t="s">
        <v>887</v>
      </c>
      <c r="F349" s="1" t="s">
        <v>112</v>
      </c>
      <c r="G349" s="1">
        <v>13670</v>
      </c>
    </row>
    <row r="350" spans="1:7" x14ac:dyDescent="0.35">
      <c r="A350" s="1" t="str">
        <f t="shared" si="5"/>
        <v>11 BPA 4</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888</v>
      </c>
      <c r="D350" s="1" t="s">
        <v>889</v>
      </c>
      <c r="E350" s="1" t="s">
        <v>890</v>
      </c>
      <c r="F350" s="1" t="s">
        <v>112</v>
      </c>
      <c r="G350" s="1">
        <v>4508643</v>
      </c>
    </row>
    <row r="351" spans="1:7" x14ac:dyDescent="0.35">
      <c r="A351" s="1" t="str">
        <f t="shared" si="5"/>
        <v>11 BPA 4</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891</v>
      </c>
      <c r="D351" s="1" t="s">
        <v>892</v>
      </c>
      <c r="E351" s="1" t="s">
        <v>893</v>
      </c>
      <c r="F351" s="1" t="s">
        <v>112</v>
      </c>
      <c r="G351" s="1">
        <v>4942690</v>
      </c>
    </row>
    <row r="352" spans="1:7" x14ac:dyDescent="0.35">
      <c r="A352" s="1" t="str">
        <f t="shared" si="5"/>
        <v>11 BPA 4</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894</v>
      </c>
      <c r="D352" s="1" t="s">
        <v>895</v>
      </c>
      <c r="E352" s="1" t="s">
        <v>896</v>
      </c>
      <c r="F352" s="1" t="s">
        <v>112</v>
      </c>
      <c r="G352" s="1">
        <v>4897203</v>
      </c>
    </row>
    <row r="353" spans="1:9" x14ac:dyDescent="0.35">
      <c r="A353" s="1" t="str">
        <f t="shared" si="5"/>
        <v>11 BPA 4</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897</v>
      </c>
      <c r="D353" s="1" t="s">
        <v>898</v>
      </c>
      <c r="E353" s="1" t="s">
        <v>899</v>
      </c>
      <c r="F353" s="1" t="s">
        <v>112</v>
      </c>
      <c r="G353" s="1">
        <v>2161064</v>
      </c>
    </row>
    <row r="354" spans="1:9" x14ac:dyDescent="0.35">
      <c r="A354" s="1" t="str">
        <f t="shared" si="5"/>
        <v>11 BPA 4</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900</v>
      </c>
      <c r="D354" s="1" t="s">
        <v>901</v>
      </c>
      <c r="E354" s="1" t="s">
        <v>902</v>
      </c>
      <c r="F354" s="1" t="s">
        <v>112</v>
      </c>
      <c r="G354" s="1">
        <v>2222472</v>
      </c>
    </row>
    <row r="355" spans="1:9" x14ac:dyDescent="0.35">
      <c r="A355" s="1" t="str">
        <f t="shared" si="5"/>
        <v>11 BPA 4</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903</v>
      </c>
      <c r="D355" s="1" t="s">
        <v>904</v>
      </c>
      <c r="E355" s="1" t="s">
        <v>905</v>
      </c>
      <c r="F355" s="1" t="s">
        <v>112</v>
      </c>
      <c r="G355" s="1">
        <v>2396679</v>
      </c>
    </row>
    <row r="356" spans="1:9"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9"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241</v>
      </c>
      <c r="D357" s="1" t="s">
        <v>112</v>
      </c>
      <c r="E357" s="1" t="s">
        <v>242</v>
      </c>
      <c r="F357" s="1" t="s">
        <v>243</v>
      </c>
      <c r="G357" s="1" t="s">
        <v>244</v>
      </c>
      <c r="H357" s="1" t="s">
        <v>245</v>
      </c>
      <c r="I357" s="1" t="s">
        <v>246</v>
      </c>
    </row>
    <row r="358" spans="1:9" x14ac:dyDescent="0.35">
      <c r="A358" s="1" t="str">
        <f t="shared" si="5"/>
        <v>11 BPA 4</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906</v>
      </c>
      <c r="D358" s="1" t="s">
        <v>112</v>
      </c>
      <c r="E358" s="1" t="s">
        <v>907</v>
      </c>
      <c r="F358" s="1" t="s">
        <v>908</v>
      </c>
      <c r="G358" s="1" t="s">
        <v>909</v>
      </c>
      <c r="H358" s="1" t="s">
        <v>910</v>
      </c>
      <c r="I358" s="1">
        <v>24</v>
      </c>
    </row>
    <row r="359" spans="1:9"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9"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9"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9"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9"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9"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252</v>
      </c>
      <c r="D364" s="1" t="s">
        <v>110</v>
      </c>
      <c r="E364" s="1" t="s">
        <v>111</v>
      </c>
      <c r="F364" s="1" t="s">
        <v>112</v>
      </c>
      <c r="G364" s="1" t="s">
        <v>113</v>
      </c>
    </row>
    <row r="365" spans="1:9" x14ac:dyDescent="0.35">
      <c r="A365" s="1" t="str">
        <f t="shared" si="5"/>
        <v>12  BPA 5</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911</v>
      </c>
      <c r="D365" s="1" t="s">
        <v>912</v>
      </c>
      <c r="E365" s="1" t="s">
        <v>913</v>
      </c>
      <c r="F365" s="1" t="s">
        <v>112</v>
      </c>
      <c r="G365" s="1">
        <v>3871730</v>
      </c>
    </row>
    <row r="366" spans="1:9" x14ac:dyDescent="0.35">
      <c r="A366" s="1" t="str">
        <f t="shared" si="5"/>
        <v>12  BPA 5</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914</v>
      </c>
      <c r="D366" s="1" t="s">
        <v>915</v>
      </c>
      <c r="E366" s="1" t="s">
        <v>916</v>
      </c>
      <c r="F366" s="1" t="s">
        <v>112</v>
      </c>
      <c r="G366" s="1">
        <v>3805347</v>
      </c>
    </row>
    <row r="367" spans="1:9" x14ac:dyDescent="0.35">
      <c r="A367" s="1" t="str">
        <f t="shared" si="5"/>
        <v>12  BPA 5</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917</v>
      </c>
      <c r="D367" s="1" t="s">
        <v>918</v>
      </c>
      <c r="E367" s="1" t="s">
        <v>919</v>
      </c>
      <c r="F367" s="1" t="s">
        <v>112</v>
      </c>
      <c r="G367" s="1">
        <v>3576070</v>
      </c>
    </row>
    <row r="368" spans="1:9" x14ac:dyDescent="0.35">
      <c r="A368" s="1" t="str">
        <f t="shared" si="5"/>
        <v>12  BPA 5</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920</v>
      </c>
    </row>
    <row r="369" spans="1:7" x14ac:dyDescent="0.35">
      <c r="A369" s="1" t="str">
        <f t="shared" si="5"/>
        <v>12  BPA 5</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921</v>
      </c>
      <c r="D369" s="1" t="s">
        <v>672</v>
      </c>
      <c r="E369" s="1" t="s">
        <v>922</v>
      </c>
      <c r="F369" s="1" t="s">
        <v>112</v>
      </c>
      <c r="G369" s="1">
        <v>23404</v>
      </c>
    </row>
    <row r="370" spans="1:7" x14ac:dyDescent="0.35">
      <c r="A370" s="1" t="str">
        <f t="shared" si="5"/>
        <v>12  BPA 5</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923</v>
      </c>
      <c r="D370" s="1" t="s">
        <v>924</v>
      </c>
      <c r="E370" s="1" t="s">
        <v>925</v>
      </c>
      <c r="F370" s="1" t="s">
        <v>112</v>
      </c>
      <c r="G370" s="1">
        <v>106376</v>
      </c>
    </row>
    <row r="371" spans="1:7" x14ac:dyDescent="0.35">
      <c r="A371" s="1" t="str">
        <f t="shared" si="5"/>
        <v>12  BPA 5</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926</v>
      </c>
      <c r="D371" s="1" t="s">
        <v>752</v>
      </c>
      <c r="E371" s="1" t="s">
        <v>927</v>
      </c>
      <c r="F371" s="1" t="s">
        <v>112</v>
      </c>
      <c r="G371" s="1">
        <v>82821</v>
      </c>
    </row>
    <row r="372" spans="1:7" x14ac:dyDescent="0.35">
      <c r="A372" s="1" t="str">
        <f t="shared" si="5"/>
        <v>12  BPA 5</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928</v>
      </c>
      <c r="D372" s="1" t="s">
        <v>350</v>
      </c>
      <c r="E372" s="1" t="s">
        <v>929</v>
      </c>
      <c r="F372" s="1" t="s">
        <v>112</v>
      </c>
      <c r="G372" s="1">
        <v>162051</v>
      </c>
    </row>
    <row r="373" spans="1:7" x14ac:dyDescent="0.35">
      <c r="A373" s="1" t="str">
        <f t="shared" si="5"/>
        <v>12  BPA 5</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930</v>
      </c>
      <c r="D373" s="1" t="s">
        <v>931</v>
      </c>
      <c r="E373" s="1" t="s">
        <v>932</v>
      </c>
      <c r="F373" s="1" t="s">
        <v>112</v>
      </c>
      <c r="G373" s="1">
        <v>287980</v>
      </c>
    </row>
    <row r="374" spans="1:7" x14ac:dyDescent="0.35">
      <c r="A374" s="1" t="str">
        <f t="shared" si="5"/>
        <v>12  BPA 5</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933</v>
      </c>
      <c r="D374" s="1" t="s">
        <v>176</v>
      </c>
      <c r="E374" s="1" t="s">
        <v>934</v>
      </c>
      <c r="F374" s="1" t="s">
        <v>112</v>
      </c>
      <c r="G374" s="1">
        <v>17866</v>
      </c>
    </row>
    <row r="375" spans="1:7" x14ac:dyDescent="0.35">
      <c r="A375" s="1" t="str">
        <f t="shared" si="5"/>
        <v>12  BPA 5</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935</v>
      </c>
      <c r="D375" s="1" t="s">
        <v>191</v>
      </c>
      <c r="E375" s="1" t="s">
        <v>936</v>
      </c>
      <c r="F375" s="1" t="s">
        <v>112</v>
      </c>
      <c r="G375" s="1">
        <v>12199</v>
      </c>
    </row>
    <row r="376" spans="1:7" x14ac:dyDescent="0.35">
      <c r="A376" s="1" t="str">
        <f t="shared" si="5"/>
        <v>12  BPA 5</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937</v>
      </c>
      <c r="D376" s="1" t="s">
        <v>239</v>
      </c>
      <c r="E376" s="1" t="s">
        <v>228</v>
      </c>
      <c r="F376" s="1" t="s">
        <v>112</v>
      </c>
      <c r="G376" s="1">
        <v>20657</v>
      </c>
    </row>
    <row r="377" spans="1:7" x14ac:dyDescent="0.35">
      <c r="A377" s="1" t="str">
        <f t="shared" si="5"/>
        <v>12  BPA 5</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938</v>
      </c>
      <c r="D377" s="1" t="s">
        <v>939</v>
      </c>
      <c r="E377" s="1" t="s">
        <v>940</v>
      </c>
      <c r="F377" s="1" t="s">
        <v>112</v>
      </c>
      <c r="G377" s="1">
        <v>2643108</v>
      </c>
    </row>
    <row r="378" spans="1:7" x14ac:dyDescent="0.35">
      <c r="A378" s="1" t="str">
        <f t="shared" si="5"/>
        <v>12  BPA 5</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941</v>
      </c>
      <c r="D378" s="1" t="s">
        <v>942</v>
      </c>
      <c r="E378" s="1" t="s">
        <v>943</v>
      </c>
      <c r="F378" s="1" t="s">
        <v>112</v>
      </c>
      <c r="G378" s="1">
        <v>2533596</v>
      </c>
    </row>
    <row r="379" spans="1:7" x14ac:dyDescent="0.35">
      <c r="A379" s="1" t="str">
        <f t="shared" si="5"/>
        <v>12  BPA 5</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944</v>
      </c>
      <c r="D379" s="1" t="s">
        <v>945</v>
      </c>
      <c r="E379" s="1" t="s">
        <v>946</v>
      </c>
      <c r="F379" s="1" t="s">
        <v>112</v>
      </c>
      <c r="G379" s="1">
        <v>2323829</v>
      </c>
    </row>
    <row r="380" spans="1:7" x14ac:dyDescent="0.35">
      <c r="A380" s="1" t="str">
        <f t="shared" si="5"/>
        <v>12  BPA 5</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947</v>
      </c>
      <c r="D380" s="1" t="s">
        <v>948</v>
      </c>
      <c r="E380" s="1" t="s">
        <v>949</v>
      </c>
      <c r="F380" s="1" t="s">
        <v>112</v>
      </c>
      <c r="G380" s="1">
        <v>3669533</v>
      </c>
    </row>
    <row r="381" spans="1:7" x14ac:dyDescent="0.35">
      <c r="A381" s="1" t="str">
        <f t="shared" si="5"/>
        <v>12  BPA 5</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950</v>
      </c>
      <c r="D381" s="1" t="s">
        <v>951</v>
      </c>
      <c r="E381" s="1" t="s">
        <v>952</v>
      </c>
      <c r="F381" s="1" t="s">
        <v>112</v>
      </c>
      <c r="G381" s="1">
        <v>3847785</v>
      </c>
    </row>
    <row r="382" spans="1:7" x14ac:dyDescent="0.35">
      <c r="A382" s="1" t="str">
        <f t="shared" si="5"/>
        <v>12  BPA 5</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953</v>
      </c>
      <c r="D382" s="1" t="s">
        <v>954</v>
      </c>
      <c r="E382" s="1" t="s">
        <v>955</v>
      </c>
      <c r="F382" s="1" t="s">
        <v>112</v>
      </c>
      <c r="G382" s="1">
        <v>3861109</v>
      </c>
    </row>
    <row r="383" spans="1:7" x14ac:dyDescent="0.35">
      <c r="A383" s="1" t="str">
        <f t="shared" si="5"/>
        <v>12  BPA 5</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956</v>
      </c>
    </row>
    <row r="384" spans="1:7" x14ac:dyDescent="0.35">
      <c r="A384" s="1" t="str">
        <f t="shared" si="5"/>
        <v>12  BPA 5</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957</v>
      </c>
      <c r="D384" s="1" t="s">
        <v>958</v>
      </c>
      <c r="E384" s="1" t="s">
        <v>959</v>
      </c>
      <c r="F384" s="1" t="s">
        <v>112</v>
      </c>
      <c r="G384" s="1">
        <v>2913093</v>
      </c>
    </row>
    <row r="385" spans="1:9" x14ac:dyDescent="0.35">
      <c r="A385" s="1" t="str">
        <f t="shared" si="5"/>
        <v>12  BPA 5</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960</v>
      </c>
      <c r="D385" s="1" t="s">
        <v>961</v>
      </c>
      <c r="E385" s="1" t="s">
        <v>962</v>
      </c>
      <c r="F385" s="1" t="s">
        <v>112</v>
      </c>
      <c r="G385" s="1">
        <v>2876495</v>
      </c>
    </row>
    <row r="386" spans="1:9" x14ac:dyDescent="0.35">
      <c r="A386" s="1" t="str">
        <f t="shared" ref="A386:A449" si="6">IFERROR(LEFT(RIGHT(C386,LEN(C386)-SEARCH("@",C386)),SEARCH("/",RIGHT(C386,LEN(C386)-SEARCH("@",C386)-1))),"")</f>
        <v>12  BPA 5</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963</v>
      </c>
      <c r="D386" s="1" t="s">
        <v>964</v>
      </c>
      <c r="E386" s="1" t="s">
        <v>965</v>
      </c>
      <c r="F386" s="1" t="s">
        <v>112</v>
      </c>
      <c r="G386" s="1">
        <v>3777856</v>
      </c>
    </row>
    <row r="387" spans="1:9" x14ac:dyDescent="0.35">
      <c r="A387" s="1" t="str">
        <f t="shared" si="6"/>
        <v>12  BPA 5</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966</v>
      </c>
      <c r="D387" s="1" t="s">
        <v>967</v>
      </c>
      <c r="E387" s="1" t="s">
        <v>968</v>
      </c>
      <c r="F387" s="1" t="s">
        <v>112</v>
      </c>
      <c r="G387" s="1">
        <v>3558247</v>
      </c>
    </row>
    <row r="388" spans="1:9" x14ac:dyDescent="0.35">
      <c r="A388" s="1" t="str">
        <f t="shared" si="6"/>
        <v>12  BPA 5</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969</v>
      </c>
      <c r="D388" s="1" t="s">
        <v>970</v>
      </c>
      <c r="E388" s="1" t="s">
        <v>971</v>
      </c>
      <c r="F388" s="1" t="s">
        <v>112</v>
      </c>
      <c r="G388" s="1">
        <v>4012108</v>
      </c>
    </row>
    <row r="389" spans="1:9"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9"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241</v>
      </c>
      <c r="D390" s="1" t="s">
        <v>112</v>
      </c>
      <c r="E390" s="1" t="s">
        <v>242</v>
      </c>
      <c r="F390" s="1" t="s">
        <v>243</v>
      </c>
      <c r="G390" s="1" t="s">
        <v>244</v>
      </c>
      <c r="H390" s="1" t="s">
        <v>245</v>
      </c>
      <c r="I390" s="1" t="s">
        <v>246</v>
      </c>
    </row>
    <row r="391" spans="1:9" x14ac:dyDescent="0.35">
      <c r="A391" s="1" t="str">
        <f t="shared" si="6"/>
        <v>12  BPA 5</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972</v>
      </c>
      <c r="D391" s="1" t="s">
        <v>112</v>
      </c>
      <c r="E391" s="1" t="s">
        <v>973</v>
      </c>
      <c r="F391" s="1" t="s">
        <v>974</v>
      </c>
      <c r="G391" s="1" t="s">
        <v>975</v>
      </c>
      <c r="H391" s="1" t="s">
        <v>976</v>
      </c>
      <c r="I391" s="1">
        <v>24</v>
      </c>
    </row>
    <row r="392" spans="1:9"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9"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9"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9"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9"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9"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252</v>
      </c>
      <c r="D397" s="1" t="s">
        <v>110</v>
      </c>
      <c r="E397" s="1" t="s">
        <v>111</v>
      </c>
      <c r="F397" s="1" t="s">
        <v>112</v>
      </c>
      <c r="G397" s="1" t="s">
        <v>113</v>
      </c>
    </row>
    <row r="398" spans="1:9" x14ac:dyDescent="0.35">
      <c r="A398" s="1" t="str">
        <f t="shared" si="6"/>
        <v>13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977</v>
      </c>
      <c r="D398" s="1" t="s">
        <v>978</v>
      </c>
      <c r="E398" s="1" t="s">
        <v>979</v>
      </c>
      <c r="F398" s="1" t="s">
        <v>112</v>
      </c>
      <c r="G398" s="1">
        <v>1037867</v>
      </c>
    </row>
    <row r="399" spans="1:9" x14ac:dyDescent="0.35">
      <c r="A399" s="1" t="str">
        <f t="shared" si="6"/>
        <v>13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980</v>
      </c>
      <c r="D399" s="1" t="s">
        <v>981</v>
      </c>
      <c r="E399" s="1" t="s">
        <v>982</v>
      </c>
      <c r="F399" s="1" t="s">
        <v>112</v>
      </c>
      <c r="G399" s="1">
        <v>911614</v>
      </c>
    </row>
    <row r="400" spans="1:9" x14ac:dyDescent="0.35">
      <c r="A400" s="1" t="str">
        <f t="shared" si="6"/>
        <v>13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983</v>
      </c>
      <c r="D400" s="1" t="s">
        <v>984</v>
      </c>
      <c r="E400" s="1" t="s">
        <v>985</v>
      </c>
      <c r="F400" s="1" t="s">
        <v>112</v>
      </c>
      <c r="G400" s="1">
        <v>1069231</v>
      </c>
    </row>
    <row r="401" spans="1:7" x14ac:dyDescent="0.35">
      <c r="A401" s="1" t="str">
        <f t="shared" si="6"/>
        <v>13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986</v>
      </c>
      <c r="D401" s="1" t="s">
        <v>987</v>
      </c>
      <c r="E401" s="1" t="s">
        <v>988</v>
      </c>
      <c r="F401" s="1" t="s">
        <v>112</v>
      </c>
      <c r="G401" s="1">
        <v>2767826</v>
      </c>
    </row>
    <row r="402" spans="1:7" x14ac:dyDescent="0.35">
      <c r="A402" s="1" t="str">
        <f t="shared" si="6"/>
        <v>13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989</v>
      </c>
      <c r="D402" s="1" t="s">
        <v>990</v>
      </c>
      <c r="E402" s="1" t="s">
        <v>991</v>
      </c>
      <c r="F402" s="1" t="s">
        <v>112</v>
      </c>
      <c r="G402" s="1">
        <v>3062944</v>
      </c>
    </row>
    <row r="403" spans="1:7" x14ac:dyDescent="0.35">
      <c r="A403" s="1" t="str">
        <f t="shared" si="6"/>
        <v>13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992</v>
      </c>
      <c r="D403" s="1" t="s">
        <v>993</v>
      </c>
      <c r="E403" s="1" t="s">
        <v>994</v>
      </c>
      <c r="F403" s="1" t="s">
        <v>112</v>
      </c>
      <c r="G403" s="1">
        <v>2859191</v>
      </c>
    </row>
    <row r="404" spans="1:7" x14ac:dyDescent="0.35">
      <c r="A404" s="1" t="str">
        <f t="shared" si="6"/>
        <v>13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995</v>
      </c>
      <c r="D404" s="1" t="s">
        <v>996</v>
      </c>
      <c r="E404" s="1" t="s">
        <v>997</v>
      </c>
      <c r="F404" s="1" t="s">
        <v>112</v>
      </c>
      <c r="G404" s="1">
        <v>222247</v>
      </c>
    </row>
    <row r="405" spans="1:7" x14ac:dyDescent="0.35">
      <c r="A405" s="1" t="str">
        <f t="shared" si="6"/>
        <v>13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998</v>
      </c>
      <c r="D405" s="1" t="s">
        <v>999</v>
      </c>
      <c r="E405" s="1" t="s">
        <v>1000</v>
      </c>
      <c r="F405" s="1" t="s">
        <v>112</v>
      </c>
      <c r="G405" s="1">
        <v>258780</v>
      </c>
    </row>
    <row r="406" spans="1:7" x14ac:dyDescent="0.35">
      <c r="A406" s="1" t="str">
        <f t="shared" si="6"/>
        <v>13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1001</v>
      </c>
      <c r="D406" s="1" t="s">
        <v>1002</v>
      </c>
      <c r="E406" s="1" t="s">
        <v>1003</v>
      </c>
      <c r="F406" s="1" t="s">
        <v>112</v>
      </c>
      <c r="G406" s="1">
        <v>305717</v>
      </c>
    </row>
    <row r="407" spans="1:7" x14ac:dyDescent="0.35">
      <c r="A407" s="1" t="str">
        <f t="shared" si="6"/>
        <v>13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1004</v>
      </c>
      <c r="D407" s="1" t="s">
        <v>1005</v>
      </c>
      <c r="E407" s="1" t="s">
        <v>1006</v>
      </c>
      <c r="F407" s="1" t="s">
        <v>112</v>
      </c>
      <c r="G407" s="1">
        <v>3519530</v>
      </c>
    </row>
    <row r="408" spans="1:7" x14ac:dyDescent="0.35">
      <c r="A408" s="1" t="str">
        <f t="shared" si="6"/>
        <v>13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1007</v>
      </c>
      <c r="D408" s="1" t="s">
        <v>1008</v>
      </c>
      <c r="E408" s="1" t="s">
        <v>1009</v>
      </c>
      <c r="F408" s="1" t="s">
        <v>112</v>
      </c>
      <c r="G408" s="1">
        <v>3627874</v>
      </c>
    </row>
    <row r="409" spans="1:7" x14ac:dyDescent="0.35">
      <c r="A409" s="1" t="str">
        <f t="shared" si="6"/>
        <v>13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1010</v>
      </c>
      <c r="D409" s="1" t="s">
        <v>1011</v>
      </c>
      <c r="E409" s="1" t="s">
        <v>1012</v>
      </c>
      <c r="F409" s="1" t="s">
        <v>112</v>
      </c>
      <c r="G409" s="1">
        <v>2982070</v>
      </c>
    </row>
    <row r="410" spans="1:7" x14ac:dyDescent="0.35">
      <c r="A410" s="1" t="str">
        <f t="shared" si="6"/>
        <v>13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1013</v>
      </c>
      <c r="D410" s="1" t="s">
        <v>1014</v>
      </c>
      <c r="E410" s="1" t="s">
        <v>1015</v>
      </c>
      <c r="F410" s="1" t="s">
        <v>112</v>
      </c>
      <c r="G410" s="1">
        <v>3754214</v>
      </c>
    </row>
    <row r="411" spans="1:7" x14ac:dyDescent="0.35">
      <c r="A411" s="1" t="str">
        <f t="shared" si="6"/>
        <v>13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1016</v>
      </c>
      <c r="D411" s="1" t="s">
        <v>1017</v>
      </c>
      <c r="E411" s="1" t="s">
        <v>1018</v>
      </c>
      <c r="F411" s="1" t="s">
        <v>112</v>
      </c>
      <c r="G411" s="1">
        <v>4083292</v>
      </c>
    </row>
    <row r="412" spans="1:7" x14ac:dyDescent="0.35">
      <c r="A412" s="1" t="str">
        <f t="shared" si="6"/>
        <v>13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1019</v>
      </c>
      <c r="D412" s="1" t="s">
        <v>1020</v>
      </c>
      <c r="E412" s="1" t="s">
        <v>1021</v>
      </c>
      <c r="F412" s="1" t="s">
        <v>112</v>
      </c>
      <c r="G412" s="1">
        <v>3834959</v>
      </c>
    </row>
    <row r="413" spans="1:7" x14ac:dyDescent="0.35">
      <c r="A413" s="1" t="str">
        <f t="shared" si="6"/>
        <v>13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1022</v>
      </c>
    </row>
    <row r="414" spans="1:7" x14ac:dyDescent="0.35">
      <c r="A414" s="1" t="str">
        <f t="shared" si="6"/>
        <v>13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1023</v>
      </c>
      <c r="D414" s="1" t="s">
        <v>1024</v>
      </c>
      <c r="E414" s="1" t="s">
        <v>1025</v>
      </c>
      <c r="F414" s="1" t="s">
        <v>112</v>
      </c>
      <c r="G414" s="1">
        <v>1958911</v>
      </c>
    </row>
    <row r="415" spans="1:7" x14ac:dyDescent="0.35">
      <c r="A415" s="1" t="str">
        <f t="shared" si="6"/>
        <v>13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1026</v>
      </c>
    </row>
    <row r="416" spans="1:7" x14ac:dyDescent="0.35">
      <c r="A416" s="1" t="str">
        <f t="shared" si="6"/>
        <v>13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1027</v>
      </c>
      <c r="D416" s="1" t="s">
        <v>1028</v>
      </c>
      <c r="E416" s="1" t="s">
        <v>1029</v>
      </c>
      <c r="F416" s="1" t="s">
        <v>112</v>
      </c>
      <c r="G416" s="1">
        <v>4300391</v>
      </c>
    </row>
    <row r="417" spans="1:9" x14ac:dyDescent="0.35">
      <c r="A417" s="1" t="str">
        <f t="shared" si="6"/>
        <v>13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1030</v>
      </c>
      <c r="D417" s="1" t="s">
        <v>1031</v>
      </c>
      <c r="E417" s="1" t="s">
        <v>1032</v>
      </c>
      <c r="F417" s="1" t="s">
        <v>112</v>
      </c>
      <c r="G417" s="1">
        <v>3966382</v>
      </c>
    </row>
    <row r="418" spans="1:9" x14ac:dyDescent="0.35">
      <c r="A418" s="1" t="str">
        <f t="shared" si="6"/>
        <v>13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1033</v>
      </c>
      <c r="D418" s="1" t="s">
        <v>1034</v>
      </c>
      <c r="E418" s="1" t="s">
        <v>1035</v>
      </c>
      <c r="F418" s="1" t="s">
        <v>112</v>
      </c>
      <c r="G418" s="1">
        <v>4255985</v>
      </c>
    </row>
    <row r="419" spans="1:9" x14ac:dyDescent="0.35">
      <c r="A419" s="1" t="str">
        <f t="shared" si="6"/>
        <v>13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1036</v>
      </c>
      <c r="D419" s="1" t="s">
        <v>1037</v>
      </c>
      <c r="E419" s="1" t="s">
        <v>1038</v>
      </c>
      <c r="F419" s="1" t="s">
        <v>112</v>
      </c>
      <c r="G419" s="1">
        <v>3924269</v>
      </c>
    </row>
    <row r="420" spans="1:9" x14ac:dyDescent="0.35">
      <c r="A420" s="1" t="str">
        <f t="shared" si="6"/>
        <v>13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1039</v>
      </c>
      <c r="D420" s="1" t="s">
        <v>1040</v>
      </c>
      <c r="E420" s="1" t="s">
        <v>1041</v>
      </c>
      <c r="F420" s="1" t="s">
        <v>112</v>
      </c>
      <c r="G420" s="1">
        <v>3736694</v>
      </c>
    </row>
    <row r="421" spans="1:9" x14ac:dyDescent="0.35">
      <c r="A421" s="1" t="str">
        <f t="shared" si="6"/>
        <v>13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1042</v>
      </c>
      <c r="D421" s="1" t="s">
        <v>1043</v>
      </c>
      <c r="E421" s="1" t="s">
        <v>1044</v>
      </c>
      <c r="F421" s="1" t="s">
        <v>112</v>
      </c>
      <c r="G421" s="1">
        <v>3306930</v>
      </c>
    </row>
    <row r="422" spans="1:9"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9"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1045</v>
      </c>
      <c r="D424" s="1" t="s">
        <v>112</v>
      </c>
      <c r="E424" s="1" t="s">
        <v>1046</v>
      </c>
      <c r="F424" s="1" t="s">
        <v>1047</v>
      </c>
      <c r="G424" s="1" t="s">
        <v>1048</v>
      </c>
      <c r="H424" s="1" t="s">
        <v>1049</v>
      </c>
      <c r="I424" s="1">
        <v>24</v>
      </c>
    </row>
    <row r="425" spans="1:9"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9"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9"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9"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9"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9"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252</v>
      </c>
      <c r="D430" s="1" t="s">
        <v>110</v>
      </c>
      <c r="E430" s="1" t="s">
        <v>111</v>
      </c>
      <c r="F430" s="1" t="s">
        <v>112</v>
      </c>
      <c r="G430" s="1" t="s">
        <v>113</v>
      </c>
    </row>
    <row r="431" spans="1:9" x14ac:dyDescent="0.35">
      <c r="A431" s="1" t="str">
        <f t="shared" si="6"/>
        <v>14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1050</v>
      </c>
      <c r="D431" s="1" t="s">
        <v>233</v>
      </c>
      <c r="E431" s="1" t="s">
        <v>1051</v>
      </c>
      <c r="F431" s="1" t="s">
        <v>112</v>
      </c>
      <c r="G431" s="1">
        <v>38134</v>
      </c>
    </row>
    <row r="432" spans="1:9" x14ac:dyDescent="0.35">
      <c r="A432" s="1" t="str">
        <f t="shared" si="6"/>
        <v>14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1052</v>
      </c>
      <c r="D432" s="1" t="s">
        <v>1053</v>
      </c>
      <c r="E432" s="1" t="s">
        <v>1054</v>
      </c>
      <c r="F432" s="1" t="s">
        <v>112</v>
      </c>
      <c r="G432" s="1">
        <v>41227</v>
      </c>
    </row>
    <row r="433" spans="1:7" x14ac:dyDescent="0.35">
      <c r="A433" s="1" t="str">
        <f t="shared" si="6"/>
        <v>14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1055</v>
      </c>
      <c r="D433" s="1" t="s">
        <v>670</v>
      </c>
      <c r="E433" s="1" t="s">
        <v>1056</v>
      </c>
      <c r="F433" s="1" t="s">
        <v>112</v>
      </c>
      <c r="G433" s="1">
        <v>29806</v>
      </c>
    </row>
    <row r="434" spans="1:7" x14ac:dyDescent="0.35">
      <c r="A434" s="1" t="str">
        <f t="shared" si="6"/>
        <v>14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1057</v>
      </c>
      <c r="D434" s="1" t="s">
        <v>1058</v>
      </c>
      <c r="E434" s="1" t="s">
        <v>1059</v>
      </c>
      <c r="F434" s="1" t="s">
        <v>112</v>
      </c>
      <c r="G434" s="1">
        <v>1614801</v>
      </c>
    </row>
    <row r="435" spans="1:7" x14ac:dyDescent="0.35">
      <c r="A435" s="1" t="str">
        <f t="shared" si="6"/>
        <v>14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1060</v>
      </c>
      <c r="D435" s="1" t="s">
        <v>1061</v>
      </c>
      <c r="E435" s="1" t="s">
        <v>1062</v>
      </c>
      <c r="F435" s="1" t="s">
        <v>112</v>
      </c>
      <c r="G435" s="1">
        <v>1655595</v>
      </c>
    </row>
    <row r="436" spans="1:7" x14ac:dyDescent="0.35">
      <c r="A436" s="1" t="str">
        <f t="shared" si="6"/>
        <v>14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1063</v>
      </c>
    </row>
    <row r="437" spans="1:7" x14ac:dyDescent="0.35">
      <c r="A437" s="1" t="str">
        <f t="shared" si="6"/>
        <v>14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1064</v>
      </c>
      <c r="D437" s="1" t="s">
        <v>1065</v>
      </c>
      <c r="E437" s="1" t="s">
        <v>1066</v>
      </c>
      <c r="F437" s="1" t="s">
        <v>112</v>
      </c>
      <c r="G437" s="1">
        <v>1723946</v>
      </c>
    </row>
    <row r="438" spans="1:7" x14ac:dyDescent="0.35">
      <c r="A438" s="1" t="str">
        <f t="shared" si="6"/>
        <v>14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1067</v>
      </c>
      <c r="D438" s="1" t="s">
        <v>824</v>
      </c>
      <c r="E438" s="1" t="s">
        <v>1068</v>
      </c>
      <c r="F438" s="1" t="s">
        <v>112</v>
      </c>
      <c r="G438" s="1">
        <v>1148526</v>
      </c>
    </row>
    <row r="439" spans="1:7" x14ac:dyDescent="0.35">
      <c r="A439" s="1" t="str">
        <f t="shared" si="6"/>
        <v>14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1069</v>
      </c>
      <c r="D439" s="1" t="s">
        <v>771</v>
      </c>
      <c r="E439" s="1" t="s">
        <v>1070</v>
      </c>
      <c r="F439" s="1" t="s">
        <v>112</v>
      </c>
      <c r="G439" s="1">
        <v>403830</v>
      </c>
    </row>
    <row r="440" spans="1:7" x14ac:dyDescent="0.35">
      <c r="A440" s="1" t="str">
        <f t="shared" si="6"/>
        <v>14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1071</v>
      </c>
      <c r="D440" s="1" t="s">
        <v>1072</v>
      </c>
      <c r="E440" s="1" t="s">
        <v>1073</v>
      </c>
      <c r="F440" s="1" t="s">
        <v>112</v>
      </c>
      <c r="G440" s="1">
        <v>1337138</v>
      </c>
    </row>
    <row r="441" spans="1:7" x14ac:dyDescent="0.35">
      <c r="A441" s="1" t="str">
        <f t="shared" si="6"/>
        <v>14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1074</v>
      </c>
      <c r="D441" s="1" t="s">
        <v>1075</v>
      </c>
      <c r="E441" s="1" t="s">
        <v>1076</v>
      </c>
      <c r="F441" s="1" t="s">
        <v>112</v>
      </c>
      <c r="G441" s="1">
        <v>1341940</v>
      </c>
    </row>
    <row r="442" spans="1:7" x14ac:dyDescent="0.35">
      <c r="A442" s="1" t="str">
        <f t="shared" si="6"/>
        <v>14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1077</v>
      </c>
      <c r="D442" s="1" t="s">
        <v>1078</v>
      </c>
      <c r="E442" s="1" t="s">
        <v>1079</v>
      </c>
      <c r="F442" s="1" t="s">
        <v>112</v>
      </c>
      <c r="G442" s="1">
        <v>1036288</v>
      </c>
    </row>
    <row r="443" spans="1:7" x14ac:dyDescent="0.35">
      <c r="A443" s="1" t="str">
        <f t="shared" si="6"/>
        <v>14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1080</v>
      </c>
      <c r="D443" s="1" t="s">
        <v>1081</v>
      </c>
      <c r="E443" s="1" t="s">
        <v>1082</v>
      </c>
      <c r="F443" s="1" t="s">
        <v>112</v>
      </c>
      <c r="G443" s="1">
        <v>1127047</v>
      </c>
    </row>
    <row r="444" spans="1:7" x14ac:dyDescent="0.35">
      <c r="A444" s="1" t="str">
        <f t="shared" si="6"/>
        <v>14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1083</v>
      </c>
      <c r="D444" s="1" t="s">
        <v>1084</v>
      </c>
      <c r="E444" s="1" t="s">
        <v>1085</v>
      </c>
      <c r="F444" s="1" t="s">
        <v>112</v>
      </c>
      <c r="G444" s="1">
        <v>1678610</v>
      </c>
    </row>
    <row r="445" spans="1:7" x14ac:dyDescent="0.35">
      <c r="A445" s="1" t="str">
        <f t="shared" si="6"/>
        <v>14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1086</v>
      </c>
      <c r="D445" s="1" t="s">
        <v>1087</v>
      </c>
      <c r="E445" s="1" t="s">
        <v>1088</v>
      </c>
      <c r="F445" s="1" t="s">
        <v>112</v>
      </c>
      <c r="G445" s="1">
        <v>1030470</v>
      </c>
    </row>
    <row r="446" spans="1:7" x14ac:dyDescent="0.35">
      <c r="A446" s="1" t="str">
        <f t="shared" si="6"/>
        <v>14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1089</v>
      </c>
      <c r="D446" s="1" t="s">
        <v>1090</v>
      </c>
      <c r="E446" s="1" t="s">
        <v>1091</v>
      </c>
      <c r="F446" s="1" t="s">
        <v>112</v>
      </c>
      <c r="G446" s="1">
        <v>1597584</v>
      </c>
    </row>
    <row r="447" spans="1:7" x14ac:dyDescent="0.35">
      <c r="A447" s="1" t="str">
        <f t="shared" si="6"/>
        <v>14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1092</v>
      </c>
      <c r="D447" s="1" t="s">
        <v>1093</v>
      </c>
      <c r="E447" s="1" t="s">
        <v>1094</v>
      </c>
      <c r="F447" s="1" t="s">
        <v>112</v>
      </c>
      <c r="G447" s="1">
        <v>2003664</v>
      </c>
    </row>
    <row r="448" spans="1:7" x14ac:dyDescent="0.35">
      <c r="A448" s="1" t="str">
        <f t="shared" si="6"/>
        <v>14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1095</v>
      </c>
    </row>
    <row r="449" spans="1:9" x14ac:dyDescent="0.35">
      <c r="A449" s="1" t="str">
        <f t="shared" si="6"/>
        <v>14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1096</v>
      </c>
      <c r="D449" s="1" t="s">
        <v>1097</v>
      </c>
      <c r="E449" s="1" t="s">
        <v>1098</v>
      </c>
      <c r="F449" s="1" t="s">
        <v>112</v>
      </c>
      <c r="G449" s="1">
        <v>4552336</v>
      </c>
    </row>
    <row r="450" spans="1:9" x14ac:dyDescent="0.35">
      <c r="A450" s="1" t="str">
        <f t="shared" ref="A450:A513" si="7">IFERROR(LEFT(RIGHT(C450,LEN(C450)-SEARCH("@",C450)),SEARCH("/",RIGHT(C450,LEN(C450)-SEARCH("@",C450)-1))),"")</f>
        <v>14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1099</v>
      </c>
    </row>
    <row r="451" spans="1:9" x14ac:dyDescent="0.35">
      <c r="A451" s="1" t="str">
        <f t="shared" si="7"/>
        <v>14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1100</v>
      </c>
      <c r="D451" s="1" t="s">
        <v>1101</v>
      </c>
      <c r="E451" s="1" t="s">
        <v>1102</v>
      </c>
      <c r="F451" s="1" t="s">
        <v>112</v>
      </c>
      <c r="G451" s="1">
        <v>4525580</v>
      </c>
    </row>
    <row r="452" spans="1:9" x14ac:dyDescent="0.35">
      <c r="A452" s="1" t="str">
        <f t="shared" si="7"/>
        <v>14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1103</v>
      </c>
      <c r="D452" s="1" t="s">
        <v>1104</v>
      </c>
      <c r="E452" s="1" t="s">
        <v>1105</v>
      </c>
      <c r="F452" s="1" t="s">
        <v>112</v>
      </c>
      <c r="G452" s="1">
        <v>663064</v>
      </c>
    </row>
    <row r="453" spans="1:9" x14ac:dyDescent="0.35">
      <c r="A453" s="1" t="str">
        <f t="shared" si="7"/>
        <v>14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1106</v>
      </c>
      <c r="D453" s="1" t="s">
        <v>1107</v>
      </c>
      <c r="E453" s="1" t="s">
        <v>1108</v>
      </c>
      <c r="F453" s="1" t="s">
        <v>112</v>
      </c>
      <c r="G453" s="1">
        <v>432036</v>
      </c>
    </row>
    <row r="454" spans="1:9" x14ac:dyDescent="0.35">
      <c r="A454" s="1" t="str">
        <f t="shared" si="7"/>
        <v>14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1109</v>
      </c>
      <c r="D454" s="1" t="s">
        <v>1110</v>
      </c>
      <c r="E454" s="1" t="s">
        <v>1111</v>
      </c>
      <c r="F454" s="1" t="s">
        <v>112</v>
      </c>
      <c r="G454" s="1">
        <v>231635</v>
      </c>
    </row>
    <row r="455" spans="1:9"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9"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1112</v>
      </c>
      <c r="D457" s="1" t="s">
        <v>112</v>
      </c>
      <c r="E457" s="1" t="s">
        <v>1113</v>
      </c>
      <c r="F457" s="1" t="s">
        <v>1114</v>
      </c>
      <c r="G457" s="1" t="s">
        <v>1115</v>
      </c>
      <c r="H457" s="1" t="s">
        <v>1116</v>
      </c>
      <c r="I457" s="1">
        <v>24</v>
      </c>
    </row>
    <row r="458" spans="1:9"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9"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9"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9"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9"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9"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252</v>
      </c>
      <c r="D463" s="1" t="s">
        <v>110</v>
      </c>
      <c r="E463" s="1" t="s">
        <v>111</v>
      </c>
      <c r="F463" s="1" t="s">
        <v>112</v>
      </c>
      <c r="G463" s="1" t="s">
        <v>113</v>
      </c>
    </row>
    <row r="464" spans="1:9" x14ac:dyDescent="0.35">
      <c r="A464" s="1" t="str">
        <f t="shared" si="7"/>
        <v>15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1117</v>
      </c>
      <c r="D464" s="1" t="s">
        <v>1118</v>
      </c>
      <c r="E464" s="1" t="s">
        <v>1119</v>
      </c>
      <c r="F464" s="1" t="s">
        <v>112</v>
      </c>
      <c r="G464" s="1">
        <v>2907728</v>
      </c>
    </row>
    <row r="465" spans="1:7" x14ac:dyDescent="0.35">
      <c r="A465" s="1" t="str">
        <f t="shared" si="7"/>
        <v>15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1120</v>
      </c>
      <c r="D465" s="1" t="s">
        <v>1121</v>
      </c>
      <c r="E465" s="1" t="s">
        <v>1122</v>
      </c>
      <c r="F465" s="1" t="s">
        <v>112</v>
      </c>
      <c r="G465" s="1">
        <v>3151454</v>
      </c>
    </row>
    <row r="466" spans="1:7" x14ac:dyDescent="0.35">
      <c r="A466" s="1" t="str">
        <f t="shared" si="7"/>
        <v>15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1123</v>
      </c>
      <c r="D466" s="1" t="s">
        <v>901</v>
      </c>
      <c r="E466" s="1" t="s">
        <v>1124</v>
      </c>
      <c r="F466" s="1" t="s">
        <v>112</v>
      </c>
      <c r="G466" s="1">
        <v>2648451</v>
      </c>
    </row>
    <row r="467" spans="1:7" x14ac:dyDescent="0.35">
      <c r="A467" s="1" t="str">
        <f t="shared" si="7"/>
        <v>15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1125</v>
      </c>
      <c r="D467" s="1" t="s">
        <v>1028</v>
      </c>
      <c r="E467" s="1" t="s">
        <v>1126</v>
      </c>
      <c r="F467" s="1" t="s">
        <v>112</v>
      </c>
      <c r="G467" s="1">
        <v>4032613</v>
      </c>
    </row>
    <row r="468" spans="1:7" x14ac:dyDescent="0.35">
      <c r="A468" s="1" t="str">
        <f t="shared" si="7"/>
        <v>15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1127</v>
      </c>
      <c r="D468" s="1" t="s">
        <v>1128</v>
      </c>
      <c r="E468" s="1" t="s">
        <v>1129</v>
      </c>
      <c r="F468" s="1" t="s">
        <v>112</v>
      </c>
      <c r="G468" s="1">
        <v>3950506</v>
      </c>
    </row>
    <row r="469" spans="1:7" x14ac:dyDescent="0.35">
      <c r="A469" s="1" t="str">
        <f t="shared" si="7"/>
        <v>15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1130</v>
      </c>
      <c r="D469" s="1" t="s">
        <v>1131</v>
      </c>
      <c r="E469" s="1" t="s">
        <v>1132</v>
      </c>
      <c r="F469" s="1" t="s">
        <v>112</v>
      </c>
      <c r="G469" s="1">
        <v>3938998</v>
      </c>
    </row>
    <row r="470" spans="1:7" x14ac:dyDescent="0.35">
      <c r="A470" s="1" t="str">
        <f t="shared" si="7"/>
        <v>15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1133</v>
      </c>
      <c r="D470" s="1" t="s">
        <v>1134</v>
      </c>
      <c r="E470" s="1" t="s">
        <v>1135</v>
      </c>
      <c r="F470" s="1" t="s">
        <v>112</v>
      </c>
      <c r="G470" s="1">
        <v>3510229</v>
      </c>
    </row>
    <row r="471" spans="1:7" x14ac:dyDescent="0.35">
      <c r="A471" s="1" t="str">
        <f t="shared" si="7"/>
        <v>15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1136</v>
      </c>
      <c r="D471" s="1" t="s">
        <v>1137</v>
      </c>
      <c r="E471" s="1" t="s">
        <v>1138</v>
      </c>
      <c r="F471" s="1" t="s">
        <v>112</v>
      </c>
      <c r="G471" s="1">
        <v>3619547</v>
      </c>
    </row>
    <row r="472" spans="1:7" x14ac:dyDescent="0.35">
      <c r="A472" s="1" t="str">
        <f t="shared" si="7"/>
        <v>15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1139</v>
      </c>
      <c r="D472" s="1" t="s">
        <v>1140</v>
      </c>
      <c r="E472" s="1" t="s">
        <v>1141</v>
      </c>
      <c r="F472" s="1" t="s">
        <v>112</v>
      </c>
      <c r="G472" s="1">
        <v>3439067</v>
      </c>
    </row>
    <row r="473" spans="1:7" x14ac:dyDescent="0.35">
      <c r="A473" s="1" t="str">
        <f t="shared" si="7"/>
        <v>15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1142</v>
      </c>
      <c r="D473" s="1" t="s">
        <v>1143</v>
      </c>
      <c r="E473" s="1" t="s">
        <v>1144</v>
      </c>
      <c r="F473" s="1" t="s">
        <v>112</v>
      </c>
      <c r="G473" s="1">
        <v>4487078</v>
      </c>
    </row>
    <row r="474" spans="1:7" x14ac:dyDescent="0.35">
      <c r="A474" s="1" t="str">
        <f t="shared" si="7"/>
        <v>15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1145</v>
      </c>
      <c r="D474" s="1" t="s">
        <v>1146</v>
      </c>
      <c r="E474" s="1" t="s">
        <v>1147</v>
      </c>
      <c r="F474" s="1" t="s">
        <v>112</v>
      </c>
      <c r="G474" s="1">
        <v>3902120</v>
      </c>
    </row>
    <row r="475" spans="1:7" x14ac:dyDescent="0.35">
      <c r="A475" s="1" t="str">
        <f t="shared" si="7"/>
        <v>15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1148</v>
      </c>
      <c r="D475" s="1" t="s">
        <v>1149</v>
      </c>
      <c r="E475" s="1" t="s">
        <v>1150</v>
      </c>
      <c r="F475" s="1" t="s">
        <v>112</v>
      </c>
      <c r="G475" s="1">
        <v>3991494</v>
      </c>
    </row>
    <row r="476" spans="1:7" x14ac:dyDescent="0.35">
      <c r="A476" s="1" t="str">
        <f t="shared" si="7"/>
        <v>15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1151</v>
      </c>
      <c r="D476" s="1" t="s">
        <v>1152</v>
      </c>
      <c r="E476" s="1" t="s">
        <v>1153</v>
      </c>
      <c r="F476" s="1" t="s">
        <v>112</v>
      </c>
      <c r="G476" s="1">
        <v>631074</v>
      </c>
    </row>
    <row r="477" spans="1:7" x14ac:dyDescent="0.35">
      <c r="A477" s="1" t="str">
        <f t="shared" si="7"/>
        <v>15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1154</v>
      </c>
      <c r="D477" s="1" t="s">
        <v>1155</v>
      </c>
      <c r="E477" s="1" t="s">
        <v>1156</v>
      </c>
      <c r="F477" s="1" t="s">
        <v>112</v>
      </c>
      <c r="G477" s="1">
        <v>724169</v>
      </c>
    </row>
    <row r="478" spans="1:7" x14ac:dyDescent="0.35">
      <c r="A478" s="1" t="str">
        <f t="shared" si="7"/>
        <v>15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1157</v>
      </c>
    </row>
    <row r="479" spans="1:7" x14ac:dyDescent="0.35">
      <c r="A479" s="1" t="str">
        <f t="shared" si="7"/>
        <v>15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1158</v>
      </c>
      <c r="D479" s="1" t="s">
        <v>1159</v>
      </c>
      <c r="E479" s="1" t="s">
        <v>1160</v>
      </c>
      <c r="F479" s="1" t="s">
        <v>112</v>
      </c>
      <c r="G479" s="1">
        <v>2271096</v>
      </c>
    </row>
    <row r="480" spans="1:7" x14ac:dyDescent="0.35">
      <c r="A480" s="1" t="str">
        <f t="shared" si="7"/>
        <v>15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1161</v>
      </c>
      <c r="D480" s="1" t="s">
        <v>1162</v>
      </c>
      <c r="E480" s="1" t="s">
        <v>1163</v>
      </c>
      <c r="F480" s="1" t="s">
        <v>112</v>
      </c>
      <c r="G480" s="1">
        <v>2128728</v>
      </c>
    </row>
    <row r="481" spans="1:9" x14ac:dyDescent="0.35">
      <c r="A481" s="1" t="str">
        <f t="shared" si="7"/>
        <v>15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1164</v>
      </c>
      <c r="D481" s="1" t="s">
        <v>1165</v>
      </c>
      <c r="E481" s="1" t="s">
        <v>1166</v>
      </c>
      <c r="F481" s="1" t="s">
        <v>112</v>
      </c>
      <c r="G481" s="1">
        <v>2183646</v>
      </c>
    </row>
    <row r="482" spans="1:9" x14ac:dyDescent="0.35">
      <c r="A482" s="1" t="str">
        <f t="shared" si="7"/>
        <v>15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1167</v>
      </c>
      <c r="D482" s="1" t="s">
        <v>1168</v>
      </c>
      <c r="E482" s="1" t="s">
        <v>1169</v>
      </c>
      <c r="F482" s="1" t="s">
        <v>112</v>
      </c>
      <c r="G482" s="1">
        <v>1318104</v>
      </c>
    </row>
    <row r="483" spans="1:9" x14ac:dyDescent="0.35">
      <c r="A483" s="1" t="str">
        <f t="shared" si="7"/>
        <v>15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1170</v>
      </c>
      <c r="D483" s="1" t="s">
        <v>1171</v>
      </c>
      <c r="E483" s="1" t="s">
        <v>1172</v>
      </c>
      <c r="F483" s="1" t="s">
        <v>112</v>
      </c>
      <c r="G483" s="1">
        <v>1268983</v>
      </c>
    </row>
    <row r="484" spans="1:9" x14ac:dyDescent="0.35">
      <c r="A484" s="1" t="str">
        <f t="shared" si="7"/>
        <v>15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1173</v>
      </c>
      <c r="D484" s="1" t="s">
        <v>1174</v>
      </c>
      <c r="E484" s="1" t="s">
        <v>1175</v>
      </c>
      <c r="F484" s="1" t="s">
        <v>112</v>
      </c>
      <c r="G484" s="1">
        <v>1006158</v>
      </c>
    </row>
    <row r="485" spans="1:9" x14ac:dyDescent="0.35">
      <c r="A485" s="1" t="str">
        <f t="shared" si="7"/>
        <v>15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1176</v>
      </c>
      <c r="D485" s="1" t="s">
        <v>1177</v>
      </c>
      <c r="E485" s="1" t="s">
        <v>1178</v>
      </c>
      <c r="F485" s="1" t="s">
        <v>112</v>
      </c>
      <c r="G485" s="1">
        <v>4282416</v>
      </c>
    </row>
    <row r="486" spans="1:9" x14ac:dyDescent="0.35">
      <c r="A486" s="1" t="str">
        <f t="shared" si="7"/>
        <v>15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1179</v>
      </c>
      <c r="D486" s="1" t="s">
        <v>1180</v>
      </c>
      <c r="E486" s="1" t="s">
        <v>1181</v>
      </c>
      <c r="F486" s="1" t="s">
        <v>112</v>
      </c>
      <c r="G486" s="1">
        <v>4492551</v>
      </c>
    </row>
    <row r="487" spans="1:9" x14ac:dyDescent="0.35">
      <c r="A487" s="1" t="str">
        <f t="shared" si="7"/>
        <v>15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1182</v>
      </c>
      <c r="D487" s="1" t="s">
        <v>1183</v>
      </c>
      <c r="E487" s="1" t="s">
        <v>1184</v>
      </c>
      <c r="F487" s="1" t="s">
        <v>112</v>
      </c>
      <c r="G487" s="1">
        <v>4458851</v>
      </c>
    </row>
    <row r="488" spans="1:9"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9"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1185</v>
      </c>
      <c r="D490" s="1" t="s">
        <v>112</v>
      </c>
      <c r="E490" s="1" t="s">
        <v>1186</v>
      </c>
      <c r="F490" s="1" t="s">
        <v>1187</v>
      </c>
      <c r="G490" s="1" t="s">
        <v>1188</v>
      </c>
      <c r="H490" s="1" t="s">
        <v>1189</v>
      </c>
      <c r="I490" s="1">
        <v>24</v>
      </c>
    </row>
    <row r="491" spans="1:9"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9"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9"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9"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9"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9"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252</v>
      </c>
      <c r="D496" s="1" t="s">
        <v>110</v>
      </c>
      <c r="E496" s="1" t="s">
        <v>111</v>
      </c>
      <c r="F496" s="1" t="s">
        <v>112</v>
      </c>
      <c r="G496" s="1" t="s">
        <v>113</v>
      </c>
    </row>
    <row r="497" spans="1:7" x14ac:dyDescent="0.35">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1190</v>
      </c>
      <c r="D497" s="1" t="s">
        <v>807</v>
      </c>
      <c r="E497" s="1" t="s">
        <v>1191</v>
      </c>
      <c r="F497" s="1" t="s">
        <v>112</v>
      </c>
      <c r="G497" s="1">
        <v>31558</v>
      </c>
    </row>
    <row r="498" spans="1:7" x14ac:dyDescent="0.35">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1192</v>
      </c>
      <c r="D498" s="1" t="s">
        <v>759</v>
      </c>
      <c r="E498" s="1" t="s">
        <v>1193</v>
      </c>
      <c r="F498" s="1" t="s">
        <v>112</v>
      </c>
      <c r="G498" s="1">
        <v>58228</v>
      </c>
    </row>
    <row r="499" spans="1:7" x14ac:dyDescent="0.35">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1194</v>
      </c>
    </row>
    <row r="500" spans="1:7" x14ac:dyDescent="0.35">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1195</v>
      </c>
      <c r="D500" s="1" t="s">
        <v>1196</v>
      </c>
      <c r="E500" s="1" t="s">
        <v>1197</v>
      </c>
      <c r="F500" s="1" t="s">
        <v>112</v>
      </c>
      <c r="G500" s="1">
        <v>320187</v>
      </c>
    </row>
    <row r="501" spans="1:7" x14ac:dyDescent="0.35">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1198</v>
      </c>
      <c r="D501" s="1" t="s">
        <v>870</v>
      </c>
      <c r="E501" s="1" t="s">
        <v>1199</v>
      </c>
      <c r="F501" s="1" t="s">
        <v>112</v>
      </c>
      <c r="G501" s="1">
        <v>313807</v>
      </c>
    </row>
    <row r="502" spans="1:7" x14ac:dyDescent="0.35">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1200</v>
      </c>
      <c r="D502" s="1" t="s">
        <v>1201</v>
      </c>
      <c r="E502" s="1" t="s">
        <v>1202</v>
      </c>
      <c r="F502" s="1" t="s">
        <v>112</v>
      </c>
      <c r="G502" s="1">
        <v>74147</v>
      </c>
    </row>
    <row r="503" spans="1:7" x14ac:dyDescent="0.35">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1203</v>
      </c>
      <c r="D503" s="1" t="s">
        <v>1204</v>
      </c>
      <c r="E503" s="1" t="s">
        <v>1205</v>
      </c>
      <c r="F503" s="1" t="s">
        <v>112</v>
      </c>
      <c r="G503" s="1">
        <v>345278</v>
      </c>
    </row>
    <row r="504" spans="1:7" x14ac:dyDescent="0.35">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1206</v>
      </c>
      <c r="D504" s="1" t="s">
        <v>1207</v>
      </c>
      <c r="E504" s="1" t="s">
        <v>1208</v>
      </c>
      <c r="F504" s="1" t="s">
        <v>112</v>
      </c>
      <c r="G504" s="1">
        <v>45704</v>
      </c>
    </row>
    <row r="505" spans="1:7" x14ac:dyDescent="0.35">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1209</v>
      </c>
      <c r="D505" s="1" t="s">
        <v>1210</v>
      </c>
      <c r="E505" s="1" t="s">
        <v>1211</v>
      </c>
      <c r="F505" s="1" t="s">
        <v>112</v>
      </c>
      <c r="G505" s="1">
        <v>223415</v>
      </c>
    </row>
    <row r="506" spans="1:7" x14ac:dyDescent="0.35">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1212</v>
      </c>
      <c r="D506" s="1" t="s">
        <v>802</v>
      </c>
      <c r="E506" s="1" t="s">
        <v>1213</v>
      </c>
      <c r="F506" s="1" t="s">
        <v>112</v>
      </c>
      <c r="G506" s="1">
        <v>148208</v>
      </c>
    </row>
    <row r="507" spans="1:7" x14ac:dyDescent="0.35">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1214</v>
      </c>
      <c r="D507" s="1" t="s">
        <v>690</v>
      </c>
      <c r="E507" s="1" t="s">
        <v>1215</v>
      </c>
      <c r="F507" s="1" t="s">
        <v>112</v>
      </c>
      <c r="G507" s="1">
        <v>65668</v>
      </c>
    </row>
    <row r="508" spans="1:7" x14ac:dyDescent="0.35">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1216</v>
      </c>
      <c r="D508" s="1" t="s">
        <v>182</v>
      </c>
      <c r="E508" s="1" t="s">
        <v>1217</v>
      </c>
      <c r="F508" s="1" t="s">
        <v>112</v>
      </c>
      <c r="G508" s="1">
        <v>43498</v>
      </c>
    </row>
    <row r="509" spans="1:7" x14ac:dyDescent="0.35">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1218</v>
      </c>
      <c r="D509" s="1" t="s">
        <v>270</v>
      </c>
      <c r="E509" s="1" t="s">
        <v>1219</v>
      </c>
      <c r="F509" s="1" t="s">
        <v>112</v>
      </c>
      <c r="G509" s="1">
        <v>198043</v>
      </c>
    </row>
    <row r="510" spans="1:7" x14ac:dyDescent="0.35">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1220</v>
      </c>
      <c r="D510" s="1" t="s">
        <v>785</v>
      </c>
      <c r="E510" s="1" t="s">
        <v>1221</v>
      </c>
      <c r="F510" s="1" t="s">
        <v>112</v>
      </c>
      <c r="G510" s="1">
        <v>42633</v>
      </c>
    </row>
    <row r="511" spans="1:7" x14ac:dyDescent="0.35">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1222</v>
      </c>
      <c r="D511" s="1" t="s">
        <v>759</v>
      </c>
      <c r="E511" s="1" t="s">
        <v>1223</v>
      </c>
      <c r="F511" s="1" t="s">
        <v>112</v>
      </c>
      <c r="G511" s="1">
        <v>55978</v>
      </c>
    </row>
    <row r="512" spans="1:7" x14ac:dyDescent="0.35">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1224</v>
      </c>
      <c r="D512" s="1" t="s">
        <v>711</v>
      </c>
      <c r="E512" s="1" t="s">
        <v>1225</v>
      </c>
      <c r="F512" s="1" t="s">
        <v>112</v>
      </c>
      <c r="G512" s="1">
        <v>53015</v>
      </c>
    </row>
    <row r="513" spans="1:9" x14ac:dyDescent="0.35">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1226</v>
      </c>
      <c r="D513" s="1" t="s">
        <v>1227</v>
      </c>
      <c r="E513" s="1" t="s">
        <v>1228</v>
      </c>
      <c r="F513" s="1" t="s">
        <v>112</v>
      </c>
      <c r="G513" s="1">
        <v>79987</v>
      </c>
    </row>
    <row r="514" spans="1:9" x14ac:dyDescent="0.35">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1229</v>
      </c>
      <c r="D514" s="1" t="s">
        <v>799</v>
      </c>
      <c r="E514" s="1">
        <v>62</v>
      </c>
      <c r="F514" s="1" t="s">
        <v>112</v>
      </c>
      <c r="G514" s="1">
        <v>9387</v>
      </c>
    </row>
    <row r="515" spans="1:9" x14ac:dyDescent="0.35">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1230</v>
      </c>
      <c r="D515" s="1" t="s">
        <v>1231</v>
      </c>
      <c r="E515" s="1" t="s">
        <v>1232</v>
      </c>
      <c r="F515" s="1" t="s">
        <v>112</v>
      </c>
      <c r="G515" s="1">
        <v>93722</v>
      </c>
    </row>
    <row r="516" spans="1:9" x14ac:dyDescent="0.35">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1233</v>
      </c>
      <c r="D516" s="1" t="s">
        <v>217</v>
      </c>
      <c r="E516" s="1" t="s">
        <v>1234</v>
      </c>
      <c r="F516" s="1" t="s">
        <v>112</v>
      </c>
      <c r="G516" s="1">
        <v>25934</v>
      </c>
    </row>
    <row r="517" spans="1:9" x14ac:dyDescent="0.35">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1235</v>
      </c>
    </row>
    <row r="518" spans="1:9" x14ac:dyDescent="0.35">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1236</v>
      </c>
      <c r="D518" s="1" t="s">
        <v>1237</v>
      </c>
      <c r="E518" s="1" t="s">
        <v>1238</v>
      </c>
      <c r="F518" s="1" t="s">
        <v>112</v>
      </c>
      <c r="G518" s="1">
        <v>123918</v>
      </c>
    </row>
    <row r="519" spans="1:9" x14ac:dyDescent="0.35">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1239</v>
      </c>
      <c r="D519" s="1" t="s">
        <v>1240</v>
      </c>
      <c r="E519" s="1" t="s">
        <v>1241</v>
      </c>
      <c r="F519" s="1" t="s">
        <v>112</v>
      </c>
      <c r="G519" s="1">
        <v>612580</v>
      </c>
    </row>
    <row r="520" spans="1:9" x14ac:dyDescent="0.35">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1242</v>
      </c>
      <c r="D520" s="1" t="s">
        <v>1243</v>
      </c>
      <c r="E520" s="1" t="s">
        <v>1244</v>
      </c>
      <c r="F520" s="1" t="s">
        <v>112</v>
      </c>
      <c r="G520" s="1">
        <v>309178</v>
      </c>
    </row>
    <row r="521" spans="1:9"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9"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1245</v>
      </c>
      <c r="D523" s="1" t="s">
        <v>112</v>
      </c>
      <c r="E523" s="1" t="s">
        <v>1246</v>
      </c>
      <c r="F523" s="1" t="s">
        <v>1247</v>
      </c>
      <c r="G523" s="1" t="s">
        <v>1248</v>
      </c>
      <c r="H523" s="1" t="s">
        <v>1249</v>
      </c>
      <c r="I523" s="1">
        <v>24</v>
      </c>
    </row>
    <row r="524" spans="1:9"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9"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9"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9"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9"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252</v>
      </c>
      <c r="D529" s="1" t="s">
        <v>110</v>
      </c>
      <c r="E529" s="1" t="s">
        <v>111</v>
      </c>
      <c r="F529" s="1" t="s">
        <v>112</v>
      </c>
      <c r="G529" s="1" t="s">
        <v>113</v>
      </c>
    </row>
    <row r="530" spans="1:7" x14ac:dyDescent="0.35">
      <c r="A530" s="1" t="str">
        <f t="shared" si="8"/>
        <v>17 Testo +  BPA 1</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1250</v>
      </c>
      <c r="D530" s="1" t="s">
        <v>1251</v>
      </c>
      <c r="E530" s="1" t="s">
        <v>1252</v>
      </c>
      <c r="F530" s="1" t="s">
        <v>112</v>
      </c>
      <c r="G530" s="1">
        <v>2578911</v>
      </c>
    </row>
    <row r="531" spans="1:7" x14ac:dyDescent="0.35">
      <c r="A531" s="1" t="str">
        <f t="shared" si="8"/>
        <v>17 Testo +  BPA 1</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1253</v>
      </c>
      <c r="D531" s="1" t="s">
        <v>1254</v>
      </c>
      <c r="E531" s="1" t="s">
        <v>1255</v>
      </c>
      <c r="F531" s="1" t="s">
        <v>112</v>
      </c>
      <c r="G531" s="1">
        <v>2160351</v>
      </c>
    </row>
    <row r="532" spans="1:7" x14ac:dyDescent="0.35">
      <c r="A532" s="1" t="str">
        <f t="shared" si="8"/>
        <v>17 Testo +  BPA 1</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1256</v>
      </c>
      <c r="D532" s="1" t="s">
        <v>1257</v>
      </c>
      <c r="E532" s="1" t="s">
        <v>1258</v>
      </c>
      <c r="F532" s="1" t="s">
        <v>112</v>
      </c>
      <c r="G532" s="1">
        <v>1947188</v>
      </c>
    </row>
    <row r="533" spans="1:7" x14ac:dyDescent="0.35">
      <c r="A533" s="1" t="str">
        <f t="shared" si="8"/>
        <v>17 Testo +  BPA 1</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1259</v>
      </c>
    </row>
    <row r="534" spans="1:7" x14ac:dyDescent="0.35">
      <c r="A534" s="1" t="str">
        <f t="shared" si="8"/>
        <v>17 Testo +  BPA 1</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1260</v>
      </c>
      <c r="D534" s="1" t="s">
        <v>1261</v>
      </c>
      <c r="E534" s="1" t="s">
        <v>1262</v>
      </c>
      <c r="F534" s="1" t="s">
        <v>112</v>
      </c>
      <c r="G534" s="1">
        <v>3006490</v>
      </c>
    </row>
    <row r="535" spans="1:7" x14ac:dyDescent="0.35">
      <c r="A535" s="1" t="str">
        <f t="shared" si="8"/>
        <v>17 Testo +  BPA 1</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1263</v>
      </c>
    </row>
    <row r="536" spans="1:7" x14ac:dyDescent="0.35">
      <c r="A536" s="1" t="str">
        <f t="shared" si="8"/>
        <v>17 Testo +  BPA 1</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1264</v>
      </c>
      <c r="D536" s="1" t="s">
        <v>1265</v>
      </c>
      <c r="E536" s="1" t="s">
        <v>1266</v>
      </c>
      <c r="F536" s="1" t="s">
        <v>112</v>
      </c>
      <c r="G536" s="1">
        <v>2898146</v>
      </c>
    </row>
    <row r="537" spans="1:7" x14ac:dyDescent="0.35">
      <c r="A537" s="1" t="str">
        <f t="shared" si="8"/>
        <v>17 Testo +  BPA 1</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1267</v>
      </c>
    </row>
    <row r="538" spans="1:7" x14ac:dyDescent="0.35">
      <c r="A538" s="1" t="str">
        <f t="shared" si="8"/>
        <v>17 Testo +  BPA 1</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1268</v>
      </c>
      <c r="D538" s="1" t="s">
        <v>1269</v>
      </c>
      <c r="E538" s="1" t="s">
        <v>1270</v>
      </c>
      <c r="F538" s="1" t="s">
        <v>112</v>
      </c>
      <c r="G538" s="1">
        <v>2468858</v>
      </c>
    </row>
    <row r="539" spans="1:7" x14ac:dyDescent="0.35">
      <c r="A539" s="1" t="str">
        <f t="shared" si="8"/>
        <v>17 Testo +  BPA 1</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1271</v>
      </c>
    </row>
    <row r="540" spans="1:7" x14ac:dyDescent="0.35">
      <c r="A540" s="1" t="str">
        <f t="shared" si="8"/>
        <v>17 Testo +  BPA 1</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1272</v>
      </c>
    </row>
    <row r="541" spans="1:7" x14ac:dyDescent="0.35">
      <c r="A541" s="1" t="str">
        <f t="shared" si="8"/>
        <v>17 Testo +  BPA 1</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1273</v>
      </c>
    </row>
    <row r="542" spans="1:7" x14ac:dyDescent="0.35">
      <c r="A542" s="1" t="str">
        <f t="shared" si="8"/>
        <v>17 Testo +  BPA 1</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1274</v>
      </c>
      <c r="D542" s="1" t="s">
        <v>1275</v>
      </c>
      <c r="E542" s="1" t="s">
        <v>1276</v>
      </c>
      <c r="F542" s="1" t="s">
        <v>112</v>
      </c>
      <c r="G542" s="1">
        <v>430824</v>
      </c>
    </row>
    <row r="543" spans="1:7" x14ac:dyDescent="0.35">
      <c r="A543" s="1" t="str">
        <f t="shared" si="8"/>
        <v>17 Testo +  BPA 1</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1277</v>
      </c>
      <c r="D543" s="1" t="s">
        <v>1278</v>
      </c>
      <c r="E543" s="1" t="s">
        <v>1279</v>
      </c>
      <c r="F543" s="1" t="s">
        <v>112</v>
      </c>
      <c r="G543" s="1">
        <v>634513</v>
      </c>
    </row>
    <row r="544" spans="1:7" x14ac:dyDescent="0.35">
      <c r="A544" s="1" t="str">
        <f t="shared" si="8"/>
        <v>17 Testo +  BPA 1</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1280</v>
      </c>
      <c r="D544" s="1" t="s">
        <v>214</v>
      </c>
      <c r="E544" s="1" t="s">
        <v>1281</v>
      </c>
      <c r="F544" s="1" t="s">
        <v>112</v>
      </c>
      <c r="G544" s="1">
        <v>67961</v>
      </c>
    </row>
    <row r="545" spans="1:9" x14ac:dyDescent="0.35">
      <c r="A545" s="1" t="str">
        <f t="shared" si="8"/>
        <v>17 Testo +  BPA 1</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1282</v>
      </c>
    </row>
    <row r="546" spans="1:9" x14ac:dyDescent="0.35">
      <c r="A546" s="1" t="str">
        <f t="shared" si="8"/>
        <v>17 Testo +  BPA 1</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1283</v>
      </c>
      <c r="D546" s="1" t="s">
        <v>1284</v>
      </c>
      <c r="E546" s="1" t="s">
        <v>1285</v>
      </c>
      <c r="F546" s="1" t="s">
        <v>112</v>
      </c>
      <c r="G546" s="1">
        <v>4222826</v>
      </c>
    </row>
    <row r="547" spans="1:9" x14ac:dyDescent="0.35">
      <c r="A547" s="1" t="str">
        <f t="shared" si="8"/>
        <v>17 Testo +  BPA 1</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1286</v>
      </c>
      <c r="D547" s="1" t="s">
        <v>1287</v>
      </c>
      <c r="E547" s="1" t="s">
        <v>1288</v>
      </c>
      <c r="F547" s="1" t="s">
        <v>112</v>
      </c>
      <c r="G547" s="1">
        <v>3908414</v>
      </c>
    </row>
    <row r="548" spans="1:9" x14ac:dyDescent="0.35">
      <c r="A548" s="1" t="str">
        <f t="shared" si="8"/>
        <v>17 Testo +  BPA 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1289</v>
      </c>
      <c r="D548" s="1" t="s">
        <v>1290</v>
      </c>
      <c r="E548" s="1" t="s">
        <v>1291</v>
      </c>
      <c r="F548" s="1" t="s">
        <v>112</v>
      </c>
      <c r="G548" s="1">
        <v>2825124</v>
      </c>
    </row>
    <row r="549" spans="1:9" x14ac:dyDescent="0.35">
      <c r="A549" s="1" t="str">
        <f t="shared" si="8"/>
        <v>17 Testo +  BPA 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1292</v>
      </c>
      <c r="D549" s="1" t="s">
        <v>1293</v>
      </c>
      <c r="E549" s="1" t="s">
        <v>1294</v>
      </c>
      <c r="F549" s="1" t="s">
        <v>112</v>
      </c>
      <c r="G549" s="1">
        <v>2596604</v>
      </c>
    </row>
    <row r="550" spans="1:9" x14ac:dyDescent="0.35">
      <c r="A550" s="1" t="str">
        <f t="shared" si="8"/>
        <v>17 Testo +  BPA 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1295</v>
      </c>
      <c r="D550" s="1" t="s">
        <v>1296</v>
      </c>
      <c r="E550" s="1" t="s">
        <v>1297</v>
      </c>
      <c r="F550" s="1" t="s">
        <v>112</v>
      </c>
      <c r="G550" s="1">
        <v>2497258</v>
      </c>
    </row>
    <row r="551" spans="1:9" x14ac:dyDescent="0.35">
      <c r="A551" s="1" t="str">
        <f t="shared" si="8"/>
        <v>17 Testo +  BPA 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1298</v>
      </c>
      <c r="D551" s="1" t="s">
        <v>1299</v>
      </c>
      <c r="E551" s="1" t="s">
        <v>1300</v>
      </c>
      <c r="F551" s="1" t="s">
        <v>112</v>
      </c>
      <c r="G551" s="1">
        <v>4902610</v>
      </c>
    </row>
    <row r="552" spans="1:9" x14ac:dyDescent="0.35">
      <c r="A552" s="1" t="str">
        <f t="shared" si="8"/>
        <v>17 Testo +  BPA 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1301</v>
      </c>
      <c r="D552" s="1" t="s">
        <v>1302</v>
      </c>
      <c r="E552" s="1" t="s">
        <v>1303</v>
      </c>
      <c r="F552" s="1" t="s">
        <v>112</v>
      </c>
      <c r="G552" s="1">
        <v>4977450</v>
      </c>
    </row>
    <row r="553" spans="1:9" x14ac:dyDescent="0.35">
      <c r="A553" s="1" t="str">
        <f t="shared" si="8"/>
        <v>17 Testo +  BPA 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1304</v>
      </c>
      <c r="D553" s="1" t="s">
        <v>1305</v>
      </c>
      <c r="E553" s="1" t="s">
        <v>1306</v>
      </c>
      <c r="F553" s="1" t="s">
        <v>112</v>
      </c>
      <c r="G553" s="1">
        <v>4760913</v>
      </c>
    </row>
    <row r="554" spans="1:9"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9"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241</v>
      </c>
      <c r="D555" s="1" t="s">
        <v>112</v>
      </c>
      <c r="E555" s="1" t="s">
        <v>242</v>
      </c>
      <c r="F555" s="1" t="s">
        <v>243</v>
      </c>
      <c r="G555" s="1" t="s">
        <v>244</v>
      </c>
      <c r="H555" s="1" t="s">
        <v>245</v>
      </c>
      <c r="I555" s="1" t="s">
        <v>246</v>
      </c>
    </row>
    <row r="556" spans="1:9" x14ac:dyDescent="0.35">
      <c r="A556" s="1" t="str">
        <f t="shared" si="8"/>
        <v>17 Testo +  BPA 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1307</v>
      </c>
      <c r="D556" s="1" t="s">
        <v>112</v>
      </c>
      <c r="E556" s="1" t="s">
        <v>1308</v>
      </c>
      <c r="F556" s="1" t="s">
        <v>1309</v>
      </c>
      <c r="G556" s="1" t="s">
        <v>1310</v>
      </c>
      <c r="H556" s="1" t="s">
        <v>1311</v>
      </c>
      <c r="I556" s="1">
        <v>24</v>
      </c>
    </row>
    <row r="557" spans="1:9"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9"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9"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9"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252</v>
      </c>
      <c r="D562" s="1" t="s">
        <v>110</v>
      </c>
      <c r="E562" s="1" t="s">
        <v>111</v>
      </c>
      <c r="F562" s="1" t="s">
        <v>112</v>
      </c>
      <c r="G562" s="1" t="s">
        <v>113</v>
      </c>
    </row>
    <row r="563" spans="1:7" x14ac:dyDescent="0.35">
      <c r="A563" s="1" t="str">
        <f t="shared" si="8"/>
        <v>18  Testo +  BPA 2</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1312</v>
      </c>
      <c r="D563" s="1" t="s">
        <v>393</v>
      </c>
      <c r="E563" s="1" t="s">
        <v>1313</v>
      </c>
      <c r="F563" s="1" t="s">
        <v>112</v>
      </c>
      <c r="G563" s="1">
        <v>812311</v>
      </c>
    </row>
    <row r="564" spans="1:7" x14ac:dyDescent="0.35">
      <c r="A564" s="1" t="str">
        <f t="shared" si="8"/>
        <v>18  Testo +  BPA 2</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1314</v>
      </c>
      <c r="D564" s="1" t="s">
        <v>1315</v>
      </c>
      <c r="E564" s="1" t="s">
        <v>1316</v>
      </c>
      <c r="F564" s="1" t="s">
        <v>112</v>
      </c>
      <c r="G564" s="1">
        <v>989005</v>
      </c>
    </row>
    <row r="565" spans="1:7" x14ac:dyDescent="0.35">
      <c r="A565" s="1" t="str">
        <f t="shared" si="8"/>
        <v>18  Testo +  BPA 2</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1317</v>
      </c>
      <c r="D565" s="1" t="s">
        <v>1318</v>
      </c>
      <c r="E565" s="1" t="s">
        <v>1319</v>
      </c>
      <c r="F565" s="1" t="s">
        <v>112</v>
      </c>
      <c r="G565" s="1">
        <v>1116795</v>
      </c>
    </row>
    <row r="566" spans="1:7" x14ac:dyDescent="0.35">
      <c r="A566" s="1" t="str">
        <f t="shared" si="8"/>
        <v>18  Testo +  BPA 2</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1320</v>
      </c>
      <c r="D566" s="1" t="s">
        <v>1321</v>
      </c>
      <c r="E566" s="1" t="s">
        <v>1322</v>
      </c>
      <c r="F566" s="1" t="s">
        <v>112</v>
      </c>
      <c r="G566" s="1">
        <v>1870856</v>
      </c>
    </row>
    <row r="567" spans="1:7" x14ac:dyDescent="0.35">
      <c r="A567" s="1" t="str">
        <f t="shared" si="8"/>
        <v>18  Testo +  BPA 2</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1323</v>
      </c>
      <c r="D567" s="1" t="s">
        <v>1324</v>
      </c>
      <c r="E567" s="1" t="s">
        <v>1325</v>
      </c>
      <c r="F567" s="1" t="s">
        <v>112</v>
      </c>
      <c r="G567" s="1">
        <v>1729808</v>
      </c>
    </row>
    <row r="568" spans="1:7" x14ac:dyDescent="0.35">
      <c r="A568" s="1" t="str">
        <f t="shared" si="8"/>
        <v>18  Testo +  BPA 2</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1326</v>
      </c>
      <c r="D568" s="1" t="s">
        <v>1327</v>
      </c>
      <c r="E568" s="1" t="s">
        <v>1328</v>
      </c>
      <c r="F568" s="1" t="s">
        <v>112</v>
      </c>
      <c r="G568" s="1">
        <v>1717998</v>
      </c>
    </row>
    <row r="569" spans="1:7" x14ac:dyDescent="0.35">
      <c r="A569" s="1" t="str">
        <f t="shared" si="8"/>
        <v>18  Testo +  BPA 2</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1329</v>
      </c>
      <c r="D569" s="1" t="s">
        <v>1330</v>
      </c>
      <c r="E569" s="1" t="s">
        <v>1331</v>
      </c>
      <c r="F569" s="1" t="s">
        <v>112</v>
      </c>
      <c r="G569" s="1">
        <v>4763811</v>
      </c>
    </row>
    <row r="570" spans="1:7" x14ac:dyDescent="0.35">
      <c r="A570" s="1" t="str">
        <f t="shared" si="8"/>
        <v>18  Testo +  BPA 2</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1332</v>
      </c>
      <c r="D570" s="1" t="s">
        <v>1333</v>
      </c>
      <c r="E570" s="1" t="s">
        <v>1334</v>
      </c>
      <c r="F570" s="1" t="s">
        <v>112</v>
      </c>
      <c r="G570" s="1">
        <v>4669072</v>
      </c>
    </row>
    <row r="571" spans="1:7" x14ac:dyDescent="0.35">
      <c r="A571" s="1" t="str">
        <f t="shared" si="8"/>
        <v>18  Testo +  BPA 2</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1335</v>
      </c>
      <c r="D571" s="1" t="s">
        <v>1336</v>
      </c>
      <c r="E571" s="1" t="s">
        <v>1337</v>
      </c>
      <c r="F571" s="1" t="s">
        <v>112</v>
      </c>
      <c r="G571" s="1">
        <v>4476783</v>
      </c>
    </row>
    <row r="572" spans="1:7" x14ac:dyDescent="0.35">
      <c r="A572" s="1" t="str">
        <f t="shared" si="8"/>
        <v>18  Testo +  BPA 2</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1338</v>
      </c>
      <c r="D572" s="1" t="s">
        <v>1339</v>
      </c>
      <c r="E572" s="1" t="s">
        <v>1340</v>
      </c>
      <c r="F572" s="1" t="s">
        <v>112</v>
      </c>
      <c r="G572" s="1">
        <v>3861823</v>
      </c>
    </row>
    <row r="573" spans="1:7" x14ac:dyDescent="0.35">
      <c r="A573" s="1" t="str">
        <f t="shared" si="8"/>
        <v>18  Testo +  BPA 2</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1341</v>
      </c>
      <c r="D573" s="1" t="s">
        <v>1342</v>
      </c>
      <c r="E573" s="1" t="s">
        <v>1343</v>
      </c>
      <c r="F573" s="1" t="s">
        <v>112</v>
      </c>
      <c r="G573" s="1">
        <v>4053940</v>
      </c>
    </row>
    <row r="574" spans="1:7" x14ac:dyDescent="0.35">
      <c r="A574" s="1" t="str">
        <f t="shared" si="8"/>
        <v>18  Testo +  BPA 2</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1344</v>
      </c>
      <c r="D574" s="1" t="s">
        <v>1345</v>
      </c>
      <c r="E574" s="1" t="s">
        <v>1346</v>
      </c>
      <c r="F574" s="1" t="s">
        <v>112</v>
      </c>
      <c r="G574" s="1">
        <v>3912004</v>
      </c>
    </row>
    <row r="575" spans="1:7" x14ac:dyDescent="0.35">
      <c r="A575" s="1" t="str">
        <f t="shared" si="8"/>
        <v>18  Testo +  BPA 2</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1347</v>
      </c>
      <c r="D575" s="1" t="s">
        <v>1348</v>
      </c>
      <c r="E575" s="1" t="s">
        <v>1349</v>
      </c>
      <c r="F575" s="1" t="s">
        <v>112</v>
      </c>
      <c r="G575" s="1">
        <v>297325</v>
      </c>
    </row>
    <row r="576" spans="1:7" x14ac:dyDescent="0.35">
      <c r="A576" s="1" t="str">
        <f t="shared" si="8"/>
        <v>18  Testo +  BPA 2</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1350</v>
      </c>
    </row>
    <row r="577" spans="1:9" x14ac:dyDescent="0.35">
      <c r="A577" s="1" t="str">
        <f t="shared" si="8"/>
        <v>18  Testo +  BPA 2</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1351</v>
      </c>
      <c r="D577" s="1" t="s">
        <v>1352</v>
      </c>
      <c r="E577" s="1" t="s">
        <v>1353</v>
      </c>
      <c r="F577" s="1" t="s">
        <v>112</v>
      </c>
      <c r="G577" s="1">
        <v>46418</v>
      </c>
    </row>
    <row r="578" spans="1:9" x14ac:dyDescent="0.35">
      <c r="A578" s="1" t="str">
        <f t="shared" ref="A578:A641" si="9">IFERROR(LEFT(RIGHT(C578,LEN(C578)-SEARCH("@",C578)),SEARCH("/",RIGHT(C578,LEN(C578)-SEARCH("@",C578)-1))),"")</f>
        <v>18  Testo +  BPA 2</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1354</v>
      </c>
      <c r="D578" s="1" t="s">
        <v>1355</v>
      </c>
      <c r="E578" s="1" t="s">
        <v>1356</v>
      </c>
      <c r="F578" s="1" t="s">
        <v>112</v>
      </c>
      <c r="G578" s="1">
        <v>4816848</v>
      </c>
    </row>
    <row r="579" spans="1:9" x14ac:dyDescent="0.35">
      <c r="A579" s="1" t="str">
        <f t="shared" si="9"/>
        <v>18  Testo +  BPA 2</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1357</v>
      </c>
      <c r="D579" s="1" t="s">
        <v>1358</v>
      </c>
      <c r="E579" s="1" t="s">
        <v>1359</v>
      </c>
      <c r="F579" s="1" t="s">
        <v>112</v>
      </c>
      <c r="G579" s="1">
        <v>4417149</v>
      </c>
    </row>
    <row r="580" spans="1:9" x14ac:dyDescent="0.35">
      <c r="A580" s="1" t="str">
        <f t="shared" si="9"/>
        <v>18  Testo +  BPA 2</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1360</v>
      </c>
      <c r="D580" s="1" t="s">
        <v>951</v>
      </c>
      <c r="E580" s="1" t="s">
        <v>1361</v>
      </c>
      <c r="F580" s="1" t="s">
        <v>112</v>
      </c>
      <c r="G580" s="1">
        <v>3832406</v>
      </c>
    </row>
    <row r="581" spans="1:9" x14ac:dyDescent="0.35">
      <c r="A581" s="1" t="str">
        <f t="shared" si="9"/>
        <v>18  Testo +  BPA 2</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1362</v>
      </c>
      <c r="D581" s="1" t="s">
        <v>951</v>
      </c>
      <c r="E581" s="1" t="s">
        <v>1363</v>
      </c>
      <c r="F581" s="1" t="s">
        <v>112</v>
      </c>
      <c r="G581" s="1">
        <v>4000514</v>
      </c>
    </row>
    <row r="582" spans="1:9" x14ac:dyDescent="0.35">
      <c r="A582" s="1" t="str">
        <f t="shared" si="9"/>
        <v>18  Testo +  BPA 2</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1364</v>
      </c>
      <c r="D582" s="1" t="s">
        <v>1365</v>
      </c>
      <c r="E582" s="1" t="s">
        <v>1366</v>
      </c>
      <c r="F582" s="1" t="s">
        <v>112</v>
      </c>
      <c r="G582" s="1">
        <v>3972698</v>
      </c>
    </row>
    <row r="583" spans="1:9" x14ac:dyDescent="0.35">
      <c r="A583" s="1" t="str">
        <f t="shared" si="9"/>
        <v>18  Testo +  BPA 2</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1367</v>
      </c>
      <c r="D583" s="1" t="s">
        <v>1368</v>
      </c>
      <c r="E583" s="1" t="s">
        <v>1369</v>
      </c>
      <c r="F583" s="1" t="s">
        <v>112</v>
      </c>
      <c r="G583" s="1">
        <v>4097935</v>
      </c>
    </row>
    <row r="584" spans="1:9" x14ac:dyDescent="0.35">
      <c r="A584" s="1" t="str">
        <f t="shared" si="9"/>
        <v>18  Testo +  BPA 2</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1370</v>
      </c>
      <c r="D584" s="1" t="s">
        <v>1371</v>
      </c>
      <c r="E584" s="1" t="s">
        <v>1372</v>
      </c>
      <c r="F584" s="1" t="s">
        <v>112</v>
      </c>
      <c r="G584" s="1">
        <v>293215</v>
      </c>
    </row>
    <row r="585" spans="1:9" x14ac:dyDescent="0.35">
      <c r="A585" s="1" t="str">
        <f t="shared" si="9"/>
        <v>18  Testo +  BPA 2</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1373</v>
      </c>
      <c r="D585" s="1" t="s">
        <v>1374</v>
      </c>
      <c r="E585" s="1" t="s">
        <v>1375</v>
      </c>
      <c r="F585" s="1" t="s">
        <v>112</v>
      </c>
      <c r="G585" s="1">
        <v>290403</v>
      </c>
    </row>
    <row r="586" spans="1:9" x14ac:dyDescent="0.35">
      <c r="A586" s="1" t="str">
        <f t="shared" si="9"/>
        <v>18  Testo +  BPA 2</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1376</v>
      </c>
      <c r="D586" s="1" t="s">
        <v>1196</v>
      </c>
      <c r="E586" s="1" t="s">
        <v>1377</v>
      </c>
      <c r="F586" s="1" t="s">
        <v>112</v>
      </c>
      <c r="G586" s="1">
        <v>316532</v>
      </c>
    </row>
    <row r="587" spans="1:9"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9"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241</v>
      </c>
      <c r="D588" s="1" t="s">
        <v>112</v>
      </c>
      <c r="E588" s="1" t="s">
        <v>242</v>
      </c>
      <c r="F588" s="1" t="s">
        <v>243</v>
      </c>
      <c r="G588" s="1" t="s">
        <v>244</v>
      </c>
      <c r="H588" s="1" t="s">
        <v>245</v>
      </c>
      <c r="I588" s="1" t="s">
        <v>246</v>
      </c>
    </row>
    <row r="589" spans="1:9" x14ac:dyDescent="0.35">
      <c r="A589" s="1" t="str">
        <f t="shared" si="9"/>
        <v>18  Testo +  BPA 2</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1378</v>
      </c>
      <c r="D589" s="1" t="s">
        <v>112</v>
      </c>
      <c r="E589" s="1" t="s">
        <v>1379</v>
      </c>
      <c r="F589" s="1" t="s">
        <v>1380</v>
      </c>
      <c r="G589" s="1" t="s">
        <v>1381</v>
      </c>
      <c r="H589" s="1" t="s">
        <v>1382</v>
      </c>
      <c r="I589" s="1">
        <v>24</v>
      </c>
    </row>
    <row r="590" spans="1:9"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9"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9"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252</v>
      </c>
      <c r="D595" s="1" t="s">
        <v>110</v>
      </c>
      <c r="E595" s="1" t="s">
        <v>111</v>
      </c>
      <c r="F595" s="1" t="s">
        <v>112</v>
      </c>
      <c r="G595" s="1" t="s">
        <v>113</v>
      </c>
    </row>
    <row r="596" spans="1:7" x14ac:dyDescent="0.35">
      <c r="A596" s="1" t="str">
        <f t="shared" si="9"/>
        <v>19 Testo + BPA 3</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1383</v>
      </c>
      <c r="D596" s="1" t="s">
        <v>1384</v>
      </c>
      <c r="E596" s="1" t="s">
        <v>1385</v>
      </c>
      <c r="F596" s="1" t="s">
        <v>112</v>
      </c>
      <c r="G596" s="1">
        <v>928723</v>
      </c>
    </row>
    <row r="597" spans="1:7" x14ac:dyDescent="0.35">
      <c r="A597" s="1" t="str">
        <f t="shared" si="9"/>
        <v>19 Testo + BPA 3</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1386</v>
      </c>
      <c r="D597" s="1" t="s">
        <v>1387</v>
      </c>
      <c r="E597" s="1" t="s">
        <v>1388</v>
      </c>
      <c r="F597" s="1" t="s">
        <v>112</v>
      </c>
      <c r="G597" s="1">
        <v>1065683</v>
      </c>
    </row>
    <row r="598" spans="1:7" x14ac:dyDescent="0.35">
      <c r="A598" s="1" t="str">
        <f t="shared" si="9"/>
        <v>19 Testo + BPA 3</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1389</v>
      </c>
      <c r="D598" s="1" t="s">
        <v>1390</v>
      </c>
      <c r="E598" s="1" t="s">
        <v>1391</v>
      </c>
      <c r="F598" s="1" t="s">
        <v>112</v>
      </c>
      <c r="G598" s="1">
        <v>1162001</v>
      </c>
    </row>
    <row r="599" spans="1:7" x14ac:dyDescent="0.35">
      <c r="A599" s="1" t="str">
        <f t="shared" si="9"/>
        <v>19 Testo + BPA 3</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1392</v>
      </c>
      <c r="D599" s="1" t="s">
        <v>1393</v>
      </c>
      <c r="E599" s="1" t="s">
        <v>1394</v>
      </c>
      <c r="F599" s="1" t="s">
        <v>112</v>
      </c>
      <c r="G599" s="1">
        <v>1212507</v>
      </c>
    </row>
    <row r="600" spans="1:7" x14ac:dyDescent="0.35">
      <c r="A600" s="1" t="str">
        <f t="shared" si="9"/>
        <v>19 Testo + BPA 3</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1395</v>
      </c>
      <c r="D600" s="1" t="s">
        <v>1396</v>
      </c>
      <c r="E600" s="1" t="s">
        <v>1397</v>
      </c>
      <c r="F600" s="1" t="s">
        <v>112</v>
      </c>
      <c r="G600" s="1">
        <v>1488223</v>
      </c>
    </row>
    <row r="601" spans="1:7" x14ac:dyDescent="0.35">
      <c r="A601" s="1" t="str">
        <f t="shared" si="9"/>
        <v>19 Testo + BPA 3</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1398</v>
      </c>
      <c r="D601" s="1" t="s">
        <v>1399</v>
      </c>
      <c r="E601" s="1" t="s">
        <v>1400</v>
      </c>
      <c r="F601" s="1" t="s">
        <v>112</v>
      </c>
      <c r="G601" s="1">
        <v>1105828</v>
      </c>
    </row>
    <row r="602" spans="1:7" x14ac:dyDescent="0.35">
      <c r="A602" s="1" t="str">
        <f t="shared" si="9"/>
        <v>19 Testo + BPA 3</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1401</v>
      </c>
      <c r="D602" s="1" t="s">
        <v>1402</v>
      </c>
      <c r="E602" s="1" t="s">
        <v>1403</v>
      </c>
      <c r="F602" s="1" t="s">
        <v>112</v>
      </c>
      <c r="G602" s="1">
        <v>4743025</v>
      </c>
    </row>
    <row r="603" spans="1:7" x14ac:dyDescent="0.35">
      <c r="A603" s="1" t="str">
        <f t="shared" si="9"/>
        <v>19 Testo + BPA 3</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1404</v>
      </c>
      <c r="D603" s="1" t="s">
        <v>1405</v>
      </c>
      <c r="E603" s="1" t="s">
        <v>1406</v>
      </c>
      <c r="F603" s="1" t="s">
        <v>112</v>
      </c>
      <c r="G603" s="1">
        <v>4816826</v>
      </c>
    </row>
    <row r="604" spans="1:7" x14ac:dyDescent="0.35">
      <c r="A604" s="1" t="str">
        <f t="shared" si="9"/>
        <v>19 Testo + BPA 3</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1407</v>
      </c>
      <c r="D604" s="1" t="s">
        <v>1408</v>
      </c>
      <c r="E604" s="1" t="s">
        <v>1409</v>
      </c>
      <c r="F604" s="1" t="s">
        <v>112</v>
      </c>
      <c r="G604" s="1">
        <v>4452903</v>
      </c>
    </row>
    <row r="605" spans="1:7" x14ac:dyDescent="0.35">
      <c r="A605" s="1" t="str">
        <f t="shared" si="9"/>
        <v>19 Testo + BPA 3</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1410</v>
      </c>
      <c r="D605" s="1" t="s">
        <v>1411</v>
      </c>
      <c r="E605" s="1" t="s">
        <v>1412</v>
      </c>
      <c r="F605" s="1" t="s">
        <v>112</v>
      </c>
      <c r="G605" s="1">
        <v>4491577</v>
      </c>
    </row>
    <row r="606" spans="1:7" x14ac:dyDescent="0.35">
      <c r="A606" s="1" t="str">
        <f t="shared" si="9"/>
        <v>19 Testo + BPA 3</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1413</v>
      </c>
      <c r="D606" s="1" t="s">
        <v>1414</v>
      </c>
      <c r="E606" s="1" t="s">
        <v>1415</v>
      </c>
      <c r="F606" s="1" t="s">
        <v>112</v>
      </c>
      <c r="G606" s="1">
        <v>4179588</v>
      </c>
    </row>
    <row r="607" spans="1:7" x14ac:dyDescent="0.35">
      <c r="A607" s="1" t="str">
        <f t="shared" si="9"/>
        <v>19 Testo + BPA 3</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1416</v>
      </c>
      <c r="D607" s="1" t="s">
        <v>1417</v>
      </c>
      <c r="E607" s="1" t="s">
        <v>1418</v>
      </c>
      <c r="F607" s="1" t="s">
        <v>112</v>
      </c>
      <c r="G607" s="1">
        <v>4015157</v>
      </c>
    </row>
    <row r="608" spans="1:7" x14ac:dyDescent="0.35">
      <c r="A608" s="1" t="str">
        <f t="shared" si="9"/>
        <v>19 Testo + BPA 3</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1419</v>
      </c>
      <c r="D608" s="1" t="s">
        <v>1420</v>
      </c>
      <c r="E608" s="1" t="s">
        <v>1421</v>
      </c>
      <c r="F608" s="1" t="s">
        <v>112</v>
      </c>
      <c r="G608" s="1">
        <v>3047609</v>
      </c>
    </row>
    <row r="609" spans="1:9" x14ac:dyDescent="0.35">
      <c r="A609" s="1" t="str">
        <f t="shared" si="9"/>
        <v>19 Testo + BPA 3</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1422</v>
      </c>
      <c r="D609" s="1" t="s">
        <v>1423</v>
      </c>
      <c r="E609" s="1" t="s">
        <v>1424</v>
      </c>
      <c r="F609" s="1" t="s">
        <v>112</v>
      </c>
      <c r="G609" s="1">
        <v>3587534</v>
      </c>
    </row>
    <row r="610" spans="1:9" x14ac:dyDescent="0.35">
      <c r="A610" s="1" t="str">
        <f t="shared" si="9"/>
        <v>19 Testo + BPA 3</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1425</v>
      </c>
      <c r="D610" s="1" t="s">
        <v>1426</v>
      </c>
      <c r="E610" s="1" t="s">
        <v>1427</v>
      </c>
      <c r="F610" s="1" t="s">
        <v>112</v>
      </c>
      <c r="G610" s="1">
        <v>3539667</v>
      </c>
    </row>
    <row r="611" spans="1:9" x14ac:dyDescent="0.35">
      <c r="A611" s="1" t="str">
        <f t="shared" si="9"/>
        <v>19 Testo + BPA 3</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1428</v>
      </c>
      <c r="D611" s="1" t="s">
        <v>1429</v>
      </c>
      <c r="E611" s="1" t="s">
        <v>1430</v>
      </c>
      <c r="F611" s="1" t="s">
        <v>112</v>
      </c>
      <c r="G611" s="1">
        <v>1167322</v>
      </c>
    </row>
    <row r="612" spans="1:9" x14ac:dyDescent="0.35">
      <c r="A612" s="1" t="str">
        <f t="shared" si="9"/>
        <v>19 Testo + BPA 3</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1431</v>
      </c>
      <c r="D612" s="1" t="s">
        <v>1432</v>
      </c>
      <c r="E612" s="1" t="s">
        <v>1433</v>
      </c>
      <c r="F612" s="1" t="s">
        <v>112</v>
      </c>
      <c r="G612" s="1">
        <v>1217785</v>
      </c>
    </row>
    <row r="613" spans="1:9" x14ac:dyDescent="0.35">
      <c r="A613" s="1" t="str">
        <f t="shared" si="9"/>
        <v>19 Testo + BPA 3</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1434</v>
      </c>
      <c r="D613" s="1" t="s">
        <v>1435</v>
      </c>
      <c r="E613" s="1" t="s">
        <v>1436</v>
      </c>
      <c r="F613" s="1" t="s">
        <v>112</v>
      </c>
      <c r="G613" s="1">
        <v>1254837</v>
      </c>
    </row>
    <row r="614" spans="1:9" x14ac:dyDescent="0.35">
      <c r="A614" s="1" t="str">
        <f t="shared" si="9"/>
        <v>19 Testo + BPA 3</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1437</v>
      </c>
      <c r="D614" s="1" t="s">
        <v>1438</v>
      </c>
      <c r="E614" s="1" t="s">
        <v>1439</v>
      </c>
      <c r="F614" s="1" t="s">
        <v>112</v>
      </c>
      <c r="G614" s="1">
        <v>6869049</v>
      </c>
    </row>
    <row r="615" spans="1:9" x14ac:dyDescent="0.35">
      <c r="A615" s="1" t="str">
        <f t="shared" si="9"/>
        <v>19 Testo + BPA 3</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1440</v>
      </c>
      <c r="D615" s="1" t="s">
        <v>1441</v>
      </c>
      <c r="E615" s="1" t="s">
        <v>1442</v>
      </c>
      <c r="F615" s="1" t="s">
        <v>112</v>
      </c>
      <c r="G615" s="1">
        <v>6563483</v>
      </c>
    </row>
    <row r="616" spans="1:9" x14ac:dyDescent="0.35">
      <c r="A616" s="1" t="str">
        <f t="shared" si="9"/>
        <v>19 Testo + BPA 3</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1443</v>
      </c>
      <c r="D616" s="1" t="s">
        <v>1444</v>
      </c>
      <c r="E616" s="1" t="s">
        <v>1445</v>
      </c>
      <c r="F616" s="1" t="s">
        <v>112</v>
      </c>
      <c r="G616" s="1">
        <v>6740935</v>
      </c>
    </row>
    <row r="617" spans="1:9" x14ac:dyDescent="0.35">
      <c r="A617" s="1" t="str">
        <f t="shared" si="9"/>
        <v>19 Testo + BPA 3</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1446</v>
      </c>
      <c r="D617" s="1" t="s">
        <v>1447</v>
      </c>
      <c r="E617" s="1" t="s">
        <v>1448</v>
      </c>
      <c r="F617" s="1" t="s">
        <v>112</v>
      </c>
      <c r="G617" s="1">
        <v>1355113</v>
      </c>
    </row>
    <row r="618" spans="1:9" x14ac:dyDescent="0.35">
      <c r="A618" s="1" t="str">
        <f t="shared" si="9"/>
        <v>19 Testo + BPA 3</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1449</v>
      </c>
      <c r="D618" s="1" t="s">
        <v>1450</v>
      </c>
      <c r="E618" s="1" t="s">
        <v>1451</v>
      </c>
      <c r="F618" s="1" t="s">
        <v>112</v>
      </c>
      <c r="G618" s="1">
        <v>1533322</v>
      </c>
    </row>
    <row r="619" spans="1:9" x14ac:dyDescent="0.35">
      <c r="A619" s="1" t="str">
        <f t="shared" si="9"/>
        <v>19 Testo + BPA 3</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1452</v>
      </c>
      <c r="D619" s="1" t="s">
        <v>1447</v>
      </c>
      <c r="E619" s="1" t="s">
        <v>1453</v>
      </c>
      <c r="F619" s="1" t="s">
        <v>112</v>
      </c>
      <c r="G619" s="1">
        <v>1312502</v>
      </c>
    </row>
    <row r="620" spans="1:9"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9"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241</v>
      </c>
      <c r="D621" s="1" t="s">
        <v>112</v>
      </c>
      <c r="E621" s="1" t="s">
        <v>242</v>
      </c>
      <c r="F621" s="1" t="s">
        <v>243</v>
      </c>
      <c r="G621" s="1" t="s">
        <v>244</v>
      </c>
      <c r="H621" s="1" t="s">
        <v>245</v>
      </c>
      <c r="I621" s="1" t="s">
        <v>246</v>
      </c>
    </row>
    <row r="622" spans="1:9" x14ac:dyDescent="0.35">
      <c r="A622" s="1" t="str">
        <f t="shared" si="9"/>
        <v>19 Testo + BPA 3</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1454</v>
      </c>
      <c r="D622" s="1" t="s">
        <v>112</v>
      </c>
      <c r="E622" s="1" t="s">
        <v>1455</v>
      </c>
      <c r="F622" s="1" t="s">
        <v>1456</v>
      </c>
      <c r="G622" s="1" t="s">
        <v>1457</v>
      </c>
      <c r="H622" s="1" t="s">
        <v>1458</v>
      </c>
      <c r="I622" s="1">
        <v>24</v>
      </c>
    </row>
    <row r="623" spans="1:9"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9"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252</v>
      </c>
      <c r="D628" s="1" t="s">
        <v>110</v>
      </c>
      <c r="E628" s="1" t="s">
        <v>111</v>
      </c>
      <c r="F628" s="1" t="s">
        <v>112</v>
      </c>
      <c r="G628" s="1" t="s">
        <v>113</v>
      </c>
    </row>
    <row r="629" spans="1:7" x14ac:dyDescent="0.35">
      <c r="A629" s="1" t="str">
        <f t="shared" si="9"/>
        <v>20 Testo +  BPA 4</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1459</v>
      </c>
      <c r="D629" s="1" t="s">
        <v>1460</v>
      </c>
      <c r="E629" s="1" t="s">
        <v>1461</v>
      </c>
      <c r="F629" s="1" t="s">
        <v>112</v>
      </c>
      <c r="G629" s="1">
        <v>2573784</v>
      </c>
    </row>
    <row r="630" spans="1:7" x14ac:dyDescent="0.35">
      <c r="A630" s="1" t="str">
        <f t="shared" si="9"/>
        <v>20 Testo +  BPA 4</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1462</v>
      </c>
      <c r="D630" s="1" t="s">
        <v>1463</v>
      </c>
      <c r="E630" s="1" t="s">
        <v>1464</v>
      </c>
      <c r="F630" s="1" t="s">
        <v>112</v>
      </c>
      <c r="G630" s="1">
        <v>2771720</v>
      </c>
    </row>
    <row r="631" spans="1:7" x14ac:dyDescent="0.35">
      <c r="A631" s="1" t="str">
        <f t="shared" si="9"/>
        <v>20 Testo +  BPA 4</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1465</v>
      </c>
      <c r="D631" s="1" t="s">
        <v>1466</v>
      </c>
      <c r="E631" s="1" t="s">
        <v>1467</v>
      </c>
      <c r="F631" s="1" t="s">
        <v>112</v>
      </c>
      <c r="G631" s="1">
        <v>2683059</v>
      </c>
    </row>
    <row r="632" spans="1:7" x14ac:dyDescent="0.35">
      <c r="A632" s="1" t="str">
        <f t="shared" si="9"/>
        <v>20 Testo +  BPA 4</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1468</v>
      </c>
      <c r="D632" s="1" t="s">
        <v>1469</v>
      </c>
      <c r="E632" s="1" t="s">
        <v>1470</v>
      </c>
      <c r="F632" s="1" t="s">
        <v>112</v>
      </c>
      <c r="G632" s="1">
        <v>4529624</v>
      </c>
    </row>
    <row r="633" spans="1:7" x14ac:dyDescent="0.35">
      <c r="A633" s="1" t="str">
        <f t="shared" si="9"/>
        <v>20 Testo +  BPA 4</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1471</v>
      </c>
      <c r="D633" s="1" t="s">
        <v>1472</v>
      </c>
      <c r="E633" s="1" t="s">
        <v>1473</v>
      </c>
      <c r="F633" s="1" t="s">
        <v>112</v>
      </c>
      <c r="G633" s="1">
        <v>4426363</v>
      </c>
    </row>
    <row r="634" spans="1:7" x14ac:dyDescent="0.35">
      <c r="A634" s="1" t="str">
        <f t="shared" si="9"/>
        <v>20 Testo +  BPA 4</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1474</v>
      </c>
      <c r="D634" s="1" t="s">
        <v>1475</v>
      </c>
      <c r="E634" s="1" t="s">
        <v>1476</v>
      </c>
      <c r="F634" s="1" t="s">
        <v>112</v>
      </c>
      <c r="G634" s="1">
        <v>4327796</v>
      </c>
    </row>
    <row r="635" spans="1:7" x14ac:dyDescent="0.35">
      <c r="A635" s="1" t="str">
        <f t="shared" si="9"/>
        <v>20 Testo +  BPA 4</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1477</v>
      </c>
      <c r="D635" s="1" t="s">
        <v>1478</v>
      </c>
      <c r="E635" s="1" t="s">
        <v>1479</v>
      </c>
      <c r="F635" s="1" t="s">
        <v>112</v>
      </c>
      <c r="G635" s="1">
        <v>3654154</v>
      </c>
    </row>
    <row r="636" spans="1:7" x14ac:dyDescent="0.35">
      <c r="A636" s="1" t="str">
        <f t="shared" si="9"/>
        <v>20 Testo +  BPA 4</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1480</v>
      </c>
      <c r="D636" s="1" t="s">
        <v>1481</v>
      </c>
      <c r="E636" s="1" t="s">
        <v>1482</v>
      </c>
      <c r="F636" s="1" t="s">
        <v>112</v>
      </c>
      <c r="G636" s="1">
        <v>3655301</v>
      </c>
    </row>
    <row r="637" spans="1:7" x14ac:dyDescent="0.35">
      <c r="A637" s="1" t="str">
        <f t="shared" si="9"/>
        <v>20 Testo +  BPA 4</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1483</v>
      </c>
      <c r="D637" s="1" t="s">
        <v>1484</v>
      </c>
      <c r="E637" s="1" t="s">
        <v>1485</v>
      </c>
      <c r="F637" s="1" t="s">
        <v>112</v>
      </c>
      <c r="G637" s="1">
        <v>3063442</v>
      </c>
    </row>
    <row r="638" spans="1:7" x14ac:dyDescent="0.35">
      <c r="A638" s="1" t="str">
        <f t="shared" si="9"/>
        <v>20 Testo +  BPA 4</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1486</v>
      </c>
    </row>
    <row r="639" spans="1:7" x14ac:dyDescent="0.35">
      <c r="A639" s="1" t="str">
        <f t="shared" si="9"/>
        <v>20 Testo +  BPA 4</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1487</v>
      </c>
      <c r="D639" s="1" t="s">
        <v>1488</v>
      </c>
      <c r="E639" s="1" t="s">
        <v>1489</v>
      </c>
      <c r="F639" s="1" t="s">
        <v>112</v>
      </c>
      <c r="G639" s="1">
        <v>2685481</v>
      </c>
    </row>
    <row r="640" spans="1:7" x14ac:dyDescent="0.35">
      <c r="A640" s="1" t="str">
        <f t="shared" si="9"/>
        <v>20 Testo +  BPA 4</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1490</v>
      </c>
      <c r="D640" s="1" t="s">
        <v>1491</v>
      </c>
      <c r="E640" s="1" t="s">
        <v>1492</v>
      </c>
      <c r="F640" s="1" t="s">
        <v>112</v>
      </c>
      <c r="G640" s="1">
        <v>2439830</v>
      </c>
    </row>
    <row r="641" spans="1:9" x14ac:dyDescent="0.35">
      <c r="A641" s="1" t="str">
        <f t="shared" si="9"/>
        <v>20 Testo +  BPA 4</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1493</v>
      </c>
      <c r="D641" s="1" t="s">
        <v>1494</v>
      </c>
      <c r="E641" s="1" t="s">
        <v>1495</v>
      </c>
      <c r="F641" s="1" t="s">
        <v>112</v>
      </c>
      <c r="G641" s="1">
        <v>3493206</v>
      </c>
    </row>
    <row r="642" spans="1:9" x14ac:dyDescent="0.35">
      <c r="A642" s="1" t="str">
        <f t="shared" ref="A642:A705" si="10">IFERROR(LEFT(RIGHT(C642,LEN(C642)-SEARCH("@",C642)),SEARCH("/",RIGHT(C642,LEN(C642)-SEARCH("@",C642)-1))),"")</f>
        <v>20 Testo +  BPA 4</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1496</v>
      </c>
      <c r="D642" s="1" t="s">
        <v>1497</v>
      </c>
      <c r="E642" s="1" t="s">
        <v>1498</v>
      </c>
      <c r="F642" s="1" t="s">
        <v>112</v>
      </c>
      <c r="G642" s="1">
        <v>3298754</v>
      </c>
    </row>
    <row r="643" spans="1:9" x14ac:dyDescent="0.35">
      <c r="A643" s="1" t="str">
        <f t="shared" si="10"/>
        <v>20 Testo +  BPA 4</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1499</v>
      </c>
      <c r="D643" s="1" t="s">
        <v>1500</v>
      </c>
      <c r="E643" s="1" t="s">
        <v>1501</v>
      </c>
      <c r="F643" s="1" t="s">
        <v>112</v>
      </c>
      <c r="G643" s="1">
        <v>3291443</v>
      </c>
    </row>
    <row r="644" spans="1:9" x14ac:dyDescent="0.35">
      <c r="A644" s="1" t="str">
        <f t="shared" si="10"/>
        <v>20 Testo +  BPA 4</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1502</v>
      </c>
      <c r="D644" s="1" t="s">
        <v>1503</v>
      </c>
      <c r="E644" s="1" t="s">
        <v>1504</v>
      </c>
      <c r="F644" s="1" t="s">
        <v>112</v>
      </c>
      <c r="G644" s="1">
        <v>4818535</v>
      </c>
    </row>
    <row r="645" spans="1:9" x14ac:dyDescent="0.35">
      <c r="A645" s="1" t="str">
        <f t="shared" si="10"/>
        <v>20 Testo +  BPA 4</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1505</v>
      </c>
      <c r="D645" s="1" t="s">
        <v>1287</v>
      </c>
      <c r="E645" s="1" t="s">
        <v>1506</v>
      </c>
      <c r="F645" s="1" t="s">
        <v>112</v>
      </c>
      <c r="G645" s="1">
        <v>5012512</v>
      </c>
    </row>
    <row r="646" spans="1:9" x14ac:dyDescent="0.35">
      <c r="A646" s="1" t="str">
        <f t="shared" si="10"/>
        <v>20 Testo +  BPA 4</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1507</v>
      </c>
      <c r="D646" s="1" t="s">
        <v>1508</v>
      </c>
      <c r="E646" s="1" t="s">
        <v>1509</v>
      </c>
      <c r="F646" s="1" t="s">
        <v>112</v>
      </c>
      <c r="G646" s="1">
        <v>4859870</v>
      </c>
    </row>
    <row r="647" spans="1:9" x14ac:dyDescent="0.35">
      <c r="A647" s="1" t="str">
        <f t="shared" si="10"/>
        <v>20 Testo +  BPA 4</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1510</v>
      </c>
    </row>
    <row r="648" spans="1:9" x14ac:dyDescent="0.35">
      <c r="A648" s="1" t="str">
        <f t="shared" si="10"/>
        <v>20 Testo +  BPA 4</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1511</v>
      </c>
      <c r="D648" s="1" t="s">
        <v>1512</v>
      </c>
      <c r="E648" s="1" t="s">
        <v>1513</v>
      </c>
      <c r="F648" s="1" t="s">
        <v>112</v>
      </c>
      <c r="G648" s="1">
        <v>5312756</v>
      </c>
    </row>
    <row r="649" spans="1:9" x14ac:dyDescent="0.35">
      <c r="A649" s="1" t="str">
        <f t="shared" si="10"/>
        <v>20 Testo +  BPA 4</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1514</v>
      </c>
      <c r="D649" s="1" t="s">
        <v>1515</v>
      </c>
      <c r="E649" s="1" t="s">
        <v>1516</v>
      </c>
      <c r="F649" s="1" t="s">
        <v>112</v>
      </c>
      <c r="G649" s="1">
        <v>5286476</v>
      </c>
    </row>
    <row r="650" spans="1:9" x14ac:dyDescent="0.35">
      <c r="A650" s="1" t="str">
        <f t="shared" si="10"/>
        <v>20 Testo +  BPA 4</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1517</v>
      </c>
      <c r="D650" s="1" t="s">
        <v>1518</v>
      </c>
      <c r="E650" s="1" t="s">
        <v>1519</v>
      </c>
      <c r="F650" s="1" t="s">
        <v>112</v>
      </c>
      <c r="G650" s="1">
        <v>4591789</v>
      </c>
    </row>
    <row r="651" spans="1:9" x14ac:dyDescent="0.35">
      <c r="A651" s="1" t="str">
        <f t="shared" si="10"/>
        <v>20 Testo +  BPA 4</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1520</v>
      </c>
      <c r="D651" s="1" t="s">
        <v>1521</v>
      </c>
      <c r="E651" s="1" t="s">
        <v>1522</v>
      </c>
      <c r="F651" s="1" t="s">
        <v>112</v>
      </c>
      <c r="G651" s="1">
        <v>4255357</v>
      </c>
    </row>
    <row r="652" spans="1:9" x14ac:dyDescent="0.35">
      <c r="A652" s="1" t="str">
        <f t="shared" si="10"/>
        <v>20 Testo +  BPA 4</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1523</v>
      </c>
    </row>
    <row r="653" spans="1:9"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9"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241</v>
      </c>
      <c r="D654" s="1" t="s">
        <v>112</v>
      </c>
      <c r="E654" s="1" t="s">
        <v>242</v>
      </c>
      <c r="F654" s="1" t="s">
        <v>243</v>
      </c>
      <c r="G654" s="1" t="s">
        <v>244</v>
      </c>
      <c r="H654" s="1" t="s">
        <v>245</v>
      </c>
      <c r="I654" s="1" t="s">
        <v>246</v>
      </c>
    </row>
    <row r="655" spans="1:9" x14ac:dyDescent="0.35">
      <c r="A655" s="1" t="str">
        <f t="shared" si="10"/>
        <v>20 Testo +  BPA 4</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1524</v>
      </c>
      <c r="D655" s="1" t="s">
        <v>112</v>
      </c>
      <c r="E655" s="1" t="s">
        <v>1525</v>
      </c>
      <c r="F655" s="1" t="s">
        <v>1526</v>
      </c>
      <c r="G655" s="1" t="s">
        <v>1527</v>
      </c>
      <c r="H655" s="1" t="s">
        <v>1528</v>
      </c>
      <c r="I655" s="1">
        <v>24</v>
      </c>
    </row>
    <row r="656" spans="1:9"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252</v>
      </c>
      <c r="D661" s="1" t="s">
        <v>110</v>
      </c>
      <c r="E661" s="1" t="s">
        <v>111</v>
      </c>
      <c r="F661" s="1" t="s">
        <v>112</v>
      </c>
      <c r="G661" s="1" t="s">
        <v>113</v>
      </c>
    </row>
    <row r="662" spans="1:7" x14ac:dyDescent="0.35">
      <c r="A662" s="1" t="str">
        <f t="shared" si="10"/>
        <v>21 Testo +  BPA 5</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1529</v>
      </c>
      <c r="D662" s="1" t="s">
        <v>1530</v>
      </c>
      <c r="E662" s="1" t="s">
        <v>1531</v>
      </c>
      <c r="F662" s="1" t="s">
        <v>112</v>
      </c>
      <c r="G662" s="1">
        <v>3721640</v>
      </c>
    </row>
    <row r="663" spans="1:7" x14ac:dyDescent="0.35">
      <c r="A663" s="1" t="str">
        <f t="shared" si="10"/>
        <v>21 Testo +  BPA 5</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1532</v>
      </c>
      <c r="D663" s="1" t="s">
        <v>1533</v>
      </c>
      <c r="E663" s="1" t="s">
        <v>1534</v>
      </c>
      <c r="F663" s="1" t="s">
        <v>112</v>
      </c>
      <c r="G663" s="1">
        <v>3531621</v>
      </c>
    </row>
    <row r="664" spans="1:7" x14ac:dyDescent="0.35">
      <c r="A664" s="1" t="str">
        <f t="shared" si="10"/>
        <v>21 Testo +  BPA 5</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1535</v>
      </c>
      <c r="D664" s="1" t="s">
        <v>1137</v>
      </c>
      <c r="E664" s="1" t="s">
        <v>1536</v>
      </c>
      <c r="F664" s="1" t="s">
        <v>112</v>
      </c>
      <c r="G664" s="1">
        <v>3552429</v>
      </c>
    </row>
    <row r="665" spans="1:7" x14ac:dyDescent="0.35">
      <c r="A665" s="1" t="str">
        <f t="shared" si="10"/>
        <v>21 Testo +  BPA 5</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1537</v>
      </c>
      <c r="D665" s="1" t="s">
        <v>1538</v>
      </c>
      <c r="E665" s="1" t="s">
        <v>1539</v>
      </c>
      <c r="F665" s="1" t="s">
        <v>112</v>
      </c>
      <c r="G665" s="1">
        <v>5743472</v>
      </c>
    </row>
    <row r="666" spans="1:7" x14ac:dyDescent="0.35">
      <c r="A666" s="1" t="str">
        <f t="shared" si="10"/>
        <v>21 Testo +  BPA 5</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1540</v>
      </c>
      <c r="D666" s="1" t="s">
        <v>1541</v>
      </c>
      <c r="E666" s="1" t="s">
        <v>1542</v>
      </c>
      <c r="F666" s="1" t="s">
        <v>112</v>
      </c>
      <c r="G666" s="1">
        <v>5499011</v>
      </c>
    </row>
    <row r="667" spans="1:7" x14ac:dyDescent="0.35">
      <c r="A667" s="1" t="str">
        <f t="shared" si="10"/>
        <v>21 Testo +  BPA 5</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1543</v>
      </c>
      <c r="D667" s="1" t="s">
        <v>1544</v>
      </c>
      <c r="E667" s="1" t="s">
        <v>1545</v>
      </c>
      <c r="F667" s="1" t="s">
        <v>112</v>
      </c>
      <c r="G667" s="1">
        <v>5601818</v>
      </c>
    </row>
    <row r="668" spans="1:7" x14ac:dyDescent="0.35">
      <c r="A668" s="1" t="str">
        <f t="shared" si="10"/>
        <v>21 Testo +  BPA 5</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1546</v>
      </c>
      <c r="D668" s="1" t="s">
        <v>1547</v>
      </c>
      <c r="E668" s="1" t="s">
        <v>1548</v>
      </c>
      <c r="F668" s="1" t="s">
        <v>112</v>
      </c>
      <c r="G668" s="1">
        <v>2427458</v>
      </c>
    </row>
    <row r="669" spans="1:7" x14ac:dyDescent="0.35">
      <c r="A669" s="1" t="str">
        <f t="shared" si="10"/>
        <v>21 Testo +  BPA 5</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1549</v>
      </c>
      <c r="D669" s="1" t="s">
        <v>1550</v>
      </c>
      <c r="E669" s="1" t="s">
        <v>1551</v>
      </c>
      <c r="F669" s="1" t="s">
        <v>112</v>
      </c>
      <c r="G669" s="1">
        <v>2327031</v>
      </c>
    </row>
    <row r="670" spans="1:7" x14ac:dyDescent="0.35">
      <c r="A670" s="1" t="str">
        <f t="shared" si="10"/>
        <v>21 Testo +  BPA 5</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1552</v>
      </c>
      <c r="D670" s="1" t="s">
        <v>1553</v>
      </c>
      <c r="E670" s="1" t="s">
        <v>1554</v>
      </c>
      <c r="F670" s="1" t="s">
        <v>112</v>
      </c>
      <c r="G670" s="1">
        <v>2173372</v>
      </c>
    </row>
    <row r="671" spans="1:7" x14ac:dyDescent="0.35">
      <c r="A671" s="1" t="str">
        <f t="shared" si="10"/>
        <v>21 Testo +  BPA 5</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1555</v>
      </c>
      <c r="D671" s="1" t="s">
        <v>1556</v>
      </c>
      <c r="E671" s="1" t="s">
        <v>1557</v>
      </c>
      <c r="F671" s="1" t="s">
        <v>112</v>
      </c>
      <c r="G671" s="1">
        <v>5990897</v>
      </c>
    </row>
    <row r="672" spans="1:7" x14ac:dyDescent="0.35">
      <c r="A672" s="1" t="str">
        <f t="shared" si="10"/>
        <v>21 Testo +  BPA 5</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1558</v>
      </c>
      <c r="D672" s="1" t="s">
        <v>1559</v>
      </c>
      <c r="E672" s="1" t="s">
        <v>1560</v>
      </c>
      <c r="F672" s="1" t="s">
        <v>112</v>
      </c>
      <c r="G672" s="1">
        <v>5936995</v>
      </c>
    </row>
    <row r="673" spans="1:9" x14ac:dyDescent="0.35">
      <c r="A673" s="1" t="str">
        <f t="shared" si="10"/>
        <v>21 Testo +  BPA 5</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1561</v>
      </c>
    </row>
    <row r="674" spans="1:9" x14ac:dyDescent="0.35">
      <c r="A674" s="1" t="str">
        <f t="shared" si="10"/>
        <v>21 Testo +  BPA 5</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1562</v>
      </c>
      <c r="D674" s="1" t="s">
        <v>1563</v>
      </c>
      <c r="E674" s="1" t="s">
        <v>1564</v>
      </c>
      <c r="F674" s="1" t="s">
        <v>112</v>
      </c>
      <c r="G674" s="1">
        <v>3316533</v>
      </c>
    </row>
    <row r="675" spans="1:9" x14ac:dyDescent="0.35">
      <c r="A675" s="1" t="str">
        <f t="shared" si="10"/>
        <v>21 Testo +  BPA 5</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1565</v>
      </c>
      <c r="D675" s="1" t="s">
        <v>1566</v>
      </c>
      <c r="E675" s="1" t="s">
        <v>1567</v>
      </c>
      <c r="F675" s="1" t="s">
        <v>112</v>
      </c>
      <c r="G675" s="1">
        <v>3216106</v>
      </c>
    </row>
    <row r="676" spans="1:9" x14ac:dyDescent="0.35">
      <c r="A676" s="1" t="str">
        <f t="shared" si="10"/>
        <v>21 Testo +  BPA 5</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1568</v>
      </c>
      <c r="D676" s="1" t="s">
        <v>1569</v>
      </c>
      <c r="E676" s="1" t="s">
        <v>1570</v>
      </c>
      <c r="F676" s="1" t="s">
        <v>112</v>
      </c>
      <c r="G676" s="1">
        <v>2698048</v>
      </c>
    </row>
    <row r="677" spans="1:9" x14ac:dyDescent="0.35">
      <c r="A677" s="1" t="str">
        <f t="shared" si="10"/>
        <v>21 Testo +  BPA 5</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1571</v>
      </c>
      <c r="D677" s="1" t="s">
        <v>1572</v>
      </c>
      <c r="E677" s="1" t="s">
        <v>1573</v>
      </c>
      <c r="F677" s="1" t="s">
        <v>112</v>
      </c>
      <c r="G677" s="1">
        <v>2667096</v>
      </c>
    </row>
    <row r="678" spans="1:9" x14ac:dyDescent="0.35">
      <c r="A678" s="1" t="str">
        <f t="shared" si="10"/>
        <v>21 Testo +  BPA 5</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1574</v>
      </c>
      <c r="D678" s="1" t="s">
        <v>473</v>
      </c>
      <c r="E678" s="1" t="s">
        <v>1575</v>
      </c>
      <c r="F678" s="1" t="s">
        <v>112</v>
      </c>
      <c r="G678" s="1">
        <v>2390363</v>
      </c>
    </row>
    <row r="679" spans="1:9" x14ac:dyDescent="0.35">
      <c r="A679" s="1" t="str">
        <f t="shared" si="10"/>
        <v>21 Testo +  BPA 5</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1576</v>
      </c>
      <c r="D679" s="1" t="s">
        <v>1577</v>
      </c>
      <c r="E679" s="1" t="s">
        <v>1578</v>
      </c>
      <c r="F679" s="1" t="s">
        <v>112</v>
      </c>
      <c r="G679" s="1">
        <v>2687233</v>
      </c>
    </row>
    <row r="680" spans="1:9" x14ac:dyDescent="0.35">
      <c r="A680" s="1" t="str">
        <f t="shared" si="10"/>
        <v>21 Testo +  BPA 5</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1579</v>
      </c>
      <c r="D680" s="1" t="s">
        <v>1580</v>
      </c>
      <c r="E680" s="1" t="s">
        <v>1581</v>
      </c>
      <c r="F680" s="1" t="s">
        <v>112</v>
      </c>
      <c r="G680" s="1">
        <v>6235466</v>
      </c>
    </row>
    <row r="681" spans="1:9" x14ac:dyDescent="0.35">
      <c r="A681" s="1" t="str">
        <f t="shared" si="10"/>
        <v>21 Testo +  BPA 5</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1582</v>
      </c>
      <c r="D681" s="1" t="s">
        <v>1583</v>
      </c>
      <c r="E681" s="1" t="s">
        <v>1584</v>
      </c>
      <c r="F681" s="1" t="s">
        <v>112</v>
      </c>
      <c r="G681" s="1">
        <v>6177822</v>
      </c>
    </row>
    <row r="682" spans="1:9" x14ac:dyDescent="0.35">
      <c r="A682" s="1" t="str">
        <f t="shared" si="10"/>
        <v>21 Testo +  BPA 5</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1585</v>
      </c>
      <c r="D682" s="1" t="s">
        <v>1586</v>
      </c>
      <c r="E682" s="1" t="s">
        <v>1587</v>
      </c>
      <c r="F682" s="1" t="s">
        <v>112</v>
      </c>
      <c r="G682" s="1">
        <v>6364986</v>
      </c>
    </row>
    <row r="683" spans="1:9" x14ac:dyDescent="0.35">
      <c r="A683" s="1" t="str">
        <f t="shared" si="10"/>
        <v>21 Testo +  BPA 5</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1588</v>
      </c>
      <c r="D683" s="1" t="s">
        <v>1589</v>
      </c>
      <c r="E683" s="1" t="s">
        <v>1590</v>
      </c>
      <c r="F683" s="1" t="s">
        <v>112</v>
      </c>
      <c r="G683" s="1">
        <v>1018552</v>
      </c>
    </row>
    <row r="684" spans="1:9" x14ac:dyDescent="0.35">
      <c r="A684" s="1" t="str">
        <f t="shared" si="10"/>
        <v>21 Testo +  BPA 5</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1591</v>
      </c>
    </row>
    <row r="685" spans="1:9" x14ac:dyDescent="0.35">
      <c r="A685" s="1" t="str">
        <f t="shared" si="10"/>
        <v>21 Testo +  BPA 5</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1592</v>
      </c>
      <c r="D685" s="1" t="s">
        <v>1593</v>
      </c>
      <c r="E685" s="1" t="s">
        <v>1594</v>
      </c>
      <c r="F685" s="1" t="s">
        <v>112</v>
      </c>
      <c r="G685" s="1">
        <v>790162</v>
      </c>
    </row>
    <row r="686" spans="1:9"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9"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241</v>
      </c>
      <c r="D687" s="1" t="s">
        <v>112</v>
      </c>
      <c r="E687" s="1" t="s">
        <v>242</v>
      </c>
      <c r="F687" s="1" t="s">
        <v>243</v>
      </c>
      <c r="G687" s="1" t="s">
        <v>244</v>
      </c>
      <c r="H687" s="1" t="s">
        <v>245</v>
      </c>
      <c r="I687" s="1" t="s">
        <v>246</v>
      </c>
    </row>
    <row r="688" spans="1:9" x14ac:dyDescent="0.35">
      <c r="A688" s="1" t="str">
        <f t="shared" si="10"/>
        <v>21 Testo +  BPA 5</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1595</v>
      </c>
      <c r="D688" s="1" t="s">
        <v>112</v>
      </c>
      <c r="E688" s="1" t="s">
        <v>1596</v>
      </c>
      <c r="F688" s="1" t="s">
        <v>1597</v>
      </c>
      <c r="G688" s="1">
        <v>3714637</v>
      </c>
      <c r="H688" s="1" t="s">
        <v>1598</v>
      </c>
      <c r="I688" s="1">
        <v>24</v>
      </c>
    </row>
    <row r="689" spans="1:4"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4"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4"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4"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112</v>
      </c>
    </row>
    <row r="693" spans="1:4"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112</v>
      </c>
    </row>
    <row r="694" spans="1:4"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4"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1599</v>
      </c>
    </row>
    <row r="696" spans="1:4"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55" zoomScaleNormal="55" zoomScaleSheetLayoutView="40" zoomScalePageLayoutView="30" workbookViewId="0">
      <pane xSplit="1" topLeftCell="B1" activePane="topRight" state="frozen"/>
      <selection pane="topRight" activeCell="P5" sqref="P5:V12"/>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0" t="s">
        <v>40</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c r="A2"/>
      <c r="B2"/>
      <c r="C2"/>
      <c r="D2"/>
      <c r="E2"/>
      <c r="F2"/>
      <c r="G2"/>
      <c r="H2"/>
      <c r="I2"/>
      <c r="J2"/>
      <c r="K2"/>
      <c r="L2"/>
      <c r="M2"/>
      <c r="S2"/>
      <c r="T2"/>
      <c r="U2"/>
      <c r="V2"/>
    </row>
    <row r="3" spans="1:22" ht="15" thickBot="1" x14ac:dyDescent="0.4">
      <c r="A3" s="51" t="s">
        <v>17</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BPA-1mg/L</v>
      </c>
      <c r="J4" s="35" t="str">
        <f>'Page de garde'!A15</f>
        <v>BPA-2mg/L</v>
      </c>
      <c r="K4" s="35" t="str">
        <f>'Page de garde'!A16</f>
        <v>BPA-3mg/L</v>
      </c>
      <c r="L4" s="35" t="str">
        <f>'Page de garde'!A17</f>
        <v>BPA-4mg/L</v>
      </c>
      <c r="M4" s="35" t="str">
        <f>'Page de garde'!A18</f>
        <v>BPA-5mg/L</v>
      </c>
      <c r="N4" s="3"/>
      <c r="O4" s="36" t="str">
        <f>'Page de garde'!A35</f>
        <v>Testo -30µg/L</v>
      </c>
      <c r="P4" s="36" t="str">
        <f>'Page de garde'!A36</f>
        <v>Testo 30µg/L + EE2 -64ng/L</v>
      </c>
      <c r="Q4" s="36" t="str">
        <f>'Page de garde'!A37</f>
        <v>Testo 30µg/L + FAD-10mg/L</v>
      </c>
      <c r="R4" s="36" t="str">
        <f>'Page de garde'!A38</f>
        <v>BPA-1mg/L + Testostérone</v>
      </c>
      <c r="S4" s="36" t="str">
        <f>'Page de garde'!A39</f>
        <v>BPA-2mg/L + Testostérone</v>
      </c>
      <c r="T4" s="36" t="str">
        <f>'Page de garde'!A40</f>
        <v>BPA-3mg/L + Testostérone</v>
      </c>
      <c r="U4" s="36" t="str">
        <f>'Page de garde'!A41</f>
        <v>BPA-4mg/L + Testostérone</v>
      </c>
      <c r="V4" s="36" t="str">
        <f>'Page de garde'!A42</f>
        <v>BPA-5mg/L + Testostérone</v>
      </c>
    </row>
    <row r="5" spans="1:22" ht="16.5" x14ac:dyDescent="0.35">
      <c r="A5" s="214" t="s">
        <v>33</v>
      </c>
      <c r="B5" s="73">
        <v>33908.333333333336</v>
      </c>
      <c r="C5" s="13">
        <v>306301.33333333331</v>
      </c>
      <c r="D5" s="32">
        <v>650937.66666666663</v>
      </c>
      <c r="E5" s="32">
        <v>1289293.5</v>
      </c>
      <c r="F5" s="32">
        <v>227092</v>
      </c>
      <c r="G5" s="32">
        <v>2800833.3333333335</v>
      </c>
      <c r="H5" s="32">
        <v>5887217.666666667</v>
      </c>
      <c r="I5" s="32">
        <v>49886</v>
      </c>
      <c r="J5" s="16">
        <v>57953.666666666664</v>
      </c>
      <c r="K5" s="13">
        <v>672863</v>
      </c>
      <c r="L5" s="13">
        <v>1769044</v>
      </c>
      <c r="M5" s="13">
        <v>3751049</v>
      </c>
      <c r="N5" s="3"/>
      <c r="O5" s="32">
        <v>1006237.3333333334</v>
      </c>
      <c r="P5" s="13">
        <v>2902544.3333333335</v>
      </c>
      <c r="Q5" s="13">
        <v>44893</v>
      </c>
      <c r="R5" s="4">
        <v>2228816.6666666665</v>
      </c>
      <c r="S5" s="32">
        <v>972703.66666666663</v>
      </c>
      <c r="T5" s="32">
        <v>1052135.6666666667</v>
      </c>
      <c r="U5" s="32">
        <v>2676187.6666666665</v>
      </c>
      <c r="V5" s="32">
        <v>3601896.6666666665</v>
      </c>
    </row>
    <row r="6" spans="1:22" ht="16.5" x14ac:dyDescent="0.35">
      <c r="A6" s="215"/>
      <c r="B6" s="73">
        <v>116311</v>
      </c>
      <c r="C6" s="13">
        <v>129758</v>
      </c>
      <c r="D6" s="32">
        <v>37189</v>
      </c>
      <c r="E6" s="32">
        <v>665241.66666666663</v>
      </c>
      <c r="F6" s="32">
        <v>1030268</v>
      </c>
      <c r="G6" s="32">
        <v>1014399</v>
      </c>
      <c r="H6" s="32">
        <v>859586.33333333337</v>
      </c>
      <c r="I6" s="32">
        <v>30073</v>
      </c>
      <c r="J6" s="16">
        <v>521864.33333333331</v>
      </c>
      <c r="K6" s="13">
        <v>9647</v>
      </c>
      <c r="L6" s="13">
        <v>3387976.6666666665</v>
      </c>
      <c r="M6" s="13">
        <v>64890</v>
      </c>
      <c r="N6" s="3"/>
      <c r="O6" s="32">
        <v>2896653.6666666665</v>
      </c>
      <c r="P6" s="13">
        <v>3974039</v>
      </c>
      <c r="Q6" s="13">
        <v>236047</v>
      </c>
      <c r="R6" s="4">
        <v>3006490</v>
      </c>
      <c r="S6" s="32">
        <v>1772887.3333333333</v>
      </c>
      <c r="T6" s="32">
        <v>1268852.6666666667</v>
      </c>
      <c r="U6" s="32">
        <v>4427927.666666667</v>
      </c>
      <c r="V6" s="32">
        <v>5614767</v>
      </c>
    </row>
    <row r="7" spans="1:22" ht="16.5" x14ac:dyDescent="0.35">
      <c r="A7" s="215"/>
      <c r="B7" s="73">
        <v>281585</v>
      </c>
      <c r="C7" s="13">
        <v>167595.66666666666</v>
      </c>
      <c r="D7" s="32">
        <v>514113.33333333331</v>
      </c>
      <c r="E7" s="32">
        <v>368076</v>
      </c>
      <c r="F7" s="32">
        <v>1977794</v>
      </c>
      <c r="G7" s="32">
        <v>2341047</v>
      </c>
      <c r="H7" s="32">
        <v>4107575</v>
      </c>
      <c r="I7" s="32">
        <v>32228.666666666668</v>
      </c>
      <c r="J7" s="16">
        <v>204006</v>
      </c>
      <c r="K7" s="13">
        <v>76772</v>
      </c>
      <c r="L7" s="13">
        <v>418084.33333333331</v>
      </c>
      <c r="M7" s="13">
        <v>177617.33333333334</v>
      </c>
      <c r="N7" s="3"/>
      <c r="O7" s="32">
        <v>262248</v>
      </c>
      <c r="P7" s="13">
        <v>3522947.6666666665</v>
      </c>
      <c r="Q7" s="13">
        <v>204799</v>
      </c>
      <c r="R7" s="4">
        <v>2683502</v>
      </c>
      <c r="S7" s="32">
        <v>4636555.333333333</v>
      </c>
      <c r="T7" s="32">
        <v>4670918</v>
      </c>
      <c r="U7" s="32">
        <v>3457632.3333333335</v>
      </c>
      <c r="V7" s="32">
        <v>2309287</v>
      </c>
    </row>
    <row r="8" spans="1:22" ht="16.5" x14ac:dyDescent="0.35">
      <c r="A8" s="215"/>
      <c r="B8" s="73">
        <v>77878.5</v>
      </c>
      <c r="C8" s="13">
        <v>145706.33333333334</v>
      </c>
      <c r="D8" s="32">
        <v>134992</v>
      </c>
      <c r="E8" s="32">
        <v>168453.66666666666</v>
      </c>
      <c r="F8" s="32">
        <v>2955537.6666666665</v>
      </c>
      <c r="G8" s="32">
        <v>3699469</v>
      </c>
      <c r="H8" s="32">
        <v>4805989.5</v>
      </c>
      <c r="I8" s="32">
        <v>32502.666666666668</v>
      </c>
      <c r="J8" s="16">
        <v>78300</v>
      </c>
      <c r="K8" s="13">
        <v>3033282.6666666665</v>
      </c>
      <c r="L8" s="13">
        <v>16395</v>
      </c>
      <c r="M8" s="13">
        <v>16907.333333333332</v>
      </c>
      <c r="N8" s="3"/>
      <c r="O8" s="32">
        <v>3376491.3333333335</v>
      </c>
      <c r="P8" s="13">
        <v>4126897.3333333335</v>
      </c>
      <c r="Q8" s="13">
        <v>85791.333333333328</v>
      </c>
      <c r="R8" s="4"/>
      <c r="S8" s="32">
        <v>3942589</v>
      </c>
      <c r="T8" s="32">
        <v>4228774</v>
      </c>
      <c r="U8" s="32">
        <v>2562655.5</v>
      </c>
      <c r="V8" s="32">
        <v>5963946</v>
      </c>
    </row>
    <row r="9" spans="1:22" ht="16.5" x14ac:dyDescent="0.35">
      <c r="A9" s="215"/>
      <c r="B9" s="73">
        <v>53771.5</v>
      </c>
      <c r="C9" s="13">
        <v>500422.33333333331</v>
      </c>
      <c r="D9" s="32">
        <v>75942.333333333328</v>
      </c>
      <c r="E9" s="32">
        <v>164632.33333333334</v>
      </c>
      <c r="F9" s="32">
        <v>1981089.3333333333</v>
      </c>
      <c r="G9" s="32">
        <v>3451309.3333333335</v>
      </c>
      <c r="H9" s="32">
        <v>5404546.666666667</v>
      </c>
      <c r="I9" s="32">
        <v>162642.33333333334</v>
      </c>
      <c r="J9" s="16">
        <v>36843</v>
      </c>
      <c r="K9" s="13">
        <v>63916</v>
      </c>
      <c r="L9" s="13">
        <v>326827.66666666669</v>
      </c>
      <c r="M9" s="13">
        <v>2500177.6666666665</v>
      </c>
      <c r="N9" s="3"/>
      <c r="O9" s="32">
        <v>3890821.6666666665</v>
      </c>
      <c r="P9" s="13">
        <v>677621.5</v>
      </c>
      <c r="Q9" s="13">
        <v>98884.666666666672</v>
      </c>
      <c r="R9" s="4">
        <v>377766</v>
      </c>
      <c r="S9" s="32">
        <v>171871.5</v>
      </c>
      <c r="T9" s="32">
        <v>3391603.3333333335</v>
      </c>
      <c r="U9" s="32">
        <v>3361134.3333333335</v>
      </c>
      <c r="V9" s="32">
        <v>3076895.6666666665</v>
      </c>
    </row>
    <row r="10" spans="1:22" ht="16.5" x14ac:dyDescent="0.35">
      <c r="A10" s="215"/>
      <c r="B10" s="73">
        <v>18537</v>
      </c>
      <c r="C10" s="13">
        <v>55762</v>
      </c>
      <c r="D10" s="32">
        <v>121134.33333333333</v>
      </c>
      <c r="E10" s="32">
        <v>211273.66666666666</v>
      </c>
      <c r="F10" s="32">
        <v>1157069.6666666667</v>
      </c>
      <c r="G10" s="32">
        <v>3458115.3333333335</v>
      </c>
      <c r="H10" s="32">
        <v>1861267</v>
      </c>
      <c r="I10" s="32">
        <v>118762.66666666667</v>
      </c>
      <c r="J10" s="16">
        <v>73556</v>
      </c>
      <c r="K10" s="13">
        <v>1064832.3333333333</v>
      </c>
      <c r="L10" s="13">
        <v>19705</v>
      </c>
      <c r="M10" s="13">
        <v>3792809</v>
      </c>
      <c r="N10" s="3"/>
      <c r="O10" s="32">
        <v>1958911</v>
      </c>
      <c r="P10" s="13">
        <v>2194490</v>
      </c>
      <c r="Q10" s="13">
        <v>47463</v>
      </c>
      <c r="R10" s="4">
        <v>4065620</v>
      </c>
      <c r="S10" s="32">
        <v>4355467.666666667</v>
      </c>
      <c r="T10" s="32">
        <v>1213314.6666666667</v>
      </c>
      <c r="U10" s="32">
        <v>4896972.333333333</v>
      </c>
      <c r="V10" s="32">
        <v>2581564</v>
      </c>
    </row>
    <row r="11" spans="1:22" ht="16.5" x14ac:dyDescent="0.35">
      <c r="A11" s="215"/>
      <c r="B11" s="73">
        <v>20894.333333333332</v>
      </c>
      <c r="C11" s="13">
        <v>238837.33333333334</v>
      </c>
      <c r="D11" s="32">
        <v>21176</v>
      </c>
      <c r="E11" s="32">
        <v>350281.66666666669</v>
      </c>
      <c r="F11" s="32">
        <v>1591549</v>
      </c>
      <c r="G11" s="32">
        <v>4002431.6666666665</v>
      </c>
      <c r="H11" s="32">
        <v>5830294.666666667</v>
      </c>
      <c r="I11" s="32">
        <v>410174.66666666669</v>
      </c>
      <c r="J11" s="16">
        <v>292335.33333333331</v>
      </c>
      <c r="K11" s="13">
        <v>55719</v>
      </c>
      <c r="L11" s="13">
        <v>4782845.333333333</v>
      </c>
      <c r="M11" s="13">
        <v>2894794</v>
      </c>
      <c r="N11" s="3"/>
      <c r="O11" s="32">
        <v>4174252.6666666665</v>
      </c>
      <c r="P11" s="13">
        <v>1197748.3333333333</v>
      </c>
      <c r="Q11" s="13">
        <v>59828</v>
      </c>
      <c r="R11" s="4">
        <v>2639662</v>
      </c>
      <c r="S11" s="32">
        <v>4023715.6666666665</v>
      </c>
      <c r="T11" s="32">
        <v>6724489</v>
      </c>
      <c r="U11" s="32">
        <v>5299616</v>
      </c>
      <c r="V11" s="32">
        <v>6259424.666666667</v>
      </c>
    </row>
    <row r="12" spans="1:22" ht="16.5" x14ac:dyDescent="0.35">
      <c r="A12" s="215"/>
      <c r="B12" s="73">
        <v>26330.666666666668</v>
      </c>
      <c r="C12" s="13">
        <v>31969</v>
      </c>
      <c r="D12" s="32">
        <v>26302</v>
      </c>
      <c r="E12" s="32">
        <v>518778.66666666669</v>
      </c>
      <c r="F12" s="32"/>
      <c r="G12" s="32"/>
      <c r="H12" s="32">
        <v>5679296.666666667</v>
      </c>
      <c r="I12" s="32">
        <v>153089.33333333334</v>
      </c>
      <c r="J12" s="16">
        <v>57088.666666666664</v>
      </c>
      <c r="K12" s="13">
        <v>56187.333333333336</v>
      </c>
      <c r="L12" s="13">
        <v>2260071.6666666665</v>
      </c>
      <c r="M12" s="13">
        <v>3782737</v>
      </c>
      <c r="N12" s="3"/>
      <c r="O12" s="32">
        <v>3655964.3333333335</v>
      </c>
      <c r="P12" s="13">
        <v>4411272.666666667</v>
      </c>
      <c r="Q12" s="13">
        <v>348558.66666666669</v>
      </c>
      <c r="R12" s="4">
        <v>4880324.333333333</v>
      </c>
      <c r="S12" s="32">
        <v>300050</v>
      </c>
      <c r="T12" s="32">
        <v>1400312.3333333333</v>
      </c>
      <c r="U12" s="32">
        <v>4423573</v>
      </c>
      <c r="V12" s="32">
        <v>904357</v>
      </c>
    </row>
    <row r="13" spans="1:22" ht="16.5" x14ac:dyDescent="0.35">
      <c r="A13" s="215"/>
      <c r="B13" s="14"/>
      <c r="C13" s="13"/>
      <c r="D13" s="16"/>
      <c r="E13" s="16"/>
      <c r="F13" s="16"/>
      <c r="G13" s="16"/>
      <c r="H13" s="16"/>
      <c r="I13" s="32"/>
      <c r="J13" s="16"/>
      <c r="K13" s="13"/>
      <c r="L13" s="13"/>
      <c r="M13" s="13"/>
      <c r="N13" s="3"/>
      <c r="O13" s="32">
        <v>36389</v>
      </c>
      <c r="P13" s="13"/>
      <c r="Q13" s="13"/>
      <c r="R13" s="4"/>
      <c r="S13" s="32"/>
      <c r="T13" s="32"/>
      <c r="U13" s="32"/>
      <c r="V13" s="32"/>
    </row>
    <row r="14" spans="1:22" ht="16.5" x14ac:dyDescent="0.35">
      <c r="A14" s="215"/>
      <c r="B14" s="14"/>
      <c r="C14" s="16"/>
      <c r="D14" s="16"/>
      <c r="E14" s="16"/>
      <c r="F14" s="16"/>
      <c r="G14" s="16"/>
      <c r="H14" s="16"/>
      <c r="I14" s="32"/>
      <c r="J14" s="16"/>
      <c r="K14" s="13"/>
      <c r="L14" s="13"/>
      <c r="M14" s="13"/>
      <c r="N14" s="3"/>
      <c r="O14" s="32">
        <v>1635198</v>
      </c>
      <c r="P14" s="13"/>
      <c r="Q14" s="13"/>
      <c r="R14" s="4"/>
      <c r="S14" s="32"/>
      <c r="T14" s="32"/>
      <c r="U14" s="32"/>
      <c r="V14" s="32"/>
    </row>
    <row r="15" spans="1:22" ht="16.5" x14ac:dyDescent="0.35">
      <c r="A15" s="215"/>
      <c r="B15" s="14"/>
      <c r="C15" s="16"/>
      <c r="D15" s="16"/>
      <c r="E15" s="16"/>
      <c r="F15" s="16"/>
      <c r="G15" s="16"/>
      <c r="H15" s="16"/>
      <c r="I15" s="32"/>
      <c r="J15" s="16"/>
      <c r="K15" s="13"/>
      <c r="L15" s="13"/>
      <c r="M15" s="13"/>
      <c r="N15" s="3"/>
      <c r="O15" s="32">
        <v>1092100.6666666667</v>
      </c>
      <c r="P15" s="13"/>
      <c r="Q15" s="13"/>
      <c r="R15" s="4"/>
      <c r="S15" s="32"/>
      <c r="T15" s="32"/>
      <c r="U15" s="32"/>
      <c r="V15" s="32"/>
    </row>
    <row r="16" spans="1:22" ht="16.5" x14ac:dyDescent="0.35">
      <c r="A16" s="215"/>
      <c r="B16" s="14"/>
      <c r="C16" s="16"/>
      <c r="D16" s="16"/>
      <c r="E16" s="16"/>
      <c r="F16" s="16"/>
      <c r="G16" s="16"/>
      <c r="H16" s="16"/>
      <c r="I16" s="32"/>
      <c r="J16" s="16"/>
      <c r="K16" s="13"/>
      <c r="L16" s="13"/>
      <c r="M16" s="13"/>
      <c r="N16" s="3"/>
      <c r="O16" s="32">
        <v>1238455.3333333333</v>
      </c>
      <c r="P16" s="13"/>
      <c r="Q16" s="13"/>
      <c r="R16" s="4"/>
      <c r="S16" s="32"/>
      <c r="T16" s="32"/>
      <c r="U16" s="32"/>
      <c r="V16" s="32"/>
    </row>
    <row r="17" spans="1:22" s="1" customFormat="1" ht="16.5" x14ac:dyDescent="0.35">
      <c r="A17" s="215"/>
      <c r="B17" s="14"/>
      <c r="C17" s="32"/>
      <c r="D17" s="32"/>
      <c r="E17" s="32"/>
      <c r="F17" s="32"/>
      <c r="G17" s="32"/>
      <c r="H17" s="32"/>
      <c r="I17" s="32"/>
      <c r="J17" s="32"/>
      <c r="K17" s="13"/>
      <c r="L17" s="13"/>
      <c r="M17" s="13"/>
      <c r="N17" s="3"/>
      <c r="O17" s="32">
        <v>1278709</v>
      </c>
      <c r="P17" s="13"/>
      <c r="Q17" s="13"/>
      <c r="R17" s="32"/>
      <c r="S17" s="32"/>
      <c r="T17" s="32"/>
      <c r="U17" s="32"/>
      <c r="V17" s="32"/>
    </row>
    <row r="18" spans="1:22" s="1" customFormat="1" ht="16.5" x14ac:dyDescent="0.35">
      <c r="A18" s="215"/>
      <c r="B18" s="14"/>
      <c r="C18" s="32"/>
      <c r="D18" s="32"/>
      <c r="E18" s="32"/>
      <c r="F18" s="32"/>
      <c r="G18" s="32"/>
      <c r="H18" s="32"/>
      <c r="I18" s="32"/>
      <c r="J18" s="32"/>
      <c r="K18" s="13"/>
      <c r="L18" s="13"/>
      <c r="M18" s="13"/>
      <c r="N18" s="3"/>
      <c r="O18" s="32">
        <v>1800624</v>
      </c>
      <c r="P18" s="13"/>
      <c r="Q18" s="13"/>
      <c r="R18" s="32"/>
      <c r="S18" s="32"/>
      <c r="T18" s="32"/>
      <c r="U18" s="32"/>
      <c r="V18" s="32"/>
    </row>
    <row r="19" spans="1:22" s="1" customFormat="1" ht="16.5" x14ac:dyDescent="0.35">
      <c r="A19" s="215"/>
      <c r="B19" s="14"/>
      <c r="C19" s="32"/>
      <c r="D19" s="32"/>
      <c r="E19" s="32"/>
      <c r="F19" s="32"/>
      <c r="G19" s="32"/>
      <c r="H19" s="32"/>
      <c r="I19" s="32"/>
      <c r="J19" s="32"/>
      <c r="K19" s="13"/>
      <c r="L19" s="13"/>
      <c r="M19" s="13"/>
      <c r="N19" s="3"/>
      <c r="O19" s="32">
        <v>4538958</v>
      </c>
      <c r="P19" s="13"/>
      <c r="Q19" s="13"/>
      <c r="R19" s="32"/>
      <c r="S19" s="32"/>
      <c r="T19" s="32"/>
      <c r="U19" s="32"/>
      <c r="V19" s="32"/>
    </row>
    <row r="20" spans="1:22" ht="16.5" x14ac:dyDescent="0.35">
      <c r="A20" s="215"/>
      <c r="B20" s="14"/>
      <c r="C20" s="16"/>
      <c r="D20" s="16"/>
      <c r="E20" s="16"/>
      <c r="F20" s="16"/>
      <c r="G20" s="16"/>
      <c r="H20" s="16"/>
      <c r="I20" s="32"/>
      <c r="J20" s="16"/>
      <c r="K20" s="13"/>
      <c r="L20" s="13"/>
      <c r="M20" s="13"/>
      <c r="N20" s="3"/>
      <c r="O20" s="32">
        <v>442245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BPA-1mg/L</v>
      </c>
      <c r="J22" s="68" t="str">
        <f t="shared" si="0"/>
        <v>BPA-2mg/L</v>
      </c>
      <c r="K22" s="68" t="str">
        <f t="shared" si="0"/>
        <v>BPA-3mg/L</v>
      </c>
      <c r="L22" s="68" t="str">
        <f t="shared" si="0"/>
        <v>BPA-4mg/L</v>
      </c>
      <c r="M22" s="68" t="str">
        <f t="shared" si="0"/>
        <v>BPA-5mg/L</v>
      </c>
      <c r="N22" s="68" t="s">
        <v>47</v>
      </c>
      <c r="O22" s="68" t="str">
        <f t="shared" ref="O22:V22" si="1">O4</f>
        <v>Testo -30µg/L</v>
      </c>
      <c r="P22" s="68" t="str">
        <f t="shared" si="1"/>
        <v>Testo 30µg/L + EE2 -64ng/L</v>
      </c>
      <c r="Q22" s="68" t="str">
        <f t="shared" si="1"/>
        <v>Testo 30µg/L + FAD-10mg/L</v>
      </c>
      <c r="R22" s="68" t="str">
        <f t="shared" si="1"/>
        <v>BPA-1mg/L + Testostérone</v>
      </c>
      <c r="S22" s="68" t="str">
        <f t="shared" si="1"/>
        <v>BPA-2mg/L + Testostérone</v>
      </c>
      <c r="T22" s="68" t="str">
        <f t="shared" si="1"/>
        <v>BPA-3mg/L + Testostérone</v>
      </c>
      <c r="U22" s="68" t="str">
        <f t="shared" si="1"/>
        <v>BPA-4mg/L + Testostérone</v>
      </c>
      <c r="V22" s="68" t="str">
        <f t="shared" si="1"/>
        <v>BPA-5mg/L + Testostérone</v>
      </c>
    </row>
    <row r="23" spans="1:22" x14ac:dyDescent="0.35">
      <c r="A23" s="5" t="s">
        <v>0</v>
      </c>
      <c r="B23" s="5">
        <f t="shared" ref="B23:M23" si="2">AVERAGE(B5:B20)</f>
        <v>78652.041666666672</v>
      </c>
      <c r="C23" s="5">
        <f t="shared" si="2"/>
        <v>197044</v>
      </c>
      <c r="D23" s="5">
        <f t="shared" si="2"/>
        <v>197723.33333333331</v>
      </c>
      <c r="E23" s="5">
        <f t="shared" si="2"/>
        <v>467003.89583333326</v>
      </c>
      <c r="F23" s="5">
        <f t="shared" si="2"/>
        <v>1560057.0952380951</v>
      </c>
      <c r="G23" s="5">
        <f t="shared" si="2"/>
        <v>2966800.666666667</v>
      </c>
      <c r="H23" s="5">
        <f t="shared" si="2"/>
        <v>4304471.6875</v>
      </c>
      <c r="I23" s="5">
        <f t="shared" si="2"/>
        <v>123669.91666666667</v>
      </c>
      <c r="J23" s="5">
        <f t="shared" si="2"/>
        <v>165243.375</v>
      </c>
      <c r="K23" s="5">
        <f t="shared" si="2"/>
        <v>629152.41666666663</v>
      </c>
      <c r="L23" s="5">
        <f t="shared" si="2"/>
        <v>1622618.7083333333</v>
      </c>
      <c r="M23" s="5">
        <f t="shared" si="2"/>
        <v>2122622.666666667</v>
      </c>
      <c r="N23" s="5" t="s">
        <v>0</v>
      </c>
      <c r="O23" s="5">
        <f t="shared" ref="O23:V23" si="3">AVERAGE(O5:O20)</f>
        <v>2080266.1875</v>
      </c>
      <c r="P23" s="5">
        <f t="shared" si="3"/>
        <v>2875945.104166667</v>
      </c>
      <c r="Q23" s="5">
        <f t="shared" si="3"/>
        <v>140783.08333333334</v>
      </c>
      <c r="R23" s="5">
        <f t="shared" si="3"/>
        <v>2840311.5714285714</v>
      </c>
      <c r="S23" s="5">
        <f t="shared" si="3"/>
        <v>2521980.0208333335</v>
      </c>
      <c r="T23" s="5">
        <f t="shared" si="3"/>
        <v>2993799.9583333335</v>
      </c>
      <c r="U23" s="5">
        <f t="shared" si="3"/>
        <v>3888212.354166667</v>
      </c>
      <c r="V23" s="5">
        <f t="shared" si="3"/>
        <v>3789017.25</v>
      </c>
    </row>
    <row r="24" spans="1:22" x14ac:dyDescent="0.35">
      <c r="A24" s="3" t="s">
        <v>1</v>
      </c>
      <c r="B24" s="3">
        <f t="shared" ref="B24:M24" si="4">STDEV(B5:B20)</f>
        <v>88567.100683863609</v>
      </c>
      <c r="C24" s="3">
        <f t="shared" si="4"/>
        <v>151639.98060925293</v>
      </c>
      <c r="D24" s="3">
        <f t="shared" si="4"/>
        <v>243915.40621119976</v>
      </c>
      <c r="E24" s="3">
        <f t="shared" si="4"/>
        <v>375596.40048667556</v>
      </c>
      <c r="F24" s="3">
        <f t="shared" si="4"/>
        <v>867947.89883558115</v>
      </c>
      <c r="G24" s="3">
        <f t="shared" si="4"/>
        <v>1026032.6732671703</v>
      </c>
      <c r="H24" s="3">
        <f t="shared" si="4"/>
        <v>1929481.8679645476</v>
      </c>
      <c r="I24" s="3">
        <f t="shared" si="4"/>
        <v>128380.47418028169</v>
      </c>
      <c r="J24" s="3">
        <f t="shared" si="4"/>
        <v>169239.60986564049</v>
      </c>
      <c r="K24" s="3">
        <f t="shared" si="4"/>
        <v>1044515.473908399</v>
      </c>
      <c r="L24" s="3">
        <f t="shared" si="4"/>
        <v>1765161.7539936083</v>
      </c>
      <c r="M24" s="3">
        <f t="shared" si="4"/>
        <v>1747954.6086019583</v>
      </c>
      <c r="N24" s="3" t="s">
        <v>1</v>
      </c>
      <c r="O24" s="3">
        <f t="shared" ref="O24:V24" si="5">STDEV(O5:O20)</f>
        <v>1471404.482757055</v>
      </c>
      <c r="P24" s="3">
        <f t="shared" si="5"/>
        <v>1396965.8126523481</v>
      </c>
      <c r="Q24" s="3">
        <f t="shared" si="5"/>
        <v>110570.45967850488</v>
      </c>
      <c r="R24" s="3">
        <f t="shared" si="5"/>
        <v>1425573.2347669397</v>
      </c>
      <c r="S24" s="3">
        <f t="shared" si="5"/>
        <v>1909668.0966123457</v>
      </c>
      <c r="T24" s="3">
        <f t="shared" si="5"/>
        <v>2099966.2625003736</v>
      </c>
      <c r="U24" s="3">
        <f t="shared" si="5"/>
        <v>1019585.0555017894</v>
      </c>
      <c r="V24" s="3">
        <f t="shared" si="5"/>
        <v>1952197.699491896</v>
      </c>
    </row>
    <row r="25" spans="1:22" ht="15" thickBot="1" x14ac:dyDescent="0.4"/>
    <row r="26" spans="1:22" ht="15" thickBot="1" x14ac:dyDescent="0.4">
      <c r="B26" s="218" t="s">
        <v>6</v>
      </c>
      <c r="C26" s="219"/>
      <c r="D26" s="219"/>
      <c r="E26" s="219"/>
      <c r="F26" s="219"/>
      <c r="G26" s="219"/>
      <c r="H26" s="219"/>
      <c r="I26" s="219"/>
      <c r="J26" s="219"/>
      <c r="K26" s="219"/>
      <c r="L26" s="219"/>
      <c r="M26" s="219"/>
      <c r="N26" s="1"/>
      <c r="O26" s="218" t="s">
        <v>3</v>
      </c>
      <c r="P26" s="219"/>
      <c r="Q26" s="219"/>
      <c r="R26" s="219"/>
      <c r="S26" s="219"/>
      <c r="T26" s="219"/>
      <c r="U26" s="219"/>
      <c r="V26" s="219"/>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BPA-1mg/L</v>
      </c>
      <c r="J27" s="35" t="str">
        <f t="shared" si="6"/>
        <v>BPA-2mg/L</v>
      </c>
      <c r="K27" s="35" t="str">
        <f t="shared" si="6"/>
        <v>BPA-3mg/L</v>
      </c>
      <c r="L27" s="35" t="str">
        <f t="shared" si="6"/>
        <v>BPA-4mg/L</v>
      </c>
      <c r="M27" s="35" t="str">
        <f t="shared" si="6"/>
        <v>BPA-5mg/L</v>
      </c>
      <c r="N27" s="3"/>
      <c r="O27" s="36" t="str">
        <f t="shared" ref="O27:V27" si="7">O4</f>
        <v>Testo -30µg/L</v>
      </c>
      <c r="P27" s="36" t="str">
        <f t="shared" si="7"/>
        <v>Testo 30µg/L + EE2 -64ng/L</v>
      </c>
      <c r="Q27" s="36" t="str">
        <f t="shared" si="7"/>
        <v>Testo 30µg/L + FAD-10mg/L</v>
      </c>
      <c r="R27" s="36" t="str">
        <f t="shared" si="7"/>
        <v>BPA-1mg/L + Testostérone</v>
      </c>
      <c r="S27" s="36" t="str">
        <f t="shared" si="7"/>
        <v>BPA-2mg/L + Testostérone</v>
      </c>
      <c r="T27" s="36" t="str">
        <f t="shared" si="7"/>
        <v>BPA-3mg/L + Testostérone</v>
      </c>
      <c r="U27" s="36" t="str">
        <f t="shared" si="7"/>
        <v>BPA-4mg/L + Testostérone</v>
      </c>
      <c r="V27" s="36" t="str">
        <f t="shared" si="7"/>
        <v>BPA-5mg/L + Testostérone</v>
      </c>
    </row>
    <row r="28" spans="1:22" x14ac:dyDescent="0.35">
      <c r="A28" s="216" t="s">
        <v>34</v>
      </c>
      <c r="B28" s="11">
        <f t="shared" ref="B28:M28" si="8">IF(B5="","",(B5/$O$23))</f>
        <v>1.6299997345091365E-2</v>
      </c>
      <c r="C28" s="11">
        <f t="shared" si="8"/>
        <v>0.1472414132257934</v>
      </c>
      <c r="D28" s="11">
        <f t="shared" si="8"/>
        <v>0.3129107566031939</v>
      </c>
      <c r="E28" s="11">
        <f t="shared" si="8"/>
        <v>0.61977332888798875</v>
      </c>
      <c r="F28" s="11">
        <f t="shared" si="8"/>
        <v>0.10916487580510655</v>
      </c>
      <c r="G28" s="11">
        <f t="shared" si="8"/>
        <v>1.3463821842431083</v>
      </c>
      <c r="H28" s="11">
        <f t="shared" si="8"/>
        <v>2.8300309364455636</v>
      </c>
      <c r="I28" s="11">
        <f t="shared" si="8"/>
        <v>2.3980584936561154E-2</v>
      </c>
      <c r="J28" s="11">
        <f t="shared" si="8"/>
        <v>2.7858774523616903E-2</v>
      </c>
      <c r="K28" s="11">
        <f t="shared" si="8"/>
        <v>0.32345043343161101</v>
      </c>
      <c r="L28" s="11">
        <f t="shared" si="8"/>
        <v>0.850393094225111</v>
      </c>
      <c r="M28" s="11">
        <f t="shared" si="8"/>
        <v>1.8031581835726012</v>
      </c>
      <c r="N28" s="6"/>
      <c r="O28" s="11">
        <f t="shared" ref="O28:V37" si="9">IF(O5="","",(O5/$O$23))</f>
        <v>0.4837060465529166</v>
      </c>
      <c r="P28" s="11">
        <f t="shared" si="9"/>
        <v>1.39527544637041</v>
      </c>
      <c r="Q28" s="11">
        <f t="shared" si="9"/>
        <v>2.1580411328970851E-2</v>
      </c>
      <c r="R28" s="11">
        <f t="shared" si="9"/>
        <v>1.0714093610035502</v>
      </c>
      <c r="S28" s="11">
        <f t="shared" si="9"/>
        <v>0.46758615436403933</v>
      </c>
      <c r="T28" s="11">
        <f t="shared" si="9"/>
        <v>0.50576972936866849</v>
      </c>
      <c r="U28" s="11">
        <f t="shared" si="9"/>
        <v>1.2864640509697591</v>
      </c>
      <c r="V28" s="11">
        <f t="shared" si="9"/>
        <v>1.7314595066294449</v>
      </c>
    </row>
    <row r="29" spans="1:22" x14ac:dyDescent="0.35">
      <c r="A29" s="217"/>
      <c r="B29" s="11">
        <f t="shared" ref="B29:M29" si="10">IF(B6="","",(B6/$O$23))</f>
        <v>5.5911594727105086E-2</v>
      </c>
      <c r="C29" s="11">
        <f t="shared" si="10"/>
        <v>6.2375671334608952E-2</v>
      </c>
      <c r="D29" s="11">
        <f t="shared" si="10"/>
        <v>1.7877039113293764E-2</v>
      </c>
      <c r="E29" s="11">
        <f t="shared" si="10"/>
        <v>0.319786799720152</v>
      </c>
      <c r="F29" s="11">
        <f t="shared" si="10"/>
        <v>0.49525777335166149</v>
      </c>
      <c r="G29" s="11">
        <f t="shared" si="10"/>
        <v>0.48762942266492998</v>
      </c>
      <c r="H29" s="11">
        <f t="shared" si="10"/>
        <v>0.41320977983416529</v>
      </c>
      <c r="I29" s="11">
        <f t="shared" si="10"/>
        <v>1.4456323032458076E-2</v>
      </c>
      <c r="J29" s="11">
        <f t="shared" si="10"/>
        <v>0.25086420981561686</v>
      </c>
      <c r="K29" s="11">
        <f t="shared" si="10"/>
        <v>4.6373873007057179E-3</v>
      </c>
      <c r="L29" s="11">
        <f t="shared" si="10"/>
        <v>1.6286265128109556</v>
      </c>
      <c r="M29" s="11">
        <f t="shared" si="10"/>
        <v>3.1193123452139943E-2</v>
      </c>
      <c r="N29" s="6"/>
      <c r="O29" s="11">
        <f t="shared" si="9"/>
        <v>1.3924437574730646</v>
      </c>
      <c r="P29" s="11">
        <f t="shared" si="9"/>
        <v>1.9103511963417903</v>
      </c>
      <c r="Q29" s="11">
        <f t="shared" si="9"/>
        <v>0.11346961336889008</v>
      </c>
      <c r="R29" s="11">
        <f t="shared" si="9"/>
        <v>1.4452429299988321</v>
      </c>
      <c r="S29" s="11">
        <f t="shared" si="9"/>
        <v>0.85224061419944286</v>
      </c>
      <c r="T29" s="11">
        <f t="shared" si="9"/>
        <v>0.60994726265850374</v>
      </c>
      <c r="U29" s="11">
        <f t="shared" si="9"/>
        <v>2.1285389789409663</v>
      </c>
      <c r="V29" s="11">
        <f t="shared" si="9"/>
        <v>2.699061799753451</v>
      </c>
    </row>
    <row r="30" spans="1:22" x14ac:dyDescent="0.35">
      <c r="A30" s="217"/>
      <c r="B30" s="11">
        <f t="shared" ref="B30:M30" si="11">IF(B7="","",(B7/$O$23))</f>
        <v>0.1353600811723043</v>
      </c>
      <c r="C30" s="11">
        <f t="shared" si="11"/>
        <v>8.0564529517291233E-2</v>
      </c>
      <c r="D30" s="11">
        <f t="shared" si="11"/>
        <v>0.24713824433746093</v>
      </c>
      <c r="E30" s="11">
        <f t="shared" si="11"/>
        <v>0.1769369719181671</v>
      </c>
      <c r="F30" s="11">
        <f t="shared" si="11"/>
        <v>0.95074082917093028</v>
      </c>
      <c r="G30" s="11">
        <f t="shared" si="11"/>
        <v>1.1253593477926007</v>
      </c>
      <c r="H30" s="11">
        <f t="shared" si="11"/>
        <v>1.9745429814135265</v>
      </c>
      <c r="I30" s="11">
        <f t="shared" si="11"/>
        <v>1.5492568624305762E-2</v>
      </c>
      <c r="J30" s="11">
        <f t="shared" si="11"/>
        <v>9.8067257558595494E-2</v>
      </c>
      <c r="K30" s="11">
        <f t="shared" si="11"/>
        <v>3.6904892489870361E-2</v>
      </c>
      <c r="L30" s="11">
        <f t="shared" si="11"/>
        <v>0.2009763634315348</v>
      </c>
      <c r="M30" s="11">
        <f t="shared" si="11"/>
        <v>8.5382021974211103E-2</v>
      </c>
      <c r="N30" s="6"/>
      <c r="O30" s="11">
        <f t="shared" si="9"/>
        <v>0.1260646361392633</v>
      </c>
      <c r="P30" s="11">
        <f t="shared" si="9"/>
        <v>1.6935081134498642</v>
      </c>
      <c r="Q30" s="11">
        <f t="shared" si="9"/>
        <v>9.8448458774461525E-2</v>
      </c>
      <c r="R30" s="11">
        <f t="shared" si="9"/>
        <v>1.2899801074135375</v>
      </c>
      <c r="S30" s="11">
        <f t="shared" si="9"/>
        <v>2.228827907309979</v>
      </c>
      <c r="T30" s="11">
        <f t="shared" si="9"/>
        <v>2.2453463061923657</v>
      </c>
      <c r="U30" s="11">
        <f t="shared" si="9"/>
        <v>1.6621105289840863</v>
      </c>
      <c r="V30" s="11">
        <f t="shared" si="9"/>
        <v>1.1100920708494668</v>
      </c>
    </row>
    <row r="31" spans="1:22" x14ac:dyDescent="0.35">
      <c r="A31" s="217"/>
      <c r="B31" s="11">
        <f t="shared" ref="B31:M31" si="12">IF(B8="","",(B8/$O$23))</f>
        <v>3.7436795573547246E-2</v>
      </c>
      <c r="C31" s="11">
        <f t="shared" si="12"/>
        <v>7.0042158166517501E-2</v>
      </c>
      <c r="D31" s="11">
        <f t="shared" si="12"/>
        <v>6.4891695500867236E-2</v>
      </c>
      <c r="E31" s="11">
        <f t="shared" si="12"/>
        <v>8.0976976734457765E-2</v>
      </c>
      <c r="F31" s="11">
        <f t="shared" si="12"/>
        <v>1.4207497504050388</v>
      </c>
      <c r="G31" s="11">
        <f t="shared" si="12"/>
        <v>1.7783632797713778</v>
      </c>
      <c r="H31" s="11">
        <f t="shared" si="12"/>
        <v>2.3102762179563618</v>
      </c>
      <c r="I31" s="11">
        <f t="shared" si="12"/>
        <v>1.5624282537480156E-2</v>
      </c>
      <c r="J31" s="11">
        <f t="shared" si="12"/>
        <v>3.7639413874288145E-2</v>
      </c>
      <c r="K31" s="11">
        <f t="shared" si="12"/>
        <v>1.4581223714989919</v>
      </c>
      <c r="L31" s="11">
        <f t="shared" si="12"/>
        <v>7.8812029434093753E-3</v>
      </c>
      <c r="M31" s="11">
        <f t="shared" si="12"/>
        <v>8.1274855280189153E-3</v>
      </c>
      <c r="N31" s="6"/>
      <c r="O31" s="11">
        <f t="shared" si="9"/>
        <v>1.6231054244991103</v>
      </c>
      <c r="P31" s="11">
        <f t="shared" si="9"/>
        <v>1.9838313760667869</v>
      </c>
      <c r="Q31" s="11">
        <f t="shared" si="9"/>
        <v>4.1240555583146175E-2</v>
      </c>
      <c r="R31" s="11" t="str">
        <f t="shared" si="9"/>
        <v/>
      </c>
      <c r="S31" s="11">
        <f t="shared" si="9"/>
        <v>1.895232938789474</v>
      </c>
      <c r="T31" s="11">
        <f t="shared" si="9"/>
        <v>2.0328042754384286</v>
      </c>
      <c r="U31" s="11">
        <f t="shared" si="9"/>
        <v>1.2318882628572263</v>
      </c>
      <c r="V31" s="11">
        <f t="shared" si="9"/>
        <v>2.8669148380319958</v>
      </c>
    </row>
    <row r="32" spans="1:22" x14ac:dyDescent="0.35">
      <c r="A32" s="217"/>
      <c r="B32" s="11">
        <f t="shared" ref="B32:M32" si="13">IF(B9="","",(B9/$O$23))</f>
        <v>2.5848374752762259E-2</v>
      </c>
      <c r="C32" s="11">
        <f t="shared" si="13"/>
        <v>0.24055687504815212</v>
      </c>
      <c r="D32" s="11">
        <f t="shared" si="13"/>
        <v>3.6506065324552764E-2</v>
      </c>
      <c r="E32" s="11">
        <f t="shared" si="13"/>
        <v>7.9140032329796897E-2</v>
      </c>
      <c r="F32" s="11">
        <f t="shared" si="13"/>
        <v>0.95232492131891333</v>
      </c>
      <c r="G32" s="11">
        <f t="shared" si="13"/>
        <v>1.6590710141191167</v>
      </c>
      <c r="H32" s="11">
        <f t="shared" si="13"/>
        <v>2.5980072642346244</v>
      </c>
      <c r="I32" s="11">
        <f t="shared" si="13"/>
        <v>7.8183423982289446E-2</v>
      </c>
      <c r="J32" s="11">
        <f t="shared" si="13"/>
        <v>1.771071424483267E-2</v>
      </c>
      <c r="K32" s="11">
        <f t="shared" si="13"/>
        <v>3.0724914140344839E-2</v>
      </c>
      <c r="L32" s="11">
        <f t="shared" si="13"/>
        <v>0.15710857996468142</v>
      </c>
      <c r="M32" s="11">
        <f t="shared" si="13"/>
        <v>1.2018546865251429</v>
      </c>
      <c r="N32" s="6"/>
      <c r="O32" s="11">
        <f t="shared" si="9"/>
        <v>1.8703479824101437</v>
      </c>
      <c r="P32" s="11">
        <f t="shared" si="9"/>
        <v>0.32573788108066337</v>
      </c>
      <c r="Q32" s="11">
        <f t="shared" si="9"/>
        <v>4.7534621896394534E-2</v>
      </c>
      <c r="R32" s="11">
        <f t="shared" si="9"/>
        <v>0.18159502965050237</v>
      </c>
      <c r="S32" s="11">
        <f t="shared" si="9"/>
        <v>8.2619955577199422E-2</v>
      </c>
      <c r="T32" s="11">
        <f t="shared" si="9"/>
        <v>1.6303698794476194</v>
      </c>
      <c r="U32" s="11">
        <f t="shared" si="9"/>
        <v>1.6157231961610843</v>
      </c>
      <c r="V32" s="11">
        <f t="shared" si="9"/>
        <v>1.4790874769561992</v>
      </c>
    </row>
    <row r="33" spans="1:22" x14ac:dyDescent="0.35">
      <c r="A33" s="217"/>
      <c r="B33" s="11">
        <f t="shared" ref="B33:M33" si="14">IF(B10="","",(B10/$O$23))</f>
        <v>8.9108788631887519E-3</v>
      </c>
      <c r="C33" s="11">
        <f t="shared" si="14"/>
        <v>2.6805223454125868E-2</v>
      </c>
      <c r="D33" s="11">
        <f t="shared" si="14"/>
        <v>5.8230208259505888E-2</v>
      </c>
      <c r="E33" s="11">
        <f t="shared" si="14"/>
        <v>0.10156088097579899</v>
      </c>
      <c r="F33" s="11">
        <f t="shared" si="14"/>
        <v>0.55621231245276237</v>
      </c>
      <c r="G33" s="11">
        <f t="shared" si="14"/>
        <v>1.6623427108091346</v>
      </c>
      <c r="H33" s="11">
        <f t="shared" si="14"/>
        <v>0.8947254015779651</v>
      </c>
      <c r="I33" s="11">
        <f t="shared" si="14"/>
        <v>5.7090129801798103E-2</v>
      </c>
      <c r="J33" s="11">
        <f t="shared" si="14"/>
        <v>3.5358936487064348E-2</v>
      </c>
      <c r="K33" s="11">
        <f t="shared" si="14"/>
        <v>0.51187311495603172</v>
      </c>
      <c r="L33" s="11">
        <f t="shared" si="14"/>
        <v>9.4723454711730243E-3</v>
      </c>
      <c r="M33" s="11">
        <f t="shared" si="14"/>
        <v>1.823232537638888</v>
      </c>
      <c r="N33" s="6"/>
      <c r="O33" s="11">
        <f t="shared" si="9"/>
        <v>0.9416636254392805</v>
      </c>
      <c r="P33" s="11">
        <f t="shared" si="9"/>
        <v>1.0549082675988071</v>
      </c>
      <c r="Q33" s="11">
        <f t="shared" si="9"/>
        <v>2.2815830149621175E-2</v>
      </c>
      <c r="R33" s="11">
        <f t="shared" si="9"/>
        <v>1.9543748893433379</v>
      </c>
      <c r="S33" s="11">
        <f t="shared" si="9"/>
        <v>2.0937068981065998</v>
      </c>
      <c r="T33" s="11">
        <f t="shared" si="9"/>
        <v>0.58324971773193657</v>
      </c>
      <c r="U33" s="11">
        <f t="shared" si="9"/>
        <v>2.3540123676279929</v>
      </c>
      <c r="V33" s="11">
        <f t="shared" si="9"/>
        <v>1.2409777246355402</v>
      </c>
    </row>
    <row r="34" spans="1:22" x14ac:dyDescent="0.35">
      <c r="A34" s="217"/>
      <c r="B34" s="11">
        <f t="shared" ref="B34:M34" si="15">IF(B11="","",(B11/$O$23))</f>
        <v>1.0044067177020024E-2</v>
      </c>
      <c r="C34" s="11">
        <f t="shared" si="15"/>
        <v>0.11481094812215388</v>
      </c>
      <c r="D34" s="11">
        <f t="shared" si="15"/>
        <v>1.0179466515988835E-2</v>
      </c>
      <c r="E34" s="11">
        <f t="shared" si="15"/>
        <v>0.16838309864932449</v>
      </c>
      <c r="F34" s="11">
        <f t="shared" si="15"/>
        <v>0.7650698788277065</v>
      </c>
      <c r="G34" s="11">
        <f t="shared" si="15"/>
        <v>1.9239997701816545</v>
      </c>
      <c r="H34" s="11">
        <f t="shared" si="15"/>
        <v>2.8026676113374394</v>
      </c>
      <c r="I34" s="11">
        <f t="shared" si="15"/>
        <v>0.19717412566302489</v>
      </c>
      <c r="J34" s="11">
        <f t="shared" si="15"/>
        <v>0.14052784931559789</v>
      </c>
      <c r="K34" s="11">
        <f t="shared" si="15"/>
        <v>2.678455302249631E-2</v>
      </c>
      <c r="L34" s="11">
        <f t="shared" si="15"/>
        <v>2.2991506385445843</v>
      </c>
      <c r="M34" s="11">
        <f t="shared" si="15"/>
        <v>1.3915498013640621</v>
      </c>
      <c r="N34" s="6"/>
      <c r="O34" s="11">
        <f t="shared" si="9"/>
        <v>2.0065954500193821</v>
      </c>
      <c r="P34" s="11">
        <f t="shared" si="9"/>
        <v>0.57576686124613241</v>
      </c>
      <c r="Q34" s="11">
        <f t="shared" si="9"/>
        <v>2.8759781012399885E-2</v>
      </c>
      <c r="R34" s="11">
        <f t="shared" si="9"/>
        <v>1.2689058813056346</v>
      </c>
      <c r="S34" s="11">
        <f t="shared" si="9"/>
        <v>1.9342311531305734</v>
      </c>
      <c r="T34" s="11">
        <f t="shared" si="9"/>
        <v>3.2325137236794124</v>
      </c>
      <c r="U34" s="11">
        <f t="shared" si="9"/>
        <v>2.5475662835095712</v>
      </c>
      <c r="V34" s="11">
        <f t="shared" si="9"/>
        <v>3.0089537119233052</v>
      </c>
    </row>
    <row r="35" spans="1:22" x14ac:dyDescent="0.35">
      <c r="A35" s="217"/>
      <c r="B35" s="11">
        <f t="shared" ref="B35:M35" si="16">IF(B12="","",(B12/$O$23))</f>
        <v>1.2657354537070111E-2</v>
      </c>
      <c r="C35" s="11">
        <f t="shared" si="16"/>
        <v>1.5367744855007888E-2</v>
      </c>
      <c r="D35" s="11">
        <f t="shared" si="16"/>
        <v>1.2643574249317072E-2</v>
      </c>
      <c r="E35" s="11">
        <f t="shared" si="16"/>
        <v>0.24938090605131594</v>
      </c>
      <c r="F35" s="11" t="str">
        <f t="shared" si="16"/>
        <v/>
      </c>
      <c r="G35" s="11" t="str">
        <f t="shared" si="16"/>
        <v/>
      </c>
      <c r="H35" s="11">
        <f t="shared" si="16"/>
        <v>2.7300817081932536</v>
      </c>
      <c r="I35" s="11">
        <f t="shared" si="16"/>
        <v>7.3591223206541365E-2</v>
      </c>
      <c r="J35" s="11">
        <f t="shared" si="16"/>
        <v>2.7442962352464167E-2</v>
      </c>
      <c r="K35" s="11">
        <f t="shared" si="16"/>
        <v>2.7009684467763976E-2</v>
      </c>
      <c r="L35" s="11">
        <f t="shared" si="16"/>
        <v>1.0864338805519649</v>
      </c>
      <c r="M35" s="11">
        <f t="shared" si="16"/>
        <v>1.8183908495604484</v>
      </c>
      <c r="N35" s="6"/>
      <c r="O35" s="11">
        <f t="shared" si="9"/>
        <v>1.7574502509830048</v>
      </c>
      <c r="P35" s="11">
        <f t="shared" si="9"/>
        <v>2.1205327919923551</v>
      </c>
      <c r="Q35" s="11">
        <f t="shared" si="9"/>
        <v>0.16755483926100523</v>
      </c>
      <c r="R35" s="11">
        <f t="shared" si="9"/>
        <v>2.3460095456333678</v>
      </c>
      <c r="S35" s="11">
        <f t="shared" si="9"/>
        <v>0.14423634908020636</v>
      </c>
      <c r="T35" s="11">
        <f t="shared" si="9"/>
        <v>0.67314093828356913</v>
      </c>
      <c r="U35" s="11">
        <f t="shared" si="9"/>
        <v>2.1264456570897372</v>
      </c>
      <c r="V35" s="11">
        <f t="shared" si="9"/>
        <v>0.43473138458632954</v>
      </c>
    </row>
    <row r="36" spans="1:22" s="1" customFormat="1" x14ac:dyDescent="0.35">
      <c r="A36" s="217"/>
      <c r="B36" s="11" t="str">
        <f t="shared" ref="B36:M36" si="17">IF(B13="","",(B13/$O$23))</f>
        <v/>
      </c>
      <c r="C36" s="11" t="str">
        <f t="shared" si="17"/>
        <v/>
      </c>
      <c r="D36" s="11" t="str">
        <f t="shared" si="17"/>
        <v/>
      </c>
      <c r="E36" s="11" t="str">
        <f t="shared" si="17"/>
        <v/>
      </c>
      <c r="F36" s="11" t="str">
        <f t="shared" si="17"/>
        <v/>
      </c>
      <c r="G36" s="11" t="str">
        <f t="shared" si="17"/>
        <v/>
      </c>
      <c r="H36" s="11" t="str">
        <f t="shared" si="17"/>
        <v/>
      </c>
      <c r="I36" s="11" t="str">
        <f t="shared" si="17"/>
        <v/>
      </c>
      <c r="J36" s="11" t="str">
        <f t="shared" si="17"/>
        <v/>
      </c>
      <c r="K36" s="11" t="str">
        <f t="shared" si="17"/>
        <v/>
      </c>
      <c r="L36" s="11" t="str">
        <f t="shared" si="17"/>
        <v/>
      </c>
      <c r="M36" s="11" t="str">
        <f t="shared" si="17"/>
        <v/>
      </c>
      <c r="N36" s="6"/>
      <c r="O36" s="11">
        <f t="shared" si="9"/>
        <v>1.7492472943441521E-2</v>
      </c>
      <c r="P36" s="11" t="str">
        <f t="shared" si="9"/>
        <v/>
      </c>
      <c r="Q36" s="11" t="str">
        <f t="shared" si="9"/>
        <v/>
      </c>
      <c r="R36" s="11" t="str">
        <f t="shared" si="9"/>
        <v/>
      </c>
      <c r="S36" s="11" t="str">
        <f t="shared" si="9"/>
        <v/>
      </c>
      <c r="T36" s="11" t="str">
        <f t="shared" si="9"/>
        <v/>
      </c>
      <c r="U36" s="11" t="str">
        <f t="shared" si="9"/>
        <v/>
      </c>
      <c r="V36" s="11" t="str">
        <f t="shared" si="9"/>
        <v/>
      </c>
    </row>
    <row r="37" spans="1:22" s="1" customFormat="1" x14ac:dyDescent="0.35">
      <c r="A37" s="217"/>
      <c r="B37" s="11" t="str">
        <f t="shared" ref="B37:M37" si="18">IF(B14="","",(B14/$O$23))</f>
        <v/>
      </c>
      <c r="C37" s="11" t="str">
        <f t="shared" si="18"/>
        <v/>
      </c>
      <c r="D37" s="11" t="str">
        <f t="shared" si="18"/>
        <v/>
      </c>
      <c r="E37" s="11" t="str">
        <f t="shared" si="18"/>
        <v/>
      </c>
      <c r="F37" s="11" t="str">
        <f t="shared" si="18"/>
        <v/>
      </c>
      <c r="G37" s="11" t="str">
        <f t="shared" si="18"/>
        <v/>
      </c>
      <c r="H37" s="11" t="str">
        <f t="shared" si="18"/>
        <v/>
      </c>
      <c r="I37" s="11" t="str">
        <f t="shared" si="18"/>
        <v/>
      </c>
      <c r="J37" s="11" t="str">
        <f t="shared" si="18"/>
        <v/>
      </c>
      <c r="K37" s="11" t="str">
        <f t="shared" si="18"/>
        <v/>
      </c>
      <c r="L37" s="11" t="str">
        <f t="shared" si="18"/>
        <v/>
      </c>
      <c r="M37" s="11" t="str">
        <f t="shared" si="18"/>
        <v/>
      </c>
      <c r="N37" s="6"/>
      <c r="O37" s="11">
        <f t="shared" si="9"/>
        <v>0.78605228976255714</v>
      </c>
      <c r="P37" s="11" t="str">
        <f t="shared" si="9"/>
        <v/>
      </c>
      <c r="Q37" s="11" t="str">
        <f t="shared" si="9"/>
        <v/>
      </c>
      <c r="R37" s="11" t="str">
        <f t="shared" si="9"/>
        <v/>
      </c>
      <c r="S37" s="11" t="str">
        <f t="shared" si="9"/>
        <v/>
      </c>
      <c r="T37" s="11" t="str">
        <f t="shared" si="9"/>
        <v/>
      </c>
      <c r="U37" s="11" t="str">
        <f t="shared" si="9"/>
        <v/>
      </c>
      <c r="V37" s="11" t="str">
        <f t="shared" si="9"/>
        <v/>
      </c>
    </row>
    <row r="38" spans="1:22" s="1" customFormat="1" x14ac:dyDescent="0.35">
      <c r="A38" s="217"/>
      <c r="B38" s="11" t="str">
        <f t="shared" ref="B38:M38" si="19">IF(B15="","",(B15/$O$23))</f>
        <v/>
      </c>
      <c r="C38" s="11" t="str">
        <f t="shared" si="19"/>
        <v/>
      </c>
      <c r="D38" s="11" t="str">
        <f t="shared" si="19"/>
        <v/>
      </c>
      <c r="E38" s="11" t="str">
        <f t="shared" si="19"/>
        <v/>
      </c>
      <c r="F38" s="11" t="str">
        <f t="shared" si="19"/>
        <v/>
      </c>
      <c r="G38" s="11" t="str">
        <f t="shared" si="19"/>
        <v/>
      </c>
      <c r="H38" s="11" t="str">
        <f t="shared" si="19"/>
        <v/>
      </c>
      <c r="I38" s="11" t="str">
        <f t="shared" si="19"/>
        <v/>
      </c>
      <c r="J38" s="11" t="str">
        <f t="shared" si="19"/>
        <v/>
      </c>
      <c r="K38" s="11" t="str">
        <f t="shared" si="19"/>
        <v/>
      </c>
      <c r="L38" s="11" t="str">
        <f t="shared" si="19"/>
        <v/>
      </c>
      <c r="M38" s="11" t="str">
        <f t="shared" si="19"/>
        <v/>
      </c>
      <c r="N38" s="6"/>
      <c r="O38" s="11">
        <f t="shared" ref="O38:R38" si="20">IF(O15="","",(O15/$O$23))</f>
        <v>0.52498121309134949</v>
      </c>
      <c r="P38" s="11" t="str">
        <f t="shared" si="20"/>
        <v/>
      </c>
      <c r="Q38" s="11" t="str">
        <f t="shared" si="20"/>
        <v/>
      </c>
      <c r="R38" s="11" t="str">
        <f t="shared" si="20"/>
        <v/>
      </c>
      <c r="S38" s="11" t="str">
        <f t="shared" ref="S38:V43" si="21">IF(S15="","",(S15/$O$23))</f>
        <v/>
      </c>
      <c r="T38" s="11" t="str">
        <f t="shared" si="21"/>
        <v/>
      </c>
      <c r="U38" s="11" t="str">
        <f t="shared" si="21"/>
        <v/>
      </c>
      <c r="V38" s="11" t="str">
        <f t="shared" si="21"/>
        <v/>
      </c>
    </row>
    <row r="39" spans="1:22" s="1" customFormat="1" x14ac:dyDescent="0.35">
      <c r="A39" s="217"/>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ref="O39:R39" si="23">IF(O16="","",(O16/$O$23))</f>
        <v>0.59533503009135136</v>
      </c>
      <c r="P39" s="11" t="str">
        <f t="shared" si="23"/>
        <v/>
      </c>
      <c r="Q39" s="11" t="str">
        <f t="shared" si="23"/>
        <v/>
      </c>
      <c r="R39" s="11" t="str">
        <f t="shared" si="23"/>
        <v/>
      </c>
      <c r="S39" s="11" t="str">
        <f t="shared" si="21"/>
        <v/>
      </c>
      <c r="T39" s="11" t="str">
        <f t="shared" si="21"/>
        <v/>
      </c>
      <c r="U39" s="11" t="str">
        <f t="shared" si="21"/>
        <v/>
      </c>
      <c r="V39" s="11" t="str">
        <f t="shared" si="21"/>
        <v/>
      </c>
    </row>
    <row r="40" spans="1:22" s="1" customFormat="1" x14ac:dyDescent="0.35">
      <c r="A40" s="217"/>
      <c r="B40" s="11" t="str">
        <f t="shared" ref="B40:M40" si="24">IF(B17="","",(B17/$O$23))</f>
        <v/>
      </c>
      <c r="C40" s="11" t="str">
        <f t="shared" si="24"/>
        <v/>
      </c>
      <c r="D40" s="11" t="str">
        <f t="shared" si="24"/>
        <v/>
      </c>
      <c r="E40" s="11" t="str">
        <f t="shared" si="24"/>
        <v/>
      </c>
      <c r="F40" s="11" t="str">
        <f t="shared" si="24"/>
        <v/>
      </c>
      <c r="G40" s="11" t="str">
        <f t="shared" si="24"/>
        <v/>
      </c>
      <c r="H40" s="11" t="str">
        <f t="shared" si="24"/>
        <v/>
      </c>
      <c r="I40" s="11" t="str">
        <f t="shared" si="24"/>
        <v/>
      </c>
      <c r="J40" s="11" t="str">
        <f t="shared" si="24"/>
        <v/>
      </c>
      <c r="K40" s="11" t="str">
        <f t="shared" si="24"/>
        <v/>
      </c>
      <c r="L40" s="11" t="str">
        <f t="shared" si="24"/>
        <v/>
      </c>
      <c r="M40" s="11" t="str">
        <f t="shared" si="24"/>
        <v/>
      </c>
      <c r="N40" s="6"/>
      <c r="O40" s="11">
        <f t="shared" ref="O40:R40" si="25">IF(O17="","",(O17/$O$23))</f>
        <v>0.61468527810698748</v>
      </c>
      <c r="P40" s="11" t="str">
        <f t="shared" si="25"/>
        <v/>
      </c>
      <c r="Q40" s="11" t="str">
        <f t="shared" si="25"/>
        <v/>
      </c>
      <c r="R40" s="11" t="str">
        <f t="shared" si="25"/>
        <v/>
      </c>
      <c r="S40" s="11" t="str">
        <f t="shared" si="21"/>
        <v/>
      </c>
      <c r="T40" s="11" t="str">
        <f t="shared" si="21"/>
        <v/>
      </c>
      <c r="U40" s="11" t="str">
        <f t="shared" si="21"/>
        <v/>
      </c>
      <c r="V40" s="11" t="str">
        <f t="shared" si="21"/>
        <v/>
      </c>
    </row>
    <row r="41" spans="1:22" s="1" customFormat="1" x14ac:dyDescent="0.35">
      <c r="A41" s="217"/>
      <c r="B41" s="11" t="str">
        <f t="shared" ref="B41:M41" si="26">IF(B18="","",(B18/$O$23))</f>
        <v/>
      </c>
      <c r="C41" s="11" t="str">
        <f t="shared" si="26"/>
        <v/>
      </c>
      <c r="D41" s="11" t="str">
        <f t="shared" si="26"/>
        <v/>
      </c>
      <c r="E41" s="11" t="str">
        <f t="shared" si="26"/>
        <v/>
      </c>
      <c r="F41" s="11" t="str">
        <f t="shared" si="26"/>
        <v/>
      </c>
      <c r="G41" s="11" t="str">
        <f t="shared" si="26"/>
        <v/>
      </c>
      <c r="H41" s="11" t="str">
        <f t="shared" si="26"/>
        <v/>
      </c>
      <c r="I41" s="11" t="str">
        <f t="shared" si="26"/>
        <v/>
      </c>
      <c r="J41" s="11" t="str">
        <f t="shared" si="26"/>
        <v/>
      </c>
      <c r="K41" s="11" t="str">
        <f t="shared" si="26"/>
        <v/>
      </c>
      <c r="L41" s="11" t="str">
        <f t="shared" si="26"/>
        <v/>
      </c>
      <c r="M41" s="11" t="str">
        <f t="shared" si="26"/>
        <v/>
      </c>
      <c r="N41" s="6"/>
      <c r="O41" s="11">
        <f t="shared" ref="O41:R41" si="27">IF(O18="","",(O18/$O$23))</f>
        <v>0.86557384378002822</v>
      </c>
      <c r="P41" s="11" t="str">
        <f t="shared" si="27"/>
        <v/>
      </c>
      <c r="Q41" s="11" t="str">
        <f t="shared" si="27"/>
        <v/>
      </c>
      <c r="R41" s="11" t="str">
        <f t="shared" si="27"/>
        <v/>
      </c>
      <c r="S41" s="11" t="str">
        <f t="shared" si="21"/>
        <v/>
      </c>
      <c r="T41" s="11" t="str">
        <f t="shared" si="21"/>
        <v/>
      </c>
      <c r="U41" s="11" t="str">
        <f t="shared" si="21"/>
        <v/>
      </c>
      <c r="V41" s="11" t="str">
        <f t="shared" si="21"/>
        <v/>
      </c>
    </row>
    <row r="42" spans="1:22" s="1" customFormat="1" x14ac:dyDescent="0.35">
      <c r="A42" s="217"/>
      <c r="B42" s="11" t="str">
        <f t="shared" ref="B42:M42" si="28">IF(B19="","",(B19/$O$23))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6"/>
      <c r="O42" s="11">
        <f t="shared" ref="O42:R42" si="29">IF(O19="","",(O19/$O$23))</f>
        <v>2.1819121164752384</v>
      </c>
      <c r="P42" s="11" t="str">
        <f t="shared" si="29"/>
        <v/>
      </c>
      <c r="Q42" s="11" t="str">
        <f t="shared" si="29"/>
        <v/>
      </c>
      <c r="R42" s="11" t="str">
        <f t="shared" si="29"/>
        <v/>
      </c>
      <c r="S42" s="11" t="str">
        <f t="shared" si="21"/>
        <v/>
      </c>
      <c r="T42" s="11" t="str">
        <f t="shared" si="21"/>
        <v/>
      </c>
      <c r="U42" s="11" t="str">
        <f t="shared" si="21"/>
        <v/>
      </c>
      <c r="V42" s="11" t="str">
        <f t="shared" si="21"/>
        <v/>
      </c>
    </row>
    <row r="43" spans="1:22" s="1" customFormat="1" x14ac:dyDescent="0.35">
      <c r="A43" s="217"/>
      <c r="B43" s="11" t="str">
        <f t="shared" ref="B43:M43" si="30">IF(B20="","",(B20/$O$23))</f>
        <v/>
      </c>
      <c r="C43" s="11" t="str">
        <f t="shared" si="30"/>
        <v/>
      </c>
      <c r="D43" s="11" t="str">
        <f t="shared" si="30"/>
        <v/>
      </c>
      <c r="E43" s="11" t="str">
        <f t="shared" si="30"/>
        <v/>
      </c>
      <c r="F43" s="11" t="str">
        <f t="shared" si="30"/>
        <v/>
      </c>
      <c r="G43" s="11" t="str">
        <f t="shared" si="30"/>
        <v/>
      </c>
      <c r="H43" s="11" t="str">
        <f t="shared" si="30"/>
        <v/>
      </c>
      <c r="I43" s="11" t="str">
        <f t="shared" si="30"/>
        <v/>
      </c>
      <c r="J43" s="11" t="str">
        <f t="shared" si="30"/>
        <v/>
      </c>
      <c r="K43" s="11" t="str">
        <f t="shared" si="30"/>
        <v/>
      </c>
      <c r="L43" s="11" t="str">
        <f t="shared" si="30"/>
        <v/>
      </c>
      <c r="M43" s="11" t="str">
        <f t="shared" si="30"/>
        <v/>
      </c>
      <c r="N43" s="6"/>
      <c r="O43" s="11">
        <f t="shared" ref="O43:R43" si="31">IF(O20="","",(O20/$O$23))</f>
        <v>0.21259058223288071</v>
      </c>
      <c r="P43" s="11" t="str">
        <f t="shared" si="31"/>
        <v/>
      </c>
      <c r="Q43" s="11" t="str">
        <f t="shared" si="31"/>
        <v/>
      </c>
      <c r="R43" s="11" t="str">
        <f t="shared" si="31"/>
        <v/>
      </c>
      <c r="S43" s="11" t="str">
        <f t="shared" si="21"/>
        <v/>
      </c>
      <c r="T43" s="11" t="str">
        <f t="shared" si="21"/>
        <v/>
      </c>
      <c r="U43" s="11" t="str">
        <f t="shared" si="21"/>
        <v/>
      </c>
      <c r="V43" s="11" t="str">
        <f t="shared" si="21"/>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32">A4</f>
        <v>Noms des groupes</v>
      </c>
      <c r="B45" s="70" t="str">
        <f t="shared" si="32"/>
        <v>Témoin solvant</v>
      </c>
      <c r="C45" s="70" t="str">
        <f t="shared" si="32"/>
        <v>EE2-33,8ng/L</v>
      </c>
      <c r="D45" s="70" t="str">
        <f t="shared" si="32"/>
        <v>EE2-50,6ng/L</v>
      </c>
      <c r="E45" s="70" t="str">
        <f t="shared" si="32"/>
        <v>EE2-76ng/L</v>
      </c>
      <c r="F45" s="70" t="str">
        <f t="shared" si="32"/>
        <v>EE2-114ng/L</v>
      </c>
      <c r="G45" s="70" t="str">
        <f t="shared" si="32"/>
        <v>EE2-170,9ng/L</v>
      </c>
      <c r="H45" s="70" t="str">
        <f t="shared" si="32"/>
        <v>EE2-488ng/L</v>
      </c>
      <c r="I45" s="70" t="str">
        <f t="shared" si="32"/>
        <v>BPA-1mg/L</v>
      </c>
      <c r="J45" s="70" t="str">
        <f t="shared" si="32"/>
        <v>BPA-2mg/L</v>
      </c>
      <c r="K45" s="70" t="str">
        <f t="shared" si="32"/>
        <v>BPA-3mg/L</v>
      </c>
      <c r="L45" s="70" t="str">
        <f t="shared" si="32"/>
        <v>BPA-4mg/L</v>
      </c>
      <c r="M45" s="70" t="str">
        <f t="shared" si="32"/>
        <v>BPA-5mg/L</v>
      </c>
      <c r="N45" s="70" t="str">
        <f>N22</f>
        <v>Nom des groupes</v>
      </c>
      <c r="O45" s="70" t="str">
        <f t="shared" ref="O45:V45" si="33">O4</f>
        <v>Testo -30µg/L</v>
      </c>
      <c r="P45" s="70" t="str">
        <f t="shared" si="33"/>
        <v>Testo 30µg/L + EE2 -64ng/L</v>
      </c>
      <c r="Q45" s="70" t="str">
        <f t="shared" si="33"/>
        <v>Testo 30µg/L + FAD-10mg/L</v>
      </c>
      <c r="R45" s="70" t="str">
        <f t="shared" si="33"/>
        <v>BPA-1mg/L + Testostérone</v>
      </c>
      <c r="S45" s="70" t="str">
        <f t="shared" si="33"/>
        <v>BPA-2mg/L + Testostérone</v>
      </c>
      <c r="T45" s="70" t="str">
        <f t="shared" si="33"/>
        <v>BPA-3mg/L + Testostérone</v>
      </c>
      <c r="U45" s="70" t="str">
        <f t="shared" si="33"/>
        <v>BPA-4mg/L + Testostérone</v>
      </c>
      <c r="V45" s="70" t="str">
        <f t="shared" si="33"/>
        <v>BPA-5mg/L + Testostérone</v>
      </c>
    </row>
    <row r="46" spans="1:22" x14ac:dyDescent="0.35">
      <c r="A46" s="8" t="s">
        <v>0</v>
      </c>
      <c r="B46" s="10">
        <f t="shared" ref="B46:H46" si="34">AVERAGE(B28:B43)</f>
        <v>3.780864301851114E-2</v>
      </c>
      <c r="C46" s="10">
        <f t="shared" si="34"/>
        <v>9.4720570465456358E-2</v>
      </c>
      <c r="D46" s="10">
        <f t="shared" si="34"/>
        <v>9.5047131238022553E-2</v>
      </c>
      <c r="E46" s="10">
        <f t="shared" si="34"/>
        <v>0.22449237440837522</v>
      </c>
      <c r="F46" s="10">
        <f t="shared" si="34"/>
        <v>0.7499314773331599</v>
      </c>
      <c r="G46" s="10">
        <f t="shared" si="34"/>
        <v>1.4261639613688459</v>
      </c>
      <c r="H46" s="10">
        <f t="shared" si="34"/>
        <v>2.0691927376241122</v>
      </c>
      <c r="I46" s="10">
        <f>AVERAGE(I28:I43)</f>
        <v>5.9449082723057371E-2</v>
      </c>
      <c r="J46" s="9">
        <f>AVERAGE(J28:J43)</f>
        <v>7.9433764771509555E-2</v>
      </c>
      <c r="K46" s="9">
        <f>AVERAGE(K28:K43)</f>
        <v>0.302438418913477</v>
      </c>
      <c r="L46" s="9">
        <f t="shared" ref="L46:M46" si="35">AVERAGE(L28:L43)</f>
        <v>0.78000532724292693</v>
      </c>
      <c r="M46" s="9">
        <f t="shared" si="35"/>
        <v>1.020361086201939</v>
      </c>
      <c r="N46" s="8" t="s">
        <v>0</v>
      </c>
      <c r="O46" s="10">
        <f>AVERAGE(O28:O43)</f>
        <v>1.0000000000000002</v>
      </c>
      <c r="P46" s="10">
        <f>AVERAGE(P28:P43)</f>
        <v>1.3824889917683512</v>
      </c>
      <c r="Q46" s="10">
        <f>AVERAGE(Q28:Q43)</f>
        <v>6.7675513921861177E-2</v>
      </c>
      <c r="R46" s="10">
        <f>AVERAGE(R28:R43)</f>
        <v>1.365359677764109</v>
      </c>
      <c r="S46" s="10">
        <f t="shared" ref="S46:V46" si="36">AVERAGE(S28:S43)</f>
        <v>1.2123352463196893</v>
      </c>
      <c r="T46" s="10">
        <f t="shared" si="36"/>
        <v>1.4391427291000629</v>
      </c>
      <c r="U46" s="10">
        <f t="shared" si="36"/>
        <v>1.869093665767553</v>
      </c>
      <c r="V46" s="10">
        <f t="shared" si="36"/>
        <v>1.8214098141707165</v>
      </c>
    </row>
    <row r="47" spans="1:22" x14ac:dyDescent="0.35">
      <c r="A47" s="8" t="s">
        <v>1</v>
      </c>
      <c r="B47" s="8">
        <f t="shared" ref="B47:K47" si="37">STDEV(B28:B43)</f>
        <v>4.2574888356139103E-2</v>
      </c>
      <c r="C47" s="8">
        <f t="shared" si="37"/>
        <v>7.2894508174210712E-2</v>
      </c>
      <c r="D47" s="8">
        <f t="shared" si="37"/>
        <v>0.11725201691824347</v>
      </c>
      <c r="E47" s="8">
        <f t="shared" si="37"/>
        <v>0.18055208643181175</v>
      </c>
      <c r="F47" s="8">
        <f t="shared" si="37"/>
        <v>0.41722924885812551</v>
      </c>
      <c r="G47" s="8">
        <f t="shared" si="37"/>
        <v>0.49322181912701646</v>
      </c>
      <c r="H47" s="8">
        <f t="shared" si="37"/>
        <v>0.92751681470309322</v>
      </c>
      <c r="I47" s="8">
        <f>STDEV(I28:I43)</f>
        <v>6.1713484049156893E-2</v>
      </c>
      <c r="J47" s="8">
        <f t="shared" si="37"/>
        <v>8.1354785691646253E-2</v>
      </c>
      <c r="K47" s="8">
        <f t="shared" si="37"/>
        <v>0.50210664394043991</v>
      </c>
      <c r="L47" s="8">
        <f t="shared" ref="L47:M47" si="38">STDEV(L28:L43)</f>
        <v>0.84852686862873306</v>
      </c>
      <c r="M47" s="8">
        <f t="shared" si="38"/>
        <v>0.84025526113203641</v>
      </c>
      <c r="N47" s="8" t="s">
        <v>1</v>
      </c>
      <c r="O47" s="8">
        <f>STDEV(O28:O43)</f>
        <v>0.70731548279662337</v>
      </c>
      <c r="P47" s="8">
        <f>STDEV(P28:P43)</f>
        <v>0.6715322399827971</v>
      </c>
      <c r="Q47" s="8">
        <f>STDEV(Q28:Q43)</f>
        <v>5.3152072721705419E-2</v>
      </c>
      <c r="R47" s="8">
        <f>STDEV(R28:R43)</f>
        <v>0.6852840484227406</v>
      </c>
      <c r="S47" s="8">
        <f t="shared" ref="S47:V47" si="39">STDEV(S28:S43)</f>
        <v>0.91799218200403809</v>
      </c>
      <c r="T47" s="8">
        <f t="shared" si="39"/>
        <v>1.0094699779858698</v>
      </c>
      <c r="U47" s="8">
        <f t="shared" si="39"/>
        <v>0.49012239954113607</v>
      </c>
      <c r="V47" s="8">
        <f t="shared" si="39"/>
        <v>0.93843649010994545</v>
      </c>
    </row>
    <row r="48" spans="1:22" x14ac:dyDescent="0.35">
      <c r="A48" s="8" t="s">
        <v>2</v>
      </c>
      <c r="B48" s="8">
        <f t="shared" ref="B48:K48" si="40" xml:space="preserve"> B47/SQRT(COUNT(B28:B43))</f>
        <v>1.5052496132443071E-2</v>
      </c>
      <c r="C48" s="8">
        <f t="shared" si="40"/>
        <v>2.5772100520621306E-2</v>
      </c>
      <c r="D48" s="8">
        <f t="shared" si="40"/>
        <v>4.1454848135344877E-2</v>
      </c>
      <c r="E48" s="8">
        <f t="shared" si="40"/>
        <v>6.3834802336656865E-2</v>
      </c>
      <c r="F48" s="8">
        <f t="shared" si="40"/>
        <v>0.15769783316869712</v>
      </c>
      <c r="G48" s="8">
        <f t="shared" si="40"/>
        <v>0.18642032494299515</v>
      </c>
      <c r="H48" s="8">
        <f t="shared" si="40"/>
        <v>0.32792671467055184</v>
      </c>
      <c r="I48" s="8">
        <f xml:space="preserve"> I47/SQRT(COUNT(I28:I43))</f>
        <v>2.1819011530903334E-2</v>
      </c>
      <c r="J48" s="8">
        <f t="shared" si="40"/>
        <v>2.8763260322270685E-2</v>
      </c>
      <c r="K48" s="8">
        <f t="shared" si="40"/>
        <v>0.17752150640455217</v>
      </c>
      <c r="L48" s="8">
        <f t="shared" ref="L48:M48" si="41" xml:space="preserve"> L47/SQRT(COUNT(L28:L43))</f>
        <v>0.29999955141318191</v>
      </c>
      <c r="M48" s="8">
        <f t="shared" si="41"/>
        <v>0.2970750965370681</v>
      </c>
      <c r="N48" s="8" t="s">
        <v>2</v>
      </c>
      <c r="O48" s="8">
        <f xml:space="preserve"> O47/SQRT(COUNT(O28:O43))</f>
        <v>0.17682887069915584</v>
      </c>
      <c r="P48" s="8">
        <f xml:space="preserve"> P47/SQRT(COUNT(P28:P43))</f>
        <v>0.2374225003386139</v>
      </c>
      <c r="Q48" s="8">
        <f xml:space="preserve"> Q47/SQRT(COUNT(Q28:Q43))</f>
        <v>1.8792095527819207E-2</v>
      </c>
      <c r="R48" s="8">
        <f xml:space="preserve"> R47/SQRT(COUNT(R28:R43))</f>
        <v>0.2590130242237309</v>
      </c>
      <c r="S48" s="8">
        <f t="shared" ref="S48:V48" si="42" xml:space="preserve"> S47/SQRT(COUNT(S28:S43))</f>
        <v>0.32455924848564532</v>
      </c>
      <c r="T48" s="8">
        <f t="shared" si="42"/>
        <v>0.35690153341902164</v>
      </c>
      <c r="U48" s="8">
        <f t="shared" si="42"/>
        <v>0.17328443616347985</v>
      </c>
      <c r="V48" s="8">
        <f t="shared" si="42"/>
        <v>0.3317874029348224</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38</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c r="A51"/>
      <c r="B51"/>
      <c r="C51"/>
      <c r="D51"/>
      <c r="E51"/>
      <c r="F51"/>
      <c r="G51"/>
      <c r="H51"/>
      <c r="I51"/>
      <c r="J51"/>
      <c r="K51"/>
      <c r="L51"/>
      <c r="M51"/>
      <c r="S51"/>
      <c r="T51"/>
      <c r="U51"/>
      <c r="V51"/>
    </row>
    <row r="52" spans="1:22" x14ac:dyDescent="0.3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BPA-1mg/L</v>
      </c>
      <c r="J52" s="46" t="str">
        <f>J4</f>
        <v>BPA-2mg/L</v>
      </c>
      <c r="K52" s="46" t="str">
        <f>K27</f>
        <v>BPA-3mg/L</v>
      </c>
      <c r="L52" s="46" t="str">
        <f t="shared" ref="L52:M52" si="44">L27</f>
        <v>BPA-4mg/L</v>
      </c>
      <c r="M52" s="46" t="str">
        <f t="shared" si="44"/>
        <v>BPA-5mg/L</v>
      </c>
      <c r="N52" s="47"/>
      <c r="O52" s="46" t="str">
        <f>O27</f>
        <v>Testo -30µg/L</v>
      </c>
      <c r="P52" s="46" t="str">
        <f>P27</f>
        <v>Testo 30µg/L + EE2 -64ng/L</v>
      </c>
      <c r="Q52" s="46" t="str">
        <f>Q27</f>
        <v>Testo 30µg/L + FAD-10mg/L</v>
      </c>
      <c r="R52" s="46" t="str">
        <f>R27</f>
        <v>BPA-1mg/L + Testostérone</v>
      </c>
      <c r="S52" s="46" t="str">
        <f t="shared" ref="S52:V52" si="45">S27</f>
        <v>BPA-2mg/L + Testostérone</v>
      </c>
      <c r="T52" s="46" t="str">
        <f t="shared" si="45"/>
        <v>BPA-3mg/L + Testostérone</v>
      </c>
      <c r="U52" s="46" t="str">
        <f t="shared" si="45"/>
        <v>BPA-4mg/L + Testostérone</v>
      </c>
      <c r="V52" s="46" t="str">
        <f t="shared" si="45"/>
        <v>BPA-5mg/L + Testostérone</v>
      </c>
    </row>
    <row r="53" spans="1:22" s="3" customFormat="1" x14ac:dyDescent="0.35">
      <c r="A53" s="61" t="s">
        <v>32</v>
      </c>
      <c r="B53" s="142">
        <f t="shared" ref="B53:M53" si="46">B46</f>
        <v>3.780864301851114E-2</v>
      </c>
      <c r="C53" s="142">
        <f t="shared" si="46"/>
        <v>9.4720570465456358E-2</v>
      </c>
      <c r="D53" s="142">
        <f t="shared" si="46"/>
        <v>9.5047131238022553E-2</v>
      </c>
      <c r="E53" s="142">
        <f t="shared" si="46"/>
        <v>0.22449237440837522</v>
      </c>
      <c r="F53" s="142">
        <f t="shared" si="46"/>
        <v>0.7499314773331599</v>
      </c>
      <c r="G53" s="142">
        <f t="shared" si="46"/>
        <v>1.4261639613688459</v>
      </c>
      <c r="H53" s="142">
        <f t="shared" si="46"/>
        <v>2.0691927376241122</v>
      </c>
      <c r="I53" s="142">
        <f t="shared" si="46"/>
        <v>5.9449082723057371E-2</v>
      </c>
      <c r="J53" s="142">
        <f t="shared" si="46"/>
        <v>7.9433764771509555E-2</v>
      </c>
      <c r="K53" s="142">
        <f t="shared" si="46"/>
        <v>0.302438418913477</v>
      </c>
      <c r="L53" s="142">
        <f t="shared" si="46"/>
        <v>0.78000532724292693</v>
      </c>
      <c r="M53" s="142">
        <f t="shared" si="46"/>
        <v>1.020361086201939</v>
      </c>
      <c r="N53" s="142"/>
      <c r="O53" s="142">
        <f t="shared" ref="O53:V53" si="47">O46</f>
        <v>1.0000000000000002</v>
      </c>
      <c r="P53" s="142">
        <f t="shared" si="47"/>
        <v>1.3824889917683512</v>
      </c>
      <c r="Q53" s="142">
        <f t="shared" si="47"/>
        <v>6.7675513921861177E-2</v>
      </c>
      <c r="R53" s="142">
        <f t="shared" si="47"/>
        <v>1.365359677764109</v>
      </c>
      <c r="S53" s="142">
        <f t="shared" si="47"/>
        <v>1.2123352463196893</v>
      </c>
      <c r="T53" s="142">
        <f t="shared" si="47"/>
        <v>1.4391427291000629</v>
      </c>
      <c r="U53" s="142">
        <f t="shared" si="47"/>
        <v>1.869093665767553</v>
      </c>
      <c r="V53" s="142">
        <f t="shared" si="47"/>
        <v>1.8214098141707165</v>
      </c>
    </row>
    <row r="54" spans="1:22" s="3" customFormat="1" x14ac:dyDescent="0.35">
      <c r="A54" s="61" t="s">
        <v>2</v>
      </c>
      <c r="B54" s="142">
        <f t="shared" ref="B54:M54" si="48">B48</f>
        <v>1.5052496132443071E-2</v>
      </c>
      <c r="C54" s="142">
        <f t="shared" si="48"/>
        <v>2.5772100520621306E-2</v>
      </c>
      <c r="D54" s="142">
        <f t="shared" si="48"/>
        <v>4.1454848135344877E-2</v>
      </c>
      <c r="E54" s="142">
        <f t="shared" si="48"/>
        <v>6.3834802336656865E-2</v>
      </c>
      <c r="F54" s="142">
        <f t="shared" si="48"/>
        <v>0.15769783316869712</v>
      </c>
      <c r="G54" s="142">
        <f t="shared" si="48"/>
        <v>0.18642032494299515</v>
      </c>
      <c r="H54" s="142">
        <f t="shared" si="48"/>
        <v>0.32792671467055184</v>
      </c>
      <c r="I54" s="142">
        <f t="shared" si="48"/>
        <v>2.1819011530903334E-2</v>
      </c>
      <c r="J54" s="142">
        <f t="shared" si="48"/>
        <v>2.8763260322270685E-2</v>
      </c>
      <c r="K54" s="142">
        <f t="shared" si="48"/>
        <v>0.17752150640455217</v>
      </c>
      <c r="L54" s="142">
        <f t="shared" si="48"/>
        <v>0.29999955141318191</v>
      </c>
      <c r="M54" s="142">
        <f t="shared" si="48"/>
        <v>0.2970750965370681</v>
      </c>
      <c r="N54" s="142"/>
      <c r="O54" s="142">
        <f t="shared" ref="O54:V54" si="49">O48</f>
        <v>0.17682887069915584</v>
      </c>
      <c r="P54" s="142">
        <f t="shared" si="49"/>
        <v>0.2374225003386139</v>
      </c>
      <c r="Q54" s="142">
        <f t="shared" si="49"/>
        <v>1.8792095527819207E-2</v>
      </c>
      <c r="R54" s="142">
        <f t="shared" si="49"/>
        <v>0.2590130242237309</v>
      </c>
      <c r="S54" s="142">
        <f t="shared" si="49"/>
        <v>0.32455924848564532</v>
      </c>
      <c r="T54" s="142">
        <f t="shared" si="49"/>
        <v>0.35690153341902164</v>
      </c>
      <c r="U54" s="142">
        <f t="shared" si="49"/>
        <v>0.17328443616347985</v>
      </c>
      <c r="V54" s="142">
        <f t="shared" si="49"/>
        <v>0.3317874029348224</v>
      </c>
    </row>
    <row r="55" spans="1:22" s="3" customFormat="1" x14ac:dyDescent="0.35">
      <c r="A55" s="61" t="s">
        <v>79</v>
      </c>
      <c r="B55" s="142">
        <f t="shared" ref="B55:M55" si="50">(B53*100/$B$53)-100</f>
        <v>0</v>
      </c>
      <c r="C55" s="142">
        <f t="shared" si="50"/>
        <v>150.52623660436873</v>
      </c>
      <c r="D55" s="142">
        <f t="shared" si="50"/>
        <v>151.38995650144702</v>
      </c>
      <c r="E55" s="142">
        <f t="shared" si="50"/>
        <v>493.75940654221199</v>
      </c>
      <c r="F55" s="142">
        <f t="shared" si="50"/>
        <v>1883.4921791982667</v>
      </c>
      <c r="G55" s="142">
        <f t="shared" si="50"/>
        <v>3672.05804680849</v>
      </c>
      <c r="H55" s="142">
        <f t="shared" si="50"/>
        <v>5372.8034978960604</v>
      </c>
      <c r="I55" s="142">
        <f t="shared" si="50"/>
        <v>57.23675323113568</v>
      </c>
      <c r="J55" s="142">
        <f t="shared" si="50"/>
        <v>110.09419653759784</v>
      </c>
      <c r="K55" s="142">
        <f t="shared" si="50"/>
        <v>699.91873489192119</v>
      </c>
      <c r="L55" s="142">
        <f t="shared" si="50"/>
        <v>1963.0344412547042</v>
      </c>
      <c r="M55" s="142">
        <f t="shared" si="50"/>
        <v>2598.750880062978</v>
      </c>
      <c r="N55" s="142"/>
      <c r="O55" s="142">
        <f t="shared" ref="O55:V55" si="51">(O53*100/$B$53)-100</f>
        <v>2544.8978862065997</v>
      </c>
      <c r="P55" s="142">
        <f t="shared" si="51"/>
        <v>3556.5422120320045</v>
      </c>
      <c r="Q55" s="142">
        <f t="shared" si="51"/>
        <v>78.994823719875882</v>
      </c>
      <c r="R55" s="142">
        <f t="shared" si="51"/>
        <v>3511.2369256300149</v>
      </c>
      <c r="S55" s="142">
        <f t="shared" si="51"/>
        <v>3106.5029303647025</v>
      </c>
      <c r="T55" s="142">
        <f t="shared" si="51"/>
        <v>3706.3855621463526</v>
      </c>
      <c r="U55" s="142">
        <f t="shared" si="51"/>
        <v>4843.5618857107447</v>
      </c>
      <c r="V55" s="142">
        <f t="shared" si="51"/>
        <v>4717.4429674160829</v>
      </c>
    </row>
    <row r="56" spans="1:22" s="3" customFormat="1" x14ac:dyDescent="0.35">
      <c r="A56" s="61" t="s">
        <v>81</v>
      </c>
      <c r="B56" s="142">
        <f>[1]!SWTEST(B28:B43)</f>
        <v>4.2787056779305388E-3</v>
      </c>
      <c r="C56" s="142">
        <f>[1]!SWTEST(C28:C43)</f>
        <v>0.36437094723829189</v>
      </c>
      <c r="D56" s="142">
        <f>[1]!SWTEST(D28:D43)</f>
        <v>6.2753352266269324E-3</v>
      </c>
      <c r="E56" s="142">
        <f>[1]!SWTEST(E28:E43)</f>
        <v>3.3658158179622588E-2</v>
      </c>
      <c r="F56" s="142">
        <f>[1]!SWTEST(F28:F43)</f>
        <v>0.9567569797445592</v>
      </c>
      <c r="G56" s="142">
        <f>[1]!SWTEST(G28:G43)</f>
        <v>0.25659505377677228</v>
      </c>
      <c r="H56" s="142">
        <f>[1]!SWTEST(H28:H43)</f>
        <v>4.0583591827077936E-2</v>
      </c>
      <c r="I56" s="142">
        <f>[1]!SWTEST(I28:I43)</f>
        <v>1.070904244328319E-2</v>
      </c>
      <c r="J56" s="142">
        <f>[1]!SWTEST(J28:J43)</f>
        <v>1.4676766714357137E-2</v>
      </c>
      <c r="K56" s="142">
        <f>[1]!SWTEST(K28:K43)</f>
        <v>9.5458707356255168E-4</v>
      </c>
      <c r="L56" s="142">
        <f>[1]!SWTEST(L28:L43)</f>
        <v>0.16219414403903609</v>
      </c>
      <c r="M56" s="142">
        <f>[1]!SWTEST(M28:M43)</f>
        <v>2.1962883411441037E-2</v>
      </c>
      <c r="N56" s="142"/>
      <c r="O56" s="142">
        <f>[1]!SWTEST(O28:O43)</f>
        <v>0.22063876888875766</v>
      </c>
      <c r="P56" s="142">
        <f>[1]!SWTEST(P28:P43)</f>
        <v>0.378172275699455</v>
      </c>
      <c r="Q56" s="142">
        <f>[1]!SWTEST(Q28:Q43)</f>
        <v>9.2519546601876224E-2</v>
      </c>
      <c r="R56" s="142">
        <f>[1]!SWTEST(R28:R43)</f>
        <v>0.7822366804009474</v>
      </c>
      <c r="S56" s="142">
        <f>[1]!SWTEST(S28:S43)</f>
        <v>8.2246888796130069E-2</v>
      </c>
      <c r="T56" s="142">
        <f>[1]!SWTEST(T28:T43)</f>
        <v>0.12394552325093855</v>
      </c>
      <c r="U56" s="142">
        <f>[1]!SWTEST(U28:U43)</f>
        <v>0.50568470805251198</v>
      </c>
      <c r="V56" s="142">
        <f>[1]!SWTEST(V28:V43)</f>
        <v>0.43834866525919325</v>
      </c>
    </row>
    <row r="57" spans="1:22" s="3" customFormat="1" x14ac:dyDescent="0.35">
      <c r="A57" s="61" t="s">
        <v>85</v>
      </c>
      <c r="B57" s="142" t="str">
        <f t="shared" ref="B57:M57" si="52">IF(B56&gt;0.05,"Oui","Non")</f>
        <v>Non</v>
      </c>
      <c r="C57" s="142" t="str">
        <f t="shared" si="52"/>
        <v>Oui</v>
      </c>
      <c r="D57" s="142" t="str">
        <f t="shared" si="52"/>
        <v>Non</v>
      </c>
      <c r="E57" s="142" t="str">
        <f t="shared" si="52"/>
        <v>Non</v>
      </c>
      <c r="F57" s="142" t="str">
        <f t="shared" si="52"/>
        <v>Oui</v>
      </c>
      <c r="G57" s="142" t="str">
        <f t="shared" si="52"/>
        <v>Oui</v>
      </c>
      <c r="H57" s="142" t="str">
        <f t="shared" si="52"/>
        <v>Non</v>
      </c>
      <c r="I57" s="142" t="str">
        <f t="shared" si="52"/>
        <v>Non</v>
      </c>
      <c r="J57" s="142" t="str">
        <f t="shared" si="52"/>
        <v>Non</v>
      </c>
      <c r="K57" s="142" t="str">
        <f t="shared" si="52"/>
        <v>Non</v>
      </c>
      <c r="L57" s="142" t="str">
        <f t="shared" si="52"/>
        <v>Oui</v>
      </c>
      <c r="M57" s="142" t="str">
        <f t="shared" si="52"/>
        <v>Non</v>
      </c>
      <c r="N57" s="142"/>
      <c r="O57" s="142" t="str">
        <f t="shared" ref="O57:V57" si="53">IF(O56&gt;0.05,"Oui","Non")</f>
        <v>Oui</v>
      </c>
      <c r="P57" s="142" t="str">
        <f t="shared" si="53"/>
        <v>Oui</v>
      </c>
      <c r="Q57" s="142" t="str">
        <f t="shared" si="53"/>
        <v>Oui</v>
      </c>
      <c r="R57" s="142" t="str">
        <f t="shared" si="53"/>
        <v>Oui</v>
      </c>
      <c r="S57" s="142" t="str">
        <f t="shared" si="53"/>
        <v>Oui</v>
      </c>
      <c r="T57" s="142" t="str">
        <f t="shared" si="53"/>
        <v>Oui</v>
      </c>
      <c r="U57" s="142" t="str">
        <f t="shared" si="53"/>
        <v>Oui</v>
      </c>
      <c r="V57" s="142" t="str">
        <f t="shared" si="53"/>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54">IF($B57="Non",IF(C$57="Non","Mann Withney",IF(C$57="Oui","Mann Withney","")),IF($B$57="Oui",IF(C$57="Oui","T-Test Welch",IF(C$57="Non","Mann Withney",""))))</f>
        <v>Mann Withney</v>
      </c>
      <c r="D59" s="151" t="str">
        <f t="shared" si="54"/>
        <v>Mann Withney</v>
      </c>
      <c r="E59" s="151" t="str">
        <f t="shared" si="54"/>
        <v>Mann Withney</v>
      </c>
      <c r="F59" s="151" t="str">
        <f t="shared" si="54"/>
        <v>Mann Withney</v>
      </c>
      <c r="G59" s="151" t="str">
        <f t="shared" si="54"/>
        <v>Mann Withney</v>
      </c>
      <c r="H59" s="151" t="str">
        <f t="shared" si="54"/>
        <v>Mann Withney</v>
      </c>
      <c r="I59" s="151" t="str">
        <f t="shared" si="54"/>
        <v>Mann Withney</v>
      </c>
      <c r="J59" s="151" t="str">
        <f t="shared" si="54"/>
        <v>Mann Withney</v>
      </c>
      <c r="K59" s="151" t="str">
        <f t="shared" si="54"/>
        <v>Mann Withney</v>
      </c>
      <c r="L59" s="151" t="str">
        <f t="shared" si="54"/>
        <v>Mann Withney</v>
      </c>
      <c r="M59" s="151" t="str">
        <f t="shared" si="54"/>
        <v>Mann Withney</v>
      </c>
      <c r="N59" s="151"/>
      <c r="O59" s="151" t="str">
        <f>IF($B57="Non",IF(O$57="Non","Mann Withney",IF(O$57="Oui","Mann Withney","")),IF($B$57="Oui",IF(O$57="Oui","T-Test Welch",IF(O$57="Non","Mann Withney",""))))</f>
        <v>Mann Withney</v>
      </c>
      <c r="P59" s="151" t="str">
        <f t="shared" ref="P59:V59" si="55">IF($O57="Non",IF(P$57="Non","Mann Withney",IF(P$57="Oui","Mann Withney","")),IF($O$57="Oui",IF(P$57="Oui","T-Test Welch",IF(P$57="Non","Mann Withney",""))))</f>
        <v>T-Test Welch</v>
      </c>
      <c r="Q59" s="151" t="str">
        <f t="shared" si="55"/>
        <v>T-Test Welch</v>
      </c>
      <c r="R59" s="151" t="str">
        <f t="shared" si="55"/>
        <v>T-Test Welch</v>
      </c>
      <c r="S59" s="151" t="str">
        <f t="shared" si="55"/>
        <v>T-Test Welch</v>
      </c>
      <c r="T59" s="151" t="str">
        <f t="shared" si="55"/>
        <v>T-Test Welch</v>
      </c>
      <c r="U59" s="151" t="str">
        <f t="shared" si="55"/>
        <v>T-Test Welch</v>
      </c>
      <c r="V59" s="151" t="str">
        <f t="shared" si="55"/>
        <v>T-Test Welch</v>
      </c>
    </row>
    <row r="60" spans="1:22" s="3" customFormat="1" x14ac:dyDescent="0.35">
      <c r="A60" s="61" t="s">
        <v>83</v>
      </c>
      <c r="B60" s="152"/>
      <c r="C60" s="152">
        <f>IF(C59="Mann Withney",[1]!MTEST($B28:$B43,C28:C43,2), IF(C59="T-Test Welch",_xlfn.T.TEST($B28:$B43,C28:C43,2,3),""))</f>
        <v>3.5691900116804343E-2</v>
      </c>
      <c r="D60" s="152">
        <f>IF(D59="Mann Withney",[1]!MTEST($B28:$B43,D28:D43,2), IF(D59="T-Test Welch",_xlfn.T.TEST($B28:$B43,D28:D43,2,3),""))</f>
        <v>0.24799581483148536</v>
      </c>
      <c r="E60" s="152">
        <f>IF(E59="Mann Withney",[1]!MTEST($B28:$B43,E28:E43,2), IF(E59="T-Test Welch",_xlfn.T.TEST($B28:$B43,E28:E43,2,3),""))</f>
        <v>2.3220945158779482E-3</v>
      </c>
      <c r="F60" s="152">
        <f>IF(F59="Mann Withney",[1]!MTEST($B28:$B43,F28:F43,2), IF(F59="T-Test Welch",_xlfn.T.TEST($B28:$B43,F28:F43,2,3),""))</f>
        <v>1.7802106825308694E-3</v>
      </c>
      <c r="G60" s="152">
        <f>IF(G59="Mann Withney",[1]!MTEST($B28:$B43,G28:G43,2), IF(G59="T-Test Welch",_xlfn.T.TEST($B28:$B43,G28:G43,2,3),""))</f>
        <v>1.1937454448720519E-3</v>
      </c>
      <c r="H60" s="152">
        <f>IF(H59="Mann Withney",[1]!MTEST($B28:$B43,H28:H43,2), IF(H59="T-Test Welch",_xlfn.T.TEST($B28:$B43,H28:H43,2,3),""))</f>
        <v>7.7753044694039986E-4</v>
      </c>
      <c r="I60" s="152">
        <f>IF(I59="Mann Withney",[1]!MTEST($B28:$B43,I28:I43,2), IF(I59="T-Test Welch",_xlfn.T.TEST($B28:$B43,I28:I43,2,3),""))</f>
        <v>0.29362154392890583</v>
      </c>
      <c r="J60" s="152">
        <f>IF(J59="Mann Withney",[1]!MTEST($B28:$B43,J28:J43,2), IF(J59="T-Test Welch",_xlfn.T.TEST($B28:$B43,J28:J43,2,3),""))</f>
        <v>9.2891940883705226E-2</v>
      </c>
      <c r="K60" s="152">
        <f>IF(K59="Mann Withney",[1]!MTEST($B28:$B43,K28:K43,2), IF(K59="T-Test Welch",_xlfn.T.TEST($B28:$B43,K28:K43,2,3),""))</f>
        <v>0.20757844233562395</v>
      </c>
      <c r="L60" s="152">
        <f>IF(L59="Mann Withney",[1]!MTEST($B28:$B43,L28:L43,2), IF(L59="T-Test Welch",_xlfn.T.TEST($B28:$B43,L28:L43,2,3),""))</f>
        <v>7.4203411329755165E-2</v>
      </c>
      <c r="M60" s="152">
        <f>IF(M59="Mann Withney",[1]!MTEST($B28:$B43,M28:M43,2), IF(M59="T-Test Welch",_xlfn.T.TEST($B28:$B43,M28:M43,2,3),""))</f>
        <v>3.5691900116804343E-2</v>
      </c>
      <c r="N60" s="152"/>
      <c r="O60" s="152">
        <f>IF(O59="Mann Withney",[1]!MTEST($B28:$B43,O28:O43,2), IF(O59="T-Test Welch",_xlfn.T.TEST($B28:$B43,O28:O43,2,3),""))</f>
        <v>3.0267777415771135E-4</v>
      </c>
      <c r="P60" s="152">
        <f>IF(P59="Mann Withney",[1]!MTEST($O28:$O43,P28:P43,2), IF(P59="T-Test Welch",_xlfn.T.TEST($O28:$O43,P28:P43,2,3),""))</f>
        <v>0.21616395143405459</v>
      </c>
      <c r="Q60" s="152">
        <f>IF(Q59="Mann Withney",[1]!MTEST($O28:$O43,Q28:Q43,2), IF(Q59="T-Test Welch",_xlfn.T.TEST($O28:$O43,Q28:Q43,2,3),""))</f>
        <v>9.2333418733378739E-5</v>
      </c>
      <c r="R60" s="152">
        <f>IF(R59="Mann Withney",[1]!MTEST($O28:$O43,R28:R43,2), IF(R59="T-Test Welch",_xlfn.T.TEST($O28:$O43,R28:R43,2,3),""))</f>
        <v>0.26691291600745276</v>
      </c>
      <c r="S60" s="152">
        <f>IF(S59="Mann Withney",[1]!MTEST($O28:$O43,S28:S43,2), IF(S59="T-Test Welch",_xlfn.T.TEST($O28:$O43,S28:S43,2,3),""))</f>
        <v>0.57688428967610594</v>
      </c>
      <c r="T60" s="152">
        <f>IF(T59="Mann Withney",[1]!MTEST($O28:$O43,T28:T43,2), IF(T59="T-Test Welch",_xlfn.T.TEST($O28:$O43,T28:T43,2,3),""))</f>
        <v>0.29472156642720015</v>
      </c>
      <c r="U60" s="152">
        <f>IF(U59="Mann Withney",[1]!MTEST($O28:$O43,U28:U43,2), IF(U59="T-Test Welch",_xlfn.T.TEST($O28:$O43,U28:U43,2,3),""))</f>
        <v>2.2866962698101438E-3</v>
      </c>
      <c r="V60" s="152">
        <f>IF(V59="Mann Withney",[1]!MTEST($O28:$O43,V28:V43,2), IF(V59="T-Test Welch",_xlfn.T.TEST($O28:$O43,V28:V43,2,3),""))</f>
        <v>5.1172805561535473E-2</v>
      </c>
    </row>
    <row r="61" spans="1:22" s="3" customFormat="1" ht="15" thickBot="1" x14ac:dyDescent="0.4">
      <c r="A61" s="62" t="s">
        <v>84</v>
      </c>
      <c r="B61" s="143"/>
      <c r="C61" s="143" t="str">
        <f t="shared" ref="C61:M61" si="56">IF(C60&gt;0.05,"NS",IF(C60&gt;0.01,"*",IF(C60&gt;0.001,"**","***")))</f>
        <v>*</v>
      </c>
      <c r="D61" s="143" t="str">
        <f t="shared" si="56"/>
        <v>NS</v>
      </c>
      <c r="E61" s="143" t="str">
        <f t="shared" si="56"/>
        <v>**</v>
      </c>
      <c r="F61" s="143" t="str">
        <f t="shared" si="56"/>
        <v>**</v>
      </c>
      <c r="G61" s="143" t="str">
        <f t="shared" si="56"/>
        <v>**</v>
      </c>
      <c r="H61" s="143" t="str">
        <f t="shared" si="56"/>
        <v>***</v>
      </c>
      <c r="I61" s="143" t="str">
        <f t="shared" si="56"/>
        <v>NS</v>
      </c>
      <c r="J61" s="143" t="str">
        <f t="shared" si="56"/>
        <v>NS</v>
      </c>
      <c r="K61" s="143" t="str">
        <f t="shared" si="56"/>
        <v>NS</v>
      </c>
      <c r="L61" s="143" t="str">
        <f t="shared" si="56"/>
        <v>NS</v>
      </c>
      <c r="M61" s="143" t="str">
        <f t="shared" si="56"/>
        <v>*</v>
      </c>
      <c r="N61" s="143"/>
      <c r="O61" s="143" t="str">
        <f>IF(O60&gt;0.05,"NS",IF(O60&gt;0.01,"*",IF(O60&gt;0.001,"**","***")))</f>
        <v>***</v>
      </c>
      <c r="P61" s="143" t="str">
        <f>IF(P60&gt;0.05,"NS",IF(P60&gt;0.01,"*",IF(P60&gt;0.001,"**","***")))</f>
        <v>NS</v>
      </c>
      <c r="Q61" s="143" t="str">
        <f t="shared" ref="Q61" si="57">IF(Q60&gt;0.05,"NS",IF(Q60&gt;0.01,"*",IF(Q60&gt;0.001,"**","***")))</f>
        <v>***</v>
      </c>
      <c r="R61" s="143" t="str">
        <f t="shared" ref="R61" si="58">IF(R60&gt;0.05,"NS",IF(R60&gt;0.01,"*",IF(R60&gt;0.001,"**","***")))</f>
        <v>NS</v>
      </c>
      <c r="S61" s="143" t="str">
        <f t="shared" ref="S61" si="59">IF(S60&gt;0.05,"NS",IF(S60&gt;0.01,"*",IF(S60&gt;0.001,"**","***")))</f>
        <v>NS</v>
      </c>
      <c r="T61" s="143" t="str">
        <f t="shared" ref="T61" si="60">IF(T60&gt;0.05,"NS",IF(T60&gt;0.01,"*",IF(T60&gt;0.001,"**","***")))</f>
        <v>NS</v>
      </c>
      <c r="U61" s="143" t="str">
        <f t="shared" ref="U61" si="61">IF(U60&gt;0.05,"NS",IF(U60&gt;0.01,"*",IF(U60&gt;0.001,"**","***")))</f>
        <v>**</v>
      </c>
      <c r="V61" s="143" t="str">
        <f t="shared" ref="V61" si="62">IF(V60&gt;0.05,"NS",IF(V60&gt;0.01,"*",IF(V60&gt;0.001,"**","***")))</f>
        <v>NS</v>
      </c>
    </row>
    <row r="63" spans="1:22" x14ac:dyDescent="0.35">
      <c r="A63" s="2" t="s">
        <v>39</v>
      </c>
    </row>
    <row r="64" spans="1:22" x14ac:dyDescent="0.35">
      <c r="A64" s="1" t="s">
        <v>23</v>
      </c>
      <c r="B64" s="1">
        <f>B46+(3*B47)</f>
        <v>0.16553330808692845</v>
      </c>
    </row>
    <row r="65" spans="1:22" x14ac:dyDescent="0.35">
      <c r="A65" s="1" t="s">
        <v>24</v>
      </c>
      <c r="B65" s="1">
        <f>B46+(10*B47)</f>
        <v>0.46355752657990212</v>
      </c>
    </row>
    <row r="66" spans="1:22" ht="15" thickBot="1" x14ac:dyDescent="0.4"/>
    <row r="67" spans="1:22" s="1" customFormat="1" ht="26.5" thickBot="1" x14ac:dyDescent="0.65">
      <c r="A67" s="212" t="s">
        <v>52</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1628</v>
      </c>
      <c r="D2" s="1" t="s">
        <v>373</v>
      </c>
      <c r="E2" s="1" t="s">
        <v>1629</v>
      </c>
      <c r="F2" s="1" t="s">
        <v>112</v>
      </c>
      <c r="G2" s="1">
        <v>24377</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1630</v>
      </c>
      <c r="D3" s="1" t="s">
        <v>864</v>
      </c>
      <c r="E3" s="1" t="s">
        <v>1631</v>
      </c>
      <c r="F3" s="1" t="s">
        <v>112</v>
      </c>
      <c r="G3" s="1">
        <v>390074</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1632</v>
      </c>
      <c r="D4" s="1" t="s">
        <v>1633</v>
      </c>
      <c r="E4" s="1" t="s">
        <v>1634</v>
      </c>
      <c r="F4" s="1" t="s">
        <v>112</v>
      </c>
      <c r="G4" s="1">
        <v>484293</v>
      </c>
      <c r="K4" s="119" t="s">
        <v>100</v>
      </c>
      <c r="L4" s="1" t="s">
        <v>1600</v>
      </c>
      <c r="M4" s="1" t="s">
        <v>1601</v>
      </c>
      <c r="N4" s="1" t="s">
        <v>1602</v>
      </c>
      <c r="O4" s="1" t="s">
        <v>1603</v>
      </c>
      <c r="P4" s="1" t="s">
        <v>1604</v>
      </c>
      <c r="Q4" s="1" t="s">
        <v>1605</v>
      </c>
      <c r="R4" s="1" t="s">
        <v>1606</v>
      </c>
      <c r="S4" s="1" t="s">
        <v>1607</v>
      </c>
      <c r="T4" s="1" t="s">
        <v>1608</v>
      </c>
      <c r="U4" s="1" t="s">
        <v>1609</v>
      </c>
      <c r="V4" s="1" t="s">
        <v>1610</v>
      </c>
      <c r="W4" s="1" t="s">
        <v>1611</v>
      </c>
      <c r="X4" s="1" t="s">
        <v>1612</v>
      </c>
      <c r="Y4" s="1" t="s">
        <v>1613</v>
      </c>
      <c r="Z4" s="1" t="s">
        <v>1614</v>
      </c>
      <c r="AA4" s="1" t="s">
        <v>1615</v>
      </c>
      <c r="AB4" s="1" t="s">
        <v>1616</v>
      </c>
      <c r="AC4" s="1" t="s">
        <v>1617</v>
      </c>
      <c r="AD4" s="1" t="s">
        <v>1618</v>
      </c>
      <c r="AE4" s="1" t="s">
        <v>1619</v>
      </c>
      <c r="AF4" s="1" t="s">
        <v>1620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1635</v>
      </c>
      <c r="D5" s="1" t="s">
        <v>690</v>
      </c>
      <c r="E5" s="1">
        <v>63</v>
      </c>
      <c r="F5" s="1" t="s">
        <v>112</v>
      </c>
      <c r="G5" s="1">
        <v>61321</v>
      </c>
      <c r="K5" s="146" t="s">
        <v>164</v>
      </c>
      <c r="L5" s="44">
        <v>299581.33333333331</v>
      </c>
      <c r="M5" s="44">
        <v>44968.333333333336</v>
      </c>
      <c r="N5" s="44">
        <v>719482.33333333337</v>
      </c>
      <c r="O5" s="44">
        <v>303078.33333333331</v>
      </c>
      <c r="P5" s="44">
        <v>1933958</v>
      </c>
      <c r="Q5" s="44">
        <v>3119081</v>
      </c>
      <c r="R5" s="44">
        <v>5955943</v>
      </c>
      <c r="S5" s="44">
        <v>219046</v>
      </c>
      <c r="T5" s="44">
        <v>171056.33333333334</v>
      </c>
      <c r="U5" s="44">
        <v>547842</v>
      </c>
      <c r="V5" s="44">
        <v>28627</v>
      </c>
      <c r="W5" s="44">
        <v>1188984.5</v>
      </c>
      <c r="X5" s="44">
        <v>3297340.3333333335</v>
      </c>
      <c r="Y5" s="44">
        <v>1002762</v>
      </c>
      <c r="Z5" s="44">
        <v>4550692</v>
      </c>
      <c r="AA5" s="44">
        <v>317339.66666666669</v>
      </c>
      <c r="AB5" s="44">
        <v>3399606.6666666665</v>
      </c>
      <c r="AC5" s="44">
        <v>3184367.3333333335</v>
      </c>
      <c r="AD5" s="44">
        <v>3287549.5</v>
      </c>
      <c r="AE5" s="44">
        <v>5572171</v>
      </c>
      <c r="AF5" s="44">
        <v>4872826</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1636</v>
      </c>
      <c r="D6" s="1" t="s">
        <v>1107</v>
      </c>
      <c r="E6" s="1" t="s">
        <v>1637</v>
      </c>
      <c r="F6" s="1" t="s">
        <v>112</v>
      </c>
      <c r="G6" s="1">
        <v>491193</v>
      </c>
      <c r="K6" s="146" t="s">
        <v>1621</v>
      </c>
      <c r="L6" s="44">
        <v>189636.33333333334</v>
      </c>
      <c r="M6" s="44">
        <v>297267</v>
      </c>
      <c r="N6" s="44">
        <v>576292.66666666663</v>
      </c>
      <c r="O6" s="44">
        <v>249057.5</v>
      </c>
      <c r="P6" s="44">
        <v>1156139.5</v>
      </c>
      <c r="Q6" s="44">
        <v>3391510</v>
      </c>
      <c r="R6" s="44">
        <v>4108501</v>
      </c>
      <c r="S6" s="44">
        <v>342401.33333333331</v>
      </c>
      <c r="T6" s="44">
        <v>99230.666666666672</v>
      </c>
      <c r="U6" s="44">
        <v>740881.66666666663</v>
      </c>
      <c r="V6" s="44">
        <v>1472166.6666666667</v>
      </c>
      <c r="W6" s="44">
        <v>3799889.3333333335</v>
      </c>
      <c r="X6" s="44">
        <v>5133105.666666667</v>
      </c>
      <c r="Y6" s="44">
        <v>278247</v>
      </c>
      <c r="Z6" s="44">
        <v>3282257</v>
      </c>
      <c r="AA6" s="44">
        <v>628002.33333333337</v>
      </c>
      <c r="AB6" s="44">
        <v>3115159</v>
      </c>
      <c r="AC6" s="44">
        <v>6786206.333333333</v>
      </c>
      <c r="AD6" s="44">
        <v>2854843.3333333335</v>
      </c>
      <c r="AE6" s="44">
        <v>8033371.666666667</v>
      </c>
      <c r="AF6" s="44">
        <v>6242784.333333333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1638</v>
      </c>
      <c r="D7" s="1" t="s">
        <v>875</v>
      </c>
      <c r="E7" s="1" t="s">
        <v>876</v>
      </c>
      <c r="F7" s="1" t="s">
        <v>112</v>
      </c>
      <c r="G7" s="1">
        <v>16395</v>
      </c>
      <c r="K7" s="146" t="s">
        <v>1622</v>
      </c>
      <c r="L7" s="44">
        <v>451516.66666666669</v>
      </c>
      <c r="M7" s="44">
        <v>860004.33333333337</v>
      </c>
      <c r="N7" s="44">
        <v>11536</v>
      </c>
      <c r="O7" s="44">
        <v>250791.66666666666</v>
      </c>
      <c r="P7" s="44">
        <v>2947311</v>
      </c>
      <c r="Q7" s="44">
        <v>2242291.6666666665</v>
      </c>
      <c r="R7" s="44">
        <v>5752001.666666667</v>
      </c>
      <c r="S7" s="44">
        <v>436512.66666666669</v>
      </c>
      <c r="T7" s="44">
        <v>91566.666666666672</v>
      </c>
      <c r="U7" s="44">
        <v>315288</v>
      </c>
      <c r="V7" s="44">
        <v>149037.33333333334</v>
      </c>
      <c r="W7" s="44">
        <v>4571067.5</v>
      </c>
      <c r="X7" s="44">
        <v>2313173.3333333335</v>
      </c>
      <c r="Y7" s="44">
        <v>3609315.3333333335</v>
      </c>
      <c r="Z7" s="44">
        <v>4272877.666666667</v>
      </c>
      <c r="AA7" s="44">
        <v>457393</v>
      </c>
      <c r="AB7" s="44">
        <v>2301918.3333333335</v>
      </c>
      <c r="AC7" s="44">
        <v>6807598.5</v>
      </c>
      <c r="AD7" s="44">
        <v>4944760</v>
      </c>
      <c r="AE7" s="44">
        <v>7325634.333333333</v>
      </c>
      <c r="AF7" s="44">
        <v>7661337.666666667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1639</v>
      </c>
      <c r="D8" s="1" t="s">
        <v>697</v>
      </c>
      <c r="E8" s="1" t="s">
        <v>1640</v>
      </c>
      <c r="F8" s="1" t="s">
        <v>112</v>
      </c>
      <c r="G8" s="1">
        <v>125605</v>
      </c>
      <c r="K8" s="146" t="s">
        <v>1623</v>
      </c>
      <c r="L8" s="44">
        <v>801885.5</v>
      </c>
      <c r="M8" s="44">
        <v>548080</v>
      </c>
      <c r="N8" s="44">
        <v>150810.66666666666</v>
      </c>
      <c r="O8" s="44">
        <v>657635.5</v>
      </c>
      <c r="P8" s="44">
        <v>842643</v>
      </c>
      <c r="Q8" s="44">
        <v>3387328</v>
      </c>
      <c r="R8" s="44">
        <v>5086255.333333333</v>
      </c>
      <c r="S8" s="44">
        <v>676914.66666666663</v>
      </c>
      <c r="T8" s="44">
        <v>792832.5</v>
      </c>
      <c r="U8" s="44">
        <v>437680.66666666669</v>
      </c>
      <c r="V8" s="44">
        <v>580625.33333333337</v>
      </c>
      <c r="W8" s="44">
        <v>17033.5</v>
      </c>
      <c r="X8" s="44">
        <v>2628220</v>
      </c>
      <c r="Y8" s="44">
        <v>3947261</v>
      </c>
      <c r="Z8" s="44">
        <v>2815477</v>
      </c>
      <c r="AA8" s="44">
        <v>153457</v>
      </c>
      <c r="AB8" s="44">
        <v>1956640.3333333333</v>
      </c>
      <c r="AC8" s="44">
        <v>4738352.666666667</v>
      </c>
      <c r="AD8" s="44">
        <v>4563446.333333333</v>
      </c>
      <c r="AE8" s="44">
        <v>3974370.3333333335</v>
      </c>
      <c r="AF8" s="44">
        <v>2523740</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1641</v>
      </c>
      <c r="D9" s="1" t="s">
        <v>1642</v>
      </c>
      <c r="E9" s="1" t="s">
        <v>1643</v>
      </c>
      <c r="F9" s="1" t="s">
        <v>112</v>
      </c>
      <c r="G9" s="1">
        <v>448063</v>
      </c>
      <c r="K9" s="146" t="s">
        <v>1624</v>
      </c>
      <c r="L9" s="44">
        <v>225830.66666666666</v>
      </c>
      <c r="M9" s="44">
        <v>206017.66666666666</v>
      </c>
      <c r="N9" s="44">
        <v>152087</v>
      </c>
      <c r="O9" s="44">
        <v>416829.66666666669</v>
      </c>
      <c r="P9" s="44">
        <v>286596</v>
      </c>
      <c r="Q9" s="44">
        <v>3057926.5</v>
      </c>
      <c r="R9" s="44">
        <v>5761230.5</v>
      </c>
      <c r="S9" s="44">
        <v>277699</v>
      </c>
      <c r="T9" s="44">
        <v>371947.66666666669</v>
      </c>
      <c r="U9" s="44">
        <v>86483.666666666672</v>
      </c>
      <c r="V9" s="44">
        <v>120673</v>
      </c>
      <c r="W9" s="44">
        <v>3691422.3333333335</v>
      </c>
      <c r="X9" s="44">
        <v>2971298.3333333335</v>
      </c>
      <c r="Y9" s="44">
        <v>4070270.3333333335</v>
      </c>
      <c r="Z9" s="44">
        <v>2428489</v>
      </c>
      <c r="AA9" s="44">
        <v>151034</v>
      </c>
      <c r="AB9" s="44">
        <v>3662655</v>
      </c>
      <c r="AC9" s="44">
        <v>5569280</v>
      </c>
      <c r="AD9" s="44">
        <v>5821224.666666667</v>
      </c>
      <c r="AE9" s="44">
        <v>5493250.333333333</v>
      </c>
      <c r="AF9" s="44">
        <v>4944125.333333333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1644</v>
      </c>
      <c r="D10" s="1" t="s">
        <v>1645</v>
      </c>
      <c r="E10" s="1" t="s">
        <v>1646</v>
      </c>
      <c r="F10" s="1" t="s">
        <v>112</v>
      </c>
      <c r="G10" s="1">
        <v>780882</v>
      </c>
      <c r="K10" s="146" t="s">
        <v>1625</v>
      </c>
      <c r="L10" s="44">
        <v>654326</v>
      </c>
      <c r="M10" s="44">
        <v>316618.33333333331</v>
      </c>
      <c r="N10" s="44">
        <v>565759</v>
      </c>
      <c r="O10" s="44">
        <v>321427.33333333331</v>
      </c>
      <c r="P10" s="44">
        <v>1352502.6666666667</v>
      </c>
      <c r="Q10" s="44">
        <v>6532077</v>
      </c>
      <c r="R10" s="44">
        <v>4274059.666666667</v>
      </c>
      <c r="S10" s="44">
        <v>102035.33333333333</v>
      </c>
      <c r="T10" s="44">
        <v>172196</v>
      </c>
      <c r="U10" s="44">
        <v>223963</v>
      </c>
      <c r="V10" s="44">
        <v>1188786.3333333333</v>
      </c>
      <c r="W10" s="44">
        <v>1396541.3333333333</v>
      </c>
      <c r="X10" s="44">
        <v>63253</v>
      </c>
      <c r="Y10" s="44">
        <v>3003700.3333333335</v>
      </c>
      <c r="Z10" s="44">
        <v>4917830.333333333</v>
      </c>
      <c r="AA10" s="44">
        <v>172606.66666666666</v>
      </c>
      <c r="AB10" s="44">
        <v>4830395.333333333</v>
      </c>
      <c r="AC10" s="44">
        <v>3881780.3333333335</v>
      </c>
      <c r="AD10" s="44">
        <v>5275754.333333333</v>
      </c>
      <c r="AE10" s="44">
        <v>6004603</v>
      </c>
      <c r="AF10" s="44">
        <v>3048027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1647</v>
      </c>
      <c r="D11" s="1" t="s">
        <v>1648</v>
      </c>
      <c r="E11" s="1" t="s">
        <v>1649</v>
      </c>
      <c r="F11" s="1" t="s">
        <v>112</v>
      </c>
      <c r="G11" s="1">
        <v>978234</v>
      </c>
      <c r="K11" s="146" t="s">
        <v>1626</v>
      </c>
      <c r="L11" s="44">
        <v>721148</v>
      </c>
      <c r="M11" s="44">
        <v>276804.66666666669</v>
      </c>
      <c r="N11" s="44">
        <v>123193</v>
      </c>
      <c r="O11" s="44">
        <v>440774</v>
      </c>
      <c r="P11" s="44">
        <v>215044.5</v>
      </c>
      <c r="Q11" s="44">
        <v>3764762.3333333335</v>
      </c>
      <c r="R11" s="44">
        <v>7497181</v>
      </c>
      <c r="S11" s="44">
        <v>382654.33333333331</v>
      </c>
      <c r="T11" s="44">
        <v>528735.66666666663</v>
      </c>
      <c r="U11" s="44">
        <v>1031259.5</v>
      </c>
      <c r="V11" s="44">
        <v>3339526</v>
      </c>
      <c r="W11" s="44">
        <v>3472276</v>
      </c>
      <c r="X11" s="44">
        <v>5074990</v>
      </c>
      <c r="Y11" s="44">
        <v>4742289.333333333</v>
      </c>
      <c r="Z11" s="44">
        <v>3580822</v>
      </c>
      <c r="AA11" s="44">
        <v>489225</v>
      </c>
      <c r="AB11" s="44">
        <v>4509097.5</v>
      </c>
      <c r="AC11" s="44">
        <v>6888213</v>
      </c>
      <c r="AD11" s="44">
        <v>3701329.3333333335</v>
      </c>
      <c r="AE11" s="44">
        <v>6368619.5</v>
      </c>
      <c r="AF11" s="44">
        <v>5654494.333333333</v>
      </c>
      <c r="AG11"/>
    </row>
    <row r="12" spans="1:144" x14ac:dyDescent="0.35">
      <c r="A12" s="1" t="str">
        <f t="shared" si="0"/>
        <v>01 TS</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1650</v>
      </c>
      <c r="K12" s="146" t="s">
        <v>1627</v>
      </c>
      <c r="L12" s="44">
        <v>433102.66666666669</v>
      </c>
      <c r="M12" s="44">
        <v>283395</v>
      </c>
      <c r="N12" s="44">
        <v>141034</v>
      </c>
      <c r="O12" s="44">
        <v>72135.666666666672</v>
      </c>
      <c r="P12" s="44">
        <v>1938795.5</v>
      </c>
      <c r="Q12" s="44">
        <v>2588630</v>
      </c>
      <c r="R12" s="44">
        <v>3651558.6666666665</v>
      </c>
      <c r="S12" s="44"/>
      <c r="T12" s="44"/>
      <c r="U12" s="44">
        <v>138835</v>
      </c>
      <c r="V12" s="44">
        <v>629970.66666666663</v>
      </c>
      <c r="W12" s="44">
        <v>3748331</v>
      </c>
      <c r="X12" s="44">
        <v>5148239</v>
      </c>
      <c r="Y12" s="44">
        <v>3425988</v>
      </c>
      <c r="Z12" s="44">
        <v>4225140</v>
      </c>
      <c r="AA12" s="44">
        <v>503774.66666666669</v>
      </c>
      <c r="AB12" s="44">
        <v>3114957</v>
      </c>
      <c r="AC12" s="44">
        <v>4518150</v>
      </c>
      <c r="AD12" s="44">
        <v>6588444.333333333</v>
      </c>
      <c r="AE12" s="44">
        <v>3630188.5</v>
      </c>
      <c r="AF12" s="44">
        <v>4879790.666666667</v>
      </c>
      <c r="AG12"/>
    </row>
    <row r="13" spans="1:144" x14ac:dyDescent="0.35">
      <c r="A13" s="1" t="str">
        <f t="shared" si="0"/>
        <v>01 TS</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1651</v>
      </c>
      <c r="D13" s="1" t="s">
        <v>1652</v>
      </c>
      <c r="E13" s="1" t="s">
        <v>1653</v>
      </c>
      <c r="F13" s="1" t="s">
        <v>112</v>
      </c>
      <c r="G13" s="1">
        <v>625537</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1654</v>
      </c>
      <c r="D14" s="1" t="s">
        <v>203</v>
      </c>
      <c r="E14" s="1" t="s">
        <v>1655</v>
      </c>
      <c r="F14" s="1" t="s">
        <v>112</v>
      </c>
      <c r="G14" s="1">
        <v>103110</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1656</v>
      </c>
      <c r="D15" s="1" t="s">
        <v>299</v>
      </c>
      <c r="E15" s="1" t="s">
        <v>1657</v>
      </c>
      <c r="F15" s="1" t="s">
        <v>112</v>
      </c>
      <c r="G15" s="1">
        <v>275197</v>
      </c>
    </row>
    <row r="16" spans="1:144" x14ac:dyDescent="0.35">
      <c r="A16" s="1" t="str">
        <f t="shared" si="0"/>
        <v>01 TS</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1658</v>
      </c>
      <c r="D16" s="1" t="s">
        <v>703</v>
      </c>
      <c r="E16" s="1" t="s">
        <v>1659</v>
      </c>
      <c r="F16" s="1" t="s">
        <v>112</v>
      </c>
      <c r="G16" s="1">
        <v>299185</v>
      </c>
    </row>
    <row r="17" spans="1:9" x14ac:dyDescent="0.35">
      <c r="A17" s="1" t="str">
        <f t="shared" si="0"/>
        <v>01 TS</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1660</v>
      </c>
      <c r="D17" s="1" t="s">
        <v>1155</v>
      </c>
      <c r="E17" s="1" t="s">
        <v>1661</v>
      </c>
      <c r="F17" s="1" t="s">
        <v>112</v>
      </c>
      <c r="G17" s="1">
        <v>735806</v>
      </c>
    </row>
    <row r="18" spans="1:9" x14ac:dyDescent="0.35">
      <c r="A18" s="1" t="str">
        <f t="shared" si="0"/>
        <v>01 TS</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1662</v>
      </c>
    </row>
    <row r="19" spans="1:9" x14ac:dyDescent="0.35">
      <c r="A19" s="1" t="str">
        <f t="shared" si="0"/>
        <v>01 TS</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1663</v>
      </c>
      <c r="D19" s="1" t="s">
        <v>1664</v>
      </c>
      <c r="E19" s="1" t="s">
        <v>1665</v>
      </c>
      <c r="F19" s="1" t="s">
        <v>112</v>
      </c>
      <c r="G19" s="1">
        <v>572846</v>
      </c>
    </row>
    <row r="20" spans="1:9" x14ac:dyDescent="0.35">
      <c r="A20" s="1" t="str">
        <f t="shared" si="0"/>
        <v>01 TS</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1666</v>
      </c>
      <c r="D20" s="1" t="s">
        <v>1667</v>
      </c>
      <c r="E20" s="1" t="s">
        <v>1668</v>
      </c>
      <c r="F20" s="1" t="s">
        <v>112</v>
      </c>
      <c r="G20" s="1">
        <v>853083</v>
      </c>
    </row>
    <row r="21" spans="1:9" x14ac:dyDescent="0.35">
      <c r="A21" s="1" t="str">
        <f t="shared" si="0"/>
        <v>01 TS</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1669</v>
      </c>
      <c r="D21" s="1" t="s">
        <v>1652</v>
      </c>
      <c r="E21" s="1" t="s">
        <v>1670</v>
      </c>
      <c r="F21" s="1" t="s">
        <v>112</v>
      </c>
      <c r="G21" s="1">
        <v>678595</v>
      </c>
    </row>
    <row r="22" spans="1:9" x14ac:dyDescent="0.35">
      <c r="A22" s="1" t="str">
        <f t="shared" si="0"/>
        <v>01 TS</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1671</v>
      </c>
      <c r="D22" s="1" t="s">
        <v>1672</v>
      </c>
      <c r="E22" s="1" t="s">
        <v>1673</v>
      </c>
      <c r="F22" s="1" t="s">
        <v>112</v>
      </c>
      <c r="G22" s="1">
        <v>631766</v>
      </c>
    </row>
    <row r="23" spans="1:9" x14ac:dyDescent="0.35">
      <c r="A23" s="1" t="str">
        <f t="shared" si="0"/>
        <v>01 TS</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1674</v>
      </c>
      <c r="D23" s="1" t="s">
        <v>1675</v>
      </c>
      <c r="E23" s="1" t="s">
        <v>1676</v>
      </c>
      <c r="F23" s="1" t="s">
        <v>112</v>
      </c>
      <c r="G23" s="1">
        <v>708941</v>
      </c>
    </row>
    <row r="24" spans="1:9" x14ac:dyDescent="0.35">
      <c r="A24" s="1" t="str">
        <f t="shared" si="0"/>
        <v>01 TS</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1677</v>
      </c>
      <c r="D24" s="1" t="s">
        <v>662</v>
      </c>
      <c r="E24" s="1" t="s">
        <v>1678</v>
      </c>
      <c r="F24" s="1" t="s">
        <v>112</v>
      </c>
      <c r="G24" s="1">
        <v>68697</v>
      </c>
    </row>
    <row r="25" spans="1:9" x14ac:dyDescent="0.35">
      <c r="A25" s="1" t="str">
        <f t="shared" si="0"/>
        <v>01 TS</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1679</v>
      </c>
      <c r="D25" s="1" t="s">
        <v>1680</v>
      </c>
      <c r="E25" s="1" t="s">
        <v>1681</v>
      </c>
      <c r="F25" s="1" t="s">
        <v>112</v>
      </c>
      <c r="G25" s="1">
        <v>521670</v>
      </c>
    </row>
    <row r="26" spans="1:9"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9"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241</v>
      </c>
      <c r="D27" s="1" t="s">
        <v>112</v>
      </c>
      <c r="E27" s="1" t="s">
        <v>242</v>
      </c>
      <c r="F27" s="1" t="s">
        <v>243</v>
      </c>
      <c r="G27" s="1" t="s">
        <v>244</v>
      </c>
      <c r="H27" s="1" t="s">
        <v>245</v>
      </c>
      <c r="I27" s="1" t="s">
        <v>246</v>
      </c>
    </row>
    <row r="28" spans="1:9" x14ac:dyDescent="0.35">
      <c r="A28" s="1" t="str">
        <f t="shared" si="0"/>
        <v>01 TS</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1682</v>
      </c>
      <c r="D28" s="1" t="s">
        <v>112</v>
      </c>
      <c r="E28" s="1" t="s">
        <v>1683</v>
      </c>
      <c r="F28" s="1" t="s">
        <v>1684</v>
      </c>
      <c r="G28" s="1" t="s">
        <v>1685</v>
      </c>
      <c r="H28" s="1" t="s">
        <v>1686</v>
      </c>
      <c r="I28" s="1">
        <v>24</v>
      </c>
    </row>
    <row r="29" spans="1:9"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9"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9"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9"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252</v>
      </c>
      <c r="D34" s="1" t="s">
        <v>110</v>
      </c>
      <c r="E34" s="1" t="s">
        <v>111</v>
      </c>
      <c r="F34" s="1" t="s">
        <v>112</v>
      </c>
      <c r="G34" s="1" t="s">
        <v>113</v>
      </c>
    </row>
    <row r="35" spans="1:7" x14ac:dyDescent="0.35">
      <c r="A35" s="1" t="str">
        <f t="shared" si="0"/>
        <v>02 EE2 34</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1687</v>
      </c>
      <c r="D35" s="1" t="s">
        <v>738</v>
      </c>
      <c r="E35" s="1" t="s">
        <v>1688</v>
      </c>
      <c r="F35" s="1" t="s">
        <v>112</v>
      </c>
      <c r="G35" s="1">
        <v>35105</v>
      </c>
    </row>
    <row r="36" spans="1:7" x14ac:dyDescent="0.35">
      <c r="A36" s="1" t="str">
        <f t="shared" si="0"/>
        <v>02 EE2 34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1689</v>
      </c>
      <c r="D36" s="1" t="s">
        <v>738</v>
      </c>
      <c r="E36" s="1" t="s">
        <v>1690</v>
      </c>
      <c r="F36" s="1" t="s">
        <v>112</v>
      </c>
      <c r="G36" s="1">
        <v>35819</v>
      </c>
    </row>
    <row r="37" spans="1:7" x14ac:dyDescent="0.35">
      <c r="A37" s="1" t="str">
        <f t="shared" si="0"/>
        <v>02 EE2 34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1691</v>
      </c>
      <c r="D37" s="1" t="s">
        <v>1692</v>
      </c>
      <c r="E37" s="1" t="s">
        <v>1693</v>
      </c>
      <c r="F37" s="1" t="s">
        <v>112</v>
      </c>
      <c r="G37" s="1">
        <v>63981</v>
      </c>
    </row>
    <row r="38" spans="1:7" x14ac:dyDescent="0.35">
      <c r="A38" s="1" t="str">
        <f t="shared" si="0"/>
        <v>02 EE2 34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1694</v>
      </c>
      <c r="D38" s="1" t="s">
        <v>1695</v>
      </c>
      <c r="E38" s="1" t="s">
        <v>1696</v>
      </c>
      <c r="F38" s="1" t="s">
        <v>112</v>
      </c>
      <c r="G38" s="1">
        <v>192787</v>
      </c>
    </row>
    <row r="39" spans="1:7" x14ac:dyDescent="0.35">
      <c r="A39" s="1" t="str">
        <f t="shared" si="0"/>
        <v>02 EE2 34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1697</v>
      </c>
      <c r="D39" s="1" t="s">
        <v>713</v>
      </c>
      <c r="E39" s="1" t="s">
        <v>1698</v>
      </c>
      <c r="F39" s="1" t="s">
        <v>112</v>
      </c>
      <c r="G39" s="1">
        <v>276452</v>
      </c>
    </row>
    <row r="40" spans="1:7" x14ac:dyDescent="0.35">
      <c r="A40" s="1" t="str">
        <f t="shared" si="0"/>
        <v>02 EE2 34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1699</v>
      </c>
      <c r="D40" s="1" t="s">
        <v>1700</v>
      </c>
      <c r="E40" s="1" t="s">
        <v>1701</v>
      </c>
      <c r="F40" s="1" t="s">
        <v>112</v>
      </c>
      <c r="G40" s="1">
        <v>422562</v>
      </c>
    </row>
    <row r="41" spans="1:7" x14ac:dyDescent="0.35">
      <c r="A41" s="1" t="str">
        <f t="shared" si="0"/>
        <v>02 EE2 34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1702</v>
      </c>
      <c r="D41" s="1" t="s">
        <v>1703</v>
      </c>
      <c r="E41" s="1" t="s">
        <v>1704</v>
      </c>
      <c r="F41" s="1" t="s">
        <v>112</v>
      </c>
      <c r="G41" s="1">
        <v>1039273</v>
      </c>
    </row>
    <row r="42" spans="1:7" x14ac:dyDescent="0.35">
      <c r="A42" s="1" t="str">
        <f t="shared" si="0"/>
        <v>02 EE2 34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1705</v>
      </c>
      <c r="D42" s="1" t="s">
        <v>1706</v>
      </c>
      <c r="E42" s="1" t="s">
        <v>1707</v>
      </c>
      <c r="F42" s="1" t="s">
        <v>112</v>
      </c>
      <c r="G42" s="1">
        <v>1136456</v>
      </c>
    </row>
    <row r="43" spans="1:7" x14ac:dyDescent="0.35">
      <c r="A43" s="1" t="str">
        <f t="shared" si="0"/>
        <v>02 EE2 34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1708</v>
      </c>
      <c r="D43" s="1" t="s">
        <v>1709</v>
      </c>
      <c r="E43" s="1" t="s">
        <v>1710</v>
      </c>
      <c r="F43" s="1" t="s">
        <v>112</v>
      </c>
      <c r="G43" s="1">
        <v>404284</v>
      </c>
    </row>
    <row r="44" spans="1:7" x14ac:dyDescent="0.35">
      <c r="A44" s="1" t="str">
        <f t="shared" si="0"/>
        <v>02 EE2 34</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1711</v>
      </c>
      <c r="D44" s="1" t="s">
        <v>325</v>
      </c>
      <c r="E44" s="1" t="s">
        <v>1712</v>
      </c>
      <c r="F44" s="1" t="s">
        <v>112</v>
      </c>
      <c r="G44" s="1">
        <v>426585</v>
      </c>
    </row>
    <row r="45" spans="1:7" x14ac:dyDescent="0.35">
      <c r="A45" s="1" t="str">
        <f t="shared" si="0"/>
        <v>02 EE2 34</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1713</v>
      </c>
      <c r="D45" s="1" t="s">
        <v>1714</v>
      </c>
      <c r="E45" s="1" t="s">
        <v>1715</v>
      </c>
      <c r="F45" s="1" t="s">
        <v>112</v>
      </c>
      <c r="G45" s="1">
        <v>669575</v>
      </c>
    </row>
    <row r="46" spans="1:7" x14ac:dyDescent="0.35">
      <c r="A46" s="1" t="str">
        <f t="shared" si="0"/>
        <v>02 EE2 34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1716</v>
      </c>
    </row>
    <row r="47" spans="1:7" x14ac:dyDescent="0.35">
      <c r="A47" s="1" t="str">
        <f t="shared" si="0"/>
        <v>02 EE2 34</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1717</v>
      </c>
      <c r="D47" s="1" t="s">
        <v>1718</v>
      </c>
      <c r="E47" s="1" t="s">
        <v>1719</v>
      </c>
      <c r="F47" s="1" t="s">
        <v>112</v>
      </c>
      <c r="G47" s="1">
        <v>292177</v>
      </c>
    </row>
    <row r="48" spans="1:7" x14ac:dyDescent="0.35">
      <c r="A48" s="1" t="str">
        <f t="shared" si="0"/>
        <v>02 EE2 34</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1720</v>
      </c>
      <c r="D48" s="1" t="s">
        <v>1237</v>
      </c>
      <c r="E48" s="1" t="s">
        <v>1721</v>
      </c>
      <c r="F48" s="1" t="s">
        <v>112</v>
      </c>
      <c r="G48" s="1">
        <v>124934</v>
      </c>
    </row>
    <row r="49" spans="1:9" x14ac:dyDescent="0.35">
      <c r="A49" s="1" t="str">
        <f t="shared" si="0"/>
        <v>02 EE2 34</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1722</v>
      </c>
      <c r="D49" s="1" t="s">
        <v>185</v>
      </c>
      <c r="E49" s="1" t="s">
        <v>1723</v>
      </c>
      <c r="F49" s="1" t="s">
        <v>112</v>
      </c>
      <c r="G49" s="1">
        <v>200942</v>
      </c>
    </row>
    <row r="50" spans="1:9" x14ac:dyDescent="0.35">
      <c r="A50" s="1" t="str">
        <f t="shared" si="0"/>
        <v>02 EE2 34</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1724</v>
      </c>
      <c r="D50" s="1" t="s">
        <v>1275</v>
      </c>
      <c r="E50" s="1" t="s">
        <v>1725</v>
      </c>
      <c r="F50" s="1" t="s">
        <v>112</v>
      </c>
      <c r="G50" s="1">
        <v>438092</v>
      </c>
    </row>
    <row r="51" spans="1:9" x14ac:dyDescent="0.35">
      <c r="A51" s="1" t="str">
        <f t="shared" si="0"/>
        <v>02 EE2 34</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1726</v>
      </c>
      <c r="D51" s="1" t="s">
        <v>1727</v>
      </c>
      <c r="E51" s="1" t="s">
        <v>1728</v>
      </c>
      <c r="F51" s="1" t="s">
        <v>112</v>
      </c>
      <c r="G51" s="1">
        <v>296546</v>
      </c>
    </row>
    <row r="52" spans="1:9" x14ac:dyDescent="0.35">
      <c r="A52" s="1" t="str">
        <f t="shared" si="0"/>
        <v>02 EE2 34</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1729</v>
      </c>
      <c r="D52" s="1" t="s">
        <v>774</v>
      </c>
      <c r="E52" s="1" t="s">
        <v>1730</v>
      </c>
      <c r="F52" s="1" t="s">
        <v>112</v>
      </c>
      <c r="G52" s="1">
        <v>215217</v>
      </c>
    </row>
    <row r="53" spans="1:9" x14ac:dyDescent="0.35">
      <c r="A53" s="1" t="str">
        <f t="shared" si="0"/>
        <v>02 EE2 34</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1731</v>
      </c>
      <c r="D53" s="1" t="s">
        <v>1732</v>
      </c>
      <c r="E53" s="1" t="s">
        <v>1733</v>
      </c>
      <c r="F53" s="1" t="s">
        <v>112</v>
      </c>
      <c r="G53" s="1">
        <v>90153</v>
      </c>
    </row>
    <row r="54" spans="1:9" x14ac:dyDescent="0.35">
      <c r="A54" s="1" t="str">
        <f t="shared" si="0"/>
        <v>02 EE2 34</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1734</v>
      </c>
      <c r="D54" s="1" t="s">
        <v>1735</v>
      </c>
      <c r="E54" s="1" t="s">
        <v>1736</v>
      </c>
      <c r="F54" s="1" t="s">
        <v>112</v>
      </c>
      <c r="G54" s="1">
        <v>556061</v>
      </c>
    </row>
    <row r="55" spans="1:9" x14ac:dyDescent="0.35">
      <c r="A55" s="1" t="str">
        <f t="shared" si="0"/>
        <v>02 EE2 34</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1737</v>
      </c>
      <c r="D55" s="1" t="s">
        <v>1738</v>
      </c>
      <c r="E55" s="1" t="s">
        <v>1739</v>
      </c>
      <c r="F55" s="1" t="s">
        <v>112</v>
      </c>
      <c r="G55" s="1">
        <v>184200</v>
      </c>
    </row>
    <row r="56" spans="1:9" x14ac:dyDescent="0.35">
      <c r="A56" s="1" t="str">
        <f t="shared" si="0"/>
        <v>02 EE2 34</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1740</v>
      </c>
      <c r="D56" s="1" t="s">
        <v>1741</v>
      </c>
      <c r="E56" s="1" t="s">
        <v>1742</v>
      </c>
      <c r="F56" s="1" t="s">
        <v>112</v>
      </c>
      <c r="G56" s="1">
        <v>407940</v>
      </c>
    </row>
    <row r="57" spans="1:9" x14ac:dyDescent="0.35">
      <c r="A57" s="1" t="str">
        <f t="shared" si="0"/>
        <v>02 EE2 34</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1743</v>
      </c>
      <c r="D57" s="1" t="s">
        <v>1744</v>
      </c>
      <c r="E57" s="1" t="s">
        <v>1745</v>
      </c>
      <c r="F57" s="1" t="s">
        <v>112</v>
      </c>
      <c r="G57" s="1">
        <v>265226</v>
      </c>
    </row>
    <row r="58" spans="1:9" x14ac:dyDescent="0.35">
      <c r="A58" s="1" t="str">
        <f t="shared" si="0"/>
        <v>02 EE2 34</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1746</v>
      </c>
      <c r="D58" s="1" t="s">
        <v>433</v>
      </c>
      <c r="E58" s="1" t="s">
        <v>1747</v>
      </c>
      <c r="F58" s="1" t="s">
        <v>112</v>
      </c>
      <c r="G58" s="1">
        <v>177019</v>
      </c>
    </row>
    <row r="59" spans="1:9"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9"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1748</v>
      </c>
      <c r="D61" s="1" t="s">
        <v>112</v>
      </c>
      <c r="E61" s="1" t="s">
        <v>1749</v>
      </c>
      <c r="F61" s="1" t="s">
        <v>1750</v>
      </c>
      <c r="G61" s="1" t="s">
        <v>1751</v>
      </c>
      <c r="H61" s="1" t="s">
        <v>1752</v>
      </c>
      <c r="I61" s="1">
        <v>24</v>
      </c>
    </row>
    <row r="62" spans="1:9"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9"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9"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252</v>
      </c>
      <c r="D67" s="1" t="s">
        <v>110</v>
      </c>
      <c r="E67" s="1" t="s">
        <v>111</v>
      </c>
      <c r="F67" s="1" t="s">
        <v>112</v>
      </c>
      <c r="G67" s="1" t="s">
        <v>113</v>
      </c>
    </row>
    <row r="68" spans="1:7" x14ac:dyDescent="0.35">
      <c r="A68" s="1" t="str">
        <f t="shared" si="1"/>
        <v>03 EE2 51</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1753</v>
      </c>
      <c r="D68" s="1" t="s">
        <v>1754</v>
      </c>
      <c r="E68" s="1" t="s">
        <v>1755</v>
      </c>
      <c r="F68" s="1" t="s">
        <v>112</v>
      </c>
      <c r="G68" s="1">
        <v>909645</v>
      </c>
    </row>
    <row r="69" spans="1:7" x14ac:dyDescent="0.35">
      <c r="A69" s="1" t="str">
        <f t="shared" si="1"/>
        <v>03 EE2 51</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1756</v>
      </c>
      <c r="D69" s="1" t="s">
        <v>1757</v>
      </c>
      <c r="E69" s="1" t="s">
        <v>1758</v>
      </c>
      <c r="F69" s="1" t="s">
        <v>112</v>
      </c>
      <c r="G69" s="1">
        <v>483904</v>
      </c>
    </row>
    <row r="70" spans="1:7" x14ac:dyDescent="0.35">
      <c r="A70" s="1" t="str">
        <f t="shared" si="1"/>
        <v>03 EE2 51</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1759</v>
      </c>
      <c r="D70" s="1" t="s">
        <v>1760</v>
      </c>
      <c r="E70" s="1" t="s">
        <v>1761</v>
      </c>
      <c r="F70" s="1" t="s">
        <v>112</v>
      </c>
      <c r="G70" s="1">
        <v>764898</v>
      </c>
    </row>
    <row r="71" spans="1:7" x14ac:dyDescent="0.35">
      <c r="A71" s="1" t="str">
        <f t="shared" si="1"/>
        <v>03 EE2 51</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1762</v>
      </c>
      <c r="D71" s="1" t="s">
        <v>1763</v>
      </c>
      <c r="E71" s="1" t="s">
        <v>1764</v>
      </c>
      <c r="F71" s="1" t="s">
        <v>112</v>
      </c>
      <c r="G71" s="1">
        <v>720016</v>
      </c>
    </row>
    <row r="72" spans="1:7" x14ac:dyDescent="0.35">
      <c r="A72" s="1" t="str">
        <f t="shared" si="1"/>
        <v>03 EE2 51</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1765</v>
      </c>
      <c r="D72" s="1" t="s">
        <v>1766</v>
      </c>
      <c r="E72" s="1" t="s">
        <v>1767</v>
      </c>
      <c r="F72" s="1" t="s">
        <v>112</v>
      </c>
      <c r="G72" s="1">
        <v>599343</v>
      </c>
    </row>
    <row r="73" spans="1:7" x14ac:dyDescent="0.35">
      <c r="A73" s="1" t="str">
        <f t="shared" si="1"/>
        <v>03 EE2 51</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1768</v>
      </c>
      <c r="D73" s="1" t="s">
        <v>1769</v>
      </c>
      <c r="E73" s="1" t="s">
        <v>1770</v>
      </c>
      <c r="F73" s="1" t="s">
        <v>112</v>
      </c>
      <c r="G73" s="1">
        <v>409519</v>
      </c>
    </row>
    <row r="74" spans="1:7" x14ac:dyDescent="0.35">
      <c r="A74" s="1" t="str">
        <f t="shared" si="1"/>
        <v>03 EE2 51</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1771</v>
      </c>
      <c r="D74" s="1" t="s">
        <v>1772</v>
      </c>
      <c r="E74" s="1" t="s">
        <v>1773</v>
      </c>
      <c r="F74" s="1" t="s">
        <v>112</v>
      </c>
      <c r="G74" s="1">
        <v>10750</v>
      </c>
    </row>
    <row r="75" spans="1:7" x14ac:dyDescent="0.35">
      <c r="A75" s="1" t="str">
        <f t="shared" si="1"/>
        <v>03 EE2 51</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1774</v>
      </c>
      <c r="D75" s="1" t="s">
        <v>191</v>
      </c>
      <c r="E75" s="1" t="s">
        <v>225</v>
      </c>
      <c r="F75" s="1" t="s">
        <v>112</v>
      </c>
      <c r="G75" s="1">
        <v>12740</v>
      </c>
    </row>
    <row r="76" spans="1:7" x14ac:dyDescent="0.35">
      <c r="A76" s="1" t="str">
        <f t="shared" si="1"/>
        <v>03 EE2 51</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1775</v>
      </c>
      <c r="D76" s="1" t="s">
        <v>1772</v>
      </c>
      <c r="E76" s="1" t="s">
        <v>332</v>
      </c>
      <c r="F76" s="1" t="s">
        <v>112</v>
      </c>
      <c r="G76" s="1">
        <v>11118</v>
      </c>
    </row>
    <row r="77" spans="1:7" x14ac:dyDescent="0.35">
      <c r="A77" s="1" t="str">
        <f t="shared" si="1"/>
        <v>03 EE2 51</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1776</v>
      </c>
      <c r="D77" s="1" t="s">
        <v>1777</v>
      </c>
      <c r="E77" s="1" t="s">
        <v>1778</v>
      </c>
      <c r="F77" s="1" t="s">
        <v>112</v>
      </c>
      <c r="G77" s="1">
        <v>172520</v>
      </c>
    </row>
    <row r="78" spans="1:7" x14ac:dyDescent="0.35">
      <c r="A78" s="1" t="str">
        <f t="shared" si="1"/>
        <v>03 EE2 51</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1779</v>
      </c>
      <c r="D78" s="1" t="s">
        <v>1780</v>
      </c>
      <c r="E78" s="1" t="s">
        <v>1781</v>
      </c>
      <c r="F78" s="1" t="s">
        <v>112</v>
      </c>
      <c r="G78" s="1">
        <v>205008</v>
      </c>
    </row>
    <row r="79" spans="1:7" x14ac:dyDescent="0.35">
      <c r="A79" s="1" t="str">
        <f t="shared" si="1"/>
        <v>03 EE2 51</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1782</v>
      </c>
      <c r="D79" s="1" t="s">
        <v>1201</v>
      </c>
      <c r="E79" s="1" t="s">
        <v>1783</v>
      </c>
      <c r="F79" s="1" t="s">
        <v>112</v>
      </c>
      <c r="G79" s="1">
        <v>74904</v>
      </c>
    </row>
    <row r="80" spans="1:7" x14ac:dyDescent="0.35">
      <c r="A80" s="1" t="str">
        <f t="shared" si="1"/>
        <v>03 EE2 51</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1784</v>
      </c>
      <c r="D80" s="1" t="s">
        <v>1785</v>
      </c>
      <c r="E80" s="1" t="s">
        <v>1786</v>
      </c>
      <c r="F80" s="1" t="s">
        <v>112</v>
      </c>
      <c r="G80" s="1">
        <v>233149</v>
      </c>
    </row>
    <row r="81" spans="1:9" x14ac:dyDescent="0.35">
      <c r="A81" s="1" t="str">
        <f t="shared" si="1"/>
        <v>03 EE2 51</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1787</v>
      </c>
      <c r="D81" s="1" t="s">
        <v>749</v>
      </c>
      <c r="E81" s="1" t="s">
        <v>1788</v>
      </c>
      <c r="F81" s="1" t="s">
        <v>112</v>
      </c>
      <c r="G81" s="1">
        <v>77543</v>
      </c>
    </row>
    <row r="82" spans="1:9" x14ac:dyDescent="0.35">
      <c r="A82" s="1" t="str">
        <f t="shared" si="1"/>
        <v>03 EE2 51</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1789</v>
      </c>
      <c r="D82" s="1" t="s">
        <v>1790</v>
      </c>
      <c r="E82" s="1" t="s">
        <v>1791</v>
      </c>
      <c r="F82" s="1" t="s">
        <v>112</v>
      </c>
      <c r="G82" s="1">
        <v>145569</v>
      </c>
    </row>
    <row r="83" spans="1:9" x14ac:dyDescent="0.35">
      <c r="A83" s="1" t="str">
        <f t="shared" si="1"/>
        <v>03 EE2 51</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1792</v>
      </c>
      <c r="D83" s="1" t="s">
        <v>1793</v>
      </c>
      <c r="E83" s="1" t="s">
        <v>1794</v>
      </c>
      <c r="F83" s="1" t="s">
        <v>112</v>
      </c>
      <c r="G83" s="1">
        <v>660469</v>
      </c>
    </row>
    <row r="84" spans="1:9" x14ac:dyDescent="0.35">
      <c r="A84" s="1" t="str">
        <f t="shared" si="1"/>
        <v>03 EE2 51</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1795</v>
      </c>
      <c r="D84" s="1" t="s">
        <v>700</v>
      </c>
      <c r="E84" s="1" t="s">
        <v>1796</v>
      </c>
      <c r="F84" s="1" t="s">
        <v>112</v>
      </c>
      <c r="G84" s="1">
        <v>468309</v>
      </c>
    </row>
    <row r="85" spans="1:9" x14ac:dyDescent="0.35">
      <c r="A85" s="1" t="str">
        <f t="shared" si="1"/>
        <v>03 EE2 51</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1797</v>
      </c>
      <c r="D85" s="1" t="s">
        <v>1798</v>
      </c>
      <c r="E85" s="1" t="s">
        <v>1799</v>
      </c>
      <c r="F85" s="1" t="s">
        <v>112</v>
      </c>
      <c r="G85" s="1">
        <v>568499</v>
      </c>
    </row>
    <row r="86" spans="1:9" x14ac:dyDescent="0.35">
      <c r="A86" s="1" t="str">
        <f t="shared" si="1"/>
        <v>03 EE2 51</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1800</v>
      </c>
      <c r="D86" s="1" t="s">
        <v>768</v>
      </c>
      <c r="E86" s="1" t="s">
        <v>1801</v>
      </c>
      <c r="F86" s="1" t="s">
        <v>112</v>
      </c>
      <c r="G86" s="1">
        <v>100233</v>
      </c>
    </row>
    <row r="87" spans="1:9" x14ac:dyDescent="0.35">
      <c r="A87" s="1" t="str">
        <f t="shared" si="1"/>
        <v>03 EE2 51</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1802</v>
      </c>
    </row>
    <row r="88" spans="1:9" x14ac:dyDescent="0.35">
      <c r="A88" s="1" t="str">
        <f t="shared" si="1"/>
        <v>03 EE2 51</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1803</v>
      </c>
      <c r="D88" s="1" t="s">
        <v>257</v>
      </c>
      <c r="E88" s="1" t="s">
        <v>1804</v>
      </c>
      <c r="F88" s="1" t="s">
        <v>112</v>
      </c>
      <c r="G88" s="1">
        <v>146153</v>
      </c>
    </row>
    <row r="89" spans="1:9" x14ac:dyDescent="0.35">
      <c r="A89" s="1" t="str">
        <f t="shared" si="1"/>
        <v>03 EE2 51</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1805</v>
      </c>
      <c r="D89" s="1" t="s">
        <v>1806</v>
      </c>
      <c r="E89" s="1" t="s">
        <v>1807</v>
      </c>
      <c r="F89" s="1" t="s">
        <v>112</v>
      </c>
      <c r="G89" s="1">
        <v>321182</v>
      </c>
    </row>
    <row r="90" spans="1:9" x14ac:dyDescent="0.35">
      <c r="A90" s="1" t="str">
        <f t="shared" si="1"/>
        <v>03 EE2 51</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1808</v>
      </c>
      <c r="D90" s="1" t="s">
        <v>1809</v>
      </c>
      <c r="E90" s="1" t="s">
        <v>1810</v>
      </c>
      <c r="F90" s="1" t="s">
        <v>112</v>
      </c>
      <c r="G90" s="1">
        <v>57406</v>
      </c>
    </row>
    <row r="91" spans="1:9" x14ac:dyDescent="0.35">
      <c r="A91" s="1" t="str">
        <f t="shared" si="1"/>
        <v>03 EE2 51</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1811</v>
      </c>
      <c r="D91" s="1" t="s">
        <v>182</v>
      </c>
      <c r="E91" s="1" t="s">
        <v>1812</v>
      </c>
      <c r="F91" s="1" t="s">
        <v>112</v>
      </c>
      <c r="G91" s="1">
        <v>44514</v>
      </c>
    </row>
    <row r="92" spans="1:9"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9"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1813</v>
      </c>
      <c r="D94" s="1" t="s">
        <v>112</v>
      </c>
      <c r="E94" s="1" t="s">
        <v>1814</v>
      </c>
      <c r="F94" s="1" t="s">
        <v>1815</v>
      </c>
      <c r="G94" s="1" t="s">
        <v>1816</v>
      </c>
      <c r="H94" s="1" t="s">
        <v>1817</v>
      </c>
      <c r="I94" s="1">
        <v>24</v>
      </c>
    </row>
    <row r="95" spans="1:9"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9"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252</v>
      </c>
      <c r="D100" s="1" t="s">
        <v>110</v>
      </c>
      <c r="E100" s="1" t="s">
        <v>111</v>
      </c>
      <c r="F100" s="1" t="s">
        <v>112</v>
      </c>
      <c r="G100" s="1" t="s">
        <v>113</v>
      </c>
    </row>
    <row r="101" spans="1:7" x14ac:dyDescent="0.3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1818</v>
      </c>
      <c r="D101" s="1" t="s">
        <v>1819</v>
      </c>
      <c r="E101" s="1" t="s">
        <v>1820</v>
      </c>
      <c r="F101" s="1" t="s">
        <v>112</v>
      </c>
      <c r="G101" s="1">
        <v>160883</v>
      </c>
    </row>
    <row r="102" spans="1:7" x14ac:dyDescent="0.3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1821</v>
      </c>
      <c r="D102" s="1" t="s">
        <v>706</v>
      </c>
      <c r="E102" s="1" t="s">
        <v>1822</v>
      </c>
      <c r="F102" s="1" t="s">
        <v>112</v>
      </c>
      <c r="G102" s="1">
        <v>428294</v>
      </c>
    </row>
    <row r="103" spans="1:7" x14ac:dyDescent="0.3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1823</v>
      </c>
      <c r="D103" s="1" t="s">
        <v>1806</v>
      </c>
      <c r="E103" s="1" t="s">
        <v>1824</v>
      </c>
      <c r="F103" s="1" t="s">
        <v>112</v>
      </c>
      <c r="G103" s="1">
        <v>320058</v>
      </c>
    </row>
    <row r="104" spans="1:7" x14ac:dyDescent="0.3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1825</v>
      </c>
    </row>
    <row r="105" spans="1:7" x14ac:dyDescent="0.3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1826</v>
      </c>
      <c r="D105" s="1" t="s">
        <v>1827</v>
      </c>
      <c r="E105" s="1" t="s">
        <v>1828</v>
      </c>
      <c r="F105" s="1" t="s">
        <v>112</v>
      </c>
      <c r="G105" s="1">
        <v>254281</v>
      </c>
    </row>
    <row r="106" spans="1:7" x14ac:dyDescent="0.3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1829</v>
      </c>
      <c r="D106" s="1" t="s">
        <v>1830</v>
      </c>
      <c r="E106" s="1" t="s">
        <v>1831</v>
      </c>
      <c r="F106" s="1" t="s">
        <v>112</v>
      </c>
      <c r="G106" s="1">
        <v>243834</v>
      </c>
    </row>
    <row r="107" spans="1:7" x14ac:dyDescent="0.3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1832</v>
      </c>
      <c r="D107" s="1" t="s">
        <v>1833</v>
      </c>
      <c r="E107" s="1" t="s">
        <v>1834</v>
      </c>
      <c r="F107" s="1" t="s">
        <v>112</v>
      </c>
      <c r="G107" s="1">
        <v>412028</v>
      </c>
    </row>
    <row r="108" spans="1:7" x14ac:dyDescent="0.3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1835</v>
      </c>
      <c r="D108" s="1" t="s">
        <v>1836</v>
      </c>
      <c r="E108" s="1" t="s">
        <v>1837</v>
      </c>
      <c r="F108" s="1" t="s">
        <v>112</v>
      </c>
      <c r="G108" s="1">
        <v>208772</v>
      </c>
    </row>
    <row r="109" spans="1:7" x14ac:dyDescent="0.3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1838</v>
      </c>
      <c r="D109" s="1" t="s">
        <v>188</v>
      </c>
      <c r="E109" s="1" t="s">
        <v>1839</v>
      </c>
      <c r="F109" s="1" t="s">
        <v>112</v>
      </c>
      <c r="G109" s="1">
        <v>131575</v>
      </c>
    </row>
    <row r="110" spans="1:7" x14ac:dyDescent="0.3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1840</v>
      </c>
    </row>
    <row r="111" spans="1:7" x14ac:dyDescent="0.3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1841</v>
      </c>
      <c r="D111" s="1" t="s">
        <v>1760</v>
      </c>
      <c r="E111" s="1" t="s">
        <v>1842</v>
      </c>
      <c r="F111" s="1" t="s">
        <v>112</v>
      </c>
      <c r="G111" s="1">
        <v>759815</v>
      </c>
    </row>
    <row r="112" spans="1:7" x14ac:dyDescent="0.3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1843</v>
      </c>
      <c r="D112" s="1" t="s">
        <v>1844</v>
      </c>
      <c r="E112" s="1" t="s">
        <v>1845</v>
      </c>
      <c r="F112" s="1" t="s">
        <v>112</v>
      </c>
      <c r="G112" s="1">
        <v>555456</v>
      </c>
    </row>
    <row r="113" spans="1:9" x14ac:dyDescent="0.3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1846</v>
      </c>
      <c r="D113" s="1" t="s">
        <v>1847</v>
      </c>
      <c r="E113" s="1" t="s">
        <v>1848</v>
      </c>
      <c r="F113" s="1" t="s">
        <v>112</v>
      </c>
      <c r="G113" s="1">
        <v>662978</v>
      </c>
    </row>
    <row r="114" spans="1:9" x14ac:dyDescent="0.3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1849</v>
      </c>
      <c r="D114" s="1" t="s">
        <v>1850</v>
      </c>
      <c r="E114" s="1" t="s">
        <v>1851</v>
      </c>
      <c r="F114" s="1" t="s">
        <v>112</v>
      </c>
      <c r="G114" s="1">
        <v>397601</v>
      </c>
    </row>
    <row r="115" spans="1:9" x14ac:dyDescent="0.3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1852</v>
      </c>
      <c r="D115" s="1" t="s">
        <v>1853</v>
      </c>
      <c r="E115" s="1" t="s">
        <v>1854</v>
      </c>
      <c r="F115" s="1" t="s">
        <v>112</v>
      </c>
      <c r="G115" s="1">
        <v>189910</v>
      </c>
    </row>
    <row r="116" spans="1:9" x14ac:dyDescent="0.3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1855</v>
      </c>
      <c r="D116" s="1" t="s">
        <v>1856</v>
      </c>
      <c r="E116" s="1" t="s">
        <v>1857</v>
      </c>
      <c r="F116" s="1" t="s">
        <v>112</v>
      </c>
      <c r="G116" s="1">
        <v>392063</v>
      </c>
    </row>
    <row r="117" spans="1:9" x14ac:dyDescent="0.3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1858</v>
      </c>
      <c r="D117" s="1" t="s">
        <v>1859</v>
      </c>
      <c r="E117" s="1" t="s">
        <v>1860</v>
      </c>
      <c r="F117" s="1" t="s">
        <v>112</v>
      </c>
      <c r="G117" s="1">
        <v>253762</v>
      </c>
    </row>
    <row r="118" spans="1:9" x14ac:dyDescent="0.3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1861</v>
      </c>
      <c r="D118" s="1" t="s">
        <v>1862</v>
      </c>
      <c r="E118" s="1" t="s">
        <v>1863</v>
      </c>
      <c r="F118" s="1" t="s">
        <v>112</v>
      </c>
      <c r="G118" s="1">
        <v>318457</v>
      </c>
    </row>
    <row r="119" spans="1:9" x14ac:dyDescent="0.3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1864</v>
      </c>
      <c r="D119" s="1" t="s">
        <v>1865</v>
      </c>
      <c r="E119" s="1" t="s">
        <v>1866</v>
      </c>
      <c r="F119" s="1" t="s">
        <v>112</v>
      </c>
      <c r="G119" s="1">
        <v>589674</v>
      </c>
    </row>
    <row r="120" spans="1:9" x14ac:dyDescent="0.3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1867</v>
      </c>
      <c r="D120" s="1" t="s">
        <v>1868</v>
      </c>
      <c r="E120" s="1" t="s">
        <v>1869</v>
      </c>
      <c r="F120" s="1" t="s">
        <v>112</v>
      </c>
      <c r="G120" s="1">
        <v>354687</v>
      </c>
    </row>
    <row r="121" spans="1:9" x14ac:dyDescent="0.3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1870</v>
      </c>
      <c r="D121" s="1" t="s">
        <v>1871</v>
      </c>
      <c r="E121" s="1" t="s">
        <v>1872</v>
      </c>
      <c r="F121" s="1" t="s">
        <v>112</v>
      </c>
      <c r="G121" s="1">
        <v>377961</v>
      </c>
    </row>
    <row r="122" spans="1:9" x14ac:dyDescent="0.3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1873</v>
      </c>
      <c r="D122" s="1" t="s">
        <v>257</v>
      </c>
      <c r="E122" s="1" t="s">
        <v>1874</v>
      </c>
      <c r="F122" s="1" t="s">
        <v>112</v>
      </c>
      <c r="G122" s="1">
        <v>146456</v>
      </c>
    </row>
    <row r="123" spans="1:9" x14ac:dyDescent="0.3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1875</v>
      </c>
      <c r="D123" s="1" t="s">
        <v>807</v>
      </c>
      <c r="E123" s="1" t="s">
        <v>1876</v>
      </c>
      <c r="F123" s="1" t="s">
        <v>112</v>
      </c>
      <c r="G123" s="1">
        <v>30909</v>
      </c>
    </row>
    <row r="124" spans="1:9" x14ac:dyDescent="0.3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1877</v>
      </c>
      <c r="D124" s="1" t="s">
        <v>211</v>
      </c>
      <c r="E124" s="1" t="s">
        <v>1878</v>
      </c>
      <c r="F124" s="1" t="s">
        <v>112</v>
      </c>
      <c r="G124" s="1">
        <v>39042</v>
      </c>
    </row>
    <row r="125" spans="1:9"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9"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1879</v>
      </c>
      <c r="D127" s="1" t="s">
        <v>112</v>
      </c>
      <c r="E127" s="1" t="s">
        <v>1880</v>
      </c>
      <c r="F127" s="1" t="s">
        <v>1881</v>
      </c>
      <c r="G127" s="1" t="s">
        <v>1882</v>
      </c>
      <c r="H127" s="1" t="s">
        <v>1883</v>
      </c>
      <c r="I127" s="1">
        <v>24</v>
      </c>
    </row>
    <row r="128" spans="1:9"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252</v>
      </c>
      <c r="D133" s="1" t="s">
        <v>110</v>
      </c>
      <c r="E133" s="1" t="s">
        <v>111</v>
      </c>
      <c r="F133" s="1" t="s">
        <v>112</v>
      </c>
      <c r="G133" s="1" t="s">
        <v>113</v>
      </c>
    </row>
    <row r="134" spans="1:7" x14ac:dyDescent="0.3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1884</v>
      </c>
      <c r="D134" s="1" t="s">
        <v>1885</v>
      </c>
      <c r="E134" s="1" t="s">
        <v>1886</v>
      </c>
      <c r="F134" s="1" t="s">
        <v>112</v>
      </c>
      <c r="G134" s="1">
        <v>2479435</v>
      </c>
    </row>
    <row r="135" spans="1:7" x14ac:dyDescent="0.3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1887</v>
      </c>
      <c r="D135" s="1" t="s">
        <v>1888</v>
      </c>
      <c r="E135" s="1" t="s">
        <v>1889</v>
      </c>
      <c r="F135" s="1" t="s">
        <v>112</v>
      </c>
      <c r="G135" s="1">
        <v>2007341</v>
      </c>
    </row>
    <row r="136" spans="1:7" x14ac:dyDescent="0.3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1890</v>
      </c>
      <c r="D136" s="1" t="s">
        <v>1891</v>
      </c>
      <c r="E136" s="1" t="s">
        <v>1892</v>
      </c>
      <c r="F136" s="1" t="s">
        <v>112</v>
      </c>
      <c r="G136" s="1">
        <v>1315098</v>
      </c>
    </row>
    <row r="137" spans="1:7" x14ac:dyDescent="0.3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1893</v>
      </c>
      <c r="D137" s="1" t="s">
        <v>1894</v>
      </c>
      <c r="E137" s="1" t="s">
        <v>1895</v>
      </c>
      <c r="F137" s="1" t="s">
        <v>112</v>
      </c>
      <c r="G137" s="1">
        <v>822174</v>
      </c>
    </row>
    <row r="138" spans="1:7" x14ac:dyDescent="0.3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1896</v>
      </c>
    </row>
    <row r="139" spans="1:7" x14ac:dyDescent="0.3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1897</v>
      </c>
      <c r="D139" s="1" t="s">
        <v>1898</v>
      </c>
      <c r="E139" s="1" t="s">
        <v>1899</v>
      </c>
      <c r="F139" s="1" t="s">
        <v>112</v>
      </c>
      <c r="G139" s="1">
        <v>1490105</v>
      </c>
    </row>
    <row r="140" spans="1:7" x14ac:dyDescent="0.3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1900</v>
      </c>
      <c r="D140" s="1" t="s">
        <v>1901</v>
      </c>
      <c r="E140" s="1" t="s">
        <v>1902</v>
      </c>
      <c r="F140" s="1" t="s">
        <v>112</v>
      </c>
      <c r="G140" s="1">
        <v>2947311</v>
      </c>
    </row>
    <row r="141" spans="1:7" x14ac:dyDescent="0.3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1903</v>
      </c>
    </row>
    <row r="142" spans="1:7" x14ac:dyDescent="0.3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1904</v>
      </c>
    </row>
    <row r="143" spans="1:7" x14ac:dyDescent="0.3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1905</v>
      </c>
      <c r="D143" s="1" t="s">
        <v>1906</v>
      </c>
      <c r="E143" s="1" t="s">
        <v>1907</v>
      </c>
      <c r="F143" s="1" t="s">
        <v>112</v>
      </c>
      <c r="G143" s="1">
        <v>833789</v>
      </c>
    </row>
    <row r="144" spans="1:7" x14ac:dyDescent="0.3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1908</v>
      </c>
      <c r="D144" s="1" t="s">
        <v>1909</v>
      </c>
      <c r="E144" s="1" t="s">
        <v>1910</v>
      </c>
      <c r="F144" s="1" t="s">
        <v>112</v>
      </c>
      <c r="G144" s="1">
        <v>917389</v>
      </c>
    </row>
    <row r="145" spans="1:9" x14ac:dyDescent="0.3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1911</v>
      </c>
      <c r="D145" s="1" t="s">
        <v>1912</v>
      </c>
      <c r="E145" s="1" t="s">
        <v>1913</v>
      </c>
      <c r="F145" s="1" t="s">
        <v>112</v>
      </c>
      <c r="G145" s="1">
        <v>776751</v>
      </c>
    </row>
    <row r="146" spans="1:9" x14ac:dyDescent="0.3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1914</v>
      </c>
      <c r="D146" s="1" t="s">
        <v>1915</v>
      </c>
      <c r="E146" s="1" t="s">
        <v>1916</v>
      </c>
      <c r="F146" s="1" t="s">
        <v>112</v>
      </c>
      <c r="G146" s="1">
        <v>457148</v>
      </c>
    </row>
    <row r="147" spans="1:9" x14ac:dyDescent="0.3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1917</v>
      </c>
      <c r="D147" s="1" t="s">
        <v>1918</v>
      </c>
      <c r="E147" s="1" t="s">
        <v>1353</v>
      </c>
      <c r="F147" s="1" t="s">
        <v>112</v>
      </c>
      <c r="G147" s="1">
        <v>116044</v>
      </c>
    </row>
    <row r="148" spans="1:9" x14ac:dyDescent="0.3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1919</v>
      </c>
    </row>
    <row r="149" spans="1:9" x14ac:dyDescent="0.3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1920</v>
      </c>
      <c r="D149" s="1" t="s">
        <v>1921</v>
      </c>
      <c r="E149" s="1" t="s">
        <v>1922</v>
      </c>
      <c r="F149" s="1" t="s">
        <v>112</v>
      </c>
      <c r="G149" s="1">
        <v>1387168</v>
      </c>
    </row>
    <row r="150" spans="1:9" x14ac:dyDescent="0.3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1923</v>
      </c>
      <c r="D150" s="1" t="s">
        <v>494</v>
      </c>
      <c r="E150" s="1" t="s">
        <v>1924</v>
      </c>
      <c r="F150" s="1" t="s">
        <v>112</v>
      </c>
      <c r="G150" s="1">
        <v>1220315</v>
      </c>
    </row>
    <row r="151" spans="1:9" x14ac:dyDescent="0.3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1925</v>
      </c>
      <c r="D151" s="1" t="s">
        <v>1926</v>
      </c>
      <c r="E151" s="1" t="s">
        <v>1927</v>
      </c>
      <c r="F151" s="1" t="s">
        <v>112</v>
      </c>
      <c r="G151" s="1">
        <v>1450025</v>
      </c>
    </row>
    <row r="152" spans="1:9" x14ac:dyDescent="0.3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1928</v>
      </c>
      <c r="D152" s="1" t="s">
        <v>149</v>
      </c>
      <c r="E152" s="1" t="s">
        <v>1929</v>
      </c>
      <c r="F152" s="1" t="s">
        <v>112</v>
      </c>
      <c r="G152" s="1">
        <v>334874</v>
      </c>
    </row>
    <row r="153" spans="1:9" x14ac:dyDescent="0.3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1930</v>
      </c>
    </row>
    <row r="154" spans="1:9" x14ac:dyDescent="0.3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1931</v>
      </c>
      <c r="D154" s="1" t="s">
        <v>194</v>
      </c>
      <c r="E154" s="1" t="s">
        <v>1932</v>
      </c>
      <c r="F154" s="1" t="s">
        <v>112</v>
      </c>
      <c r="G154" s="1">
        <v>95215</v>
      </c>
    </row>
    <row r="155" spans="1:9" x14ac:dyDescent="0.3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1933</v>
      </c>
      <c r="D155" s="1" t="s">
        <v>1934</v>
      </c>
      <c r="E155" s="1" t="s">
        <v>1935</v>
      </c>
      <c r="F155" s="1" t="s">
        <v>112</v>
      </c>
      <c r="G155" s="1">
        <v>1993476</v>
      </c>
    </row>
    <row r="156" spans="1:9" x14ac:dyDescent="0.3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1936</v>
      </c>
      <c r="D156" s="1" t="s">
        <v>1937</v>
      </c>
      <c r="E156" s="1" t="s">
        <v>1938</v>
      </c>
      <c r="F156" s="1" t="s">
        <v>112</v>
      </c>
      <c r="G156" s="1">
        <v>1884115</v>
      </c>
    </row>
    <row r="157" spans="1:9" x14ac:dyDescent="0.3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1939</v>
      </c>
    </row>
    <row r="158" spans="1:9"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9"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1940</v>
      </c>
      <c r="D160" s="1" t="s">
        <v>112</v>
      </c>
      <c r="E160" s="1" t="s">
        <v>1941</v>
      </c>
      <c r="F160" s="1" t="s">
        <v>1942</v>
      </c>
      <c r="G160" s="1" t="s">
        <v>1943</v>
      </c>
      <c r="H160" s="1" t="s">
        <v>1944</v>
      </c>
      <c r="I160" s="1">
        <v>24</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252</v>
      </c>
      <c r="D166" s="1" t="s">
        <v>110</v>
      </c>
      <c r="E166" s="1" t="s">
        <v>111</v>
      </c>
      <c r="F166" s="1" t="s">
        <v>112</v>
      </c>
      <c r="G166" s="1" t="s">
        <v>113</v>
      </c>
    </row>
    <row r="167" spans="1:7" x14ac:dyDescent="0.35">
      <c r="A167" s="1" t="str">
        <f t="shared" si="2"/>
        <v>06 EE2 171</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1945</v>
      </c>
      <c r="D167" s="1" t="s">
        <v>1946</v>
      </c>
      <c r="E167" s="1" t="s">
        <v>1947</v>
      </c>
      <c r="F167" s="1" t="s">
        <v>112</v>
      </c>
      <c r="G167" s="1">
        <v>3103154</v>
      </c>
    </row>
    <row r="168" spans="1:7" x14ac:dyDescent="0.35">
      <c r="A168" s="1" t="str">
        <f t="shared" si="2"/>
        <v>06 EE2 171</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1948</v>
      </c>
      <c r="D168" s="1" t="s">
        <v>1949</v>
      </c>
      <c r="E168" s="1" t="s">
        <v>1950</v>
      </c>
      <c r="F168" s="1" t="s">
        <v>112</v>
      </c>
      <c r="G168" s="1">
        <v>3711214</v>
      </c>
    </row>
    <row r="169" spans="1:7" x14ac:dyDescent="0.35">
      <c r="A169" s="1" t="str">
        <f t="shared" si="2"/>
        <v>06 EE2 171</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1951</v>
      </c>
      <c r="D169" s="1" t="s">
        <v>993</v>
      </c>
      <c r="E169" s="1" t="s">
        <v>1952</v>
      </c>
      <c r="F169" s="1" t="s">
        <v>112</v>
      </c>
      <c r="G169" s="1">
        <v>2542875</v>
      </c>
    </row>
    <row r="170" spans="1:7" x14ac:dyDescent="0.35">
      <c r="A170" s="1" t="str">
        <f t="shared" si="2"/>
        <v>06 EE2 171</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1953</v>
      </c>
      <c r="D170" s="1" t="s">
        <v>1954</v>
      </c>
      <c r="E170" s="1" t="s">
        <v>1955</v>
      </c>
      <c r="F170" s="1" t="s">
        <v>112</v>
      </c>
      <c r="G170" s="1">
        <v>3457517</v>
      </c>
    </row>
    <row r="171" spans="1:7" x14ac:dyDescent="0.35">
      <c r="A171" s="1" t="str">
        <f t="shared" si="2"/>
        <v>06 EE2 171</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1956</v>
      </c>
      <c r="D171" s="1" t="s">
        <v>1957</v>
      </c>
      <c r="E171" s="1" t="s">
        <v>1958</v>
      </c>
      <c r="F171" s="1" t="s">
        <v>112</v>
      </c>
      <c r="G171" s="1">
        <v>3073803</v>
      </c>
    </row>
    <row r="172" spans="1:7" x14ac:dyDescent="0.35">
      <c r="A172" s="1" t="str">
        <f t="shared" si="2"/>
        <v>06 EE2 171</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1959</v>
      </c>
      <c r="D172" s="1" t="s">
        <v>1530</v>
      </c>
      <c r="E172" s="1" t="s">
        <v>1960</v>
      </c>
      <c r="F172" s="1" t="s">
        <v>112</v>
      </c>
      <c r="G172" s="1">
        <v>3643210</v>
      </c>
    </row>
    <row r="173" spans="1:7" x14ac:dyDescent="0.35">
      <c r="A173" s="1" t="str">
        <f t="shared" si="2"/>
        <v>06 EE2 171</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1961</v>
      </c>
      <c r="D173" s="1" t="s">
        <v>1962</v>
      </c>
      <c r="E173" s="1" t="s">
        <v>1963</v>
      </c>
      <c r="F173" s="1" t="s">
        <v>112</v>
      </c>
      <c r="G173" s="1">
        <v>2248038</v>
      </c>
    </row>
    <row r="174" spans="1:7" x14ac:dyDescent="0.35">
      <c r="A174" s="1" t="str">
        <f t="shared" si="2"/>
        <v>06 EE2 171</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1964</v>
      </c>
      <c r="D174" s="1" t="s">
        <v>1965</v>
      </c>
      <c r="E174" s="1" t="s">
        <v>1966</v>
      </c>
      <c r="F174" s="1" t="s">
        <v>112</v>
      </c>
      <c r="G174" s="1">
        <v>2093168</v>
      </c>
    </row>
    <row r="175" spans="1:7" x14ac:dyDescent="0.35">
      <c r="A175" s="1" t="str">
        <f t="shared" si="2"/>
        <v>06 EE2 171</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1967</v>
      </c>
      <c r="D175" s="1" t="s">
        <v>1968</v>
      </c>
      <c r="E175" s="1" t="s">
        <v>1969</v>
      </c>
      <c r="F175" s="1" t="s">
        <v>112</v>
      </c>
      <c r="G175" s="1">
        <v>2385669</v>
      </c>
    </row>
    <row r="176" spans="1:7" x14ac:dyDescent="0.35">
      <c r="A176" s="1" t="str">
        <f t="shared" si="2"/>
        <v>06 EE2 171</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1970</v>
      </c>
      <c r="D176" s="1" t="s">
        <v>1971</v>
      </c>
      <c r="E176" s="1" t="s">
        <v>1972</v>
      </c>
      <c r="F176" s="1" t="s">
        <v>112</v>
      </c>
      <c r="G176" s="1">
        <v>3445772</v>
      </c>
    </row>
    <row r="177" spans="1:9" x14ac:dyDescent="0.35">
      <c r="A177" s="1" t="str">
        <f t="shared" si="2"/>
        <v>06 EE2 171</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1973</v>
      </c>
      <c r="D177" s="1" t="s">
        <v>1974</v>
      </c>
      <c r="E177" s="1" t="s">
        <v>1975</v>
      </c>
      <c r="F177" s="1" t="s">
        <v>112</v>
      </c>
      <c r="G177" s="1">
        <v>3328884</v>
      </c>
    </row>
    <row r="178" spans="1:9" x14ac:dyDescent="0.35">
      <c r="A178" s="1" t="str">
        <f t="shared" si="2"/>
        <v>06 EE2 171</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1976</v>
      </c>
    </row>
    <row r="179" spans="1:9" x14ac:dyDescent="0.35">
      <c r="A179" s="1" t="str">
        <f t="shared" si="2"/>
        <v>06 EE2 171</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1977</v>
      </c>
    </row>
    <row r="180" spans="1:9" x14ac:dyDescent="0.35">
      <c r="A180" s="1" t="str">
        <f t="shared" si="2"/>
        <v>06 EE2 171</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1978</v>
      </c>
      <c r="D180" s="1" t="s">
        <v>1979</v>
      </c>
      <c r="E180" s="1" t="s">
        <v>1980</v>
      </c>
      <c r="F180" s="1" t="s">
        <v>112</v>
      </c>
      <c r="G180" s="1">
        <v>3168412</v>
      </c>
    </row>
    <row r="181" spans="1:9" x14ac:dyDescent="0.35">
      <c r="A181" s="1" t="str">
        <f t="shared" si="2"/>
        <v>06 EE2 171</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1981</v>
      </c>
      <c r="D181" s="1" t="s">
        <v>1982</v>
      </c>
      <c r="E181" s="1" t="s">
        <v>1983</v>
      </c>
      <c r="F181" s="1" t="s">
        <v>112</v>
      </c>
      <c r="G181" s="1">
        <v>2947441</v>
      </c>
    </row>
    <row r="182" spans="1:9" x14ac:dyDescent="0.35">
      <c r="A182" s="1" t="str">
        <f t="shared" si="2"/>
        <v>06 EE2 171</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1984</v>
      </c>
      <c r="D182" s="1" t="s">
        <v>1985</v>
      </c>
      <c r="E182" s="1" t="s">
        <v>1986</v>
      </c>
      <c r="F182" s="1" t="s">
        <v>112</v>
      </c>
      <c r="G182" s="1">
        <v>6725946</v>
      </c>
    </row>
    <row r="183" spans="1:9" x14ac:dyDescent="0.35">
      <c r="A183" s="1" t="str">
        <f t="shared" si="2"/>
        <v>06 EE2 171</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1987</v>
      </c>
      <c r="D183" s="1" t="s">
        <v>1988</v>
      </c>
      <c r="E183" s="1" t="s">
        <v>1989</v>
      </c>
      <c r="F183" s="1" t="s">
        <v>112</v>
      </c>
      <c r="G183" s="1">
        <v>6629087</v>
      </c>
    </row>
    <row r="184" spans="1:9" x14ac:dyDescent="0.35">
      <c r="A184" s="1" t="str">
        <f t="shared" si="2"/>
        <v>06 EE2 171</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1990</v>
      </c>
      <c r="D184" s="1" t="s">
        <v>1991</v>
      </c>
      <c r="E184" s="1" t="s">
        <v>1992</v>
      </c>
      <c r="F184" s="1" t="s">
        <v>112</v>
      </c>
      <c r="G184" s="1">
        <v>6241198</v>
      </c>
    </row>
    <row r="185" spans="1:9" x14ac:dyDescent="0.35">
      <c r="A185" s="1" t="str">
        <f t="shared" si="2"/>
        <v>06 EE2 171</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1993</v>
      </c>
      <c r="D185" s="1" t="s">
        <v>1994</v>
      </c>
      <c r="E185" s="1" t="s">
        <v>1995</v>
      </c>
      <c r="F185" s="1" t="s">
        <v>112</v>
      </c>
      <c r="G185" s="1">
        <v>3094329</v>
      </c>
    </row>
    <row r="186" spans="1:9" x14ac:dyDescent="0.35">
      <c r="A186" s="1" t="str">
        <f t="shared" si="2"/>
        <v>06 EE2 171</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1996</v>
      </c>
      <c r="D186" s="1" t="s">
        <v>1997</v>
      </c>
      <c r="E186" s="1" t="s">
        <v>1998</v>
      </c>
      <c r="F186" s="1" t="s">
        <v>112</v>
      </c>
      <c r="G186" s="1">
        <v>4338200</v>
      </c>
    </row>
    <row r="187" spans="1:9" x14ac:dyDescent="0.35">
      <c r="A187" s="1" t="str">
        <f t="shared" si="2"/>
        <v>06 EE2 171</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1999</v>
      </c>
      <c r="D187" s="1" t="s">
        <v>2000</v>
      </c>
      <c r="E187" s="1" t="s">
        <v>2001</v>
      </c>
      <c r="F187" s="1" t="s">
        <v>112</v>
      </c>
      <c r="G187" s="1">
        <v>3861758</v>
      </c>
    </row>
    <row r="188" spans="1:9" x14ac:dyDescent="0.35">
      <c r="A188" s="1" t="str">
        <f t="shared" si="2"/>
        <v>06 EE2 171</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2002</v>
      </c>
      <c r="D188" s="1" t="s">
        <v>2003</v>
      </c>
      <c r="E188" s="1" t="s">
        <v>2004</v>
      </c>
      <c r="F188" s="1" t="s">
        <v>112</v>
      </c>
      <c r="G188" s="1">
        <v>2486573</v>
      </c>
    </row>
    <row r="189" spans="1:9" x14ac:dyDescent="0.35">
      <c r="A189" s="1" t="str">
        <f t="shared" si="2"/>
        <v>06 EE2 171</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2005</v>
      </c>
      <c r="D189" s="1" t="s">
        <v>2006</v>
      </c>
      <c r="E189" s="1" t="s">
        <v>2007</v>
      </c>
      <c r="F189" s="1" t="s">
        <v>112</v>
      </c>
      <c r="G189" s="1">
        <v>2370204</v>
      </c>
    </row>
    <row r="190" spans="1:9" x14ac:dyDescent="0.35">
      <c r="A190" s="1" t="str">
        <f t="shared" si="2"/>
        <v>06 EE2 171</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2008</v>
      </c>
      <c r="D190" s="1" t="s">
        <v>861</v>
      </c>
      <c r="E190" s="1" t="s">
        <v>2009</v>
      </c>
      <c r="F190" s="1" t="s">
        <v>112</v>
      </c>
      <c r="G190" s="1">
        <v>2909113</v>
      </c>
    </row>
    <row r="191" spans="1:9"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9"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2010</v>
      </c>
      <c r="D193" s="1" t="s">
        <v>112</v>
      </c>
      <c r="E193" s="1" t="s">
        <v>2011</v>
      </c>
      <c r="F193" s="1" t="s">
        <v>2012</v>
      </c>
      <c r="G193" s="1" t="s">
        <v>2013</v>
      </c>
      <c r="H193" s="1" t="s">
        <v>2014</v>
      </c>
      <c r="I193" s="1">
        <v>24</v>
      </c>
    </row>
    <row r="194" spans="1:9"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9"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9"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9"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9"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9"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252</v>
      </c>
      <c r="D199" s="1" t="s">
        <v>110</v>
      </c>
      <c r="E199" s="1" t="s">
        <v>111</v>
      </c>
      <c r="F199" s="1" t="s">
        <v>112</v>
      </c>
      <c r="G199" s="1" t="s">
        <v>113</v>
      </c>
    </row>
    <row r="200" spans="1:9" x14ac:dyDescent="0.3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2015</v>
      </c>
      <c r="D200" s="1" t="s">
        <v>2016</v>
      </c>
      <c r="E200" s="1" t="s">
        <v>2017</v>
      </c>
      <c r="F200" s="1" t="s">
        <v>112</v>
      </c>
      <c r="G200" s="1">
        <v>6134844</v>
      </c>
    </row>
    <row r="201" spans="1:9" x14ac:dyDescent="0.3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2018</v>
      </c>
      <c r="D201" s="1" t="s">
        <v>2019</v>
      </c>
      <c r="E201" s="1" t="s">
        <v>2020</v>
      </c>
      <c r="F201" s="1" t="s">
        <v>112</v>
      </c>
      <c r="G201" s="1">
        <v>5862761</v>
      </c>
    </row>
    <row r="202" spans="1:9" x14ac:dyDescent="0.3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2021</v>
      </c>
      <c r="D202" s="1" t="s">
        <v>2022</v>
      </c>
      <c r="E202" s="1" t="s">
        <v>2023</v>
      </c>
      <c r="F202" s="1" t="s">
        <v>112</v>
      </c>
      <c r="G202" s="1">
        <v>5870224</v>
      </c>
    </row>
    <row r="203" spans="1:9" x14ac:dyDescent="0.3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2024</v>
      </c>
      <c r="D203" s="1" t="s">
        <v>2025</v>
      </c>
      <c r="E203" s="1" t="s">
        <v>2026</v>
      </c>
      <c r="F203" s="1" t="s">
        <v>112</v>
      </c>
      <c r="G203" s="1">
        <v>3983383</v>
      </c>
    </row>
    <row r="204" spans="1:9" x14ac:dyDescent="0.3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2027</v>
      </c>
    </row>
    <row r="205" spans="1:9" x14ac:dyDescent="0.3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2028</v>
      </c>
      <c r="D205" s="1" t="s">
        <v>2029</v>
      </c>
      <c r="E205" s="1" t="s">
        <v>2030</v>
      </c>
      <c r="F205" s="1" t="s">
        <v>112</v>
      </c>
      <c r="G205" s="1">
        <v>4233619</v>
      </c>
    </row>
    <row r="206" spans="1:9" x14ac:dyDescent="0.3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2031</v>
      </c>
      <c r="D206" s="1" t="s">
        <v>2032</v>
      </c>
      <c r="E206" s="1" t="s">
        <v>2033</v>
      </c>
      <c r="F206" s="1" t="s">
        <v>112</v>
      </c>
      <c r="G206" s="1">
        <v>6216518</v>
      </c>
    </row>
    <row r="207" spans="1:9" x14ac:dyDescent="0.3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2034</v>
      </c>
      <c r="D207" s="1" t="s">
        <v>2035</v>
      </c>
      <c r="E207" s="1" t="s">
        <v>2036</v>
      </c>
      <c r="F207" s="1" t="s">
        <v>112</v>
      </c>
      <c r="G207" s="1">
        <v>5374769</v>
      </c>
    </row>
    <row r="208" spans="1:9" x14ac:dyDescent="0.3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2037</v>
      </c>
      <c r="D208" s="1" t="s">
        <v>2038</v>
      </c>
      <c r="E208" s="1" t="s">
        <v>2039</v>
      </c>
      <c r="F208" s="1" t="s">
        <v>112</v>
      </c>
      <c r="G208" s="1">
        <v>5664718</v>
      </c>
    </row>
    <row r="209" spans="1:7" x14ac:dyDescent="0.3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2040</v>
      </c>
      <c r="D209" s="1" t="s">
        <v>2041</v>
      </c>
      <c r="E209" s="1" t="s">
        <v>2042</v>
      </c>
      <c r="F209" s="1" t="s">
        <v>112</v>
      </c>
      <c r="G209" s="1">
        <v>4768224</v>
      </c>
    </row>
    <row r="210" spans="1:7" x14ac:dyDescent="0.3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2043</v>
      </c>
      <c r="D210" s="1" t="s">
        <v>2044</v>
      </c>
      <c r="E210" s="1" t="s">
        <v>2045</v>
      </c>
      <c r="F210" s="1" t="s">
        <v>112</v>
      </c>
      <c r="G210" s="1">
        <v>4846156</v>
      </c>
    </row>
    <row r="211" spans="1:7" x14ac:dyDescent="0.3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2046</v>
      </c>
      <c r="D211" s="1" t="s">
        <v>2047</v>
      </c>
      <c r="E211" s="1" t="s">
        <v>2048</v>
      </c>
      <c r="F211" s="1" t="s">
        <v>112</v>
      </c>
      <c r="G211" s="1">
        <v>5644386</v>
      </c>
    </row>
    <row r="212" spans="1:7" x14ac:dyDescent="0.3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2049</v>
      </c>
      <c r="D212" s="1" t="s">
        <v>613</v>
      </c>
      <c r="E212" s="1" t="s">
        <v>2050</v>
      </c>
      <c r="F212" s="1" t="s">
        <v>112</v>
      </c>
      <c r="G212" s="1">
        <v>5453891</v>
      </c>
    </row>
    <row r="213" spans="1:7" x14ac:dyDescent="0.3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2051</v>
      </c>
      <c r="D213" s="1" t="s">
        <v>2052</v>
      </c>
      <c r="E213" s="1" t="s">
        <v>2053</v>
      </c>
      <c r="F213" s="1" t="s">
        <v>112</v>
      </c>
      <c r="G213" s="1">
        <v>6068570</v>
      </c>
    </row>
    <row r="214" spans="1:7" x14ac:dyDescent="0.3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2054</v>
      </c>
    </row>
    <row r="215" spans="1:7" x14ac:dyDescent="0.3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2055</v>
      </c>
      <c r="D215" s="1" t="s">
        <v>2056</v>
      </c>
      <c r="E215" s="1" t="s">
        <v>2057</v>
      </c>
      <c r="F215" s="1" t="s">
        <v>112</v>
      </c>
      <c r="G215" s="1">
        <v>4632215</v>
      </c>
    </row>
    <row r="216" spans="1:7" x14ac:dyDescent="0.3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2058</v>
      </c>
      <c r="D216" s="1" t="s">
        <v>2059</v>
      </c>
      <c r="E216" s="1" t="s">
        <v>2060</v>
      </c>
      <c r="F216" s="1" t="s">
        <v>112</v>
      </c>
      <c r="G216" s="1">
        <v>4004104</v>
      </c>
    </row>
    <row r="217" spans="1:7" x14ac:dyDescent="0.3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2061</v>
      </c>
      <c r="D217" s="1" t="s">
        <v>2062</v>
      </c>
      <c r="E217" s="1" t="s">
        <v>2063</v>
      </c>
      <c r="F217" s="1" t="s">
        <v>112</v>
      </c>
      <c r="G217" s="1">
        <v>4185860</v>
      </c>
    </row>
    <row r="218" spans="1:7" x14ac:dyDescent="0.3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2064</v>
      </c>
    </row>
    <row r="219" spans="1:7" x14ac:dyDescent="0.3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2065</v>
      </c>
    </row>
    <row r="220" spans="1:7" x14ac:dyDescent="0.3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2066</v>
      </c>
      <c r="D220" s="1" t="s">
        <v>2067</v>
      </c>
      <c r="E220" s="1" t="s">
        <v>2068</v>
      </c>
      <c r="F220" s="1" t="s">
        <v>112</v>
      </c>
      <c r="G220" s="1">
        <v>7497181</v>
      </c>
    </row>
    <row r="221" spans="1:7" x14ac:dyDescent="0.3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2069</v>
      </c>
      <c r="D221" s="1" t="s">
        <v>2070</v>
      </c>
      <c r="E221" s="1" t="s">
        <v>2071</v>
      </c>
      <c r="F221" s="1" t="s">
        <v>112</v>
      </c>
      <c r="G221" s="1">
        <v>3944276</v>
      </c>
    </row>
    <row r="222" spans="1:7" x14ac:dyDescent="0.3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2072</v>
      </c>
      <c r="D222" s="1" t="s">
        <v>1472</v>
      </c>
      <c r="E222" s="1" t="s">
        <v>2073</v>
      </c>
      <c r="F222" s="1" t="s">
        <v>112</v>
      </c>
      <c r="G222" s="1">
        <v>3852241</v>
      </c>
    </row>
    <row r="223" spans="1:7" x14ac:dyDescent="0.3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2074</v>
      </c>
      <c r="D223" s="1" t="s">
        <v>2075</v>
      </c>
      <c r="E223" s="1" t="s">
        <v>2076</v>
      </c>
      <c r="F223" s="1" t="s">
        <v>112</v>
      </c>
      <c r="G223" s="1">
        <v>3158159</v>
      </c>
    </row>
    <row r="224" spans="1:7"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9"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2077</v>
      </c>
      <c r="D226" s="1" t="s">
        <v>112</v>
      </c>
      <c r="E226" s="1" t="s">
        <v>2078</v>
      </c>
      <c r="F226" s="1" t="s">
        <v>2079</v>
      </c>
      <c r="G226" s="1" t="s">
        <v>2080</v>
      </c>
      <c r="H226" s="1" t="s">
        <v>2081</v>
      </c>
      <c r="I226" s="1">
        <v>24</v>
      </c>
    </row>
    <row r="227" spans="1:9"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9"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9"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9"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9"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9"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252</v>
      </c>
      <c r="D232" s="1" t="s">
        <v>110</v>
      </c>
      <c r="E232" s="1" t="s">
        <v>111</v>
      </c>
      <c r="F232" s="1" t="s">
        <v>112</v>
      </c>
      <c r="G232" s="1" t="s">
        <v>113</v>
      </c>
    </row>
    <row r="233" spans="1:9" x14ac:dyDescent="0.35">
      <c r="A233" s="1" t="str">
        <f t="shared" si="3"/>
        <v>08 BPA 1</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2082</v>
      </c>
      <c r="D233" s="1" t="s">
        <v>287</v>
      </c>
      <c r="E233" s="1" t="s">
        <v>2083</v>
      </c>
      <c r="F233" s="1" t="s">
        <v>112</v>
      </c>
      <c r="G233" s="1">
        <v>333966</v>
      </c>
    </row>
    <row r="234" spans="1:9" x14ac:dyDescent="0.35">
      <c r="A234" s="1" t="str">
        <f t="shared" si="3"/>
        <v>08 BPA 1</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2084</v>
      </c>
      <c r="D234" s="1" t="s">
        <v>2085</v>
      </c>
      <c r="E234" s="1" t="s">
        <v>2086</v>
      </c>
      <c r="F234" s="1" t="s">
        <v>112</v>
      </c>
      <c r="G234" s="1">
        <v>102677</v>
      </c>
    </row>
    <row r="235" spans="1:9" x14ac:dyDescent="0.35">
      <c r="A235" s="1" t="str">
        <f t="shared" si="3"/>
        <v>08 BPA 1</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2087</v>
      </c>
      <c r="D235" s="1" t="s">
        <v>2088</v>
      </c>
      <c r="E235" s="1" t="s">
        <v>2089</v>
      </c>
      <c r="F235" s="1" t="s">
        <v>112</v>
      </c>
      <c r="G235" s="1">
        <v>220495</v>
      </c>
    </row>
    <row r="236" spans="1:9" x14ac:dyDescent="0.35">
      <c r="A236" s="1" t="str">
        <f t="shared" si="3"/>
        <v>08 BPA 1</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2090</v>
      </c>
      <c r="D236" s="1" t="s">
        <v>2091</v>
      </c>
      <c r="E236" s="1" t="s">
        <v>2092</v>
      </c>
      <c r="F236" s="1" t="s">
        <v>112</v>
      </c>
      <c r="G236" s="1">
        <v>558203</v>
      </c>
    </row>
    <row r="237" spans="1:9" x14ac:dyDescent="0.35">
      <c r="A237" s="1" t="str">
        <f t="shared" si="3"/>
        <v>08 BPA 1</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2093</v>
      </c>
      <c r="D237" s="1" t="s">
        <v>2094</v>
      </c>
      <c r="E237" s="1" t="s">
        <v>2095</v>
      </c>
      <c r="F237" s="1" t="s">
        <v>112</v>
      </c>
      <c r="G237" s="1">
        <v>412136</v>
      </c>
    </row>
    <row r="238" spans="1:9" x14ac:dyDescent="0.35">
      <c r="A238" s="1" t="str">
        <f t="shared" si="3"/>
        <v>08 BPA 1</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2096</v>
      </c>
      <c r="D238" s="1" t="s">
        <v>724</v>
      </c>
      <c r="E238" s="1" t="s">
        <v>2097</v>
      </c>
      <c r="F238" s="1" t="s">
        <v>112</v>
      </c>
      <c r="G238" s="1">
        <v>56865</v>
      </c>
    </row>
    <row r="239" spans="1:9" x14ac:dyDescent="0.35">
      <c r="A239" s="1" t="str">
        <f t="shared" si="3"/>
        <v>08 BPA 1</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2098</v>
      </c>
      <c r="D239" s="1" t="s">
        <v>2099</v>
      </c>
      <c r="E239" s="1" t="s">
        <v>2100</v>
      </c>
      <c r="F239" s="1" t="s">
        <v>112</v>
      </c>
      <c r="G239" s="1">
        <v>574295</v>
      </c>
    </row>
    <row r="240" spans="1:9" x14ac:dyDescent="0.35">
      <c r="A240" s="1" t="str">
        <f t="shared" si="3"/>
        <v>08 BPA 1</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2101</v>
      </c>
      <c r="D240" s="1" t="s">
        <v>2102</v>
      </c>
      <c r="E240" s="1" t="s">
        <v>2103</v>
      </c>
      <c r="F240" s="1" t="s">
        <v>112</v>
      </c>
      <c r="G240" s="1">
        <v>453838</v>
      </c>
    </row>
    <row r="241" spans="1:7" x14ac:dyDescent="0.35">
      <c r="A241" s="1" t="str">
        <f t="shared" si="3"/>
        <v>08 BPA 1</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2104</v>
      </c>
      <c r="D241" s="1" t="s">
        <v>2105</v>
      </c>
      <c r="E241" s="1" t="s">
        <v>2106</v>
      </c>
      <c r="F241" s="1" t="s">
        <v>112</v>
      </c>
      <c r="G241" s="1">
        <v>281405</v>
      </c>
    </row>
    <row r="242" spans="1:7" x14ac:dyDescent="0.35">
      <c r="A242" s="1" t="str">
        <f t="shared" si="3"/>
        <v>08 BPA 1</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2107</v>
      </c>
      <c r="D242" s="1" t="s">
        <v>2108</v>
      </c>
      <c r="E242" s="1" t="s">
        <v>2109</v>
      </c>
      <c r="F242" s="1" t="s">
        <v>112</v>
      </c>
      <c r="G242" s="1">
        <v>783154</v>
      </c>
    </row>
    <row r="243" spans="1:7" x14ac:dyDescent="0.35">
      <c r="A243" s="1" t="str">
        <f t="shared" si="3"/>
        <v>08 BPA 1</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2110</v>
      </c>
      <c r="D243" s="1" t="s">
        <v>2111</v>
      </c>
      <c r="E243" s="1" t="s">
        <v>2112</v>
      </c>
      <c r="F243" s="1" t="s">
        <v>112</v>
      </c>
      <c r="G243" s="1">
        <v>607021</v>
      </c>
    </row>
    <row r="244" spans="1:7" x14ac:dyDescent="0.35">
      <c r="A244" s="1" t="str">
        <f t="shared" si="3"/>
        <v>08 BPA 1</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2113</v>
      </c>
      <c r="D244" s="1" t="s">
        <v>2114</v>
      </c>
      <c r="E244" s="1" t="s">
        <v>2115</v>
      </c>
      <c r="F244" s="1" t="s">
        <v>112</v>
      </c>
      <c r="G244" s="1">
        <v>640569</v>
      </c>
    </row>
    <row r="245" spans="1:7" x14ac:dyDescent="0.35">
      <c r="A245" s="1" t="str">
        <f t="shared" si="3"/>
        <v>08 BPA 1</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2116</v>
      </c>
      <c r="D245" s="1" t="s">
        <v>2117</v>
      </c>
      <c r="E245" s="1" t="s">
        <v>2118</v>
      </c>
      <c r="F245" s="1" t="s">
        <v>112</v>
      </c>
      <c r="G245" s="1">
        <v>221447</v>
      </c>
    </row>
    <row r="246" spans="1:7" x14ac:dyDescent="0.35">
      <c r="A246" s="1" t="str">
        <f t="shared" si="3"/>
        <v>08 BPA 1</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2119</v>
      </c>
      <c r="D246" s="1" t="s">
        <v>1769</v>
      </c>
      <c r="E246" s="1" t="s">
        <v>2120</v>
      </c>
      <c r="F246" s="1" t="s">
        <v>112</v>
      </c>
      <c r="G246" s="1">
        <v>426044</v>
      </c>
    </row>
    <row r="247" spans="1:7" x14ac:dyDescent="0.35">
      <c r="A247" s="1" t="str">
        <f t="shared" si="3"/>
        <v>08 BPA 1</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2121</v>
      </c>
      <c r="D247" s="1" t="s">
        <v>2122</v>
      </c>
      <c r="E247" s="1" t="s">
        <v>2123</v>
      </c>
      <c r="F247" s="1" t="s">
        <v>112</v>
      </c>
      <c r="G247" s="1">
        <v>185606</v>
      </c>
    </row>
    <row r="248" spans="1:7" x14ac:dyDescent="0.35">
      <c r="A248" s="1" t="str">
        <f t="shared" si="3"/>
        <v>08 BPA 1</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2124</v>
      </c>
      <c r="D248" s="1" t="s">
        <v>2125</v>
      </c>
      <c r="E248" s="1" t="s">
        <v>312</v>
      </c>
      <c r="F248" s="1" t="s">
        <v>112</v>
      </c>
      <c r="G248" s="1">
        <v>146543</v>
      </c>
    </row>
    <row r="249" spans="1:7" x14ac:dyDescent="0.35">
      <c r="A249" s="1" t="str">
        <f t="shared" si="3"/>
        <v>08 BPA 1</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2126</v>
      </c>
      <c r="D249" s="1" t="s">
        <v>2127</v>
      </c>
      <c r="E249" s="1" t="s">
        <v>2128</v>
      </c>
      <c r="F249" s="1" t="s">
        <v>112</v>
      </c>
      <c r="G249" s="1">
        <v>70405</v>
      </c>
    </row>
    <row r="250" spans="1:7" x14ac:dyDescent="0.35">
      <c r="A250" s="1" t="str">
        <f t="shared" si="3"/>
        <v>08 BPA 1</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2129</v>
      </c>
      <c r="D250" s="1" t="s">
        <v>1732</v>
      </c>
      <c r="E250" s="1" t="s">
        <v>2130</v>
      </c>
      <c r="F250" s="1" t="s">
        <v>112</v>
      </c>
      <c r="G250" s="1">
        <v>89158</v>
      </c>
    </row>
    <row r="251" spans="1:7" x14ac:dyDescent="0.35">
      <c r="A251" s="1" t="str">
        <f t="shared" si="3"/>
        <v>08 BPA 1</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2131</v>
      </c>
      <c r="D251" s="1" t="s">
        <v>2132</v>
      </c>
      <c r="E251" s="1" t="s">
        <v>2133</v>
      </c>
      <c r="F251" s="1" t="s">
        <v>112</v>
      </c>
      <c r="G251" s="1">
        <v>465886</v>
      </c>
    </row>
    <row r="252" spans="1:7" x14ac:dyDescent="0.35">
      <c r="A252" s="1" t="str">
        <f t="shared" si="3"/>
        <v>08 BPA 1</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2134</v>
      </c>
      <c r="D252" s="1" t="s">
        <v>2135</v>
      </c>
      <c r="E252" s="1" t="s">
        <v>2136</v>
      </c>
      <c r="F252" s="1" t="s">
        <v>112</v>
      </c>
      <c r="G252" s="1">
        <v>388949</v>
      </c>
    </row>
    <row r="253" spans="1:7" x14ac:dyDescent="0.35">
      <c r="A253" s="1" t="str">
        <f t="shared" si="3"/>
        <v>08 BPA 1</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2137</v>
      </c>
      <c r="D253" s="1" t="s">
        <v>713</v>
      </c>
      <c r="E253" s="1" t="s">
        <v>2138</v>
      </c>
      <c r="F253" s="1" t="s">
        <v>112</v>
      </c>
      <c r="G253" s="1">
        <v>293128</v>
      </c>
    </row>
    <row r="254" spans="1:7" x14ac:dyDescent="0.35">
      <c r="A254" s="1" t="str">
        <f t="shared" si="3"/>
        <v>08 BPA 1</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2139</v>
      </c>
    </row>
    <row r="255" spans="1:7" x14ac:dyDescent="0.35">
      <c r="A255" s="1" t="str">
        <f t="shared" si="3"/>
        <v>08 BPA 1</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2140</v>
      </c>
    </row>
    <row r="256" spans="1:7" x14ac:dyDescent="0.35">
      <c r="A256" s="1" t="str">
        <f t="shared" si="3"/>
        <v>08 BPA 1</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2141</v>
      </c>
    </row>
    <row r="257" spans="1:9"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9"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241</v>
      </c>
      <c r="D258" s="1" t="s">
        <v>112</v>
      </c>
      <c r="E258" s="1" t="s">
        <v>242</v>
      </c>
      <c r="F258" s="1" t="s">
        <v>243</v>
      </c>
      <c r="G258" s="1" t="s">
        <v>244</v>
      </c>
      <c r="H258" s="1" t="s">
        <v>245</v>
      </c>
      <c r="I258" s="1" t="s">
        <v>246</v>
      </c>
    </row>
    <row r="259" spans="1:9" x14ac:dyDescent="0.35">
      <c r="A259" s="1" t="str">
        <f t="shared" si="4"/>
        <v>08 BPA 1</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2142</v>
      </c>
      <c r="D259" s="1" t="s">
        <v>112</v>
      </c>
      <c r="E259" s="1" t="s">
        <v>2143</v>
      </c>
      <c r="F259" s="1" t="s">
        <v>2144</v>
      </c>
      <c r="G259" s="1" t="s">
        <v>2145</v>
      </c>
      <c r="H259" s="1" t="s">
        <v>2146</v>
      </c>
      <c r="I259" s="1">
        <v>24</v>
      </c>
    </row>
    <row r="260" spans="1:9"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9"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9"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9"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9"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9"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252</v>
      </c>
      <c r="D265" s="1" t="s">
        <v>110</v>
      </c>
      <c r="E265" s="1" t="s">
        <v>111</v>
      </c>
      <c r="F265" s="1" t="s">
        <v>112</v>
      </c>
      <c r="G265" s="1" t="s">
        <v>113</v>
      </c>
    </row>
    <row r="266" spans="1:9" x14ac:dyDescent="0.35">
      <c r="A266" s="1" t="str">
        <f t="shared" si="4"/>
        <v>09 BPA 2</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2147</v>
      </c>
      <c r="D266" s="1" t="s">
        <v>2148</v>
      </c>
      <c r="E266" s="1" t="s">
        <v>2149</v>
      </c>
      <c r="F266" s="1" t="s">
        <v>112</v>
      </c>
      <c r="G266" s="1">
        <v>271325</v>
      </c>
    </row>
    <row r="267" spans="1:9" x14ac:dyDescent="0.35">
      <c r="A267" s="1" t="str">
        <f t="shared" si="4"/>
        <v>09 BPA 2</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2150</v>
      </c>
      <c r="D267" s="1" t="s">
        <v>2151</v>
      </c>
      <c r="E267" s="1" t="s">
        <v>2152</v>
      </c>
      <c r="F267" s="1" t="s">
        <v>112</v>
      </c>
      <c r="G267" s="1">
        <v>200466</v>
      </c>
    </row>
    <row r="268" spans="1:9" x14ac:dyDescent="0.35">
      <c r="A268" s="1" t="str">
        <f t="shared" si="4"/>
        <v>09 BPA 2</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2153</v>
      </c>
      <c r="D268" s="1" t="s">
        <v>785</v>
      </c>
      <c r="E268" s="1" t="s">
        <v>2154</v>
      </c>
      <c r="F268" s="1" t="s">
        <v>112</v>
      </c>
      <c r="G268" s="1">
        <v>41378</v>
      </c>
    </row>
    <row r="269" spans="1:9" x14ac:dyDescent="0.35">
      <c r="A269" s="1" t="str">
        <f t="shared" si="4"/>
        <v>09 BPA 2</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2155</v>
      </c>
      <c r="D269" s="1" t="s">
        <v>1201</v>
      </c>
      <c r="E269" s="1" t="s">
        <v>2156</v>
      </c>
      <c r="F269" s="1" t="s">
        <v>112</v>
      </c>
      <c r="G269" s="1">
        <v>73044</v>
      </c>
    </row>
    <row r="270" spans="1:9" x14ac:dyDescent="0.35">
      <c r="A270" s="1" t="str">
        <f t="shared" si="4"/>
        <v>09 BPA 2</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2157</v>
      </c>
      <c r="D270" s="1" t="s">
        <v>179</v>
      </c>
      <c r="E270" s="1" t="s">
        <v>2158</v>
      </c>
      <c r="F270" s="1" t="s">
        <v>112</v>
      </c>
      <c r="G270" s="1">
        <v>40253</v>
      </c>
    </row>
    <row r="271" spans="1:9" x14ac:dyDescent="0.35">
      <c r="A271" s="1" t="str">
        <f t="shared" si="4"/>
        <v>09 BPA 2</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2159</v>
      </c>
      <c r="D271" s="1" t="s">
        <v>741</v>
      </c>
      <c r="E271" s="1" t="s">
        <v>2160</v>
      </c>
      <c r="F271" s="1" t="s">
        <v>112</v>
      </c>
      <c r="G271" s="1">
        <v>184395</v>
      </c>
    </row>
    <row r="272" spans="1:9" x14ac:dyDescent="0.35">
      <c r="A272" s="1" t="str">
        <f t="shared" si="4"/>
        <v>09 BPA 2</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2161</v>
      </c>
      <c r="D272" s="1" t="s">
        <v>670</v>
      </c>
      <c r="E272" s="1" t="s">
        <v>2162</v>
      </c>
      <c r="F272" s="1" t="s">
        <v>112</v>
      </c>
      <c r="G272" s="1">
        <v>30671</v>
      </c>
    </row>
    <row r="273" spans="1:7" x14ac:dyDescent="0.35">
      <c r="A273" s="1" t="str">
        <f t="shared" si="4"/>
        <v>09 BPA 2</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2163</v>
      </c>
      <c r="D273" s="1" t="s">
        <v>774</v>
      </c>
      <c r="E273" s="1" t="s">
        <v>2164</v>
      </c>
      <c r="F273" s="1" t="s">
        <v>112</v>
      </c>
      <c r="G273" s="1">
        <v>215845</v>
      </c>
    </row>
    <row r="274" spans="1:7" x14ac:dyDescent="0.35">
      <c r="A274" s="1" t="str">
        <f t="shared" si="4"/>
        <v>09 BPA 2</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2165</v>
      </c>
      <c r="D274" s="1" t="s">
        <v>227</v>
      </c>
      <c r="E274" s="1" t="s">
        <v>2166</v>
      </c>
      <c r="F274" s="1" t="s">
        <v>112</v>
      </c>
      <c r="G274" s="1">
        <v>28184</v>
      </c>
    </row>
    <row r="275" spans="1:7" x14ac:dyDescent="0.35">
      <c r="A275" s="1" t="str">
        <f t="shared" si="4"/>
        <v>09 BPA 2</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2167</v>
      </c>
      <c r="D275" s="1" t="s">
        <v>2168</v>
      </c>
      <c r="E275" s="1" t="s">
        <v>2169</v>
      </c>
      <c r="F275" s="1" t="s">
        <v>112</v>
      </c>
      <c r="G275" s="1">
        <v>723433</v>
      </c>
    </row>
    <row r="276" spans="1:7" x14ac:dyDescent="0.35">
      <c r="A276" s="1" t="str">
        <f t="shared" si="4"/>
        <v>09 BPA 2</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2170</v>
      </c>
      <c r="D276" s="1" t="s">
        <v>2171</v>
      </c>
      <c r="E276" s="1" t="s">
        <v>2172</v>
      </c>
      <c r="F276" s="1" t="s">
        <v>112</v>
      </c>
      <c r="G276" s="1">
        <v>862232</v>
      </c>
    </row>
    <row r="277" spans="1:7" x14ac:dyDescent="0.35">
      <c r="A277" s="1" t="str">
        <f t="shared" si="4"/>
        <v>09 BPA 2</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2173</v>
      </c>
    </row>
    <row r="278" spans="1:7" x14ac:dyDescent="0.35">
      <c r="A278" s="1" t="str">
        <f t="shared" si="4"/>
        <v>09 BPA 2</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2174</v>
      </c>
      <c r="D278" s="1" t="s">
        <v>1859</v>
      </c>
      <c r="E278" s="1" t="s">
        <v>2175</v>
      </c>
      <c r="F278" s="1" t="s">
        <v>112</v>
      </c>
      <c r="G278" s="1">
        <v>259775</v>
      </c>
    </row>
    <row r="279" spans="1:7" x14ac:dyDescent="0.35">
      <c r="A279" s="1" t="str">
        <f t="shared" si="4"/>
        <v>09 BPA 2</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2176</v>
      </c>
      <c r="D279" s="1" t="s">
        <v>2177</v>
      </c>
      <c r="E279" s="1" t="s">
        <v>2178</v>
      </c>
      <c r="F279" s="1" t="s">
        <v>112</v>
      </c>
      <c r="G279" s="1">
        <v>617123</v>
      </c>
    </row>
    <row r="280" spans="1:7" x14ac:dyDescent="0.35">
      <c r="A280" s="1" t="str">
        <f t="shared" si="4"/>
        <v>09 BPA 2</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2179</v>
      </c>
      <c r="D280" s="1" t="s">
        <v>1110</v>
      </c>
      <c r="E280" s="1" t="s">
        <v>2180</v>
      </c>
      <c r="F280" s="1" t="s">
        <v>112</v>
      </c>
      <c r="G280" s="1">
        <v>238945</v>
      </c>
    </row>
    <row r="281" spans="1:7" x14ac:dyDescent="0.35">
      <c r="A281" s="1" t="str">
        <f t="shared" si="4"/>
        <v>09 BPA 2</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2181</v>
      </c>
      <c r="D281" s="1" t="s">
        <v>2182</v>
      </c>
      <c r="E281" s="1" t="s">
        <v>2183</v>
      </c>
      <c r="F281" s="1" t="s">
        <v>112</v>
      </c>
      <c r="G281" s="1">
        <v>220063</v>
      </c>
    </row>
    <row r="282" spans="1:7" x14ac:dyDescent="0.35">
      <c r="A282" s="1" t="str">
        <f t="shared" si="4"/>
        <v>09 BPA 2</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2184</v>
      </c>
      <c r="D282" s="1" t="s">
        <v>785</v>
      </c>
      <c r="E282" s="1" t="s">
        <v>2185</v>
      </c>
      <c r="F282" s="1" t="s">
        <v>112</v>
      </c>
      <c r="G282" s="1">
        <v>41984</v>
      </c>
    </row>
    <row r="283" spans="1:7" x14ac:dyDescent="0.35">
      <c r="A283" s="1" t="str">
        <f t="shared" si="4"/>
        <v>09 BPA 2</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2186</v>
      </c>
      <c r="D283" s="1" t="s">
        <v>1830</v>
      </c>
      <c r="E283" s="1" t="s">
        <v>2187</v>
      </c>
      <c r="F283" s="1" t="s">
        <v>112</v>
      </c>
      <c r="G283" s="1">
        <v>254541</v>
      </c>
    </row>
    <row r="284" spans="1:7" x14ac:dyDescent="0.35">
      <c r="A284" s="1" t="str">
        <f t="shared" si="4"/>
        <v>09 BPA 2</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2188</v>
      </c>
      <c r="D284" s="1" t="s">
        <v>2189</v>
      </c>
      <c r="E284" s="1" t="s">
        <v>2190</v>
      </c>
      <c r="F284" s="1" t="s">
        <v>112</v>
      </c>
      <c r="G284" s="1">
        <v>640526</v>
      </c>
    </row>
    <row r="285" spans="1:7" x14ac:dyDescent="0.35">
      <c r="A285" s="1" t="str">
        <f t="shared" si="4"/>
        <v>09 BPA 2</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2191</v>
      </c>
      <c r="D285" s="1" t="s">
        <v>2192</v>
      </c>
      <c r="E285" s="1" t="s">
        <v>2193</v>
      </c>
      <c r="F285" s="1" t="s">
        <v>112</v>
      </c>
      <c r="G285" s="1">
        <v>456326</v>
      </c>
    </row>
    <row r="286" spans="1:7" x14ac:dyDescent="0.35">
      <c r="A286" s="1" t="str">
        <f t="shared" si="4"/>
        <v>09 BPA 2</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2194</v>
      </c>
      <c r="D286" s="1" t="s">
        <v>1680</v>
      </c>
      <c r="E286" s="1" t="s">
        <v>2195</v>
      </c>
      <c r="F286" s="1" t="s">
        <v>112</v>
      </c>
      <c r="G286" s="1">
        <v>489355</v>
      </c>
    </row>
    <row r="287" spans="1:7" x14ac:dyDescent="0.35">
      <c r="A287" s="1" t="str">
        <f t="shared" si="4"/>
        <v>09 BPA 2</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2196</v>
      </c>
    </row>
    <row r="288" spans="1:7" x14ac:dyDescent="0.35">
      <c r="A288" s="1" t="str">
        <f t="shared" si="4"/>
        <v>09 BPA 2</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2197</v>
      </c>
    </row>
    <row r="289" spans="1:9" x14ac:dyDescent="0.35">
      <c r="A289" s="1" t="str">
        <f t="shared" si="4"/>
        <v>09 BPA 2</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2198</v>
      </c>
    </row>
    <row r="290" spans="1:9"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9"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241</v>
      </c>
      <c r="D291" s="1" t="s">
        <v>112</v>
      </c>
      <c r="E291" s="1" t="s">
        <v>242</v>
      </c>
      <c r="F291" s="1" t="s">
        <v>243</v>
      </c>
      <c r="G291" s="1" t="s">
        <v>244</v>
      </c>
      <c r="H291" s="1" t="s">
        <v>245</v>
      </c>
      <c r="I291" s="1" t="s">
        <v>246</v>
      </c>
    </row>
    <row r="292" spans="1:9" x14ac:dyDescent="0.35">
      <c r="A292" s="1" t="str">
        <f t="shared" si="4"/>
        <v>09 BPA 2</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2199</v>
      </c>
      <c r="D292" s="1" t="s">
        <v>112</v>
      </c>
      <c r="E292" s="1" t="s">
        <v>2200</v>
      </c>
      <c r="F292" s="1" t="s">
        <v>2201</v>
      </c>
      <c r="G292" s="1" t="s">
        <v>2202</v>
      </c>
      <c r="H292" s="1" t="s">
        <v>2203</v>
      </c>
      <c r="I292" s="1">
        <v>24</v>
      </c>
    </row>
    <row r="293" spans="1:9"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9"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9"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9"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9"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9"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252</v>
      </c>
      <c r="D298" s="1" t="s">
        <v>110</v>
      </c>
      <c r="E298" s="1" t="s">
        <v>111</v>
      </c>
      <c r="F298" s="1" t="s">
        <v>112</v>
      </c>
      <c r="G298" s="1" t="s">
        <v>113</v>
      </c>
    </row>
    <row r="299" spans="1:9" x14ac:dyDescent="0.35">
      <c r="A299" s="1" t="str">
        <f t="shared" si="4"/>
        <v>10  BPA 3</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2204</v>
      </c>
      <c r="D299" s="1" t="s">
        <v>2205</v>
      </c>
      <c r="E299" s="1" t="s">
        <v>2206</v>
      </c>
      <c r="F299" s="1" t="s">
        <v>112</v>
      </c>
      <c r="G299" s="1">
        <v>623244</v>
      </c>
    </row>
    <row r="300" spans="1:9" x14ac:dyDescent="0.35">
      <c r="A300" s="1" t="str">
        <f t="shared" si="4"/>
        <v>10  BPA 3</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2207</v>
      </c>
      <c r="D300" s="1" t="s">
        <v>442</v>
      </c>
      <c r="E300" s="1" t="s">
        <v>2208</v>
      </c>
      <c r="F300" s="1" t="s">
        <v>112</v>
      </c>
      <c r="G300" s="1">
        <v>540012</v>
      </c>
    </row>
    <row r="301" spans="1:9" x14ac:dyDescent="0.35">
      <c r="A301" s="1" t="str">
        <f t="shared" si="4"/>
        <v>10  BPA 3</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2209</v>
      </c>
      <c r="D301" s="1" t="s">
        <v>700</v>
      </c>
      <c r="E301" s="1" t="s">
        <v>2210</v>
      </c>
      <c r="F301" s="1" t="s">
        <v>112</v>
      </c>
      <c r="G301" s="1">
        <v>480270</v>
      </c>
    </row>
    <row r="302" spans="1:9" x14ac:dyDescent="0.35">
      <c r="A302" s="1" t="str">
        <f t="shared" si="4"/>
        <v>10  BPA 3</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2211</v>
      </c>
      <c r="D302" s="1" t="s">
        <v>1754</v>
      </c>
      <c r="E302" s="1" t="s">
        <v>2212</v>
      </c>
      <c r="F302" s="1" t="s">
        <v>112</v>
      </c>
      <c r="G302" s="1">
        <v>813652</v>
      </c>
    </row>
    <row r="303" spans="1:9" x14ac:dyDescent="0.35">
      <c r="A303" s="1" t="str">
        <f t="shared" si="4"/>
        <v>10  BPA 3</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2213</v>
      </c>
      <c r="D303" s="1" t="s">
        <v>1387</v>
      </c>
      <c r="E303" s="1" t="s">
        <v>2214</v>
      </c>
      <c r="F303" s="1" t="s">
        <v>112</v>
      </c>
      <c r="G303" s="1">
        <v>1028956</v>
      </c>
    </row>
    <row r="304" spans="1:9" x14ac:dyDescent="0.35">
      <c r="A304" s="1" t="str">
        <f t="shared" si="4"/>
        <v>10  BPA 3</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2215</v>
      </c>
      <c r="D304" s="1" t="s">
        <v>1709</v>
      </c>
      <c r="E304" s="1" t="s">
        <v>2216</v>
      </c>
      <c r="F304" s="1" t="s">
        <v>112</v>
      </c>
      <c r="G304" s="1">
        <v>380037</v>
      </c>
    </row>
    <row r="305" spans="1:7" x14ac:dyDescent="0.35">
      <c r="A305" s="1" t="str">
        <f t="shared" si="4"/>
        <v>10  BPA 3</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2217</v>
      </c>
    </row>
    <row r="306" spans="1:7" x14ac:dyDescent="0.35">
      <c r="A306" s="1" t="str">
        <f t="shared" si="4"/>
        <v>10  BPA 3</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2218</v>
      </c>
      <c r="D306" s="1" t="s">
        <v>2219</v>
      </c>
      <c r="E306" s="1" t="s">
        <v>2220</v>
      </c>
      <c r="F306" s="1" t="s">
        <v>112</v>
      </c>
      <c r="G306" s="1">
        <v>388321</v>
      </c>
    </row>
    <row r="307" spans="1:7" x14ac:dyDescent="0.35">
      <c r="A307" s="1" t="str">
        <f t="shared" si="4"/>
        <v>10  BPA 3</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2221</v>
      </c>
      <c r="D307" s="1" t="s">
        <v>2222</v>
      </c>
      <c r="E307" s="1" t="s">
        <v>2223</v>
      </c>
      <c r="F307" s="1" t="s">
        <v>112</v>
      </c>
      <c r="G307" s="1">
        <v>242255</v>
      </c>
    </row>
    <row r="308" spans="1:7" x14ac:dyDescent="0.35">
      <c r="A308" s="1" t="str">
        <f t="shared" si="4"/>
        <v>10  BPA 3</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2224</v>
      </c>
      <c r="D308" s="1" t="s">
        <v>2225</v>
      </c>
      <c r="E308" s="1" t="s">
        <v>2226</v>
      </c>
      <c r="F308" s="1" t="s">
        <v>112</v>
      </c>
      <c r="G308" s="1">
        <v>835173</v>
      </c>
    </row>
    <row r="309" spans="1:7" x14ac:dyDescent="0.35">
      <c r="A309" s="1" t="str">
        <f t="shared" si="4"/>
        <v>10  BPA 3</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2227</v>
      </c>
      <c r="D309" s="1" t="s">
        <v>2228</v>
      </c>
      <c r="E309" s="1" t="s">
        <v>2229</v>
      </c>
      <c r="F309" s="1" t="s">
        <v>112</v>
      </c>
      <c r="G309" s="1">
        <v>384493</v>
      </c>
    </row>
    <row r="310" spans="1:7" x14ac:dyDescent="0.35">
      <c r="A310" s="1" t="str">
        <f t="shared" si="4"/>
        <v>10  BPA 3</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2230</v>
      </c>
      <c r="D310" s="1" t="s">
        <v>203</v>
      </c>
      <c r="E310" s="1" t="s">
        <v>2231</v>
      </c>
      <c r="F310" s="1" t="s">
        <v>112</v>
      </c>
      <c r="G310" s="1">
        <v>93376</v>
      </c>
    </row>
    <row r="311" spans="1:7" x14ac:dyDescent="0.35">
      <c r="A311" s="1" t="str">
        <f t="shared" si="4"/>
        <v>10  BPA 3</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2232</v>
      </c>
      <c r="D311" s="1" t="s">
        <v>2233</v>
      </c>
      <c r="E311" s="1" t="s">
        <v>2234</v>
      </c>
      <c r="F311" s="1" t="s">
        <v>112</v>
      </c>
      <c r="G311" s="1">
        <v>208426</v>
      </c>
    </row>
    <row r="312" spans="1:7" x14ac:dyDescent="0.35">
      <c r="A312" s="1" t="str">
        <f t="shared" si="4"/>
        <v>10  BPA 3</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2235</v>
      </c>
      <c r="D312" s="1" t="s">
        <v>670</v>
      </c>
      <c r="E312" s="1" t="s">
        <v>2236</v>
      </c>
      <c r="F312" s="1" t="s">
        <v>112</v>
      </c>
      <c r="G312" s="1">
        <v>30347</v>
      </c>
    </row>
    <row r="313" spans="1:7" x14ac:dyDescent="0.35">
      <c r="A313" s="1" t="str">
        <f t="shared" si="4"/>
        <v>10  BPA 3</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2237</v>
      </c>
      <c r="D313" s="1" t="s">
        <v>239</v>
      </c>
      <c r="E313" s="1" t="s">
        <v>2238</v>
      </c>
      <c r="F313" s="1" t="s">
        <v>112</v>
      </c>
      <c r="G313" s="1">
        <v>20678</v>
      </c>
    </row>
    <row r="314" spans="1:7" x14ac:dyDescent="0.35">
      <c r="A314" s="1" t="str">
        <f t="shared" si="4"/>
        <v>10  BPA 3</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2239</v>
      </c>
      <c r="D314" s="1" t="s">
        <v>2240</v>
      </c>
      <c r="E314" s="1" t="s">
        <v>2241</v>
      </c>
      <c r="F314" s="1" t="s">
        <v>112</v>
      </c>
      <c r="G314" s="1">
        <v>230250</v>
      </c>
    </row>
    <row r="315" spans="1:7" x14ac:dyDescent="0.35">
      <c r="A315" s="1" t="str">
        <f t="shared" si="4"/>
        <v>10  BPA 3</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2242</v>
      </c>
      <c r="D315" s="1" t="s">
        <v>1196</v>
      </c>
      <c r="E315" s="1" t="s">
        <v>2243</v>
      </c>
      <c r="F315" s="1" t="s">
        <v>112</v>
      </c>
      <c r="G315" s="1">
        <v>306517</v>
      </c>
    </row>
    <row r="316" spans="1:7" x14ac:dyDescent="0.35">
      <c r="A316" s="1" t="str">
        <f t="shared" si="4"/>
        <v>10  BPA 3</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2244</v>
      </c>
      <c r="D316" s="1" t="s">
        <v>2245</v>
      </c>
      <c r="E316" s="1" t="s">
        <v>2246</v>
      </c>
      <c r="F316" s="1" t="s">
        <v>112</v>
      </c>
      <c r="G316" s="1">
        <v>135122</v>
      </c>
    </row>
    <row r="317" spans="1:7" x14ac:dyDescent="0.35">
      <c r="A317" s="1" t="str">
        <f t="shared" si="4"/>
        <v>10  BPA 3</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2247</v>
      </c>
    </row>
    <row r="318" spans="1:7" x14ac:dyDescent="0.35">
      <c r="A318" s="1" t="str">
        <f t="shared" si="4"/>
        <v>10  BPA 3</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2248</v>
      </c>
      <c r="D318" s="1" t="s">
        <v>2171</v>
      </c>
      <c r="E318" s="1" t="s">
        <v>2249</v>
      </c>
      <c r="F318" s="1" t="s">
        <v>112</v>
      </c>
      <c r="G318" s="1">
        <v>922472</v>
      </c>
    </row>
    <row r="319" spans="1:7" x14ac:dyDescent="0.35">
      <c r="A319" s="1" t="str">
        <f t="shared" si="4"/>
        <v>10  BPA 3</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2250</v>
      </c>
      <c r="D319" s="1" t="s">
        <v>2251</v>
      </c>
      <c r="E319" s="1" t="s">
        <v>2252</v>
      </c>
      <c r="F319" s="1" t="s">
        <v>112</v>
      </c>
      <c r="G319" s="1">
        <v>1140047</v>
      </c>
    </row>
    <row r="320" spans="1:7" x14ac:dyDescent="0.35">
      <c r="A320" s="1" t="str">
        <f t="shared" si="4"/>
        <v>10  BPA 3</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2253</v>
      </c>
      <c r="D320" s="1" t="s">
        <v>2254</v>
      </c>
      <c r="E320" s="1" t="s">
        <v>2255</v>
      </c>
      <c r="F320" s="1" t="s">
        <v>112</v>
      </c>
      <c r="G320" s="1">
        <v>260251</v>
      </c>
    </row>
    <row r="321" spans="1:9" x14ac:dyDescent="0.35">
      <c r="A321" s="1" t="str">
        <f t="shared" si="4"/>
        <v>10  BPA 3</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2256</v>
      </c>
      <c r="D321" s="1" t="s">
        <v>360</v>
      </c>
      <c r="E321" s="1" t="s">
        <v>2257</v>
      </c>
      <c r="F321" s="1" t="s">
        <v>112</v>
      </c>
      <c r="G321" s="1">
        <v>127876</v>
      </c>
    </row>
    <row r="322" spans="1:9" x14ac:dyDescent="0.35">
      <c r="A322" s="1" t="str">
        <f t="shared" ref="A322:A385" si="5">IFERROR(LEFT(RIGHT(C322,LEN(C322)-SEARCH("@",C322)),SEARCH("/",RIGHT(C322,LEN(C322)-SEARCH("@",C322)-1))),"")</f>
        <v>10  BPA 3</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2258</v>
      </c>
      <c r="D322" s="1" t="s">
        <v>227</v>
      </c>
      <c r="E322" s="1" t="s">
        <v>2259</v>
      </c>
      <c r="F322" s="1" t="s">
        <v>112</v>
      </c>
      <c r="G322" s="1">
        <v>28378</v>
      </c>
    </row>
    <row r="323" spans="1:9"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9"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241</v>
      </c>
      <c r="D324" s="1" t="s">
        <v>112</v>
      </c>
      <c r="E324" s="1" t="s">
        <v>242</v>
      </c>
      <c r="F324" s="1" t="s">
        <v>243</v>
      </c>
      <c r="G324" s="1" t="s">
        <v>244</v>
      </c>
      <c r="H324" s="1" t="s">
        <v>245</v>
      </c>
      <c r="I324" s="1" t="s">
        <v>246</v>
      </c>
    </row>
    <row r="325" spans="1:9" x14ac:dyDescent="0.35">
      <c r="A325" s="1" t="str">
        <f t="shared" si="5"/>
        <v>10  BPA 3</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2260</v>
      </c>
      <c r="D325" s="1" t="s">
        <v>112</v>
      </c>
      <c r="E325" s="1" t="s">
        <v>2261</v>
      </c>
      <c r="F325" s="1" t="s">
        <v>2262</v>
      </c>
      <c r="G325" s="1" t="s">
        <v>2263</v>
      </c>
      <c r="H325" s="1" t="s">
        <v>2264</v>
      </c>
      <c r="I325" s="1">
        <v>24</v>
      </c>
    </row>
    <row r="326" spans="1:9"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9"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9"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9"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9"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9"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252</v>
      </c>
      <c r="D331" s="1" t="s">
        <v>110</v>
      </c>
      <c r="E331" s="1" t="s">
        <v>111</v>
      </c>
      <c r="F331" s="1" t="s">
        <v>112</v>
      </c>
      <c r="G331" s="1" t="s">
        <v>113</v>
      </c>
    </row>
    <row r="332" spans="1:9" x14ac:dyDescent="0.35">
      <c r="A332" s="1" t="str">
        <f t="shared" si="5"/>
        <v>11 BPA 4</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2265</v>
      </c>
      <c r="D332" s="1" t="s">
        <v>738</v>
      </c>
      <c r="E332" s="1" t="s">
        <v>2266</v>
      </c>
      <c r="F332" s="1" t="s">
        <v>112</v>
      </c>
      <c r="G332" s="1">
        <v>35624</v>
      </c>
    </row>
    <row r="333" spans="1:9" x14ac:dyDescent="0.35">
      <c r="A333" s="1" t="str">
        <f t="shared" si="5"/>
        <v>11 BPA 4</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2267</v>
      </c>
    </row>
    <row r="334" spans="1:9" x14ac:dyDescent="0.35">
      <c r="A334" s="1" t="str">
        <f t="shared" si="5"/>
        <v>11 BPA 4</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2268</v>
      </c>
      <c r="D334" s="1" t="s">
        <v>236</v>
      </c>
      <c r="E334" s="1" t="s">
        <v>2269</v>
      </c>
      <c r="F334" s="1" t="s">
        <v>112</v>
      </c>
      <c r="G334" s="1">
        <v>21630</v>
      </c>
    </row>
    <row r="335" spans="1:9" x14ac:dyDescent="0.35">
      <c r="A335" s="1" t="str">
        <f t="shared" si="5"/>
        <v>11 BPA 4</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2270</v>
      </c>
      <c r="D335" s="1" t="s">
        <v>2271</v>
      </c>
      <c r="E335" s="1" t="s">
        <v>2272</v>
      </c>
      <c r="F335" s="1" t="s">
        <v>112</v>
      </c>
      <c r="G335" s="1">
        <v>1671926</v>
      </c>
    </row>
    <row r="336" spans="1:9" x14ac:dyDescent="0.35">
      <c r="A336" s="1" t="str">
        <f t="shared" si="5"/>
        <v>11 BPA 4</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2273</v>
      </c>
      <c r="D336" s="1" t="s">
        <v>2274</v>
      </c>
      <c r="E336" s="1" t="s">
        <v>2275</v>
      </c>
      <c r="F336" s="1" t="s">
        <v>112</v>
      </c>
      <c r="G336" s="1">
        <v>1152657</v>
      </c>
    </row>
    <row r="337" spans="1:7" x14ac:dyDescent="0.35">
      <c r="A337" s="1" t="str">
        <f t="shared" si="5"/>
        <v>11 BPA 4</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2276</v>
      </c>
      <c r="D337" s="1" t="s">
        <v>2277</v>
      </c>
      <c r="E337" s="1" t="s">
        <v>2278</v>
      </c>
      <c r="F337" s="1" t="s">
        <v>112</v>
      </c>
      <c r="G337" s="1">
        <v>1591917</v>
      </c>
    </row>
    <row r="338" spans="1:7" x14ac:dyDescent="0.35">
      <c r="A338" s="1" t="str">
        <f t="shared" si="5"/>
        <v>11 BPA 4</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2279</v>
      </c>
      <c r="D338" s="1" t="s">
        <v>752</v>
      </c>
      <c r="E338" s="1" t="s">
        <v>2280</v>
      </c>
      <c r="F338" s="1" t="s">
        <v>112</v>
      </c>
      <c r="G338" s="1">
        <v>82172</v>
      </c>
    </row>
    <row r="339" spans="1:7" x14ac:dyDescent="0.35">
      <c r="A339" s="1" t="str">
        <f t="shared" si="5"/>
        <v>11 BPA 4</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2281</v>
      </c>
      <c r="D339" s="1" t="s">
        <v>287</v>
      </c>
      <c r="E339" s="1" t="s">
        <v>2282</v>
      </c>
      <c r="F339" s="1" t="s">
        <v>112</v>
      </c>
      <c r="G339" s="1">
        <v>305328</v>
      </c>
    </row>
    <row r="340" spans="1:7" x14ac:dyDescent="0.35">
      <c r="A340" s="1" t="str">
        <f t="shared" si="5"/>
        <v>11 BPA 4</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2283</v>
      </c>
      <c r="D340" s="1" t="s">
        <v>328</v>
      </c>
      <c r="E340" s="1" t="s">
        <v>1056</v>
      </c>
      <c r="F340" s="1" t="s">
        <v>112</v>
      </c>
      <c r="G340" s="1">
        <v>59612</v>
      </c>
    </row>
    <row r="341" spans="1:7" x14ac:dyDescent="0.35">
      <c r="A341" s="1" t="str">
        <f t="shared" si="5"/>
        <v>11 BPA 4</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2284</v>
      </c>
      <c r="D341" s="1" t="s">
        <v>2285</v>
      </c>
      <c r="E341" s="1" t="s">
        <v>2286</v>
      </c>
      <c r="F341" s="1" t="s">
        <v>112</v>
      </c>
      <c r="G341" s="1">
        <v>526363</v>
      </c>
    </row>
    <row r="342" spans="1:7" x14ac:dyDescent="0.35">
      <c r="A342" s="1" t="str">
        <f t="shared" si="5"/>
        <v>11 BPA 4</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2287</v>
      </c>
      <c r="D342" s="1" t="s">
        <v>2288</v>
      </c>
      <c r="E342" s="1" t="s">
        <v>2289</v>
      </c>
      <c r="F342" s="1" t="s">
        <v>112</v>
      </c>
      <c r="G342" s="1">
        <v>692935</v>
      </c>
    </row>
    <row r="343" spans="1:7" x14ac:dyDescent="0.35">
      <c r="A343" s="1" t="str">
        <f t="shared" si="5"/>
        <v>11 BPA 4</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2290</v>
      </c>
      <c r="D343" s="1" t="s">
        <v>341</v>
      </c>
      <c r="E343" s="1" t="s">
        <v>2291</v>
      </c>
      <c r="F343" s="1" t="s">
        <v>112</v>
      </c>
      <c r="G343" s="1">
        <v>522578</v>
      </c>
    </row>
    <row r="344" spans="1:7" x14ac:dyDescent="0.35">
      <c r="A344" s="1" t="str">
        <f t="shared" si="5"/>
        <v>11 BPA 4</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2292</v>
      </c>
      <c r="D344" s="1" t="s">
        <v>2222</v>
      </c>
      <c r="E344" s="1" t="s">
        <v>2293</v>
      </c>
      <c r="F344" s="1" t="s">
        <v>112</v>
      </c>
      <c r="G344" s="1">
        <v>251469</v>
      </c>
    </row>
    <row r="345" spans="1:7" x14ac:dyDescent="0.35">
      <c r="A345" s="1" t="str">
        <f t="shared" si="5"/>
        <v>11 BPA 4</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2294</v>
      </c>
      <c r="D345" s="1" t="s">
        <v>675</v>
      </c>
      <c r="E345" s="1" t="s">
        <v>2295</v>
      </c>
      <c r="F345" s="1" t="s">
        <v>112</v>
      </c>
      <c r="G345" s="1">
        <v>48321</v>
      </c>
    </row>
    <row r="346" spans="1:7" x14ac:dyDescent="0.35">
      <c r="A346" s="1" t="str">
        <f t="shared" si="5"/>
        <v>11 BPA 4</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2296</v>
      </c>
      <c r="D346" s="1" t="s">
        <v>275</v>
      </c>
      <c r="E346" s="1" t="s">
        <v>2297</v>
      </c>
      <c r="F346" s="1" t="s">
        <v>112</v>
      </c>
      <c r="G346" s="1">
        <v>62229</v>
      </c>
    </row>
    <row r="347" spans="1:7" x14ac:dyDescent="0.35">
      <c r="A347" s="1" t="str">
        <f t="shared" si="5"/>
        <v>11 BPA 4</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2298</v>
      </c>
      <c r="D347" s="1" t="s">
        <v>2299</v>
      </c>
      <c r="E347" s="1" t="s">
        <v>2300</v>
      </c>
      <c r="F347" s="1" t="s">
        <v>112</v>
      </c>
      <c r="G347" s="1">
        <v>1388618</v>
      </c>
    </row>
    <row r="348" spans="1:7" x14ac:dyDescent="0.35">
      <c r="A348" s="1" t="str">
        <f t="shared" si="5"/>
        <v>11 BPA 4</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2301</v>
      </c>
      <c r="D348" s="1" t="s">
        <v>2302</v>
      </c>
      <c r="E348" s="1" t="s">
        <v>2303</v>
      </c>
      <c r="F348" s="1" t="s">
        <v>112</v>
      </c>
      <c r="G348" s="1">
        <v>1475353</v>
      </c>
    </row>
    <row r="349" spans="1:7" x14ac:dyDescent="0.35">
      <c r="A349" s="1" t="str">
        <f t="shared" si="5"/>
        <v>11 BPA 4</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2304</v>
      </c>
      <c r="D349" s="1" t="s">
        <v>2305</v>
      </c>
      <c r="E349" s="1" t="s">
        <v>2306</v>
      </c>
      <c r="F349" s="1" t="s">
        <v>112</v>
      </c>
      <c r="G349" s="1">
        <v>702388</v>
      </c>
    </row>
    <row r="350" spans="1:7" x14ac:dyDescent="0.35">
      <c r="A350" s="1" t="str">
        <f t="shared" si="5"/>
        <v>11 BPA 4</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2307</v>
      </c>
    </row>
    <row r="351" spans="1:7" x14ac:dyDescent="0.35">
      <c r="A351" s="1" t="str">
        <f t="shared" si="5"/>
        <v>11 BPA 4</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2308</v>
      </c>
    </row>
    <row r="352" spans="1:7" x14ac:dyDescent="0.35">
      <c r="A352" s="1" t="str">
        <f t="shared" si="5"/>
        <v>11 BPA 4</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2309</v>
      </c>
      <c r="D352" s="1" t="s">
        <v>2310</v>
      </c>
      <c r="E352" s="1" t="s">
        <v>2311</v>
      </c>
      <c r="F352" s="1" t="s">
        <v>112</v>
      </c>
      <c r="G352" s="1">
        <v>3339526</v>
      </c>
    </row>
    <row r="353" spans="1:9" x14ac:dyDescent="0.35">
      <c r="A353" s="1" t="str">
        <f t="shared" si="5"/>
        <v>11 BPA 4</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2312</v>
      </c>
      <c r="D353" s="1" t="s">
        <v>1862</v>
      </c>
      <c r="E353" s="1" t="s">
        <v>2313</v>
      </c>
      <c r="F353" s="1" t="s">
        <v>112</v>
      </c>
      <c r="G353" s="1">
        <v>314196</v>
      </c>
    </row>
    <row r="354" spans="1:9" x14ac:dyDescent="0.35">
      <c r="A354" s="1" t="str">
        <f t="shared" si="5"/>
        <v>11 BPA 4</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2314</v>
      </c>
      <c r="D354" s="1" t="s">
        <v>2315</v>
      </c>
      <c r="E354" s="1" t="s">
        <v>2316</v>
      </c>
      <c r="F354" s="1" t="s">
        <v>112</v>
      </c>
      <c r="G354" s="1">
        <v>853905</v>
      </c>
    </row>
    <row r="355" spans="1:9" x14ac:dyDescent="0.35">
      <c r="A355" s="1" t="str">
        <f t="shared" si="5"/>
        <v>11 BPA 4</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2317</v>
      </c>
      <c r="D355" s="1" t="s">
        <v>1760</v>
      </c>
      <c r="E355" s="1" t="s">
        <v>2318</v>
      </c>
      <c r="F355" s="1" t="s">
        <v>112</v>
      </c>
      <c r="G355" s="1">
        <v>721811</v>
      </c>
    </row>
    <row r="356" spans="1:9"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9"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241</v>
      </c>
      <c r="D357" s="1" t="s">
        <v>112</v>
      </c>
      <c r="E357" s="1" t="s">
        <v>242</v>
      </c>
      <c r="F357" s="1" t="s">
        <v>243</v>
      </c>
      <c r="G357" s="1" t="s">
        <v>244</v>
      </c>
      <c r="H357" s="1" t="s">
        <v>245</v>
      </c>
      <c r="I357" s="1" t="s">
        <v>246</v>
      </c>
    </row>
    <row r="358" spans="1:9" x14ac:dyDescent="0.35">
      <c r="A358" s="1" t="str">
        <f t="shared" si="5"/>
        <v>11 BPA 4</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2319</v>
      </c>
      <c r="D358" s="1" t="s">
        <v>112</v>
      </c>
      <c r="E358" s="1" t="s">
        <v>2320</v>
      </c>
      <c r="F358" s="1" t="s">
        <v>2321</v>
      </c>
      <c r="G358" s="1" t="s">
        <v>2322</v>
      </c>
      <c r="H358" s="1" t="s">
        <v>2323</v>
      </c>
      <c r="I358" s="1">
        <v>24</v>
      </c>
    </row>
    <row r="359" spans="1:9"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9"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9"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9"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9"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9"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252</v>
      </c>
      <c r="D364" s="1" t="s">
        <v>110</v>
      </c>
      <c r="E364" s="1" t="s">
        <v>111</v>
      </c>
      <c r="F364" s="1" t="s">
        <v>112</v>
      </c>
      <c r="G364" s="1" t="s">
        <v>113</v>
      </c>
    </row>
    <row r="365" spans="1:9" x14ac:dyDescent="0.35">
      <c r="A365" s="1" t="str">
        <f t="shared" si="5"/>
        <v>12  BPA 5</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2324</v>
      </c>
      <c r="D365" s="1" t="s">
        <v>2325</v>
      </c>
      <c r="E365" s="1" t="s">
        <v>2326</v>
      </c>
      <c r="F365" s="1" t="s">
        <v>112</v>
      </c>
      <c r="G365" s="1">
        <v>1187633</v>
      </c>
    </row>
    <row r="366" spans="1:9" x14ac:dyDescent="0.35">
      <c r="A366" s="1" t="str">
        <f t="shared" si="5"/>
        <v>12  BPA 5</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2327</v>
      </c>
      <c r="D366" s="1" t="s">
        <v>1435</v>
      </c>
      <c r="E366" s="1" t="s">
        <v>2328</v>
      </c>
      <c r="F366" s="1" t="s">
        <v>112</v>
      </c>
      <c r="G366" s="1">
        <v>1190336</v>
      </c>
    </row>
    <row r="367" spans="1:9" x14ac:dyDescent="0.35">
      <c r="A367" s="1" t="str">
        <f t="shared" si="5"/>
        <v>12  BPA 5</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2329</v>
      </c>
    </row>
    <row r="368" spans="1:9" x14ac:dyDescent="0.35">
      <c r="A368" s="1" t="str">
        <f t="shared" si="5"/>
        <v>12  BPA 5</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2330</v>
      </c>
      <c r="D368" s="1" t="s">
        <v>2331</v>
      </c>
      <c r="E368" s="1" t="s">
        <v>2332</v>
      </c>
      <c r="F368" s="1" t="s">
        <v>112</v>
      </c>
      <c r="G368" s="1">
        <v>4310103</v>
      </c>
    </row>
    <row r="369" spans="1:7" x14ac:dyDescent="0.35">
      <c r="A369" s="1" t="str">
        <f t="shared" si="5"/>
        <v>12  BPA 5</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2333</v>
      </c>
      <c r="D369" s="1" t="s">
        <v>2334</v>
      </c>
      <c r="E369" s="1" t="s">
        <v>2335</v>
      </c>
      <c r="F369" s="1" t="s">
        <v>112</v>
      </c>
      <c r="G369" s="1">
        <v>3274571</v>
      </c>
    </row>
    <row r="370" spans="1:7" x14ac:dyDescent="0.35">
      <c r="A370" s="1" t="str">
        <f t="shared" si="5"/>
        <v>12  BPA 5</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2336</v>
      </c>
      <c r="D370" s="1" t="s">
        <v>1008</v>
      </c>
      <c r="E370" s="1" t="s">
        <v>2337</v>
      </c>
      <c r="F370" s="1" t="s">
        <v>112</v>
      </c>
      <c r="G370" s="1">
        <v>3814994</v>
      </c>
    </row>
    <row r="371" spans="1:7" x14ac:dyDescent="0.35">
      <c r="A371" s="1" t="str">
        <f t="shared" si="5"/>
        <v>12  BPA 5</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2338</v>
      </c>
    </row>
    <row r="372" spans="1:7" x14ac:dyDescent="0.35">
      <c r="A372" s="1" t="str">
        <f t="shared" si="5"/>
        <v>12  BPA 5</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2339</v>
      </c>
      <c r="D372" s="1" t="s">
        <v>2340</v>
      </c>
      <c r="E372" s="1" t="s">
        <v>2341</v>
      </c>
      <c r="F372" s="1" t="s">
        <v>112</v>
      </c>
      <c r="G372" s="1">
        <v>4582791</v>
      </c>
    </row>
    <row r="373" spans="1:7" x14ac:dyDescent="0.35">
      <c r="A373" s="1" t="str">
        <f t="shared" si="5"/>
        <v>12  BPA 5</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2342</v>
      </c>
      <c r="D373" s="1" t="s">
        <v>2343</v>
      </c>
      <c r="E373" s="1" t="s">
        <v>2344</v>
      </c>
      <c r="F373" s="1" t="s">
        <v>112</v>
      </c>
      <c r="G373" s="1">
        <v>4559344</v>
      </c>
    </row>
    <row r="374" spans="1:7" x14ac:dyDescent="0.35">
      <c r="A374" s="1" t="str">
        <f t="shared" si="5"/>
        <v>12  BPA 5</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2345</v>
      </c>
      <c r="D374" s="1" t="s">
        <v>875</v>
      </c>
      <c r="E374" s="1" t="s">
        <v>2346</v>
      </c>
      <c r="F374" s="1" t="s">
        <v>112</v>
      </c>
      <c r="G374" s="1">
        <v>16460</v>
      </c>
    </row>
    <row r="375" spans="1:7" x14ac:dyDescent="0.35">
      <c r="A375" s="1" t="str">
        <f t="shared" si="5"/>
        <v>12  BPA 5</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2347</v>
      </c>
    </row>
    <row r="376" spans="1:7" x14ac:dyDescent="0.35">
      <c r="A376" s="1" t="str">
        <f t="shared" si="5"/>
        <v>12  BPA 5</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2348</v>
      </c>
      <c r="D376" s="1" t="s">
        <v>176</v>
      </c>
      <c r="E376" s="1" t="s">
        <v>2349</v>
      </c>
      <c r="F376" s="1" t="s">
        <v>112</v>
      </c>
      <c r="G376" s="1">
        <v>17607</v>
      </c>
    </row>
    <row r="377" spans="1:7" x14ac:dyDescent="0.35">
      <c r="A377" s="1" t="str">
        <f t="shared" si="5"/>
        <v>12  BPA 5</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2350</v>
      </c>
      <c r="D377" s="1" t="s">
        <v>2351</v>
      </c>
      <c r="E377" s="1" t="s">
        <v>2352</v>
      </c>
      <c r="F377" s="1" t="s">
        <v>112</v>
      </c>
      <c r="G377" s="1">
        <v>3580937</v>
      </c>
    </row>
    <row r="378" spans="1:7" x14ac:dyDescent="0.35">
      <c r="A378" s="1" t="str">
        <f t="shared" si="5"/>
        <v>12  BPA 5</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2353</v>
      </c>
      <c r="D378" s="1" t="s">
        <v>1131</v>
      </c>
      <c r="E378" s="1" t="s">
        <v>2354</v>
      </c>
      <c r="F378" s="1" t="s">
        <v>112</v>
      </c>
      <c r="G378" s="1">
        <v>3701545</v>
      </c>
    </row>
    <row r="379" spans="1:7" x14ac:dyDescent="0.35">
      <c r="A379" s="1" t="str">
        <f t="shared" si="5"/>
        <v>12  BPA 5</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2355</v>
      </c>
      <c r="D379" s="1" t="s">
        <v>2356</v>
      </c>
      <c r="E379" s="1" t="s">
        <v>2357</v>
      </c>
      <c r="F379" s="1" t="s">
        <v>112</v>
      </c>
      <c r="G379" s="1">
        <v>3791785</v>
      </c>
    </row>
    <row r="380" spans="1:7" x14ac:dyDescent="0.35">
      <c r="A380" s="1" t="str">
        <f t="shared" si="5"/>
        <v>12  BPA 5</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2358</v>
      </c>
      <c r="D380" s="1" t="s">
        <v>1072</v>
      </c>
      <c r="E380" s="1" t="s">
        <v>2359</v>
      </c>
      <c r="F380" s="1" t="s">
        <v>112</v>
      </c>
      <c r="G380" s="1">
        <v>1327340</v>
      </c>
    </row>
    <row r="381" spans="1:7" x14ac:dyDescent="0.35">
      <c r="A381" s="1" t="str">
        <f t="shared" si="5"/>
        <v>12  BPA 5</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2360</v>
      </c>
      <c r="D381" s="1" t="s">
        <v>2361</v>
      </c>
      <c r="E381" s="1" t="s">
        <v>2362</v>
      </c>
      <c r="F381" s="1" t="s">
        <v>112</v>
      </c>
      <c r="G381" s="1">
        <v>1532651</v>
      </c>
    </row>
    <row r="382" spans="1:7" x14ac:dyDescent="0.35">
      <c r="A382" s="1" t="str">
        <f t="shared" si="5"/>
        <v>12  BPA 5</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2363</v>
      </c>
      <c r="D382" s="1" t="s">
        <v>2364</v>
      </c>
      <c r="E382" s="1" t="s">
        <v>2365</v>
      </c>
      <c r="F382" s="1" t="s">
        <v>112</v>
      </c>
      <c r="G382" s="1">
        <v>1329633</v>
      </c>
    </row>
    <row r="383" spans="1:7" x14ac:dyDescent="0.35">
      <c r="A383" s="1" t="str">
        <f t="shared" si="5"/>
        <v>12  BPA 5</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2366</v>
      </c>
      <c r="D383" s="1" t="s">
        <v>2367</v>
      </c>
      <c r="E383" s="1" t="s">
        <v>2368</v>
      </c>
      <c r="F383" s="1" t="s">
        <v>112</v>
      </c>
      <c r="G383" s="1">
        <v>3354602</v>
      </c>
    </row>
    <row r="384" spans="1:7" x14ac:dyDescent="0.35">
      <c r="A384" s="1" t="str">
        <f t="shared" si="5"/>
        <v>12  BPA 5</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2369</v>
      </c>
      <c r="D384" s="1" t="s">
        <v>2370</v>
      </c>
      <c r="E384" s="1" t="s">
        <v>2371</v>
      </c>
      <c r="F384" s="1" t="s">
        <v>112</v>
      </c>
      <c r="G384" s="1">
        <v>3437964</v>
      </c>
    </row>
    <row r="385" spans="1:9" x14ac:dyDescent="0.35">
      <c r="A385" s="1" t="str">
        <f t="shared" si="5"/>
        <v>12  BPA 5</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2372</v>
      </c>
      <c r="D385" s="1" t="s">
        <v>2373</v>
      </c>
      <c r="E385" s="1" t="s">
        <v>2374</v>
      </c>
      <c r="F385" s="1" t="s">
        <v>112</v>
      </c>
      <c r="G385" s="1">
        <v>3624262</v>
      </c>
    </row>
    <row r="386" spans="1:9" x14ac:dyDescent="0.35">
      <c r="A386" s="1" t="str">
        <f t="shared" ref="A386:A449" si="6">IFERROR(LEFT(RIGHT(C386,LEN(C386)-SEARCH("@",C386)),SEARCH("/",RIGHT(C386,LEN(C386)-SEARCH("@",C386)-1))),"")</f>
        <v>12  BPA 5</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2375</v>
      </c>
      <c r="D386" s="1" t="s">
        <v>2376</v>
      </c>
      <c r="E386" s="1" t="s">
        <v>2377</v>
      </c>
      <c r="F386" s="1" t="s">
        <v>112</v>
      </c>
      <c r="G386" s="1">
        <v>3275415</v>
      </c>
    </row>
    <row r="387" spans="1:9" x14ac:dyDescent="0.35">
      <c r="A387" s="1" t="str">
        <f t="shared" si="6"/>
        <v>12  BPA 5</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2378</v>
      </c>
      <c r="D387" s="1" t="s">
        <v>647</v>
      </c>
      <c r="E387" s="1" t="s">
        <v>2379</v>
      </c>
      <c r="F387" s="1" t="s">
        <v>112</v>
      </c>
      <c r="G387" s="1">
        <v>4110091</v>
      </c>
    </row>
    <row r="388" spans="1:9" x14ac:dyDescent="0.35">
      <c r="A388" s="1" t="str">
        <f t="shared" si="6"/>
        <v>12  BPA 5</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2380</v>
      </c>
      <c r="D388" s="1" t="s">
        <v>2381</v>
      </c>
      <c r="E388" s="1" t="s">
        <v>2382</v>
      </c>
      <c r="F388" s="1" t="s">
        <v>112</v>
      </c>
      <c r="G388" s="1">
        <v>3859487</v>
      </c>
    </row>
    <row r="389" spans="1:9"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9"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241</v>
      </c>
      <c r="D390" s="1" t="s">
        <v>112</v>
      </c>
      <c r="E390" s="1" t="s">
        <v>242</v>
      </c>
      <c r="F390" s="1" t="s">
        <v>243</v>
      </c>
      <c r="G390" s="1" t="s">
        <v>244</v>
      </c>
      <c r="H390" s="1" t="s">
        <v>245</v>
      </c>
      <c r="I390" s="1" t="s">
        <v>246</v>
      </c>
    </row>
    <row r="391" spans="1:9" x14ac:dyDescent="0.35">
      <c r="A391" s="1" t="str">
        <f t="shared" si="6"/>
        <v>12  BPA 5</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2383</v>
      </c>
      <c r="D391" s="1" t="s">
        <v>112</v>
      </c>
      <c r="E391" s="1" t="s">
        <v>2384</v>
      </c>
      <c r="F391" s="1" t="s">
        <v>2385</v>
      </c>
      <c r="G391" s="1" t="s">
        <v>2386</v>
      </c>
      <c r="H391" s="1" t="s">
        <v>2387</v>
      </c>
      <c r="I391" s="1">
        <v>24</v>
      </c>
    </row>
    <row r="392" spans="1:9"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9"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9"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9"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9"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9"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252</v>
      </c>
      <c r="D397" s="1" t="s">
        <v>110</v>
      </c>
      <c r="E397" s="1" t="s">
        <v>111</v>
      </c>
      <c r="F397" s="1" t="s">
        <v>112</v>
      </c>
      <c r="G397" s="1" t="s">
        <v>113</v>
      </c>
    </row>
    <row r="398" spans="1:9" x14ac:dyDescent="0.35">
      <c r="A398" s="1" t="str">
        <f t="shared" si="6"/>
        <v>13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2388</v>
      </c>
      <c r="D398" s="1" t="s">
        <v>2389</v>
      </c>
      <c r="E398" s="1" t="s">
        <v>2390</v>
      </c>
      <c r="F398" s="1" t="s">
        <v>112</v>
      </c>
      <c r="G398" s="1">
        <v>3172673</v>
      </c>
    </row>
    <row r="399" spans="1:9" x14ac:dyDescent="0.35">
      <c r="A399" s="1" t="str">
        <f t="shared" si="6"/>
        <v>13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2391</v>
      </c>
      <c r="D399" s="1" t="s">
        <v>2392</v>
      </c>
      <c r="E399" s="1" t="s">
        <v>2393</v>
      </c>
      <c r="F399" s="1" t="s">
        <v>112</v>
      </c>
      <c r="G399" s="1">
        <v>3038416</v>
      </c>
    </row>
    <row r="400" spans="1:9" x14ac:dyDescent="0.35">
      <c r="A400" s="1" t="str">
        <f t="shared" si="6"/>
        <v>13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2394</v>
      </c>
      <c r="D400" s="1" t="s">
        <v>2395</v>
      </c>
      <c r="E400" s="1" t="s">
        <v>2396</v>
      </c>
      <c r="F400" s="1" t="s">
        <v>112</v>
      </c>
      <c r="G400" s="1">
        <v>3680932</v>
      </c>
    </row>
    <row r="401" spans="1:7" x14ac:dyDescent="0.35">
      <c r="A401" s="1" t="str">
        <f t="shared" si="6"/>
        <v>13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2397</v>
      </c>
      <c r="D401" s="1" t="s">
        <v>2398</v>
      </c>
      <c r="E401" s="1" t="s">
        <v>2399</v>
      </c>
      <c r="F401" s="1" t="s">
        <v>112</v>
      </c>
      <c r="G401" s="1">
        <v>5313189</v>
      </c>
    </row>
    <row r="402" spans="1:7" x14ac:dyDescent="0.35">
      <c r="A402" s="1" t="str">
        <f t="shared" si="6"/>
        <v>13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2400</v>
      </c>
      <c r="D402" s="1" t="s">
        <v>2401</v>
      </c>
      <c r="E402" s="1" t="s">
        <v>2402</v>
      </c>
      <c r="F402" s="1" t="s">
        <v>112</v>
      </c>
      <c r="G402" s="1">
        <v>5359152</v>
      </c>
    </row>
    <row r="403" spans="1:7" x14ac:dyDescent="0.35">
      <c r="A403" s="1" t="str">
        <f t="shared" si="6"/>
        <v>13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2403</v>
      </c>
      <c r="D403" s="1" t="s">
        <v>2404</v>
      </c>
      <c r="E403" s="1" t="s">
        <v>2405</v>
      </c>
      <c r="F403" s="1" t="s">
        <v>112</v>
      </c>
      <c r="G403" s="1">
        <v>4726976</v>
      </c>
    </row>
    <row r="404" spans="1:7" x14ac:dyDescent="0.35">
      <c r="A404" s="1" t="str">
        <f t="shared" si="6"/>
        <v>13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2406</v>
      </c>
      <c r="D404" s="1" t="s">
        <v>2407</v>
      </c>
      <c r="E404" s="1" t="s">
        <v>2408</v>
      </c>
      <c r="F404" s="1" t="s">
        <v>112</v>
      </c>
      <c r="G404" s="1">
        <v>2139240</v>
      </c>
    </row>
    <row r="405" spans="1:7" x14ac:dyDescent="0.35">
      <c r="A405" s="1" t="str">
        <f t="shared" si="6"/>
        <v>13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2409</v>
      </c>
      <c r="D405" s="1" t="s">
        <v>2410</v>
      </c>
      <c r="E405" s="1" t="s">
        <v>2411</v>
      </c>
      <c r="F405" s="1" t="s">
        <v>112</v>
      </c>
      <c r="G405" s="1">
        <v>2661256</v>
      </c>
    </row>
    <row r="406" spans="1:7" x14ac:dyDescent="0.35">
      <c r="A406" s="1" t="str">
        <f t="shared" si="6"/>
        <v>13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2412</v>
      </c>
      <c r="D406" s="1" t="s">
        <v>2413</v>
      </c>
      <c r="E406" s="1" t="s">
        <v>2414</v>
      </c>
      <c r="F406" s="1" t="s">
        <v>112</v>
      </c>
      <c r="G406" s="1">
        <v>2139024</v>
      </c>
    </row>
    <row r="407" spans="1:7" x14ac:dyDescent="0.35">
      <c r="A407" s="1" t="str">
        <f t="shared" si="6"/>
        <v>13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2415</v>
      </c>
      <c r="D407" s="1" t="s">
        <v>2416</v>
      </c>
      <c r="E407" s="1" t="s">
        <v>2417</v>
      </c>
      <c r="F407" s="1" t="s">
        <v>112</v>
      </c>
      <c r="G407" s="1">
        <v>2566171</v>
      </c>
    </row>
    <row r="408" spans="1:7" x14ac:dyDescent="0.35">
      <c r="A408" s="1" t="str">
        <f t="shared" si="6"/>
        <v>13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2418</v>
      </c>
      <c r="D408" s="1" t="s">
        <v>2419</v>
      </c>
      <c r="E408" s="1" t="s">
        <v>2420</v>
      </c>
      <c r="F408" s="1" t="s">
        <v>112</v>
      </c>
      <c r="G408" s="1">
        <v>2810762</v>
      </c>
    </row>
    <row r="409" spans="1:7" x14ac:dyDescent="0.35">
      <c r="A409" s="1" t="str">
        <f t="shared" si="6"/>
        <v>13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2421</v>
      </c>
      <c r="D409" s="1" t="s">
        <v>2422</v>
      </c>
      <c r="E409" s="1" t="s">
        <v>2423</v>
      </c>
      <c r="F409" s="1" t="s">
        <v>112</v>
      </c>
      <c r="G409" s="1">
        <v>2507727</v>
      </c>
    </row>
    <row r="410" spans="1:7" x14ac:dyDescent="0.35">
      <c r="A410" s="1" t="str">
        <f t="shared" si="6"/>
        <v>13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2424</v>
      </c>
      <c r="D410" s="1" t="s">
        <v>2425</v>
      </c>
      <c r="E410" s="1" t="s">
        <v>2426</v>
      </c>
      <c r="F410" s="1" t="s">
        <v>112</v>
      </c>
      <c r="G410" s="1">
        <v>2939135</v>
      </c>
    </row>
    <row r="411" spans="1:7" x14ac:dyDescent="0.35">
      <c r="A411" s="1" t="str">
        <f t="shared" si="6"/>
        <v>13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2427</v>
      </c>
      <c r="D411" s="1" t="s">
        <v>813</v>
      </c>
      <c r="E411" s="1" t="s">
        <v>2428</v>
      </c>
      <c r="F411" s="1" t="s">
        <v>112</v>
      </c>
      <c r="G411" s="1">
        <v>3248031</v>
      </c>
    </row>
    <row r="412" spans="1:7" x14ac:dyDescent="0.35">
      <c r="A412" s="1" t="str">
        <f t="shared" si="6"/>
        <v>13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2429</v>
      </c>
      <c r="D412" s="1" t="s">
        <v>2430</v>
      </c>
      <c r="E412" s="1" t="s">
        <v>2431</v>
      </c>
      <c r="F412" s="1" t="s">
        <v>112</v>
      </c>
      <c r="G412" s="1">
        <v>2726729</v>
      </c>
    </row>
    <row r="413" spans="1:7" x14ac:dyDescent="0.35">
      <c r="A413" s="1" t="str">
        <f t="shared" si="6"/>
        <v>13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2432</v>
      </c>
      <c r="D413" s="1" t="s">
        <v>373</v>
      </c>
      <c r="E413" s="1" t="s">
        <v>936</v>
      </c>
      <c r="F413" s="1" t="s">
        <v>112</v>
      </c>
      <c r="G413" s="1">
        <v>24399</v>
      </c>
    </row>
    <row r="414" spans="1:7" x14ac:dyDescent="0.35">
      <c r="A414" s="1" t="str">
        <f t="shared" si="6"/>
        <v>13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2433</v>
      </c>
      <c r="D414" s="1" t="s">
        <v>275</v>
      </c>
      <c r="E414" s="1" t="s">
        <v>808</v>
      </c>
      <c r="F414" s="1" t="s">
        <v>112</v>
      </c>
      <c r="G414" s="1">
        <v>62467</v>
      </c>
    </row>
    <row r="415" spans="1:7" x14ac:dyDescent="0.35">
      <c r="A415" s="1" t="str">
        <f t="shared" si="6"/>
        <v>13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2434</v>
      </c>
      <c r="D415" s="1" t="s">
        <v>2435</v>
      </c>
      <c r="E415" s="1" t="s">
        <v>2436</v>
      </c>
      <c r="F415" s="1" t="s">
        <v>112</v>
      </c>
      <c r="G415" s="1">
        <v>102893</v>
      </c>
    </row>
    <row r="416" spans="1:7" x14ac:dyDescent="0.35">
      <c r="A416" s="1" t="str">
        <f t="shared" si="6"/>
        <v>13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2437</v>
      </c>
    </row>
    <row r="417" spans="1:9" x14ac:dyDescent="0.35">
      <c r="A417" s="1" t="str">
        <f t="shared" si="6"/>
        <v>13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2438</v>
      </c>
      <c r="D417" s="1" t="s">
        <v>2439</v>
      </c>
      <c r="E417" s="1" t="s">
        <v>2440</v>
      </c>
      <c r="F417" s="1" t="s">
        <v>112</v>
      </c>
      <c r="G417" s="1">
        <v>5083458</v>
      </c>
    </row>
    <row r="418" spans="1:9" x14ac:dyDescent="0.35">
      <c r="A418" s="1" t="str">
        <f t="shared" si="6"/>
        <v>13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2441</v>
      </c>
      <c r="D418" s="1" t="s">
        <v>2442</v>
      </c>
      <c r="E418" s="1" t="s">
        <v>2443</v>
      </c>
      <c r="F418" s="1" t="s">
        <v>112</v>
      </c>
      <c r="G418" s="1">
        <v>5066522</v>
      </c>
    </row>
    <row r="419" spans="1:9" x14ac:dyDescent="0.35">
      <c r="A419" s="1" t="str">
        <f t="shared" si="6"/>
        <v>13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2444</v>
      </c>
      <c r="D419" s="1" t="s">
        <v>2445</v>
      </c>
      <c r="E419" s="1" t="s">
        <v>2446</v>
      </c>
      <c r="F419" s="1" t="s">
        <v>112</v>
      </c>
      <c r="G419" s="1">
        <v>5261320</v>
      </c>
    </row>
    <row r="420" spans="1:9" x14ac:dyDescent="0.35">
      <c r="A420" s="1" t="str">
        <f t="shared" si="6"/>
        <v>13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2447</v>
      </c>
      <c r="D420" s="1" t="s">
        <v>2448</v>
      </c>
      <c r="E420" s="1" t="s">
        <v>2449</v>
      </c>
      <c r="F420" s="1" t="s">
        <v>112</v>
      </c>
      <c r="G420" s="1">
        <v>5035158</v>
      </c>
    </row>
    <row r="421" spans="1:9" x14ac:dyDescent="0.35">
      <c r="A421" s="1" t="str">
        <f t="shared" si="6"/>
        <v>13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2450</v>
      </c>
    </row>
    <row r="422" spans="1:9"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9"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2451</v>
      </c>
      <c r="D424" s="1" t="s">
        <v>112</v>
      </c>
      <c r="E424" s="1" t="s">
        <v>2452</v>
      </c>
      <c r="F424" s="1" t="s">
        <v>2453</v>
      </c>
      <c r="G424" s="1" t="s">
        <v>2454</v>
      </c>
      <c r="H424" s="1" t="s">
        <v>2455</v>
      </c>
      <c r="I424" s="1">
        <v>24</v>
      </c>
    </row>
    <row r="425" spans="1:9"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9"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9"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9"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9"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9"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252</v>
      </c>
      <c r="D430" s="1" t="s">
        <v>110</v>
      </c>
      <c r="E430" s="1" t="s">
        <v>111</v>
      </c>
      <c r="F430" s="1" t="s">
        <v>112</v>
      </c>
      <c r="G430" s="1" t="s">
        <v>113</v>
      </c>
    </row>
    <row r="431" spans="1:9" x14ac:dyDescent="0.35">
      <c r="A431" s="1" t="str">
        <f t="shared" si="6"/>
        <v>14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2456</v>
      </c>
      <c r="D431" s="1" t="s">
        <v>2457</v>
      </c>
      <c r="E431" s="1" t="s">
        <v>2458</v>
      </c>
      <c r="F431" s="1" t="s">
        <v>112</v>
      </c>
      <c r="G431" s="1">
        <v>850055</v>
      </c>
    </row>
    <row r="432" spans="1:9" x14ac:dyDescent="0.35">
      <c r="A432" s="1" t="str">
        <f t="shared" si="6"/>
        <v>14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2459</v>
      </c>
      <c r="D432" s="1" t="s">
        <v>2460</v>
      </c>
      <c r="E432" s="1" t="s">
        <v>2461</v>
      </c>
      <c r="F432" s="1" t="s">
        <v>112</v>
      </c>
      <c r="G432" s="1">
        <v>1155469</v>
      </c>
    </row>
    <row r="433" spans="1:7" x14ac:dyDescent="0.35">
      <c r="A433" s="1" t="str">
        <f t="shared" si="6"/>
        <v>14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2462</v>
      </c>
    </row>
    <row r="434" spans="1:7" x14ac:dyDescent="0.35">
      <c r="A434" s="1" t="str">
        <f t="shared" si="6"/>
        <v>14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2463</v>
      </c>
      <c r="D434" s="1" t="s">
        <v>1744</v>
      </c>
      <c r="E434" s="1" t="s">
        <v>2464</v>
      </c>
      <c r="F434" s="1" t="s">
        <v>112</v>
      </c>
      <c r="G434" s="1">
        <v>252875</v>
      </c>
    </row>
    <row r="435" spans="1:7" x14ac:dyDescent="0.35">
      <c r="A435" s="1" t="str">
        <f t="shared" si="6"/>
        <v>14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2465</v>
      </c>
      <c r="D435" s="1" t="s">
        <v>1709</v>
      </c>
      <c r="E435" s="1" t="s">
        <v>2466</v>
      </c>
      <c r="F435" s="1" t="s">
        <v>112</v>
      </c>
      <c r="G435" s="1">
        <v>416938</v>
      </c>
    </row>
    <row r="436" spans="1:7" x14ac:dyDescent="0.35">
      <c r="A436" s="1" t="str">
        <f t="shared" si="6"/>
        <v>14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2467</v>
      </c>
      <c r="D436" s="1" t="s">
        <v>2468</v>
      </c>
      <c r="E436" s="1" t="s">
        <v>2469</v>
      </c>
      <c r="F436" s="1" t="s">
        <v>112</v>
      </c>
      <c r="G436" s="1">
        <v>164928</v>
      </c>
    </row>
    <row r="437" spans="1:7" x14ac:dyDescent="0.35">
      <c r="A437" s="1" t="str">
        <f t="shared" si="6"/>
        <v>14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2470</v>
      </c>
      <c r="D437" s="1" t="s">
        <v>1040</v>
      </c>
      <c r="E437" s="1" t="s">
        <v>2471</v>
      </c>
      <c r="F437" s="1" t="s">
        <v>112</v>
      </c>
      <c r="G437" s="1">
        <v>3720255</v>
      </c>
    </row>
    <row r="438" spans="1:7" x14ac:dyDescent="0.35">
      <c r="A438" s="1" t="str">
        <f t="shared" si="6"/>
        <v>14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2472</v>
      </c>
      <c r="D438" s="1" t="s">
        <v>2473</v>
      </c>
      <c r="E438" s="1" t="s">
        <v>2474</v>
      </c>
      <c r="F438" s="1" t="s">
        <v>112</v>
      </c>
      <c r="G438" s="1">
        <v>3770934</v>
      </c>
    </row>
    <row r="439" spans="1:7" x14ac:dyDescent="0.35">
      <c r="A439" s="1" t="str">
        <f t="shared" si="6"/>
        <v>14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2475</v>
      </c>
      <c r="D439" s="1" t="s">
        <v>2476</v>
      </c>
      <c r="E439" s="1" t="s">
        <v>2477</v>
      </c>
      <c r="F439" s="1" t="s">
        <v>112</v>
      </c>
      <c r="G439" s="1">
        <v>3336757</v>
      </c>
    </row>
    <row r="440" spans="1:7" x14ac:dyDescent="0.35">
      <c r="A440" s="1" t="str">
        <f t="shared" si="6"/>
        <v>14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2478</v>
      </c>
      <c r="D440" s="1" t="s">
        <v>2479</v>
      </c>
      <c r="E440" s="1" t="s">
        <v>2480</v>
      </c>
      <c r="F440" s="1" t="s">
        <v>112</v>
      </c>
      <c r="G440" s="1">
        <v>3751575</v>
      </c>
    </row>
    <row r="441" spans="1:7" x14ac:dyDescent="0.35">
      <c r="A441" s="1" t="str">
        <f t="shared" si="6"/>
        <v>14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2481</v>
      </c>
      <c r="D441" s="1" t="s">
        <v>2482</v>
      </c>
      <c r="E441" s="1" t="s">
        <v>2483</v>
      </c>
      <c r="F441" s="1" t="s">
        <v>112</v>
      </c>
      <c r="G441" s="1">
        <v>3946158</v>
      </c>
    </row>
    <row r="442" spans="1:7" x14ac:dyDescent="0.35">
      <c r="A442" s="1" t="str">
        <f t="shared" si="6"/>
        <v>14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2484</v>
      </c>
      <c r="D442" s="1" t="s">
        <v>2485</v>
      </c>
      <c r="E442" s="1" t="s">
        <v>2486</v>
      </c>
      <c r="F442" s="1" t="s">
        <v>112</v>
      </c>
      <c r="G442" s="1">
        <v>4144050</v>
      </c>
    </row>
    <row r="443" spans="1:7" x14ac:dyDescent="0.35">
      <c r="A443" s="1" t="str">
        <f t="shared" si="6"/>
        <v>14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2487</v>
      </c>
      <c r="D443" s="1" t="s">
        <v>2488</v>
      </c>
      <c r="E443" s="1" t="s">
        <v>2489</v>
      </c>
      <c r="F443" s="1" t="s">
        <v>112</v>
      </c>
      <c r="G443" s="1">
        <v>4275992</v>
      </c>
    </row>
    <row r="444" spans="1:7" x14ac:dyDescent="0.35">
      <c r="A444" s="1" t="str">
        <f t="shared" si="6"/>
        <v>14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2490</v>
      </c>
      <c r="D444" s="1" t="s">
        <v>2491</v>
      </c>
      <c r="E444" s="1" t="s">
        <v>2492</v>
      </c>
      <c r="F444" s="1" t="s">
        <v>112</v>
      </c>
      <c r="G444" s="1">
        <v>3928919</v>
      </c>
    </row>
    <row r="445" spans="1:7" x14ac:dyDescent="0.35">
      <c r="A445" s="1" t="str">
        <f t="shared" si="6"/>
        <v>14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2493</v>
      </c>
      <c r="D445" s="1" t="s">
        <v>2494</v>
      </c>
      <c r="E445" s="1" t="s">
        <v>2495</v>
      </c>
      <c r="F445" s="1" t="s">
        <v>112</v>
      </c>
      <c r="G445" s="1">
        <v>4005900</v>
      </c>
    </row>
    <row r="446" spans="1:7" x14ac:dyDescent="0.35">
      <c r="A446" s="1" t="str">
        <f t="shared" si="6"/>
        <v>14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2496</v>
      </c>
      <c r="D446" s="1" t="s">
        <v>2497</v>
      </c>
      <c r="E446" s="1" t="s">
        <v>2498</v>
      </c>
      <c r="F446" s="1" t="s">
        <v>112</v>
      </c>
      <c r="G446" s="1">
        <v>3335460</v>
      </c>
    </row>
    <row r="447" spans="1:7" x14ac:dyDescent="0.35">
      <c r="A447" s="1" t="str">
        <f t="shared" si="6"/>
        <v>14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2499</v>
      </c>
      <c r="D447" s="1" t="s">
        <v>518</v>
      </c>
      <c r="E447" s="1" t="s">
        <v>2500</v>
      </c>
      <c r="F447" s="1" t="s">
        <v>112</v>
      </c>
      <c r="G447" s="1">
        <v>3196790</v>
      </c>
    </row>
    <row r="448" spans="1:7" x14ac:dyDescent="0.35">
      <c r="A448" s="1" t="str">
        <f t="shared" si="6"/>
        <v>14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2501</v>
      </c>
      <c r="D448" s="1" t="s">
        <v>2413</v>
      </c>
      <c r="E448" s="1" t="s">
        <v>2502</v>
      </c>
      <c r="F448" s="1" t="s">
        <v>112</v>
      </c>
      <c r="G448" s="1">
        <v>2478851</v>
      </c>
    </row>
    <row r="449" spans="1:9" x14ac:dyDescent="0.35">
      <c r="A449" s="1" t="str">
        <f t="shared" si="6"/>
        <v>14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2503</v>
      </c>
      <c r="D449" s="1" t="s">
        <v>2504</v>
      </c>
      <c r="E449" s="1" t="s">
        <v>2505</v>
      </c>
      <c r="F449" s="1" t="s">
        <v>112</v>
      </c>
      <c r="G449" s="1">
        <v>4656419</v>
      </c>
    </row>
    <row r="450" spans="1:9" x14ac:dyDescent="0.35">
      <c r="A450" s="1" t="str">
        <f t="shared" ref="A450:A513" si="7">IFERROR(LEFT(RIGHT(C450,LEN(C450)-SEARCH("@",C450)),SEARCH("/",RIGHT(C450,LEN(C450)-SEARCH("@",C450)-1))),"")</f>
        <v>14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2506</v>
      </c>
      <c r="D450" s="1" t="s">
        <v>2507</v>
      </c>
      <c r="E450" s="1" t="s">
        <v>2508</v>
      </c>
      <c r="F450" s="1" t="s">
        <v>112</v>
      </c>
      <c r="G450" s="1">
        <v>4833935</v>
      </c>
    </row>
    <row r="451" spans="1:9" x14ac:dyDescent="0.35">
      <c r="A451" s="1" t="str">
        <f t="shared" si="7"/>
        <v>14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2509</v>
      </c>
      <c r="D451" s="1" t="s">
        <v>2510</v>
      </c>
      <c r="E451" s="1" t="s">
        <v>2511</v>
      </c>
      <c r="F451" s="1" t="s">
        <v>112</v>
      </c>
      <c r="G451" s="1">
        <v>4736514</v>
      </c>
    </row>
    <row r="452" spans="1:9" x14ac:dyDescent="0.35">
      <c r="A452" s="1" t="str">
        <f t="shared" si="7"/>
        <v>14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2512</v>
      </c>
      <c r="D452" s="1" t="s">
        <v>543</v>
      </c>
      <c r="E452" s="1" t="s">
        <v>2513</v>
      </c>
      <c r="F452" s="1" t="s">
        <v>112</v>
      </c>
      <c r="G452" s="1">
        <v>3561232</v>
      </c>
    </row>
    <row r="453" spans="1:9" x14ac:dyDescent="0.35">
      <c r="A453" s="1" t="str">
        <f t="shared" si="7"/>
        <v>14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2514</v>
      </c>
      <c r="D453" s="1" t="s">
        <v>2515</v>
      </c>
      <c r="E453" s="1" t="s">
        <v>2516</v>
      </c>
      <c r="F453" s="1" t="s">
        <v>112</v>
      </c>
      <c r="G453" s="1">
        <v>3187598</v>
      </c>
    </row>
    <row r="454" spans="1:9" x14ac:dyDescent="0.35">
      <c r="A454" s="1" t="str">
        <f t="shared" si="7"/>
        <v>14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2517</v>
      </c>
      <c r="D454" s="1" t="s">
        <v>2518</v>
      </c>
      <c r="E454" s="1" t="s">
        <v>2519</v>
      </c>
      <c r="F454" s="1" t="s">
        <v>112</v>
      </c>
      <c r="G454" s="1">
        <v>3529134</v>
      </c>
    </row>
    <row r="455" spans="1:9"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9"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2520</v>
      </c>
      <c r="D457" s="1" t="s">
        <v>112</v>
      </c>
      <c r="E457" s="1" t="s">
        <v>2521</v>
      </c>
      <c r="F457" s="1" t="s">
        <v>2522</v>
      </c>
      <c r="G457" s="1" t="s">
        <v>2523</v>
      </c>
      <c r="H457" s="1" t="s">
        <v>2524</v>
      </c>
      <c r="I457" s="1">
        <v>24</v>
      </c>
    </row>
    <row r="458" spans="1:9"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9"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9"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9"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9"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9"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252</v>
      </c>
      <c r="D463" s="1" t="s">
        <v>110</v>
      </c>
      <c r="E463" s="1" t="s">
        <v>111</v>
      </c>
      <c r="F463" s="1" t="s">
        <v>112</v>
      </c>
      <c r="G463" s="1" t="s">
        <v>113</v>
      </c>
    </row>
    <row r="464" spans="1:9" x14ac:dyDescent="0.35">
      <c r="A464" s="1" t="str">
        <f t="shared" si="7"/>
        <v>15 Testo + EE2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2525</v>
      </c>
    </row>
    <row r="465" spans="1:7" x14ac:dyDescent="0.35">
      <c r="A465" s="1" t="str">
        <f t="shared" si="7"/>
        <v>15 Testo +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2526</v>
      </c>
      <c r="D465" s="1" t="s">
        <v>2527</v>
      </c>
      <c r="E465" s="1" t="s">
        <v>2528</v>
      </c>
      <c r="F465" s="1" t="s">
        <v>112</v>
      </c>
      <c r="G465" s="1">
        <v>4564038</v>
      </c>
    </row>
    <row r="466" spans="1:7" x14ac:dyDescent="0.35">
      <c r="A466" s="1" t="str">
        <f t="shared" si="7"/>
        <v>15 Testo +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2529</v>
      </c>
      <c r="D466" s="1" t="s">
        <v>2530</v>
      </c>
      <c r="E466" s="1" t="s">
        <v>2531</v>
      </c>
      <c r="F466" s="1" t="s">
        <v>112</v>
      </c>
      <c r="G466" s="1">
        <v>4537346</v>
      </c>
    </row>
    <row r="467" spans="1:7" x14ac:dyDescent="0.35">
      <c r="A467" s="1" t="str">
        <f t="shared" si="7"/>
        <v>15 Testo +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2532</v>
      </c>
      <c r="D467" s="1" t="s">
        <v>2533</v>
      </c>
      <c r="E467" s="1" t="s">
        <v>2534</v>
      </c>
      <c r="F467" s="1" t="s">
        <v>112</v>
      </c>
      <c r="G467" s="1">
        <v>3688221</v>
      </c>
    </row>
    <row r="468" spans="1:7" x14ac:dyDescent="0.35">
      <c r="A468" s="1" t="str">
        <f t="shared" si="7"/>
        <v>15 Testo +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2535</v>
      </c>
      <c r="D468" s="1" t="s">
        <v>2536</v>
      </c>
      <c r="E468" s="1" t="s">
        <v>2537</v>
      </c>
      <c r="F468" s="1" t="s">
        <v>112</v>
      </c>
      <c r="G468" s="1">
        <v>3241283</v>
      </c>
    </row>
    <row r="469" spans="1:7" x14ac:dyDescent="0.35">
      <c r="A469" s="1" t="str">
        <f t="shared" si="7"/>
        <v>15 Testo +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2538</v>
      </c>
      <c r="D469" s="1" t="s">
        <v>2539</v>
      </c>
      <c r="E469" s="1" t="s">
        <v>2540</v>
      </c>
      <c r="F469" s="1" t="s">
        <v>112</v>
      </c>
      <c r="G469" s="1">
        <v>2917267</v>
      </c>
    </row>
    <row r="470" spans="1:7" x14ac:dyDescent="0.35">
      <c r="A470" s="1" t="str">
        <f t="shared" si="7"/>
        <v>15 Testo +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2541</v>
      </c>
      <c r="D470" s="1" t="s">
        <v>2542</v>
      </c>
      <c r="E470" s="1" t="s">
        <v>2543</v>
      </c>
      <c r="F470" s="1" t="s">
        <v>112</v>
      </c>
      <c r="G470" s="1">
        <v>3832082</v>
      </c>
    </row>
    <row r="471" spans="1:7" x14ac:dyDescent="0.35">
      <c r="A471" s="1" t="str">
        <f t="shared" si="7"/>
        <v>15 Testo +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2544</v>
      </c>
      <c r="D471" s="1" t="s">
        <v>2545</v>
      </c>
      <c r="E471" s="1" t="s">
        <v>2546</v>
      </c>
      <c r="F471" s="1" t="s">
        <v>112</v>
      </c>
      <c r="G471" s="1">
        <v>4507000</v>
      </c>
    </row>
    <row r="472" spans="1:7" x14ac:dyDescent="0.35">
      <c r="A472" s="1" t="str">
        <f t="shared" si="7"/>
        <v>15 Testo +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2547</v>
      </c>
      <c r="D472" s="1" t="s">
        <v>2548</v>
      </c>
      <c r="E472" s="1" t="s">
        <v>2549</v>
      </c>
      <c r="F472" s="1" t="s">
        <v>112</v>
      </c>
      <c r="G472" s="1">
        <v>4479551</v>
      </c>
    </row>
    <row r="473" spans="1:7" x14ac:dyDescent="0.35">
      <c r="A473" s="1" t="str">
        <f t="shared" si="7"/>
        <v>15 Testo +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2550</v>
      </c>
      <c r="D473" s="1" t="s">
        <v>2551</v>
      </c>
      <c r="E473" s="1" t="s">
        <v>2552</v>
      </c>
      <c r="F473" s="1" t="s">
        <v>112</v>
      </c>
      <c r="G473" s="1">
        <v>2929596</v>
      </c>
    </row>
    <row r="474" spans="1:7" x14ac:dyDescent="0.35">
      <c r="A474" s="1" t="str">
        <f t="shared" si="7"/>
        <v>15 Testo +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2553</v>
      </c>
      <c r="D474" s="1" t="s">
        <v>2554</v>
      </c>
      <c r="E474" s="1" t="s">
        <v>2555</v>
      </c>
      <c r="F474" s="1" t="s">
        <v>112</v>
      </c>
      <c r="G474" s="1">
        <v>2591824</v>
      </c>
    </row>
    <row r="475" spans="1:7" x14ac:dyDescent="0.35">
      <c r="A475" s="1" t="str">
        <f t="shared" si="7"/>
        <v>15 Testo +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2556</v>
      </c>
      <c r="D475" s="1" t="s">
        <v>2557</v>
      </c>
      <c r="E475" s="1" t="s">
        <v>2558</v>
      </c>
      <c r="F475" s="1" t="s">
        <v>112</v>
      </c>
      <c r="G475" s="1">
        <v>2925011</v>
      </c>
    </row>
    <row r="476" spans="1:7" x14ac:dyDescent="0.35">
      <c r="A476" s="1" t="str">
        <f t="shared" si="7"/>
        <v>15 Testo +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2559</v>
      </c>
      <c r="D476" s="1" t="s">
        <v>2560</v>
      </c>
      <c r="E476" s="1" t="s">
        <v>2561</v>
      </c>
      <c r="F476" s="1" t="s">
        <v>112</v>
      </c>
      <c r="G476" s="1">
        <v>2523776</v>
      </c>
    </row>
    <row r="477" spans="1:7" x14ac:dyDescent="0.35">
      <c r="A477" s="1" t="str">
        <f t="shared" si="7"/>
        <v>15 Testo +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2562</v>
      </c>
      <c r="D477" s="1" t="s">
        <v>2563</v>
      </c>
      <c r="E477" s="1" t="s">
        <v>2564</v>
      </c>
      <c r="F477" s="1" t="s">
        <v>112</v>
      </c>
      <c r="G477" s="1">
        <v>2413896</v>
      </c>
    </row>
    <row r="478" spans="1:7" x14ac:dyDescent="0.35">
      <c r="A478" s="1" t="str">
        <f t="shared" si="7"/>
        <v>15 Testo +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2565</v>
      </c>
      <c r="D478" s="1" t="s">
        <v>2566</v>
      </c>
      <c r="E478" s="1" t="s">
        <v>2567</v>
      </c>
      <c r="F478" s="1" t="s">
        <v>112</v>
      </c>
      <c r="G478" s="1">
        <v>2347795</v>
      </c>
    </row>
    <row r="479" spans="1:7" x14ac:dyDescent="0.35">
      <c r="A479" s="1" t="str">
        <f t="shared" si="7"/>
        <v>15 Testo +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2568</v>
      </c>
      <c r="D479" s="1" t="s">
        <v>2569</v>
      </c>
      <c r="E479" s="1" t="s">
        <v>2570</v>
      </c>
      <c r="F479" s="1" t="s">
        <v>112</v>
      </c>
      <c r="G479" s="1">
        <v>4806811</v>
      </c>
    </row>
    <row r="480" spans="1:7" x14ac:dyDescent="0.35">
      <c r="A480" s="1" t="str">
        <f t="shared" si="7"/>
        <v>15 Testo +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2571</v>
      </c>
      <c r="D480" s="1" t="s">
        <v>2572</v>
      </c>
      <c r="E480" s="1" t="s">
        <v>2573</v>
      </c>
      <c r="F480" s="1" t="s">
        <v>112</v>
      </c>
      <c r="G480" s="1">
        <v>5290326</v>
      </c>
    </row>
    <row r="481" spans="1:9" x14ac:dyDescent="0.35">
      <c r="A481" s="1" t="str">
        <f t="shared" si="7"/>
        <v>15 Testo +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2574</v>
      </c>
      <c r="D481" s="1" t="s">
        <v>2575</v>
      </c>
      <c r="E481" s="1" t="s">
        <v>2576</v>
      </c>
      <c r="F481" s="1" t="s">
        <v>112</v>
      </c>
      <c r="G481" s="1">
        <v>4656354</v>
      </c>
    </row>
    <row r="482" spans="1:9" x14ac:dyDescent="0.35">
      <c r="A482" s="1" t="str">
        <f t="shared" si="7"/>
        <v>15 Testo +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2577</v>
      </c>
      <c r="D482" s="1" t="s">
        <v>2578</v>
      </c>
      <c r="E482" s="1" t="s">
        <v>2579</v>
      </c>
      <c r="F482" s="1" t="s">
        <v>112</v>
      </c>
      <c r="G482" s="1">
        <v>3603757</v>
      </c>
    </row>
    <row r="483" spans="1:9" x14ac:dyDescent="0.35">
      <c r="A483" s="1" t="str">
        <f t="shared" si="7"/>
        <v>15 Testo +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2580</v>
      </c>
      <c r="D483" s="1" t="s">
        <v>2581</v>
      </c>
      <c r="E483" s="1" t="s">
        <v>2582</v>
      </c>
      <c r="F483" s="1" t="s">
        <v>112</v>
      </c>
      <c r="G483" s="1">
        <v>3539970</v>
      </c>
    </row>
    <row r="484" spans="1:9" x14ac:dyDescent="0.35">
      <c r="A484" s="1" t="str">
        <f t="shared" si="7"/>
        <v>15 Testo +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2583</v>
      </c>
      <c r="D484" s="1" t="s">
        <v>1414</v>
      </c>
      <c r="E484" s="1" t="s">
        <v>2584</v>
      </c>
      <c r="F484" s="1" t="s">
        <v>112</v>
      </c>
      <c r="G484" s="1">
        <v>3598739</v>
      </c>
    </row>
    <row r="485" spans="1:9" x14ac:dyDescent="0.35">
      <c r="A485" s="1" t="str">
        <f t="shared" si="7"/>
        <v>15 Testo +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2585</v>
      </c>
      <c r="D485" s="1" t="s">
        <v>2586</v>
      </c>
      <c r="E485" s="1" t="s">
        <v>2587</v>
      </c>
      <c r="F485" s="1" t="s">
        <v>112</v>
      </c>
      <c r="G485" s="1">
        <v>4187742</v>
      </c>
    </row>
    <row r="486" spans="1:9" x14ac:dyDescent="0.35">
      <c r="A486" s="1" t="str">
        <f t="shared" si="7"/>
        <v>15 Testo +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2588</v>
      </c>
      <c r="D486" s="1" t="s">
        <v>2589</v>
      </c>
      <c r="E486" s="1" t="s">
        <v>2590</v>
      </c>
      <c r="F486" s="1" t="s">
        <v>112</v>
      </c>
      <c r="G486" s="1">
        <v>4061964</v>
      </c>
    </row>
    <row r="487" spans="1:9" x14ac:dyDescent="0.35">
      <c r="A487" s="1" t="str">
        <f t="shared" si="7"/>
        <v>15 Testo +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2591</v>
      </c>
      <c r="D487" s="1" t="s">
        <v>2592</v>
      </c>
      <c r="E487" s="1" t="s">
        <v>2593</v>
      </c>
      <c r="F487" s="1" t="s">
        <v>112</v>
      </c>
      <c r="G487" s="1">
        <v>4425714</v>
      </c>
    </row>
    <row r="488" spans="1:9"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9"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2594</v>
      </c>
      <c r="D490" s="1" t="s">
        <v>112</v>
      </c>
      <c r="E490" s="1" t="s">
        <v>2595</v>
      </c>
      <c r="F490" s="1" t="s">
        <v>2596</v>
      </c>
      <c r="G490" s="1" t="s">
        <v>2597</v>
      </c>
      <c r="H490" s="1" t="s">
        <v>2598</v>
      </c>
      <c r="I490" s="1">
        <v>24</v>
      </c>
    </row>
    <row r="491" spans="1:9"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9"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9"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9"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9"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9"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252</v>
      </c>
      <c r="D496" s="1" t="s">
        <v>110</v>
      </c>
      <c r="E496" s="1" t="s">
        <v>111</v>
      </c>
      <c r="F496" s="1" t="s">
        <v>112</v>
      </c>
      <c r="G496" s="1" t="s">
        <v>113</v>
      </c>
    </row>
    <row r="497" spans="1:7" x14ac:dyDescent="0.35">
      <c r="A497" s="1" t="str">
        <f t="shared" si="7"/>
        <v>16 Testo +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2599</v>
      </c>
      <c r="D497" s="1" t="s">
        <v>1915</v>
      </c>
      <c r="E497" s="1" t="s">
        <v>2600</v>
      </c>
      <c r="F497" s="1" t="s">
        <v>112</v>
      </c>
      <c r="G497" s="1">
        <v>446160</v>
      </c>
    </row>
    <row r="498" spans="1:7" x14ac:dyDescent="0.35">
      <c r="A498" s="1" t="str">
        <f t="shared" si="7"/>
        <v>16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2601</v>
      </c>
      <c r="D498" s="1" t="s">
        <v>1727</v>
      </c>
      <c r="E498" s="1" t="s">
        <v>2602</v>
      </c>
      <c r="F498" s="1" t="s">
        <v>112</v>
      </c>
      <c r="G498" s="1">
        <v>298255</v>
      </c>
    </row>
    <row r="499" spans="1:7" x14ac:dyDescent="0.35">
      <c r="A499" s="1" t="str">
        <f t="shared" si="7"/>
        <v>16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2603</v>
      </c>
      <c r="D499" s="1" t="s">
        <v>2604</v>
      </c>
      <c r="E499" s="1" t="s">
        <v>2605</v>
      </c>
      <c r="F499" s="1" t="s">
        <v>112</v>
      </c>
      <c r="G499" s="1">
        <v>207604</v>
      </c>
    </row>
    <row r="500" spans="1:7" x14ac:dyDescent="0.35">
      <c r="A500" s="1" t="str">
        <f t="shared" si="7"/>
        <v>16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2606</v>
      </c>
      <c r="D500" s="1" t="s">
        <v>2135</v>
      </c>
      <c r="E500" s="1" t="s">
        <v>2607</v>
      </c>
      <c r="F500" s="1" t="s">
        <v>112</v>
      </c>
      <c r="G500" s="1">
        <v>369871</v>
      </c>
    </row>
    <row r="501" spans="1:7" x14ac:dyDescent="0.35">
      <c r="A501" s="1" t="str">
        <f t="shared" si="7"/>
        <v>16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2608</v>
      </c>
      <c r="D501" s="1" t="s">
        <v>2609</v>
      </c>
      <c r="E501" s="1" t="s">
        <v>2610</v>
      </c>
      <c r="F501" s="1" t="s">
        <v>112</v>
      </c>
      <c r="G501" s="1">
        <v>660577</v>
      </c>
    </row>
    <row r="502" spans="1:7" x14ac:dyDescent="0.35">
      <c r="A502" s="1" t="str">
        <f t="shared" si="7"/>
        <v>16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2611</v>
      </c>
      <c r="D502" s="1" t="s">
        <v>2612</v>
      </c>
      <c r="E502" s="1" t="s">
        <v>2613</v>
      </c>
      <c r="F502" s="1" t="s">
        <v>112</v>
      </c>
      <c r="G502" s="1">
        <v>853559</v>
      </c>
    </row>
    <row r="503" spans="1:7" x14ac:dyDescent="0.35">
      <c r="A503" s="1" t="str">
        <f t="shared" si="7"/>
        <v>16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2614</v>
      </c>
      <c r="D503" s="1" t="s">
        <v>2615</v>
      </c>
      <c r="E503" s="1" t="s">
        <v>2616</v>
      </c>
      <c r="F503" s="1" t="s">
        <v>112</v>
      </c>
      <c r="G503" s="1">
        <v>518447</v>
      </c>
    </row>
    <row r="504" spans="1:7" x14ac:dyDescent="0.35">
      <c r="A504" s="1" t="str">
        <f t="shared" si="7"/>
        <v>16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2617</v>
      </c>
      <c r="D504" s="1" t="s">
        <v>2618</v>
      </c>
      <c r="E504" s="1" t="s">
        <v>2619</v>
      </c>
      <c r="F504" s="1" t="s">
        <v>112</v>
      </c>
      <c r="G504" s="1">
        <v>448907</v>
      </c>
    </row>
    <row r="505" spans="1:7" x14ac:dyDescent="0.35">
      <c r="A505" s="1" t="str">
        <f t="shared" si="7"/>
        <v>16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2620</v>
      </c>
      <c r="D505" s="1" t="s">
        <v>2219</v>
      </c>
      <c r="E505" s="1" t="s">
        <v>2621</v>
      </c>
      <c r="F505" s="1" t="s">
        <v>112</v>
      </c>
      <c r="G505" s="1">
        <v>404825</v>
      </c>
    </row>
    <row r="506" spans="1:7" x14ac:dyDescent="0.35">
      <c r="A506" s="1" t="str">
        <f t="shared" si="7"/>
        <v>16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2622</v>
      </c>
      <c r="D506" s="1" t="s">
        <v>1231</v>
      </c>
      <c r="E506" s="1" t="s">
        <v>2623</v>
      </c>
      <c r="F506" s="1" t="s">
        <v>112</v>
      </c>
      <c r="G506" s="1">
        <v>94523</v>
      </c>
    </row>
    <row r="507" spans="1:7" x14ac:dyDescent="0.35">
      <c r="A507" s="1" t="str">
        <f t="shared" si="7"/>
        <v>16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2624</v>
      </c>
      <c r="D507" s="1" t="s">
        <v>690</v>
      </c>
      <c r="E507" s="1" t="s">
        <v>2625</v>
      </c>
      <c r="F507" s="1" t="s">
        <v>112</v>
      </c>
      <c r="G507" s="1">
        <v>62337</v>
      </c>
    </row>
    <row r="508" spans="1:7" x14ac:dyDescent="0.35">
      <c r="A508" s="1" t="str">
        <f t="shared" si="7"/>
        <v>16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2626</v>
      </c>
      <c r="D508" s="1" t="s">
        <v>2627</v>
      </c>
      <c r="E508" s="1" t="s">
        <v>2628</v>
      </c>
      <c r="F508" s="1" t="s">
        <v>112</v>
      </c>
      <c r="G508" s="1">
        <v>303511</v>
      </c>
    </row>
    <row r="509" spans="1:7" x14ac:dyDescent="0.35">
      <c r="A509" s="1" t="str">
        <f t="shared" si="7"/>
        <v>16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2629</v>
      </c>
      <c r="D509" s="1" t="s">
        <v>1859</v>
      </c>
      <c r="E509" s="1" t="s">
        <v>2630</v>
      </c>
      <c r="F509" s="1" t="s">
        <v>112</v>
      </c>
      <c r="G509" s="1">
        <v>264317</v>
      </c>
    </row>
    <row r="510" spans="1:7" x14ac:dyDescent="0.35">
      <c r="A510" s="1" t="str">
        <f t="shared" si="7"/>
        <v>16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2631</v>
      </c>
      <c r="D510" s="1" t="s">
        <v>2632</v>
      </c>
      <c r="E510" s="1" t="s">
        <v>2633</v>
      </c>
      <c r="F510" s="1" t="s">
        <v>112</v>
      </c>
      <c r="G510" s="1">
        <v>142995</v>
      </c>
    </row>
    <row r="511" spans="1:7" x14ac:dyDescent="0.35">
      <c r="A511" s="1" t="str">
        <f t="shared" si="7"/>
        <v>16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2634</v>
      </c>
      <c r="D511" s="1" t="s">
        <v>1207</v>
      </c>
      <c r="E511" s="1" t="s">
        <v>2635</v>
      </c>
      <c r="F511" s="1" t="s">
        <v>112</v>
      </c>
      <c r="G511" s="1">
        <v>45790</v>
      </c>
    </row>
    <row r="512" spans="1:7" x14ac:dyDescent="0.35">
      <c r="A512" s="1" t="str">
        <f t="shared" si="7"/>
        <v>16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2636</v>
      </c>
      <c r="D512" s="1" t="s">
        <v>2637</v>
      </c>
      <c r="E512" s="1" t="s">
        <v>2638</v>
      </c>
      <c r="F512" s="1" t="s">
        <v>112</v>
      </c>
      <c r="G512" s="1">
        <v>266437</v>
      </c>
    </row>
    <row r="513" spans="1:9" x14ac:dyDescent="0.35">
      <c r="A513" s="1" t="str">
        <f t="shared" si="7"/>
        <v>16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2639</v>
      </c>
      <c r="D513" s="1" t="s">
        <v>2640</v>
      </c>
      <c r="E513" s="1" t="s">
        <v>2641</v>
      </c>
      <c r="F513" s="1" t="s">
        <v>112</v>
      </c>
      <c r="G513" s="1">
        <v>142952</v>
      </c>
    </row>
    <row r="514" spans="1:9" x14ac:dyDescent="0.35">
      <c r="A514" s="1" t="str">
        <f t="shared" ref="A514:A577" si="8">IFERROR(LEFT(RIGHT(C514,LEN(C514)-SEARCH("@",C514)),SEARCH("/",RIGHT(C514,LEN(C514)-SEARCH("@",C514)-1))),"")</f>
        <v>16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2642</v>
      </c>
      <c r="D514" s="1" t="s">
        <v>924</v>
      </c>
      <c r="E514" s="1" t="s">
        <v>2643</v>
      </c>
      <c r="F514" s="1" t="s">
        <v>112</v>
      </c>
      <c r="G514" s="1">
        <v>108431</v>
      </c>
    </row>
    <row r="515" spans="1:9" x14ac:dyDescent="0.35">
      <c r="A515" s="1" t="str">
        <f t="shared" si="8"/>
        <v>16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2644</v>
      </c>
      <c r="D515" s="1" t="s">
        <v>2645</v>
      </c>
      <c r="E515" s="1" t="s">
        <v>2646</v>
      </c>
      <c r="F515" s="1" t="s">
        <v>112</v>
      </c>
      <c r="G515" s="1">
        <v>780947</v>
      </c>
    </row>
    <row r="516" spans="1:9" x14ac:dyDescent="0.35">
      <c r="A516" s="1" t="str">
        <f t="shared" si="8"/>
        <v>16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2647</v>
      </c>
      <c r="D516" s="1" t="s">
        <v>2648</v>
      </c>
      <c r="E516" s="1" t="s">
        <v>2649</v>
      </c>
      <c r="F516" s="1" t="s">
        <v>112</v>
      </c>
      <c r="G516" s="1">
        <v>559306</v>
      </c>
    </row>
    <row r="517" spans="1:9" x14ac:dyDescent="0.35">
      <c r="A517" s="1" t="str">
        <f t="shared" si="8"/>
        <v>16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2650</v>
      </c>
      <c r="D517" s="1" t="s">
        <v>264</v>
      </c>
      <c r="E517" s="1" t="s">
        <v>2651</v>
      </c>
      <c r="F517" s="1" t="s">
        <v>112</v>
      </c>
      <c r="G517" s="1">
        <v>127422</v>
      </c>
    </row>
    <row r="518" spans="1:9" x14ac:dyDescent="0.35">
      <c r="A518" s="1" t="str">
        <f t="shared" si="8"/>
        <v>16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2652</v>
      </c>
      <c r="D518" s="1" t="s">
        <v>713</v>
      </c>
      <c r="E518" s="1" t="s">
        <v>2653</v>
      </c>
      <c r="F518" s="1" t="s">
        <v>112</v>
      </c>
      <c r="G518" s="1">
        <v>270460</v>
      </c>
    </row>
    <row r="519" spans="1:9" x14ac:dyDescent="0.35">
      <c r="A519" s="1" t="str">
        <f t="shared" si="8"/>
        <v>16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2654</v>
      </c>
      <c r="D519" s="1" t="s">
        <v>2655</v>
      </c>
      <c r="E519" s="1" t="s">
        <v>2656</v>
      </c>
      <c r="F519" s="1" t="s">
        <v>112</v>
      </c>
      <c r="G519" s="1">
        <v>784430</v>
      </c>
    </row>
    <row r="520" spans="1:9" x14ac:dyDescent="0.35">
      <c r="A520" s="1" t="str">
        <f t="shared" si="8"/>
        <v>16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2657</v>
      </c>
      <c r="D520" s="1" t="s">
        <v>735</v>
      </c>
      <c r="E520" s="1" t="s">
        <v>2658</v>
      </c>
      <c r="F520" s="1" t="s">
        <v>112</v>
      </c>
      <c r="G520" s="1">
        <v>456434</v>
      </c>
    </row>
    <row r="521" spans="1:9"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9"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2659</v>
      </c>
      <c r="D523" s="1" t="s">
        <v>112</v>
      </c>
      <c r="E523" s="1" t="s">
        <v>2660</v>
      </c>
      <c r="F523" s="1" t="s">
        <v>2661</v>
      </c>
      <c r="G523" s="1" t="s">
        <v>2662</v>
      </c>
      <c r="H523" s="1" t="s">
        <v>2663</v>
      </c>
      <c r="I523" s="1">
        <v>24</v>
      </c>
    </row>
    <row r="524" spans="1:9"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9"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9"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9"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9"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252</v>
      </c>
      <c r="D529" s="1" t="s">
        <v>110</v>
      </c>
      <c r="E529" s="1" t="s">
        <v>111</v>
      </c>
      <c r="F529" s="1" t="s">
        <v>112</v>
      </c>
      <c r="G529" s="1" t="s">
        <v>113</v>
      </c>
    </row>
    <row r="530" spans="1:7" x14ac:dyDescent="0.35">
      <c r="A530" s="1" t="str">
        <f t="shared" si="8"/>
        <v>17 Testo +  BPA 1</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2664</v>
      </c>
      <c r="D530" s="1" t="s">
        <v>2665</v>
      </c>
      <c r="E530" s="1" t="s">
        <v>2666</v>
      </c>
      <c r="F530" s="1" t="s">
        <v>112</v>
      </c>
      <c r="G530" s="1">
        <v>3499241</v>
      </c>
    </row>
    <row r="531" spans="1:7" x14ac:dyDescent="0.35">
      <c r="A531" s="1" t="str">
        <f t="shared" si="8"/>
        <v>17 Testo +  BPA 1</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2667</v>
      </c>
      <c r="D531" s="1" t="s">
        <v>2668</v>
      </c>
      <c r="E531" s="1" t="s">
        <v>2669</v>
      </c>
      <c r="F531" s="1" t="s">
        <v>112</v>
      </c>
      <c r="G531" s="1">
        <v>3938674</v>
      </c>
    </row>
    <row r="532" spans="1:7" x14ac:dyDescent="0.35">
      <c r="A532" s="1" t="str">
        <f t="shared" si="8"/>
        <v>17 Testo +  BPA 1</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2670</v>
      </c>
      <c r="D532" s="1" t="s">
        <v>2671</v>
      </c>
      <c r="E532" s="1" t="s">
        <v>2672</v>
      </c>
      <c r="F532" s="1" t="s">
        <v>112</v>
      </c>
      <c r="G532" s="1">
        <v>2760905</v>
      </c>
    </row>
    <row r="533" spans="1:7" x14ac:dyDescent="0.35">
      <c r="A533" s="1" t="str">
        <f t="shared" si="8"/>
        <v>17 Testo +  BPA 1</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2673</v>
      </c>
      <c r="D533" s="1" t="s">
        <v>2674</v>
      </c>
      <c r="E533" s="1" t="s">
        <v>2675</v>
      </c>
      <c r="F533" s="1" t="s">
        <v>112</v>
      </c>
      <c r="G533" s="1">
        <v>3073348</v>
      </c>
    </row>
    <row r="534" spans="1:7" x14ac:dyDescent="0.35">
      <c r="A534" s="1" t="str">
        <f t="shared" si="8"/>
        <v>17 Testo +  BPA 1</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2676</v>
      </c>
      <c r="D534" s="1" t="s">
        <v>1011</v>
      </c>
      <c r="E534" s="1" t="s">
        <v>2677</v>
      </c>
      <c r="F534" s="1" t="s">
        <v>112</v>
      </c>
      <c r="G534" s="1">
        <v>3156970</v>
      </c>
    </row>
    <row r="535" spans="1:7" x14ac:dyDescent="0.35">
      <c r="A535" s="1" t="str">
        <f t="shared" si="8"/>
        <v>17 Testo +  BPA 1</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2678</v>
      </c>
    </row>
    <row r="536" spans="1:7" x14ac:dyDescent="0.35">
      <c r="A536" s="1" t="str">
        <f t="shared" si="8"/>
        <v>17 Testo +  BPA 1</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2679</v>
      </c>
      <c r="D536" s="1" t="s">
        <v>2680</v>
      </c>
      <c r="E536" s="1" t="s">
        <v>2681</v>
      </c>
      <c r="F536" s="1" t="s">
        <v>112</v>
      </c>
      <c r="G536" s="1">
        <v>1999532</v>
      </c>
    </row>
    <row r="537" spans="1:7" x14ac:dyDescent="0.35">
      <c r="A537" s="1" t="str">
        <f t="shared" si="8"/>
        <v>17 Testo +  BPA 1</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2682</v>
      </c>
      <c r="D537" s="1" t="s">
        <v>2683</v>
      </c>
      <c r="E537" s="1" t="s">
        <v>2684</v>
      </c>
      <c r="F537" s="1" t="s">
        <v>112</v>
      </c>
      <c r="G537" s="1">
        <v>2564592</v>
      </c>
    </row>
    <row r="538" spans="1:7" x14ac:dyDescent="0.35">
      <c r="A538" s="1" t="str">
        <f t="shared" si="8"/>
        <v>17 Testo +  BPA 1</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2685</v>
      </c>
      <c r="D538" s="1" t="s">
        <v>2686</v>
      </c>
      <c r="E538" s="1" t="s">
        <v>2687</v>
      </c>
      <c r="F538" s="1" t="s">
        <v>112</v>
      </c>
      <c r="G538" s="1">
        <v>2341631</v>
      </c>
    </row>
    <row r="539" spans="1:7" x14ac:dyDescent="0.35">
      <c r="A539" s="1" t="str">
        <f t="shared" si="8"/>
        <v>17 Testo +  BPA 1</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2688</v>
      </c>
      <c r="D539" s="1" t="s">
        <v>2689</v>
      </c>
      <c r="E539" s="1" t="s">
        <v>2690</v>
      </c>
      <c r="F539" s="1" t="s">
        <v>112</v>
      </c>
      <c r="G539" s="1">
        <v>1984370</v>
      </c>
    </row>
    <row r="540" spans="1:7" x14ac:dyDescent="0.35">
      <c r="A540" s="1" t="str">
        <f t="shared" si="8"/>
        <v>17 Testo +  BPA 1</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2691</v>
      </c>
      <c r="D540" s="1" t="s">
        <v>2692</v>
      </c>
      <c r="E540" s="1" t="s">
        <v>2693</v>
      </c>
      <c r="F540" s="1" t="s">
        <v>112</v>
      </c>
      <c r="G540" s="1">
        <v>1908427</v>
      </c>
    </row>
    <row r="541" spans="1:7" x14ac:dyDescent="0.35">
      <c r="A541" s="1" t="str">
        <f t="shared" si="8"/>
        <v>17 Testo +  BPA 1</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2694</v>
      </c>
      <c r="D541" s="1" t="s">
        <v>2695</v>
      </c>
      <c r="E541" s="1" t="s">
        <v>2696</v>
      </c>
      <c r="F541" s="1" t="s">
        <v>112</v>
      </c>
      <c r="G541" s="1">
        <v>1977124</v>
      </c>
    </row>
    <row r="542" spans="1:7" x14ac:dyDescent="0.35">
      <c r="A542" s="1" t="str">
        <f t="shared" si="8"/>
        <v>17 Testo +  BPA 1</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2697</v>
      </c>
      <c r="D542" s="1" t="s">
        <v>2698</v>
      </c>
      <c r="E542" s="1" t="s">
        <v>2699</v>
      </c>
      <c r="F542" s="1" t="s">
        <v>112</v>
      </c>
      <c r="G542" s="1">
        <v>3689454</v>
      </c>
    </row>
    <row r="543" spans="1:7" x14ac:dyDescent="0.35">
      <c r="A543" s="1" t="str">
        <f t="shared" si="8"/>
        <v>17 Testo +  BPA 1</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2700</v>
      </c>
      <c r="D543" s="1" t="s">
        <v>2701</v>
      </c>
      <c r="E543" s="1" t="s">
        <v>2702</v>
      </c>
      <c r="F543" s="1" t="s">
        <v>112</v>
      </c>
      <c r="G543" s="1">
        <v>3656404</v>
      </c>
    </row>
    <row r="544" spans="1:7" x14ac:dyDescent="0.35">
      <c r="A544" s="1" t="str">
        <f t="shared" si="8"/>
        <v>17 Testo +  BPA 1</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2703</v>
      </c>
      <c r="D544" s="1" t="s">
        <v>2310</v>
      </c>
      <c r="E544" s="1" t="s">
        <v>2704</v>
      </c>
      <c r="F544" s="1" t="s">
        <v>112</v>
      </c>
      <c r="G544" s="1">
        <v>3642107</v>
      </c>
    </row>
    <row r="545" spans="1:9" x14ac:dyDescent="0.35">
      <c r="A545" s="1" t="str">
        <f t="shared" si="8"/>
        <v>17 Testo +  BPA 1</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2705</v>
      </c>
      <c r="D545" s="1" t="s">
        <v>2706</v>
      </c>
      <c r="E545" s="1" t="s">
        <v>2707</v>
      </c>
      <c r="F545" s="1" t="s">
        <v>112</v>
      </c>
      <c r="G545" s="1">
        <v>4573165</v>
      </c>
    </row>
    <row r="546" spans="1:9" x14ac:dyDescent="0.35">
      <c r="A546" s="1" t="str">
        <f t="shared" si="8"/>
        <v>17 Testo +  BPA 1</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2708</v>
      </c>
      <c r="D546" s="1" t="s">
        <v>2709</v>
      </c>
      <c r="E546" s="1" t="s">
        <v>2710</v>
      </c>
      <c r="F546" s="1" t="s">
        <v>112</v>
      </c>
      <c r="G546" s="1">
        <v>5049326</v>
      </c>
    </row>
    <row r="547" spans="1:9" x14ac:dyDescent="0.35">
      <c r="A547" s="1" t="str">
        <f t="shared" si="8"/>
        <v>17 Testo +  BPA 1</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2711</v>
      </c>
      <c r="D547" s="1" t="s">
        <v>2712</v>
      </c>
      <c r="E547" s="1" t="s">
        <v>2713</v>
      </c>
      <c r="F547" s="1" t="s">
        <v>112</v>
      </c>
      <c r="G547" s="1">
        <v>4868695</v>
      </c>
    </row>
    <row r="548" spans="1:9" x14ac:dyDescent="0.35">
      <c r="A548" s="1" t="str">
        <f t="shared" si="8"/>
        <v>17 Testo +  BPA 1</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2714</v>
      </c>
      <c r="D548" s="1" t="s">
        <v>2715</v>
      </c>
      <c r="E548" s="1" t="s">
        <v>2716</v>
      </c>
      <c r="F548" s="1" t="s">
        <v>112</v>
      </c>
      <c r="G548" s="1">
        <v>4759983</v>
      </c>
    </row>
    <row r="549" spans="1:9" x14ac:dyDescent="0.35">
      <c r="A549" s="1" t="str">
        <f t="shared" si="8"/>
        <v>17 Testo +  BPA 1</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2717</v>
      </c>
      <c r="D549" s="1" t="s">
        <v>2718</v>
      </c>
      <c r="E549" s="1" t="s">
        <v>2719</v>
      </c>
      <c r="F549" s="1" t="s">
        <v>112</v>
      </c>
      <c r="G549" s="1">
        <v>4258212</v>
      </c>
    </row>
    <row r="550" spans="1:9" x14ac:dyDescent="0.35">
      <c r="A550" s="1" t="str">
        <f t="shared" si="8"/>
        <v>17 Testo +  BPA 1</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2720</v>
      </c>
    </row>
    <row r="551" spans="1:9" x14ac:dyDescent="0.35">
      <c r="A551" s="1" t="str">
        <f t="shared" si="8"/>
        <v>17 Testo +  BPA 1</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2721</v>
      </c>
      <c r="D551" s="1" t="s">
        <v>575</v>
      </c>
      <c r="E551" s="1" t="s">
        <v>2722</v>
      </c>
      <c r="F551" s="1" t="s">
        <v>112</v>
      </c>
      <c r="G551" s="1">
        <v>3551888</v>
      </c>
    </row>
    <row r="552" spans="1:9" x14ac:dyDescent="0.35">
      <c r="A552" s="1" t="str">
        <f t="shared" si="8"/>
        <v>17 Testo +  BPA 1</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2723</v>
      </c>
      <c r="D552" s="1" t="s">
        <v>2724</v>
      </c>
      <c r="E552" s="1" t="s">
        <v>2725</v>
      </c>
      <c r="F552" s="1" t="s">
        <v>112</v>
      </c>
      <c r="G552" s="1">
        <v>2949604</v>
      </c>
    </row>
    <row r="553" spans="1:9" x14ac:dyDescent="0.35">
      <c r="A553" s="1" t="str">
        <f t="shared" si="8"/>
        <v>17 Testo +  BPA 1</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2726</v>
      </c>
      <c r="D553" s="1" t="s">
        <v>2727</v>
      </c>
      <c r="E553" s="1" t="s">
        <v>2728</v>
      </c>
      <c r="F553" s="1" t="s">
        <v>112</v>
      </c>
      <c r="G553" s="1">
        <v>2843379</v>
      </c>
    </row>
    <row r="554" spans="1:9"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9"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241</v>
      </c>
      <c r="D555" s="1" t="s">
        <v>112</v>
      </c>
      <c r="E555" s="1" t="s">
        <v>242</v>
      </c>
      <c r="F555" s="1" t="s">
        <v>243</v>
      </c>
      <c r="G555" s="1" t="s">
        <v>244</v>
      </c>
      <c r="H555" s="1" t="s">
        <v>245</v>
      </c>
      <c r="I555" s="1" t="s">
        <v>246</v>
      </c>
    </row>
    <row r="556" spans="1:9" x14ac:dyDescent="0.35">
      <c r="A556" s="1" t="str">
        <f t="shared" si="8"/>
        <v>17 Testo +  BPA 1</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2729</v>
      </c>
      <c r="D556" s="1" t="s">
        <v>112</v>
      </c>
      <c r="E556" s="1" t="s">
        <v>2730</v>
      </c>
      <c r="F556" s="1" t="s">
        <v>2731</v>
      </c>
      <c r="G556" s="1" t="s">
        <v>2732</v>
      </c>
      <c r="H556" s="1" t="s">
        <v>2733</v>
      </c>
      <c r="I556" s="1">
        <v>24</v>
      </c>
    </row>
    <row r="557" spans="1:9"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9"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9"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9"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252</v>
      </c>
      <c r="D562" s="1" t="s">
        <v>110</v>
      </c>
      <c r="E562" s="1" t="s">
        <v>111</v>
      </c>
      <c r="F562" s="1" t="s">
        <v>112</v>
      </c>
      <c r="G562" s="1" t="s">
        <v>113</v>
      </c>
    </row>
    <row r="563" spans="1:7" x14ac:dyDescent="0.35">
      <c r="A563" s="1" t="str">
        <f t="shared" si="8"/>
        <v>18  Testo +  BPA 2</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2734</v>
      </c>
      <c r="D563" s="1" t="s">
        <v>2557</v>
      </c>
      <c r="E563" s="1" t="s">
        <v>2735</v>
      </c>
      <c r="F563" s="1" t="s">
        <v>112</v>
      </c>
      <c r="G563" s="1">
        <v>3144121</v>
      </c>
    </row>
    <row r="564" spans="1:7" x14ac:dyDescent="0.35">
      <c r="A564" s="1" t="str">
        <f t="shared" si="8"/>
        <v>18  Testo +  BPA 2</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2736</v>
      </c>
      <c r="D564" s="1" t="s">
        <v>2737</v>
      </c>
      <c r="E564" s="1" t="s">
        <v>2738</v>
      </c>
      <c r="F564" s="1" t="s">
        <v>112</v>
      </c>
      <c r="G564" s="1">
        <v>3059549</v>
      </c>
    </row>
    <row r="565" spans="1:7" x14ac:dyDescent="0.35">
      <c r="A565" s="1" t="str">
        <f t="shared" si="8"/>
        <v>18  Testo +  BPA 2</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2739</v>
      </c>
      <c r="D565" s="1" t="s">
        <v>2740</v>
      </c>
      <c r="E565" s="1" t="s">
        <v>2741</v>
      </c>
      <c r="F565" s="1" t="s">
        <v>112</v>
      </c>
      <c r="G565" s="1">
        <v>3349432</v>
      </c>
    </row>
    <row r="566" spans="1:7" x14ac:dyDescent="0.35">
      <c r="A566" s="1" t="str">
        <f t="shared" si="8"/>
        <v>18  Testo +  BPA 2</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2742</v>
      </c>
      <c r="D566" s="1" t="s">
        <v>2743</v>
      </c>
      <c r="E566" s="1" t="s">
        <v>2744</v>
      </c>
      <c r="F566" s="1" t="s">
        <v>112</v>
      </c>
      <c r="G566" s="1">
        <v>6936231</v>
      </c>
    </row>
    <row r="567" spans="1:7" x14ac:dyDescent="0.35">
      <c r="A567" s="1" t="str">
        <f t="shared" si="8"/>
        <v>18  Testo +  BPA 2</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2745</v>
      </c>
      <c r="D567" s="1" t="s">
        <v>2746</v>
      </c>
      <c r="E567" s="1" t="s">
        <v>2747</v>
      </c>
      <c r="F567" s="1" t="s">
        <v>112</v>
      </c>
      <c r="G567" s="1">
        <v>6928380</v>
      </c>
    </row>
    <row r="568" spans="1:7" x14ac:dyDescent="0.35">
      <c r="A568" s="1" t="str">
        <f t="shared" si="8"/>
        <v>18  Testo +  BPA 2</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2748</v>
      </c>
      <c r="D568" s="1" t="s">
        <v>2749</v>
      </c>
      <c r="E568" s="1" t="s">
        <v>2750</v>
      </c>
      <c r="F568" s="1" t="s">
        <v>112</v>
      </c>
      <c r="G568" s="1">
        <v>6494008</v>
      </c>
    </row>
    <row r="569" spans="1:7" x14ac:dyDescent="0.35">
      <c r="A569" s="1" t="str">
        <f t="shared" si="8"/>
        <v>18  Testo +  BPA 2</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2751</v>
      </c>
    </row>
    <row r="570" spans="1:7" x14ac:dyDescent="0.35">
      <c r="A570" s="1" t="str">
        <f t="shared" si="8"/>
        <v>18  Testo +  BPA 2</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2752</v>
      </c>
      <c r="D570" s="1" t="s">
        <v>2753</v>
      </c>
      <c r="E570" s="1" t="s">
        <v>2754</v>
      </c>
      <c r="F570" s="1" t="s">
        <v>112</v>
      </c>
      <c r="G570" s="1">
        <v>7000645</v>
      </c>
    </row>
    <row r="571" spans="1:7" x14ac:dyDescent="0.35">
      <c r="A571" s="1" t="str">
        <f t="shared" si="8"/>
        <v>18  Testo +  BPA 2</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2755</v>
      </c>
      <c r="D571" s="1" t="s">
        <v>2756</v>
      </c>
      <c r="E571" s="1" t="s">
        <v>2757</v>
      </c>
      <c r="F571" s="1" t="s">
        <v>112</v>
      </c>
      <c r="G571" s="1">
        <v>6614552</v>
      </c>
    </row>
    <row r="572" spans="1:7" x14ac:dyDescent="0.35">
      <c r="A572" s="1" t="str">
        <f t="shared" si="8"/>
        <v>18  Testo +  BPA 2</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2758</v>
      </c>
      <c r="D572" s="1" t="s">
        <v>2759</v>
      </c>
      <c r="E572" s="1" t="s">
        <v>2760</v>
      </c>
      <c r="F572" s="1" t="s">
        <v>112</v>
      </c>
      <c r="G572" s="1">
        <v>4774107</v>
      </c>
    </row>
    <row r="573" spans="1:7" x14ac:dyDescent="0.35">
      <c r="A573" s="1" t="str">
        <f t="shared" si="8"/>
        <v>18  Testo +  BPA 2</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2761</v>
      </c>
      <c r="D573" s="1" t="s">
        <v>2762</v>
      </c>
      <c r="E573" s="1" t="s">
        <v>2763</v>
      </c>
      <c r="F573" s="1" t="s">
        <v>112</v>
      </c>
      <c r="G573" s="1">
        <v>4870403</v>
      </c>
    </row>
    <row r="574" spans="1:7" x14ac:dyDescent="0.35">
      <c r="A574" s="1" t="str">
        <f t="shared" si="8"/>
        <v>18  Testo +  BPA 2</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2764</v>
      </c>
      <c r="D574" s="1" t="s">
        <v>2765</v>
      </c>
      <c r="E574" s="1" t="s">
        <v>2766</v>
      </c>
      <c r="F574" s="1" t="s">
        <v>112</v>
      </c>
      <c r="G574" s="1">
        <v>4570548</v>
      </c>
    </row>
    <row r="575" spans="1:7" x14ac:dyDescent="0.35">
      <c r="A575" s="1" t="str">
        <f t="shared" si="8"/>
        <v>18  Testo +  BPA 2</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2767</v>
      </c>
      <c r="D575" s="1" t="s">
        <v>2527</v>
      </c>
      <c r="E575" s="1" t="s">
        <v>2768</v>
      </c>
      <c r="F575" s="1" t="s">
        <v>112</v>
      </c>
      <c r="G575" s="1">
        <v>5882618</v>
      </c>
    </row>
    <row r="576" spans="1:7" x14ac:dyDescent="0.35">
      <c r="A576" s="1" t="str">
        <f t="shared" si="8"/>
        <v>18  Testo +  BPA 2</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2769</v>
      </c>
      <c r="D576" s="1" t="s">
        <v>2770</v>
      </c>
      <c r="E576" s="1" t="s">
        <v>2771</v>
      </c>
      <c r="F576" s="1" t="s">
        <v>112</v>
      </c>
      <c r="G576" s="1">
        <v>5865595</v>
      </c>
    </row>
    <row r="577" spans="1:9" x14ac:dyDescent="0.35">
      <c r="A577" s="1" t="str">
        <f t="shared" si="8"/>
        <v>18  Testo +  BPA 2</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2772</v>
      </c>
      <c r="D577" s="1" t="s">
        <v>589</v>
      </c>
      <c r="E577" s="1" t="s">
        <v>2773</v>
      </c>
      <c r="F577" s="1" t="s">
        <v>112</v>
      </c>
      <c r="G577" s="1">
        <v>4959627</v>
      </c>
    </row>
    <row r="578" spans="1:9" x14ac:dyDescent="0.35">
      <c r="A578" s="1" t="str">
        <f t="shared" ref="A578:A641" si="9">IFERROR(LEFT(RIGHT(C578,LEN(C578)-SEARCH("@",C578)),SEARCH("/",RIGHT(C578,LEN(C578)-SEARCH("@",C578)-1))),"")</f>
        <v>18  Testo +  BPA 2</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2774</v>
      </c>
      <c r="D578" s="1" t="s">
        <v>1949</v>
      </c>
      <c r="E578" s="1" t="s">
        <v>2775</v>
      </c>
      <c r="F578" s="1" t="s">
        <v>112</v>
      </c>
      <c r="G578" s="1">
        <v>3986974</v>
      </c>
    </row>
    <row r="579" spans="1:9" x14ac:dyDescent="0.35">
      <c r="A579" s="1" t="str">
        <f t="shared" si="9"/>
        <v>18  Testo +  BPA 2</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2776</v>
      </c>
      <c r="D579" s="1" t="s">
        <v>2777</v>
      </c>
      <c r="E579" s="1" t="s">
        <v>2778</v>
      </c>
      <c r="F579" s="1" t="s">
        <v>112</v>
      </c>
      <c r="G579" s="1">
        <v>4009728</v>
      </c>
    </row>
    <row r="580" spans="1:9" x14ac:dyDescent="0.35">
      <c r="A580" s="1" t="str">
        <f t="shared" si="9"/>
        <v>18  Testo +  BPA 2</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2779</v>
      </c>
      <c r="D580" s="1" t="s">
        <v>2780</v>
      </c>
      <c r="E580" s="1" t="s">
        <v>2781</v>
      </c>
      <c r="F580" s="1" t="s">
        <v>112</v>
      </c>
      <c r="G580" s="1">
        <v>3648639</v>
      </c>
    </row>
    <row r="581" spans="1:9" x14ac:dyDescent="0.35">
      <c r="A581" s="1" t="str">
        <f t="shared" si="9"/>
        <v>18  Testo +  BPA 2</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2782</v>
      </c>
      <c r="D581" s="1" t="s">
        <v>2783</v>
      </c>
      <c r="E581" s="1" t="s">
        <v>2784</v>
      </c>
      <c r="F581" s="1" t="s">
        <v>112</v>
      </c>
      <c r="G581" s="1">
        <v>7175350</v>
      </c>
    </row>
    <row r="582" spans="1:9" x14ac:dyDescent="0.35">
      <c r="A582" s="1" t="str">
        <f t="shared" si="9"/>
        <v>18  Testo +  BPA 2</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2785</v>
      </c>
    </row>
    <row r="583" spans="1:9" x14ac:dyDescent="0.35">
      <c r="A583" s="1" t="str">
        <f t="shared" si="9"/>
        <v>18  Testo +  BPA 2</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2786</v>
      </c>
      <c r="D583" s="1" t="s">
        <v>2787</v>
      </c>
      <c r="E583" s="1" t="s">
        <v>2788</v>
      </c>
      <c r="F583" s="1" t="s">
        <v>112</v>
      </c>
      <c r="G583" s="1">
        <v>6601076</v>
      </c>
    </row>
    <row r="584" spans="1:9" x14ac:dyDescent="0.35">
      <c r="A584" s="1" t="str">
        <f t="shared" si="9"/>
        <v>18  Testo +  BPA 2</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2789</v>
      </c>
      <c r="D584" s="1" t="s">
        <v>2790</v>
      </c>
      <c r="E584" s="1" t="s">
        <v>2791</v>
      </c>
      <c r="F584" s="1" t="s">
        <v>112</v>
      </c>
      <c r="G584" s="1">
        <v>4481801</v>
      </c>
    </row>
    <row r="585" spans="1:9" x14ac:dyDescent="0.35">
      <c r="A585" s="1" t="str">
        <f t="shared" si="9"/>
        <v>18  Testo +  BPA 2</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2792</v>
      </c>
      <c r="D585" s="1" t="s">
        <v>2793</v>
      </c>
      <c r="E585" s="1" t="s">
        <v>2794</v>
      </c>
      <c r="F585" s="1" t="s">
        <v>112</v>
      </c>
      <c r="G585" s="1">
        <v>4554499</v>
      </c>
    </row>
    <row r="586" spans="1:9" x14ac:dyDescent="0.35">
      <c r="A586" s="1" t="str">
        <f t="shared" si="9"/>
        <v>18  Testo +  BPA 2</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2795</v>
      </c>
    </row>
    <row r="587" spans="1:9"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9"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241</v>
      </c>
      <c r="D588" s="1" t="s">
        <v>112</v>
      </c>
      <c r="E588" s="1" t="s">
        <v>242</v>
      </c>
      <c r="F588" s="1" t="s">
        <v>243</v>
      </c>
      <c r="G588" s="1" t="s">
        <v>244</v>
      </c>
      <c r="H588" s="1" t="s">
        <v>245</v>
      </c>
      <c r="I588" s="1" t="s">
        <v>246</v>
      </c>
    </row>
    <row r="589" spans="1:9" x14ac:dyDescent="0.35">
      <c r="A589" s="1" t="str">
        <f t="shared" si="9"/>
        <v>18  Testo +  BPA 2</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2796</v>
      </c>
      <c r="D589" s="1" t="s">
        <v>112</v>
      </c>
      <c r="E589" s="1" t="s">
        <v>2797</v>
      </c>
      <c r="F589" s="1" t="s">
        <v>2798</v>
      </c>
      <c r="G589" s="1" t="s">
        <v>2799</v>
      </c>
      <c r="H589" s="1" t="s">
        <v>2800</v>
      </c>
      <c r="I589" s="1">
        <v>24</v>
      </c>
    </row>
    <row r="590" spans="1:9"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9"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9"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252</v>
      </c>
      <c r="D595" s="1" t="s">
        <v>110</v>
      </c>
      <c r="E595" s="1" t="s">
        <v>111</v>
      </c>
      <c r="F595" s="1" t="s">
        <v>112</v>
      </c>
      <c r="G595" s="1" t="s">
        <v>113</v>
      </c>
    </row>
    <row r="596" spans="1:7" x14ac:dyDescent="0.35">
      <c r="A596" s="1" t="str">
        <f t="shared" si="9"/>
        <v>19 Testo + BPA 3</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2801</v>
      </c>
    </row>
    <row r="597" spans="1:7" x14ac:dyDescent="0.35">
      <c r="A597" s="1" t="str">
        <f t="shared" si="9"/>
        <v>19 Testo + BPA 3</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2802</v>
      </c>
      <c r="D597" s="1" t="s">
        <v>2803</v>
      </c>
      <c r="E597" s="1" t="s">
        <v>2804</v>
      </c>
      <c r="F597" s="1" t="s">
        <v>112</v>
      </c>
      <c r="G597" s="1">
        <v>3501145</v>
      </c>
    </row>
    <row r="598" spans="1:7" x14ac:dyDescent="0.35">
      <c r="A598" s="1" t="str">
        <f t="shared" si="9"/>
        <v>19 Testo + BPA 3</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2805</v>
      </c>
      <c r="D598" s="1" t="s">
        <v>2806</v>
      </c>
      <c r="E598" s="1" t="s">
        <v>2807</v>
      </c>
      <c r="F598" s="1" t="s">
        <v>112</v>
      </c>
      <c r="G598" s="1">
        <v>3073954</v>
      </c>
    </row>
    <row r="599" spans="1:7" x14ac:dyDescent="0.35">
      <c r="A599" s="1" t="str">
        <f t="shared" si="9"/>
        <v>19 Testo + BPA 3</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2808</v>
      </c>
      <c r="D599" s="1" t="s">
        <v>2809</v>
      </c>
      <c r="E599" s="1" t="s">
        <v>2810</v>
      </c>
      <c r="F599" s="1" t="s">
        <v>112</v>
      </c>
      <c r="G599" s="1">
        <v>3092404</v>
      </c>
    </row>
    <row r="600" spans="1:7" x14ac:dyDescent="0.35">
      <c r="A600" s="1" t="str">
        <f t="shared" si="9"/>
        <v>19 Testo + BPA 3</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2811</v>
      </c>
      <c r="D600" s="1" t="s">
        <v>2812</v>
      </c>
      <c r="E600" s="1" t="s">
        <v>2813</v>
      </c>
      <c r="F600" s="1" t="s">
        <v>112</v>
      </c>
      <c r="G600" s="1">
        <v>2624312</v>
      </c>
    </row>
    <row r="601" spans="1:7" x14ac:dyDescent="0.35">
      <c r="A601" s="1" t="str">
        <f t="shared" si="9"/>
        <v>19 Testo + BPA 3</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2814</v>
      </c>
      <c r="D601" s="1" t="s">
        <v>855</v>
      </c>
      <c r="E601" s="1" t="s">
        <v>2815</v>
      </c>
      <c r="F601" s="1" t="s">
        <v>112</v>
      </c>
      <c r="G601" s="1">
        <v>2847814</v>
      </c>
    </row>
    <row r="602" spans="1:7" x14ac:dyDescent="0.35">
      <c r="A602" s="1" t="str">
        <f t="shared" si="9"/>
        <v>19 Testo + BPA 3</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2816</v>
      </c>
      <c r="D602" s="1" t="s">
        <v>2817</v>
      </c>
      <c r="E602" s="1" t="s">
        <v>2818</v>
      </c>
      <c r="F602" s="1" t="s">
        <v>112</v>
      </c>
      <c r="G602" s="1">
        <v>4890519</v>
      </c>
    </row>
    <row r="603" spans="1:7" x14ac:dyDescent="0.35">
      <c r="A603" s="1" t="str">
        <f t="shared" si="9"/>
        <v>19 Testo + BPA 3</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2819</v>
      </c>
      <c r="D603" s="1" t="s">
        <v>2820</v>
      </c>
      <c r="E603" s="1" t="s">
        <v>2821</v>
      </c>
      <c r="F603" s="1" t="s">
        <v>112</v>
      </c>
      <c r="G603" s="1">
        <v>4823467</v>
      </c>
    </row>
    <row r="604" spans="1:7" x14ac:dyDescent="0.35">
      <c r="A604" s="1" t="str">
        <f t="shared" si="9"/>
        <v>19 Testo + BPA 3</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2822</v>
      </c>
      <c r="D604" s="1" t="s">
        <v>2823</v>
      </c>
      <c r="E604" s="1" t="s">
        <v>2824</v>
      </c>
      <c r="F604" s="1" t="s">
        <v>112</v>
      </c>
      <c r="G604" s="1">
        <v>5120294</v>
      </c>
    </row>
    <row r="605" spans="1:7" x14ac:dyDescent="0.35">
      <c r="A605" s="1" t="str">
        <f t="shared" si="9"/>
        <v>19 Testo + BPA 3</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2825</v>
      </c>
      <c r="D605" s="1" t="s">
        <v>575</v>
      </c>
      <c r="E605" s="1" t="s">
        <v>2826</v>
      </c>
      <c r="F605" s="1" t="s">
        <v>112</v>
      </c>
      <c r="G605" s="1">
        <v>4505118</v>
      </c>
    </row>
    <row r="606" spans="1:7" x14ac:dyDescent="0.35">
      <c r="A606" s="1" t="str">
        <f t="shared" si="9"/>
        <v>19 Testo + BPA 3</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2827</v>
      </c>
      <c r="D606" s="1" t="s">
        <v>2828</v>
      </c>
      <c r="E606" s="1" t="s">
        <v>2829</v>
      </c>
      <c r="F606" s="1" t="s">
        <v>112</v>
      </c>
      <c r="G606" s="1">
        <v>4340947</v>
      </c>
    </row>
    <row r="607" spans="1:7" x14ac:dyDescent="0.35">
      <c r="A607" s="1" t="str">
        <f t="shared" si="9"/>
        <v>19 Testo + BPA 3</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2830</v>
      </c>
      <c r="D607" s="1" t="s">
        <v>2831</v>
      </c>
      <c r="E607" s="1" t="s">
        <v>2832</v>
      </c>
      <c r="F607" s="1" t="s">
        <v>112</v>
      </c>
      <c r="G607" s="1">
        <v>4844274</v>
      </c>
    </row>
    <row r="608" spans="1:7" x14ac:dyDescent="0.35">
      <c r="A608" s="1" t="str">
        <f t="shared" si="9"/>
        <v>19 Testo + BPA 3</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2833</v>
      </c>
      <c r="D608" s="1" t="s">
        <v>2834</v>
      </c>
      <c r="E608" s="1" t="s">
        <v>2835</v>
      </c>
      <c r="F608" s="1" t="s">
        <v>112</v>
      </c>
      <c r="G608" s="1">
        <v>5875004</v>
      </c>
    </row>
    <row r="609" spans="1:9" x14ac:dyDescent="0.35">
      <c r="A609" s="1" t="str">
        <f t="shared" si="9"/>
        <v>19 Testo + BPA 3</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2836</v>
      </c>
      <c r="D609" s="1" t="s">
        <v>2837</v>
      </c>
      <c r="E609" s="1" t="s">
        <v>2838</v>
      </c>
      <c r="F609" s="1" t="s">
        <v>112</v>
      </c>
      <c r="G609" s="1">
        <v>5524318</v>
      </c>
    </row>
    <row r="610" spans="1:9" x14ac:dyDescent="0.35">
      <c r="A610" s="1" t="str">
        <f t="shared" si="9"/>
        <v>19 Testo + BPA 3</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2839</v>
      </c>
      <c r="D610" s="1" t="s">
        <v>2840</v>
      </c>
      <c r="E610" s="1" t="s">
        <v>2841</v>
      </c>
      <c r="F610" s="1" t="s">
        <v>112</v>
      </c>
      <c r="G610" s="1">
        <v>6064352</v>
      </c>
    </row>
    <row r="611" spans="1:9" x14ac:dyDescent="0.35">
      <c r="A611" s="1" t="str">
        <f t="shared" si="9"/>
        <v>19 Testo + BPA 3</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2842</v>
      </c>
      <c r="D611" s="1" t="s">
        <v>2052</v>
      </c>
      <c r="E611" s="1" t="s">
        <v>2843</v>
      </c>
      <c r="F611" s="1" t="s">
        <v>112</v>
      </c>
      <c r="G611" s="1">
        <v>5548738</v>
      </c>
    </row>
    <row r="612" spans="1:9" x14ac:dyDescent="0.35">
      <c r="A612" s="1" t="str">
        <f t="shared" si="9"/>
        <v>19 Testo + BPA 3</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2844</v>
      </c>
      <c r="D612" s="1" t="s">
        <v>2845</v>
      </c>
      <c r="E612" s="1" t="s">
        <v>2846</v>
      </c>
      <c r="F612" s="1" t="s">
        <v>112</v>
      </c>
      <c r="G612" s="1">
        <v>5050926</v>
      </c>
    </row>
    <row r="613" spans="1:9" x14ac:dyDescent="0.35">
      <c r="A613" s="1" t="str">
        <f t="shared" si="9"/>
        <v>19 Testo + BPA 3</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2847</v>
      </c>
      <c r="D613" s="1" t="s">
        <v>2848</v>
      </c>
      <c r="E613" s="1" t="s">
        <v>2849</v>
      </c>
      <c r="F613" s="1" t="s">
        <v>112</v>
      </c>
      <c r="G613" s="1">
        <v>5227599</v>
      </c>
    </row>
    <row r="614" spans="1:9" x14ac:dyDescent="0.35">
      <c r="A614" s="1" t="str">
        <f t="shared" si="9"/>
        <v>19 Testo + BPA 3</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2850</v>
      </c>
      <c r="D614" s="1" t="s">
        <v>2851</v>
      </c>
      <c r="E614" s="1" t="s">
        <v>2852</v>
      </c>
      <c r="F614" s="1" t="s">
        <v>112</v>
      </c>
      <c r="G614" s="1">
        <v>3999238</v>
      </c>
    </row>
    <row r="615" spans="1:9" x14ac:dyDescent="0.35">
      <c r="A615" s="1" t="str">
        <f t="shared" si="9"/>
        <v>19 Testo + BPA 3</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2853</v>
      </c>
      <c r="D615" s="1" t="s">
        <v>2854</v>
      </c>
      <c r="E615" s="1" t="s">
        <v>2855</v>
      </c>
      <c r="F615" s="1" t="s">
        <v>112</v>
      </c>
      <c r="G615" s="1">
        <v>3306216</v>
      </c>
    </row>
    <row r="616" spans="1:9" x14ac:dyDescent="0.35">
      <c r="A616" s="1" t="str">
        <f t="shared" si="9"/>
        <v>19 Testo + BPA 3</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2856</v>
      </c>
      <c r="D616" s="1" t="s">
        <v>2857</v>
      </c>
      <c r="E616" s="1" t="s">
        <v>2858</v>
      </c>
      <c r="F616" s="1" t="s">
        <v>112</v>
      </c>
      <c r="G616" s="1">
        <v>3798534</v>
      </c>
    </row>
    <row r="617" spans="1:9" x14ac:dyDescent="0.35">
      <c r="A617" s="1" t="str">
        <f t="shared" si="9"/>
        <v>19 Testo + BPA 3</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2859</v>
      </c>
      <c r="D617" s="1" t="s">
        <v>2860</v>
      </c>
      <c r="E617" s="1" t="s">
        <v>2861</v>
      </c>
      <c r="F617" s="1" t="s">
        <v>112</v>
      </c>
      <c r="G617" s="1">
        <v>7039017</v>
      </c>
    </row>
    <row r="618" spans="1:9" x14ac:dyDescent="0.35">
      <c r="A618" s="1" t="str">
        <f t="shared" si="9"/>
        <v>19 Testo + BPA 3</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2862</v>
      </c>
      <c r="D618" s="1" t="s">
        <v>2863</v>
      </c>
      <c r="E618" s="1" t="s">
        <v>2864</v>
      </c>
      <c r="F618" s="1" t="s">
        <v>112</v>
      </c>
      <c r="G618" s="1">
        <v>6770546</v>
      </c>
    </row>
    <row r="619" spans="1:9" x14ac:dyDescent="0.35">
      <c r="A619" s="1" t="str">
        <f t="shared" si="9"/>
        <v>19 Testo + BPA 3</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2865</v>
      </c>
      <c r="D619" s="1" t="s">
        <v>2866</v>
      </c>
      <c r="E619" s="1" t="s">
        <v>2867</v>
      </c>
      <c r="F619" s="1" t="s">
        <v>112</v>
      </c>
      <c r="G619" s="1">
        <v>5955770</v>
      </c>
    </row>
    <row r="620" spans="1:9"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9"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241</v>
      </c>
      <c r="D621" s="1" t="s">
        <v>112</v>
      </c>
      <c r="E621" s="1" t="s">
        <v>242</v>
      </c>
      <c r="F621" s="1" t="s">
        <v>243</v>
      </c>
      <c r="G621" s="1" t="s">
        <v>244</v>
      </c>
      <c r="H621" s="1" t="s">
        <v>245</v>
      </c>
      <c r="I621" s="1" t="s">
        <v>246</v>
      </c>
    </row>
    <row r="622" spans="1:9" x14ac:dyDescent="0.35">
      <c r="A622" s="1" t="str">
        <f t="shared" si="9"/>
        <v>19 Testo + BPA 3</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2868</v>
      </c>
      <c r="D622" s="1" t="s">
        <v>112</v>
      </c>
      <c r="E622" s="1" t="s">
        <v>2869</v>
      </c>
      <c r="F622" s="1" t="s">
        <v>2870</v>
      </c>
      <c r="G622" s="1" t="s">
        <v>2871</v>
      </c>
      <c r="H622" s="1" t="s">
        <v>2872</v>
      </c>
      <c r="I622" s="1">
        <v>24</v>
      </c>
    </row>
    <row r="623" spans="1:9"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9"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252</v>
      </c>
      <c r="D628" s="1" t="s">
        <v>110</v>
      </c>
      <c r="E628" s="1" t="s">
        <v>111</v>
      </c>
      <c r="F628" s="1" t="s">
        <v>112</v>
      </c>
      <c r="G628" s="1" t="s">
        <v>113</v>
      </c>
    </row>
    <row r="629" spans="1:7" x14ac:dyDescent="0.35">
      <c r="A629" s="1" t="str">
        <f t="shared" si="9"/>
        <v>20 Testo +  BPA 4</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2873</v>
      </c>
      <c r="D629" s="1" t="s">
        <v>2874</v>
      </c>
      <c r="E629" s="1" t="s">
        <v>2875</v>
      </c>
      <c r="F629" s="1" t="s">
        <v>112</v>
      </c>
      <c r="G629" s="1">
        <v>6067748</v>
      </c>
    </row>
    <row r="630" spans="1:7" x14ac:dyDescent="0.35">
      <c r="A630" s="1" t="str">
        <f t="shared" si="9"/>
        <v>20 Testo +  BPA 4</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2876</v>
      </c>
      <c r="D630" s="1" t="s">
        <v>2340</v>
      </c>
      <c r="E630" s="1" t="s">
        <v>2877</v>
      </c>
      <c r="F630" s="1" t="s">
        <v>112</v>
      </c>
      <c r="G630" s="1">
        <v>5392376</v>
      </c>
    </row>
    <row r="631" spans="1:7" x14ac:dyDescent="0.35">
      <c r="A631" s="1" t="str">
        <f t="shared" si="9"/>
        <v>20 Testo +  BPA 4</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2878</v>
      </c>
      <c r="D631" s="1" t="s">
        <v>2879</v>
      </c>
      <c r="E631" s="1" t="s">
        <v>2880</v>
      </c>
      <c r="F631" s="1" t="s">
        <v>112</v>
      </c>
      <c r="G631" s="1">
        <v>5256389</v>
      </c>
    </row>
    <row r="632" spans="1:7" x14ac:dyDescent="0.35">
      <c r="A632" s="1" t="str">
        <f t="shared" si="9"/>
        <v>20 Testo +  BPA 4</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2881</v>
      </c>
      <c r="D632" s="1" t="s">
        <v>2882</v>
      </c>
      <c r="E632" s="1" t="s">
        <v>2883</v>
      </c>
      <c r="F632" s="1" t="s">
        <v>112</v>
      </c>
      <c r="G632" s="1">
        <v>8416711</v>
      </c>
    </row>
    <row r="633" spans="1:7" x14ac:dyDescent="0.35">
      <c r="A633" s="1" t="str">
        <f t="shared" si="9"/>
        <v>20 Testo +  BPA 4</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2884</v>
      </c>
      <c r="D633" s="1" t="s">
        <v>2885</v>
      </c>
      <c r="E633" s="1" t="s">
        <v>2886</v>
      </c>
      <c r="F633" s="1" t="s">
        <v>112</v>
      </c>
      <c r="G633" s="1">
        <v>7964387</v>
      </c>
    </row>
    <row r="634" spans="1:7" x14ac:dyDescent="0.35">
      <c r="A634" s="1" t="str">
        <f t="shared" si="9"/>
        <v>20 Testo +  BPA 4</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2887</v>
      </c>
      <c r="D634" s="1" t="s">
        <v>2888</v>
      </c>
      <c r="E634" s="1" t="s">
        <v>2889</v>
      </c>
      <c r="F634" s="1" t="s">
        <v>112</v>
      </c>
      <c r="G634" s="1">
        <v>7719017</v>
      </c>
    </row>
    <row r="635" spans="1:7" x14ac:dyDescent="0.35">
      <c r="A635" s="1" t="str">
        <f t="shared" si="9"/>
        <v>20 Testo +  BPA 4</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2890</v>
      </c>
      <c r="D635" s="1" t="s">
        <v>2891</v>
      </c>
      <c r="E635" s="1" t="s">
        <v>2892</v>
      </c>
      <c r="F635" s="1" t="s">
        <v>112</v>
      </c>
      <c r="G635" s="1">
        <v>7169229</v>
      </c>
    </row>
    <row r="636" spans="1:7" x14ac:dyDescent="0.35">
      <c r="A636" s="1" t="str">
        <f t="shared" si="9"/>
        <v>20 Testo +  BPA 4</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2893</v>
      </c>
      <c r="D636" s="1" t="s">
        <v>2894</v>
      </c>
      <c r="E636" s="1" t="s">
        <v>2895</v>
      </c>
      <c r="F636" s="1" t="s">
        <v>112</v>
      </c>
      <c r="G636" s="1">
        <v>7308330</v>
      </c>
    </row>
    <row r="637" spans="1:7" x14ac:dyDescent="0.35">
      <c r="A637" s="1" t="str">
        <f t="shared" si="9"/>
        <v>20 Testo +  BPA 4</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2896</v>
      </c>
      <c r="D637" s="1" t="s">
        <v>2897</v>
      </c>
      <c r="E637" s="1" t="s">
        <v>2898</v>
      </c>
      <c r="F637" s="1" t="s">
        <v>112</v>
      </c>
      <c r="G637" s="1">
        <v>7499344</v>
      </c>
    </row>
    <row r="638" spans="1:7" x14ac:dyDescent="0.35">
      <c r="A638" s="1" t="str">
        <f t="shared" si="9"/>
        <v>20 Testo +  BPA 4</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2899</v>
      </c>
      <c r="D638" s="1" t="s">
        <v>2900</v>
      </c>
      <c r="E638" s="1" t="s">
        <v>2901</v>
      </c>
      <c r="F638" s="1" t="s">
        <v>112</v>
      </c>
      <c r="G638" s="1">
        <v>4032245</v>
      </c>
    </row>
    <row r="639" spans="1:7" x14ac:dyDescent="0.35">
      <c r="A639" s="1" t="str">
        <f t="shared" si="9"/>
        <v>20 Testo +  BPA 4</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2902</v>
      </c>
      <c r="D639" s="1" t="s">
        <v>2903</v>
      </c>
      <c r="E639" s="1" t="s">
        <v>2904</v>
      </c>
      <c r="F639" s="1" t="s">
        <v>112</v>
      </c>
      <c r="G639" s="1">
        <v>3890093</v>
      </c>
    </row>
    <row r="640" spans="1:7" x14ac:dyDescent="0.35">
      <c r="A640" s="1" t="str">
        <f t="shared" si="9"/>
        <v>20 Testo +  BPA 4</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2905</v>
      </c>
      <c r="D640" s="1" t="s">
        <v>2906</v>
      </c>
      <c r="E640" s="1" t="s">
        <v>2907</v>
      </c>
      <c r="F640" s="1" t="s">
        <v>112</v>
      </c>
      <c r="G640" s="1">
        <v>4000773</v>
      </c>
    </row>
    <row r="641" spans="1:9" x14ac:dyDescent="0.35">
      <c r="A641" s="1" t="str">
        <f t="shared" si="9"/>
        <v>20 Testo +  BPA 4</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2908</v>
      </c>
      <c r="D641" s="1" t="s">
        <v>2909</v>
      </c>
      <c r="E641" s="1" t="s">
        <v>2910</v>
      </c>
      <c r="F641" s="1" t="s">
        <v>112</v>
      </c>
      <c r="G641" s="1">
        <v>5097214</v>
      </c>
    </row>
    <row r="642" spans="1:9" x14ac:dyDescent="0.35">
      <c r="A642" s="1" t="str">
        <f t="shared" ref="A642:A705" si="10">IFERROR(LEFT(RIGHT(C642,LEN(C642)-SEARCH("@",C642)),SEARCH("/",RIGHT(C642,LEN(C642)-SEARCH("@",C642)-1))),"")</f>
        <v>20 Testo +  BPA 4</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2911</v>
      </c>
      <c r="D642" s="1" t="s">
        <v>2912</v>
      </c>
      <c r="E642" s="1" t="s">
        <v>2913</v>
      </c>
      <c r="F642" s="1" t="s">
        <v>112</v>
      </c>
      <c r="G642" s="1">
        <v>5692296</v>
      </c>
    </row>
    <row r="643" spans="1:9" x14ac:dyDescent="0.35">
      <c r="A643" s="1" t="str">
        <f t="shared" si="10"/>
        <v>20 Testo +  BPA 4</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2914</v>
      </c>
      <c r="D643" s="1" t="s">
        <v>2915</v>
      </c>
      <c r="E643" s="1" t="s">
        <v>2916</v>
      </c>
      <c r="F643" s="1" t="s">
        <v>112</v>
      </c>
      <c r="G643" s="1">
        <v>5690241</v>
      </c>
    </row>
    <row r="644" spans="1:9" x14ac:dyDescent="0.35">
      <c r="A644" s="1" t="str">
        <f t="shared" si="10"/>
        <v>20 Testo +  BPA 4</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2917</v>
      </c>
      <c r="D644" s="1" t="s">
        <v>2918</v>
      </c>
      <c r="E644" s="1" t="s">
        <v>2919</v>
      </c>
      <c r="F644" s="1" t="s">
        <v>112</v>
      </c>
      <c r="G644" s="1">
        <v>5980623</v>
      </c>
    </row>
    <row r="645" spans="1:9" x14ac:dyDescent="0.35">
      <c r="A645" s="1" t="str">
        <f t="shared" si="10"/>
        <v>20 Testo +  BPA 4</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2920</v>
      </c>
      <c r="D645" s="1" t="s">
        <v>2921</v>
      </c>
      <c r="E645" s="1" t="s">
        <v>2922</v>
      </c>
      <c r="F645" s="1" t="s">
        <v>112</v>
      </c>
      <c r="G645" s="1">
        <v>5875609</v>
      </c>
    </row>
    <row r="646" spans="1:9" x14ac:dyDescent="0.35">
      <c r="A646" s="1" t="str">
        <f t="shared" si="10"/>
        <v>20 Testo +  BPA 4</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2923</v>
      </c>
      <c r="D646" s="1" t="s">
        <v>2924</v>
      </c>
      <c r="E646" s="1" t="s">
        <v>2925</v>
      </c>
      <c r="F646" s="1" t="s">
        <v>112</v>
      </c>
      <c r="G646" s="1">
        <v>6157577</v>
      </c>
    </row>
    <row r="647" spans="1:9" x14ac:dyDescent="0.35">
      <c r="A647" s="1" t="str">
        <f t="shared" si="10"/>
        <v>20 Testo +  BPA 4</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2926</v>
      </c>
      <c r="D647" s="1" t="s">
        <v>2927</v>
      </c>
      <c r="E647" s="1" t="s">
        <v>2928</v>
      </c>
      <c r="F647" s="1" t="s">
        <v>112</v>
      </c>
      <c r="G647" s="1">
        <v>6850166</v>
      </c>
    </row>
    <row r="648" spans="1:9" x14ac:dyDescent="0.35">
      <c r="A648" s="1" t="str">
        <f t="shared" si="10"/>
        <v>20 Testo +  BPA 4</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2929</v>
      </c>
      <c r="D648" s="1" t="s">
        <v>2930</v>
      </c>
      <c r="E648" s="1" t="s">
        <v>2931</v>
      </c>
      <c r="F648" s="1" t="s">
        <v>112</v>
      </c>
      <c r="G648" s="1">
        <v>5887073</v>
      </c>
    </row>
    <row r="649" spans="1:9" x14ac:dyDescent="0.35">
      <c r="A649" s="1" t="str">
        <f t="shared" si="10"/>
        <v>20 Testo +  BPA 4</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2932</v>
      </c>
    </row>
    <row r="650" spans="1:9" x14ac:dyDescent="0.35">
      <c r="A650" s="1" t="str">
        <f t="shared" si="10"/>
        <v>20 Testo +  BPA 4</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2933</v>
      </c>
    </row>
    <row r="651" spans="1:9" x14ac:dyDescent="0.35">
      <c r="A651" s="1" t="str">
        <f t="shared" si="10"/>
        <v>20 Testo +  BPA 4</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2934</v>
      </c>
      <c r="D651" s="1" t="s">
        <v>2935</v>
      </c>
      <c r="E651" s="1" t="s">
        <v>2936</v>
      </c>
      <c r="F651" s="1" t="s">
        <v>112</v>
      </c>
      <c r="G651" s="1">
        <v>3691855</v>
      </c>
    </row>
    <row r="652" spans="1:9" x14ac:dyDescent="0.35">
      <c r="A652" s="1" t="str">
        <f t="shared" si="10"/>
        <v>20 Testo +  BPA 4</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2937</v>
      </c>
      <c r="D652" s="1" t="s">
        <v>1134</v>
      </c>
      <c r="E652" s="1" t="s">
        <v>2938</v>
      </c>
      <c r="F652" s="1" t="s">
        <v>112</v>
      </c>
      <c r="G652" s="1">
        <v>3568522</v>
      </c>
    </row>
    <row r="653" spans="1:9"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9"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241</v>
      </c>
      <c r="D654" s="1" t="s">
        <v>112</v>
      </c>
      <c r="E654" s="1" t="s">
        <v>242</v>
      </c>
      <c r="F654" s="1" t="s">
        <v>243</v>
      </c>
      <c r="G654" s="1" t="s">
        <v>244</v>
      </c>
      <c r="H654" s="1" t="s">
        <v>245</v>
      </c>
      <c r="I654" s="1" t="s">
        <v>246</v>
      </c>
    </row>
    <row r="655" spans="1:9" x14ac:dyDescent="0.35">
      <c r="A655" s="1" t="str">
        <f t="shared" si="10"/>
        <v>20 Testo +  BPA 4</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2939</v>
      </c>
      <c r="D655" s="1" t="s">
        <v>112</v>
      </c>
      <c r="E655" s="1" t="s">
        <v>2940</v>
      </c>
      <c r="F655" s="1" t="s">
        <v>2941</v>
      </c>
      <c r="G655" s="1">
        <v>5589025</v>
      </c>
      <c r="H655" s="1" t="s">
        <v>2942</v>
      </c>
      <c r="I655" s="1">
        <v>24</v>
      </c>
    </row>
    <row r="656" spans="1:9"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252</v>
      </c>
      <c r="D661" s="1" t="s">
        <v>110</v>
      </c>
      <c r="E661" s="1" t="s">
        <v>111</v>
      </c>
      <c r="F661" s="1" t="s">
        <v>112</v>
      </c>
      <c r="G661" s="1" t="s">
        <v>113</v>
      </c>
    </row>
    <row r="662" spans="1:7" x14ac:dyDescent="0.35">
      <c r="A662" s="1" t="str">
        <f t="shared" si="10"/>
        <v>21 Testo +  BPA 5</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2943</v>
      </c>
      <c r="D662" s="1" t="s">
        <v>2944</v>
      </c>
      <c r="E662" s="1" t="s">
        <v>2945</v>
      </c>
      <c r="F662" s="1" t="s">
        <v>112</v>
      </c>
      <c r="G662" s="1">
        <v>5071237</v>
      </c>
    </row>
    <row r="663" spans="1:7" x14ac:dyDescent="0.35">
      <c r="A663" s="1" t="str">
        <f t="shared" si="10"/>
        <v>21 Testo +  BPA 5</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2946</v>
      </c>
      <c r="D663" s="1" t="s">
        <v>2947</v>
      </c>
      <c r="E663" s="1" t="s">
        <v>2948</v>
      </c>
      <c r="F663" s="1" t="s">
        <v>112</v>
      </c>
      <c r="G663" s="1">
        <v>4854030</v>
      </c>
    </row>
    <row r="664" spans="1:7" x14ac:dyDescent="0.35">
      <c r="A664" s="1" t="str">
        <f t="shared" si="10"/>
        <v>21 Testo +  BPA 5</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2949</v>
      </c>
      <c r="D664" s="1" t="s">
        <v>2950</v>
      </c>
      <c r="E664" s="1" t="s">
        <v>2951</v>
      </c>
      <c r="F664" s="1" t="s">
        <v>112</v>
      </c>
      <c r="G664" s="1">
        <v>4693211</v>
      </c>
    </row>
    <row r="665" spans="1:7" x14ac:dyDescent="0.35">
      <c r="A665" s="1" t="str">
        <f t="shared" si="10"/>
        <v>21 Testo +  BPA 5</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2952</v>
      </c>
      <c r="D665" s="1" t="s">
        <v>2953</v>
      </c>
      <c r="E665" s="1" t="s">
        <v>2954</v>
      </c>
      <c r="F665" s="1" t="s">
        <v>112</v>
      </c>
      <c r="G665" s="1">
        <v>6141506</v>
      </c>
    </row>
    <row r="666" spans="1:7" x14ac:dyDescent="0.35">
      <c r="A666" s="1" t="str">
        <f t="shared" si="10"/>
        <v>21 Testo +  BPA 5</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2955</v>
      </c>
      <c r="D666" s="1" t="s">
        <v>2837</v>
      </c>
      <c r="E666" s="1" t="s">
        <v>2956</v>
      </c>
      <c r="F666" s="1" t="s">
        <v>112</v>
      </c>
      <c r="G666" s="1">
        <v>6310825</v>
      </c>
    </row>
    <row r="667" spans="1:7" x14ac:dyDescent="0.35">
      <c r="A667" s="1" t="str">
        <f t="shared" si="10"/>
        <v>21 Testo +  BPA 5</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2957</v>
      </c>
      <c r="D667" s="1" t="s">
        <v>2958</v>
      </c>
      <c r="E667" s="1" t="s">
        <v>2959</v>
      </c>
      <c r="F667" s="1" t="s">
        <v>112</v>
      </c>
      <c r="G667" s="1">
        <v>6276022</v>
      </c>
    </row>
    <row r="668" spans="1:7" x14ac:dyDescent="0.35">
      <c r="A668" s="1" t="str">
        <f t="shared" si="10"/>
        <v>21 Testo +  BPA 5</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2960</v>
      </c>
      <c r="D668" s="1" t="s">
        <v>2961</v>
      </c>
      <c r="E668" s="1" t="s">
        <v>2962</v>
      </c>
      <c r="F668" s="1" t="s">
        <v>112</v>
      </c>
      <c r="G668" s="1">
        <v>8015152</v>
      </c>
    </row>
    <row r="669" spans="1:7" x14ac:dyDescent="0.35">
      <c r="A669" s="1" t="str">
        <f t="shared" si="10"/>
        <v>21 Testo +  BPA 5</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2963</v>
      </c>
      <c r="D669" s="1" t="s">
        <v>2964</v>
      </c>
      <c r="E669" s="1" t="s">
        <v>2965</v>
      </c>
      <c r="F669" s="1" t="s">
        <v>112</v>
      </c>
      <c r="G669" s="1">
        <v>7366169</v>
      </c>
    </row>
    <row r="670" spans="1:7" x14ac:dyDescent="0.35">
      <c r="A670" s="1" t="str">
        <f t="shared" si="10"/>
        <v>21 Testo +  BPA 5</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2966</v>
      </c>
      <c r="D670" s="1" t="s">
        <v>2967</v>
      </c>
      <c r="E670" s="1" t="s">
        <v>2968</v>
      </c>
      <c r="F670" s="1" t="s">
        <v>112</v>
      </c>
      <c r="G670" s="1">
        <v>7602692</v>
      </c>
    </row>
    <row r="671" spans="1:7" x14ac:dyDescent="0.35">
      <c r="A671" s="1" t="str">
        <f t="shared" si="10"/>
        <v>21 Testo +  BPA 5</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2969</v>
      </c>
      <c r="D671" s="1" t="s">
        <v>2970</v>
      </c>
      <c r="E671" s="1" t="s">
        <v>2971</v>
      </c>
      <c r="F671" s="1" t="s">
        <v>112</v>
      </c>
      <c r="G671" s="1">
        <v>2699000</v>
      </c>
    </row>
    <row r="672" spans="1:7" x14ac:dyDescent="0.35">
      <c r="A672" s="1" t="str">
        <f t="shared" si="10"/>
        <v>21 Testo +  BPA 5</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2972</v>
      </c>
      <c r="D672" s="1" t="s">
        <v>2973</v>
      </c>
      <c r="E672" s="1" t="s">
        <v>2974</v>
      </c>
      <c r="F672" s="1" t="s">
        <v>112</v>
      </c>
      <c r="G672" s="1">
        <v>2578478</v>
      </c>
    </row>
    <row r="673" spans="1:9" x14ac:dyDescent="0.35">
      <c r="A673" s="1" t="str">
        <f t="shared" si="10"/>
        <v>21 Testo +  BPA 5</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2975</v>
      </c>
      <c r="D673" s="1" t="s">
        <v>2976</v>
      </c>
      <c r="E673" s="1" t="s">
        <v>2977</v>
      </c>
      <c r="F673" s="1" t="s">
        <v>112</v>
      </c>
      <c r="G673" s="1">
        <v>2293742</v>
      </c>
    </row>
    <row r="674" spans="1:9" x14ac:dyDescent="0.35">
      <c r="A674" s="1" t="str">
        <f t="shared" si="10"/>
        <v>21 Testo +  BPA 5</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2978</v>
      </c>
      <c r="D674" s="1" t="s">
        <v>2979</v>
      </c>
      <c r="E674" s="1" t="s">
        <v>2980</v>
      </c>
      <c r="F674" s="1" t="s">
        <v>112</v>
      </c>
      <c r="G674" s="1">
        <v>5175774</v>
      </c>
    </row>
    <row r="675" spans="1:9" x14ac:dyDescent="0.35">
      <c r="A675" s="1" t="str">
        <f t="shared" si="10"/>
        <v>21 Testo +  BPA 5</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2981</v>
      </c>
      <c r="D675" s="1" t="s">
        <v>2982</v>
      </c>
      <c r="E675" s="1" t="s">
        <v>2983</v>
      </c>
      <c r="F675" s="1" t="s">
        <v>112</v>
      </c>
      <c r="G675" s="1">
        <v>4965532</v>
      </c>
    </row>
    <row r="676" spans="1:9" x14ac:dyDescent="0.35">
      <c r="A676" s="1" t="str">
        <f t="shared" si="10"/>
        <v>21 Testo +  BPA 5</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2984</v>
      </c>
      <c r="D676" s="1" t="s">
        <v>2985</v>
      </c>
      <c r="E676" s="1" t="s">
        <v>2986</v>
      </c>
      <c r="F676" s="1" t="s">
        <v>112</v>
      </c>
      <c r="G676" s="1">
        <v>4691070</v>
      </c>
    </row>
    <row r="677" spans="1:9" x14ac:dyDescent="0.35">
      <c r="A677" s="1" t="str">
        <f t="shared" si="10"/>
        <v>21 Testo +  BPA 5</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2987</v>
      </c>
      <c r="D677" s="1" t="s">
        <v>2988</v>
      </c>
      <c r="E677" s="1" t="s">
        <v>2989</v>
      </c>
      <c r="F677" s="1" t="s">
        <v>112</v>
      </c>
      <c r="G677" s="1">
        <v>3192161</v>
      </c>
    </row>
    <row r="678" spans="1:9" x14ac:dyDescent="0.35">
      <c r="A678" s="1" t="str">
        <f t="shared" si="10"/>
        <v>21 Testo +  BPA 5</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2990</v>
      </c>
      <c r="D678" s="1" t="s">
        <v>2991</v>
      </c>
      <c r="E678" s="1" t="s">
        <v>2992</v>
      </c>
      <c r="F678" s="1" t="s">
        <v>112</v>
      </c>
      <c r="G678" s="1">
        <v>2944802</v>
      </c>
    </row>
    <row r="679" spans="1:9" x14ac:dyDescent="0.35">
      <c r="A679" s="1" t="str">
        <f t="shared" si="10"/>
        <v>21 Testo +  BPA 5</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2993</v>
      </c>
      <c r="D679" s="1" t="s">
        <v>2994</v>
      </c>
      <c r="E679" s="1" t="s">
        <v>2995</v>
      </c>
      <c r="F679" s="1" t="s">
        <v>112</v>
      </c>
      <c r="G679" s="1">
        <v>3007118</v>
      </c>
    </row>
    <row r="680" spans="1:9" x14ac:dyDescent="0.35">
      <c r="A680" s="1" t="str">
        <f t="shared" si="10"/>
        <v>21 Testo +  BPA 5</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2996</v>
      </c>
      <c r="D680" s="1" t="s">
        <v>2997</v>
      </c>
      <c r="E680" s="1" t="s">
        <v>2998</v>
      </c>
      <c r="F680" s="1" t="s">
        <v>112</v>
      </c>
      <c r="G680" s="1">
        <v>5974891</v>
      </c>
    </row>
    <row r="681" spans="1:9" x14ac:dyDescent="0.35">
      <c r="A681" s="1" t="str">
        <f t="shared" si="10"/>
        <v>21 Testo +  BPA 5</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2999</v>
      </c>
      <c r="D681" s="1" t="s">
        <v>3000</v>
      </c>
      <c r="E681" s="1" t="s">
        <v>3001</v>
      </c>
      <c r="F681" s="1" t="s">
        <v>112</v>
      </c>
      <c r="G681" s="1">
        <v>5488564</v>
      </c>
    </row>
    <row r="682" spans="1:9" x14ac:dyDescent="0.35">
      <c r="A682" s="1" t="str">
        <f t="shared" si="10"/>
        <v>21 Testo +  BPA 5</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3002</v>
      </c>
      <c r="D682" s="1" t="s">
        <v>641</v>
      </c>
      <c r="E682" s="1" t="s">
        <v>3003</v>
      </c>
      <c r="F682" s="1" t="s">
        <v>112</v>
      </c>
      <c r="G682" s="1">
        <v>5500028</v>
      </c>
    </row>
    <row r="683" spans="1:9" x14ac:dyDescent="0.35">
      <c r="A683" s="1" t="str">
        <f t="shared" si="10"/>
        <v>21 Testo +  BPA 5</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3004</v>
      </c>
      <c r="D683" s="1" t="s">
        <v>3005</v>
      </c>
      <c r="E683" s="1" t="s">
        <v>3006</v>
      </c>
      <c r="F683" s="1" t="s">
        <v>112</v>
      </c>
      <c r="G683" s="1">
        <v>4877931</v>
      </c>
    </row>
    <row r="684" spans="1:9" x14ac:dyDescent="0.35">
      <c r="A684" s="1" t="str">
        <f t="shared" si="10"/>
        <v>21 Testo +  BPA 5</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3007</v>
      </c>
      <c r="D684" s="1" t="s">
        <v>3008</v>
      </c>
      <c r="E684" s="1" t="s">
        <v>3009</v>
      </c>
      <c r="F684" s="1" t="s">
        <v>112</v>
      </c>
      <c r="G684" s="1">
        <v>5067365</v>
      </c>
    </row>
    <row r="685" spans="1:9" x14ac:dyDescent="0.35">
      <c r="A685" s="1" t="str">
        <f t="shared" si="10"/>
        <v>21 Testo +  BPA 5</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3010</v>
      </c>
      <c r="D685" s="1" t="s">
        <v>3011</v>
      </c>
      <c r="E685" s="1" t="s">
        <v>3012</v>
      </c>
      <c r="F685" s="1" t="s">
        <v>112</v>
      </c>
      <c r="G685" s="1">
        <v>4694076</v>
      </c>
    </row>
    <row r="686" spans="1:9"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9"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241</v>
      </c>
      <c r="D687" s="1" t="s">
        <v>112</v>
      </c>
      <c r="E687" s="1" t="s">
        <v>242</v>
      </c>
      <c r="F687" s="1" t="s">
        <v>243</v>
      </c>
      <c r="G687" s="1" t="s">
        <v>244</v>
      </c>
      <c r="H687" s="1" t="s">
        <v>245</v>
      </c>
      <c r="I687" s="1" t="s">
        <v>246</v>
      </c>
    </row>
    <row r="688" spans="1:9" x14ac:dyDescent="0.35">
      <c r="A688" s="1" t="str">
        <f t="shared" si="10"/>
        <v>21 Testo +  BPA 5</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3013</v>
      </c>
      <c r="D688" s="1" t="s">
        <v>112</v>
      </c>
      <c r="E688" s="1" t="s">
        <v>3014</v>
      </c>
      <c r="F688" s="1" t="s">
        <v>3015</v>
      </c>
      <c r="G688" s="1" t="s">
        <v>3016</v>
      </c>
      <c r="H688" s="1" t="s">
        <v>3017</v>
      </c>
      <c r="I688" s="1">
        <v>24</v>
      </c>
    </row>
    <row r="689" spans="1:4"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4"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4"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4"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4"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112</v>
      </c>
    </row>
    <row r="694" spans="1:4"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 t="s">
        <v>112</v>
      </c>
    </row>
    <row r="695" spans="1:4"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5" s="1" t="s">
        <v>1599</v>
      </c>
    </row>
    <row r="696" spans="1:4"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6" s="1">
        <v>504</v>
      </c>
    </row>
    <row r="697" spans="1:4"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4"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4"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4"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4"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4"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4"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4"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J11" zoomScale="70" zoomScaleNormal="70" zoomScaleSheetLayoutView="40" zoomScalePageLayoutView="30" workbookViewId="0">
      <selection activeCell="P5" sqref="P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customFormat="1" ht="15" thickBot="1" x14ac:dyDescent="0.4"/>
    <row r="3" spans="1:22" ht="15" thickBot="1" x14ac:dyDescent="0.4">
      <c r="A3" s="51" t="s">
        <v>18</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BPA-1mg/L</v>
      </c>
      <c r="J4" s="35" t="str">
        <f>'Page de garde'!A15</f>
        <v>BPA-2mg/L</v>
      </c>
      <c r="K4" s="35" t="str">
        <f>'Page de garde'!A16</f>
        <v>BPA-3mg/L</v>
      </c>
      <c r="L4" s="35" t="str">
        <f>'Page de garde'!A17</f>
        <v>BPA-4mg/L</v>
      </c>
      <c r="M4" s="35" t="str">
        <f>'Page de garde'!A18</f>
        <v>BPA-5mg/L</v>
      </c>
      <c r="N4" s="3"/>
      <c r="O4" s="36" t="str">
        <f>'Page de garde'!A35</f>
        <v>Testo -30µg/L</v>
      </c>
      <c r="P4" s="36" t="str">
        <f>'Page de garde'!A36</f>
        <v>Testo 30µg/L + EE2 -64ng/L</v>
      </c>
      <c r="Q4" s="36" t="str">
        <f>'Page de garde'!A37</f>
        <v>Testo 30µg/L + FAD-10mg/L</v>
      </c>
      <c r="R4" s="36" t="str">
        <f>'Page de garde'!A38</f>
        <v>BPA-1mg/L + Testostérone</v>
      </c>
      <c r="S4" s="36" t="str">
        <f>'Page de garde'!A39</f>
        <v>BPA-2mg/L + Testostérone</v>
      </c>
      <c r="T4" s="36" t="str">
        <f>'Page de garde'!A40</f>
        <v>BPA-3mg/L + Testostérone</v>
      </c>
      <c r="U4" s="36" t="str">
        <f>'Page de garde'!A41</f>
        <v>BPA-4mg/L + Testostérone</v>
      </c>
      <c r="V4" s="36" t="str">
        <f>'Page de garde'!A42</f>
        <v>BPA-5mg/L + Testostérone</v>
      </c>
    </row>
    <row r="5" spans="1:22" x14ac:dyDescent="0.35">
      <c r="A5" s="220" t="s">
        <v>33</v>
      </c>
      <c r="B5" s="32">
        <v>299581.33333333331</v>
      </c>
      <c r="C5" s="32">
        <v>44968.333333333336</v>
      </c>
      <c r="D5" s="32">
        <v>719482.33333333337</v>
      </c>
      <c r="E5" s="32">
        <v>303078.33333333331</v>
      </c>
      <c r="F5" s="32">
        <v>1933958</v>
      </c>
      <c r="G5" s="32">
        <v>3119081</v>
      </c>
      <c r="H5" s="32">
        <v>5955943</v>
      </c>
      <c r="I5" s="32">
        <v>219046</v>
      </c>
      <c r="J5" s="32">
        <v>171056.33333333334</v>
      </c>
      <c r="K5" s="13">
        <v>547842</v>
      </c>
      <c r="L5" s="13">
        <v>28627</v>
      </c>
      <c r="M5" s="13">
        <v>1188984.5</v>
      </c>
      <c r="N5" s="3"/>
      <c r="O5" s="32">
        <v>3297340.3333333335</v>
      </c>
      <c r="P5" s="13">
        <v>4550692</v>
      </c>
      <c r="Q5" s="13">
        <v>317339.66666666669</v>
      </c>
      <c r="R5" s="32">
        <v>3399606.6666666665</v>
      </c>
      <c r="S5" s="32">
        <v>3184367.3333333335</v>
      </c>
      <c r="T5" s="32">
        <v>3287549.5</v>
      </c>
      <c r="U5" s="32">
        <v>5572171</v>
      </c>
      <c r="V5" s="32">
        <v>4872826</v>
      </c>
    </row>
    <row r="6" spans="1:22" ht="16.5" x14ac:dyDescent="0.35">
      <c r="A6" s="220"/>
      <c r="B6" s="14">
        <v>189636.33333333334</v>
      </c>
      <c r="C6" s="13">
        <v>297267</v>
      </c>
      <c r="D6" s="32">
        <v>576292.66666666663</v>
      </c>
      <c r="E6" s="32">
        <v>249057.5</v>
      </c>
      <c r="F6" s="32">
        <v>1156139.5</v>
      </c>
      <c r="G6" s="32">
        <v>3391510</v>
      </c>
      <c r="H6" s="32">
        <v>4108501</v>
      </c>
      <c r="I6" s="32">
        <v>342401.33333333331</v>
      </c>
      <c r="J6" s="32">
        <v>99230.666666666672</v>
      </c>
      <c r="K6" s="13">
        <v>740881.66666666663</v>
      </c>
      <c r="L6" s="13">
        <v>1472166.6666666667</v>
      </c>
      <c r="M6" s="13">
        <v>3799889.3333333335</v>
      </c>
      <c r="N6" s="3"/>
      <c r="O6" s="32">
        <v>5133105.666666667</v>
      </c>
      <c r="P6" s="13">
        <v>3282257</v>
      </c>
      <c r="Q6" s="13">
        <v>628002.33333333337</v>
      </c>
      <c r="R6" s="32">
        <v>3115159</v>
      </c>
      <c r="S6" s="32">
        <v>6786206.333333333</v>
      </c>
      <c r="T6" s="32">
        <v>2854843.3333333335</v>
      </c>
      <c r="U6" s="32">
        <v>8033371.666666667</v>
      </c>
      <c r="V6" s="32">
        <v>6242784.333333333</v>
      </c>
    </row>
    <row r="7" spans="1:22" ht="16.5" x14ac:dyDescent="0.35">
      <c r="A7" s="220"/>
      <c r="B7" s="14">
        <v>451516.66666666669</v>
      </c>
      <c r="C7" s="13">
        <v>860004.33333333337</v>
      </c>
      <c r="D7" s="32">
        <v>11536</v>
      </c>
      <c r="E7" s="32">
        <v>250791.66666666666</v>
      </c>
      <c r="F7" s="32">
        <v>2947311</v>
      </c>
      <c r="G7" s="32">
        <v>2242291.6666666665</v>
      </c>
      <c r="H7" s="32">
        <v>5752001.666666667</v>
      </c>
      <c r="I7" s="32">
        <v>436512.66666666669</v>
      </c>
      <c r="J7" s="32">
        <v>91566.666666666672</v>
      </c>
      <c r="K7" s="13">
        <v>315288</v>
      </c>
      <c r="L7" s="13">
        <v>149037.33333333334</v>
      </c>
      <c r="M7" s="13">
        <v>4571067.5</v>
      </c>
      <c r="N7" s="3"/>
      <c r="O7" s="32">
        <v>2313173.3333333335</v>
      </c>
      <c r="P7" s="13">
        <v>4272877.666666667</v>
      </c>
      <c r="Q7" s="13">
        <v>457393</v>
      </c>
      <c r="R7" s="32">
        <v>2301918.3333333335</v>
      </c>
      <c r="S7" s="32">
        <v>6807598.5</v>
      </c>
      <c r="T7" s="32">
        <v>4944760</v>
      </c>
      <c r="U7" s="32">
        <v>7325634.333333333</v>
      </c>
      <c r="V7" s="32">
        <v>7661337.666666667</v>
      </c>
    </row>
    <row r="8" spans="1:22" ht="16.5" x14ac:dyDescent="0.35">
      <c r="A8" s="220"/>
      <c r="B8" s="14">
        <v>801885.5</v>
      </c>
      <c r="C8" s="13">
        <v>548080</v>
      </c>
      <c r="D8" s="32">
        <v>150810.66666666666</v>
      </c>
      <c r="E8" s="32">
        <v>657635.5</v>
      </c>
      <c r="F8" s="32">
        <v>842643</v>
      </c>
      <c r="G8" s="32">
        <v>3387328</v>
      </c>
      <c r="H8" s="32">
        <v>5086255.333333333</v>
      </c>
      <c r="I8" s="32">
        <v>676914.66666666663</v>
      </c>
      <c r="J8" s="32">
        <v>792832.5</v>
      </c>
      <c r="K8" s="13">
        <v>437680.66666666669</v>
      </c>
      <c r="L8" s="13">
        <v>580625.33333333337</v>
      </c>
      <c r="M8" s="13">
        <v>17033.5</v>
      </c>
      <c r="N8" s="3"/>
      <c r="O8" s="32">
        <v>2628220</v>
      </c>
      <c r="P8" s="13">
        <v>2815477</v>
      </c>
      <c r="Q8" s="13">
        <v>153457</v>
      </c>
      <c r="R8" s="32">
        <v>1956640.3333333333</v>
      </c>
      <c r="S8" s="32">
        <v>4738352.666666667</v>
      </c>
      <c r="T8" s="32">
        <v>4563446.333333333</v>
      </c>
      <c r="U8" s="32">
        <v>3974370.3333333335</v>
      </c>
      <c r="V8" s="32">
        <v>2523740</v>
      </c>
    </row>
    <row r="9" spans="1:22" ht="16.5" x14ac:dyDescent="0.35">
      <c r="A9" s="220"/>
      <c r="B9" s="14">
        <v>225830.66666666666</v>
      </c>
      <c r="C9" s="13">
        <v>206017.66666666666</v>
      </c>
      <c r="D9" s="32">
        <v>152087</v>
      </c>
      <c r="E9" s="32">
        <v>416829.66666666669</v>
      </c>
      <c r="F9" s="32">
        <v>286596</v>
      </c>
      <c r="G9" s="32">
        <v>3057926.5</v>
      </c>
      <c r="H9" s="32">
        <v>5761230.5</v>
      </c>
      <c r="I9" s="32">
        <v>277699</v>
      </c>
      <c r="J9" s="32">
        <v>371947.66666666669</v>
      </c>
      <c r="K9" s="13">
        <v>86483.666666666672</v>
      </c>
      <c r="L9" s="13">
        <v>120673</v>
      </c>
      <c r="M9" s="13">
        <v>3691422.3333333335</v>
      </c>
      <c r="N9" s="3"/>
      <c r="O9" s="32">
        <v>2971298.3333333335</v>
      </c>
      <c r="P9" s="13">
        <v>2428489</v>
      </c>
      <c r="Q9" s="13">
        <v>151034</v>
      </c>
      <c r="R9" s="32">
        <v>3662655</v>
      </c>
      <c r="S9" s="32">
        <v>5569280</v>
      </c>
      <c r="T9" s="32">
        <v>5821224.666666667</v>
      </c>
      <c r="U9" s="32">
        <v>5493250.333333333</v>
      </c>
      <c r="V9" s="32">
        <v>4944125.333333333</v>
      </c>
    </row>
    <row r="10" spans="1:22" ht="16.5" x14ac:dyDescent="0.35">
      <c r="A10" s="220"/>
      <c r="B10" s="14">
        <v>654326</v>
      </c>
      <c r="C10" s="13">
        <v>316618.33333333331</v>
      </c>
      <c r="D10" s="32">
        <v>565759</v>
      </c>
      <c r="E10" s="32">
        <v>321427.33333333331</v>
      </c>
      <c r="F10" s="32">
        <v>1352502.6666666667</v>
      </c>
      <c r="G10" s="32">
        <v>6532077</v>
      </c>
      <c r="H10" s="32">
        <v>4274059.666666667</v>
      </c>
      <c r="I10" s="32">
        <v>102035.33333333333</v>
      </c>
      <c r="J10" s="32">
        <v>172196</v>
      </c>
      <c r="K10" s="13">
        <v>223963</v>
      </c>
      <c r="L10" s="13">
        <v>1188786.3333333333</v>
      </c>
      <c r="M10" s="13">
        <v>1396541.3333333333</v>
      </c>
      <c r="N10" s="3"/>
      <c r="O10" s="32">
        <v>63253</v>
      </c>
      <c r="P10" s="13">
        <v>4917830.333333333</v>
      </c>
      <c r="Q10" s="13">
        <v>172606.66666666666</v>
      </c>
      <c r="R10" s="32">
        <v>4830395.333333333</v>
      </c>
      <c r="S10" s="32">
        <v>3881780.3333333335</v>
      </c>
      <c r="T10" s="32">
        <v>5275754.333333333</v>
      </c>
      <c r="U10" s="32">
        <v>6004603</v>
      </c>
      <c r="V10" s="32">
        <v>3048027</v>
      </c>
    </row>
    <row r="11" spans="1:22" ht="16.5" x14ac:dyDescent="0.35">
      <c r="A11" s="220"/>
      <c r="B11" s="14">
        <v>721148</v>
      </c>
      <c r="C11" s="13">
        <v>276804.66666666669</v>
      </c>
      <c r="D11" s="32">
        <v>123193</v>
      </c>
      <c r="E11" s="32">
        <v>440774</v>
      </c>
      <c r="F11" s="32">
        <v>215044.5</v>
      </c>
      <c r="G11" s="32">
        <v>3764762.3333333335</v>
      </c>
      <c r="H11" s="32">
        <v>7497181</v>
      </c>
      <c r="I11" s="32">
        <v>382654.33333333331</v>
      </c>
      <c r="J11" s="32">
        <v>528735.66666666663</v>
      </c>
      <c r="K11" s="13">
        <v>1031259.5</v>
      </c>
      <c r="L11" s="13">
        <v>3339526</v>
      </c>
      <c r="M11" s="13">
        <v>3472276</v>
      </c>
      <c r="N11" s="3"/>
      <c r="O11" s="32">
        <v>5074990</v>
      </c>
      <c r="P11" s="13">
        <v>3580822</v>
      </c>
      <c r="Q11" s="13">
        <v>489225</v>
      </c>
      <c r="R11" s="32">
        <v>4509097.5</v>
      </c>
      <c r="S11" s="32">
        <v>6888213</v>
      </c>
      <c r="T11" s="32">
        <v>3701329.3333333335</v>
      </c>
      <c r="U11" s="32">
        <v>6368619.5</v>
      </c>
      <c r="V11" s="32">
        <v>5654494.333333333</v>
      </c>
    </row>
    <row r="12" spans="1:22" ht="16.5" x14ac:dyDescent="0.35">
      <c r="A12" s="220"/>
      <c r="B12" s="14">
        <v>433102.66666666669</v>
      </c>
      <c r="C12" s="13">
        <v>283395</v>
      </c>
      <c r="D12" s="32">
        <v>141034</v>
      </c>
      <c r="E12" s="32">
        <v>72135.666666666672</v>
      </c>
      <c r="F12" s="32">
        <v>1938795.5</v>
      </c>
      <c r="G12" s="32">
        <v>2588630</v>
      </c>
      <c r="H12" s="32">
        <v>3651558.6666666665</v>
      </c>
      <c r="I12" s="32"/>
      <c r="J12" s="32"/>
      <c r="K12" s="13">
        <v>138835</v>
      </c>
      <c r="L12" s="13">
        <v>629970.66666666663</v>
      </c>
      <c r="M12" s="13">
        <v>3748331</v>
      </c>
      <c r="N12" s="3"/>
      <c r="O12" s="32">
        <v>5148239</v>
      </c>
      <c r="P12" s="13">
        <v>4225140</v>
      </c>
      <c r="Q12" s="13">
        <v>503774.66666666669</v>
      </c>
      <c r="R12" s="32">
        <v>3114957</v>
      </c>
      <c r="S12" s="32">
        <v>4518150</v>
      </c>
      <c r="T12" s="32">
        <v>6588444.333333333</v>
      </c>
      <c r="U12" s="32">
        <v>3630188.5</v>
      </c>
      <c r="V12" s="32">
        <v>4879790.666666667</v>
      </c>
    </row>
    <row r="13" spans="1:22" ht="16.5" x14ac:dyDescent="0.35">
      <c r="A13" s="220"/>
      <c r="B13" s="14"/>
      <c r="C13" s="13"/>
      <c r="D13" s="32"/>
      <c r="E13" s="32"/>
      <c r="F13" s="32"/>
      <c r="G13" s="32"/>
      <c r="H13" s="32"/>
      <c r="I13" s="32"/>
      <c r="J13" s="32"/>
      <c r="K13" s="13"/>
      <c r="L13" s="13"/>
      <c r="M13" s="13"/>
      <c r="N13" s="3"/>
      <c r="O13" s="32">
        <v>1002762</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32">
        <v>278247</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32">
        <v>3609315.3333333335</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32">
        <v>3947261</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32">
        <v>4070270.3333333335</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32">
        <v>3003700.3333333335</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32">
        <v>4742289.333333333</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32">
        <v>3425988</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row>
    <row r="23" spans="1:22" x14ac:dyDescent="0.35">
      <c r="A23" s="5" t="s">
        <v>0</v>
      </c>
      <c r="B23" s="5">
        <f t="shared" ref="B23:J23" si="1">AVERAGE(B5:B20)</f>
        <v>472128.39583333331</v>
      </c>
      <c r="C23" s="5">
        <f t="shared" si="1"/>
        <v>354144.41666666669</v>
      </c>
      <c r="D23" s="5">
        <f t="shared" si="1"/>
        <v>305024.33333333337</v>
      </c>
      <c r="E23" s="5">
        <f t="shared" si="1"/>
        <v>338966.20833333331</v>
      </c>
      <c r="F23" s="5">
        <f t="shared" si="1"/>
        <v>1334123.7708333333</v>
      </c>
      <c r="G23" s="5">
        <f t="shared" si="1"/>
        <v>3510450.8124999995</v>
      </c>
      <c r="H23" s="5">
        <f t="shared" si="1"/>
        <v>5260841.354166667</v>
      </c>
      <c r="I23" s="5">
        <f t="shared" si="1"/>
        <v>348180.47619047615</v>
      </c>
      <c r="J23" s="5">
        <f t="shared" si="1"/>
        <v>318223.64285714284</v>
      </c>
      <c r="K23" s="5"/>
      <c r="L23" s="5">
        <f>AVERAGE(L5:L20)</f>
        <v>938676.54166666674</v>
      </c>
      <c r="M23" s="5"/>
      <c r="N23" s="5" t="s">
        <v>0</v>
      </c>
      <c r="O23" s="5">
        <f>AVERAGE(O5:O20)</f>
        <v>3169340.8125000005</v>
      </c>
      <c r="P23" s="5">
        <f>AVERAGE(P5:P20)</f>
        <v>3759198.125</v>
      </c>
      <c r="Q23" s="5">
        <f>AVERAGE(Q5:Q20)</f>
        <v>359104.04166666669</v>
      </c>
      <c r="R23" s="5">
        <f>AVERAGE(R5:R20)</f>
        <v>3361303.6458333335</v>
      </c>
      <c r="S23" s="5">
        <f>AVERAGE(S5:S20)</f>
        <v>5296743.520833333</v>
      </c>
      <c r="T23" s="5">
        <f t="shared" ref="T23:V23" si="2">AVERAGE(T5:T20)</f>
        <v>4629668.979166667</v>
      </c>
      <c r="U23" s="5">
        <f t="shared" si="2"/>
        <v>5800276.083333333</v>
      </c>
      <c r="V23" s="5">
        <f t="shared" si="2"/>
        <v>4978390.666666666</v>
      </c>
    </row>
    <row r="24" spans="1:22" x14ac:dyDescent="0.35">
      <c r="A24" s="3" t="s">
        <v>1</v>
      </c>
      <c r="B24" s="3">
        <f t="shared" ref="B24:J24" si="3">STDEV(B5:B20)</f>
        <v>231803.84393261478</v>
      </c>
      <c r="C24" s="3">
        <f t="shared" si="3"/>
        <v>246885.40276512911</v>
      </c>
      <c r="D24" s="3">
        <f t="shared" si="3"/>
        <v>269021.25692975166</v>
      </c>
      <c r="E24" s="3">
        <f t="shared" si="3"/>
        <v>171809.72754171499</v>
      </c>
      <c r="F24" s="3">
        <f t="shared" si="3"/>
        <v>922033.80915163981</v>
      </c>
      <c r="G24" s="3">
        <f t="shared" si="3"/>
        <v>1311495.0641761713</v>
      </c>
      <c r="H24" s="3">
        <f t="shared" si="3"/>
        <v>1247735.4628625051</v>
      </c>
      <c r="I24" s="3">
        <f t="shared" si="3"/>
        <v>182264.17272737593</v>
      </c>
      <c r="J24" s="3">
        <f t="shared" si="3"/>
        <v>262922.27879754989</v>
      </c>
      <c r="K24" s="3"/>
      <c r="L24" s="3">
        <f>STDEV(L5:L20)</f>
        <v>1099064.1973835356</v>
      </c>
      <c r="M24" s="3"/>
      <c r="N24" s="3" t="s">
        <v>1</v>
      </c>
      <c r="O24" s="3">
        <f>STDEV(O5:O20)</f>
        <v>1619948.5615118758</v>
      </c>
      <c r="P24" s="3">
        <f>STDEV(P5:P20)</f>
        <v>875911.51433162903</v>
      </c>
      <c r="Q24" s="3">
        <f>STDEV(Q5:Q20)</f>
        <v>185909.90368356643</v>
      </c>
      <c r="R24" s="3">
        <f>STDEV(R5:R20)</f>
        <v>984493.41552012414</v>
      </c>
      <c r="S24" s="3">
        <f>STDEV(S5:S20)</f>
        <v>1438774.0649439087</v>
      </c>
      <c r="T24" s="3">
        <f t="shared" ref="T24:V24" si="4">STDEV(T5:T20)</f>
        <v>1286790.3140925164</v>
      </c>
      <c r="U24" s="3">
        <f t="shared" si="4"/>
        <v>1505594.6177372141</v>
      </c>
      <c r="V24" s="3">
        <f t="shared" si="4"/>
        <v>1648707.9733652356</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R27" si="6">P4</f>
        <v>Testo 30µg/L + EE2 -64ng/L</v>
      </c>
      <c r="Q27" s="36" t="str">
        <f t="shared" si="6"/>
        <v>Testo 30µg/L + FAD-10mg/L</v>
      </c>
      <c r="R27" s="36" t="str">
        <f t="shared" si="6"/>
        <v>BPA-1mg/L + Testostérone</v>
      </c>
      <c r="S27" s="36" t="str">
        <f t="shared" ref="S27:V27" si="7">S4</f>
        <v>BPA-2mg/L + Testostérone</v>
      </c>
      <c r="T27" s="36" t="str">
        <f t="shared" si="7"/>
        <v>BPA-3mg/L + Testostérone</v>
      </c>
      <c r="U27" s="36" t="str">
        <f t="shared" si="7"/>
        <v>BPA-4mg/L + Testostérone</v>
      </c>
      <c r="V27" s="36" t="str">
        <f t="shared" si="7"/>
        <v>BPA-5mg/L + Testostérone</v>
      </c>
    </row>
    <row r="28" spans="1:22" x14ac:dyDescent="0.35">
      <c r="A28" s="221" t="s">
        <v>34</v>
      </c>
      <c r="B28" s="11">
        <f t="shared" ref="B28:M28" si="8">IF(B5="","",(B5/$O$23))</f>
        <v>9.4524808487548309E-2</v>
      </c>
      <c r="C28" s="11">
        <f t="shared" si="8"/>
        <v>1.4188544556639829E-2</v>
      </c>
      <c r="D28" s="11">
        <f t="shared" si="8"/>
        <v>0.2270132421529637</v>
      </c>
      <c r="E28" s="11">
        <f t="shared" si="8"/>
        <v>9.5628192505514353E-2</v>
      </c>
      <c r="F28" s="11">
        <f t="shared" si="8"/>
        <v>0.61020827812912903</v>
      </c>
      <c r="G28" s="11">
        <f t="shared" si="8"/>
        <v>0.98414187193066338</v>
      </c>
      <c r="H28" s="11">
        <f t="shared" si="8"/>
        <v>1.8792371513058914</v>
      </c>
      <c r="I28" s="11">
        <f t="shared" si="8"/>
        <v>6.9114056505401464E-2</v>
      </c>
      <c r="J28" s="11">
        <f t="shared" si="8"/>
        <v>5.3972211716291497E-2</v>
      </c>
      <c r="K28" s="11">
        <f t="shared" si="8"/>
        <v>0.17285676499014885</v>
      </c>
      <c r="L28" s="11">
        <f t="shared" si="8"/>
        <v>9.0324776329178697E-3</v>
      </c>
      <c r="M28" s="11">
        <f t="shared" si="8"/>
        <v>0.37515198596206506</v>
      </c>
      <c r="N28" s="6"/>
      <c r="O28" s="11">
        <f t="shared" ref="O28:S37" si="9">IF(O5="","",(O5/$O$23))</f>
        <v>1.0403867959950845</v>
      </c>
      <c r="P28" s="11">
        <f t="shared" si="9"/>
        <v>1.4358481050860477</v>
      </c>
      <c r="Q28" s="11">
        <f t="shared" si="9"/>
        <v>0.10012797153750931</v>
      </c>
      <c r="R28" s="11">
        <f t="shared" si="9"/>
        <v>1.0726541788306543</v>
      </c>
      <c r="S28" s="11">
        <f t="shared" si="9"/>
        <v>1.0047412133065865</v>
      </c>
      <c r="T28" s="11">
        <f t="shared" ref="T28:V43" si="10">IF(T5="","",(T5/$O$23))</f>
        <v>1.0372975626457652</v>
      </c>
      <c r="U28" s="11">
        <f t="shared" si="10"/>
        <v>1.7581482490059592</v>
      </c>
      <c r="V28" s="11">
        <f t="shared" si="10"/>
        <v>1.5374887991791193</v>
      </c>
    </row>
    <row r="29" spans="1:22" x14ac:dyDescent="0.35">
      <c r="A29" s="221"/>
      <c r="B29" s="11">
        <f t="shared" ref="B29:M29" si="11">IF(B6="","",(B6/$O$23))</f>
        <v>5.9834629518352979E-2</v>
      </c>
      <c r="C29" s="11">
        <f t="shared" si="11"/>
        <v>9.3794583033660395E-2</v>
      </c>
      <c r="D29" s="11">
        <f t="shared" si="11"/>
        <v>0.18183360539634819</v>
      </c>
      <c r="E29" s="11">
        <f t="shared" si="11"/>
        <v>7.8583375766250116E-2</v>
      </c>
      <c r="F29" s="11">
        <f t="shared" si="11"/>
        <v>0.36478863221025076</v>
      </c>
      <c r="G29" s="11">
        <f t="shared" si="11"/>
        <v>1.0700994940726336</v>
      </c>
      <c r="H29" s="11">
        <f t="shared" si="11"/>
        <v>1.2963266631963075</v>
      </c>
      <c r="I29" s="11">
        <f t="shared" si="11"/>
        <v>0.10803550441242843</v>
      </c>
      <c r="J29" s="11">
        <f t="shared" si="11"/>
        <v>3.1309560106409874E-2</v>
      </c>
      <c r="K29" s="11">
        <f t="shared" si="11"/>
        <v>0.23376522453647181</v>
      </c>
      <c r="L29" s="11">
        <f t="shared" si="11"/>
        <v>0.46450247977761988</v>
      </c>
      <c r="M29" s="11">
        <f t="shared" si="11"/>
        <v>1.1989525766198528</v>
      </c>
      <c r="N29" s="6"/>
      <c r="O29" s="11">
        <f t="shared" si="9"/>
        <v>1.6196130269176174</v>
      </c>
      <c r="P29" s="11">
        <f t="shared" si="9"/>
        <v>1.0356276570366474</v>
      </c>
      <c r="Q29" s="11">
        <f t="shared" si="9"/>
        <v>0.19814919583796994</v>
      </c>
      <c r="R29" s="11">
        <f t="shared" si="9"/>
        <v>0.98290439062712809</v>
      </c>
      <c r="S29" s="11">
        <f t="shared" si="9"/>
        <v>2.1412043496768405</v>
      </c>
      <c r="T29" s="11">
        <f t="shared" si="10"/>
        <v>0.90076880405973481</v>
      </c>
      <c r="U29" s="11">
        <f t="shared" si="10"/>
        <v>2.5347137281616239</v>
      </c>
      <c r="V29" s="11">
        <f t="shared" si="10"/>
        <v>1.9697421964566115</v>
      </c>
    </row>
    <row r="30" spans="1:22" x14ac:dyDescent="0.35">
      <c r="A30" s="221"/>
      <c r="B30" s="11">
        <f t="shared" ref="B30:M30" si="12">IF(B7="","",(B7/$O$23))</f>
        <v>0.14246390444532434</v>
      </c>
      <c r="C30" s="11">
        <f t="shared" si="12"/>
        <v>0.27135116865357101</v>
      </c>
      <c r="D30" s="11">
        <f t="shared" si="12"/>
        <v>3.6398736148859656E-3</v>
      </c>
      <c r="E30" s="11">
        <f t="shared" si="12"/>
        <v>7.9130545278543352E-2</v>
      </c>
      <c r="F30" s="11">
        <f t="shared" si="12"/>
        <v>0.92994448194895718</v>
      </c>
      <c r="G30" s="11">
        <f t="shared" si="12"/>
        <v>0.70749464930467021</v>
      </c>
      <c r="H30" s="11">
        <f t="shared" si="12"/>
        <v>1.814888964916791</v>
      </c>
      <c r="I30" s="11">
        <f t="shared" si="12"/>
        <v>0.13772979698019353</v>
      </c>
      <c r="J30" s="11">
        <f t="shared" si="12"/>
        <v>2.8891391643815732E-2</v>
      </c>
      <c r="K30" s="11">
        <f t="shared" si="12"/>
        <v>9.9480623464820242E-2</v>
      </c>
      <c r="L30" s="11">
        <f t="shared" si="12"/>
        <v>4.7024710231706367E-2</v>
      </c>
      <c r="M30" s="11">
        <f t="shared" si="12"/>
        <v>1.442277044479261</v>
      </c>
      <c r="N30" s="6"/>
      <c r="O30" s="11">
        <f t="shared" si="9"/>
        <v>0.72985944717907592</v>
      </c>
      <c r="P30" s="11">
        <f t="shared" si="9"/>
        <v>1.3481912862808176</v>
      </c>
      <c r="Q30" s="11">
        <f t="shared" si="9"/>
        <v>0.14431802291379478</v>
      </c>
      <c r="R30" s="11">
        <f t="shared" si="9"/>
        <v>0.726308235534178</v>
      </c>
      <c r="S30" s="11">
        <f t="shared" si="9"/>
        <v>2.1479540708120037</v>
      </c>
      <c r="T30" s="11">
        <f t="shared" si="10"/>
        <v>1.5601856324500283</v>
      </c>
      <c r="U30" s="11">
        <f t="shared" si="10"/>
        <v>2.3114063039357435</v>
      </c>
      <c r="V30" s="11">
        <f t="shared" si="10"/>
        <v>2.4173284351276014</v>
      </c>
    </row>
    <row r="31" spans="1:22" x14ac:dyDescent="0.35">
      <c r="A31" s="221"/>
      <c r="B31" s="11">
        <f t="shared" ref="B31:M31" si="13">IF(B8="","",(B8/$O$23))</f>
        <v>0.25301333855839458</v>
      </c>
      <c r="C31" s="11">
        <f t="shared" si="13"/>
        <v>0.17293185947006762</v>
      </c>
      <c r="D31" s="11">
        <f t="shared" si="13"/>
        <v>4.7584237729140291E-2</v>
      </c>
      <c r="E31" s="11">
        <f t="shared" si="13"/>
        <v>0.20749914222107657</v>
      </c>
      <c r="F31" s="11">
        <f t="shared" si="13"/>
        <v>0.26587326824448287</v>
      </c>
      <c r="G31" s="11">
        <f t="shared" si="13"/>
        <v>1.0687799767826325</v>
      </c>
      <c r="H31" s="11">
        <f t="shared" si="13"/>
        <v>1.6048306680281745</v>
      </c>
      <c r="I31" s="11">
        <f t="shared" si="13"/>
        <v>0.21358216320469212</v>
      </c>
      <c r="J31" s="11">
        <f t="shared" si="13"/>
        <v>0.25015690861425777</v>
      </c>
      <c r="K31" s="11">
        <f t="shared" si="13"/>
        <v>0.13809832787324025</v>
      </c>
      <c r="L31" s="11">
        <f t="shared" si="13"/>
        <v>0.18320066148876291</v>
      </c>
      <c r="M31" s="11">
        <f t="shared" si="13"/>
        <v>5.3744614441019502E-3</v>
      </c>
      <c r="N31" s="6"/>
      <c r="O31" s="11">
        <f t="shared" si="9"/>
        <v>0.82926392442056107</v>
      </c>
      <c r="P31" s="11">
        <f t="shared" si="9"/>
        <v>0.88834781948840968</v>
      </c>
      <c r="Q31" s="11">
        <f t="shared" si="9"/>
        <v>4.8419216827284645E-2</v>
      </c>
      <c r="R31" s="11">
        <f t="shared" si="9"/>
        <v>0.61736507655354378</v>
      </c>
      <c r="S31" s="11">
        <f t="shared" si="9"/>
        <v>1.4950593662816016</v>
      </c>
      <c r="T31" s="11">
        <f t="shared" si="10"/>
        <v>1.4398723909195652</v>
      </c>
      <c r="U31" s="11">
        <f t="shared" si="10"/>
        <v>1.2540053495219783</v>
      </c>
      <c r="V31" s="11">
        <f t="shared" si="10"/>
        <v>0.79629807878227343</v>
      </c>
    </row>
    <row r="32" spans="1:22" x14ac:dyDescent="0.35">
      <c r="A32" s="221"/>
      <c r="B32" s="11">
        <f t="shared" ref="B32:M32" si="14">IF(B9="","",(B9/$O$23))</f>
        <v>7.1254775054794342E-2</v>
      </c>
      <c r="C32" s="11">
        <f t="shared" si="14"/>
        <v>6.5003317363069676E-2</v>
      </c>
      <c r="D32" s="11">
        <f t="shared" si="14"/>
        <v>4.7986950283214445E-2</v>
      </c>
      <c r="E32" s="11">
        <f t="shared" si="14"/>
        <v>0.1315193572817018</v>
      </c>
      <c r="F32" s="11">
        <f t="shared" si="14"/>
        <v>9.0427636835285902E-2</v>
      </c>
      <c r="G32" s="11">
        <f t="shared" si="14"/>
        <v>0.96484621910632706</v>
      </c>
      <c r="H32" s="11">
        <f t="shared" si="14"/>
        <v>1.8178008743261338</v>
      </c>
      <c r="I32" s="11">
        <f t="shared" si="14"/>
        <v>8.762042848302859E-2</v>
      </c>
      <c r="J32" s="11">
        <f t="shared" si="14"/>
        <v>0.11735805287954232</v>
      </c>
      <c r="K32" s="11">
        <f t="shared" si="14"/>
        <v>2.7287588108407847E-2</v>
      </c>
      <c r="L32" s="11">
        <f t="shared" si="14"/>
        <v>3.8075109979987358E-2</v>
      </c>
      <c r="M32" s="11">
        <f t="shared" si="14"/>
        <v>1.1647287406814135</v>
      </c>
      <c r="N32" s="6"/>
      <c r="O32" s="11">
        <f t="shared" si="9"/>
        <v>0.93751303792082574</v>
      </c>
      <c r="P32" s="11">
        <f t="shared" si="9"/>
        <v>0.76624419514049957</v>
      </c>
      <c r="Q32" s="11">
        <f t="shared" si="9"/>
        <v>4.7654704538027649E-2</v>
      </c>
      <c r="R32" s="11">
        <f t="shared" si="9"/>
        <v>1.1556519846506723</v>
      </c>
      <c r="S32" s="11">
        <f t="shared" si="9"/>
        <v>1.7572360719410636</v>
      </c>
      <c r="T32" s="11">
        <f t="shared" si="10"/>
        <v>1.8367304152672808</v>
      </c>
      <c r="U32" s="11">
        <f t="shared" si="10"/>
        <v>1.7332469615346338</v>
      </c>
      <c r="V32" s="11">
        <f t="shared" si="10"/>
        <v>1.5599853805035782</v>
      </c>
    </row>
    <row r="33" spans="1:22" x14ac:dyDescent="0.35">
      <c r="A33" s="221"/>
      <c r="B33" s="11">
        <f t="shared" ref="B33:M33" si="15">IF(B10="","",(B10/$O$23))</f>
        <v>0.20645491877027344</v>
      </c>
      <c r="C33" s="11">
        <f t="shared" si="15"/>
        <v>9.9900374262237301E-2</v>
      </c>
      <c r="D33" s="11">
        <f t="shared" si="15"/>
        <v>0.17850999102672235</v>
      </c>
      <c r="E33" s="11">
        <f t="shared" si="15"/>
        <v>0.10141772448883116</v>
      </c>
      <c r="F33" s="11">
        <f t="shared" si="15"/>
        <v>0.42674573252972509</v>
      </c>
      <c r="G33" s="11">
        <f t="shared" si="15"/>
        <v>2.0610206937156272</v>
      </c>
      <c r="H33" s="11">
        <f t="shared" si="15"/>
        <v>1.3485642344962123</v>
      </c>
      <c r="I33" s="11">
        <f t="shared" si="15"/>
        <v>3.2194497016825106E-2</v>
      </c>
      <c r="J33" s="11">
        <f t="shared" si="15"/>
        <v>5.4331802790300254E-2</v>
      </c>
      <c r="K33" s="11">
        <f t="shared" si="15"/>
        <v>7.066548321868113E-2</v>
      </c>
      <c r="L33" s="11">
        <f t="shared" si="15"/>
        <v>0.37508945981597019</v>
      </c>
      <c r="M33" s="11">
        <f t="shared" si="15"/>
        <v>0.44064094584757851</v>
      </c>
      <c r="N33" s="6"/>
      <c r="O33" s="11">
        <f t="shared" si="9"/>
        <v>1.9957777892023403E-2</v>
      </c>
      <c r="P33" s="11">
        <f t="shared" si="9"/>
        <v>1.5516887025646544</v>
      </c>
      <c r="Q33" s="11">
        <f t="shared" si="9"/>
        <v>5.4461377579179689E-2</v>
      </c>
      <c r="R33" s="11">
        <f t="shared" si="9"/>
        <v>1.5241009468852547</v>
      </c>
      <c r="S33" s="11">
        <f t="shared" si="9"/>
        <v>1.22479107264938</v>
      </c>
      <c r="T33" s="11">
        <f t="shared" si="10"/>
        <v>1.6646219657177788</v>
      </c>
      <c r="U33" s="11">
        <f t="shared" si="10"/>
        <v>1.894590501696005</v>
      </c>
      <c r="V33" s="11">
        <f t="shared" si="10"/>
        <v>0.96172269892163875</v>
      </c>
    </row>
    <row r="34" spans="1:22" x14ac:dyDescent="0.35">
      <c r="A34" s="221"/>
      <c r="B34" s="11">
        <f t="shared" ref="B34:M34" si="16">IF(B11="","",(B11/$O$23))</f>
        <v>0.22753879833805343</v>
      </c>
      <c r="C34" s="11">
        <f t="shared" si="16"/>
        <v>8.7338245724454297E-2</v>
      </c>
      <c r="D34" s="11">
        <f t="shared" si="16"/>
        <v>3.8870228002656618E-2</v>
      </c>
      <c r="E34" s="11">
        <f t="shared" si="16"/>
        <v>0.13907434576350092</v>
      </c>
      <c r="F34" s="11">
        <f t="shared" si="16"/>
        <v>6.7851491121389135E-2</v>
      </c>
      <c r="G34" s="11">
        <f t="shared" si="16"/>
        <v>1.1878691993252881</v>
      </c>
      <c r="H34" s="11">
        <f t="shared" si="16"/>
        <v>2.3655332271085627</v>
      </c>
      <c r="I34" s="11">
        <f t="shared" si="16"/>
        <v>0.12073625273247046</v>
      </c>
      <c r="J34" s="11">
        <f t="shared" si="16"/>
        <v>0.16682827690266477</v>
      </c>
      <c r="K34" s="11">
        <f t="shared" si="16"/>
        <v>0.32538611686464053</v>
      </c>
      <c r="L34" s="11">
        <f t="shared" si="16"/>
        <v>1.0536973451478562</v>
      </c>
      <c r="M34" s="11">
        <f t="shared" si="16"/>
        <v>1.0955830266991835</v>
      </c>
      <c r="N34" s="6"/>
      <c r="O34" s="11">
        <f t="shared" si="9"/>
        <v>1.6012761959786863</v>
      </c>
      <c r="P34" s="11">
        <f t="shared" si="9"/>
        <v>1.1298317889565874</v>
      </c>
      <c r="Q34" s="11">
        <f t="shared" si="9"/>
        <v>0.15436175184141701</v>
      </c>
      <c r="R34" s="11">
        <f t="shared" si="9"/>
        <v>1.4227240826281442</v>
      </c>
      <c r="S34" s="11">
        <f t="shared" si="9"/>
        <v>2.1733898017002864</v>
      </c>
      <c r="T34" s="11">
        <f t="shared" si="10"/>
        <v>1.1678546272887882</v>
      </c>
      <c r="U34" s="11">
        <f t="shared" si="10"/>
        <v>2.0094460888781422</v>
      </c>
      <c r="V34" s="11">
        <f t="shared" si="10"/>
        <v>1.7841231561565714</v>
      </c>
    </row>
    <row r="35" spans="1:22" x14ac:dyDescent="0.35">
      <c r="A35" s="221"/>
      <c r="B35" s="11">
        <f t="shared" ref="B35:M35" si="17">IF(B12="","",(B12/$O$23))</f>
        <v>0.13665386346539107</v>
      </c>
      <c r="C35" s="11">
        <f t="shared" si="17"/>
        <v>8.9417647632681022E-2</v>
      </c>
      <c r="D35" s="11">
        <f t="shared" si="17"/>
        <v>4.4499474289340091E-2</v>
      </c>
      <c r="E35" s="11">
        <f t="shared" si="17"/>
        <v>2.2760463747590939E-2</v>
      </c>
      <c r="F35" s="11">
        <f t="shared" si="17"/>
        <v>0.61173462076193164</v>
      </c>
      <c r="G35" s="11">
        <f t="shared" si="17"/>
        <v>0.81677236786600704</v>
      </c>
      <c r="H35" s="11">
        <f t="shared" si="17"/>
        <v>1.1521508359923869</v>
      </c>
      <c r="I35" s="11" t="str">
        <f t="shared" si="17"/>
        <v/>
      </c>
      <c r="J35" s="11" t="str">
        <f t="shared" si="17"/>
        <v/>
      </c>
      <c r="K35" s="11">
        <f t="shared" si="17"/>
        <v>4.3805639157653696E-2</v>
      </c>
      <c r="L35" s="11">
        <f t="shared" si="17"/>
        <v>0.19877025032525325</v>
      </c>
      <c r="M35" s="11">
        <f t="shared" si="17"/>
        <v>1.1826847353293279</v>
      </c>
      <c r="N35" s="6"/>
      <c r="O35" s="11">
        <f t="shared" si="9"/>
        <v>1.624387942027298</v>
      </c>
      <c r="P35" s="11">
        <f t="shared" si="9"/>
        <v>1.3331289532939743</v>
      </c>
      <c r="Q35" s="11">
        <f t="shared" si="9"/>
        <v>0.15895250667891578</v>
      </c>
      <c r="R35" s="11">
        <f t="shared" si="9"/>
        <v>0.98284065497610462</v>
      </c>
      <c r="S35" s="11">
        <f t="shared" si="9"/>
        <v>1.4255803548107686</v>
      </c>
      <c r="T35" s="11">
        <f t="shared" si="10"/>
        <v>2.0788058852327458</v>
      </c>
      <c r="U35" s="11">
        <f t="shared" si="10"/>
        <v>1.145408056363771</v>
      </c>
      <c r="V35" s="11">
        <f t="shared" si="10"/>
        <v>1.5396863118729887</v>
      </c>
    </row>
    <row r="36" spans="1:22" x14ac:dyDescent="0.35">
      <c r="A36" s="221"/>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0.31639449946344317</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1"/>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8.7793335100656664E-2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1"/>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1.1388220916785146</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1"/>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1.2454517306664694</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1"/>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1.2842640076068919</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1"/>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0.94773661497262318</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1"/>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1.4963014752561681</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1"/>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1.0809780969240586</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BPA-1mg/L</v>
      </c>
      <c r="J45" s="7" t="str">
        <f t="shared" si="27"/>
        <v>BPA-2mg/L</v>
      </c>
      <c r="K45" s="7" t="str">
        <f t="shared" ref="K45:M45" si="28">K4</f>
        <v>BPA-3mg/L</v>
      </c>
      <c r="L45" s="7" t="str">
        <f t="shared" si="28"/>
        <v>BPA-4mg/L</v>
      </c>
      <c r="M45" s="7" t="str">
        <f t="shared" si="28"/>
        <v>BPA-5mg/L</v>
      </c>
      <c r="N45" s="7"/>
      <c r="O45" s="7" t="str">
        <f t="shared" si="27"/>
        <v>Testo -30µg/L</v>
      </c>
      <c r="P45" s="7" t="str">
        <f t="shared" si="27"/>
        <v>Testo 30µg/L + EE2 -64ng/L</v>
      </c>
      <c r="Q45" s="7" t="str">
        <f t="shared" si="27"/>
        <v>Testo 30µg/L + FAD-10mg/L</v>
      </c>
      <c r="R45" s="7" t="str">
        <f t="shared" si="27"/>
        <v>BPA-1mg/L + Testostérone</v>
      </c>
      <c r="S45" s="7" t="str">
        <f t="shared" ref="S45:V45" si="29">S4</f>
        <v>BPA-2mg/L + Testostérone</v>
      </c>
      <c r="T45" s="7" t="str">
        <f t="shared" si="29"/>
        <v>BPA-3mg/L + Testostérone</v>
      </c>
      <c r="U45" s="7" t="str">
        <f t="shared" si="29"/>
        <v>BPA-4mg/L + Testostérone</v>
      </c>
      <c r="V45" s="7" t="str">
        <f t="shared" si="29"/>
        <v>BPA-5mg/L + Testostérone</v>
      </c>
    </row>
    <row r="46" spans="1:22" x14ac:dyDescent="0.35">
      <c r="A46" s="8" t="s">
        <v>0</v>
      </c>
      <c r="B46" s="10">
        <f t="shared" ref="B46:H46" si="30">AVERAGE(B28:B43)</f>
        <v>0.14896737957976658</v>
      </c>
      <c r="C46" s="10">
        <f t="shared" si="30"/>
        <v>0.11174071758704762</v>
      </c>
      <c r="D46" s="10">
        <f t="shared" si="30"/>
        <v>9.6242200311908957E-2</v>
      </c>
      <c r="E46" s="10">
        <f t="shared" si="30"/>
        <v>0.10695164338162613</v>
      </c>
      <c r="F46" s="10">
        <f t="shared" si="30"/>
        <v>0.42094676772264394</v>
      </c>
      <c r="G46" s="10">
        <f t="shared" si="30"/>
        <v>1.1076280590129812</v>
      </c>
      <c r="H46" s="10">
        <f t="shared" si="30"/>
        <v>1.6599165774213076</v>
      </c>
      <c r="I46" s="10">
        <f>AVERAGE(I28:I43)</f>
        <v>0.10985895704786282</v>
      </c>
      <c r="J46" s="9">
        <f>AVERAGE(J28:J43)</f>
        <v>0.10040688637904031</v>
      </c>
      <c r="K46" s="9">
        <f t="shared" ref="K46:M46" si="31">AVERAGE(K28:K43)</f>
        <v>0.13891822102675805</v>
      </c>
      <c r="L46" s="9">
        <f t="shared" si="31"/>
        <v>0.29617406180000921</v>
      </c>
      <c r="M46" s="9">
        <f t="shared" si="31"/>
        <v>0.86317418963284809</v>
      </c>
      <c r="N46" s="8" t="s">
        <v>0</v>
      </c>
      <c r="O46" s="10">
        <f t="shared" ref="O46:R46" si="32">AVERAGE(O28:O43)</f>
        <v>0.99999999999999967</v>
      </c>
      <c r="P46" s="10">
        <f t="shared" si="32"/>
        <v>1.1861135634809548</v>
      </c>
      <c r="Q46" s="10">
        <f t="shared" si="32"/>
        <v>0.11330559346926236</v>
      </c>
      <c r="R46" s="10">
        <f t="shared" si="32"/>
        <v>1.06056869383571</v>
      </c>
      <c r="S46" s="10">
        <f t="shared" ref="S46:V46" si="33">AVERAGE(S28:S43)</f>
        <v>1.6712445376473166</v>
      </c>
      <c r="T46" s="10">
        <f t="shared" si="33"/>
        <v>1.4607671604477108</v>
      </c>
      <c r="U46" s="10">
        <f t="shared" si="33"/>
        <v>1.8301206548872322</v>
      </c>
      <c r="V46" s="10">
        <f t="shared" si="33"/>
        <v>1.570796882125048</v>
      </c>
    </row>
    <row r="47" spans="1:22" x14ac:dyDescent="0.35">
      <c r="A47" s="8" t="s">
        <v>1</v>
      </c>
      <c r="B47" s="8">
        <f t="shared" ref="B47:J47" si="34">STDEV(B28:B43)</f>
        <v>7.313945001382352E-2</v>
      </c>
      <c r="C47" s="8">
        <f t="shared" si="34"/>
        <v>7.7898029076394648E-2</v>
      </c>
      <c r="D47" s="8">
        <f t="shared" si="34"/>
        <v>8.488240074046996E-2</v>
      </c>
      <c r="E47" s="8">
        <f t="shared" si="34"/>
        <v>5.4209924935838712E-2</v>
      </c>
      <c r="F47" s="8">
        <f t="shared" si="34"/>
        <v>0.2909228964947862</v>
      </c>
      <c r="G47" s="8">
        <f t="shared" si="34"/>
        <v>0.41380688974930807</v>
      </c>
      <c r="H47" s="8">
        <f t="shared" si="34"/>
        <v>0.39368926747839517</v>
      </c>
      <c r="I47" s="8">
        <f t="shared" si="34"/>
        <v>5.7508543104142995E-2</v>
      </c>
      <c r="J47" s="8">
        <f t="shared" si="34"/>
        <v>8.2958032711589261E-2</v>
      </c>
      <c r="K47" s="8">
        <f t="shared" ref="K47:M47" si="35">STDEV(K28:K43)</f>
        <v>0.10186846490831149</v>
      </c>
      <c r="L47" s="8">
        <f t="shared" si="35"/>
        <v>0.3467800600834044</v>
      </c>
      <c r="M47" s="8">
        <f t="shared" si="35"/>
        <v>0.51376253996997834</v>
      </c>
      <c r="N47" s="8" t="s">
        <v>1</v>
      </c>
      <c r="O47" s="8">
        <f t="shared" ref="O47:R47" si="36">STDEV(O28:O43)</f>
        <v>0.51113107026001747</v>
      </c>
      <c r="P47" s="8">
        <f t="shared" si="36"/>
        <v>0.27637025051928804</v>
      </c>
      <c r="Q47" s="8">
        <f t="shared" si="36"/>
        <v>5.8658855163297899E-2</v>
      </c>
      <c r="R47" s="8">
        <f t="shared" si="36"/>
        <v>0.31063034042828269</v>
      </c>
      <c r="S47" s="8">
        <f t="shared" ref="S47:V47" si="37">STDEV(S28:S43)</f>
        <v>0.45396634507381622</v>
      </c>
      <c r="T47" s="8">
        <f t="shared" si="37"/>
        <v>0.4060119722742877</v>
      </c>
      <c r="U47" s="8">
        <f t="shared" si="37"/>
        <v>0.47504976801456289</v>
      </c>
      <c r="V47" s="8">
        <f t="shared" si="37"/>
        <v>0.52020532688143417</v>
      </c>
    </row>
    <row r="48" spans="1:22" x14ac:dyDescent="0.35">
      <c r="A48" s="8" t="s">
        <v>2</v>
      </c>
      <c r="B48" s="8">
        <f t="shared" ref="B48:J48" si="38" xml:space="preserve"> B47/SQRT(COUNT(B28:B43))</f>
        <v>2.5858700538514568E-2</v>
      </c>
      <c r="C48" s="8">
        <f t="shared" si="38"/>
        <v>2.7541112300492752E-2</v>
      </c>
      <c r="D48" s="8">
        <f t="shared" si="38"/>
        <v>3.0010460583490165E-2</v>
      </c>
      <c r="E48" s="8">
        <f t="shared" si="38"/>
        <v>1.9166102764872635E-2</v>
      </c>
      <c r="F48" s="8">
        <f t="shared" si="38"/>
        <v>0.1028567764569477</v>
      </c>
      <c r="G48" s="8">
        <f t="shared" si="38"/>
        <v>0.14630282892172489</v>
      </c>
      <c r="H48" s="8">
        <f t="shared" si="38"/>
        <v>0.13919017535716888</v>
      </c>
      <c r="I48" s="8">
        <f t="shared" si="38"/>
        <v>2.1736186187885833E-2</v>
      </c>
      <c r="J48" s="8">
        <f t="shared" si="38"/>
        <v>3.1355189115718066E-2</v>
      </c>
      <c r="K48" s="8">
        <f t="shared" ref="K48:M48" si="39" xml:space="preserve"> K47/SQRT(COUNT(K28:K43))</f>
        <v>3.6015941162865453E-2</v>
      </c>
      <c r="L48" s="8">
        <f t="shared" si="39"/>
        <v>0.12260526603262681</v>
      </c>
      <c r="M48" s="8">
        <f t="shared" si="39"/>
        <v>0.18164248796619817</v>
      </c>
      <c r="N48" s="8" t="s">
        <v>2</v>
      </c>
      <c r="O48" s="8">
        <f t="shared" ref="O48:R48" si="40" xml:space="preserve"> O47/SQRT(COUNT(O28:O43))</f>
        <v>0.12778276756500437</v>
      </c>
      <c r="P48" s="8">
        <f t="shared" si="40"/>
        <v>9.7711639130206765E-2</v>
      </c>
      <c r="Q48" s="8">
        <f t="shared" si="40"/>
        <v>2.0739037131303734E-2</v>
      </c>
      <c r="R48" s="8">
        <f t="shared" si="40"/>
        <v>0.10982441007956222</v>
      </c>
      <c r="S48" s="8">
        <f t="shared" ref="S48:V48" si="41" xml:space="preserve"> S47/SQRT(COUNT(S28:S43))</f>
        <v>0.16050134051608383</v>
      </c>
      <c r="T48" s="8">
        <f t="shared" si="41"/>
        <v>0.14354690941903667</v>
      </c>
      <c r="U48" s="8">
        <f t="shared" si="41"/>
        <v>0.16795545618209684</v>
      </c>
      <c r="V48" s="8">
        <f t="shared" si="41"/>
        <v>0.18392035712361335</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BPA-1mg/L</v>
      </c>
      <c r="J52" s="46" t="str">
        <f>J4</f>
        <v>BPA-2mg/L</v>
      </c>
      <c r="K52" s="46" t="str">
        <f t="shared" ref="K52:M52" si="43">K4</f>
        <v>BPA-3mg/L</v>
      </c>
      <c r="L52" s="46" t="str">
        <f t="shared" si="43"/>
        <v>BPA-4mg/L</v>
      </c>
      <c r="M52" s="46" t="str">
        <f t="shared" si="43"/>
        <v>BPA-5mg/L</v>
      </c>
      <c r="N52" s="47"/>
      <c r="O52" s="46" t="str">
        <f>O27</f>
        <v>Testo -30µg/L</v>
      </c>
      <c r="P52" s="46" t="str">
        <f>P27</f>
        <v>Testo 30µg/L + EE2 -64ng/L</v>
      </c>
      <c r="Q52" s="46" t="str">
        <f>Q27</f>
        <v>Testo 30µg/L + FAD-10mg/L</v>
      </c>
      <c r="R52" s="46" t="str">
        <f>R27</f>
        <v>BPA-1mg/L + Testostérone</v>
      </c>
      <c r="S52" s="46" t="str">
        <f t="shared" ref="S52:V52" si="44">S27</f>
        <v>BPA-2mg/L + Testostérone</v>
      </c>
      <c r="T52" s="46" t="str">
        <f t="shared" si="44"/>
        <v>BPA-3mg/L + Testostérone</v>
      </c>
      <c r="U52" s="46" t="str">
        <f t="shared" si="44"/>
        <v>BPA-4mg/L + Testostérone</v>
      </c>
      <c r="V52" s="46" t="str">
        <f t="shared" si="44"/>
        <v>BPA-5mg/L + Testostérone</v>
      </c>
    </row>
    <row r="53" spans="1:22" s="3" customFormat="1" x14ac:dyDescent="0.35">
      <c r="A53" s="61" t="s">
        <v>32</v>
      </c>
      <c r="B53" s="142">
        <f t="shared" ref="B53" si="45">B46</f>
        <v>0.14896737957976658</v>
      </c>
      <c r="C53" s="142">
        <f t="shared" ref="C53:V53" si="46">C46</f>
        <v>0.11174071758704762</v>
      </c>
      <c r="D53" s="142">
        <f t="shared" si="46"/>
        <v>9.6242200311908957E-2</v>
      </c>
      <c r="E53" s="142">
        <f t="shared" si="46"/>
        <v>0.10695164338162613</v>
      </c>
      <c r="F53" s="142">
        <f t="shared" si="46"/>
        <v>0.42094676772264394</v>
      </c>
      <c r="G53" s="142">
        <f t="shared" si="46"/>
        <v>1.1076280590129812</v>
      </c>
      <c r="H53" s="142">
        <f t="shared" si="46"/>
        <v>1.6599165774213076</v>
      </c>
      <c r="I53" s="142">
        <f t="shared" si="46"/>
        <v>0.10985895704786282</v>
      </c>
      <c r="J53" s="142">
        <f t="shared" si="46"/>
        <v>0.10040688637904031</v>
      </c>
      <c r="K53" s="142">
        <f t="shared" si="46"/>
        <v>0.13891822102675805</v>
      </c>
      <c r="L53" s="142">
        <f t="shared" si="46"/>
        <v>0.29617406180000921</v>
      </c>
      <c r="M53" s="142">
        <f t="shared" si="46"/>
        <v>0.86317418963284809</v>
      </c>
      <c r="N53" s="142"/>
      <c r="O53" s="142">
        <f t="shared" si="46"/>
        <v>0.99999999999999967</v>
      </c>
      <c r="P53" s="142">
        <f t="shared" si="46"/>
        <v>1.1861135634809548</v>
      </c>
      <c r="Q53" s="142">
        <f t="shared" si="46"/>
        <v>0.11330559346926236</v>
      </c>
      <c r="R53" s="142">
        <f t="shared" si="46"/>
        <v>1.06056869383571</v>
      </c>
      <c r="S53" s="142">
        <f t="shared" si="46"/>
        <v>1.6712445376473166</v>
      </c>
      <c r="T53" s="142">
        <f t="shared" si="46"/>
        <v>1.4607671604477108</v>
      </c>
      <c r="U53" s="142">
        <f t="shared" si="46"/>
        <v>1.8301206548872322</v>
      </c>
      <c r="V53" s="142">
        <f t="shared" si="46"/>
        <v>1.570796882125048</v>
      </c>
    </row>
    <row r="54" spans="1:22" s="3" customFormat="1" x14ac:dyDescent="0.35">
      <c r="A54" s="61" t="s">
        <v>2</v>
      </c>
      <c r="B54" s="142">
        <f t="shared" ref="B54" si="47">B48</f>
        <v>2.5858700538514568E-2</v>
      </c>
      <c r="C54" s="142">
        <f t="shared" ref="C54:V54" si="48">C48</f>
        <v>2.7541112300492752E-2</v>
      </c>
      <c r="D54" s="142">
        <f t="shared" si="48"/>
        <v>3.0010460583490165E-2</v>
      </c>
      <c r="E54" s="142">
        <f t="shared" si="48"/>
        <v>1.9166102764872635E-2</v>
      </c>
      <c r="F54" s="142">
        <f t="shared" si="48"/>
        <v>0.1028567764569477</v>
      </c>
      <c r="G54" s="142">
        <f t="shared" si="48"/>
        <v>0.14630282892172489</v>
      </c>
      <c r="H54" s="142">
        <f t="shared" si="48"/>
        <v>0.13919017535716888</v>
      </c>
      <c r="I54" s="142">
        <f t="shared" si="48"/>
        <v>2.1736186187885833E-2</v>
      </c>
      <c r="J54" s="142">
        <f t="shared" si="48"/>
        <v>3.1355189115718066E-2</v>
      </c>
      <c r="K54" s="142">
        <f t="shared" si="48"/>
        <v>3.6015941162865453E-2</v>
      </c>
      <c r="L54" s="142">
        <f t="shared" si="48"/>
        <v>0.12260526603262681</v>
      </c>
      <c r="M54" s="142">
        <f t="shared" si="48"/>
        <v>0.18164248796619817</v>
      </c>
      <c r="N54" s="142"/>
      <c r="O54" s="142">
        <f t="shared" si="48"/>
        <v>0.12778276756500437</v>
      </c>
      <c r="P54" s="142">
        <f t="shared" si="48"/>
        <v>9.7711639130206765E-2</v>
      </c>
      <c r="Q54" s="142">
        <f t="shared" si="48"/>
        <v>2.0739037131303734E-2</v>
      </c>
      <c r="R54" s="142">
        <f t="shared" si="48"/>
        <v>0.10982441007956222</v>
      </c>
      <c r="S54" s="142">
        <f t="shared" si="48"/>
        <v>0.16050134051608383</v>
      </c>
      <c r="T54" s="142">
        <f t="shared" si="48"/>
        <v>0.14354690941903667</v>
      </c>
      <c r="U54" s="142">
        <f t="shared" si="48"/>
        <v>0.16795545618209684</v>
      </c>
      <c r="V54" s="142">
        <f t="shared" si="48"/>
        <v>0.18392035712361335</v>
      </c>
    </row>
    <row r="55" spans="1:22" s="3" customFormat="1" x14ac:dyDescent="0.35">
      <c r="A55" s="61" t="s">
        <v>79</v>
      </c>
      <c r="B55" s="142">
        <f>(B53*100/$B53)-100</f>
        <v>0</v>
      </c>
      <c r="C55" s="142">
        <f t="shared" ref="C55:V55" si="49">(C53*100/$B53)-100</f>
        <v>-24.989807901390549</v>
      </c>
      <c r="D55" s="142">
        <f t="shared" si="49"/>
        <v>-35.393775077868781</v>
      </c>
      <c r="E55" s="142">
        <f t="shared" si="49"/>
        <v>-28.204655486768871</v>
      </c>
      <c r="F55" s="142">
        <f t="shared" si="49"/>
        <v>182.57647339311779</v>
      </c>
      <c r="G55" s="142">
        <f t="shared" si="49"/>
        <v>643.537318128018</v>
      </c>
      <c r="H55" s="142">
        <f t="shared" si="49"/>
        <v>1014.2819200444371</v>
      </c>
      <c r="I55" s="142">
        <f t="shared" si="49"/>
        <v>-26.253010989538566</v>
      </c>
      <c r="J55" s="142">
        <f t="shared" si="49"/>
        <v>-32.598071697115344</v>
      </c>
      <c r="K55" s="142">
        <f t="shared" si="49"/>
        <v>-6.7458785818458864</v>
      </c>
      <c r="L55" s="142">
        <f t="shared" si="49"/>
        <v>98.818065159976072</v>
      </c>
      <c r="M55" s="142">
        <f t="shared" si="49"/>
        <v>479.43839253119836</v>
      </c>
      <c r="N55" s="142"/>
      <c r="O55" s="142">
        <f t="shared" si="49"/>
        <v>571.28790398339277</v>
      </c>
      <c r="P55" s="142">
        <f t="shared" si="49"/>
        <v>696.22368791540316</v>
      </c>
      <c r="Q55" s="142">
        <f t="shared" si="49"/>
        <v>-23.93932565042445</v>
      </c>
      <c r="R55" s="142">
        <f t="shared" si="49"/>
        <v>611.94693551537853</v>
      </c>
      <c r="S55" s="142">
        <f t="shared" si="49"/>
        <v>1021.8862427209619</v>
      </c>
      <c r="T55" s="142">
        <f t="shared" si="49"/>
        <v>880.59532534471646</v>
      </c>
      <c r="U55" s="142">
        <f t="shared" si="49"/>
        <v>1128.5378584559644</v>
      </c>
      <c r="V55" s="142">
        <f t="shared" si="49"/>
        <v>954.45694658537218</v>
      </c>
    </row>
    <row r="56" spans="1:22" s="3" customFormat="1" x14ac:dyDescent="0.35">
      <c r="A56" s="61" t="s">
        <v>81</v>
      </c>
      <c r="B56" s="142">
        <f>[1]!SWTEST(B28:B43)</f>
        <v>0.48343352542616103</v>
      </c>
      <c r="C56" s="142">
        <f>[1]!SWTEST(C28:C43)</f>
        <v>0.14913844350495375</v>
      </c>
      <c r="D56" s="142">
        <f>[1]!SWTEST(D28:D43)</f>
        <v>5.1440508561777065E-2</v>
      </c>
      <c r="E56" s="142">
        <f>[1]!SWTEST(E28:E43)</f>
        <v>0.79491036450035257</v>
      </c>
      <c r="F56" s="142">
        <f>[1]!SWTEST(F28:F43)</f>
        <v>0.71341428700601928</v>
      </c>
      <c r="G56" s="142">
        <f>[1]!SWTEST(G28:G43)</f>
        <v>1.2937495752349371E-2</v>
      </c>
      <c r="H56" s="142">
        <f>[1]!SWTEST(H28:H43)</f>
        <v>0.66130262765623549</v>
      </c>
      <c r="I56" s="142">
        <f>[1]!SWTEST(I28:I43)</f>
        <v>0.87241937530365932</v>
      </c>
      <c r="J56" s="142">
        <f>[1]!SWTEST(J28:J43)</f>
        <v>0.13613200663269032</v>
      </c>
      <c r="K56" s="142">
        <f>[1]!SWTEST(K28:K43)</f>
        <v>0.55695496012509249</v>
      </c>
      <c r="L56" s="142">
        <f>[1]!SWTEST(L28:L43)</f>
        <v>3.5804736586692587E-2</v>
      </c>
      <c r="M56" s="142">
        <f>[1]!SWTEST(M28:M43)</f>
        <v>0.13301284829216942</v>
      </c>
      <c r="N56" s="142"/>
      <c r="O56" s="142">
        <f>[1]!SWTEST(O28:O43)</f>
        <v>0.15588453750085962</v>
      </c>
      <c r="P56" s="142">
        <f>[1]!SWTEST(P28:P43)</f>
        <v>0.76316477049611109</v>
      </c>
      <c r="Q56" s="142">
        <f>[1]!SWTEST(Q28:Q43)</f>
        <v>0.21061642420802063</v>
      </c>
      <c r="R56" s="142">
        <f>[1]!SWTEST(R28:R43)</f>
        <v>0.78696192376217289</v>
      </c>
      <c r="S56" s="142">
        <f>[1]!SWTEST(S28:S43)</f>
        <v>0.28686199838227167</v>
      </c>
      <c r="T56" s="142">
        <f>[1]!SWTEST(T28:T43)</f>
        <v>0.91817065319118829</v>
      </c>
      <c r="U56" s="142">
        <f>[1]!SWTEST(U28:U43)</f>
        <v>0.80526917462219116</v>
      </c>
      <c r="V56" s="142">
        <f>[1]!SWTEST(V28:V43)</f>
        <v>0.74701528701756914</v>
      </c>
    </row>
    <row r="57" spans="1:22" s="3" customFormat="1" x14ac:dyDescent="0.35">
      <c r="A57" s="61" t="s">
        <v>85</v>
      </c>
      <c r="B57" s="142" t="str">
        <f>IF(B56&gt;0.05,"Oui","Non")</f>
        <v>Oui</v>
      </c>
      <c r="C57" s="142" t="str">
        <f t="shared" ref="C57:V57" si="50">IF(C56&gt;0.05,"Oui","Non")</f>
        <v>Oui</v>
      </c>
      <c r="D57" s="142" t="str">
        <f t="shared" si="50"/>
        <v>Oui</v>
      </c>
      <c r="E57" s="142" t="str">
        <f t="shared" si="50"/>
        <v>Oui</v>
      </c>
      <c r="F57" s="142" t="str">
        <f t="shared" si="50"/>
        <v>Oui</v>
      </c>
      <c r="G57" s="142" t="str">
        <f t="shared" si="50"/>
        <v>Non</v>
      </c>
      <c r="H57" s="142" t="str">
        <f t="shared" si="50"/>
        <v>Oui</v>
      </c>
      <c r="I57" s="142" t="str">
        <f t="shared" si="50"/>
        <v>Oui</v>
      </c>
      <c r="J57" s="142" t="str">
        <f t="shared" si="50"/>
        <v>Oui</v>
      </c>
      <c r="K57" s="142" t="str">
        <f t="shared" si="50"/>
        <v>Oui</v>
      </c>
      <c r="L57" s="142" t="str">
        <f t="shared" si="50"/>
        <v>Non</v>
      </c>
      <c r="M57" s="142" t="str">
        <f t="shared" si="50"/>
        <v>Oui</v>
      </c>
      <c r="N57" s="142"/>
      <c r="O57" s="142" t="str">
        <f t="shared" si="50"/>
        <v>Oui</v>
      </c>
      <c r="P57" s="142" t="str">
        <f t="shared" si="50"/>
        <v>Oui</v>
      </c>
      <c r="Q57" s="142" t="str">
        <f t="shared" si="50"/>
        <v>Oui</v>
      </c>
      <c r="R57" s="142" t="str">
        <f t="shared" si="50"/>
        <v>Oui</v>
      </c>
      <c r="S57" s="142" t="str">
        <f t="shared" si="50"/>
        <v>Oui</v>
      </c>
      <c r="T57" s="142" t="str">
        <f t="shared" si="50"/>
        <v>Oui</v>
      </c>
      <c r="U57" s="142" t="str">
        <f t="shared" si="50"/>
        <v>Oui</v>
      </c>
      <c r="V57" s="142" t="str">
        <f t="shared" si="50"/>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51">IF($B57="Non",IF(C57="Non","MW",IF(C57="Oui","MW","")),IF($B57="Oui",IF(C57="Oui","T-Test Welch",IF(C57="Non","MW",""))))</f>
        <v>T-Test Welch</v>
      </c>
      <c r="D59" s="151" t="str">
        <f t="shared" si="51"/>
        <v>T-Test Welch</v>
      </c>
      <c r="E59" s="151" t="str">
        <f t="shared" si="51"/>
        <v>T-Test Welch</v>
      </c>
      <c r="F59" s="151" t="str">
        <f t="shared" si="51"/>
        <v>T-Test Welch</v>
      </c>
      <c r="G59" s="151" t="str">
        <f t="shared" si="51"/>
        <v>MW</v>
      </c>
      <c r="H59" s="151" t="str">
        <f t="shared" si="51"/>
        <v>T-Test Welch</v>
      </c>
      <c r="I59" s="151" t="str">
        <f t="shared" si="51"/>
        <v>T-Test Welch</v>
      </c>
      <c r="J59" s="151" t="str">
        <f t="shared" si="51"/>
        <v>T-Test Welch</v>
      </c>
      <c r="K59" s="151" t="str">
        <f t="shared" si="51"/>
        <v>T-Test Welch</v>
      </c>
      <c r="L59" s="151" t="str">
        <f t="shared" si="51"/>
        <v>MW</v>
      </c>
      <c r="M59" s="151" t="str">
        <f t="shared" si="51"/>
        <v>T-Test Welch</v>
      </c>
      <c r="N59" s="151"/>
      <c r="O59" s="151" t="str">
        <f t="shared" si="51"/>
        <v>T-Test Welch</v>
      </c>
      <c r="P59" s="151" t="str">
        <f t="shared" ref="P59:V59" si="52">IF($O57="Non",IF(P57="Non","MW",IF(P57="Oui","MW","")),IF($O57="Oui",IF(P57="Oui","T-Test Welch",IF(P57="Non","MW",""))))</f>
        <v>T-Test Welch</v>
      </c>
      <c r="Q59" s="151" t="str">
        <f t="shared" si="52"/>
        <v>T-Test Welch</v>
      </c>
      <c r="R59" s="151" t="str">
        <f t="shared" si="52"/>
        <v>T-Test Welch</v>
      </c>
      <c r="S59" s="151" t="str">
        <f t="shared" si="52"/>
        <v>T-Test Welch</v>
      </c>
      <c r="T59" s="151" t="str">
        <f t="shared" si="52"/>
        <v>T-Test Welch</v>
      </c>
      <c r="U59" s="151" t="str">
        <f t="shared" si="52"/>
        <v>T-Test Welch</v>
      </c>
      <c r="V59" s="151" t="str">
        <f t="shared" si="52"/>
        <v>T-Test Welch</v>
      </c>
    </row>
    <row r="60" spans="1:22" s="3" customFormat="1" x14ac:dyDescent="0.35">
      <c r="A60" s="61" t="s">
        <v>83</v>
      </c>
      <c r="B60" s="152"/>
      <c r="C60" s="152">
        <f>IF(C59="MW",[1]!MTEST($B28:$B43,C28:C43,2), IF(C59="T-Test Welch",_xlfn.T.TEST($B28:$B43,C28:C43,2,3),""))</f>
        <v>0.34121590647565492</v>
      </c>
      <c r="D60" s="152">
        <f>IF(D59="MW",[1]!MTEST($B28:$B43,D28:D43,2), IF(D59="T-Test Welch",_xlfn.T.TEST($B28:$B43,D28:D43,2,3),""))</f>
        <v>0.20492795790567095</v>
      </c>
      <c r="E60" s="152">
        <f>IF(E59="MW",[1]!MTEST($B28:$B43,E28:E43,2), IF(E59="T-Test Welch",_xlfn.T.TEST($B28:$B43,E28:E43,2,3),""))</f>
        <v>0.21455995263128502</v>
      </c>
      <c r="F60" s="152">
        <f>IF(F59="MW",[1]!MTEST($B28:$B43,F28:F43,2), IF(F59="T-Test Welch",_xlfn.T.TEST($B28:$B43,F28:F43,2,3),""))</f>
        <v>3.3819958983544465E-2</v>
      </c>
      <c r="G60" s="152">
        <f>IF(G59="MW",[1]!MTEST($B28:$B43,G28:G43,2), IF(G59="T-Test Welch",_xlfn.T.TEST($B28:$B43,G28:G43,2,3),""))</f>
        <v>7.7753044694039986E-4</v>
      </c>
      <c r="H60" s="152">
        <f>IF(H59="MW",[1]!MTEST($B28:$B43,H28:H43,2), IF(H59="T-Test Welch",_xlfn.T.TEST($B28:$B43,H28:H43,2,3),""))</f>
        <v>8.5870380345497318E-6</v>
      </c>
      <c r="I60" s="152">
        <f>IF(I59="MW",[1]!MTEST($B28:$B43,I28:I43,2), IF(I59="T-Test Welch",_xlfn.T.TEST($B28:$B43,I28:I43,2,3),""))</f>
        <v>0.26799360064416766</v>
      </c>
      <c r="J60" s="152">
        <f>IF(J59="MW",[1]!MTEST($B28:$B43,J28:J43,2), IF(J59="T-Test Welch",_xlfn.T.TEST($B28:$B43,J28:J43,2,3),""))</f>
        <v>0.25500074244064969</v>
      </c>
      <c r="K60" s="152">
        <f>IF(K59="MW",[1]!MTEST($B28:$B43,K28:K43,2), IF(K59="T-Test Welch",_xlfn.T.TEST($B28:$B43,K28:K43,2,3),""))</f>
        <v>0.82430184103707282</v>
      </c>
      <c r="L60" s="152">
        <f>IF(L59="MW",[1]!MTEST($B28:$B43,L28:L43,2), IF(L59="T-Test Welch",_xlfn.T.TEST($B28:$B43,L28:L43,2,3),""))</f>
        <v>0.83363488302468225</v>
      </c>
      <c r="M60" s="152">
        <f>IF(M59="MW",[1]!MTEST($B28:$B43,M28:M43,2), IF(M59="T-Test Welch",_xlfn.T.TEST($B28:$B43,M28:M43,2,3),""))</f>
        <v>5.5104947998491543E-3</v>
      </c>
      <c r="N60" s="152"/>
      <c r="O60" s="152">
        <f>IF(O59="MW",[1]!MTEST($B28:$B43,O28:O43,2), IF(O59="T-Test Welch",_xlfn.T.TEST($B28:$B43,O28:O43,2,3),""))</f>
        <v>6.5591133819171594E-6</v>
      </c>
      <c r="P60" s="152">
        <f>IF(P59="MW",[1]!MTEST($O28:$O43,P28:P43,2), IF(P59="T-Test Welch",_xlfn.T.TEST($O28:$O43,P28:P43,2,3),""))</f>
        <v>0.25983093948566705</v>
      </c>
      <c r="Q60" s="152">
        <f>IF(Q59="MW",[1]!MTEST($O28:$O43,Q28:Q43,2), IF(Q59="T-Test Welch",_xlfn.T.TEST($O28:$O43,Q28:Q43,2,3),""))</f>
        <v>4.2109987786500042E-6</v>
      </c>
      <c r="R60" s="152">
        <f>IF(R59="MW",[1]!MTEST($O28:$O43,R28:R43,2), IF(R59="T-Test Welch",_xlfn.T.TEST($O28:$O43,R28:R43,2,3),""))</f>
        <v>0.72284688739604763</v>
      </c>
      <c r="S60" s="152">
        <f>IF(S59="MW",[1]!MTEST($O28:$O43,S28:S43,2), IF(S59="T-Test Welch",_xlfn.T.TEST($O28:$O43,S28:S43,2,3),""))</f>
        <v>4.882612391972488E-3</v>
      </c>
      <c r="T60" s="152">
        <f>IF(T59="MW",[1]!MTEST($O28:$O43,T28:T43,2), IF(T59="T-Test Welch",_xlfn.T.TEST($O28:$O43,T28:T43,2,3),""))</f>
        <v>2.7980711788712233E-2</v>
      </c>
      <c r="U60" s="152">
        <f>IF(U59="MW",[1]!MTEST($O28:$O43,U28:U43,2), IF(U59="T-Test Welch",_xlfn.T.TEST($O28:$O43,U28:U43,2,3),""))</f>
        <v>1.3136537550172147E-3</v>
      </c>
      <c r="V60" s="152">
        <f>IF(V59="MW",[1]!MTEST($O28:$O43,V28:V43,2), IF(V59="T-Test Welch",_xlfn.T.TEST($O28:$O43,V28:V43,2,3),""))</f>
        <v>2.3294872508322916E-2</v>
      </c>
    </row>
    <row r="61" spans="1:22" s="3" customFormat="1" ht="15" thickBot="1" x14ac:dyDescent="0.4">
      <c r="A61" s="62" t="s">
        <v>84</v>
      </c>
      <c r="B61" s="143"/>
      <c r="C61" s="143" t="str">
        <f t="shared" ref="C61:O61" si="53">IF(C60&gt;0.05,"NS",IF(C60&gt;0.01,"*",IF(C60&gt;0.001,"**","***")))</f>
        <v>NS</v>
      </c>
      <c r="D61" s="143" t="str">
        <f t="shared" si="53"/>
        <v>NS</v>
      </c>
      <c r="E61" s="143" t="str">
        <f t="shared" si="53"/>
        <v>NS</v>
      </c>
      <c r="F61" s="143" t="str">
        <f t="shared" si="53"/>
        <v>*</v>
      </c>
      <c r="G61" s="143" t="str">
        <f t="shared" si="53"/>
        <v>***</v>
      </c>
      <c r="H61" s="143" t="str">
        <f t="shared" si="53"/>
        <v>***</v>
      </c>
      <c r="I61" s="143" t="str">
        <f t="shared" si="53"/>
        <v>NS</v>
      </c>
      <c r="J61" s="143" t="str">
        <f t="shared" si="53"/>
        <v>NS</v>
      </c>
      <c r="K61" s="143" t="str">
        <f t="shared" si="53"/>
        <v>NS</v>
      </c>
      <c r="L61" s="143" t="str">
        <f t="shared" si="53"/>
        <v>NS</v>
      </c>
      <c r="M61" s="143" t="str">
        <f t="shared" si="53"/>
        <v>**</v>
      </c>
      <c r="N61" s="143"/>
      <c r="O61" s="143" t="str">
        <f t="shared" si="53"/>
        <v>***</v>
      </c>
      <c r="P61" s="143" t="str">
        <f>IF(P60&gt;0.05,"NS",IF(P60&gt;0.01,"*",IF(P60&gt;0.001,"**","***")))</f>
        <v>NS</v>
      </c>
      <c r="Q61" s="143" t="str">
        <f t="shared" ref="Q61:V61" si="54">IF(Q60&gt;0.05,"NS",IF(Q60&gt;0.01,"*",IF(Q60&gt;0.001,"**","***")))</f>
        <v>***</v>
      </c>
      <c r="R61" s="143" t="str">
        <f t="shared" si="54"/>
        <v>NS</v>
      </c>
      <c r="S61" s="143" t="str">
        <f t="shared" si="54"/>
        <v>**</v>
      </c>
      <c r="T61" s="143" t="str">
        <f t="shared" si="54"/>
        <v>*</v>
      </c>
      <c r="U61" s="143" t="str">
        <f t="shared" si="54"/>
        <v>**</v>
      </c>
      <c r="V61" s="143" t="str">
        <f t="shared" si="54"/>
        <v>*</v>
      </c>
    </row>
    <row r="63" spans="1:22" x14ac:dyDescent="0.35">
      <c r="A63" s="2" t="s">
        <v>39</v>
      </c>
    </row>
    <row r="64" spans="1:22" x14ac:dyDescent="0.35">
      <c r="A64" s="1" t="s">
        <v>23</v>
      </c>
      <c r="B64" s="1">
        <f>B46+(3*B47)</f>
        <v>0.36838572962123717</v>
      </c>
    </row>
    <row r="65" spans="1:22" x14ac:dyDescent="0.35">
      <c r="A65" s="1" t="s">
        <v>24</v>
      </c>
      <c r="B65" s="1">
        <f>B46+(10*B47)</f>
        <v>0.88036187971800173</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L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3018</v>
      </c>
      <c r="D2" s="1" t="s">
        <v>220</v>
      </c>
      <c r="E2" s="1" t="s">
        <v>3019</v>
      </c>
      <c r="F2" s="1" t="s">
        <v>112</v>
      </c>
      <c r="G2" s="1">
        <v>14838</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3020</v>
      </c>
      <c r="D3" s="1" t="s">
        <v>672</v>
      </c>
      <c r="E3" s="1" t="s">
        <v>3021</v>
      </c>
      <c r="F3" s="1" t="s">
        <v>112</v>
      </c>
      <c r="G3" s="1">
        <v>23360</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3022</v>
      </c>
      <c r="D4" s="1" t="s">
        <v>3023</v>
      </c>
      <c r="E4" s="1" t="s">
        <v>3024</v>
      </c>
      <c r="F4" s="1" t="s">
        <v>112</v>
      </c>
      <c r="G4" s="1">
        <v>6770</v>
      </c>
      <c r="K4" s="119" t="s">
        <v>100</v>
      </c>
      <c r="L4" s="1" t="s">
        <v>1600</v>
      </c>
      <c r="M4" s="1" t="s">
        <v>1601</v>
      </c>
      <c r="N4" s="1" t="s">
        <v>1602</v>
      </c>
      <c r="O4" s="1" t="s">
        <v>1603</v>
      </c>
      <c r="P4" s="1" t="s">
        <v>1604</v>
      </c>
      <c r="Q4" s="1" t="s">
        <v>1605</v>
      </c>
      <c r="R4" s="1" t="s">
        <v>1606</v>
      </c>
      <c r="S4" s="1" t="s">
        <v>1607</v>
      </c>
      <c r="T4" s="1" t="s">
        <v>1608</v>
      </c>
      <c r="U4" s="1" t="s">
        <v>1609</v>
      </c>
      <c r="V4" s="1" t="s">
        <v>1610</v>
      </c>
      <c r="W4" s="1" t="s">
        <v>1611</v>
      </c>
      <c r="X4" s="1" t="s">
        <v>1612</v>
      </c>
      <c r="Y4" s="1" t="s">
        <v>1613</v>
      </c>
      <c r="Z4" s="1" t="s">
        <v>1614</v>
      </c>
      <c r="AA4" s="1" t="s">
        <v>1615</v>
      </c>
      <c r="AB4" s="1" t="s">
        <v>1616</v>
      </c>
      <c r="AC4" s="1" t="s">
        <v>1617</v>
      </c>
      <c r="AD4" s="1" t="s">
        <v>1618</v>
      </c>
      <c r="AE4" s="1" t="s">
        <v>1619</v>
      </c>
      <c r="AF4" s="1" t="s">
        <v>1620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3025</v>
      </c>
      <c r="D5" s="1" t="s">
        <v>711</v>
      </c>
      <c r="E5" s="1" t="s">
        <v>3026</v>
      </c>
      <c r="F5" s="1" t="s">
        <v>112</v>
      </c>
      <c r="G5" s="1">
        <v>52215</v>
      </c>
      <c r="K5" s="146" t="s">
        <v>164</v>
      </c>
      <c r="L5" s="44">
        <v>14989.333333333334</v>
      </c>
      <c r="M5" s="44">
        <v>28847</v>
      </c>
      <c r="N5" s="44">
        <v>166081.66666666666</v>
      </c>
      <c r="O5" s="44">
        <v>207236</v>
      </c>
      <c r="P5" s="44">
        <v>310619.66666666669</v>
      </c>
      <c r="Q5" s="44">
        <v>2062021.3333333333</v>
      </c>
      <c r="R5" s="44">
        <v>7143791.5</v>
      </c>
      <c r="S5" s="44">
        <v>54904</v>
      </c>
      <c r="T5" s="44">
        <v>274057.66666666669</v>
      </c>
      <c r="U5" s="44">
        <v>254713.5</v>
      </c>
      <c r="V5" s="44">
        <v>250041.66666666666</v>
      </c>
      <c r="W5" s="44">
        <v>1965584</v>
      </c>
      <c r="X5" s="44">
        <v>2865427.3333333335</v>
      </c>
      <c r="Y5" s="44">
        <v>1589894.5</v>
      </c>
      <c r="Z5" s="44">
        <v>3581770</v>
      </c>
      <c r="AA5" s="44">
        <v>250524.33333333334</v>
      </c>
      <c r="AB5" s="44">
        <v>2193531</v>
      </c>
      <c r="AC5" s="44">
        <v>1791330.3333333333</v>
      </c>
      <c r="AD5" s="44">
        <v>3025625.6666666665</v>
      </c>
      <c r="AE5" s="44">
        <v>3808000.3333333335</v>
      </c>
      <c r="AF5" s="44">
        <v>5614817.666666667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3027</v>
      </c>
      <c r="D6" s="1" t="s">
        <v>807</v>
      </c>
      <c r="E6" s="1" t="s">
        <v>3028</v>
      </c>
      <c r="F6" s="1" t="s">
        <v>112</v>
      </c>
      <c r="G6" s="1">
        <v>30952</v>
      </c>
      <c r="K6" s="146" t="s">
        <v>1621</v>
      </c>
      <c r="L6" s="44">
        <v>50772.666666666664</v>
      </c>
      <c r="M6" s="44">
        <v>39921.666666666664</v>
      </c>
      <c r="N6" s="44">
        <v>60088</v>
      </c>
      <c r="O6" s="44">
        <v>672076.66666666663</v>
      </c>
      <c r="P6" s="44">
        <v>828035.5</v>
      </c>
      <c r="Q6" s="44">
        <v>2896077.3333333335</v>
      </c>
      <c r="R6" s="44">
        <v>7893015.333333333</v>
      </c>
      <c r="S6" s="44">
        <v>372192.66666666669</v>
      </c>
      <c r="T6" s="44">
        <v>314924</v>
      </c>
      <c r="U6" s="44">
        <v>344615</v>
      </c>
      <c r="V6" s="44">
        <v>506334</v>
      </c>
      <c r="W6" s="44">
        <v>3177951</v>
      </c>
      <c r="X6" s="44">
        <v>237150</v>
      </c>
      <c r="Y6" s="44">
        <v>1890121</v>
      </c>
      <c r="Z6" s="44">
        <v>5306080</v>
      </c>
      <c r="AA6" s="44">
        <v>223775.66666666666</v>
      </c>
      <c r="AB6" s="44">
        <v>2563906.6666666665</v>
      </c>
      <c r="AC6" s="44">
        <v>2181115.3333333335</v>
      </c>
      <c r="AD6" s="44">
        <v>4118807.6666666665</v>
      </c>
      <c r="AE6" s="44">
        <v>5414730.5</v>
      </c>
      <c r="AF6" s="44">
        <v>2226960</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3029</v>
      </c>
      <c r="D7" s="1" t="s">
        <v>662</v>
      </c>
      <c r="E7" s="1" t="s">
        <v>3030</v>
      </c>
      <c r="F7" s="1" t="s">
        <v>112</v>
      </c>
      <c r="G7" s="1">
        <v>69151</v>
      </c>
      <c r="K7" s="146" t="s">
        <v>1622</v>
      </c>
      <c r="L7" s="44">
        <v>501532.66666666669</v>
      </c>
      <c r="M7" s="44">
        <v>48710.333333333336</v>
      </c>
      <c r="N7" s="44">
        <v>298752</v>
      </c>
      <c r="O7" s="44">
        <v>1657145.3333333333</v>
      </c>
      <c r="P7" s="44">
        <v>1206126.3333333333</v>
      </c>
      <c r="Q7" s="44">
        <v>2124820</v>
      </c>
      <c r="R7" s="44">
        <v>4434582.666666667</v>
      </c>
      <c r="S7" s="44">
        <v>35948.666666666664</v>
      </c>
      <c r="T7" s="44">
        <v>94003.666666666672</v>
      </c>
      <c r="U7" s="44">
        <v>22509.333333333332</v>
      </c>
      <c r="V7" s="44">
        <v>1837863.3333333333</v>
      </c>
      <c r="W7" s="44">
        <v>789606.33333333337</v>
      </c>
      <c r="X7" s="44">
        <v>519074.33333333331</v>
      </c>
      <c r="Y7" s="44">
        <v>2348909.5</v>
      </c>
      <c r="Z7" s="44">
        <v>3689252.3333333335</v>
      </c>
      <c r="AA7" s="44">
        <v>49900</v>
      </c>
      <c r="AB7" s="44">
        <v>1794293.6666666667</v>
      </c>
      <c r="AC7" s="44">
        <v>1396220.5</v>
      </c>
      <c r="AD7" s="44">
        <v>3078626</v>
      </c>
      <c r="AE7" s="44">
        <v>314975</v>
      </c>
      <c r="AF7" s="44">
        <v>1258427.5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3031</v>
      </c>
      <c r="D8" s="1" t="s">
        <v>1844</v>
      </c>
      <c r="E8" s="1" t="s">
        <v>498</v>
      </c>
      <c r="F8" s="1" t="s">
        <v>112</v>
      </c>
      <c r="G8" s="1">
        <v>533545</v>
      </c>
      <c r="K8" s="146" t="s">
        <v>1623</v>
      </c>
      <c r="L8" s="44">
        <v>510098</v>
      </c>
      <c r="M8" s="44">
        <v>236609.5</v>
      </c>
      <c r="N8" s="44">
        <v>152663.66666666666</v>
      </c>
      <c r="O8" s="44">
        <v>297598.33333333331</v>
      </c>
      <c r="P8" s="44">
        <v>3748504.3333333335</v>
      </c>
      <c r="Q8" s="44">
        <v>212153</v>
      </c>
      <c r="R8" s="44">
        <v>5721539.333333333</v>
      </c>
      <c r="S8" s="44">
        <v>59914.666666666664</v>
      </c>
      <c r="T8" s="44">
        <v>267115</v>
      </c>
      <c r="U8" s="44">
        <v>1945969.6666666667</v>
      </c>
      <c r="V8" s="44">
        <v>3215597.5</v>
      </c>
      <c r="W8" s="44">
        <v>1176219.3333333333</v>
      </c>
      <c r="X8" s="44">
        <v>3036361</v>
      </c>
      <c r="Y8" s="44">
        <v>965883</v>
      </c>
      <c r="Z8" s="44">
        <v>2502831</v>
      </c>
      <c r="AA8" s="44">
        <v>294123.66666666669</v>
      </c>
      <c r="AB8" s="44">
        <v>2587909</v>
      </c>
      <c r="AC8" s="44">
        <v>1774549</v>
      </c>
      <c r="AD8" s="44">
        <v>2840762</v>
      </c>
      <c r="AE8" s="44">
        <v>5163885</v>
      </c>
      <c r="AF8" s="44">
        <v>4758674</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3032</v>
      </c>
      <c r="D9" s="1" t="s">
        <v>3033</v>
      </c>
      <c r="E9" s="1" t="s">
        <v>3034</v>
      </c>
      <c r="F9" s="1" t="s">
        <v>112</v>
      </c>
      <c r="G9" s="1">
        <v>440428</v>
      </c>
      <c r="K9" s="146" t="s">
        <v>1624</v>
      </c>
      <c r="L9" s="44">
        <v>48508.666666666664</v>
      </c>
      <c r="M9" s="44">
        <v>742850</v>
      </c>
      <c r="N9" s="44">
        <v>165540.66666666666</v>
      </c>
      <c r="O9" s="44">
        <v>79674</v>
      </c>
      <c r="P9" s="44"/>
      <c r="Q9" s="44">
        <v>945320.33333333337</v>
      </c>
      <c r="R9" s="44">
        <v>5800207.5</v>
      </c>
      <c r="S9" s="44">
        <v>305205</v>
      </c>
      <c r="T9" s="44">
        <v>274779</v>
      </c>
      <c r="U9" s="44">
        <v>155569.33333333334</v>
      </c>
      <c r="V9" s="44">
        <v>2037665.6666666667</v>
      </c>
      <c r="W9" s="44">
        <v>977036.66666666663</v>
      </c>
      <c r="X9" s="44">
        <v>853699.5</v>
      </c>
      <c r="Y9" s="44">
        <v>984993</v>
      </c>
      <c r="Z9" s="44">
        <v>2230864</v>
      </c>
      <c r="AA9" s="44">
        <v>153702.33333333334</v>
      </c>
      <c r="AB9" s="44">
        <v>2703444.5</v>
      </c>
      <c r="AC9" s="44">
        <v>3211347.5</v>
      </c>
      <c r="AD9" s="44">
        <v>1477617.3333333333</v>
      </c>
      <c r="AE9" s="44">
        <v>5721755.666666667</v>
      </c>
      <c r="AF9" s="44">
        <v>3025438</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3035</v>
      </c>
      <c r="D10" s="1" t="s">
        <v>3036</v>
      </c>
      <c r="E10" s="1" t="s">
        <v>3037</v>
      </c>
      <c r="F10" s="1" t="s">
        <v>112</v>
      </c>
      <c r="G10" s="1">
        <v>530625</v>
      </c>
      <c r="K10" s="146" t="s">
        <v>1625</v>
      </c>
      <c r="L10" s="44">
        <v>485908</v>
      </c>
      <c r="M10" s="44">
        <v>139866.33333333334</v>
      </c>
      <c r="N10" s="44">
        <v>330158.66666666669</v>
      </c>
      <c r="O10" s="44">
        <v>48451</v>
      </c>
      <c r="P10" s="44">
        <v>1130219.6666666667</v>
      </c>
      <c r="Q10" s="44">
        <v>1832081</v>
      </c>
      <c r="R10" s="44">
        <v>5801019</v>
      </c>
      <c r="S10" s="44">
        <v>47337</v>
      </c>
      <c r="T10" s="44">
        <v>53285.5</v>
      </c>
      <c r="U10" s="44">
        <v>79612.333333333328</v>
      </c>
      <c r="V10" s="44">
        <v>3660773</v>
      </c>
      <c r="W10" s="44">
        <v>2255039</v>
      </c>
      <c r="X10" s="44">
        <v>1917144</v>
      </c>
      <c r="Y10" s="44">
        <v>1964910.3333333333</v>
      </c>
      <c r="Z10" s="44">
        <v>3435404</v>
      </c>
      <c r="AA10" s="44">
        <v>82265.666666666672</v>
      </c>
      <c r="AB10" s="44">
        <v>2335913.3333333335</v>
      </c>
      <c r="AC10" s="44">
        <v>334030.5</v>
      </c>
      <c r="AD10" s="44">
        <v>3450249.3333333335</v>
      </c>
      <c r="AE10" s="44">
        <v>5821491.5</v>
      </c>
      <c r="AF10" s="44">
        <v>5367815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3038</v>
      </c>
      <c r="D11" s="1" t="s">
        <v>3039</v>
      </c>
      <c r="E11" s="1" t="s">
        <v>3040</v>
      </c>
      <c r="F11" s="1" t="s">
        <v>112</v>
      </c>
      <c r="G11" s="1">
        <v>500473</v>
      </c>
      <c r="K11" s="146" t="s">
        <v>1626</v>
      </c>
      <c r="L11" s="44">
        <v>242269.33333333334</v>
      </c>
      <c r="M11" s="44">
        <v>137407.66666666666</v>
      </c>
      <c r="N11" s="44">
        <v>123405.66666666667</v>
      </c>
      <c r="O11" s="44">
        <v>449880.33333333331</v>
      </c>
      <c r="P11" s="44">
        <v>1763795.6666666667</v>
      </c>
      <c r="Q11" s="44">
        <v>1841482.6666666667</v>
      </c>
      <c r="R11" s="44">
        <v>5503525</v>
      </c>
      <c r="S11" s="44">
        <v>84637.666666666672</v>
      </c>
      <c r="T11" s="44">
        <v>53324.666666666664</v>
      </c>
      <c r="U11" s="44">
        <v>731415</v>
      </c>
      <c r="V11" s="44">
        <v>985249</v>
      </c>
      <c r="W11" s="44">
        <v>3270252.6666666665</v>
      </c>
      <c r="X11" s="44">
        <v>1261779.6666666667</v>
      </c>
      <c r="Y11" s="44">
        <v>4349706.666666667</v>
      </c>
      <c r="Z11" s="44">
        <v>3917858.6666666665</v>
      </c>
      <c r="AA11" s="44">
        <v>283366</v>
      </c>
      <c r="AB11" s="44">
        <v>2559263.6666666665</v>
      </c>
      <c r="AC11" s="44">
        <v>3737386.3333333335</v>
      </c>
      <c r="AD11" s="44">
        <v>5656938.666666667</v>
      </c>
      <c r="AE11" s="44">
        <v>6128290</v>
      </c>
      <c r="AF11" s="44">
        <v>79965.666666666672</v>
      </c>
      <c r="AG11"/>
    </row>
    <row r="12" spans="1:144" x14ac:dyDescent="0.3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3041</v>
      </c>
      <c r="D12" s="1" t="s">
        <v>3042</v>
      </c>
      <c r="E12" s="1" t="s">
        <v>3043</v>
      </c>
      <c r="F12" s="1" t="s">
        <v>112</v>
      </c>
      <c r="G12" s="1">
        <v>519723</v>
      </c>
      <c r="K12" s="146" t="s">
        <v>1627</v>
      </c>
      <c r="L12" s="44">
        <v>33670.666666666664</v>
      </c>
      <c r="M12" s="44">
        <v>80369.333333333328</v>
      </c>
      <c r="N12" s="44">
        <v>459404.33333333331</v>
      </c>
      <c r="O12" s="44">
        <v>771545.33333333337</v>
      </c>
      <c r="P12" s="44">
        <v>3504165.3333333335</v>
      </c>
      <c r="Q12" s="44">
        <v>721486.66666666663</v>
      </c>
      <c r="R12" s="44">
        <v>4802153.666666667</v>
      </c>
      <c r="S12" s="44">
        <v>15335.666666666666</v>
      </c>
      <c r="T12" s="44">
        <v>124581</v>
      </c>
      <c r="U12" s="44">
        <v>1384890</v>
      </c>
      <c r="V12" s="44">
        <v>181950.66666666666</v>
      </c>
      <c r="W12" s="44">
        <v>1559861.6666666667</v>
      </c>
      <c r="X12" s="44">
        <v>2384292</v>
      </c>
      <c r="Y12" s="44">
        <v>1868607</v>
      </c>
      <c r="Z12" s="44">
        <v>1838281.3333333333</v>
      </c>
      <c r="AA12" s="44"/>
      <c r="AB12" s="44">
        <v>866298.66666666663</v>
      </c>
      <c r="AC12" s="44">
        <v>3535572</v>
      </c>
      <c r="AD12" s="44">
        <v>3643714.3333333335</v>
      </c>
      <c r="AE12" s="44">
        <v>5160092.666666667</v>
      </c>
      <c r="AF12" s="44">
        <v>6377466</v>
      </c>
      <c r="AG12"/>
    </row>
    <row r="13" spans="1:144" x14ac:dyDescent="0.3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3044</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3045</v>
      </c>
      <c r="D14" s="1" t="s">
        <v>782</v>
      </c>
      <c r="E14" s="1" t="s">
        <v>3046</v>
      </c>
      <c r="F14" s="1" t="s">
        <v>112</v>
      </c>
      <c r="G14" s="1">
        <v>60131</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3047</v>
      </c>
      <c r="D15" s="1" t="s">
        <v>3048</v>
      </c>
      <c r="E15" s="1" t="s">
        <v>3049</v>
      </c>
      <c r="F15" s="1" t="s">
        <v>112</v>
      </c>
      <c r="G15" s="1">
        <v>33937</v>
      </c>
    </row>
    <row r="16" spans="1:144" x14ac:dyDescent="0.3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3050</v>
      </c>
      <c r="D16" s="1" t="s">
        <v>711</v>
      </c>
      <c r="E16" s="1" t="s">
        <v>3051</v>
      </c>
      <c r="F16" s="1" t="s">
        <v>112</v>
      </c>
      <c r="G16" s="1">
        <v>51458</v>
      </c>
    </row>
    <row r="17" spans="1:9" x14ac:dyDescent="0.3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3052</v>
      </c>
      <c r="D17" s="1" t="s">
        <v>325</v>
      </c>
      <c r="E17" s="1" t="s">
        <v>3053</v>
      </c>
      <c r="F17" s="1" t="s">
        <v>112</v>
      </c>
      <c r="G17" s="1">
        <v>409367</v>
      </c>
    </row>
    <row r="18" spans="1:9" x14ac:dyDescent="0.3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3054</v>
      </c>
      <c r="D18" s="1" t="s">
        <v>396</v>
      </c>
      <c r="E18" s="1" t="s">
        <v>3055</v>
      </c>
      <c r="F18" s="1" t="s">
        <v>112</v>
      </c>
      <c r="G18" s="1">
        <v>599018</v>
      </c>
    </row>
    <row r="19" spans="1:9" x14ac:dyDescent="0.3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3056</v>
      </c>
      <c r="D19" s="1" t="s">
        <v>399</v>
      </c>
      <c r="E19" s="1" t="s">
        <v>1172</v>
      </c>
      <c r="F19" s="1" t="s">
        <v>112</v>
      </c>
      <c r="G19" s="1">
        <v>449339</v>
      </c>
    </row>
    <row r="20" spans="1:9" x14ac:dyDescent="0.3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3057</v>
      </c>
      <c r="D20" s="1" t="s">
        <v>3058</v>
      </c>
      <c r="E20" s="1">
        <v>65</v>
      </c>
      <c r="F20" s="1" t="s">
        <v>112</v>
      </c>
      <c r="G20" s="1">
        <v>118099</v>
      </c>
    </row>
    <row r="21" spans="1:9" x14ac:dyDescent="0.3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3059</v>
      </c>
      <c r="D21" s="1" t="s">
        <v>1830</v>
      </c>
      <c r="E21" s="1" t="s">
        <v>3060</v>
      </c>
      <c r="F21" s="1" t="s">
        <v>112</v>
      </c>
      <c r="G21" s="1">
        <v>248874</v>
      </c>
    </row>
    <row r="22" spans="1:9" x14ac:dyDescent="0.3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3061</v>
      </c>
      <c r="D22" s="1" t="s">
        <v>3062</v>
      </c>
      <c r="E22" s="1" t="s">
        <v>3063</v>
      </c>
      <c r="F22" s="1" t="s">
        <v>112</v>
      </c>
      <c r="G22" s="1">
        <v>359835</v>
      </c>
    </row>
    <row r="23" spans="1:9" x14ac:dyDescent="0.3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3064</v>
      </c>
      <c r="D23" s="1" t="s">
        <v>1352</v>
      </c>
      <c r="E23" s="1" t="s">
        <v>3065</v>
      </c>
      <c r="F23" s="1" t="s">
        <v>112</v>
      </c>
      <c r="G23" s="1">
        <v>46137</v>
      </c>
    </row>
    <row r="24" spans="1:9" x14ac:dyDescent="0.3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3066</v>
      </c>
      <c r="D24" s="1" t="s">
        <v>191</v>
      </c>
      <c r="E24" s="1" t="s">
        <v>3067</v>
      </c>
      <c r="F24" s="1" t="s">
        <v>112</v>
      </c>
      <c r="G24" s="1">
        <v>12286</v>
      </c>
    </row>
    <row r="25" spans="1:9" x14ac:dyDescent="0.3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3068</v>
      </c>
      <c r="D25" s="1" t="s">
        <v>785</v>
      </c>
      <c r="E25" s="1" t="s">
        <v>3069</v>
      </c>
      <c r="F25" s="1" t="s">
        <v>112</v>
      </c>
      <c r="G25" s="1">
        <v>42589</v>
      </c>
    </row>
    <row r="26" spans="1:9"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9"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241</v>
      </c>
      <c r="D27" s="1" t="s">
        <v>112</v>
      </c>
      <c r="E27" s="1" t="s">
        <v>242</v>
      </c>
      <c r="F27" s="1" t="s">
        <v>243</v>
      </c>
      <c r="G27" s="1" t="s">
        <v>244</v>
      </c>
      <c r="H27" s="1" t="s">
        <v>245</v>
      </c>
      <c r="I27" s="1" t="s">
        <v>246</v>
      </c>
    </row>
    <row r="28" spans="1:9" x14ac:dyDescent="0.3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3070</v>
      </c>
      <c r="D28" s="1" t="s">
        <v>112</v>
      </c>
      <c r="E28" s="1" t="s">
        <v>3071</v>
      </c>
      <c r="F28" s="1" t="s">
        <v>3072</v>
      </c>
      <c r="G28" s="1" t="s">
        <v>3073</v>
      </c>
      <c r="H28" s="1" t="s">
        <v>3074</v>
      </c>
      <c r="I28" s="1">
        <v>24</v>
      </c>
    </row>
    <row r="29" spans="1:9"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9"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9"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9"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252</v>
      </c>
      <c r="D34" s="1" t="s">
        <v>110</v>
      </c>
      <c r="E34" s="1" t="s">
        <v>111</v>
      </c>
      <c r="F34" s="1" t="s">
        <v>112</v>
      </c>
      <c r="G34" s="1" t="s">
        <v>113</v>
      </c>
    </row>
    <row r="35" spans="1:7" x14ac:dyDescent="0.3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3075</v>
      </c>
      <c r="D35" s="1" t="s">
        <v>176</v>
      </c>
      <c r="E35" s="1">
        <v>64</v>
      </c>
      <c r="F35" s="1" t="s">
        <v>112</v>
      </c>
      <c r="G35" s="1">
        <v>17996</v>
      </c>
    </row>
    <row r="36" spans="1:7" x14ac:dyDescent="0.3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3076</v>
      </c>
      <c r="D36" s="1" t="s">
        <v>236</v>
      </c>
      <c r="E36" s="1" t="s">
        <v>183</v>
      </c>
      <c r="F36" s="1" t="s">
        <v>112</v>
      </c>
      <c r="G36" s="1">
        <v>22344</v>
      </c>
    </row>
    <row r="37" spans="1:7" x14ac:dyDescent="0.3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3077</v>
      </c>
      <c r="D37" s="1" t="s">
        <v>1352</v>
      </c>
      <c r="E37" s="1" t="s">
        <v>3078</v>
      </c>
      <c r="F37" s="1" t="s">
        <v>112</v>
      </c>
      <c r="G37" s="1">
        <v>46201</v>
      </c>
    </row>
    <row r="38" spans="1:7" x14ac:dyDescent="0.3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3079</v>
      </c>
      <c r="D38" s="1" t="s">
        <v>217</v>
      </c>
      <c r="E38" s="1" t="s">
        <v>3080</v>
      </c>
      <c r="F38" s="1" t="s">
        <v>112</v>
      </c>
      <c r="G38" s="1">
        <v>26497</v>
      </c>
    </row>
    <row r="39" spans="1:7" x14ac:dyDescent="0.3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3081</v>
      </c>
      <c r="D39" s="1" t="s">
        <v>230</v>
      </c>
      <c r="E39" s="1" t="s">
        <v>3082</v>
      </c>
      <c r="F39" s="1" t="s">
        <v>112</v>
      </c>
      <c r="G39" s="1">
        <v>19597</v>
      </c>
    </row>
    <row r="40" spans="1:7" x14ac:dyDescent="0.3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3083</v>
      </c>
      <c r="D40" s="1" t="s">
        <v>762</v>
      </c>
      <c r="E40" s="1" t="s">
        <v>3084</v>
      </c>
      <c r="F40" s="1" t="s">
        <v>112</v>
      </c>
      <c r="G40" s="1">
        <v>73671</v>
      </c>
    </row>
    <row r="41" spans="1:7" x14ac:dyDescent="0.3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3085</v>
      </c>
      <c r="D41" s="1" t="s">
        <v>1207</v>
      </c>
      <c r="E41" s="1" t="s">
        <v>2162</v>
      </c>
      <c r="F41" s="1" t="s">
        <v>112</v>
      </c>
      <c r="G41" s="1">
        <v>46007</v>
      </c>
    </row>
    <row r="42" spans="1:7" x14ac:dyDescent="0.3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3086</v>
      </c>
      <c r="D42" s="1" t="s">
        <v>3087</v>
      </c>
      <c r="E42" s="1" t="s">
        <v>3088</v>
      </c>
      <c r="F42" s="1" t="s">
        <v>112</v>
      </c>
      <c r="G42" s="1">
        <v>87471</v>
      </c>
    </row>
    <row r="43" spans="1:7" x14ac:dyDescent="0.3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3089</v>
      </c>
      <c r="D43" s="1" t="s">
        <v>191</v>
      </c>
      <c r="E43" s="1">
        <v>65</v>
      </c>
      <c r="F43" s="1" t="s">
        <v>112</v>
      </c>
      <c r="G43" s="1">
        <v>12653</v>
      </c>
    </row>
    <row r="44" spans="1:7" x14ac:dyDescent="0.3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3090</v>
      </c>
      <c r="D44" s="1" t="s">
        <v>214</v>
      </c>
      <c r="E44" s="1" t="s">
        <v>3091</v>
      </c>
      <c r="F44" s="1" t="s">
        <v>112</v>
      </c>
      <c r="G44" s="1">
        <v>66382</v>
      </c>
    </row>
    <row r="45" spans="1:7" x14ac:dyDescent="0.3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3092</v>
      </c>
      <c r="D45" s="1" t="s">
        <v>3093</v>
      </c>
      <c r="E45" s="1" t="s">
        <v>3094</v>
      </c>
      <c r="F45" s="1" t="s">
        <v>112</v>
      </c>
      <c r="G45" s="1">
        <v>406837</v>
      </c>
    </row>
    <row r="46" spans="1:7" x14ac:dyDescent="0.3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3095</v>
      </c>
    </row>
    <row r="47" spans="1:7" x14ac:dyDescent="0.3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3096</v>
      </c>
      <c r="D47" s="1" t="s">
        <v>1760</v>
      </c>
      <c r="E47" s="1" t="s">
        <v>3097</v>
      </c>
      <c r="F47" s="1" t="s">
        <v>112</v>
      </c>
      <c r="G47" s="1">
        <v>964823</v>
      </c>
    </row>
    <row r="48" spans="1:7" x14ac:dyDescent="0.3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3098</v>
      </c>
      <c r="D48" s="1" t="s">
        <v>3099</v>
      </c>
      <c r="E48" s="1" t="s">
        <v>3100</v>
      </c>
      <c r="F48" s="1" t="s">
        <v>112</v>
      </c>
      <c r="G48" s="1">
        <v>679828</v>
      </c>
    </row>
    <row r="49" spans="1:9" x14ac:dyDescent="0.3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3101</v>
      </c>
      <c r="D49" s="1" t="s">
        <v>1865</v>
      </c>
      <c r="E49" s="1" t="s">
        <v>3102</v>
      </c>
      <c r="F49" s="1" t="s">
        <v>112</v>
      </c>
      <c r="G49" s="1">
        <v>583899</v>
      </c>
    </row>
    <row r="50" spans="1:9" x14ac:dyDescent="0.3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3103</v>
      </c>
      <c r="D50" s="1" t="s">
        <v>2105</v>
      </c>
      <c r="E50" s="1" t="s">
        <v>3104</v>
      </c>
      <c r="F50" s="1" t="s">
        <v>112</v>
      </c>
      <c r="G50" s="1">
        <v>286315</v>
      </c>
    </row>
    <row r="51" spans="1:9" x14ac:dyDescent="0.3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3105</v>
      </c>
      <c r="D51" s="1" t="s">
        <v>1227</v>
      </c>
      <c r="E51" s="1" t="s">
        <v>3106</v>
      </c>
      <c r="F51" s="1" t="s">
        <v>112</v>
      </c>
      <c r="G51" s="1">
        <v>78733</v>
      </c>
    </row>
    <row r="52" spans="1:9" x14ac:dyDescent="0.3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3107</v>
      </c>
      <c r="D52" s="1" t="s">
        <v>711</v>
      </c>
      <c r="E52" s="1" t="s">
        <v>3108</v>
      </c>
      <c r="F52" s="1" t="s">
        <v>112</v>
      </c>
      <c r="G52" s="1">
        <v>54551</v>
      </c>
    </row>
    <row r="53" spans="1:9" x14ac:dyDescent="0.3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3109</v>
      </c>
      <c r="D53" s="1" t="s">
        <v>3110</v>
      </c>
      <c r="E53" s="1" t="s">
        <v>3111</v>
      </c>
      <c r="F53" s="1" t="s">
        <v>112</v>
      </c>
      <c r="G53" s="1">
        <v>272147</v>
      </c>
    </row>
    <row r="54" spans="1:9" x14ac:dyDescent="0.3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3112</v>
      </c>
      <c r="D54" s="1" t="s">
        <v>721</v>
      </c>
      <c r="E54" s="1" t="s">
        <v>3113</v>
      </c>
      <c r="F54" s="1" t="s">
        <v>112</v>
      </c>
      <c r="G54" s="1">
        <v>84941</v>
      </c>
    </row>
    <row r="55" spans="1:9" x14ac:dyDescent="0.3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3114</v>
      </c>
      <c r="D55" s="1" t="s">
        <v>759</v>
      </c>
      <c r="E55" s="1" t="s">
        <v>3115</v>
      </c>
      <c r="F55" s="1" t="s">
        <v>112</v>
      </c>
      <c r="G55" s="1">
        <v>55135</v>
      </c>
    </row>
    <row r="56" spans="1:9" x14ac:dyDescent="0.3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3116</v>
      </c>
      <c r="D56" s="1" t="s">
        <v>230</v>
      </c>
      <c r="E56" s="1" t="s">
        <v>3117</v>
      </c>
      <c r="F56" s="1" t="s">
        <v>112</v>
      </c>
      <c r="G56" s="1">
        <v>19640</v>
      </c>
    </row>
    <row r="57" spans="1:9" x14ac:dyDescent="0.3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3118</v>
      </c>
      <c r="D57" s="1" t="s">
        <v>762</v>
      </c>
      <c r="E57" s="1" t="s">
        <v>3119</v>
      </c>
      <c r="F57" s="1" t="s">
        <v>112</v>
      </c>
      <c r="G57" s="1">
        <v>75445</v>
      </c>
    </row>
    <row r="58" spans="1:9" x14ac:dyDescent="0.3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3120</v>
      </c>
      <c r="D58" s="1" t="s">
        <v>257</v>
      </c>
      <c r="E58" s="1" t="s">
        <v>3121</v>
      </c>
      <c r="F58" s="1" t="s">
        <v>112</v>
      </c>
      <c r="G58" s="1">
        <v>146023</v>
      </c>
    </row>
    <row r="59" spans="1:9"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9"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3122</v>
      </c>
      <c r="D61" s="1" t="s">
        <v>112</v>
      </c>
      <c r="E61" s="1" t="s">
        <v>3123</v>
      </c>
      <c r="F61" s="1" t="s">
        <v>3124</v>
      </c>
      <c r="G61" s="1" t="s">
        <v>3125</v>
      </c>
      <c r="H61" s="1" t="s">
        <v>3126</v>
      </c>
      <c r="I61" s="1">
        <v>24</v>
      </c>
    </row>
    <row r="62" spans="1:9"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9"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9"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252</v>
      </c>
      <c r="D67" s="1" t="s">
        <v>110</v>
      </c>
      <c r="E67" s="1" t="s">
        <v>111</v>
      </c>
      <c r="F67" s="1" t="s">
        <v>112</v>
      </c>
      <c r="G67" s="1" t="s">
        <v>113</v>
      </c>
    </row>
    <row r="68" spans="1:7" x14ac:dyDescent="0.3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3127</v>
      </c>
      <c r="D68" s="1" t="s">
        <v>3128</v>
      </c>
      <c r="E68" s="1" t="s">
        <v>3129</v>
      </c>
      <c r="F68" s="1" t="s">
        <v>112</v>
      </c>
      <c r="G68" s="1">
        <v>193523</v>
      </c>
    </row>
    <row r="69" spans="1:7" x14ac:dyDescent="0.3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3130</v>
      </c>
      <c r="D69" s="1" t="s">
        <v>3131</v>
      </c>
      <c r="E69" s="1" t="s">
        <v>3132</v>
      </c>
      <c r="F69" s="1" t="s">
        <v>112</v>
      </c>
      <c r="G69" s="1">
        <v>234144</v>
      </c>
    </row>
    <row r="70" spans="1:7" x14ac:dyDescent="0.3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3133</v>
      </c>
      <c r="D70" s="1" t="s">
        <v>2127</v>
      </c>
      <c r="E70" s="1" t="s">
        <v>3134</v>
      </c>
      <c r="F70" s="1" t="s">
        <v>112</v>
      </c>
      <c r="G70" s="1">
        <v>70578</v>
      </c>
    </row>
    <row r="71" spans="1:7" x14ac:dyDescent="0.3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3135</v>
      </c>
      <c r="D71" s="1" t="s">
        <v>220</v>
      </c>
      <c r="E71" s="1">
        <v>62</v>
      </c>
      <c r="F71" s="1" t="s">
        <v>112</v>
      </c>
      <c r="G71" s="1">
        <v>14752</v>
      </c>
    </row>
    <row r="72" spans="1:7" x14ac:dyDescent="0.3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3136</v>
      </c>
      <c r="D72" s="1" t="s">
        <v>2435</v>
      </c>
      <c r="E72" s="1" t="s">
        <v>3137</v>
      </c>
      <c r="F72" s="1" t="s">
        <v>112</v>
      </c>
      <c r="G72" s="1">
        <v>105424</v>
      </c>
    </row>
    <row r="73" spans="1:7" x14ac:dyDescent="0.3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3138</v>
      </c>
    </row>
    <row r="74" spans="1:7" x14ac:dyDescent="0.3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3139</v>
      </c>
    </row>
    <row r="75" spans="1:7" x14ac:dyDescent="0.3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3140</v>
      </c>
      <c r="D75" s="1" t="s">
        <v>1727</v>
      </c>
      <c r="E75" s="1" t="s">
        <v>3141</v>
      </c>
      <c r="F75" s="1" t="s">
        <v>112</v>
      </c>
      <c r="G75" s="1">
        <v>307858</v>
      </c>
    </row>
    <row r="76" spans="1:7" x14ac:dyDescent="0.3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3142</v>
      </c>
      <c r="D76" s="1" t="s">
        <v>1374</v>
      </c>
      <c r="E76" s="1" t="s">
        <v>3143</v>
      </c>
      <c r="F76" s="1" t="s">
        <v>112</v>
      </c>
      <c r="G76" s="1">
        <v>289646</v>
      </c>
    </row>
    <row r="77" spans="1:7" x14ac:dyDescent="0.3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3144</v>
      </c>
      <c r="D77" s="1" t="s">
        <v>360</v>
      </c>
      <c r="E77" s="1" t="s">
        <v>3145</v>
      </c>
      <c r="F77" s="1" t="s">
        <v>112</v>
      </c>
      <c r="G77" s="1">
        <v>131120</v>
      </c>
    </row>
    <row r="78" spans="1:7" x14ac:dyDescent="0.3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3146</v>
      </c>
      <c r="D78" s="1" t="s">
        <v>455</v>
      </c>
      <c r="E78" s="1" t="s">
        <v>3147</v>
      </c>
      <c r="F78" s="1" t="s">
        <v>112</v>
      </c>
      <c r="G78" s="1">
        <v>230661</v>
      </c>
    </row>
    <row r="79" spans="1:7" x14ac:dyDescent="0.3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3148</v>
      </c>
      <c r="D79" s="1" t="s">
        <v>353</v>
      </c>
      <c r="E79" s="1" t="s">
        <v>3149</v>
      </c>
      <c r="F79" s="1" t="s">
        <v>112</v>
      </c>
      <c r="G79" s="1">
        <v>96210</v>
      </c>
    </row>
    <row r="80" spans="1:7" x14ac:dyDescent="0.3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3150</v>
      </c>
      <c r="D80" s="1" t="s">
        <v>2151</v>
      </c>
      <c r="E80" s="1" t="s">
        <v>3151</v>
      </c>
      <c r="F80" s="1" t="s">
        <v>112</v>
      </c>
      <c r="G80" s="1">
        <v>199211</v>
      </c>
    </row>
    <row r="81" spans="1:9" x14ac:dyDescent="0.3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3152</v>
      </c>
      <c r="D81" s="1" t="s">
        <v>1695</v>
      </c>
      <c r="E81" s="1" t="s">
        <v>3153</v>
      </c>
      <c r="F81" s="1" t="s">
        <v>112</v>
      </c>
      <c r="G81" s="1">
        <v>189326</v>
      </c>
    </row>
    <row r="82" spans="1:9" x14ac:dyDescent="0.3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3154</v>
      </c>
      <c r="D82" s="1" t="s">
        <v>3155</v>
      </c>
      <c r="E82" s="1" t="s">
        <v>3156</v>
      </c>
      <c r="F82" s="1" t="s">
        <v>112</v>
      </c>
      <c r="G82" s="1">
        <v>108085</v>
      </c>
    </row>
    <row r="83" spans="1:9" x14ac:dyDescent="0.3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3157</v>
      </c>
      <c r="D83" s="1" t="s">
        <v>3158</v>
      </c>
      <c r="E83" s="1" t="s">
        <v>3159</v>
      </c>
      <c r="F83" s="1" t="s">
        <v>112</v>
      </c>
      <c r="G83" s="1">
        <v>386937</v>
      </c>
    </row>
    <row r="84" spans="1:9" x14ac:dyDescent="0.3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3160</v>
      </c>
      <c r="D84" s="1" t="s">
        <v>1371</v>
      </c>
      <c r="E84" s="1" t="s">
        <v>3161</v>
      </c>
      <c r="F84" s="1" t="s">
        <v>112</v>
      </c>
      <c r="G84" s="1">
        <v>292155</v>
      </c>
    </row>
    <row r="85" spans="1:9" x14ac:dyDescent="0.3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3162</v>
      </c>
      <c r="D85" s="1" t="s">
        <v>1196</v>
      </c>
      <c r="E85" s="1" t="s">
        <v>3163</v>
      </c>
      <c r="F85" s="1" t="s">
        <v>112</v>
      </c>
      <c r="G85" s="1">
        <v>311384</v>
      </c>
    </row>
    <row r="86" spans="1:9" x14ac:dyDescent="0.3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3164</v>
      </c>
      <c r="D86" s="1" t="s">
        <v>3165</v>
      </c>
      <c r="E86" s="1" t="s">
        <v>3166</v>
      </c>
      <c r="F86" s="1" t="s">
        <v>112</v>
      </c>
      <c r="G86" s="1">
        <v>153962</v>
      </c>
    </row>
    <row r="87" spans="1:9" x14ac:dyDescent="0.3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3167</v>
      </c>
      <c r="D87" s="1" t="s">
        <v>2245</v>
      </c>
      <c r="E87" s="1" t="s">
        <v>3168</v>
      </c>
      <c r="F87" s="1" t="s">
        <v>112</v>
      </c>
      <c r="G87" s="1">
        <v>133521</v>
      </c>
    </row>
    <row r="88" spans="1:9" x14ac:dyDescent="0.3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3169</v>
      </c>
      <c r="D88" s="1" t="s">
        <v>3170</v>
      </c>
      <c r="E88" s="1" t="s">
        <v>3171</v>
      </c>
      <c r="F88" s="1" t="s">
        <v>112</v>
      </c>
      <c r="G88" s="1">
        <v>82734</v>
      </c>
    </row>
    <row r="89" spans="1:9" x14ac:dyDescent="0.3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3172</v>
      </c>
      <c r="D89" s="1" t="s">
        <v>2117</v>
      </c>
      <c r="E89" s="1" t="s">
        <v>3173</v>
      </c>
      <c r="F89" s="1" t="s">
        <v>112</v>
      </c>
      <c r="G89" s="1">
        <v>208512</v>
      </c>
    </row>
    <row r="90" spans="1:9" x14ac:dyDescent="0.3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3174</v>
      </c>
      <c r="D90" s="1" t="s">
        <v>341</v>
      </c>
      <c r="E90" s="1" t="s">
        <v>3175</v>
      </c>
      <c r="F90" s="1" t="s">
        <v>112</v>
      </c>
      <c r="G90" s="1">
        <v>569558</v>
      </c>
    </row>
    <row r="91" spans="1:9" x14ac:dyDescent="0.3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3176</v>
      </c>
      <c r="D91" s="1" t="s">
        <v>3177</v>
      </c>
      <c r="E91" s="1" t="s">
        <v>3178</v>
      </c>
      <c r="F91" s="1" t="s">
        <v>112</v>
      </c>
      <c r="G91" s="1">
        <v>600143</v>
      </c>
    </row>
    <row r="92" spans="1:9"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9"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3179</v>
      </c>
      <c r="D94" s="1" t="s">
        <v>112</v>
      </c>
      <c r="E94" s="1" t="s">
        <v>3180</v>
      </c>
      <c r="F94" s="1" t="s">
        <v>3181</v>
      </c>
      <c r="G94" s="1" t="s">
        <v>3182</v>
      </c>
      <c r="H94" s="1" t="s">
        <v>3183</v>
      </c>
      <c r="I94" s="1">
        <v>24</v>
      </c>
    </row>
    <row r="95" spans="1:9"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9"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252</v>
      </c>
      <c r="D100" s="1" t="s">
        <v>110</v>
      </c>
      <c r="E100" s="1" t="s">
        <v>111</v>
      </c>
      <c r="F100" s="1" t="s">
        <v>112</v>
      </c>
      <c r="G100" s="1" t="s">
        <v>113</v>
      </c>
    </row>
    <row r="101" spans="1:7" x14ac:dyDescent="0.3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3184</v>
      </c>
      <c r="D101" s="1" t="s">
        <v>774</v>
      </c>
      <c r="E101" s="1" t="s">
        <v>3185</v>
      </c>
      <c r="F101" s="1" t="s">
        <v>112</v>
      </c>
      <c r="G101" s="1">
        <v>212189</v>
      </c>
    </row>
    <row r="102" spans="1:7" x14ac:dyDescent="0.3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3186</v>
      </c>
      <c r="D102" s="1" t="s">
        <v>3187</v>
      </c>
      <c r="E102" s="1" t="s">
        <v>3188</v>
      </c>
      <c r="F102" s="1" t="s">
        <v>112</v>
      </c>
      <c r="G102" s="1">
        <v>237583</v>
      </c>
    </row>
    <row r="103" spans="1:7" x14ac:dyDescent="0.3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3189</v>
      </c>
      <c r="D103" s="1" t="s">
        <v>3190</v>
      </c>
      <c r="E103" s="1" t="s">
        <v>3191</v>
      </c>
      <c r="F103" s="1" t="s">
        <v>112</v>
      </c>
      <c r="G103" s="1">
        <v>171936</v>
      </c>
    </row>
    <row r="104" spans="1:7" x14ac:dyDescent="0.3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3192</v>
      </c>
      <c r="D104" s="1" t="s">
        <v>1593</v>
      </c>
      <c r="E104" s="1" t="s">
        <v>3193</v>
      </c>
      <c r="F104" s="1" t="s">
        <v>112</v>
      </c>
      <c r="G104" s="1">
        <v>827646</v>
      </c>
    </row>
    <row r="105" spans="1:7" x14ac:dyDescent="0.3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3194</v>
      </c>
      <c r="D105" s="1" t="s">
        <v>3195</v>
      </c>
      <c r="E105" s="1" t="s">
        <v>3196</v>
      </c>
      <c r="F105" s="1" t="s">
        <v>112</v>
      </c>
      <c r="G105" s="1">
        <v>663648</v>
      </c>
    </row>
    <row r="106" spans="1:7" x14ac:dyDescent="0.3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3197</v>
      </c>
      <c r="D106" s="1" t="s">
        <v>3198</v>
      </c>
      <c r="E106" s="1" t="s">
        <v>3199</v>
      </c>
      <c r="F106" s="1" t="s">
        <v>112</v>
      </c>
      <c r="G106" s="1">
        <v>524936</v>
      </c>
    </row>
    <row r="107" spans="1:7" x14ac:dyDescent="0.3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3200</v>
      </c>
      <c r="D107" s="1" t="s">
        <v>3201</v>
      </c>
      <c r="E107" s="1" t="s">
        <v>3202</v>
      </c>
      <c r="F107" s="1" t="s">
        <v>112</v>
      </c>
      <c r="G107" s="1">
        <v>1530099</v>
      </c>
    </row>
    <row r="108" spans="1:7" x14ac:dyDescent="0.3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3203</v>
      </c>
      <c r="D108" s="1" t="s">
        <v>3204</v>
      </c>
      <c r="E108" s="1" t="s">
        <v>3205</v>
      </c>
      <c r="F108" s="1" t="s">
        <v>112</v>
      </c>
      <c r="G108" s="1">
        <v>1660678</v>
      </c>
    </row>
    <row r="109" spans="1:7" x14ac:dyDescent="0.3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3206</v>
      </c>
      <c r="D109" s="1" t="s">
        <v>3207</v>
      </c>
      <c r="E109" s="1" t="s">
        <v>3208</v>
      </c>
      <c r="F109" s="1" t="s">
        <v>112</v>
      </c>
      <c r="G109" s="1">
        <v>1780659</v>
      </c>
    </row>
    <row r="110" spans="1:7" x14ac:dyDescent="0.3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3209</v>
      </c>
      <c r="D110" s="1" t="s">
        <v>1672</v>
      </c>
      <c r="E110" s="1" t="s">
        <v>3210</v>
      </c>
      <c r="F110" s="1" t="s">
        <v>112</v>
      </c>
      <c r="G110" s="1">
        <v>558246</v>
      </c>
    </row>
    <row r="111" spans="1:7" x14ac:dyDescent="0.3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3211</v>
      </c>
      <c r="D111" s="1" t="s">
        <v>3212</v>
      </c>
      <c r="E111" s="1" t="s">
        <v>3213</v>
      </c>
      <c r="F111" s="1" t="s">
        <v>112</v>
      </c>
      <c r="G111" s="1">
        <v>172974</v>
      </c>
    </row>
    <row r="112" spans="1:7" x14ac:dyDescent="0.3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3214</v>
      </c>
      <c r="D112" s="1" t="s">
        <v>350</v>
      </c>
      <c r="E112" s="1" t="s">
        <v>3215</v>
      </c>
      <c r="F112" s="1" t="s">
        <v>112</v>
      </c>
      <c r="G112" s="1">
        <v>161575</v>
      </c>
    </row>
    <row r="113" spans="1:9" x14ac:dyDescent="0.3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3216</v>
      </c>
    </row>
    <row r="114" spans="1:9" x14ac:dyDescent="0.3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3217</v>
      </c>
      <c r="D114" s="1" t="s">
        <v>211</v>
      </c>
      <c r="E114" s="1" t="s">
        <v>3218</v>
      </c>
      <c r="F114" s="1" t="s">
        <v>112</v>
      </c>
      <c r="G114" s="1">
        <v>37896</v>
      </c>
    </row>
    <row r="115" spans="1:9" x14ac:dyDescent="0.3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3219</v>
      </c>
      <c r="D115" s="1" t="s">
        <v>3220</v>
      </c>
      <c r="E115" s="1" t="s">
        <v>3221</v>
      </c>
      <c r="F115" s="1" t="s">
        <v>112</v>
      </c>
      <c r="G115" s="1">
        <v>121452</v>
      </c>
    </row>
    <row r="116" spans="1:9" x14ac:dyDescent="0.3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3222</v>
      </c>
    </row>
    <row r="117" spans="1:9" x14ac:dyDescent="0.3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3223</v>
      </c>
      <c r="D117" s="1" t="s">
        <v>293</v>
      </c>
      <c r="E117" s="1" t="s">
        <v>3224</v>
      </c>
      <c r="F117" s="1" t="s">
        <v>112</v>
      </c>
      <c r="G117" s="1">
        <v>68199</v>
      </c>
    </row>
    <row r="118" spans="1:9" x14ac:dyDescent="0.3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3225</v>
      </c>
      <c r="D118" s="1" t="s">
        <v>227</v>
      </c>
      <c r="E118" s="1" t="s">
        <v>3226</v>
      </c>
      <c r="F118" s="1" t="s">
        <v>112</v>
      </c>
      <c r="G118" s="1">
        <v>28703</v>
      </c>
    </row>
    <row r="119" spans="1:9" x14ac:dyDescent="0.3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3227</v>
      </c>
      <c r="D119" s="1" t="s">
        <v>3228</v>
      </c>
      <c r="E119" s="1" t="s">
        <v>3229</v>
      </c>
      <c r="F119" s="1" t="s">
        <v>112</v>
      </c>
      <c r="G119" s="1">
        <v>566703</v>
      </c>
    </row>
    <row r="120" spans="1:9" x14ac:dyDescent="0.3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3230</v>
      </c>
      <c r="D120" s="1" t="s">
        <v>2132</v>
      </c>
      <c r="E120" s="1" t="s">
        <v>3231</v>
      </c>
      <c r="F120" s="1" t="s">
        <v>112</v>
      </c>
      <c r="G120" s="1">
        <v>418755</v>
      </c>
    </row>
    <row r="121" spans="1:9" x14ac:dyDescent="0.3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3232</v>
      </c>
      <c r="D121" s="1" t="s">
        <v>3233</v>
      </c>
      <c r="E121" s="1" t="s">
        <v>3234</v>
      </c>
      <c r="F121" s="1" t="s">
        <v>112</v>
      </c>
      <c r="G121" s="1">
        <v>364183</v>
      </c>
    </row>
    <row r="122" spans="1:9" x14ac:dyDescent="0.3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3235</v>
      </c>
      <c r="D122" s="1" t="s">
        <v>2655</v>
      </c>
      <c r="E122" s="1" t="s">
        <v>3236</v>
      </c>
      <c r="F122" s="1" t="s">
        <v>112</v>
      </c>
      <c r="G122" s="1">
        <v>703620</v>
      </c>
    </row>
    <row r="123" spans="1:9" x14ac:dyDescent="0.3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3237</v>
      </c>
      <c r="D123" s="1" t="s">
        <v>3238</v>
      </c>
      <c r="E123" s="1" t="s">
        <v>3239</v>
      </c>
      <c r="F123" s="1" t="s">
        <v>112</v>
      </c>
      <c r="G123" s="1">
        <v>792692</v>
      </c>
    </row>
    <row r="124" spans="1:9" x14ac:dyDescent="0.3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3240</v>
      </c>
      <c r="D124" s="1" t="s">
        <v>3241</v>
      </c>
      <c r="E124" s="1" t="s">
        <v>3242</v>
      </c>
      <c r="F124" s="1" t="s">
        <v>112</v>
      </c>
      <c r="G124" s="1">
        <v>818324</v>
      </c>
    </row>
    <row r="125" spans="1:9"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9"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3243</v>
      </c>
      <c r="D127" s="1" t="s">
        <v>112</v>
      </c>
      <c r="E127" s="1" t="s">
        <v>3244</v>
      </c>
      <c r="F127" s="1" t="s">
        <v>3245</v>
      </c>
      <c r="G127" s="1" t="s">
        <v>3246</v>
      </c>
      <c r="H127" s="1" t="s">
        <v>3247</v>
      </c>
      <c r="I127" s="1">
        <v>24</v>
      </c>
    </row>
    <row r="128" spans="1:9"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252</v>
      </c>
      <c r="D133" s="1" t="s">
        <v>110</v>
      </c>
      <c r="E133" s="1" t="s">
        <v>111</v>
      </c>
      <c r="F133" s="1" t="s">
        <v>112</v>
      </c>
      <c r="G133" s="1" t="s">
        <v>113</v>
      </c>
    </row>
    <row r="134" spans="1:7" x14ac:dyDescent="0.3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3248</v>
      </c>
      <c r="D134" s="1" t="s">
        <v>1856</v>
      </c>
      <c r="E134" s="1" t="s">
        <v>3249</v>
      </c>
      <c r="F134" s="1" t="s">
        <v>112</v>
      </c>
      <c r="G134" s="1">
        <v>392388</v>
      </c>
    </row>
    <row r="135" spans="1:7" x14ac:dyDescent="0.3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3250</v>
      </c>
      <c r="D135" s="1" t="s">
        <v>1207</v>
      </c>
      <c r="E135" s="1" t="s">
        <v>3251</v>
      </c>
      <c r="F135" s="1" t="s">
        <v>112</v>
      </c>
      <c r="G135" s="1">
        <v>44666</v>
      </c>
    </row>
    <row r="136" spans="1:7" x14ac:dyDescent="0.3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3252</v>
      </c>
      <c r="D136" s="1" t="s">
        <v>3253</v>
      </c>
      <c r="E136" s="1" t="s">
        <v>3254</v>
      </c>
      <c r="F136" s="1" t="s">
        <v>112</v>
      </c>
      <c r="G136" s="1">
        <v>494805</v>
      </c>
    </row>
    <row r="137" spans="1:7" x14ac:dyDescent="0.3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3255</v>
      </c>
      <c r="D137" s="1" t="s">
        <v>3256</v>
      </c>
      <c r="E137" s="1" t="s">
        <v>3257</v>
      </c>
      <c r="F137" s="1" t="s">
        <v>112</v>
      </c>
      <c r="G137" s="1">
        <v>852391</v>
      </c>
    </row>
    <row r="138" spans="1:7" x14ac:dyDescent="0.3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3258</v>
      </c>
    </row>
    <row r="139" spans="1:7" x14ac:dyDescent="0.3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3259</v>
      </c>
      <c r="D139" s="1" t="s">
        <v>3260</v>
      </c>
      <c r="E139" s="1" t="s">
        <v>3261</v>
      </c>
      <c r="F139" s="1" t="s">
        <v>112</v>
      </c>
      <c r="G139" s="1">
        <v>803680</v>
      </c>
    </row>
    <row r="140" spans="1:7" x14ac:dyDescent="0.3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3262</v>
      </c>
      <c r="D140" s="1" t="s">
        <v>3263</v>
      </c>
      <c r="E140" s="1" t="s">
        <v>868</v>
      </c>
      <c r="F140" s="1" t="s">
        <v>112</v>
      </c>
      <c r="G140" s="1">
        <v>1522334</v>
      </c>
    </row>
    <row r="141" spans="1:7" x14ac:dyDescent="0.3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3264</v>
      </c>
      <c r="D141" s="1" t="s">
        <v>3265</v>
      </c>
      <c r="E141" s="1" t="s">
        <v>3266</v>
      </c>
      <c r="F141" s="1" t="s">
        <v>112</v>
      </c>
      <c r="G141" s="1">
        <v>1069858</v>
      </c>
    </row>
    <row r="142" spans="1:7" x14ac:dyDescent="0.3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3267</v>
      </c>
      <c r="D142" s="1" t="s">
        <v>3268</v>
      </c>
      <c r="E142" s="1" t="s">
        <v>3269</v>
      </c>
      <c r="F142" s="1" t="s">
        <v>112</v>
      </c>
      <c r="G142" s="1">
        <v>1026187</v>
      </c>
    </row>
    <row r="143" spans="1:7" x14ac:dyDescent="0.3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3270</v>
      </c>
      <c r="D143" s="1" t="s">
        <v>3271</v>
      </c>
      <c r="E143" s="1" t="s">
        <v>3272</v>
      </c>
      <c r="F143" s="1" t="s">
        <v>112</v>
      </c>
      <c r="G143" s="1">
        <v>3661271</v>
      </c>
    </row>
    <row r="144" spans="1:7" x14ac:dyDescent="0.3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3273</v>
      </c>
      <c r="D144" s="1" t="s">
        <v>3274</v>
      </c>
      <c r="E144" s="1" t="s">
        <v>3275</v>
      </c>
      <c r="F144" s="1" t="s">
        <v>112</v>
      </c>
      <c r="G144" s="1">
        <v>3891348</v>
      </c>
    </row>
    <row r="145" spans="1:9" x14ac:dyDescent="0.3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3276</v>
      </c>
      <c r="D145" s="1" t="s">
        <v>3277</v>
      </c>
      <c r="E145" s="1" t="s">
        <v>3278</v>
      </c>
      <c r="F145" s="1" t="s">
        <v>112</v>
      </c>
      <c r="G145" s="1">
        <v>3692894</v>
      </c>
    </row>
    <row r="146" spans="1:9" x14ac:dyDescent="0.3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3279</v>
      </c>
    </row>
    <row r="147" spans="1:9" x14ac:dyDescent="0.3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3280</v>
      </c>
    </row>
    <row r="148" spans="1:9" x14ac:dyDescent="0.3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3281</v>
      </c>
    </row>
    <row r="149" spans="1:9" x14ac:dyDescent="0.3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3282</v>
      </c>
      <c r="D149" s="1" t="s">
        <v>3283</v>
      </c>
      <c r="E149" s="1" t="s">
        <v>3284</v>
      </c>
      <c r="F149" s="1" t="s">
        <v>112</v>
      </c>
      <c r="G149" s="1">
        <v>1289120</v>
      </c>
    </row>
    <row r="150" spans="1:9" x14ac:dyDescent="0.3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3285</v>
      </c>
      <c r="D150" s="1" t="s">
        <v>3286</v>
      </c>
      <c r="E150" s="1" t="s">
        <v>3287</v>
      </c>
      <c r="F150" s="1" t="s">
        <v>112</v>
      </c>
      <c r="G150" s="1">
        <v>1226804</v>
      </c>
    </row>
    <row r="151" spans="1:9" x14ac:dyDescent="0.3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3288</v>
      </c>
      <c r="D151" s="1" t="s">
        <v>3289</v>
      </c>
      <c r="E151" s="1" t="s">
        <v>3290</v>
      </c>
      <c r="F151" s="1" t="s">
        <v>112</v>
      </c>
      <c r="G151" s="1">
        <v>874735</v>
      </c>
    </row>
    <row r="152" spans="1:9" x14ac:dyDescent="0.3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3291</v>
      </c>
      <c r="D152" s="1" t="s">
        <v>3292</v>
      </c>
      <c r="E152" s="1" t="s">
        <v>3293</v>
      </c>
      <c r="F152" s="1" t="s">
        <v>112</v>
      </c>
      <c r="G152" s="1">
        <v>1915652</v>
      </c>
    </row>
    <row r="153" spans="1:9" x14ac:dyDescent="0.3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3294</v>
      </c>
      <c r="D153" s="1" t="s">
        <v>3295</v>
      </c>
      <c r="E153" s="1" t="s">
        <v>3296</v>
      </c>
      <c r="F153" s="1" t="s">
        <v>112</v>
      </c>
      <c r="G153" s="1">
        <v>1894195</v>
      </c>
    </row>
    <row r="154" spans="1:9" x14ac:dyDescent="0.3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3297</v>
      </c>
      <c r="D154" s="1" t="s">
        <v>1084</v>
      </c>
      <c r="E154" s="1" t="s">
        <v>3298</v>
      </c>
      <c r="F154" s="1" t="s">
        <v>112</v>
      </c>
      <c r="G154" s="1">
        <v>1481540</v>
      </c>
    </row>
    <row r="155" spans="1:9" x14ac:dyDescent="0.3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3299</v>
      </c>
      <c r="D155" s="1" t="s">
        <v>3300</v>
      </c>
      <c r="E155" s="1" t="s">
        <v>3301</v>
      </c>
      <c r="F155" s="1" t="s">
        <v>112</v>
      </c>
      <c r="G155" s="1">
        <v>3567116</v>
      </c>
    </row>
    <row r="156" spans="1:9" x14ac:dyDescent="0.3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3302</v>
      </c>
      <c r="D156" s="1" t="s">
        <v>560</v>
      </c>
      <c r="E156" s="1" t="s">
        <v>3303</v>
      </c>
      <c r="F156" s="1" t="s">
        <v>112</v>
      </c>
      <c r="G156" s="1">
        <v>3513365</v>
      </c>
    </row>
    <row r="157" spans="1:9" x14ac:dyDescent="0.3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3304</v>
      </c>
      <c r="D157" s="1" t="s">
        <v>3305</v>
      </c>
      <c r="E157" s="1" t="s">
        <v>3306</v>
      </c>
      <c r="F157" s="1" t="s">
        <v>112</v>
      </c>
      <c r="G157" s="1">
        <v>3432015</v>
      </c>
    </row>
    <row r="158" spans="1:9"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9"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3307</v>
      </c>
      <c r="D160" s="1" t="s">
        <v>112</v>
      </c>
      <c r="E160" s="1" t="s">
        <v>3308</v>
      </c>
      <c r="F160" s="1" t="s">
        <v>3309</v>
      </c>
      <c r="G160" s="1" t="s">
        <v>3310</v>
      </c>
      <c r="H160" s="1" t="s">
        <v>3311</v>
      </c>
      <c r="I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252</v>
      </c>
      <c r="D166" s="1" t="s">
        <v>110</v>
      </c>
      <c r="E166" s="1" t="s">
        <v>111</v>
      </c>
      <c r="F166" s="1" t="s">
        <v>112</v>
      </c>
      <c r="G166" s="1" t="s">
        <v>113</v>
      </c>
    </row>
    <row r="167" spans="1:7" x14ac:dyDescent="0.3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3312</v>
      </c>
      <c r="D167" s="1" t="s">
        <v>3313</v>
      </c>
      <c r="E167" s="1" t="s">
        <v>3314</v>
      </c>
      <c r="F167" s="1" t="s">
        <v>112</v>
      </c>
      <c r="G167" s="1">
        <v>2140365</v>
      </c>
    </row>
    <row r="168" spans="1:7" x14ac:dyDescent="0.3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3315</v>
      </c>
      <c r="D168" s="1" t="s">
        <v>3316</v>
      </c>
      <c r="E168" s="1" t="s">
        <v>3317</v>
      </c>
      <c r="F168" s="1" t="s">
        <v>112</v>
      </c>
      <c r="G168" s="1">
        <v>1987506</v>
      </c>
    </row>
    <row r="169" spans="1:7" x14ac:dyDescent="0.3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3318</v>
      </c>
      <c r="D169" s="1" t="s">
        <v>3319</v>
      </c>
      <c r="E169" s="1" t="s">
        <v>3320</v>
      </c>
      <c r="F169" s="1" t="s">
        <v>112</v>
      </c>
      <c r="G169" s="1">
        <v>2058193</v>
      </c>
    </row>
    <row r="170" spans="1:7" x14ac:dyDescent="0.3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3321</v>
      </c>
      <c r="D170" s="1" t="s">
        <v>3322</v>
      </c>
      <c r="E170" s="1" t="s">
        <v>3323</v>
      </c>
      <c r="F170" s="1" t="s">
        <v>112</v>
      </c>
      <c r="G170" s="1">
        <v>3327327</v>
      </c>
    </row>
    <row r="171" spans="1:7" x14ac:dyDescent="0.3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3324</v>
      </c>
      <c r="D171" s="1" t="s">
        <v>3325</v>
      </c>
      <c r="E171" s="1" t="s">
        <v>3326</v>
      </c>
      <c r="F171" s="1" t="s">
        <v>112</v>
      </c>
      <c r="G171" s="1">
        <v>2888067</v>
      </c>
    </row>
    <row r="172" spans="1:7" x14ac:dyDescent="0.3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3327</v>
      </c>
      <c r="D172" s="1" t="s">
        <v>3328</v>
      </c>
      <c r="E172" s="1" t="s">
        <v>3329</v>
      </c>
      <c r="F172" s="1" t="s">
        <v>112</v>
      </c>
      <c r="G172" s="1">
        <v>2472838</v>
      </c>
    </row>
    <row r="173" spans="1:7" x14ac:dyDescent="0.3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3330</v>
      </c>
      <c r="D173" s="1" t="s">
        <v>3331</v>
      </c>
      <c r="E173" s="1" t="s">
        <v>3332</v>
      </c>
      <c r="F173" s="1" t="s">
        <v>112</v>
      </c>
      <c r="G173" s="1">
        <v>2146399</v>
      </c>
    </row>
    <row r="174" spans="1:7" x14ac:dyDescent="0.3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3333</v>
      </c>
      <c r="D174" s="1" t="s">
        <v>3334</v>
      </c>
      <c r="E174" s="1" t="s">
        <v>3335</v>
      </c>
      <c r="F174" s="1" t="s">
        <v>112</v>
      </c>
      <c r="G174" s="1">
        <v>1798829</v>
      </c>
    </row>
    <row r="175" spans="1:7" x14ac:dyDescent="0.3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3336</v>
      </c>
      <c r="D175" s="1" t="s">
        <v>3337</v>
      </c>
      <c r="E175" s="1" t="s">
        <v>3338</v>
      </c>
      <c r="F175" s="1" t="s">
        <v>112</v>
      </c>
      <c r="G175" s="1">
        <v>2429232</v>
      </c>
    </row>
    <row r="176" spans="1:7" x14ac:dyDescent="0.3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3339</v>
      </c>
      <c r="D176" s="1" t="s">
        <v>331</v>
      </c>
      <c r="E176" s="1" t="s">
        <v>3340</v>
      </c>
      <c r="F176" s="1" t="s">
        <v>112</v>
      </c>
      <c r="G176" s="1">
        <v>26951</v>
      </c>
    </row>
    <row r="177" spans="1:9" x14ac:dyDescent="0.3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3341</v>
      </c>
      <c r="D177" s="1" t="s">
        <v>290</v>
      </c>
      <c r="E177" s="1" t="s">
        <v>3342</v>
      </c>
      <c r="F177" s="1" t="s">
        <v>112</v>
      </c>
      <c r="G177" s="1">
        <v>564821</v>
      </c>
    </row>
    <row r="178" spans="1:9" x14ac:dyDescent="0.3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3343</v>
      </c>
      <c r="D178" s="1" t="s">
        <v>1207</v>
      </c>
      <c r="E178" s="1" t="s">
        <v>3344</v>
      </c>
      <c r="F178" s="1" t="s">
        <v>112</v>
      </c>
      <c r="G178" s="1">
        <v>44687</v>
      </c>
    </row>
    <row r="179" spans="1:9" x14ac:dyDescent="0.3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3345</v>
      </c>
      <c r="D179" s="1" t="s">
        <v>1709</v>
      </c>
      <c r="E179" s="1" t="s">
        <v>3346</v>
      </c>
      <c r="F179" s="1" t="s">
        <v>112</v>
      </c>
      <c r="G179" s="1">
        <v>377031</v>
      </c>
    </row>
    <row r="180" spans="1:9" x14ac:dyDescent="0.3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3347</v>
      </c>
      <c r="D180" s="1" t="s">
        <v>393</v>
      </c>
      <c r="E180" s="1" t="s">
        <v>3348</v>
      </c>
      <c r="F180" s="1" t="s">
        <v>112</v>
      </c>
      <c r="G180" s="1">
        <v>750341</v>
      </c>
    </row>
    <row r="181" spans="1:9" x14ac:dyDescent="0.3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3349</v>
      </c>
      <c r="D181" s="1" t="s">
        <v>3350</v>
      </c>
      <c r="E181" s="1" t="s">
        <v>3351</v>
      </c>
      <c r="F181" s="1" t="s">
        <v>112</v>
      </c>
      <c r="G181" s="1">
        <v>1708589</v>
      </c>
    </row>
    <row r="182" spans="1:9" x14ac:dyDescent="0.3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3352</v>
      </c>
      <c r="D182" s="1" t="s">
        <v>2419</v>
      </c>
      <c r="E182" s="1" t="s">
        <v>3353</v>
      </c>
      <c r="F182" s="1" t="s">
        <v>112</v>
      </c>
      <c r="G182" s="1">
        <v>2864447</v>
      </c>
    </row>
    <row r="183" spans="1:9" x14ac:dyDescent="0.3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3354</v>
      </c>
      <c r="D183" s="1" t="s">
        <v>3355</v>
      </c>
      <c r="E183" s="1" t="s">
        <v>3356</v>
      </c>
      <c r="F183" s="1" t="s">
        <v>112</v>
      </c>
      <c r="G183" s="1">
        <v>1070831</v>
      </c>
    </row>
    <row r="184" spans="1:9" x14ac:dyDescent="0.3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3357</v>
      </c>
      <c r="D184" s="1" t="s">
        <v>3358</v>
      </c>
      <c r="E184" s="1" t="s">
        <v>3359</v>
      </c>
      <c r="F184" s="1" t="s">
        <v>112</v>
      </c>
      <c r="G184" s="1">
        <v>1560965</v>
      </c>
    </row>
    <row r="185" spans="1:9" x14ac:dyDescent="0.3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3360</v>
      </c>
      <c r="D185" s="1" t="s">
        <v>3361</v>
      </c>
      <c r="E185" s="1" t="s">
        <v>3362</v>
      </c>
      <c r="F185" s="1" t="s">
        <v>112</v>
      </c>
      <c r="G185" s="1">
        <v>2050406</v>
      </c>
    </row>
    <row r="186" spans="1:9" x14ac:dyDescent="0.3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3363</v>
      </c>
      <c r="D186" s="1" t="s">
        <v>3364</v>
      </c>
      <c r="E186" s="1" t="s">
        <v>3365</v>
      </c>
      <c r="F186" s="1" t="s">
        <v>112</v>
      </c>
      <c r="G186" s="1">
        <v>1768352</v>
      </c>
    </row>
    <row r="187" spans="1:9" x14ac:dyDescent="0.3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3366</v>
      </c>
      <c r="D187" s="1" t="s">
        <v>3367</v>
      </c>
      <c r="E187" s="1" t="s">
        <v>3368</v>
      </c>
      <c r="F187" s="1" t="s">
        <v>112</v>
      </c>
      <c r="G187" s="1">
        <v>1705690</v>
      </c>
    </row>
    <row r="188" spans="1:9" x14ac:dyDescent="0.3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3369</v>
      </c>
      <c r="D188" s="1" t="s">
        <v>3370</v>
      </c>
      <c r="E188" s="1" t="s">
        <v>3371</v>
      </c>
      <c r="F188" s="1" t="s">
        <v>112</v>
      </c>
      <c r="G188" s="1">
        <v>487668</v>
      </c>
    </row>
    <row r="189" spans="1:9" x14ac:dyDescent="0.3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3372</v>
      </c>
      <c r="D189" s="1" t="s">
        <v>3373</v>
      </c>
      <c r="E189" s="1" t="s">
        <v>3374</v>
      </c>
      <c r="F189" s="1" t="s">
        <v>112</v>
      </c>
      <c r="G189" s="1">
        <v>1375250</v>
      </c>
    </row>
    <row r="190" spans="1:9" x14ac:dyDescent="0.3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3375</v>
      </c>
      <c r="D190" s="1" t="s">
        <v>287</v>
      </c>
      <c r="E190" s="1" t="s">
        <v>3376</v>
      </c>
      <c r="F190" s="1" t="s">
        <v>112</v>
      </c>
      <c r="G190" s="1">
        <v>301542</v>
      </c>
    </row>
    <row r="191" spans="1:9"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9"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3377</v>
      </c>
      <c r="D193" s="1" t="s">
        <v>112</v>
      </c>
      <c r="E193" s="1" t="s">
        <v>3378</v>
      </c>
      <c r="F193" s="1" t="s">
        <v>3379</v>
      </c>
      <c r="G193" s="1" t="s">
        <v>3380</v>
      </c>
      <c r="H193" s="1" t="s">
        <v>3381</v>
      </c>
      <c r="I193" s="1">
        <v>24</v>
      </c>
    </row>
    <row r="194" spans="1:9"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9"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9"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9"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9"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9"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252</v>
      </c>
      <c r="D199" s="1" t="s">
        <v>110</v>
      </c>
      <c r="E199" s="1" t="s">
        <v>111</v>
      </c>
      <c r="F199" s="1" t="s">
        <v>112</v>
      </c>
      <c r="G199" s="1" t="s">
        <v>113</v>
      </c>
    </row>
    <row r="200" spans="1:9" x14ac:dyDescent="0.3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3382</v>
      </c>
      <c r="D200" s="1" t="s">
        <v>3383</v>
      </c>
      <c r="E200" s="1" t="s">
        <v>3384</v>
      </c>
      <c r="F200" s="1" t="s">
        <v>112</v>
      </c>
      <c r="G200" s="1">
        <v>7079659</v>
      </c>
    </row>
    <row r="201" spans="1:9" x14ac:dyDescent="0.3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3385</v>
      </c>
    </row>
    <row r="202" spans="1:9" x14ac:dyDescent="0.3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3386</v>
      </c>
      <c r="D202" s="1" t="s">
        <v>3387</v>
      </c>
      <c r="E202" s="1" t="s">
        <v>3388</v>
      </c>
      <c r="F202" s="1" t="s">
        <v>112</v>
      </c>
      <c r="G202" s="1">
        <v>7207924</v>
      </c>
    </row>
    <row r="203" spans="1:9" x14ac:dyDescent="0.3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3389</v>
      </c>
      <c r="D203" s="1" t="s">
        <v>3390</v>
      </c>
      <c r="E203" s="1" t="s">
        <v>3391</v>
      </c>
      <c r="F203" s="1" t="s">
        <v>112</v>
      </c>
      <c r="G203" s="1">
        <v>8138421</v>
      </c>
    </row>
    <row r="204" spans="1:9" x14ac:dyDescent="0.3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3392</v>
      </c>
      <c r="D204" s="1" t="s">
        <v>3393</v>
      </c>
      <c r="E204" s="1" t="s">
        <v>3394</v>
      </c>
      <c r="F204" s="1" t="s">
        <v>112</v>
      </c>
      <c r="G204" s="1">
        <v>7886130</v>
      </c>
    </row>
    <row r="205" spans="1:9" x14ac:dyDescent="0.3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3395</v>
      </c>
      <c r="D205" s="1" t="s">
        <v>3396</v>
      </c>
      <c r="E205" s="1" t="s">
        <v>3397</v>
      </c>
      <c r="F205" s="1" t="s">
        <v>112</v>
      </c>
      <c r="G205" s="1">
        <v>7654495</v>
      </c>
    </row>
    <row r="206" spans="1:9" x14ac:dyDescent="0.3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3398</v>
      </c>
      <c r="D206" s="1" t="s">
        <v>3399</v>
      </c>
      <c r="E206" s="1" t="s">
        <v>3400</v>
      </c>
      <c r="F206" s="1" t="s">
        <v>112</v>
      </c>
      <c r="G206" s="1">
        <v>4359765</v>
      </c>
    </row>
    <row r="207" spans="1:9" x14ac:dyDescent="0.3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3401</v>
      </c>
      <c r="D207" s="1" t="s">
        <v>1037</v>
      </c>
      <c r="E207" s="1" t="s">
        <v>3402</v>
      </c>
      <c r="F207" s="1" t="s">
        <v>112</v>
      </c>
      <c r="G207" s="1">
        <v>4435296</v>
      </c>
    </row>
    <row r="208" spans="1:9" x14ac:dyDescent="0.3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3403</v>
      </c>
      <c r="D208" s="1" t="s">
        <v>3404</v>
      </c>
      <c r="E208" s="1" t="s">
        <v>3405</v>
      </c>
      <c r="F208" s="1" t="s">
        <v>112</v>
      </c>
      <c r="G208" s="1">
        <v>4508687</v>
      </c>
    </row>
    <row r="209" spans="1:7" x14ac:dyDescent="0.3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3406</v>
      </c>
      <c r="D209" s="1" t="s">
        <v>3407</v>
      </c>
      <c r="E209" s="1" t="s">
        <v>3408</v>
      </c>
      <c r="F209" s="1" t="s">
        <v>112</v>
      </c>
      <c r="G209" s="1">
        <v>5925812</v>
      </c>
    </row>
    <row r="210" spans="1:7" x14ac:dyDescent="0.3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3409</v>
      </c>
      <c r="D210" s="1" t="s">
        <v>3410</v>
      </c>
      <c r="E210" s="1" t="s">
        <v>3411</v>
      </c>
      <c r="F210" s="1" t="s">
        <v>112</v>
      </c>
      <c r="G210" s="1">
        <v>5743191</v>
      </c>
    </row>
    <row r="211" spans="1:7" x14ac:dyDescent="0.3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3412</v>
      </c>
      <c r="D211" s="1" t="s">
        <v>3413</v>
      </c>
      <c r="E211" s="1" t="s">
        <v>3414</v>
      </c>
      <c r="F211" s="1" t="s">
        <v>112</v>
      </c>
      <c r="G211" s="1">
        <v>5495615</v>
      </c>
    </row>
    <row r="212" spans="1:7" x14ac:dyDescent="0.3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3415</v>
      </c>
      <c r="D212" s="1" t="s">
        <v>3416</v>
      </c>
      <c r="E212" s="1" t="s">
        <v>3417</v>
      </c>
      <c r="F212" s="1" t="s">
        <v>112</v>
      </c>
      <c r="G212" s="1">
        <v>5911904</v>
      </c>
    </row>
    <row r="213" spans="1:7" x14ac:dyDescent="0.3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3418</v>
      </c>
      <c r="D213" s="1" t="s">
        <v>3419</v>
      </c>
      <c r="E213" s="1" t="s">
        <v>3420</v>
      </c>
      <c r="F213" s="1" t="s">
        <v>112</v>
      </c>
      <c r="G213" s="1">
        <v>5688511</v>
      </c>
    </row>
    <row r="214" spans="1:7" x14ac:dyDescent="0.3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3421</v>
      </c>
    </row>
    <row r="215" spans="1:7" x14ac:dyDescent="0.3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3422</v>
      </c>
    </row>
    <row r="216" spans="1:7" x14ac:dyDescent="0.3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3423</v>
      </c>
      <c r="D216" s="1" t="s">
        <v>3424</v>
      </c>
      <c r="E216" s="1" t="s">
        <v>3425</v>
      </c>
      <c r="F216" s="1" t="s">
        <v>112</v>
      </c>
      <c r="G216" s="1">
        <v>5849394</v>
      </c>
    </row>
    <row r="217" spans="1:7" x14ac:dyDescent="0.3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3426</v>
      </c>
      <c r="D217" s="1" t="s">
        <v>3427</v>
      </c>
      <c r="E217" s="1" t="s">
        <v>3428</v>
      </c>
      <c r="F217" s="1" t="s">
        <v>112</v>
      </c>
      <c r="G217" s="1">
        <v>5752644</v>
      </c>
    </row>
    <row r="218" spans="1:7" x14ac:dyDescent="0.3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3429</v>
      </c>
      <c r="D218" s="1" t="s">
        <v>3430</v>
      </c>
      <c r="E218" s="1" t="s">
        <v>3431</v>
      </c>
      <c r="F218" s="1" t="s">
        <v>112</v>
      </c>
      <c r="G218" s="1">
        <v>5467562</v>
      </c>
    </row>
    <row r="219" spans="1:7" x14ac:dyDescent="0.3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3432</v>
      </c>
      <c r="D219" s="1" t="s">
        <v>3433</v>
      </c>
      <c r="E219" s="1" t="s">
        <v>3434</v>
      </c>
      <c r="F219" s="1" t="s">
        <v>112</v>
      </c>
      <c r="G219" s="1">
        <v>5319981</v>
      </c>
    </row>
    <row r="220" spans="1:7" x14ac:dyDescent="0.3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3435</v>
      </c>
      <c r="D220" s="1" t="s">
        <v>3436</v>
      </c>
      <c r="E220" s="1" t="s">
        <v>3437</v>
      </c>
      <c r="F220" s="1" t="s">
        <v>112</v>
      </c>
      <c r="G220" s="1">
        <v>5723032</v>
      </c>
    </row>
    <row r="221" spans="1:7" x14ac:dyDescent="0.3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3438</v>
      </c>
      <c r="D221" s="1" t="s">
        <v>3439</v>
      </c>
      <c r="E221" s="1" t="s">
        <v>3440</v>
      </c>
      <c r="F221" s="1" t="s">
        <v>112</v>
      </c>
      <c r="G221" s="1">
        <v>4816329</v>
      </c>
    </row>
    <row r="222" spans="1:7" x14ac:dyDescent="0.3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3441</v>
      </c>
      <c r="D222" s="1" t="s">
        <v>3442</v>
      </c>
      <c r="E222" s="1" t="s">
        <v>3443</v>
      </c>
      <c r="F222" s="1" t="s">
        <v>112</v>
      </c>
      <c r="G222" s="1">
        <v>4676426</v>
      </c>
    </row>
    <row r="223" spans="1:7" x14ac:dyDescent="0.3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3444</v>
      </c>
      <c r="D223" s="1" t="s">
        <v>3445</v>
      </c>
      <c r="E223" s="1" t="s">
        <v>3446</v>
      </c>
      <c r="F223" s="1" t="s">
        <v>112</v>
      </c>
      <c r="G223" s="1">
        <v>4913706</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9"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3447</v>
      </c>
      <c r="D226" s="1" t="s">
        <v>112</v>
      </c>
      <c r="E226" s="1" t="s">
        <v>3448</v>
      </c>
      <c r="F226" s="1" t="s">
        <v>3449</v>
      </c>
      <c r="G226" s="1" t="s">
        <v>3450</v>
      </c>
      <c r="H226" s="1" t="s">
        <v>3451</v>
      </c>
      <c r="I226" s="1">
        <v>24</v>
      </c>
    </row>
    <row r="227" spans="1:9"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9"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9"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9"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9"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9"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252</v>
      </c>
      <c r="D232" s="1" t="s">
        <v>110</v>
      </c>
      <c r="E232" s="1" t="s">
        <v>111</v>
      </c>
      <c r="F232" s="1" t="s">
        <v>112</v>
      </c>
      <c r="G232" s="1" t="s">
        <v>113</v>
      </c>
    </row>
    <row r="233" spans="1:9" x14ac:dyDescent="0.35">
      <c r="A233" s="1" t="str">
        <f t="shared" si="3"/>
        <v>08 BPA 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3452</v>
      </c>
      <c r="D233" s="1" t="s">
        <v>721</v>
      </c>
      <c r="E233" s="1" t="s">
        <v>3453</v>
      </c>
      <c r="F233" s="1" t="s">
        <v>112</v>
      </c>
      <c r="G233" s="1">
        <v>82691</v>
      </c>
    </row>
    <row r="234" spans="1:9" x14ac:dyDescent="0.35">
      <c r="A234" s="1" t="str">
        <f t="shared" si="3"/>
        <v>08 BPA 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3454</v>
      </c>
      <c r="D234" s="1" t="s">
        <v>182</v>
      </c>
      <c r="E234" s="1" t="s">
        <v>3455</v>
      </c>
      <c r="F234" s="1" t="s">
        <v>112</v>
      </c>
      <c r="G234" s="1">
        <v>42979</v>
      </c>
    </row>
    <row r="235" spans="1:9" x14ac:dyDescent="0.35">
      <c r="A235" s="1" t="str">
        <f t="shared" si="3"/>
        <v>08 BPA 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3456</v>
      </c>
      <c r="D235" s="1" t="s">
        <v>179</v>
      </c>
      <c r="E235" s="1" t="s">
        <v>3457</v>
      </c>
      <c r="F235" s="1" t="s">
        <v>112</v>
      </c>
      <c r="G235" s="1">
        <v>39042</v>
      </c>
    </row>
    <row r="236" spans="1:9" x14ac:dyDescent="0.35">
      <c r="A236" s="1" t="str">
        <f t="shared" si="3"/>
        <v>08 BPA 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3458</v>
      </c>
      <c r="D236" s="1" t="s">
        <v>744</v>
      </c>
      <c r="E236" s="1" t="s">
        <v>3459</v>
      </c>
      <c r="F236" s="1" t="s">
        <v>112</v>
      </c>
      <c r="G236" s="1">
        <v>389533</v>
      </c>
    </row>
    <row r="237" spans="1:9" x14ac:dyDescent="0.35">
      <c r="A237" s="1" t="str">
        <f t="shared" si="3"/>
        <v>08 BPA 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3460</v>
      </c>
      <c r="D237" s="1" t="s">
        <v>3461</v>
      </c>
      <c r="E237" s="1" t="s">
        <v>3462</v>
      </c>
      <c r="F237" s="1" t="s">
        <v>112</v>
      </c>
      <c r="G237" s="1">
        <v>396043</v>
      </c>
    </row>
    <row r="238" spans="1:9" x14ac:dyDescent="0.35">
      <c r="A238" s="1" t="str">
        <f t="shared" si="3"/>
        <v>08 BPA 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3463</v>
      </c>
      <c r="D238" s="1" t="s">
        <v>3464</v>
      </c>
      <c r="E238" s="1" t="s">
        <v>3465</v>
      </c>
      <c r="F238" s="1" t="s">
        <v>112</v>
      </c>
      <c r="G238" s="1">
        <v>331002</v>
      </c>
    </row>
    <row r="239" spans="1:9" x14ac:dyDescent="0.35">
      <c r="A239" s="1" t="str">
        <f t="shared" si="3"/>
        <v>08 BPA 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3466</v>
      </c>
      <c r="D239" s="1" t="s">
        <v>179</v>
      </c>
      <c r="E239" s="1" t="s">
        <v>3467</v>
      </c>
      <c r="F239" s="1" t="s">
        <v>112</v>
      </c>
      <c r="G239" s="1">
        <v>39669</v>
      </c>
    </row>
    <row r="240" spans="1:9" x14ac:dyDescent="0.35">
      <c r="A240" s="1" t="str">
        <f t="shared" si="3"/>
        <v>08 BPA 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3468</v>
      </c>
      <c r="D240" s="1" t="s">
        <v>179</v>
      </c>
      <c r="E240" s="1" t="s">
        <v>3469</v>
      </c>
      <c r="F240" s="1" t="s">
        <v>112</v>
      </c>
      <c r="G240" s="1">
        <v>40037</v>
      </c>
    </row>
    <row r="241" spans="1:7" x14ac:dyDescent="0.35">
      <c r="A241" s="1" t="str">
        <f t="shared" si="3"/>
        <v>08 BPA 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3470</v>
      </c>
      <c r="D241" s="1" t="s">
        <v>227</v>
      </c>
      <c r="E241" s="1" t="s">
        <v>3471</v>
      </c>
      <c r="F241" s="1" t="s">
        <v>112</v>
      </c>
      <c r="G241" s="1">
        <v>28140</v>
      </c>
    </row>
    <row r="242" spans="1:7" x14ac:dyDescent="0.35">
      <c r="A242" s="1" t="str">
        <f t="shared" si="3"/>
        <v>08 BPA 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3472</v>
      </c>
      <c r="D242" s="1" t="s">
        <v>3473</v>
      </c>
      <c r="E242" s="1" t="s">
        <v>3474</v>
      </c>
      <c r="F242" s="1" t="s">
        <v>112</v>
      </c>
      <c r="G242" s="1">
        <v>33461</v>
      </c>
    </row>
    <row r="243" spans="1:7" x14ac:dyDescent="0.35">
      <c r="A243" s="1" t="str">
        <f t="shared" si="3"/>
        <v>08 BPA 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3475</v>
      </c>
      <c r="D243" s="1" t="s">
        <v>353</v>
      </c>
      <c r="E243" s="1" t="s">
        <v>3476</v>
      </c>
      <c r="F243" s="1" t="s">
        <v>112</v>
      </c>
      <c r="G243" s="1">
        <v>97118</v>
      </c>
    </row>
    <row r="244" spans="1:7" x14ac:dyDescent="0.35">
      <c r="A244" s="1" t="str">
        <f t="shared" si="3"/>
        <v>08 BPA 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3477</v>
      </c>
      <c r="D244" s="1" t="s">
        <v>1352</v>
      </c>
      <c r="E244" s="1" t="s">
        <v>3478</v>
      </c>
      <c r="F244" s="1" t="s">
        <v>112</v>
      </c>
      <c r="G244" s="1">
        <v>49165</v>
      </c>
    </row>
    <row r="245" spans="1:7" x14ac:dyDescent="0.35">
      <c r="A245" s="1" t="str">
        <f t="shared" si="3"/>
        <v>08 BPA 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3479</v>
      </c>
      <c r="D245" s="1" t="s">
        <v>1204</v>
      </c>
      <c r="E245" s="1" t="s">
        <v>3480</v>
      </c>
      <c r="F245" s="1" t="s">
        <v>112</v>
      </c>
      <c r="G245" s="1">
        <v>373224</v>
      </c>
    </row>
    <row r="246" spans="1:7" x14ac:dyDescent="0.35">
      <c r="A246" s="1" t="str">
        <f t="shared" si="3"/>
        <v>08 BPA 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3481</v>
      </c>
      <c r="D246" s="1" t="s">
        <v>3482</v>
      </c>
      <c r="E246" s="1" t="s">
        <v>3483</v>
      </c>
      <c r="F246" s="1" t="s">
        <v>112</v>
      </c>
      <c r="G246" s="1">
        <v>141092</v>
      </c>
    </row>
    <row r="247" spans="1:7" x14ac:dyDescent="0.35">
      <c r="A247" s="1" t="str">
        <f t="shared" si="3"/>
        <v>08 BPA 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3484</v>
      </c>
      <c r="D247" s="1" t="s">
        <v>2228</v>
      </c>
      <c r="E247" s="1" t="s">
        <v>3485</v>
      </c>
      <c r="F247" s="1" t="s">
        <v>112</v>
      </c>
      <c r="G247" s="1">
        <v>401299</v>
      </c>
    </row>
    <row r="248" spans="1:7" x14ac:dyDescent="0.35">
      <c r="A248" s="1" t="str">
        <f t="shared" si="3"/>
        <v>08 BPA 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3486</v>
      </c>
    </row>
    <row r="249" spans="1:7" x14ac:dyDescent="0.35">
      <c r="A249" s="1" t="str">
        <f t="shared" si="3"/>
        <v>08 BPA 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3487</v>
      </c>
      <c r="D249" s="1" t="s">
        <v>233</v>
      </c>
      <c r="E249" s="1">
        <v>64</v>
      </c>
      <c r="F249" s="1" t="s">
        <v>112</v>
      </c>
      <c r="G249" s="1">
        <v>37376</v>
      </c>
    </row>
    <row r="250" spans="1:7" x14ac:dyDescent="0.35">
      <c r="A250" s="1" t="str">
        <f t="shared" si="3"/>
        <v>08 BPA 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3488</v>
      </c>
      <c r="D250" s="1" t="s">
        <v>724</v>
      </c>
      <c r="E250" s="1" t="s">
        <v>3489</v>
      </c>
      <c r="F250" s="1" t="s">
        <v>112</v>
      </c>
      <c r="G250" s="1">
        <v>57298</v>
      </c>
    </row>
    <row r="251" spans="1:7" x14ac:dyDescent="0.35">
      <c r="A251" s="1" t="str">
        <f t="shared" si="3"/>
        <v>08 BPA 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3490</v>
      </c>
      <c r="D251" s="1" t="s">
        <v>1732</v>
      </c>
      <c r="E251" s="1" t="s">
        <v>3491</v>
      </c>
      <c r="F251" s="1" t="s">
        <v>112</v>
      </c>
      <c r="G251" s="1">
        <v>90867</v>
      </c>
    </row>
    <row r="252" spans="1:7" x14ac:dyDescent="0.35">
      <c r="A252" s="1" t="str">
        <f t="shared" si="3"/>
        <v>08 BPA 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3492</v>
      </c>
      <c r="D252" s="1" t="s">
        <v>1201</v>
      </c>
      <c r="E252" s="1" t="s">
        <v>3493</v>
      </c>
      <c r="F252" s="1" t="s">
        <v>112</v>
      </c>
      <c r="G252" s="1">
        <v>75423</v>
      </c>
    </row>
    <row r="253" spans="1:7" x14ac:dyDescent="0.35">
      <c r="A253" s="1" t="str">
        <f t="shared" si="3"/>
        <v>08 BPA 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3494</v>
      </c>
      <c r="D253" s="1" t="s">
        <v>344</v>
      </c>
      <c r="E253" s="1" t="s">
        <v>3495</v>
      </c>
      <c r="F253" s="1" t="s">
        <v>112</v>
      </c>
      <c r="G253" s="1">
        <v>87623</v>
      </c>
    </row>
    <row r="254" spans="1:7" x14ac:dyDescent="0.35">
      <c r="A254" s="1" t="str">
        <f t="shared" si="3"/>
        <v>08 BPA 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3496</v>
      </c>
      <c r="D254" s="1" t="s">
        <v>230</v>
      </c>
      <c r="E254" s="1" t="s">
        <v>3497</v>
      </c>
      <c r="F254" s="1" t="s">
        <v>112</v>
      </c>
      <c r="G254" s="1">
        <v>20332</v>
      </c>
    </row>
    <row r="255" spans="1:7" x14ac:dyDescent="0.35">
      <c r="A255" s="1" t="str">
        <f t="shared" si="3"/>
        <v>08 BPA 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3498</v>
      </c>
      <c r="D255" s="1" t="s">
        <v>220</v>
      </c>
      <c r="E255" s="1" t="s">
        <v>3019</v>
      </c>
      <c r="F255" s="1" t="s">
        <v>112</v>
      </c>
      <c r="G255" s="1">
        <v>14838</v>
      </c>
    </row>
    <row r="256" spans="1:7" x14ac:dyDescent="0.35">
      <c r="A256" s="1" t="str">
        <f t="shared" si="3"/>
        <v>08 BPA 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3499</v>
      </c>
      <c r="D256" s="1" t="s">
        <v>1772</v>
      </c>
      <c r="E256" s="1" t="s">
        <v>3500</v>
      </c>
      <c r="F256" s="1" t="s">
        <v>112</v>
      </c>
      <c r="G256" s="1">
        <v>10837</v>
      </c>
    </row>
    <row r="257" spans="1:9"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9"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241</v>
      </c>
      <c r="D258" s="1" t="s">
        <v>112</v>
      </c>
      <c r="E258" s="1" t="s">
        <v>242</v>
      </c>
      <c r="F258" s="1" t="s">
        <v>243</v>
      </c>
      <c r="G258" s="1" t="s">
        <v>244</v>
      </c>
      <c r="H258" s="1" t="s">
        <v>245</v>
      </c>
      <c r="I258" s="1" t="s">
        <v>246</v>
      </c>
    </row>
    <row r="259" spans="1:9" x14ac:dyDescent="0.35">
      <c r="A259" s="1" t="str">
        <f t="shared" si="4"/>
        <v>08 BPA 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3501</v>
      </c>
      <c r="D259" s="1" t="s">
        <v>112</v>
      </c>
      <c r="E259" s="1" t="s">
        <v>3502</v>
      </c>
      <c r="F259" s="1" t="s">
        <v>3503</v>
      </c>
      <c r="G259" s="1" t="s">
        <v>3504</v>
      </c>
      <c r="H259" s="1" t="s">
        <v>3505</v>
      </c>
      <c r="I259" s="1">
        <v>24</v>
      </c>
    </row>
    <row r="260" spans="1:9"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9"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9"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9"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9"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9"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252</v>
      </c>
      <c r="D265" s="1" t="s">
        <v>110</v>
      </c>
      <c r="E265" s="1" t="s">
        <v>111</v>
      </c>
      <c r="F265" s="1" t="s">
        <v>112</v>
      </c>
      <c r="G265" s="1" t="s">
        <v>113</v>
      </c>
    </row>
    <row r="266" spans="1:9" x14ac:dyDescent="0.35">
      <c r="A266" s="1" t="str">
        <f t="shared" si="4"/>
        <v>09 BPA 2</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3506</v>
      </c>
      <c r="D266" s="1" t="s">
        <v>1836</v>
      </c>
      <c r="E266" s="1" t="s">
        <v>3507</v>
      </c>
      <c r="F266" s="1" t="s">
        <v>112</v>
      </c>
      <c r="G266" s="1">
        <v>214806</v>
      </c>
    </row>
    <row r="267" spans="1:9" x14ac:dyDescent="0.35">
      <c r="A267" s="1" t="str">
        <f t="shared" si="4"/>
        <v>09 BPA 2</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3508</v>
      </c>
      <c r="D267" s="1" t="s">
        <v>3509</v>
      </c>
      <c r="E267" s="1" t="s">
        <v>3510</v>
      </c>
      <c r="F267" s="1" t="s">
        <v>112</v>
      </c>
      <c r="G267" s="1">
        <v>239205</v>
      </c>
    </row>
    <row r="268" spans="1:9" x14ac:dyDescent="0.35">
      <c r="A268" s="1" t="str">
        <f t="shared" si="4"/>
        <v>09 BPA 2</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3511</v>
      </c>
      <c r="D268" s="1" t="s">
        <v>3233</v>
      </c>
      <c r="E268" s="1" t="s">
        <v>3512</v>
      </c>
      <c r="F268" s="1" t="s">
        <v>112</v>
      </c>
      <c r="G268" s="1">
        <v>368162</v>
      </c>
    </row>
    <row r="269" spans="1:9" x14ac:dyDescent="0.35">
      <c r="A269" s="1" t="str">
        <f t="shared" si="4"/>
        <v>09 BPA 2</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3513</v>
      </c>
      <c r="D269" s="1" t="s">
        <v>3514</v>
      </c>
      <c r="E269" s="1" t="s">
        <v>3515</v>
      </c>
      <c r="F269" s="1" t="s">
        <v>112</v>
      </c>
      <c r="G269" s="1">
        <v>353476</v>
      </c>
    </row>
    <row r="270" spans="1:9" x14ac:dyDescent="0.35">
      <c r="A270" s="1" t="str">
        <f t="shared" si="4"/>
        <v>09 BPA 2</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3516</v>
      </c>
      <c r="D270" s="1" t="s">
        <v>1836</v>
      </c>
      <c r="E270" s="1" t="s">
        <v>3517</v>
      </c>
      <c r="F270" s="1" t="s">
        <v>112</v>
      </c>
      <c r="G270" s="1">
        <v>214222</v>
      </c>
    </row>
    <row r="271" spans="1:9" x14ac:dyDescent="0.35">
      <c r="A271" s="1" t="str">
        <f t="shared" si="4"/>
        <v>09 BPA 2</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3518</v>
      </c>
      <c r="D271" s="1" t="s">
        <v>3158</v>
      </c>
      <c r="E271" s="1" t="s">
        <v>3519</v>
      </c>
      <c r="F271" s="1" t="s">
        <v>112</v>
      </c>
      <c r="G271" s="1">
        <v>377074</v>
      </c>
    </row>
    <row r="272" spans="1:9" x14ac:dyDescent="0.35">
      <c r="A272" s="1" t="str">
        <f t="shared" si="4"/>
        <v>09 BPA 2</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3520</v>
      </c>
      <c r="D272" s="1" t="s">
        <v>662</v>
      </c>
      <c r="E272" s="1" t="s">
        <v>3521</v>
      </c>
      <c r="F272" s="1" t="s">
        <v>112</v>
      </c>
      <c r="G272" s="1">
        <v>68502</v>
      </c>
    </row>
    <row r="273" spans="1:7" x14ac:dyDescent="0.35">
      <c r="A273" s="1" t="str">
        <f t="shared" si="4"/>
        <v>09 BPA 2</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3522</v>
      </c>
      <c r="D273" s="1" t="s">
        <v>785</v>
      </c>
      <c r="E273" s="1" t="s">
        <v>3523</v>
      </c>
      <c r="F273" s="1" t="s">
        <v>112</v>
      </c>
      <c r="G273" s="1">
        <v>42157</v>
      </c>
    </row>
    <row r="274" spans="1:7" x14ac:dyDescent="0.35">
      <c r="A274" s="1" t="str">
        <f t="shared" si="4"/>
        <v>09 BPA 2</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3524</v>
      </c>
      <c r="D274" s="1" t="s">
        <v>3212</v>
      </c>
      <c r="E274" s="1" t="s">
        <v>3525</v>
      </c>
      <c r="F274" s="1" t="s">
        <v>112</v>
      </c>
      <c r="G274" s="1">
        <v>171352</v>
      </c>
    </row>
    <row r="275" spans="1:7" x14ac:dyDescent="0.35">
      <c r="A275" s="1" t="str">
        <f t="shared" si="4"/>
        <v>09 BPA 2</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3526</v>
      </c>
      <c r="D275" s="1" t="s">
        <v>3527</v>
      </c>
      <c r="E275" s="1" t="s">
        <v>3528</v>
      </c>
      <c r="F275" s="1" t="s">
        <v>112</v>
      </c>
      <c r="G275" s="1">
        <v>682099</v>
      </c>
    </row>
    <row r="276" spans="1:7" x14ac:dyDescent="0.35">
      <c r="A276" s="1" t="str">
        <f t="shared" si="4"/>
        <v>09 BPA 2</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3529</v>
      </c>
      <c r="D276" s="1" t="s">
        <v>1692</v>
      </c>
      <c r="E276" s="1" t="s">
        <v>3530</v>
      </c>
      <c r="F276" s="1" t="s">
        <v>112</v>
      </c>
      <c r="G276" s="1">
        <v>65928</v>
      </c>
    </row>
    <row r="277" spans="1:7" x14ac:dyDescent="0.35">
      <c r="A277" s="1" t="str">
        <f t="shared" si="4"/>
        <v>09 BPA 2</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3531</v>
      </c>
      <c r="D277" s="1" t="s">
        <v>711</v>
      </c>
      <c r="E277" s="1" t="s">
        <v>3532</v>
      </c>
      <c r="F277" s="1" t="s">
        <v>112</v>
      </c>
      <c r="G277" s="1">
        <v>53318</v>
      </c>
    </row>
    <row r="278" spans="1:7" x14ac:dyDescent="0.35">
      <c r="A278" s="1" t="str">
        <f t="shared" si="4"/>
        <v>09 BPA 2</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3533</v>
      </c>
      <c r="D278" s="1" t="s">
        <v>2245</v>
      </c>
      <c r="E278" s="1" t="s">
        <v>3534</v>
      </c>
      <c r="F278" s="1" t="s">
        <v>112</v>
      </c>
      <c r="G278" s="1">
        <v>133673</v>
      </c>
    </row>
    <row r="279" spans="1:7" x14ac:dyDescent="0.35">
      <c r="A279" s="1" t="str">
        <f t="shared" si="4"/>
        <v>09 BPA 2</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3535</v>
      </c>
      <c r="D279" s="1" t="s">
        <v>1718</v>
      </c>
      <c r="E279" s="1" t="s">
        <v>3536</v>
      </c>
      <c r="F279" s="1" t="s">
        <v>112</v>
      </c>
      <c r="G279" s="1">
        <v>291549</v>
      </c>
    </row>
    <row r="280" spans="1:7" x14ac:dyDescent="0.35">
      <c r="A280" s="1" t="str">
        <f t="shared" si="4"/>
        <v>09 BPA 2</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3537</v>
      </c>
      <c r="D280" s="1" t="s">
        <v>3538</v>
      </c>
      <c r="E280" s="1" t="s">
        <v>3539</v>
      </c>
      <c r="F280" s="1" t="s">
        <v>112</v>
      </c>
      <c r="G280" s="1">
        <v>399115</v>
      </c>
    </row>
    <row r="281" spans="1:7" x14ac:dyDescent="0.35">
      <c r="A281" s="1" t="str">
        <f t="shared" si="4"/>
        <v>09 BPA 2</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3540</v>
      </c>
    </row>
    <row r="282" spans="1:7" x14ac:dyDescent="0.35">
      <c r="A282" s="1" t="str">
        <f t="shared" si="4"/>
        <v>09 BPA 2</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3541</v>
      </c>
      <c r="D282" s="1" t="s">
        <v>236</v>
      </c>
      <c r="E282" s="1" t="s">
        <v>3542</v>
      </c>
      <c r="F282" s="1" t="s">
        <v>112</v>
      </c>
      <c r="G282" s="1">
        <v>22106</v>
      </c>
    </row>
    <row r="283" spans="1:7" x14ac:dyDescent="0.35">
      <c r="A283" s="1" t="str">
        <f t="shared" si="4"/>
        <v>09 BPA 2</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3543</v>
      </c>
      <c r="D283" s="1" t="s">
        <v>721</v>
      </c>
      <c r="E283" s="1" t="s">
        <v>3544</v>
      </c>
      <c r="F283" s="1" t="s">
        <v>112</v>
      </c>
      <c r="G283" s="1">
        <v>84465</v>
      </c>
    </row>
    <row r="284" spans="1:7" x14ac:dyDescent="0.35">
      <c r="A284" s="1" t="str">
        <f t="shared" si="4"/>
        <v>09 BPA 2</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3545</v>
      </c>
      <c r="D284" s="1" t="s">
        <v>672</v>
      </c>
      <c r="E284" s="1" t="s">
        <v>3546</v>
      </c>
      <c r="F284" s="1" t="s">
        <v>112</v>
      </c>
      <c r="G284" s="1">
        <v>23036</v>
      </c>
    </row>
    <row r="285" spans="1:7" x14ac:dyDescent="0.35">
      <c r="A285" s="1" t="str">
        <f t="shared" si="4"/>
        <v>09 BPA 2</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3547</v>
      </c>
      <c r="D285" s="1" t="s">
        <v>194</v>
      </c>
      <c r="E285" s="1" t="s">
        <v>3548</v>
      </c>
      <c r="F285" s="1" t="s">
        <v>112</v>
      </c>
      <c r="G285" s="1">
        <v>98567</v>
      </c>
    </row>
    <row r="286" spans="1:7" x14ac:dyDescent="0.35">
      <c r="A286" s="1" t="str">
        <f t="shared" si="4"/>
        <v>09 BPA 2</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3549</v>
      </c>
      <c r="D286" s="1" t="s">
        <v>211</v>
      </c>
      <c r="E286" s="1" t="s">
        <v>3550</v>
      </c>
      <c r="F286" s="1" t="s">
        <v>112</v>
      </c>
      <c r="G286" s="1">
        <v>38371</v>
      </c>
    </row>
    <row r="287" spans="1:7" x14ac:dyDescent="0.35">
      <c r="A287" s="1" t="str">
        <f t="shared" si="4"/>
        <v>09 BPA 2</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3551</v>
      </c>
      <c r="D287" s="1" t="s">
        <v>762</v>
      </c>
      <c r="E287" s="1" t="s">
        <v>3552</v>
      </c>
      <c r="F287" s="1" t="s">
        <v>112</v>
      </c>
      <c r="G287" s="1">
        <v>77132</v>
      </c>
    </row>
    <row r="288" spans="1:7" x14ac:dyDescent="0.35">
      <c r="A288" s="1" t="str">
        <f t="shared" si="4"/>
        <v>09 BPA 2</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3553</v>
      </c>
      <c r="D288" s="1" t="s">
        <v>3554</v>
      </c>
      <c r="E288" s="1" t="s">
        <v>3555</v>
      </c>
      <c r="F288" s="1" t="s">
        <v>112</v>
      </c>
      <c r="G288" s="1">
        <v>253546</v>
      </c>
    </row>
    <row r="289" spans="1:9" x14ac:dyDescent="0.35">
      <c r="A289" s="1" t="str">
        <f t="shared" si="4"/>
        <v>09 BPA 2</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3556</v>
      </c>
      <c r="D289" s="1" t="s">
        <v>182</v>
      </c>
      <c r="E289" s="1" t="s">
        <v>3557</v>
      </c>
      <c r="F289" s="1" t="s">
        <v>112</v>
      </c>
      <c r="G289" s="1">
        <v>43065</v>
      </c>
    </row>
    <row r="290" spans="1:9"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9"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241</v>
      </c>
      <c r="D291" s="1" t="s">
        <v>112</v>
      </c>
      <c r="E291" s="1" t="s">
        <v>242</v>
      </c>
      <c r="F291" s="1" t="s">
        <v>243</v>
      </c>
      <c r="G291" s="1" t="s">
        <v>244</v>
      </c>
      <c r="H291" s="1" t="s">
        <v>245</v>
      </c>
      <c r="I291" s="1" t="s">
        <v>246</v>
      </c>
    </row>
    <row r="292" spans="1:9" x14ac:dyDescent="0.35">
      <c r="A292" s="1" t="str">
        <f t="shared" si="4"/>
        <v>09 BPA 2</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3558</v>
      </c>
      <c r="D292" s="1" t="s">
        <v>112</v>
      </c>
      <c r="E292" s="1" t="s">
        <v>3559</v>
      </c>
      <c r="F292" s="1" t="s">
        <v>3560</v>
      </c>
      <c r="G292" s="1" t="s">
        <v>3561</v>
      </c>
      <c r="H292" s="1" t="s">
        <v>3562</v>
      </c>
      <c r="I292" s="1">
        <v>24</v>
      </c>
    </row>
    <row r="293" spans="1:9"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9"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9"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9"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9"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9"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252</v>
      </c>
      <c r="D298" s="1" t="s">
        <v>110</v>
      </c>
      <c r="E298" s="1" t="s">
        <v>111</v>
      </c>
      <c r="F298" s="1" t="s">
        <v>112</v>
      </c>
      <c r="G298" s="1" t="s">
        <v>113</v>
      </c>
    </row>
    <row r="299" spans="1:9" x14ac:dyDescent="0.35">
      <c r="A299" s="1" t="str">
        <f t="shared" si="4"/>
        <v>10  BPA 3</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3563</v>
      </c>
      <c r="D299" s="1" t="s">
        <v>771</v>
      </c>
      <c r="E299" s="1" t="s">
        <v>3564</v>
      </c>
      <c r="F299" s="1" t="s">
        <v>112</v>
      </c>
      <c r="G299" s="1">
        <v>439757</v>
      </c>
    </row>
    <row r="300" spans="1:9" x14ac:dyDescent="0.35">
      <c r="A300" s="1" t="str">
        <f t="shared" si="4"/>
        <v>10  BPA 3</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3565</v>
      </c>
      <c r="D300" s="1" t="s">
        <v>662</v>
      </c>
      <c r="E300" s="1" t="s">
        <v>3566</v>
      </c>
      <c r="F300" s="1" t="s">
        <v>112</v>
      </c>
      <c r="G300" s="1">
        <v>69670</v>
      </c>
    </row>
    <row r="301" spans="1:9" x14ac:dyDescent="0.35">
      <c r="A301" s="1" t="str">
        <f t="shared" si="4"/>
        <v>10  BPA 3</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3567</v>
      </c>
    </row>
    <row r="302" spans="1:9" x14ac:dyDescent="0.35">
      <c r="A302" s="1" t="str">
        <f t="shared" si="4"/>
        <v>10  BPA 3</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3568</v>
      </c>
      <c r="D302" s="1" t="s">
        <v>864</v>
      </c>
      <c r="E302" s="1" t="s">
        <v>3569</v>
      </c>
      <c r="F302" s="1" t="s">
        <v>112</v>
      </c>
      <c r="G302" s="1">
        <v>380946</v>
      </c>
    </row>
    <row r="303" spans="1:9" x14ac:dyDescent="0.35">
      <c r="A303" s="1" t="str">
        <f t="shared" si="4"/>
        <v>10  BPA 3</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3570</v>
      </c>
      <c r="D303" s="1" t="s">
        <v>3571</v>
      </c>
      <c r="E303" s="1" t="s">
        <v>3572</v>
      </c>
      <c r="F303" s="1" t="s">
        <v>112</v>
      </c>
      <c r="G303" s="1">
        <v>306950</v>
      </c>
    </row>
    <row r="304" spans="1:9" x14ac:dyDescent="0.35">
      <c r="A304" s="1" t="str">
        <f t="shared" si="4"/>
        <v>10  BPA 3</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3573</v>
      </c>
      <c r="D304" s="1" t="s">
        <v>1871</v>
      </c>
      <c r="E304" s="1" t="s">
        <v>3574</v>
      </c>
      <c r="F304" s="1" t="s">
        <v>112</v>
      </c>
      <c r="G304" s="1">
        <v>345949</v>
      </c>
    </row>
    <row r="305" spans="1:7" x14ac:dyDescent="0.35">
      <c r="A305" s="1" t="str">
        <f t="shared" si="4"/>
        <v>10  BPA 3</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3575</v>
      </c>
      <c r="D305" s="1" t="s">
        <v>1053</v>
      </c>
      <c r="E305" s="1" t="s">
        <v>228</v>
      </c>
      <c r="F305" s="1" t="s">
        <v>112</v>
      </c>
      <c r="G305" s="1">
        <v>41313</v>
      </c>
    </row>
    <row r="306" spans="1:7" x14ac:dyDescent="0.35">
      <c r="A306" s="1" t="str">
        <f t="shared" si="4"/>
        <v>10  BPA 3</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3576</v>
      </c>
      <c r="D306" s="1" t="s">
        <v>220</v>
      </c>
      <c r="E306" s="1" t="s">
        <v>3577</v>
      </c>
      <c r="F306" s="1" t="s">
        <v>112</v>
      </c>
      <c r="G306" s="1">
        <v>15184</v>
      </c>
    </row>
    <row r="307" spans="1:7" x14ac:dyDescent="0.35">
      <c r="A307" s="1" t="str">
        <f t="shared" si="4"/>
        <v>10  BPA 3</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3578</v>
      </c>
      <c r="D307" s="1" t="s">
        <v>1772</v>
      </c>
      <c r="E307" s="1" t="s">
        <v>3579</v>
      </c>
      <c r="F307" s="1" t="s">
        <v>112</v>
      </c>
      <c r="G307" s="1">
        <v>11031</v>
      </c>
    </row>
    <row r="308" spans="1:7" x14ac:dyDescent="0.35">
      <c r="A308" s="1" t="str">
        <f t="shared" si="4"/>
        <v>10  BPA 3</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3580</v>
      </c>
      <c r="D308" s="1" t="s">
        <v>3581</v>
      </c>
      <c r="E308" s="1" t="s">
        <v>3582</v>
      </c>
      <c r="F308" s="1" t="s">
        <v>112</v>
      </c>
      <c r="G308" s="1">
        <v>1964449</v>
      </c>
    </row>
    <row r="309" spans="1:7" x14ac:dyDescent="0.35">
      <c r="A309" s="1" t="str">
        <f t="shared" si="4"/>
        <v>10  BPA 3</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3583</v>
      </c>
      <c r="D309" s="1" t="s">
        <v>3584</v>
      </c>
      <c r="E309" s="1" t="s">
        <v>3585</v>
      </c>
      <c r="F309" s="1" t="s">
        <v>112</v>
      </c>
      <c r="G309" s="1">
        <v>2096283</v>
      </c>
    </row>
    <row r="310" spans="1:7" x14ac:dyDescent="0.35">
      <c r="A310" s="1" t="str">
        <f t="shared" si="4"/>
        <v>10  BPA 3</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3586</v>
      </c>
      <c r="D310" s="1" t="s">
        <v>3587</v>
      </c>
      <c r="E310" s="1" t="s">
        <v>3588</v>
      </c>
      <c r="F310" s="1" t="s">
        <v>112</v>
      </c>
      <c r="G310" s="1">
        <v>1777177</v>
      </c>
    </row>
    <row r="311" spans="1:7" x14ac:dyDescent="0.35">
      <c r="A311" s="1" t="str">
        <f t="shared" si="4"/>
        <v>10  BPA 3</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3589</v>
      </c>
      <c r="D311" s="1" t="s">
        <v>3590</v>
      </c>
      <c r="E311" s="1" t="s">
        <v>3591</v>
      </c>
      <c r="F311" s="1" t="s">
        <v>112</v>
      </c>
      <c r="G311" s="1">
        <v>171114</v>
      </c>
    </row>
    <row r="312" spans="1:7" x14ac:dyDescent="0.35">
      <c r="A312" s="1" t="str">
        <f t="shared" si="4"/>
        <v>10  BPA 3</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3592</v>
      </c>
      <c r="D312" s="1" t="s">
        <v>768</v>
      </c>
      <c r="E312" s="1" t="s">
        <v>3593</v>
      </c>
      <c r="F312" s="1" t="s">
        <v>112</v>
      </c>
      <c r="G312" s="1">
        <v>100709</v>
      </c>
    </row>
    <row r="313" spans="1:7" x14ac:dyDescent="0.35">
      <c r="A313" s="1" t="str">
        <f t="shared" si="4"/>
        <v>10  BPA 3</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3594</v>
      </c>
      <c r="D313" s="1" t="s">
        <v>3595</v>
      </c>
      <c r="E313" s="1" t="s">
        <v>3596</v>
      </c>
      <c r="F313" s="1" t="s">
        <v>112</v>
      </c>
      <c r="G313" s="1">
        <v>194885</v>
      </c>
    </row>
    <row r="314" spans="1:7" x14ac:dyDescent="0.35">
      <c r="A314" s="1" t="str">
        <f t="shared" si="4"/>
        <v>10  BPA 3</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3597</v>
      </c>
      <c r="D314" s="1" t="s">
        <v>236</v>
      </c>
      <c r="E314" s="1" t="s">
        <v>3500</v>
      </c>
      <c r="F314" s="1" t="s">
        <v>112</v>
      </c>
      <c r="G314" s="1">
        <v>21673</v>
      </c>
    </row>
    <row r="315" spans="1:7" x14ac:dyDescent="0.35">
      <c r="A315" s="1" t="str">
        <f t="shared" si="4"/>
        <v>10  BPA 3</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3598</v>
      </c>
      <c r="D315" s="1" t="s">
        <v>344</v>
      </c>
      <c r="E315" s="1" t="s">
        <v>374</v>
      </c>
      <c r="F315" s="1" t="s">
        <v>112</v>
      </c>
      <c r="G315" s="1">
        <v>87363</v>
      </c>
    </row>
    <row r="316" spans="1:7" x14ac:dyDescent="0.35">
      <c r="A316" s="1" t="str">
        <f t="shared" si="4"/>
        <v>10  BPA 3</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3599</v>
      </c>
      <c r="D316" s="1" t="s">
        <v>3600</v>
      </c>
      <c r="E316" s="1" t="s">
        <v>3601</v>
      </c>
      <c r="F316" s="1" t="s">
        <v>112</v>
      </c>
      <c r="G316" s="1">
        <v>129801</v>
      </c>
    </row>
    <row r="317" spans="1:7" x14ac:dyDescent="0.35">
      <c r="A317" s="1" t="str">
        <f t="shared" si="4"/>
        <v>10  BPA 3</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3602</v>
      </c>
      <c r="D317" s="1" t="s">
        <v>3603</v>
      </c>
      <c r="E317" s="1" t="s">
        <v>3604</v>
      </c>
      <c r="F317" s="1" t="s">
        <v>112</v>
      </c>
      <c r="G317" s="1">
        <v>731415</v>
      </c>
    </row>
    <row r="318" spans="1:7" x14ac:dyDescent="0.35">
      <c r="A318" s="1" t="str">
        <f t="shared" si="4"/>
        <v>10  BPA 3</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3605</v>
      </c>
    </row>
    <row r="319" spans="1:7" x14ac:dyDescent="0.35">
      <c r="A319" s="1" t="str">
        <f t="shared" si="4"/>
        <v>10  BPA 3</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3606</v>
      </c>
    </row>
    <row r="320" spans="1:7" x14ac:dyDescent="0.35">
      <c r="A320" s="1" t="str">
        <f t="shared" si="4"/>
        <v>10  BPA 3</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3607</v>
      </c>
      <c r="D320" s="1" t="s">
        <v>3608</v>
      </c>
      <c r="E320" s="1" t="s">
        <v>3609</v>
      </c>
      <c r="F320" s="1" t="s">
        <v>112</v>
      </c>
      <c r="G320" s="1">
        <v>1311831</v>
      </c>
    </row>
    <row r="321" spans="1:9" x14ac:dyDescent="0.35">
      <c r="A321" s="1" t="str">
        <f t="shared" si="4"/>
        <v>10  BPA 3</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3610</v>
      </c>
      <c r="D321" s="1" t="s">
        <v>1075</v>
      </c>
      <c r="E321" s="1" t="s">
        <v>3611</v>
      </c>
      <c r="F321" s="1" t="s">
        <v>112</v>
      </c>
      <c r="G321" s="1">
        <v>1406895</v>
      </c>
    </row>
    <row r="322" spans="1:9" x14ac:dyDescent="0.35">
      <c r="A322" s="1" t="str">
        <f t="shared" ref="A322:A385" si="5">IFERROR(LEFT(RIGHT(C322,LEN(C322)-SEARCH("@",C322)),SEARCH("/",RIGHT(C322,LEN(C322)-SEARCH("@",C322)-1))),"")</f>
        <v>10  BPA 3</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3612</v>
      </c>
      <c r="D322" s="1" t="s">
        <v>3613</v>
      </c>
      <c r="E322" s="1" t="s">
        <v>3614</v>
      </c>
      <c r="F322" s="1" t="s">
        <v>112</v>
      </c>
      <c r="G322" s="1">
        <v>1435944</v>
      </c>
    </row>
    <row r="323" spans="1:9"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9"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241</v>
      </c>
      <c r="D324" s="1" t="s">
        <v>112</v>
      </c>
      <c r="E324" s="1" t="s">
        <v>242</v>
      </c>
      <c r="F324" s="1" t="s">
        <v>243</v>
      </c>
      <c r="G324" s="1" t="s">
        <v>244</v>
      </c>
      <c r="H324" s="1" t="s">
        <v>245</v>
      </c>
      <c r="I324" s="1" t="s">
        <v>246</v>
      </c>
    </row>
    <row r="325" spans="1:9" x14ac:dyDescent="0.35">
      <c r="A325" s="1" t="str">
        <f t="shared" si="5"/>
        <v>10  BPA 3</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3615</v>
      </c>
      <c r="D325" s="1" t="s">
        <v>112</v>
      </c>
      <c r="E325" s="1" t="s">
        <v>3616</v>
      </c>
      <c r="F325" s="1" t="s">
        <v>3617</v>
      </c>
      <c r="G325" s="1" t="s">
        <v>3618</v>
      </c>
      <c r="H325" s="1" t="s">
        <v>3619</v>
      </c>
      <c r="I325" s="1">
        <v>24</v>
      </c>
    </row>
    <row r="326" spans="1:9"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9"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9"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9"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9"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9"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252</v>
      </c>
      <c r="D331" s="1" t="s">
        <v>110</v>
      </c>
      <c r="E331" s="1" t="s">
        <v>111</v>
      </c>
      <c r="F331" s="1" t="s">
        <v>112</v>
      </c>
      <c r="G331" s="1" t="s">
        <v>113</v>
      </c>
    </row>
    <row r="332" spans="1:9" x14ac:dyDescent="0.35">
      <c r="A332" s="1" t="str">
        <f t="shared" si="5"/>
        <v>11 BPA 4</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3620</v>
      </c>
      <c r="D332" s="1" t="s">
        <v>319</v>
      </c>
      <c r="E332" s="1" t="s">
        <v>3621</v>
      </c>
      <c r="F332" s="1" t="s">
        <v>112</v>
      </c>
      <c r="G332" s="1">
        <v>562010</v>
      </c>
    </row>
    <row r="333" spans="1:9" x14ac:dyDescent="0.35">
      <c r="A333" s="1" t="str">
        <f t="shared" si="5"/>
        <v>11 BPA 4</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3622</v>
      </c>
      <c r="D333" s="1" t="s">
        <v>347</v>
      </c>
      <c r="E333" s="1" t="s">
        <v>3623</v>
      </c>
      <c r="F333" s="1" t="s">
        <v>112</v>
      </c>
      <c r="G333" s="1">
        <v>155238</v>
      </c>
    </row>
    <row r="334" spans="1:9" x14ac:dyDescent="0.35">
      <c r="A334" s="1" t="str">
        <f t="shared" si="5"/>
        <v>11 BPA 4</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3624</v>
      </c>
      <c r="D334" s="1" t="s">
        <v>3473</v>
      </c>
      <c r="E334" s="1" t="s">
        <v>234</v>
      </c>
      <c r="F334" s="1" t="s">
        <v>112</v>
      </c>
      <c r="G334" s="1">
        <v>32877</v>
      </c>
    </row>
    <row r="335" spans="1:9" x14ac:dyDescent="0.35">
      <c r="A335" s="1" t="str">
        <f t="shared" si="5"/>
        <v>11 BPA 4</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3625</v>
      </c>
      <c r="D335" s="1" t="s">
        <v>3626</v>
      </c>
      <c r="E335" s="1" t="s">
        <v>3627</v>
      </c>
      <c r="F335" s="1" t="s">
        <v>112</v>
      </c>
      <c r="G335" s="1">
        <v>650389</v>
      </c>
    </row>
    <row r="336" spans="1:9" x14ac:dyDescent="0.35">
      <c r="A336" s="1" t="str">
        <f t="shared" si="5"/>
        <v>11 BPA 4</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3628</v>
      </c>
      <c r="D336" s="1" t="s">
        <v>3629</v>
      </c>
      <c r="E336" s="1" t="s">
        <v>3630</v>
      </c>
      <c r="F336" s="1" t="s">
        <v>112</v>
      </c>
      <c r="G336" s="1">
        <v>481979</v>
      </c>
    </row>
    <row r="337" spans="1:7" x14ac:dyDescent="0.35">
      <c r="A337" s="1" t="str">
        <f t="shared" si="5"/>
        <v>11 BPA 4</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3631</v>
      </c>
      <c r="D337" s="1" t="s">
        <v>3632</v>
      </c>
      <c r="E337" s="1" t="s">
        <v>3633</v>
      </c>
      <c r="F337" s="1" t="s">
        <v>112</v>
      </c>
      <c r="G337" s="1">
        <v>386634</v>
      </c>
    </row>
    <row r="338" spans="1:7" x14ac:dyDescent="0.35">
      <c r="A338" s="1" t="str">
        <f t="shared" si="5"/>
        <v>11 BPA 4</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3634</v>
      </c>
      <c r="D338" s="1" t="s">
        <v>3635</v>
      </c>
      <c r="E338" s="1" t="s">
        <v>3636</v>
      </c>
      <c r="F338" s="1" t="s">
        <v>112</v>
      </c>
      <c r="G338" s="1">
        <v>1965465</v>
      </c>
    </row>
    <row r="339" spans="1:7" x14ac:dyDescent="0.35">
      <c r="A339" s="1" t="str">
        <f t="shared" si="5"/>
        <v>11 BPA 4</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3637</v>
      </c>
      <c r="D339" s="1" t="s">
        <v>3638</v>
      </c>
      <c r="E339" s="1" t="s">
        <v>3639</v>
      </c>
      <c r="F339" s="1" t="s">
        <v>112</v>
      </c>
      <c r="G339" s="1">
        <v>1798245</v>
      </c>
    </row>
    <row r="340" spans="1:7" x14ac:dyDescent="0.35">
      <c r="A340" s="1" t="str">
        <f t="shared" si="5"/>
        <v>11 BPA 4</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3640</v>
      </c>
      <c r="D340" s="1" t="s">
        <v>3641</v>
      </c>
      <c r="E340" s="1" t="s">
        <v>3642</v>
      </c>
      <c r="F340" s="1" t="s">
        <v>112</v>
      </c>
      <c r="G340" s="1">
        <v>1749880</v>
      </c>
    </row>
    <row r="341" spans="1:7" x14ac:dyDescent="0.35">
      <c r="A341" s="1" t="str">
        <f t="shared" si="5"/>
        <v>11 BPA 4</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3643</v>
      </c>
      <c r="D341" s="1" t="s">
        <v>3644</v>
      </c>
      <c r="E341" s="1" t="s">
        <v>3645</v>
      </c>
      <c r="F341" s="1" t="s">
        <v>112</v>
      </c>
      <c r="G341" s="1">
        <v>3049902</v>
      </c>
    </row>
    <row r="342" spans="1:7" x14ac:dyDescent="0.35">
      <c r="A342" s="1" t="str">
        <f t="shared" si="5"/>
        <v>11 BPA 4</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3646</v>
      </c>
    </row>
    <row r="343" spans="1:7" x14ac:dyDescent="0.35">
      <c r="A343" s="1" t="str">
        <f t="shared" si="5"/>
        <v>11 BPA 4</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3647</v>
      </c>
      <c r="D343" s="1" t="s">
        <v>2828</v>
      </c>
      <c r="E343" s="1" t="s">
        <v>3648</v>
      </c>
      <c r="F343" s="1" t="s">
        <v>112</v>
      </c>
      <c r="G343" s="1">
        <v>3381293</v>
      </c>
    </row>
    <row r="344" spans="1:7" x14ac:dyDescent="0.35">
      <c r="A344" s="1" t="str">
        <f t="shared" si="5"/>
        <v>11 BPA 4</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3649</v>
      </c>
      <c r="D344" s="1" t="s">
        <v>3650</v>
      </c>
      <c r="E344" s="1" t="s">
        <v>3651</v>
      </c>
      <c r="F344" s="1" t="s">
        <v>112</v>
      </c>
      <c r="G344" s="1">
        <v>2354803</v>
      </c>
    </row>
    <row r="345" spans="1:7" x14ac:dyDescent="0.35">
      <c r="A345" s="1" t="str">
        <f t="shared" si="5"/>
        <v>11 BPA 4</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3652</v>
      </c>
      <c r="D345" s="1" t="s">
        <v>3653</v>
      </c>
      <c r="E345" s="1" t="s">
        <v>3654</v>
      </c>
      <c r="F345" s="1" t="s">
        <v>112</v>
      </c>
      <c r="G345" s="1">
        <v>2276546</v>
      </c>
    </row>
    <row r="346" spans="1:7" x14ac:dyDescent="0.35">
      <c r="A346" s="1" t="str">
        <f t="shared" si="5"/>
        <v>11 BPA 4</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3655</v>
      </c>
      <c r="D346" s="1" t="s">
        <v>3656</v>
      </c>
      <c r="E346" s="1" t="s">
        <v>3657</v>
      </c>
      <c r="F346" s="1" t="s">
        <v>112</v>
      </c>
      <c r="G346" s="1">
        <v>1481648</v>
      </c>
    </row>
    <row r="347" spans="1:7" x14ac:dyDescent="0.35">
      <c r="A347" s="1" t="str">
        <f t="shared" si="5"/>
        <v>11 BPA 4</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3658</v>
      </c>
      <c r="D347" s="1" t="s">
        <v>1040</v>
      </c>
      <c r="E347" s="1" t="s">
        <v>3659</v>
      </c>
      <c r="F347" s="1" t="s">
        <v>112</v>
      </c>
      <c r="G347" s="1">
        <v>3748612</v>
      </c>
    </row>
    <row r="348" spans="1:7" x14ac:dyDescent="0.35">
      <c r="A348" s="1" t="str">
        <f t="shared" si="5"/>
        <v>11 BPA 4</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3660</v>
      </c>
      <c r="D348" s="1" t="s">
        <v>3661</v>
      </c>
      <c r="E348" s="1" t="s">
        <v>3662</v>
      </c>
      <c r="F348" s="1" t="s">
        <v>112</v>
      </c>
      <c r="G348" s="1">
        <v>3358755</v>
      </c>
    </row>
    <row r="349" spans="1:7" x14ac:dyDescent="0.35">
      <c r="A349" s="1" t="str">
        <f t="shared" si="5"/>
        <v>11 BPA 4</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3663</v>
      </c>
      <c r="D349" s="1" t="s">
        <v>3664</v>
      </c>
      <c r="E349" s="1" t="s">
        <v>3665</v>
      </c>
      <c r="F349" s="1" t="s">
        <v>112</v>
      </c>
      <c r="G349" s="1">
        <v>3874952</v>
      </c>
    </row>
    <row r="350" spans="1:7" x14ac:dyDescent="0.35">
      <c r="A350" s="1" t="str">
        <f t="shared" si="5"/>
        <v>11 BPA 4</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3666</v>
      </c>
      <c r="D350" s="1" t="s">
        <v>3667</v>
      </c>
      <c r="E350" s="1" t="s">
        <v>3668</v>
      </c>
      <c r="F350" s="1" t="s">
        <v>112</v>
      </c>
      <c r="G350" s="1">
        <v>1425086</v>
      </c>
    </row>
    <row r="351" spans="1:7" x14ac:dyDescent="0.35">
      <c r="A351" s="1" t="str">
        <f t="shared" si="5"/>
        <v>11 BPA 4</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3669</v>
      </c>
      <c r="D351" s="1" t="s">
        <v>1399</v>
      </c>
      <c r="E351" s="1" t="s">
        <v>3670</v>
      </c>
      <c r="F351" s="1" t="s">
        <v>112</v>
      </c>
      <c r="G351" s="1">
        <v>1022878</v>
      </c>
    </row>
    <row r="352" spans="1:7" x14ac:dyDescent="0.35">
      <c r="A352" s="1" t="str">
        <f t="shared" si="5"/>
        <v>11 BPA 4</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3671</v>
      </c>
      <c r="D352" s="1" t="s">
        <v>3672</v>
      </c>
      <c r="E352" s="1" t="s">
        <v>3673</v>
      </c>
      <c r="F352" s="1" t="s">
        <v>112</v>
      </c>
      <c r="G352" s="1">
        <v>507783</v>
      </c>
    </row>
    <row r="353" spans="1:9" x14ac:dyDescent="0.35">
      <c r="A353" s="1" t="str">
        <f t="shared" si="5"/>
        <v>11 BPA 4</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3674</v>
      </c>
      <c r="D353" s="1" t="s">
        <v>257</v>
      </c>
      <c r="E353" s="1" t="s">
        <v>3675</v>
      </c>
      <c r="F353" s="1" t="s">
        <v>112</v>
      </c>
      <c r="G353" s="1">
        <v>143125</v>
      </c>
    </row>
    <row r="354" spans="1:9" x14ac:dyDescent="0.35">
      <c r="A354" s="1" t="str">
        <f t="shared" si="5"/>
        <v>11 BPA 4</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3676</v>
      </c>
      <c r="D354" s="1" t="s">
        <v>302</v>
      </c>
      <c r="E354" s="1" t="s">
        <v>3677</v>
      </c>
      <c r="F354" s="1" t="s">
        <v>112</v>
      </c>
      <c r="G354" s="1">
        <v>254108</v>
      </c>
    </row>
    <row r="355" spans="1:9" x14ac:dyDescent="0.35">
      <c r="A355" s="1" t="str">
        <f t="shared" si="5"/>
        <v>11 BPA 4</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3678</v>
      </c>
      <c r="D355" s="1" t="s">
        <v>3679</v>
      </c>
      <c r="E355" s="1" t="s">
        <v>3680</v>
      </c>
      <c r="F355" s="1" t="s">
        <v>112</v>
      </c>
      <c r="G355" s="1">
        <v>148619</v>
      </c>
    </row>
    <row r="356" spans="1:9"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9"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241</v>
      </c>
      <c r="D357" s="1" t="s">
        <v>112</v>
      </c>
      <c r="E357" s="1" t="s">
        <v>242</v>
      </c>
      <c r="F357" s="1" t="s">
        <v>243</v>
      </c>
      <c r="G357" s="1" t="s">
        <v>244</v>
      </c>
      <c r="H357" s="1" t="s">
        <v>245</v>
      </c>
      <c r="I357" s="1" t="s">
        <v>246</v>
      </c>
    </row>
    <row r="358" spans="1:9" x14ac:dyDescent="0.35">
      <c r="A358" s="1" t="str">
        <f t="shared" si="5"/>
        <v>11 BPA 4</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3681</v>
      </c>
      <c r="D358" s="1" t="s">
        <v>112</v>
      </c>
      <c r="E358" s="1" t="s">
        <v>3682</v>
      </c>
      <c r="F358" s="1" t="s">
        <v>3683</v>
      </c>
      <c r="G358" s="1" t="s">
        <v>3684</v>
      </c>
      <c r="H358" s="1" t="s">
        <v>3685</v>
      </c>
      <c r="I358" s="1">
        <v>24</v>
      </c>
    </row>
    <row r="359" spans="1:9"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9"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9"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9"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9"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9"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252</v>
      </c>
      <c r="D364" s="1" t="s">
        <v>110</v>
      </c>
      <c r="E364" s="1" t="s">
        <v>111</v>
      </c>
      <c r="F364" s="1" t="s">
        <v>112</v>
      </c>
      <c r="G364" s="1" t="s">
        <v>113</v>
      </c>
    </row>
    <row r="365" spans="1:9" x14ac:dyDescent="0.35">
      <c r="A365" s="1" t="str">
        <f t="shared" si="5"/>
        <v>12  BPA 5</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3686</v>
      </c>
    </row>
    <row r="366" spans="1:9" x14ac:dyDescent="0.35">
      <c r="A366" s="1" t="str">
        <f t="shared" si="5"/>
        <v>12  BPA 5</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3687</v>
      </c>
      <c r="D366" s="1" t="s">
        <v>3688</v>
      </c>
      <c r="E366" s="1" t="s">
        <v>3689</v>
      </c>
      <c r="F366" s="1" t="s">
        <v>112</v>
      </c>
      <c r="G366" s="1">
        <v>1345379</v>
      </c>
    </row>
    <row r="367" spans="1:9" x14ac:dyDescent="0.35">
      <c r="A367" s="1" t="str">
        <f t="shared" si="5"/>
        <v>12  BPA 5</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3690</v>
      </c>
      <c r="D367" s="1" t="s">
        <v>3691</v>
      </c>
      <c r="E367" s="1" t="s">
        <v>3692</v>
      </c>
      <c r="F367" s="1" t="s">
        <v>112</v>
      </c>
      <c r="G367" s="1">
        <v>2585789</v>
      </c>
    </row>
    <row r="368" spans="1:9" x14ac:dyDescent="0.35">
      <c r="A368" s="1" t="str">
        <f t="shared" si="5"/>
        <v>12  BPA 5</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3693</v>
      </c>
    </row>
    <row r="369" spans="1:7" x14ac:dyDescent="0.35">
      <c r="A369" s="1" t="str">
        <f t="shared" si="5"/>
        <v>12  BPA 5</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3694</v>
      </c>
      <c r="D369" s="1" t="s">
        <v>3695</v>
      </c>
      <c r="E369" s="1" t="s">
        <v>3696</v>
      </c>
      <c r="F369" s="1" t="s">
        <v>112</v>
      </c>
      <c r="G369" s="1">
        <v>2783876</v>
      </c>
    </row>
    <row r="370" spans="1:7" x14ac:dyDescent="0.35">
      <c r="A370" s="1" t="str">
        <f t="shared" si="5"/>
        <v>12  BPA 5</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3697</v>
      </c>
      <c r="D370" s="1" t="s">
        <v>3698</v>
      </c>
      <c r="E370" s="1" t="s">
        <v>3699</v>
      </c>
      <c r="F370" s="1" t="s">
        <v>112</v>
      </c>
      <c r="G370" s="1">
        <v>3572026</v>
      </c>
    </row>
    <row r="371" spans="1:7" x14ac:dyDescent="0.35">
      <c r="A371" s="1" t="str">
        <f t="shared" si="5"/>
        <v>12  BPA 5</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3700</v>
      </c>
      <c r="D371" s="1" t="s">
        <v>3701</v>
      </c>
      <c r="E371" s="1" t="s">
        <v>3702</v>
      </c>
      <c r="F371" s="1" t="s">
        <v>112</v>
      </c>
      <c r="G371" s="1">
        <v>138323</v>
      </c>
    </row>
    <row r="372" spans="1:7" x14ac:dyDescent="0.35">
      <c r="A372" s="1" t="str">
        <f t="shared" si="5"/>
        <v>12  BPA 5</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3703</v>
      </c>
      <c r="D372" s="1" t="s">
        <v>3704</v>
      </c>
      <c r="E372" s="1" t="s">
        <v>3705</v>
      </c>
      <c r="F372" s="1" t="s">
        <v>112</v>
      </c>
      <c r="G372" s="1">
        <v>1155058</v>
      </c>
    </row>
    <row r="373" spans="1:7" x14ac:dyDescent="0.35">
      <c r="A373" s="1" t="str">
        <f t="shared" si="5"/>
        <v>12  BPA 5</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3706</v>
      </c>
      <c r="D373" s="1" t="s">
        <v>3707</v>
      </c>
      <c r="E373" s="1" t="s">
        <v>3708</v>
      </c>
      <c r="F373" s="1" t="s">
        <v>112</v>
      </c>
      <c r="G373" s="1">
        <v>1075438</v>
      </c>
    </row>
    <row r="374" spans="1:7" x14ac:dyDescent="0.35">
      <c r="A374" s="1" t="str">
        <f t="shared" si="5"/>
        <v>12  BPA 5</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3709</v>
      </c>
      <c r="D374" s="1" t="s">
        <v>3710</v>
      </c>
      <c r="E374" s="1" t="s">
        <v>3711</v>
      </c>
      <c r="F374" s="1" t="s">
        <v>112</v>
      </c>
      <c r="G374" s="1">
        <v>1403023</v>
      </c>
    </row>
    <row r="375" spans="1:7" x14ac:dyDescent="0.35">
      <c r="A375" s="1" t="str">
        <f t="shared" si="5"/>
        <v>12  BPA 5</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3712</v>
      </c>
      <c r="D375" s="1" t="s">
        <v>3713</v>
      </c>
      <c r="E375" s="1" t="s">
        <v>3714</v>
      </c>
      <c r="F375" s="1" t="s">
        <v>112</v>
      </c>
      <c r="G375" s="1">
        <v>740110</v>
      </c>
    </row>
    <row r="376" spans="1:7" x14ac:dyDescent="0.35">
      <c r="A376" s="1" t="str">
        <f t="shared" si="5"/>
        <v>12  BPA 5</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3715</v>
      </c>
      <c r="D376" s="1" t="s">
        <v>3716</v>
      </c>
      <c r="E376" s="1" t="s">
        <v>3717</v>
      </c>
      <c r="F376" s="1" t="s">
        <v>112</v>
      </c>
      <c r="G376" s="1">
        <v>1385525</v>
      </c>
    </row>
    <row r="377" spans="1:7" x14ac:dyDescent="0.35">
      <c r="A377" s="1" t="str">
        <f t="shared" si="5"/>
        <v>12  BPA 5</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3718</v>
      </c>
      <c r="D377" s="1" t="s">
        <v>3719</v>
      </c>
      <c r="E377" s="1" t="s">
        <v>3720</v>
      </c>
      <c r="F377" s="1" t="s">
        <v>112</v>
      </c>
      <c r="G377" s="1">
        <v>1005401</v>
      </c>
    </row>
    <row r="378" spans="1:7" x14ac:dyDescent="0.35">
      <c r="A378" s="1" t="str">
        <f t="shared" si="5"/>
        <v>12  BPA 5</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3721</v>
      </c>
      <c r="D378" s="1" t="s">
        <v>3722</v>
      </c>
      <c r="E378" s="1" t="s">
        <v>3723</v>
      </c>
      <c r="F378" s="1" t="s">
        <v>112</v>
      </c>
      <c r="G378" s="1">
        <v>924851</v>
      </c>
    </row>
    <row r="379" spans="1:7" x14ac:dyDescent="0.35">
      <c r="A379" s="1" t="str">
        <f t="shared" si="5"/>
        <v>12  BPA 5</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3724</v>
      </c>
      <c r="D379" s="1" t="s">
        <v>3719</v>
      </c>
      <c r="E379" s="1" t="s">
        <v>3725</v>
      </c>
      <c r="F379" s="1" t="s">
        <v>112</v>
      </c>
      <c r="G379" s="1">
        <v>1000858</v>
      </c>
    </row>
    <row r="380" spans="1:7" x14ac:dyDescent="0.35">
      <c r="A380" s="1" t="str">
        <f t="shared" si="5"/>
        <v>12  BPA 5</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3726</v>
      </c>
      <c r="D380" s="1" t="s">
        <v>3727</v>
      </c>
      <c r="E380" s="1" t="s">
        <v>3728</v>
      </c>
      <c r="F380" s="1" t="s">
        <v>112</v>
      </c>
      <c r="G380" s="1">
        <v>2490769</v>
      </c>
    </row>
    <row r="381" spans="1:7" x14ac:dyDescent="0.35">
      <c r="A381" s="1" t="str">
        <f t="shared" si="5"/>
        <v>12  BPA 5</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3729</v>
      </c>
      <c r="D381" s="1" t="s">
        <v>3730</v>
      </c>
      <c r="E381" s="1" t="s">
        <v>3731</v>
      </c>
      <c r="F381" s="1" t="s">
        <v>112</v>
      </c>
      <c r="G381" s="1">
        <v>1988566</v>
      </c>
    </row>
    <row r="382" spans="1:7" x14ac:dyDescent="0.35">
      <c r="A382" s="1" t="str">
        <f t="shared" si="5"/>
        <v>12  BPA 5</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3732</v>
      </c>
      <c r="D382" s="1" t="s">
        <v>3733</v>
      </c>
      <c r="E382" s="1" t="s">
        <v>3734</v>
      </c>
      <c r="F382" s="1" t="s">
        <v>112</v>
      </c>
      <c r="G382" s="1">
        <v>2285782</v>
      </c>
    </row>
    <row r="383" spans="1:7" x14ac:dyDescent="0.35">
      <c r="A383" s="1" t="str">
        <f t="shared" si="5"/>
        <v>12  BPA 5</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3735</v>
      </c>
      <c r="D383" s="1" t="s">
        <v>3736</v>
      </c>
      <c r="E383" s="1" t="s">
        <v>3737</v>
      </c>
      <c r="F383" s="1" t="s">
        <v>112</v>
      </c>
      <c r="G383" s="1">
        <v>3434200</v>
      </c>
    </row>
    <row r="384" spans="1:7" x14ac:dyDescent="0.35">
      <c r="A384" s="1" t="str">
        <f t="shared" si="5"/>
        <v>12  BPA 5</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3738</v>
      </c>
      <c r="D384" s="1" t="s">
        <v>2935</v>
      </c>
      <c r="E384" s="1" t="s">
        <v>3739</v>
      </c>
      <c r="F384" s="1" t="s">
        <v>112</v>
      </c>
      <c r="G384" s="1">
        <v>3441706</v>
      </c>
    </row>
    <row r="385" spans="1:9" x14ac:dyDescent="0.35">
      <c r="A385" s="1" t="str">
        <f t="shared" si="5"/>
        <v>12  BPA 5</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3740</v>
      </c>
      <c r="D385" s="1" t="s">
        <v>3741</v>
      </c>
      <c r="E385" s="1" t="s">
        <v>3742</v>
      </c>
      <c r="F385" s="1" t="s">
        <v>112</v>
      </c>
      <c r="G385" s="1">
        <v>2934852</v>
      </c>
    </row>
    <row r="386" spans="1:9" x14ac:dyDescent="0.35">
      <c r="A386" s="1" t="str">
        <f t="shared" ref="A386:A449" si="6">IFERROR(LEFT(RIGHT(C386,LEN(C386)-SEARCH("@",C386)),SEARCH("/",RIGHT(C386,LEN(C386)-SEARCH("@",C386)-1))),"")</f>
        <v>12  BPA 5</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3743</v>
      </c>
      <c r="D386" s="1" t="s">
        <v>3744</v>
      </c>
      <c r="E386" s="1" t="s">
        <v>3745</v>
      </c>
      <c r="F386" s="1" t="s">
        <v>112</v>
      </c>
      <c r="G386" s="1">
        <v>1582357</v>
      </c>
    </row>
    <row r="387" spans="1:9" x14ac:dyDescent="0.35">
      <c r="A387" s="1" t="str">
        <f t="shared" si="6"/>
        <v>12  BPA 5</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3746</v>
      </c>
      <c r="D387" s="1" t="s">
        <v>3747</v>
      </c>
      <c r="E387" s="1" t="s">
        <v>3748</v>
      </c>
      <c r="F387" s="1" t="s">
        <v>112</v>
      </c>
      <c r="G387" s="1">
        <v>1539162</v>
      </c>
    </row>
    <row r="388" spans="1:9" x14ac:dyDescent="0.35">
      <c r="A388" s="1" t="str">
        <f t="shared" si="6"/>
        <v>12  BPA 5</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3749</v>
      </c>
      <c r="D388" s="1" t="s">
        <v>3750</v>
      </c>
      <c r="E388" s="1" t="s">
        <v>3751</v>
      </c>
      <c r="F388" s="1" t="s">
        <v>112</v>
      </c>
      <c r="G388" s="1">
        <v>1558066</v>
      </c>
    </row>
    <row r="389" spans="1:9"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9"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241</v>
      </c>
      <c r="D390" s="1" t="s">
        <v>112</v>
      </c>
      <c r="E390" s="1" t="s">
        <v>242</v>
      </c>
      <c r="F390" s="1" t="s">
        <v>243</v>
      </c>
      <c r="G390" s="1" t="s">
        <v>244</v>
      </c>
      <c r="H390" s="1" t="s">
        <v>245</v>
      </c>
      <c r="I390" s="1" t="s">
        <v>246</v>
      </c>
    </row>
    <row r="391" spans="1:9" x14ac:dyDescent="0.35">
      <c r="A391" s="1" t="str">
        <f t="shared" si="6"/>
        <v>12  BPA 5</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3752</v>
      </c>
      <c r="D391" s="1" t="s">
        <v>112</v>
      </c>
      <c r="E391" s="1" t="s">
        <v>3753</v>
      </c>
      <c r="F391" s="1" t="s">
        <v>3754</v>
      </c>
      <c r="G391" s="1" t="s">
        <v>3755</v>
      </c>
      <c r="H391" s="1" t="s">
        <v>3756</v>
      </c>
      <c r="I391" s="1">
        <v>24</v>
      </c>
    </row>
    <row r="392" spans="1:9"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9"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9"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9"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9"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9"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252</v>
      </c>
      <c r="D397" s="1" t="s">
        <v>110</v>
      </c>
      <c r="E397" s="1" t="s">
        <v>111</v>
      </c>
      <c r="F397" s="1" t="s">
        <v>112</v>
      </c>
      <c r="G397" s="1" t="s">
        <v>113</v>
      </c>
    </row>
    <row r="398" spans="1:9" x14ac:dyDescent="0.35">
      <c r="A398" s="1" t="str">
        <f t="shared" si="6"/>
        <v>13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3757</v>
      </c>
      <c r="D398" s="1" t="s">
        <v>3758</v>
      </c>
      <c r="E398" s="1" t="s">
        <v>3759</v>
      </c>
      <c r="F398" s="1" t="s">
        <v>112</v>
      </c>
      <c r="G398" s="1">
        <v>2517092</v>
      </c>
    </row>
    <row r="399" spans="1:9" x14ac:dyDescent="0.35">
      <c r="A399" s="1" t="str">
        <f t="shared" si="6"/>
        <v>13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3760</v>
      </c>
      <c r="D399" s="1" t="s">
        <v>3761</v>
      </c>
      <c r="E399" s="1" t="s">
        <v>3762</v>
      </c>
      <c r="F399" s="1" t="s">
        <v>112</v>
      </c>
      <c r="G399" s="1">
        <v>2687255</v>
      </c>
    </row>
    <row r="400" spans="1:9" x14ac:dyDescent="0.35">
      <c r="A400" s="1" t="str">
        <f t="shared" si="6"/>
        <v>13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3763</v>
      </c>
      <c r="D400" s="1" t="s">
        <v>2373</v>
      </c>
      <c r="E400" s="1" t="s">
        <v>3764</v>
      </c>
      <c r="F400" s="1" t="s">
        <v>112</v>
      </c>
      <c r="G400" s="1">
        <v>3391935</v>
      </c>
    </row>
    <row r="401" spans="1:7" x14ac:dyDescent="0.35">
      <c r="A401" s="1" t="str">
        <f t="shared" si="6"/>
        <v>13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3765</v>
      </c>
      <c r="D401" s="1" t="s">
        <v>2627</v>
      </c>
      <c r="E401" s="1" t="s">
        <v>3766</v>
      </c>
      <c r="F401" s="1" t="s">
        <v>112</v>
      </c>
      <c r="G401" s="1">
        <v>281902</v>
      </c>
    </row>
    <row r="402" spans="1:7" x14ac:dyDescent="0.35">
      <c r="A402" s="1" t="str">
        <f t="shared" si="6"/>
        <v>13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3767</v>
      </c>
      <c r="D402" s="1" t="s">
        <v>768</v>
      </c>
      <c r="E402" s="1" t="s">
        <v>3768</v>
      </c>
      <c r="F402" s="1" t="s">
        <v>112</v>
      </c>
      <c r="G402" s="1">
        <v>100536</v>
      </c>
    </row>
    <row r="403" spans="1:7" x14ac:dyDescent="0.35">
      <c r="A403" s="1" t="str">
        <f t="shared" si="6"/>
        <v>13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3769</v>
      </c>
      <c r="D403" s="1" t="s">
        <v>3770</v>
      </c>
      <c r="E403" s="1" t="s">
        <v>3771</v>
      </c>
      <c r="F403" s="1" t="s">
        <v>112</v>
      </c>
      <c r="G403" s="1">
        <v>329012</v>
      </c>
    </row>
    <row r="404" spans="1:7" x14ac:dyDescent="0.35">
      <c r="A404" s="1" t="str">
        <f t="shared" si="6"/>
        <v>13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3772</v>
      </c>
      <c r="D404" s="1" t="s">
        <v>3773</v>
      </c>
      <c r="E404" s="1" t="s">
        <v>3774</v>
      </c>
      <c r="F404" s="1" t="s">
        <v>112</v>
      </c>
      <c r="G404" s="1">
        <v>616712</v>
      </c>
    </row>
    <row r="405" spans="1:7" x14ac:dyDescent="0.35">
      <c r="A405" s="1" t="str">
        <f t="shared" si="6"/>
        <v>13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3775</v>
      </c>
      <c r="D405" s="1" t="s">
        <v>3776</v>
      </c>
      <c r="E405" s="1" t="s">
        <v>3777</v>
      </c>
      <c r="F405" s="1" t="s">
        <v>112</v>
      </c>
      <c r="G405" s="1">
        <v>511677</v>
      </c>
    </row>
    <row r="406" spans="1:7" x14ac:dyDescent="0.35">
      <c r="A406" s="1" t="str">
        <f t="shared" si="6"/>
        <v>13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3778</v>
      </c>
      <c r="D406" s="1" t="s">
        <v>3779</v>
      </c>
      <c r="E406" s="1" t="s">
        <v>3780</v>
      </c>
      <c r="F406" s="1" t="s">
        <v>112</v>
      </c>
      <c r="G406" s="1">
        <v>428834</v>
      </c>
    </row>
    <row r="407" spans="1:7" x14ac:dyDescent="0.35">
      <c r="A407" s="1" t="str">
        <f t="shared" si="6"/>
        <v>13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3781</v>
      </c>
    </row>
    <row r="408" spans="1:7" x14ac:dyDescent="0.35">
      <c r="A408" s="1" t="str">
        <f t="shared" si="6"/>
        <v>13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3782</v>
      </c>
    </row>
    <row r="409" spans="1:7" x14ac:dyDescent="0.35">
      <c r="A409" s="1" t="str">
        <f t="shared" si="6"/>
        <v>13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3783</v>
      </c>
      <c r="D409" s="1" t="s">
        <v>3784</v>
      </c>
      <c r="E409" s="1" t="s">
        <v>3785</v>
      </c>
      <c r="F409" s="1" t="s">
        <v>112</v>
      </c>
      <c r="G409" s="1">
        <v>3036361</v>
      </c>
    </row>
    <row r="410" spans="1:7" x14ac:dyDescent="0.35">
      <c r="A410" s="1" t="str">
        <f t="shared" si="6"/>
        <v>13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3786</v>
      </c>
    </row>
    <row r="411" spans="1:7" x14ac:dyDescent="0.35">
      <c r="A411" s="1" t="str">
        <f t="shared" si="6"/>
        <v>13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3787</v>
      </c>
      <c r="D411" s="1" t="s">
        <v>3238</v>
      </c>
      <c r="E411" s="1" t="s">
        <v>3788</v>
      </c>
      <c r="F411" s="1" t="s">
        <v>112</v>
      </c>
      <c r="G411" s="1">
        <v>846053</v>
      </c>
    </row>
    <row r="412" spans="1:7" x14ac:dyDescent="0.35">
      <c r="A412" s="1" t="str">
        <f t="shared" si="6"/>
        <v>13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3789</v>
      </c>
      <c r="D412" s="1" t="s">
        <v>3790</v>
      </c>
      <c r="E412" s="1" t="s">
        <v>3791</v>
      </c>
      <c r="F412" s="1" t="s">
        <v>112</v>
      </c>
      <c r="G412" s="1">
        <v>861346</v>
      </c>
    </row>
    <row r="413" spans="1:7" x14ac:dyDescent="0.35">
      <c r="A413" s="1" t="str">
        <f t="shared" si="6"/>
        <v>13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3792</v>
      </c>
    </row>
    <row r="414" spans="1:7" x14ac:dyDescent="0.35">
      <c r="A414" s="1" t="str">
        <f t="shared" si="6"/>
        <v>13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3793</v>
      </c>
      <c r="D414" s="1" t="s">
        <v>3794</v>
      </c>
      <c r="E414" s="1" t="s">
        <v>3795</v>
      </c>
      <c r="F414" s="1" t="s">
        <v>112</v>
      </c>
      <c r="G414" s="1">
        <v>1827769</v>
      </c>
    </row>
    <row r="415" spans="1:7" x14ac:dyDescent="0.35">
      <c r="A415" s="1" t="str">
        <f t="shared" si="6"/>
        <v>13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3796</v>
      </c>
      <c r="D415" s="1" t="s">
        <v>3797</v>
      </c>
      <c r="E415" s="1" t="s">
        <v>3798</v>
      </c>
      <c r="F415" s="1" t="s">
        <v>112</v>
      </c>
      <c r="G415" s="1">
        <v>2006519</v>
      </c>
    </row>
    <row r="416" spans="1:7" x14ac:dyDescent="0.35">
      <c r="A416" s="1" t="str">
        <f t="shared" si="6"/>
        <v>13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3799</v>
      </c>
      <c r="D416" s="1" t="s">
        <v>3800</v>
      </c>
      <c r="E416" s="1" t="s">
        <v>3801</v>
      </c>
      <c r="F416" s="1" t="s">
        <v>112</v>
      </c>
      <c r="G416" s="1">
        <v>1149694</v>
      </c>
    </row>
    <row r="417" spans="1:9" x14ac:dyDescent="0.35">
      <c r="A417" s="1" t="str">
        <f t="shared" si="6"/>
        <v>13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3802</v>
      </c>
      <c r="D417" s="1" t="s">
        <v>3803</v>
      </c>
      <c r="E417" s="1" t="s">
        <v>3804</v>
      </c>
      <c r="F417" s="1" t="s">
        <v>112</v>
      </c>
      <c r="G417" s="1">
        <v>1309084</v>
      </c>
    </row>
    <row r="418" spans="1:9" x14ac:dyDescent="0.35">
      <c r="A418" s="1" t="str">
        <f t="shared" si="6"/>
        <v>13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3805</v>
      </c>
      <c r="D418" s="1" t="s">
        <v>506</v>
      </c>
      <c r="E418" s="1" t="s">
        <v>3806</v>
      </c>
      <c r="F418" s="1" t="s">
        <v>112</v>
      </c>
      <c r="G418" s="1">
        <v>1326561</v>
      </c>
    </row>
    <row r="419" spans="1:9" x14ac:dyDescent="0.35">
      <c r="A419" s="1" t="str">
        <f t="shared" si="6"/>
        <v>13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3807</v>
      </c>
      <c r="D419" s="1" t="s">
        <v>3808</v>
      </c>
      <c r="E419" s="1" t="s">
        <v>3809</v>
      </c>
      <c r="F419" s="1" t="s">
        <v>112</v>
      </c>
      <c r="G419" s="1">
        <v>2291385</v>
      </c>
    </row>
    <row r="420" spans="1:9" x14ac:dyDescent="0.35">
      <c r="A420" s="1" t="str">
        <f t="shared" si="6"/>
        <v>13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3810</v>
      </c>
      <c r="D420" s="1" t="s">
        <v>3337</v>
      </c>
      <c r="E420" s="1" t="s">
        <v>3811</v>
      </c>
      <c r="F420" s="1" t="s">
        <v>112</v>
      </c>
      <c r="G420" s="1">
        <v>2502838</v>
      </c>
    </row>
    <row r="421" spans="1:9" x14ac:dyDescent="0.35">
      <c r="A421" s="1" t="str">
        <f t="shared" si="6"/>
        <v>13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3812</v>
      </c>
      <c r="D421" s="1" t="s">
        <v>3813</v>
      </c>
      <c r="E421" s="1" t="s">
        <v>3814</v>
      </c>
      <c r="F421" s="1" t="s">
        <v>112</v>
      </c>
      <c r="G421" s="1">
        <v>2358653</v>
      </c>
    </row>
    <row r="422" spans="1:9"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9"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3815</v>
      </c>
      <c r="D424" s="1" t="s">
        <v>112</v>
      </c>
      <c r="E424" s="1" t="s">
        <v>3816</v>
      </c>
      <c r="F424" s="1" t="s">
        <v>3817</v>
      </c>
      <c r="G424" s="1" t="s">
        <v>3818</v>
      </c>
      <c r="H424" s="1" t="s">
        <v>3819</v>
      </c>
      <c r="I424" s="1">
        <v>24</v>
      </c>
    </row>
    <row r="425" spans="1:9"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9"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9"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9"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9"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9"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252</v>
      </c>
      <c r="D430" s="1" t="s">
        <v>110</v>
      </c>
      <c r="E430" s="1" t="s">
        <v>111</v>
      </c>
      <c r="F430" s="1" t="s">
        <v>112</v>
      </c>
      <c r="G430" s="1" t="s">
        <v>113</v>
      </c>
    </row>
    <row r="431" spans="1:9" x14ac:dyDescent="0.35">
      <c r="A431" s="1" t="str">
        <f t="shared" si="6"/>
        <v>14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3820</v>
      </c>
      <c r="D431" s="1" t="s">
        <v>3821</v>
      </c>
      <c r="E431" s="1" t="s">
        <v>3822</v>
      </c>
      <c r="F431" s="1" t="s">
        <v>112</v>
      </c>
      <c r="G431" s="1">
        <v>1602148</v>
      </c>
    </row>
    <row r="432" spans="1:9" x14ac:dyDescent="0.35">
      <c r="A432" s="1" t="str">
        <f t="shared" si="6"/>
        <v>14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3823</v>
      </c>
    </row>
    <row r="433" spans="1:7" x14ac:dyDescent="0.35">
      <c r="A433" s="1" t="str">
        <f t="shared" si="6"/>
        <v>14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3824</v>
      </c>
      <c r="D433" s="1" t="s">
        <v>3825</v>
      </c>
      <c r="E433" s="1" t="s">
        <v>3826</v>
      </c>
      <c r="F433" s="1" t="s">
        <v>112</v>
      </c>
      <c r="G433" s="1">
        <v>1577641</v>
      </c>
    </row>
    <row r="434" spans="1:7" x14ac:dyDescent="0.35">
      <c r="A434" s="1" t="str">
        <f t="shared" si="6"/>
        <v>14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3827</v>
      </c>
      <c r="D434" s="1" t="s">
        <v>3828</v>
      </c>
      <c r="E434" s="1" t="s">
        <v>3829</v>
      </c>
      <c r="F434" s="1" t="s">
        <v>112</v>
      </c>
      <c r="G434" s="1">
        <v>2380045</v>
      </c>
    </row>
    <row r="435" spans="1:7" x14ac:dyDescent="0.35">
      <c r="A435" s="1" t="str">
        <f t="shared" si="6"/>
        <v>14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3830</v>
      </c>
      <c r="D435" s="1" t="s">
        <v>3831</v>
      </c>
      <c r="E435" s="1" t="s">
        <v>3832</v>
      </c>
      <c r="F435" s="1" t="s">
        <v>112</v>
      </c>
      <c r="G435" s="1">
        <v>1637924</v>
      </c>
    </row>
    <row r="436" spans="1:7" x14ac:dyDescent="0.35">
      <c r="A436" s="1" t="str">
        <f t="shared" si="6"/>
        <v>14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3833</v>
      </c>
      <c r="D436" s="1" t="s">
        <v>3834</v>
      </c>
      <c r="E436" s="1" t="s">
        <v>3835</v>
      </c>
      <c r="F436" s="1" t="s">
        <v>112</v>
      </c>
      <c r="G436" s="1">
        <v>1652394</v>
      </c>
    </row>
    <row r="437" spans="1:7" x14ac:dyDescent="0.35">
      <c r="A437" s="1" t="str">
        <f t="shared" si="6"/>
        <v>14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3836</v>
      </c>
    </row>
    <row r="438" spans="1:7" x14ac:dyDescent="0.35">
      <c r="A438" s="1" t="str">
        <f t="shared" si="6"/>
        <v>14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3837</v>
      </c>
      <c r="D438" s="1" t="s">
        <v>3838</v>
      </c>
      <c r="E438" s="1" t="s">
        <v>3839</v>
      </c>
      <c r="F438" s="1" t="s">
        <v>112</v>
      </c>
      <c r="G438" s="1">
        <v>2505867</v>
      </c>
    </row>
    <row r="439" spans="1:7" x14ac:dyDescent="0.35">
      <c r="A439" s="1" t="str">
        <f t="shared" si="6"/>
        <v>14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3840</v>
      </c>
      <c r="D439" s="1" t="s">
        <v>1965</v>
      </c>
      <c r="E439" s="1" t="s">
        <v>3841</v>
      </c>
      <c r="F439" s="1" t="s">
        <v>112</v>
      </c>
      <c r="G439" s="1">
        <v>2191952</v>
      </c>
    </row>
    <row r="440" spans="1:7" x14ac:dyDescent="0.35">
      <c r="A440" s="1" t="str">
        <f t="shared" si="6"/>
        <v>14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3842</v>
      </c>
      <c r="D440" s="1" t="s">
        <v>3843</v>
      </c>
      <c r="E440" s="1" t="s">
        <v>3844</v>
      </c>
      <c r="F440" s="1" t="s">
        <v>112</v>
      </c>
      <c r="G440" s="1">
        <v>831886</v>
      </c>
    </row>
    <row r="441" spans="1:7" x14ac:dyDescent="0.35">
      <c r="A441" s="1" t="str">
        <f t="shared" si="6"/>
        <v>14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3845</v>
      </c>
      <c r="D441" s="1" t="s">
        <v>3846</v>
      </c>
      <c r="E441" s="1" t="s">
        <v>3847</v>
      </c>
      <c r="F441" s="1" t="s">
        <v>112</v>
      </c>
      <c r="G441" s="1">
        <v>999712</v>
      </c>
    </row>
    <row r="442" spans="1:7" x14ac:dyDescent="0.35">
      <c r="A442" s="1" t="str">
        <f t="shared" si="6"/>
        <v>14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3848</v>
      </c>
      <c r="D442" s="1" t="s">
        <v>3849</v>
      </c>
      <c r="E442" s="1" t="s">
        <v>3850</v>
      </c>
      <c r="F442" s="1" t="s">
        <v>112</v>
      </c>
      <c r="G442" s="1">
        <v>1066051</v>
      </c>
    </row>
    <row r="443" spans="1:7" x14ac:dyDescent="0.35">
      <c r="A443" s="1" t="str">
        <f t="shared" si="6"/>
        <v>14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3851</v>
      </c>
      <c r="D443" s="1" t="s">
        <v>3852</v>
      </c>
      <c r="E443" s="1" t="s">
        <v>3853</v>
      </c>
      <c r="F443" s="1" t="s">
        <v>112</v>
      </c>
      <c r="G443" s="1">
        <v>929891</v>
      </c>
    </row>
    <row r="444" spans="1:7" x14ac:dyDescent="0.35">
      <c r="A444" s="1" t="str">
        <f t="shared" si="6"/>
        <v>14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3854</v>
      </c>
      <c r="D444" s="1" t="s">
        <v>3855</v>
      </c>
      <c r="E444" s="1" t="s">
        <v>3856</v>
      </c>
      <c r="F444" s="1" t="s">
        <v>112</v>
      </c>
      <c r="G444" s="1">
        <v>1040095</v>
      </c>
    </row>
    <row r="445" spans="1:7" x14ac:dyDescent="0.35">
      <c r="A445" s="1" t="str">
        <f t="shared" si="6"/>
        <v>14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3857</v>
      </c>
    </row>
    <row r="446" spans="1:7" x14ac:dyDescent="0.35">
      <c r="A446" s="1" t="str">
        <f t="shared" si="6"/>
        <v>14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3858</v>
      </c>
      <c r="D446" s="1" t="s">
        <v>3859</v>
      </c>
      <c r="E446" s="1" t="s">
        <v>3860</v>
      </c>
      <c r="F446" s="1" t="s">
        <v>112</v>
      </c>
      <c r="G446" s="1">
        <v>2018567</v>
      </c>
    </row>
    <row r="447" spans="1:7" x14ac:dyDescent="0.35">
      <c r="A447" s="1" t="str">
        <f t="shared" si="6"/>
        <v>14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3861</v>
      </c>
      <c r="D447" s="1" t="s">
        <v>3862</v>
      </c>
      <c r="E447" s="1" t="s">
        <v>3863</v>
      </c>
      <c r="F447" s="1" t="s">
        <v>112</v>
      </c>
      <c r="G447" s="1">
        <v>2135195</v>
      </c>
    </row>
    <row r="448" spans="1:7" x14ac:dyDescent="0.35">
      <c r="A448" s="1" t="str">
        <f t="shared" si="6"/>
        <v>14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3864</v>
      </c>
      <c r="D448" s="1" t="s">
        <v>1327</v>
      </c>
      <c r="E448" s="1" t="s">
        <v>3865</v>
      </c>
      <c r="F448" s="1" t="s">
        <v>112</v>
      </c>
      <c r="G448" s="1">
        <v>1740969</v>
      </c>
    </row>
    <row r="449" spans="1:9" x14ac:dyDescent="0.35">
      <c r="A449" s="1" t="str">
        <f t="shared" si="6"/>
        <v>14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3866</v>
      </c>
      <c r="D449" s="1" t="s">
        <v>3867</v>
      </c>
      <c r="E449" s="1" t="s">
        <v>3868</v>
      </c>
      <c r="F449" s="1" t="s">
        <v>112</v>
      </c>
      <c r="G449" s="1">
        <v>4725202</v>
      </c>
    </row>
    <row r="450" spans="1:9" x14ac:dyDescent="0.35">
      <c r="A450" s="1" t="str">
        <f t="shared" ref="A450:A513" si="7">IFERROR(LEFT(RIGHT(C450,LEN(C450)-SEARCH("@",C450)),SEARCH("/",RIGHT(C450,LEN(C450)-SEARCH("@",C450)-1))),"")</f>
        <v>14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3869</v>
      </c>
      <c r="D450" s="1" t="s">
        <v>1512</v>
      </c>
      <c r="E450" s="1" t="s">
        <v>3870</v>
      </c>
      <c r="F450" s="1" t="s">
        <v>112</v>
      </c>
      <c r="G450" s="1">
        <v>4299244</v>
      </c>
    </row>
    <row r="451" spans="1:9" x14ac:dyDescent="0.35">
      <c r="A451" s="1" t="str">
        <f t="shared" si="7"/>
        <v>14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3871</v>
      </c>
      <c r="D451" s="1" t="s">
        <v>3872</v>
      </c>
      <c r="E451" s="1" t="s">
        <v>3873</v>
      </c>
      <c r="F451" s="1" t="s">
        <v>112</v>
      </c>
      <c r="G451" s="1">
        <v>4024674</v>
      </c>
    </row>
    <row r="452" spans="1:9" x14ac:dyDescent="0.35">
      <c r="A452" s="1" t="str">
        <f t="shared" si="7"/>
        <v>14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3874</v>
      </c>
      <c r="D452" s="1" t="s">
        <v>470</v>
      </c>
      <c r="E452" s="1" t="s">
        <v>3875</v>
      </c>
      <c r="F452" s="1" t="s">
        <v>112</v>
      </c>
      <c r="G452" s="1">
        <v>1868607</v>
      </c>
    </row>
    <row r="453" spans="1:9" x14ac:dyDescent="0.35">
      <c r="A453" s="1" t="str">
        <f t="shared" si="7"/>
        <v>14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3876</v>
      </c>
    </row>
    <row r="454" spans="1:9" x14ac:dyDescent="0.35">
      <c r="A454" s="1" t="str">
        <f t="shared" si="7"/>
        <v>14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3877</v>
      </c>
    </row>
    <row r="455" spans="1:9"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9"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3878</v>
      </c>
      <c r="D457" s="1" t="s">
        <v>112</v>
      </c>
      <c r="E457" s="1" t="s">
        <v>3879</v>
      </c>
      <c r="F457" s="1" t="s">
        <v>3880</v>
      </c>
      <c r="G457" s="1" t="s">
        <v>3881</v>
      </c>
      <c r="H457" s="1" t="s">
        <v>3882</v>
      </c>
      <c r="I457" s="1">
        <v>24</v>
      </c>
    </row>
    <row r="458" spans="1:9"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9"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9"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9"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9"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9"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252</v>
      </c>
      <c r="D463" s="1" t="s">
        <v>110</v>
      </c>
      <c r="E463" s="1" t="s">
        <v>111</v>
      </c>
      <c r="F463" s="1" t="s">
        <v>112</v>
      </c>
      <c r="G463" s="1" t="s">
        <v>113</v>
      </c>
    </row>
    <row r="464" spans="1:9" x14ac:dyDescent="0.3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3883</v>
      </c>
      <c r="D464" s="1" t="s">
        <v>3884</v>
      </c>
      <c r="E464" s="1" t="s">
        <v>3885</v>
      </c>
      <c r="F464" s="1" t="s">
        <v>112</v>
      </c>
      <c r="G464" s="1">
        <v>3670874</v>
      </c>
    </row>
    <row r="465" spans="1:7" x14ac:dyDescent="0.3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3886</v>
      </c>
    </row>
    <row r="466" spans="1:7" x14ac:dyDescent="0.3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3887</v>
      </c>
      <c r="D466" s="1" t="s">
        <v>3888</v>
      </c>
      <c r="E466" s="1" t="s">
        <v>3889</v>
      </c>
      <c r="F466" s="1" t="s">
        <v>112</v>
      </c>
      <c r="G466" s="1">
        <v>3492666</v>
      </c>
    </row>
    <row r="467" spans="1:7" x14ac:dyDescent="0.3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3890</v>
      </c>
      <c r="D467" s="1" t="s">
        <v>3891</v>
      </c>
      <c r="E467" s="1" t="s">
        <v>3892</v>
      </c>
      <c r="F467" s="1" t="s">
        <v>112</v>
      </c>
      <c r="G467" s="1">
        <v>5184578</v>
      </c>
    </row>
    <row r="468" spans="1:7" x14ac:dyDescent="0.3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3893</v>
      </c>
      <c r="D468" s="1" t="s">
        <v>3894</v>
      </c>
      <c r="E468" s="1" t="s">
        <v>3895</v>
      </c>
      <c r="F468" s="1" t="s">
        <v>112</v>
      </c>
      <c r="G468" s="1">
        <v>5391597</v>
      </c>
    </row>
    <row r="469" spans="1:7" x14ac:dyDescent="0.3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3896</v>
      </c>
      <c r="D469" s="1" t="s">
        <v>3897</v>
      </c>
      <c r="E469" s="1" t="s">
        <v>3898</v>
      </c>
      <c r="F469" s="1" t="s">
        <v>112</v>
      </c>
      <c r="G469" s="1">
        <v>5342065</v>
      </c>
    </row>
    <row r="470" spans="1:7" x14ac:dyDescent="0.3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3899</v>
      </c>
      <c r="D470" s="1" t="s">
        <v>3900</v>
      </c>
      <c r="E470" s="1" t="s">
        <v>3901</v>
      </c>
      <c r="F470" s="1" t="s">
        <v>112</v>
      </c>
      <c r="G470" s="1">
        <v>3508412</v>
      </c>
    </row>
    <row r="471" spans="1:7" x14ac:dyDescent="0.3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3902</v>
      </c>
      <c r="D471" s="1" t="s">
        <v>1481</v>
      </c>
      <c r="E471" s="1" t="s">
        <v>3903</v>
      </c>
      <c r="F471" s="1" t="s">
        <v>112</v>
      </c>
      <c r="G471" s="1">
        <v>3631097</v>
      </c>
    </row>
    <row r="472" spans="1:7" x14ac:dyDescent="0.3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3904</v>
      </c>
      <c r="D472" s="1" t="s">
        <v>3905</v>
      </c>
      <c r="E472" s="1" t="s">
        <v>3906</v>
      </c>
      <c r="F472" s="1" t="s">
        <v>112</v>
      </c>
      <c r="G472" s="1">
        <v>3928248</v>
      </c>
    </row>
    <row r="473" spans="1:7" x14ac:dyDescent="0.3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3907</v>
      </c>
      <c r="D473" s="1" t="s">
        <v>3908</v>
      </c>
      <c r="E473" s="1" t="s">
        <v>3909</v>
      </c>
      <c r="F473" s="1" t="s">
        <v>112</v>
      </c>
      <c r="G473" s="1">
        <v>2867929</v>
      </c>
    </row>
    <row r="474" spans="1:7" x14ac:dyDescent="0.3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3910</v>
      </c>
      <c r="D474" s="1" t="s">
        <v>3911</v>
      </c>
      <c r="E474" s="1" t="s">
        <v>3912</v>
      </c>
      <c r="F474" s="1" t="s">
        <v>112</v>
      </c>
      <c r="G474" s="1">
        <v>1904620</v>
      </c>
    </row>
    <row r="475" spans="1:7" x14ac:dyDescent="0.3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3913</v>
      </c>
      <c r="D475" s="1" t="s">
        <v>3914</v>
      </c>
      <c r="E475" s="1" t="s">
        <v>3915</v>
      </c>
      <c r="F475" s="1" t="s">
        <v>112</v>
      </c>
      <c r="G475" s="1">
        <v>2735944</v>
      </c>
    </row>
    <row r="476" spans="1:7" x14ac:dyDescent="0.3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3916</v>
      </c>
      <c r="D476" s="1" t="s">
        <v>3917</v>
      </c>
      <c r="E476" s="1" t="s">
        <v>3918</v>
      </c>
      <c r="F476" s="1" t="s">
        <v>112</v>
      </c>
      <c r="G476" s="1">
        <v>2387875</v>
      </c>
    </row>
    <row r="477" spans="1:7" x14ac:dyDescent="0.3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3919</v>
      </c>
      <c r="D477" s="1" t="s">
        <v>3920</v>
      </c>
      <c r="E477" s="1" t="s">
        <v>3921</v>
      </c>
      <c r="F477" s="1" t="s">
        <v>112</v>
      </c>
      <c r="G477" s="1">
        <v>1921600</v>
      </c>
    </row>
    <row r="478" spans="1:7" x14ac:dyDescent="0.3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3922</v>
      </c>
      <c r="D478" s="1" t="s">
        <v>3917</v>
      </c>
      <c r="E478" s="1" t="s">
        <v>3923</v>
      </c>
      <c r="F478" s="1" t="s">
        <v>112</v>
      </c>
      <c r="G478" s="1">
        <v>2383117</v>
      </c>
    </row>
    <row r="479" spans="1:7" x14ac:dyDescent="0.3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3924</v>
      </c>
      <c r="D479" s="1" t="s">
        <v>855</v>
      </c>
      <c r="E479" s="1" t="s">
        <v>3925</v>
      </c>
      <c r="F479" s="1" t="s">
        <v>112</v>
      </c>
      <c r="G479" s="1">
        <v>3347680</v>
      </c>
    </row>
    <row r="480" spans="1:7" x14ac:dyDescent="0.3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3926</v>
      </c>
      <c r="D480" s="1" t="s">
        <v>2476</v>
      </c>
      <c r="E480" s="1" t="s">
        <v>3927</v>
      </c>
      <c r="F480" s="1" t="s">
        <v>112</v>
      </c>
      <c r="G480" s="1">
        <v>3676736</v>
      </c>
    </row>
    <row r="481" spans="1:9" x14ac:dyDescent="0.3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3928</v>
      </c>
      <c r="D481" s="1" t="s">
        <v>3929</v>
      </c>
      <c r="E481" s="1" t="s">
        <v>3930</v>
      </c>
      <c r="F481" s="1" t="s">
        <v>112</v>
      </c>
      <c r="G481" s="1">
        <v>3281796</v>
      </c>
    </row>
    <row r="482" spans="1:9" x14ac:dyDescent="0.3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3931</v>
      </c>
      <c r="D482" s="1" t="s">
        <v>3932</v>
      </c>
      <c r="E482" s="1" t="s">
        <v>3933</v>
      </c>
      <c r="F482" s="1" t="s">
        <v>112</v>
      </c>
      <c r="G482" s="1">
        <v>4504274</v>
      </c>
    </row>
    <row r="483" spans="1:9" x14ac:dyDescent="0.3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3934</v>
      </c>
      <c r="D483" s="1" t="s">
        <v>3935</v>
      </c>
      <c r="E483" s="1" t="s">
        <v>3936</v>
      </c>
      <c r="F483" s="1" t="s">
        <v>112</v>
      </c>
      <c r="G483" s="1">
        <v>3780884</v>
      </c>
    </row>
    <row r="484" spans="1:9" x14ac:dyDescent="0.3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3937</v>
      </c>
      <c r="D484" s="1" t="s">
        <v>3938</v>
      </c>
      <c r="E484" s="1" t="s">
        <v>3939</v>
      </c>
      <c r="F484" s="1" t="s">
        <v>112</v>
      </c>
      <c r="G484" s="1">
        <v>3468418</v>
      </c>
    </row>
    <row r="485" spans="1:9" x14ac:dyDescent="0.3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3940</v>
      </c>
      <c r="D485" s="1" t="s">
        <v>3941</v>
      </c>
      <c r="E485" s="1" t="s">
        <v>3942</v>
      </c>
      <c r="F485" s="1" t="s">
        <v>112</v>
      </c>
      <c r="G485" s="1">
        <v>1913770</v>
      </c>
    </row>
    <row r="486" spans="1:9" x14ac:dyDescent="0.3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3943</v>
      </c>
      <c r="D486" s="1" t="s">
        <v>1321</v>
      </c>
      <c r="E486" s="1" t="s">
        <v>3944</v>
      </c>
      <c r="F486" s="1" t="s">
        <v>112</v>
      </c>
      <c r="G486" s="1">
        <v>1788208</v>
      </c>
    </row>
    <row r="487" spans="1:9" x14ac:dyDescent="0.3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3945</v>
      </c>
      <c r="D487" s="1" t="s">
        <v>3946</v>
      </c>
      <c r="E487" s="1" t="s">
        <v>3947</v>
      </c>
      <c r="F487" s="1" t="s">
        <v>112</v>
      </c>
      <c r="G487" s="1">
        <v>1812866</v>
      </c>
    </row>
    <row r="488" spans="1:9"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9"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3948</v>
      </c>
      <c r="D490" s="1" t="s">
        <v>112</v>
      </c>
      <c r="E490" s="1" t="s">
        <v>3949</v>
      </c>
      <c r="F490" s="1" t="s">
        <v>3950</v>
      </c>
      <c r="G490" s="1" t="s">
        <v>3951</v>
      </c>
      <c r="H490" s="1" t="s">
        <v>3952</v>
      </c>
      <c r="I490" s="1">
        <v>24</v>
      </c>
    </row>
    <row r="491" spans="1:9"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9"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9"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9"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9"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9"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252</v>
      </c>
      <c r="D496" s="1" t="s">
        <v>110</v>
      </c>
      <c r="E496" s="1" t="s">
        <v>111</v>
      </c>
      <c r="F496" s="1" t="s">
        <v>112</v>
      </c>
      <c r="G496" s="1" t="s">
        <v>113</v>
      </c>
    </row>
    <row r="497" spans="1:7" x14ac:dyDescent="0.3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3953</v>
      </c>
      <c r="D497" s="1" t="s">
        <v>3110</v>
      </c>
      <c r="E497" s="1" t="s">
        <v>3954</v>
      </c>
      <c r="F497" s="1" t="s">
        <v>112</v>
      </c>
      <c r="G497" s="1">
        <v>274202</v>
      </c>
    </row>
    <row r="498" spans="1:7" x14ac:dyDescent="0.3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3955</v>
      </c>
      <c r="D498" s="1" t="s">
        <v>3956</v>
      </c>
      <c r="E498" s="1" t="s">
        <v>3957</v>
      </c>
      <c r="F498" s="1" t="s">
        <v>112</v>
      </c>
      <c r="G498" s="1">
        <v>295464</v>
      </c>
    </row>
    <row r="499" spans="1:7" x14ac:dyDescent="0.3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3958</v>
      </c>
      <c r="D499" s="1" t="s">
        <v>2122</v>
      </c>
      <c r="E499" s="1" t="s">
        <v>3959</v>
      </c>
      <c r="F499" s="1" t="s">
        <v>112</v>
      </c>
      <c r="G499" s="1">
        <v>181907</v>
      </c>
    </row>
    <row r="500" spans="1:7" x14ac:dyDescent="0.3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3960</v>
      </c>
      <c r="D500" s="1" t="s">
        <v>3212</v>
      </c>
      <c r="E500" s="1" t="s">
        <v>3961</v>
      </c>
      <c r="F500" s="1" t="s">
        <v>112</v>
      </c>
      <c r="G500" s="1">
        <v>175786</v>
      </c>
    </row>
    <row r="501" spans="1:7" x14ac:dyDescent="0.3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3962</v>
      </c>
      <c r="D501" s="1" t="s">
        <v>350</v>
      </c>
      <c r="E501" s="1" t="s">
        <v>3963</v>
      </c>
      <c r="F501" s="1" t="s">
        <v>112</v>
      </c>
      <c r="G501" s="1">
        <v>172044</v>
      </c>
    </row>
    <row r="502" spans="1:7" x14ac:dyDescent="0.3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3964</v>
      </c>
      <c r="D502" s="1" t="s">
        <v>3965</v>
      </c>
      <c r="E502" s="1" t="s">
        <v>3966</v>
      </c>
      <c r="F502" s="1" t="s">
        <v>112</v>
      </c>
      <c r="G502" s="1">
        <v>323497</v>
      </c>
    </row>
    <row r="503" spans="1:7" x14ac:dyDescent="0.3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3967</v>
      </c>
      <c r="D503" s="1" t="s">
        <v>765</v>
      </c>
      <c r="E503" s="1" t="s">
        <v>3968</v>
      </c>
      <c r="F503" s="1" t="s">
        <v>112</v>
      </c>
      <c r="G503" s="1">
        <v>49900</v>
      </c>
    </row>
    <row r="504" spans="1:7" x14ac:dyDescent="0.3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3969</v>
      </c>
    </row>
    <row r="505" spans="1:7" x14ac:dyDescent="0.3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3970</v>
      </c>
    </row>
    <row r="506" spans="1:7" x14ac:dyDescent="0.3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3971</v>
      </c>
      <c r="D506" s="1" t="s">
        <v>1868</v>
      </c>
      <c r="E506" s="1" t="s">
        <v>3972</v>
      </c>
      <c r="F506" s="1" t="s">
        <v>112</v>
      </c>
      <c r="G506" s="1">
        <v>358624</v>
      </c>
    </row>
    <row r="507" spans="1:7" x14ac:dyDescent="0.3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3973</v>
      </c>
      <c r="D507" s="1" t="s">
        <v>1780</v>
      </c>
      <c r="E507" s="1" t="s">
        <v>3974</v>
      </c>
      <c r="F507" s="1" t="s">
        <v>112</v>
      </c>
      <c r="G507" s="1">
        <v>214915</v>
      </c>
    </row>
    <row r="508" spans="1:7" x14ac:dyDescent="0.3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3975</v>
      </c>
      <c r="D508" s="1" t="s">
        <v>3956</v>
      </c>
      <c r="E508" s="1" t="s">
        <v>3976</v>
      </c>
      <c r="F508" s="1" t="s">
        <v>112</v>
      </c>
      <c r="G508" s="1">
        <v>308832</v>
      </c>
    </row>
    <row r="509" spans="1:7" x14ac:dyDescent="0.3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3977</v>
      </c>
      <c r="D509" s="1" t="s">
        <v>1207</v>
      </c>
      <c r="E509" s="1" t="s">
        <v>3978</v>
      </c>
      <c r="F509" s="1" t="s">
        <v>112</v>
      </c>
      <c r="G509" s="1">
        <v>46483</v>
      </c>
    </row>
    <row r="510" spans="1:7" x14ac:dyDescent="0.3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3979</v>
      </c>
      <c r="D510" s="1" t="s">
        <v>293</v>
      </c>
      <c r="E510" s="1" t="s">
        <v>3980</v>
      </c>
      <c r="F510" s="1" t="s">
        <v>112</v>
      </c>
      <c r="G510" s="1">
        <v>64955</v>
      </c>
    </row>
    <row r="511" spans="1:7" x14ac:dyDescent="0.3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3981</v>
      </c>
      <c r="D511" s="1" t="s">
        <v>402</v>
      </c>
      <c r="E511" s="1" t="s">
        <v>3982</v>
      </c>
      <c r="F511" s="1" t="s">
        <v>112</v>
      </c>
      <c r="G511" s="1">
        <v>349669</v>
      </c>
    </row>
    <row r="512" spans="1:7" x14ac:dyDescent="0.3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3983</v>
      </c>
      <c r="D512" s="1" t="s">
        <v>1201</v>
      </c>
      <c r="E512" s="1" t="s">
        <v>3984</v>
      </c>
      <c r="F512" s="1" t="s">
        <v>112</v>
      </c>
      <c r="G512" s="1">
        <v>72244</v>
      </c>
    </row>
    <row r="513" spans="1:9" x14ac:dyDescent="0.3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3985</v>
      </c>
      <c r="D513" s="1" t="s">
        <v>3986</v>
      </c>
      <c r="E513" s="1" t="s">
        <v>3987</v>
      </c>
      <c r="F513" s="1" t="s">
        <v>112</v>
      </c>
      <c r="G513" s="1">
        <v>130320</v>
      </c>
    </row>
    <row r="514" spans="1:9" x14ac:dyDescent="0.3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3988</v>
      </c>
      <c r="D514" s="1" t="s">
        <v>1207</v>
      </c>
      <c r="E514" s="1" t="s">
        <v>3989</v>
      </c>
      <c r="F514" s="1" t="s">
        <v>112</v>
      </c>
      <c r="G514" s="1">
        <v>44233</v>
      </c>
    </row>
    <row r="515" spans="1:9" x14ac:dyDescent="0.3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3990</v>
      </c>
      <c r="D515" s="1" t="s">
        <v>3991</v>
      </c>
      <c r="E515" s="1" t="s">
        <v>3992</v>
      </c>
      <c r="F515" s="1" t="s">
        <v>112</v>
      </c>
      <c r="G515" s="1">
        <v>118575</v>
      </c>
    </row>
    <row r="516" spans="1:9" x14ac:dyDescent="0.3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3993</v>
      </c>
      <c r="D516" s="1" t="s">
        <v>3994</v>
      </c>
      <c r="E516" s="1" t="s">
        <v>3995</v>
      </c>
      <c r="F516" s="1" t="s">
        <v>112</v>
      </c>
      <c r="G516" s="1">
        <v>538801</v>
      </c>
    </row>
    <row r="517" spans="1:9" x14ac:dyDescent="0.3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3996</v>
      </c>
      <c r="D517" s="1" t="s">
        <v>3128</v>
      </c>
      <c r="E517" s="1" t="s">
        <v>3997</v>
      </c>
      <c r="F517" s="1" t="s">
        <v>112</v>
      </c>
      <c r="G517" s="1">
        <v>192722</v>
      </c>
    </row>
    <row r="518" spans="1:9" x14ac:dyDescent="0.3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3998</v>
      </c>
    </row>
    <row r="519" spans="1:9" x14ac:dyDescent="0.3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3999</v>
      </c>
    </row>
    <row r="520" spans="1:9" x14ac:dyDescent="0.3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4000</v>
      </c>
    </row>
    <row r="521" spans="1:9"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9"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4001</v>
      </c>
      <c r="D523" s="1" t="s">
        <v>112</v>
      </c>
      <c r="E523" s="1" t="s">
        <v>4002</v>
      </c>
      <c r="F523" s="1" t="s">
        <v>4003</v>
      </c>
      <c r="G523" s="1" t="s">
        <v>4004</v>
      </c>
      <c r="H523" s="1" t="s">
        <v>4005</v>
      </c>
      <c r="I523" s="1">
        <v>24</v>
      </c>
    </row>
    <row r="524" spans="1:9"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9"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9"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9"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9"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252</v>
      </c>
      <c r="D529" s="1" t="s">
        <v>110</v>
      </c>
      <c r="E529" s="1" t="s">
        <v>111</v>
      </c>
      <c r="F529" s="1" t="s">
        <v>112</v>
      </c>
      <c r="G529" s="1" t="s">
        <v>113</v>
      </c>
    </row>
    <row r="530" spans="1:7" x14ac:dyDescent="0.35">
      <c r="A530" s="1" t="str">
        <f t="shared" si="8"/>
        <v>17 Testo +  BPA 1</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4006</v>
      </c>
      <c r="D530" s="1" t="s">
        <v>4007</v>
      </c>
      <c r="E530" s="1" t="s">
        <v>4008</v>
      </c>
      <c r="F530" s="1" t="s">
        <v>112</v>
      </c>
      <c r="G530" s="1">
        <v>2030766</v>
      </c>
    </row>
    <row r="531" spans="1:7" x14ac:dyDescent="0.35">
      <c r="A531" s="1" t="str">
        <f t="shared" si="8"/>
        <v>17 Testo +  BPA 1</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4009</v>
      </c>
      <c r="D531" s="1" t="s">
        <v>4010</v>
      </c>
      <c r="E531" s="1" t="s">
        <v>4011</v>
      </c>
      <c r="F531" s="1" t="s">
        <v>112</v>
      </c>
      <c r="G531" s="1">
        <v>2344594</v>
      </c>
    </row>
    <row r="532" spans="1:7" x14ac:dyDescent="0.35">
      <c r="A532" s="1" t="str">
        <f t="shared" si="8"/>
        <v>17 Testo +  BPA 1</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4012</v>
      </c>
      <c r="D532" s="1" t="s">
        <v>3313</v>
      </c>
      <c r="E532" s="1" t="s">
        <v>4013</v>
      </c>
      <c r="F532" s="1" t="s">
        <v>112</v>
      </c>
      <c r="G532" s="1">
        <v>2205233</v>
      </c>
    </row>
    <row r="533" spans="1:7" x14ac:dyDescent="0.35">
      <c r="A533" s="1" t="str">
        <f t="shared" si="8"/>
        <v>17 Testo +  BPA 1</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4014</v>
      </c>
      <c r="D533" s="1" t="s">
        <v>3828</v>
      </c>
      <c r="E533" s="1" t="s">
        <v>4015</v>
      </c>
      <c r="F533" s="1" t="s">
        <v>112</v>
      </c>
      <c r="G533" s="1">
        <v>2402757</v>
      </c>
    </row>
    <row r="534" spans="1:7" x14ac:dyDescent="0.35">
      <c r="A534" s="1" t="str">
        <f t="shared" si="8"/>
        <v>17 Testo +  BPA 1</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4016</v>
      </c>
      <c r="D534" s="1" t="s">
        <v>4017</v>
      </c>
      <c r="E534" s="1" t="s">
        <v>4018</v>
      </c>
      <c r="F534" s="1" t="s">
        <v>112</v>
      </c>
      <c r="G534" s="1">
        <v>2609798</v>
      </c>
    </row>
    <row r="535" spans="1:7" x14ac:dyDescent="0.35">
      <c r="A535" s="1" t="str">
        <f t="shared" si="8"/>
        <v>17 Testo +  BPA 1</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4019</v>
      </c>
      <c r="D535" s="1" t="s">
        <v>4020</v>
      </c>
      <c r="E535" s="1" t="s">
        <v>4021</v>
      </c>
      <c r="F535" s="1" t="s">
        <v>112</v>
      </c>
      <c r="G535" s="1">
        <v>2679165</v>
      </c>
    </row>
    <row r="536" spans="1:7" x14ac:dyDescent="0.35">
      <c r="A536" s="1" t="str">
        <f t="shared" si="8"/>
        <v>17 Testo +  BPA 1</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4022</v>
      </c>
      <c r="D536" s="1" t="s">
        <v>4023</v>
      </c>
      <c r="E536" s="1" t="s">
        <v>4024</v>
      </c>
      <c r="F536" s="1" t="s">
        <v>112</v>
      </c>
      <c r="G536" s="1">
        <v>1815246</v>
      </c>
    </row>
    <row r="537" spans="1:7" x14ac:dyDescent="0.35">
      <c r="A537" s="1" t="str">
        <f t="shared" si="8"/>
        <v>17 Testo +  BPA 1</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4025</v>
      </c>
      <c r="D537" s="1" t="s">
        <v>4026</v>
      </c>
      <c r="E537" s="1" t="s">
        <v>4027</v>
      </c>
      <c r="F537" s="1" t="s">
        <v>112</v>
      </c>
      <c r="G537" s="1">
        <v>1986490</v>
      </c>
    </row>
    <row r="538" spans="1:7" x14ac:dyDescent="0.35">
      <c r="A538" s="1" t="str">
        <f t="shared" si="8"/>
        <v>17 Testo +  BPA 1</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4028</v>
      </c>
      <c r="D538" s="1" t="s">
        <v>4029</v>
      </c>
      <c r="E538" s="1" t="s">
        <v>4030</v>
      </c>
      <c r="F538" s="1" t="s">
        <v>112</v>
      </c>
      <c r="G538" s="1">
        <v>1581145</v>
      </c>
    </row>
    <row r="539" spans="1:7" x14ac:dyDescent="0.35">
      <c r="A539" s="1" t="str">
        <f t="shared" si="8"/>
        <v>17 Testo +  BPA 1</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4031</v>
      </c>
      <c r="D539" s="1" t="s">
        <v>4032</v>
      </c>
      <c r="E539" s="1" t="s">
        <v>4033</v>
      </c>
      <c r="F539" s="1" t="s">
        <v>112</v>
      </c>
      <c r="G539" s="1">
        <v>2560915</v>
      </c>
    </row>
    <row r="540" spans="1:7" x14ac:dyDescent="0.35">
      <c r="A540" s="1" t="str">
        <f t="shared" si="8"/>
        <v>17 Testo +  BPA 1</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4034</v>
      </c>
    </row>
    <row r="541" spans="1:7" x14ac:dyDescent="0.35">
      <c r="A541" s="1" t="str">
        <f t="shared" si="8"/>
        <v>17 Testo +  BPA 1</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4035</v>
      </c>
      <c r="D541" s="1" t="s">
        <v>4036</v>
      </c>
      <c r="E541" s="1" t="s">
        <v>4037</v>
      </c>
      <c r="F541" s="1" t="s">
        <v>112</v>
      </c>
      <c r="G541" s="1">
        <v>2614903</v>
      </c>
    </row>
    <row r="542" spans="1:7" x14ac:dyDescent="0.35">
      <c r="A542" s="1" t="str">
        <f t="shared" si="8"/>
        <v>17 Testo +  BPA 1</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4038</v>
      </c>
    </row>
    <row r="543" spans="1:7" x14ac:dyDescent="0.35">
      <c r="A543" s="1" t="str">
        <f t="shared" si="8"/>
        <v>17 Testo +  BPA 1</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4039</v>
      </c>
      <c r="D543" s="1" t="s">
        <v>4040</v>
      </c>
      <c r="E543" s="1" t="s">
        <v>4041</v>
      </c>
      <c r="F543" s="1" t="s">
        <v>112</v>
      </c>
      <c r="G543" s="1">
        <v>2629654</v>
      </c>
    </row>
    <row r="544" spans="1:7" x14ac:dyDescent="0.35">
      <c r="A544" s="1" t="str">
        <f t="shared" si="8"/>
        <v>17 Testo +  BPA 1</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4042</v>
      </c>
      <c r="D544" s="1" t="s">
        <v>4043</v>
      </c>
      <c r="E544" s="1" t="s">
        <v>4044</v>
      </c>
      <c r="F544" s="1" t="s">
        <v>112</v>
      </c>
      <c r="G544" s="1">
        <v>2777235</v>
      </c>
    </row>
    <row r="545" spans="1:9" x14ac:dyDescent="0.35">
      <c r="A545" s="1" t="str">
        <f t="shared" si="8"/>
        <v>17 Testo +  BPA 1</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4045</v>
      </c>
      <c r="D545" s="1" t="s">
        <v>2806</v>
      </c>
      <c r="E545" s="1" t="s">
        <v>4046</v>
      </c>
      <c r="F545" s="1" t="s">
        <v>112</v>
      </c>
      <c r="G545" s="1">
        <v>2407775</v>
      </c>
    </row>
    <row r="546" spans="1:9" x14ac:dyDescent="0.35">
      <c r="A546" s="1" t="str">
        <f t="shared" si="8"/>
        <v>17 Testo +  BPA 1</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4047</v>
      </c>
      <c r="D546" s="1" t="s">
        <v>4048</v>
      </c>
      <c r="E546" s="1" t="s">
        <v>4049</v>
      </c>
      <c r="F546" s="1" t="s">
        <v>112</v>
      </c>
      <c r="G546" s="1">
        <v>2328631</v>
      </c>
    </row>
    <row r="547" spans="1:9" x14ac:dyDescent="0.35">
      <c r="A547" s="1" t="str">
        <f t="shared" si="8"/>
        <v>17 Testo +  BPA 1</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4050</v>
      </c>
      <c r="D547" s="1" t="s">
        <v>898</v>
      </c>
      <c r="E547" s="1" t="s">
        <v>4051</v>
      </c>
      <c r="F547" s="1" t="s">
        <v>112</v>
      </c>
      <c r="G547" s="1">
        <v>2271334</v>
      </c>
    </row>
    <row r="548" spans="1:9" x14ac:dyDescent="0.35">
      <c r="A548" s="1" t="str">
        <f t="shared" si="8"/>
        <v>17 Testo +  BPA 1</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4052</v>
      </c>
      <c r="D548" s="1" t="s">
        <v>4053</v>
      </c>
      <c r="E548" s="1" t="s">
        <v>4054</v>
      </c>
      <c r="F548" s="1" t="s">
        <v>112</v>
      </c>
      <c r="G548" s="1">
        <v>2734257</v>
      </c>
    </row>
    <row r="549" spans="1:9" x14ac:dyDescent="0.35">
      <c r="A549" s="1" t="str">
        <f t="shared" si="8"/>
        <v>17 Testo +  BPA 1</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4055</v>
      </c>
      <c r="D549" s="1" t="s">
        <v>4056</v>
      </c>
      <c r="E549" s="1" t="s">
        <v>4057</v>
      </c>
      <c r="F549" s="1" t="s">
        <v>112</v>
      </c>
      <c r="G549" s="1">
        <v>2317578</v>
      </c>
    </row>
    <row r="550" spans="1:9" x14ac:dyDescent="0.35">
      <c r="A550" s="1" t="str">
        <f t="shared" si="8"/>
        <v>17 Testo +  BPA 1</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4058</v>
      </c>
      <c r="D550" s="1" t="s">
        <v>2973</v>
      </c>
      <c r="E550" s="1" t="s">
        <v>4059</v>
      </c>
      <c r="F550" s="1" t="s">
        <v>112</v>
      </c>
      <c r="G550" s="1">
        <v>2625956</v>
      </c>
    </row>
    <row r="551" spans="1:9" x14ac:dyDescent="0.35">
      <c r="A551" s="1" t="str">
        <f t="shared" si="8"/>
        <v>17 Testo +  BPA 1</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4060</v>
      </c>
      <c r="D551" s="1" t="s">
        <v>1174</v>
      </c>
      <c r="E551" s="1" t="s">
        <v>4061</v>
      </c>
      <c r="F551" s="1" t="s">
        <v>112</v>
      </c>
      <c r="G551" s="1">
        <v>1048163</v>
      </c>
    </row>
    <row r="552" spans="1:9" x14ac:dyDescent="0.35">
      <c r="A552" s="1" t="str">
        <f t="shared" si="8"/>
        <v>17 Testo +  BPA 1</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4062</v>
      </c>
      <c r="D552" s="1" t="s">
        <v>4063</v>
      </c>
      <c r="E552" s="1" t="s">
        <v>4064</v>
      </c>
      <c r="F552" s="1" t="s">
        <v>112</v>
      </c>
      <c r="G552" s="1">
        <v>864936</v>
      </c>
    </row>
    <row r="553" spans="1:9" x14ac:dyDescent="0.35">
      <c r="A553" s="1" t="str">
        <f t="shared" si="8"/>
        <v>17 Testo +  BPA 1</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4065</v>
      </c>
      <c r="D553" s="1" t="s">
        <v>1104</v>
      </c>
      <c r="E553" s="1" t="s">
        <v>4066</v>
      </c>
      <c r="F553" s="1" t="s">
        <v>112</v>
      </c>
      <c r="G553" s="1">
        <v>685797</v>
      </c>
    </row>
    <row r="554" spans="1:9"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9"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241</v>
      </c>
      <c r="D555" s="1" t="s">
        <v>112</v>
      </c>
      <c r="E555" s="1" t="s">
        <v>242</v>
      </c>
      <c r="F555" s="1" t="s">
        <v>243</v>
      </c>
      <c r="G555" s="1" t="s">
        <v>244</v>
      </c>
      <c r="H555" s="1" t="s">
        <v>245</v>
      </c>
      <c r="I555" s="1" t="s">
        <v>246</v>
      </c>
    </row>
    <row r="556" spans="1:9" x14ac:dyDescent="0.35">
      <c r="A556" s="1" t="str">
        <f t="shared" si="8"/>
        <v>17 Testo +  BPA 1</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4067</v>
      </c>
      <c r="D556" s="1" t="s">
        <v>112</v>
      </c>
      <c r="E556" s="1" t="s">
        <v>4068</v>
      </c>
      <c r="F556" s="1" t="s">
        <v>4069</v>
      </c>
      <c r="G556" s="1" t="s">
        <v>4070</v>
      </c>
      <c r="H556" s="1" t="s">
        <v>4071</v>
      </c>
      <c r="I556" s="1">
        <v>24</v>
      </c>
    </row>
    <row r="557" spans="1:9"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9"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9"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9"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252</v>
      </c>
      <c r="D562" s="1" t="s">
        <v>110</v>
      </c>
      <c r="E562" s="1" t="s">
        <v>111</v>
      </c>
      <c r="F562" s="1" t="s">
        <v>112</v>
      </c>
      <c r="G562" s="1" t="s">
        <v>113</v>
      </c>
    </row>
    <row r="563" spans="1:7" x14ac:dyDescent="0.35">
      <c r="A563" s="1" t="str">
        <f t="shared" si="8"/>
        <v>18  Testo +  BPA 2</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4072</v>
      </c>
      <c r="D563" s="1" t="s">
        <v>4073</v>
      </c>
      <c r="E563" s="1" t="s">
        <v>4074</v>
      </c>
      <c r="F563" s="1" t="s">
        <v>112</v>
      </c>
      <c r="G563" s="1">
        <v>1912732</v>
      </c>
    </row>
    <row r="564" spans="1:7" x14ac:dyDescent="0.35">
      <c r="A564" s="1" t="str">
        <f t="shared" si="8"/>
        <v>18  Testo +  BPA 2</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4075</v>
      </c>
      <c r="D564" s="1" t="s">
        <v>4076</v>
      </c>
      <c r="E564" s="1" t="s">
        <v>4077</v>
      </c>
      <c r="F564" s="1" t="s">
        <v>112</v>
      </c>
      <c r="G564" s="1">
        <v>1640714</v>
      </c>
    </row>
    <row r="565" spans="1:7" x14ac:dyDescent="0.35">
      <c r="A565" s="1" t="str">
        <f t="shared" si="8"/>
        <v>18  Testo +  BPA 2</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4078</v>
      </c>
      <c r="D565" s="1" t="s">
        <v>4079</v>
      </c>
      <c r="E565" s="1" t="s">
        <v>4080</v>
      </c>
      <c r="F565" s="1" t="s">
        <v>112</v>
      </c>
      <c r="G565" s="1">
        <v>1820545</v>
      </c>
    </row>
    <row r="566" spans="1:7" x14ac:dyDescent="0.35">
      <c r="A566" s="1" t="str">
        <f t="shared" si="8"/>
        <v>18  Testo +  BPA 2</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4081</v>
      </c>
      <c r="D566" s="1" t="s">
        <v>4082</v>
      </c>
      <c r="E566" s="1" t="s">
        <v>4083</v>
      </c>
      <c r="F566" s="1" t="s">
        <v>112</v>
      </c>
      <c r="G566" s="1">
        <v>1634528</v>
      </c>
    </row>
    <row r="567" spans="1:7" x14ac:dyDescent="0.35">
      <c r="A567" s="1" t="str">
        <f t="shared" si="8"/>
        <v>18  Testo +  BPA 2</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4084</v>
      </c>
      <c r="D567" s="1" t="s">
        <v>4085</v>
      </c>
      <c r="E567" s="1" t="s">
        <v>4086</v>
      </c>
      <c r="F567" s="1" t="s">
        <v>112</v>
      </c>
      <c r="G567" s="1">
        <v>2199674</v>
      </c>
    </row>
    <row r="568" spans="1:7" x14ac:dyDescent="0.35">
      <c r="A568" s="1" t="str">
        <f t="shared" si="8"/>
        <v>18  Testo +  BPA 2</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4087</v>
      </c>
      <c r="D568" s="1" t="s">
        <v>4088</v>
      </c>
      <c r="E568" s="1" t="s">
        <v>4089</v>
      </c>
      <c r="F568" s="1" t="s">
        <v>112</v>
      </c>
      <c r="G568" s="1">
        <v>2709144</v>
      </c>
    </row>
    <row r="569" spans="1:7" x14ac:dyDescent="0.35">
      <c r="A569" s="1" t="str">
        <f t="shared" si="8"/>
        <v>18  Testo +  BPA 2</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4090</v>
      </c>
      <c r="D569" s="1" t="s">
        <v>3286</v>
      </c>
      <c r="E569" s="1" t="s">
        <v>4091</v>
      </c>
      <c r="F569" s="1" t="s">
        <v>112</v>
      </c>
      <c r="G569" s="1">
        <v>1492376</v>
      </c>
    </row>
    <row r="570" spans="1:7" x14ac:dyDescent="0.35">
      <c r="A570" s="1" t="str">
        <f t="shared" si="8"/>
        <v>18  Testo +  BPA 2</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4092</v>
      </c>
    </row>
    <row r="571" spans="1:7" x14ac:dyDescent="0.35">
      <c r="A571" s="1" t="str">
        <f t="shared" si="8"/>
        <v>18  Testo +  BPA 2</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4093</v>
      </c>
      <c r="D571" s="1" t="s">
        <v>4094</v>
      </c>
      <c r="E571" s="1" t="s">
        <v>4095</v>
      </c>
      <c r="F571" s="1" t="s">
        <v>112</v>
      </c>
      <c r="G571" s="1">
        <v>1300065</v>
      </c>
    </row>
    <row r="572" spans="1:7" x14ac:dyDescent="0.35">
      <c r="A572" s="1" t="str">
        <f t="shared" si="8"/>
        <v>18  Testo +  BPA 2</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4096</v>
      </c>
    </row>
    <row r="573" spans="1:7" x14ac:dyDescent="0.35">
      <c r="A573" s="1" t="str">
        <f t="shared" si="8"/>
        <v>18  Testo +  BPA 2</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4097</v>
      </c>
      <c r="D573" s="1" t="s">
        <v>4098</v>
      </c>
      <c r="E573" s="1" t="s">
        <v>4099</v>
      </c>
      <c r="F573" s="1" t="s">
        <v>112</v>
      </c>
      <c r="G573" s="1">
        <v>1954456</v>
      </c>
    </row>
    <row r="574" spans="1:7" x14ac:dyDescent="0.35">
      <c r="A574" s="1" t="str">
        <f t="shared" si="8"/>
        <v>18  Testo +  BPA 2</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4100</v>
      </c>
      <c r="D574" s="1" t="s">
        <v>4101</v>
      </c>
      <c r="E574" s="1" t="s">
        <v>4102</v>
      </c>
      <c r="F574" s="1" t="s">
        <v>112</v>
      </c>
      <c r="G574" s="1">
        <v>1594642</v>
      </c>
    </row>
    <row r="575" spans="1:7" x14ac:dyDescent="0.35">
      <c r="A575" s="1" t="str">
        <f t="shared" si="8"/>
        <v>18  Testo +  BPA 2</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4103</v>
      </c>
      <c r="D575" s="1" t="s">
        <v>4104</v>
      </c>
      <c r="E575" s="1" t="s">
        <v>4105</v>
      </c>
      <c r="F575" s="1" t="s">
        <v>112</v>
      </c>
      <c r="G575" s="1">
        <v>3231939</v>
      </c>
    </row>
    <row r="576" spans="1:7" x14ac:dyDescent="0.35">
      <c r="A576" s="1" t="str">
        <f t="shared" si="8"/>
        <v>18  Testo +  BPA 2</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4106</v>
      </c>
    </row>
    <row r="577" spans="1:9" x14ac:dyDescent="0.35">
      <c r="A577" s="1" t="str">
        <f t="shared" si="8"/>
        <v>18  Testo +  BPA 2</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4107</v>
      </c>
      <c r="D577" s="1" t="s">
        <v>4108</v>
      </c>
      <c r="E577" s="1" t="s">
        <v>4109</v>
      </c>
      <c r="F577" s="1" t="s">
        <v>112</v>
      </c>
      <c r="G577" s="1">
        <v>3190756</v>
      </c>
    </row>
    <row r="578" spans="1:9" x14ac:dyDescent="0.35">
      <c r="A578" s="1" t="str">
        <f t="shared" ref="A578:A641" si="9">IFERROR(LEFT(RIGHT(C578,LEN(C578)-SEARCH("@",C578)),SEARCH("/",RIGHT(C578,LEN(C578)-SEARCH("@",C578)-1))),"")</f>
        <v>18  Testo +  BPA 2</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4110</v>
      </c>
    </row>
    <row r="579" spans="1:9" x14ac:dyDescent="0.35">
      <c r="A579" s="1" t="str">
        <f t="shared" si="9"/>
        <v>18  Testo +  BPA 2</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4111</v>
      </c>
      <c r="D579" s="1" t="s">
        <v>4112</v>
      </c>
      <c r="E579" s="1" t="s">
        <v>4113</v>
      </c>
      <c r="F579" s="1" t="s">
        <v>112</v>
      </c>
      <c r="G579" s="1">
        <v>349582</v>
      </c>
    </row>
    <row r="580" spans="1:9" x14ac:dyDescent="0.35">
      <c r="A580" s="1" t="str">
        <f t="shared" si="9"/>
        <v>18  Testo +  BPA 2</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4114</v>
      </c>
      <c r="D580" s="1" t="s">
        <v>4115</v>
      </c>
      <c r="E580" s="1" t="s">
        <v>4116</v>
      </c>
      <c r="F580" s="1" t="s">
        <v>112</v>
      </c>
      <c r="G580" s="1">
        <v>318479</v>
      </c>
    </row>
    <row r="581" spans="1:9" x14ac:dyDescent="0.35">
      <c r="A581" s="1" t="str">
        <f t="shared" si="9"/>
        <v>18  Testo +  BPA 2</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4117</v>
      </c>
      <c r="D581" s="1" t="s">
        <v>4118</v>
      </c>
      <c r="E581" s="1" t="s">
        <v>4119</v>
      </c>
      <c r="F581" s="1" t="s">
        <v>112</v>
      </c>
      <c r="G581" s="1">
        <v>3838203</v>
      </c>
    </row>
    <row r="582" spans="1:9" x14ac:dyDescent="0.35">
      <c r="A582" s="1" t="str">
        <f t="shared" si="9"/>
        <v>18  Testo +  BPA 2</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4120</v>
      </c>
      <c r="D582" s="1" t="s">
        <v>4121</v>
      </c>
      <c r="E582" s="1" t="s">
        <v>4122</v>
      </c>
      <c r="F582" s="1" t="s">
        <v>112</v>
      </c>
      <c r="G582" s="1">
        <v>3897599</v>
      </c>
    </row>
    <row r="583" spans="1:9" x14ac:dyDescent="0.35">
      <c r="A583" s="1" t="str">
        <f t="shared" si="9"/>
        <v>18  Testo +  BPA 2</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4123</v>
      </c>
      <c r="D583" s="1" t="s">
        <v>4124</v>
      </c>
      <c r="E583" s="1" t="s">
        <v>4125</v>
      </c>
      <c r="F583" s="1" t="s">
        <v>112</v>
      </c>
      <c r="G583" s="1">
        <v>3476357</v>
      </c>
    </row>
    <row r="584" spans="1:9" x14ac:dyDescent="0.35">
      <c r="A584" s="1" t="str">
        <f t="shared" si="9"/>
        <v>18  Testo +  BPA 2</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4126</v>
      </c>
      <c r="D584" s="1" t="s">
        <v>4127</v>
      </c>
      <c r="E584" s="1" t="s">
        <v>4128</v>
      </c>
      <c r="F584" s="1" t="s">
        <v>112</v>
      </c>
      <c r="G584" s="1">
        <v>3554570</v>
      </c>
    </row>
    <row r="585" spans="1:9" x14ac:dyDescent="0.35">
      <c r="A585" s="1" t="str">
        <f t="shared" si="9"/>
        <v>18  Testo +  BPA 2</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4129</v>
      </c>
      <c r="D585" s="1" t="s">
        <v>4130</v>
      </c>
      <c r="E585" s="1" t="s">
        <v>4131</v>
      </c>
      <c r="F585" s="1" t="s">
        <v>112</v>
      </c>
      <c r="G585" s="1">
        <v>3475081</v>
      </c>
    </row>
    <row r="586" spans="1:9" x14ac:dyDescent="0.35">
      <c r="A586" s="1" t="str">
        <f t="shared" si="9"/>
        <v>18  Testo +  BPA 2</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4132</v>
      </c>
      <c r="D586" s="1" t="s">
        <v>4130</v>
      </c>
      <c r="E586" s="1" t="s">
        <v>4133</v>
      </c>
      <c r="F586" s="1" t="s">
        <v>112</v>
      </c>
      <c r="G586" s="1">
        <v>3577065</v>
      </c>
    </row>
    <row r="587" spans="1:9"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9"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241</v>
      </c>
      <c r="D588" s="1" t="s">
        <v>112</v>
      </c>
      <c r="E588" s="1" t="s">
        <v>242</v>
      </c>
      <c r="F588" s="1" t="s">
        <v>243</v>
      </c>
      <c r="G588" s="1" t="s">
        <v>244</v>
      </c>
      <c r="H588" s="1" t="s">
        <v>245</v>
      </c>
      <c r="I588" s="1" t="s">
        <v>246</v>
      </c>
    </row>
    <row r="589" spans="1:9" x14ac:dyDescent="0.35">
      <c r="A589" s="1" t="str">
        <f t="shared" si="9"/>
        <v>18  Testo +  BPA 2</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4134</v>
      </c>
      <c r="D589" s="1" t="s">
        <v>112</v>
      </c>
      <c r="E589" s="1" t="s">
        <v>4135</v>
      </c>
      <c r="F589" s="1" t="s">
        <v>4136</v>
      </c>
      <c r="G589" s="1" t="s">
        <v>4137</v>
      </c>
      <c r="H589" s="1" t="s">
        <v>4138</v>
      </c>
      <c r="I589" s="1">
        <v>24</v>
      </c>
    </row>
    <row r="590" spans="1:9"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9"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9"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252</v>
      </c>
      <c r="D595" s="1" t="s">
        <v>110</v>
      </c>
      <c r="E595" s="1" t="s">
        <v>111</v>
      </c>
      <c r="F595" s="1" t="s">
        <v>112</v>
      </c>
      <c r="G595" s="1" t="s">
        <v>113</v>
      </c>
    </row>
    <row r="596" spans="1:7" x14ac:dyDescent="0.35">
      <c r="A596" s="1" t="str">
        <f t="shared" si="9"/>
        <v>19 Testo + BPA 3</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4139</v>
      </c>
      <c r="D596" s="1" t="s">
        <v>4140</v>
      </c>
      <c r="E596" s="1" t="s">
        <v>4141</v>
      </c>
      <c r="F596" s="1" t="s">
        <v>112</v>
      </c>
      <c r="G596" s="1">
        <v>3087105</v>
      </c>
    </row>
    <row r="597" spans="1:7" x14ac:dyDescent="0.35">
      <c r="A597" s="1" t="str">
        <f t="shared" si="9"/>
        <v>19 Testo + BPA 3</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4142</v>
      </c>
      <c r="D597" s="1" t="s">
        <v>4143</v>
      </c>
      <c r="E597" s="1" t="s">
        <v>4144</v>
      </c>
      <c r="F597" s="1" t="s">
        <v>112</v>
      </c>
      <c r="G597" s="1">
        <v>3026325</v>
      </c>
    </row>
    <row r="598" spans="1:7" x14ac:dyDescent="0.35">
      <c r="A598" s="1" t="str">
        <f t="shared" si="9"/>
        <v>19 Testo + BPA 3</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4145</v>
      </c>
      <c r="D598" s="1" t="s">
        <v>1293</v>
      </c>
      <c r="E598" s="1" t="s">
        <v>4146</v>
      </c>
      <c r="F598" s="1" t="s">
        <v>112</v>
      </c>
      <c r="G598" s="1">
        <v>2963447</v>
      </c>
    </row>
    <row r="599" spans="1:7" x14ac:dyDescent="0.35">
      <c r="A599" s="1" t="str">
        <f t="shared" si="9"/>
        <v>19 Testo + BPA 3</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4147</v>
      </c>
      <c r="D599" s="1" t="s">
        <v>4148</v>
      </c>
      <c r="E599" s="1" t="s">
        <v>4149</v>
      </c>
      <c r="F599" s="1" t="s">
        <v>112</v>
      </c>
      <c r="G599" s="1">
        <v>4053161</v>
      </c>
    </row>
    <row r="600" spans="1:7" x14ac:dyDescent="0.35">
      <c r="A600" s="1" t="str">
        <f t="shared" si="9"/>
        <v>19 Testo + BPA 3</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4150</v>
      </c>
      <c r="D600" s="1" t="s">
        <v>4151</v>
      </c>
      <c r="E600" s="1" t="s">
        <v>4152</v>
      </c>
      <c r="F600" s="1" t="s">
        <v>112</v>
      </c>
      <c r="G600" s="1">
        <v>3873287</v>
      </c>
    </row>
    <row r="601" spans="1:7" x14ac:dyDescent="0.35">
      <c r="A601" s="1" t="str">
        <f t="shared" si="9"/>
        <v>19 Testo + BPA 3</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4153</v>
      </c>
      <c r="D601" s="1" t="s">
        <v>4154</v>
      </c>
      <c r="E601" s="1" t="s">
        <v>4155</v>
      </c>
      <c r="F601" s="1" t="s">
        <v>112</v>
      </c>
      <c r="G601" s="1">
        <v>4429975</v>
      </c>
    </row>
    <row r="602" spans="1:7" x14ac:dyDescent="0.35">
      <c r="A602" s="1" t="str">
        <f t="shared" si="9"/>
        <v>19 Testo + BPA 3</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4156</v>
      </c>
      <c r="D602" s="1" t="s">
        <v>4157</v>
      </c>
      <c r="E602" s="1" t="s">
        <v>4158</v>
      </c>
      <c r="F602" s="1" t="s">
        <v>112</v>
      </c>
      <c r="G602" s="1">
        <v>3110141</v>
      </c>
    </row>
    <row r="603" spans="1:7" x14ac:dyDescent="0.35">
      <c r="A603" s="1" t="str">
        <f t="shared" si="9"/>
        <v>19 Testo + BPA 3</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4159</v>
      </c>
    </row>
    <row r="604" spans="1:7" x14ac:dyDescent="0.35">
      <c r="A604" s="1" t="str">
        <f t="shared" si="9"/>
        <v>19 Testo + BPA 3</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4160</v>
      </c>
      <c r="D604" s="1" t="s">
        <v>4161</v>
      </c>
      <c r="E604" s="1" t="s">
        <v>4162</v>
      </c>
      <c r="F604" s="1" t="s">
        <v>112</v>
      </c>
      <c r="G604" s="1">
        <v>3047111</v>
      </c>
    </row>
    <row r="605" spans="1:7" x14ac:dyDescent="0.35">
      <c r="A605" s="1" t="str">
        <f t="shared" si="9"/>
        <v>19 Testo + BPA 3</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4163</v>
      </c>
      <c r="D605" s="1" t="s">
        <v>4164</v>
      </c>
      <c r="E605" s="1" t="s">
        <v>4165</v>
      </c>
      <c r="F605" s="1" t="s">
        <v>112</v>
      </c>
      <c r="G605" s="1">
        <v>2875694</v>
      </c>
    </row>
    <row r="606" spans="1:7" x14ac:dyDescent="0.35">
      <c r="A606" s="1" t="str">
        <f t="shared" si="9"/>
        <v>19 Testo + BPA 3</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4166</v>
      </c>
      <c r="D606" s="1" t="s">
        <v>904</v>
      </c>
      <c r="E606" s="1" t="s">
        <v>4167</v>
      </c>
      <c r="F606" s="1" t="s">
        <v>112</v>
      </c>
      <c r="G606" s="1">
        <v>2680809</v>
      </c>
    </row>
    <row r="607" spans="1:7" x14ac:dyDescent="0.35">
      <c r="A607" s="1" t="str">
        <f t="shared" si="9"/>
        <v>19 Testo + BPA 3</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4168</v>
      </c>
      <c r="D607" s="1" t="s">
        <v>4169</v>
      </c>
      <c r="E607" s="1" t="s">
        <v>4170</v>
      </c>
      <c r="F607" s="1" t="s">
        <v>112</v>
      </c>
      <c r="G607" s="1">
        <v>2965783</v>
      </c>
    </row>
    <row r="608" spans="1:7" x14ac:dyDescent="0.35">
      <c r="A608" s="1" t="str">
        <f t="shared" si="9"/>
        <v>19 Testo + BPA 3</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4171</v>
      </c>
      <c r="D608" s="1" t="s">
        <v>4172</v>
      </c>
      <c r="E608" s="1" t="s">
        <v>4173</v>
      </c>
      <c r="F608" s="1" t="s">
        <v>112</v>
      </c>
      <c r="G608" s="1">
        <v>1505333</v>
      </c>
    </row>
    <row r="609" spans="1:9" x14ac:dyDescent="0.35">
      <c r="A609" s="1" t="str">
        <f t="shared" si="9"/>
        <v>19 Testo + BPA 3</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4174</v>
      </c>
      <c r="D609" s="1" t="s">
        <v>4175</v>
      </c>
      <c r="E609" s="1" t="s">
        <v>4176</v>
      </c>
      <c r="F609" s="1" t="s">
        <v>112</v>
      </c>
      <c r="G609" s="1">
        <v>1518613</v>
      </c>
    </row>
    <row r="610" spans="1:9" x14ac:dyDescent="0.35">
      <c r="A610" s="1" t="str">
        <f t="shared" si="9"/>
        <v>19 Testo + BPA 3</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4177</v>
      </c>
      <c r="D610" s="1" t="s">
        <v>387</v>
      </c>
      <c r="E610" s="1" t="s">
        <v>4178</v>
      </c>
      <c r="F610" s="1" t="s">
        <v>112</v>
      </c>
      <c r="G610" s="1">
        <v>1408906</v>
      </c>
    </row>
    <row r="611" spans="1:9" x14ac:dyDescent="0.35">
      <c r="A611" s="1" t="str">
        <f t="shared" si="9"/>
        <v>19 Testo + BPA 3</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4179</v>
      </c>
      <c r="D611" s="1" t="s">
        <v>4180</v>
      </c>
      <c r="E611" s="1" t="s">
        <v>4181</v>
      </c>
      <c r="F611" s="1" t="s">
        <v>112</v>
      </c>
      <c r="G611" s="1">
        <v>3563028</v>
      </c>
    </row>
    <row r="612" spans="1:9" x14ac:dyDescent="0.35">
      <c r="A612" s="1" t="str">
        <f t="shared" si="9"/>
        <v>19 Testo + BPA 3</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4182</v>
      </c>
      <c r="D612" s="1" t="s">
        <v>4183</v>
      </c>
      <c r="E612" s="1" t="s">
        <v>4184</v>
      </c>
      <c r="F612" s="1" t="s">
        <v>112</v>
      </c>
      <c r="G612" s="1">
        <v>3452542</v>
      </c>
    </row>
    <row r="613" spans="1:9" x14ac:dyDescent="0.35">
      <c r="A613" s="1" t="str">
        <f t="shared" si="9"/>
        <v>19 Testo + BPA 3</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4185</v>
      </c>
      <c r="D613" s="1" t="s">
        <v>4186</v>
      </c>
      <c r="E613" s="1" t="s">
        <v>4187</v>
      </c>
      <c r="F613" s="1" t="s">
        <v>112</v>
      </c>
      <c r="G613" s="1">
        <v>3335178</v>
      </c>
    </row>
    <row r="614" spans="1:9" x14ac:dyDescent="0.35">
      <c r="A614" s="1" t="str">
        <f t="shared" si="9"/>
        <v>19 Testo + BPA 3</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4188</v>
      </c>
      <c r="D614" s="1" t="s">
        <v>4189</v>
      </c>
      <c r="E614" s="1" t="s">
        <v>4190</v>
      </c>
      <c r="F614" s="1" t="s">
        <v>112</v>
      </c>
      <c r="G614" s="1">
        <v>5615294</v>
      </c>
    </row>
    <row r="615" spans="1:9" x14ac:dyDescent="0.35">
      <c r="A615" s="1" t="str">
        <f t="shared" si="9"/>
        <v>19 Testo + BPA 3</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4191</v>
      </c>
      <c r="D615" s="1" t="s">
        <v>4192</v>
      </c>
      <c r="E615" s="1" t="s">
        <v>4193</v>
      </c>
      <c r="F615" s="1" t="s">
        <v>112</v>
      </c>
      <c r="G615" s="1">
        <v>5532711</v>
      </c>
    </row>
    <row r="616" spans="1:9" x14ac:dyDescent="0.35">
      <c r="A616" s="1" t="str">
        <f t="shared" si="9"/>
        <v>19 Testo + BPA 3</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4194</v>
      </c>
      <c r="D616" s="1" t="s">
        <v>4195</v>
      </c>
      <c r="E616" s="1" t="s">
        <v>4196</v>
      </c>
      <c r="F616" s="1" t="s">
        <v>112</v>
      </c>
      <c r="G616" s="1">
        <v>5822811</v>
      </c>
    </row>
    <row r="617" spans="1:9" x14ac:dyDescent="0.35">
      <c r="A617" s="1" t="str">
        <f t="shared" si="9"/>
        <v>19 Testo + BPA 3</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4197</v>
      </c>
      <c r="D617" s="1" t="s">
        <v>2003</v>
      </c>
      <c r="E617" s="1" t="s">
        <v>4198</v>
      </c>
      <c r="F617" s="1" t="s">
        <v>112</v>
      </c>
      <c r="G617" s="1">
        <v>3558399</v>
      </c>
    </row>
    <row r="618" spans="1:9" x14ac:dyDescent="0.35">
      <c r="A618" s="1" t="str">
        <f t="shared" si="9"/>
        <v>19 Testo + BPA 3</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4199</v>
      </c>
      <c r="D618" s="1" t="s">
        <v>1494</v>
      </c>
      <c r="E618" s="1" t="s">
        <v>4200</v>
      </c>
      <c r="F618" s="1" t="s">
        <v>112</v>
      </c>
      <c r="G618" s="1">
        <v>3802016</v>
      </c>
    </row>
    <row r="619" spans="1:9" x14ac:dyDescent="0.35">
      <c r="A619" s="1" t="str">
        <f t="shared" si="9"/>
        <v>19 Testo + BPA 3</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4201</v>
      </c>
      <c r="D619" s="1" t="s">
        <v>4202</v>
      </c>
      <c r="E619" s="1" t="s">
        <v>4203</v>
      </c>
      <c r="F619" s="1" t="s">
        <v>112</v>
      </c>
      <c r="G619" s="1">
        <v>3570728</v>
      </c>
    </row>
    <row r="620" spans="1:9"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9"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241</v>
      </c>
      <c r="D621" s="1" t="s">
        <v>112</v>
      </c>
      <c r="E621" s="1" t="s">
        <v>242</v>
      </c>
      <c r="F621" s="1" t="s">
        <v>243</v>
      </c>
      <c r="G621" s="1" t="s">
        <v>244</v>
      </c>
      <c r="H621" s="1" t="s">
        <v>245</v>
      </c>
      <c r="I621" s="1" t="s">
        <v>246</v>
      </c>
    </row>
    <row r="622" spans="1:9" x14ac:dyDescent="0.35">
      <c r="A622" s="1" t="str">
        <f t="shared" si="9"/>
        <v>19 Testo + BPA 3</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4204</v>
      </c>
      <c r="D622" s="1" t="s">
        <v>112</v>
      </c>
      <c r="E622" s="1" t="s">
        <v>4205</v>
      </c>
      <c r="F622" s="1" t="s">
        <v>4206</v>
      </c>
      <c r="G622" s="1" t="s">
        <v>4207</v>
      </c>
      <c r="H622" s="1" t="s">
        <v>4208</v>
      </c>
      <c r="I622" s="1">
        <v>24</v>
      </c>
    </row>
    <row r="623" spans="1:9"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9"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252</v>
      </c>
      <c r="D628" s="1" t="s">
        <v>110</v>
      </c>
      <c r="E628" s="1" t="s">
        <v>111</v>
      </c>
      <c r="F628" s="1" t="s">
        <v>112</v>
      </c>
      <c r="G628" s="1" t="s">
        <v>113</v>
      </c>
    </row>
    <row r="629" spans="1:7" x14ac:dyDescent="0.35">
      <c r="A629" s="1" t="str">
        <f t="shared" si="9"/>
        <v>20 Testo +  BPA 4</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4209</v>
      </c>
      <c r="D629" s="1" t="s">
        <v>4210</v>
      </c>
      <c r="E629" s="1" t="s">
        <v>4211</v>
      </c>
      <c r="F629" s="1" t="s">
        <v>112</v>
      </c>
      <c r="G629" s="1">
        <v>3600382</v>
      </c>
    </row>
    <row r="630" spans="1:7" x14ac:dyDescent="0.35">
      <c r="A630" s="1" t="str">
        <f t="shared" si="9"/>
        <v>20 Testo +  BPA 4</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4212</v>
      </c>
      <c r="D630" s="1" t="s">
        <v>4213</v>
      </c>
      <c r="E630" s="1" t="s">
        <v>4214</v>
      </c>
      <c r="F630" s="1" t="s">
        <v>112</v>
      </c>
      <c r="G630" s="1">
        <v>4033153</v>
      </c>
    </row>
    <row r="631" spans="1:7" x14ac:dyDescent="0.35">
      <c r="A631" s="1" t="str">
        <f t="shared" si="9"/>
        <v>20 Testo +  BPA 4</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4215</v>
      </c>
      <c r="D631" s="1" t="s">
        <v>4216</v>
      </c>
      <c r="E631" s="1" t="s">
        <v>4217</v>
      </c>
      <c r="F631" s="1" t="s">
        <v>112</v>
      </c>
      <c r="G631" s="1">
        <v>3790466</v>
      </c>
    </row>
    <row r="632" spans="1:7" x14ac:dyDescent="0.35">
      <c r="A632" s="1" t="str">
        <f t="shared" si="9"/>
        <v>20 Testo +  BPA 4</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4218</v>
      </c>
    </row>
    <row r="633" spans="1:7" x14ac:dyDescent="0.35">
      <c r="A633" s="1" t="str">
        <f t="shared" si="9"/>
        <v>20 Testo +  BPA 4</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4219</v>
      </c>
      <c r="D633" s="1" t="s">
        <v>4220</v>
      </c>
      <c r="E633" s="1" t="s">
        <v>4221</v>
      </c>
      <c r="F633" s="1" t="s">
        <v>112</v>
      </c>
      <c r="G633" s="1">
        <v>5342714</v>
      </c>
    </row>
    <row r="634" spans="1:7" x14ac:dyDescent="0.35">
      <c r="A634" s="1" t="str">
        <f t="shared" si="9"/>
        <v>20 Testo +  BPA 4</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4222</v>
      </c>
      <c r="D634" s="1" t="s">
        <v>4223</v>
      </c>
      <c r="E634" s="1" t="s">
        <v>4224</v>
      </c>
      <c r="F634" s="1" t="s">
        <v>112</v>
      </c>
      <c r="G634" s="1">
        <v>5486747</v>
      </c>
    </row>
    <row r="635" spans="1:7" x14ac:dyDescent="0.35">
      <c r="A635" s="1" t="str">
        <f t="shared" si="9"/>
        <v>20 Testo +  BPA 4</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4225</v>
      </c>
    </row>
    <row r="636" spans="1:7" x14ac:dyDescent="0.35">
      <c r="A636" s="1" t="str">
        <f t="shared" si="9"/>
        <v>20 Testo +  BPA 4</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4226</v>
      </c>
    </row>
    <row r="637" spans="1:7" x14ac:dyDescent="0.35">
      <c r="A637" s="1" t="str">
        <f t="shared" si="9"/>
        <v>20 Testo +  BPA 4</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4227</v>
      </c>
      <c r="D637" s="1" t="s">
        <v>3571</v>
      </c>
      <c r="E637" s="1" t="s">
        <v>4228</v>
      </c>
      <c r="F637" s="1" t="s">
        <v>112</v>
      </c>
      <c r="G637" s="1">
        <v>314975</v>
      </c>
    </row>
    <row r="638" spans="1:7" x14ac:dyDescent="0.35">
      <c r="A638" s="1" t="str">
        <f t="shared" si="9"/>
        <v>20 Testo +  BPA 4</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4229</v>
      </c>
      <c r="D638" s="1" t="s">
        <v>4230</v>
      </c>
      <c r="E638" s="1" t="s">
        <v>4231</v>
      </c>
      <c r="F638" s="1" t="s">
        <v>112</v>
      </c>
      <c r="G638" s="1">
        <v>5605041</v>
      </c>
    </row>
    <row r="639" spans="1:7" x14ac:dyDescent="0.35">
      <c r="A639" s="1" t="str">
        <f t="shared" si="9"/>
        <v>20 Testo +  BPA 4</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4232</v>
      </c>
      <c r="D639" s="1" t="s">
        <v>2820</v>
      </c>
      <c r="E639" s="1" t="s">
        <v>4233</v>
      </c>
      <c r="F639" s="1" t="s">
        <v>112</v>
      </c>
      <c r="G639" s="1">
        <v>4767445</v>
      </c>
    </row>
    <row r="640" spans="1:7" x14ac:dyDescent="0.35">
      <c r="A640" s="1" t="str">
        <f t="shared" si="9"/>
        <v>20 Testo +  BPA 4</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4234</v>
      </c>
      <c r="D640" s="1" t="s">
        <v>4235</v>
      </c>
      <c r="E640" s="1" t="s">
        <v>4236</v>
      </c>
      <c r="F640" s="1" t="s">
        <v>112</v>
      </c>
      <c r="G640" s="1">
        <v>5119169</v>
      </c>
    </row>
    <row r="641" spans="1:9" x14ac:dyDescent="0.35">
      <c r="A641" s="1" t="str">
        <f t="shared" si="9"/>
        <v>20 Testo +  BPA 4</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4237</v>
      </c>
      <c r="D641" s="1" t="s">
        <v>4238</v>
      </c>
      <c r="E641" s="1" t="s">
        <v>4239</v>
      </c>
      <c r="F641" s="1" t="s">
        <v>112</v>
      </c>
      <c r="G641" s="1">
        <v>5014458</v>
      </c>
    </row>
    <row r="642" spans="1:9" x14ac:dyDescent="0.35">
      <c r="A642" s="1" t="str">
        <f t="shared" ref="A642:A705" si="10">IFERROR(LEFT(RIGHT(C642,LEN(C642)-SEARCH("@",C642)),SEARCH("/",RIGHT(C642,LEN(C642)-SEARCH("@",C642)-1))),"")</f>
        <v>20 Testo +  BPA 4</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4240</v>
      </c>
      <c r="D642" s="1" t="s">
        <v>4241</v>
      </c>
      <c r="E642" s="1" t="s">
        <v>4242</v>
      </c>
      <c r="F642" s="1" t="s">
        <v>112</v>
      </c>
      <c r="G642" s="1">
        <v>6257247</v>
      </c>
    </row>
    <row r="643" spans="1:9" x14ac:dyDescent="0.35">
      <c r="A643" s="1" t="str">
        <f t="shared" si="10"/>
        <v>20 Testo +  BPA 4</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4243</v>
      </c>
      <c r="D643" s="1" t="s">
        <v>4244</v>
      </c>
      <c r="E643" s="1" t="s">
        <v>4245</v>
      </c>
      <c r="F643" s="1" t="s">
        <v>112</v>
      </c>
      <c r="G643" s="1">
        <v>5893562</v>
      </c>
    </row>
    <row r="644" spans="1:9" x14ac:dyDescent="0.35">
      <c r="A644" s="1" t="str">
        <f t="shared" si="10"/>
        <v>20 Testo +  BPA 4</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4246</v>
      </c>
      <c r="D644" s="1" t="s">
        <v>4247</v>
      </c>
      <c r="E644" s="1" t="s">
        <v>4248</v>
      </c>
      <c r="F644" s="1" t="s">
        <v>112</v>
      </c>
      <c r="G644" s="1">
        <v>5687235</v>
      </c>
    </row>
    <row r="645" spans="1:9" x14ac:dyDescent="0.35">
      <c r="A645" s="1" t="str">
        <f t="shared" si="10"/>
        <v>20 Testo +  BPA 4</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4249</v>
      </c>
      <c r="D645" s="1" t="s">
        <v>4250</v>
      </c>
      <c r="E645" s="1" t="s">
        <v>4251</v>
      </c>
      <c r="F645" s="1" t="s">
        <v>112</v>
      </c>
      <c r="G645" s="1">
        <v>5955748</v>
      </c>
    </row>
    <row r="646" spans="1:9" x14ac:dyDescent="0.35">
      <c r="A646" s="1" t="str">
        <f t="shared" si="10"/>
        <v>20 Testo +  BPA 4</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4252</v>
      </c>
    </row>
    <row r="647" spans="1:9" x14ac:dyDescent="0.35">
      <c r="A647" s="1" t="str">
        <f t="shared" si="10"/>
        <v>20 Testo +  BPA 4</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4253</v>
      </c>
      <c r="D647" s="1" t="s">
        <v>4254</v>
      </c>
      <c r="E647" s="1" t="s">
        <v>4255</v>
      </c>
      <c r="F647" s="1" t="s">
        <v>112</v>
      </c>
      <c r="G647" s="1">
        <v>5969829</v>
      </c>
    </row>
    <row r="648" spans="1:9" x14ac:dyDescent="0.35">
      <c r="A648" s="1" t="str">
        <f t="shared" si="10"/>
        <v>20 Testo +  BPA 4</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4256</v>
      </c>
    </row>
    <row r="649" spans="1:9" x14ac:dyDescent="0.35">
      <c r="A649" s="1" t="str">
        <f t="shared" si="10"/>
        <v>20 Testo +  BPA 4</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4257</v>
      </c>
      <c r="D649" s="1" t="s">
        <v>4258</v>
      </c>
      <c r="E649" s="1" t="s">
        <v>4259</v>
      </c>
      <c r="F649" s="1" t="s">
        <v>112</v>
      </c>
      <c r="G649" s="1">
        <v>6286751</v>
      </c>
    </row>
    <row r="650" spans="1:9" x14ac:dyDescent="0.35">
      <c r="A650" s="1" t="str">
        <f t="shared" si="10"/>
        <v>20 Testo +  BPA 4</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4260</v>
      </c>
      <c r="D650" s="1" t="s">
        <v>4261</v>
      </c>
      <c r="E650" s="1" t="s">
        <v>4262</v>
      </c>
      <c r="F650" s="1" t="s">
        <v>112</v>
      </c>
      <c r="G650" s="1">
        <v>5131368</v>
      </c>
    </row>
    <row r="651" spans="1:9" x14ac:dyDescent="0.35">
      <c r="A651" s="1" t="str">
        <f t="shared" si="10"/>
        <v>20 Testo +  BPA 4</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4263</v>
      </c>
      <c r="D651" s="1" t="s">
        <v>4264</v>
      </c>
      <c r="E651" s="1" t="s">
        <v>4265</v>
      </c>
      <c r="F651" s="1" t="s">
        <v>112</v>
      </c>
      <c r="G651" s="1">
        <v>5354351</v>
      </c>
    </row>
    <row r="652" spans="1:9" x14ac:dyDescent="0.35">
      <c r="A652" s="1" t="str">
        <f t="shared" si="10"/>
        <v>20 Testo +  BPA 4</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4266</v>
      </c>
      <c r="D652" s="1" t="s">
        <v>4267</v>
      </c>
      <c r="E652" s="1" t="s">
        <v>4268</v>
      </c>
      <c r="F652" s="1" t="s">
        <v>112</v>
      </c>
      <c r="G652" s="1">
        <v>4994559</v>
      </c>
    </row>
    <row r="653" spans="1:9"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9"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241</v>
      </c>
      <c r="D654" s="1" t="s">
        <v>112</v>
      </c>
      <c r="E654" s="1" t="s">
        <v>242</v>
      </c>
      <c r="F654" s="1" t="s">
        <v>243</v>
      </c>
      <c r="G654" s="1" t="s">
        <v>244</v>
      </c>
      <c r="H654" s="1" t="s">
        <v>245</v>
      </c>
      <c r="I654" s="1" t="s">
        <v>246</v>
      </c>
    </row>
    <row r="655" spans="1:9" x14ac:dyDescent="0.35">
      <c r="A655" s="1" t="str">
        <f t="shared" si="10"/>
        <v>20 Testo +  BPA 4</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4269</v>
      </c>
      <c r="D655" s="1" t="s">
        <v>112</v>
      </c>
      <c r="E655" s="1" t="s">
        <v>4270</v>
      </c>
      <c r="F655" s="1" t="s">
        <v>4271</v>
      </c>
      <c r="G655" s="1" t="s">
        <v>4272</v>
      </c>
      <c r="H655" s="1" t="s">
        <v>4273</v>
      </c>
      <c r="I655" s="1">
        <v>24</v>
      </c>
    </row>
    <row r="656" spans="1:9"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252</v>
      </c>
      <c r="D661" s="1" t="s">
        <v>110</v>
      </c>
      <c r="E661" s="1" t="s">
        <v>111</v>
      </c>
      <c r="F661" s="1" t="s">
        <v>112</v>
      </c>
      <c r="G661" s="1" t="s">
        <v>113</v>
      </c>
    </row>
    <row r="662" spans="1:7" x14ac:dyDescent="0.35">
      <c r="A662" s="1" t="str">
        <f t="shared" si="10"/>
        <v>21 Testo +  BPA 5</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4274</v>
      </c>
      <c r="D662" s="1" t="s">
        <v>4275</v>
      </c>
      <c r="E662" s="1" t="s">
        <v>4276</v>
      </c>
      <c r="F662" s="1" t="s">
        <v>112</v>
      </c>
      <c r="G662" s="1">
        <v>5715224</v>
      </c>
    </row>
    <row r="663" spans="1:7" x14ac:dyDescent="0.35">
      <c r="A663" s="1" t="str">
        <f t="shared" si="10"/>
        <v>21 Testo +  BPA 5</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4277</v>
      </c>
      <c r="D663" s="1" t="s">
        <v>4278</v>
      </c>
      <c r="E663" s="1" t="s">
        <v>4279</v>
      </c>
      <c r="F663" s="1" t="s">
        <v>112</v>
      </c>
      <c r="G663" s="1">
        <v>5673002</v>
      </c>
    </row>
    <row r="664" spans="1:7" x14ac:dyDescent="0.35">
      <c r="A664" s="1" t="str">
        <f t="shared" si="10"/>
        <v>21 Testo +  BPA 5</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4280</v>
      </c>
      <c r="D664" s="1" t="s">
        <v>4281</v>
      </c>
      <c r="E664" s="1" t="s">
        <v>4282</v>
      </c>
      <c r="F664" s="1" t="s">
        <v>112</v>
      </c>
      <c r="G664" s="1">
        <v>5456227</v>
      </c>
    </row>
    <row r="665" spans="1:7" x14ac:dyDescent="0.35">
      <c r="A665" s="1" t="str">
        <f t="shared" si="10"/>
        <v>21 Testo +  BPA 5</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4283</v>
      </c>
    </row>
    <row r="666" spans="1:7" x14ac:dyDescent="0.35">
      <c r="A666" s="1" t="str">
        <f t="shared" si="10"/>
        <v>21 Testo +  BPA 5</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4284</v>
      </c>
      <c r="D666" s="1" t="s">
        <v>470</v>
      </c>
      <c r="E666" s="1" t="s">
        <v>4285</v>
      </c>
      <c r="F666" s="1" t="s">
        <v>112</v>
      </c>
      <c r="G666" s="1">
        <v>2088172</v>
      </c>
    </row>
    <row r="667" spans="1:7" x14ac:dyDescent="0.35">
      <c r="A667" s="1" t="str">
        <f t="shared" si="10"/>
        <v>21 Testo +  BPA 5</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4286</v>
      </c>
      <c r="D667" s="1" t="s">
        <v>4287</v>
      </c>
      <c r="E667" s="1" t="s">
        <v>4288</v>
      </c>
      <c r="F667" s="1" t="s">
        <v>112</v>
      </c>
      <c r="G667" s="1">
        <v>2365748</v>
      </c>
    </row>
    <row r="668" spans="1:7" x14ac:dyDescent="0.35">
      <c r="A668" s="1" t="str">
        <f t="shared" si="10"/>
        <v>21 Testo +  BPA 5</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4289</v>
      </c>
    </row>
    <row r="669" spans="1:7" x14ac:dyDescent="0.35">
      <c r="A669" s="1" t="str">
        <f t="shared" si="10"/>
        <v>21 Testo +  BPA 5</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4290</v>
      </c>
      <c r="D669" s="1" t="s">
        <v>4291</v>
      </c>
      <c r="E669" s="1" t="s">
        <v>4292</v>
      </c>
      <c r="F669" s="1" t="s">
        <v>112</v>
      </c>
      <c r="G669" s="1">
        <v>1352885</v>
      </c>
    </row>
    <row r="670" spans="1:7" x14ac:dyDescent="0.35">
      <c r="A670" s="1" t="str">
        <f t="shared" si="10"/>
        <v>21 Testo +  BPA 5</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4293</v>
      </c>
      <c r="D670" s="1" t="s">
        <v>1432</v>
      </c>
      <c r="E670" s="1" t="s">
        <v>4294</v>
      </c>
      <c r="F670" s="1" t="s">
        <v>112</v>
      </c>
      <c r="G670" s="1">
        <v>1163970</v>
      </c>
    </row>
    <row r="671" spans="1:7" x14ac:dyDescent="0.35">
      <c r="A671" s="1" t="str">
        <f t="shared" si="10"/>
        <v>21 Testo +  BPA 5</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4295</v>
      </c>
    </row>
    <row r="672" spans="1:7" x14ac:dyDescent="0.35">
      <c r="A672" s="1" t="str">
        <f t="shared" si="10"/>
        <v>21 Testo +  BPA 5</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4296</v>
      </c>
      <c r="D672" s="1" t="s">
        <v>4297</v>
      </c>
      <c r="E672" s="1" t="s">
        <v>4298</v>
      </c>
      <c r="F672" s="1" t="s">
        <v>112</v>
      </c>
      <c r="G672" s="1">
        <v>4816934</v>
      </c>
    </row>
    <row r="673" spans="1:9" x14ac:dyDescent="0.35">
      <c r="A673" s="1" t="str">
        <f t="shared" si="10"/>
        <v>21 Testo +  BPA 5</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4299</v>
      </c>
      <c r="D673" s="1" t="s">
        <v>4300</v>
      </c>
      <c r="E673" s="1" t="s">
        <v>4301</v>
      </c>
      <c r="F673" s="1" t="s">
        <v>112</v>
      </c>
      <c r="G673" s="1">
        <v>4700414</v>
      </c>
    </row>
    <row r="674" spans="1:9" x14ac:dyDescent="0.35">
      <c r="A674" s="1" t="str">
        <f t="shared" si="10"/>
        <v>21 Testo +  BPA 5</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4302</v>
      </c>
    </row>
    <row r="675" spans="1:9" x14ac:dyDescent="0.35">
      <c r="A675" s="1" t="str">
        <f t="shared" si="10"/>
        <v>21 Testo +  BPA 5</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4303</v>
      </c>
      <c r="D675" s="1" t="s">
        <v>4304</v>
      </c>
      <c r="E675" s="1" t="s">
        <v>4305</v>
      </c>
      <c r="F675" s="1" t="s">
        <v>112</v>
      </c>
      <c r="G675" s="1">
        <v>2834857</v>
      </c>
    </row>
    <row r="676" spans="1:9" x14ac:dyDescent="0.35">
      <c r="A676" s="1" t="str">
        <f t="shared" si="10"/>
        <v>21 Testo +  BPA 5</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4306</v>
      </c>
      <c r="D676" s="1" t="s">
        <v>4307</v>
      </c>
      <c r="E676" s="1" t="s">
        <v>4308</v>
      </c>
      <c r="F676" s="1" t="s">
        <v>112</v>
      </c>
      <c r="G676" s="1">
        <v>3216019</v>
      </c>
    </row>
    <row r="677" spans="1:9" x14ac:dyDescent="0.35">
      <c r="A677" s="1" t="str">
        <f t="shared" si="10"/>
        <v>21 Testo +  BPA 5</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4309</v>
      </c>
    </row>
    <row r="678" spans="1:9" x14ac:dyDescent="0.35">
      <c r="A678" s="1" t="str">
        <f t="shared" si="10"/>
        <v>21 Testo +  BPA 5</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4310</v>
      </c>
      <c r="D678" s="1" t="s">
        <v>4311</v>
      </c>
      <c r="E678" s="1" t="s">
        <v>4312</v>
      </c>
      <c r="F678" s="1" t="s">
        <v>112</v>
      </c>
      <c r="G678" s="1">
        <v>5306094</v>
      </c>
    </row>
    <row r="679" spans="1:9" x14ac:dyDescent="0.35">
      <c r="A679" s="1" t="str">
        <f t="shared" si="10"/>
        <v>21 Testo +  BPA 5</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4313</v>
      </c>
      <c r="D679" s="1" t="s">
        <v>4314</v>
      </c>
      <c r="E679" s="1" t="s">
        <v>4315</v>
      </c>
      <c r="F679" s="1" t="s">
        <v>112</v>
      </c>
      <c r="G679" s="1">
        <v>5429536</v>
      </c>
    </row>
    <row r="680" spans="1:9" x14ac:dyDescent="0.35">
      <c r="A680" s="1" t="str">
        <f t="shared" si="10"/>
        <v>21 Testo +  BPA 5</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4316</v>
      </c>
      <c r="D680" s="1" t="s">
        <v>1207</v>
      </c>
      <c r="E680" s="1" t="s">
        <v>4317</v>
      </c>
      <c r="F680" s="1" t="s">
        <v>112</v>
      </c>
      <c r="G680" s="1">
        <v>44882</v>
      </c>
    </row>
    <row r="681" spans="1:9" x14ac:dyDescent="0.35">
      <c r="A681" s="1" t="str">
        <f t="shared" si="10"/>
        <v>21 Testo +  BPA 5</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4318</v>
      </c>
      <c r="D681" s="1" t="s">
        <v>4319</v>
      </c>
      <c r="E681" s="1" t="s">
        <v>4320</v>
      </c>
      <c r="F681" s="1" t="s">
        <v>112</v>
      </c>
      <c r="G681" s="1">
        <v>112259</v>
      </c>
    </row>
    <row r="682" spans="1:9" x14ac:dyDescent="0.35">
      <c r="A682" s="1" t="str">
        <f t="shared" si="10"/>
        <v>21 Testo +  BPA 5</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4321</v>
      </c>
      <c r="D682" s="1" t="s">
        <v>721</v>
      </c>
      <c r="E682" s="1" t="s">
        <v>4322</v>
      </c>
      <c r="F682" s="1" t="s">
        <v>112</v>
      </c>
      <c r="G682" s="1">
        <v>82756</v>
      </c>
    </row>
    <row r="683" spans="1:9" x14ac:dyDescent="0.35">
      <c r="A683" s="1" t="str">
        <f t="shared" si="10"/>
        <v>21 Testo +  BPA 5</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4323</v>
      </c>
      <c r="D683" s="1" t="s">
        <v>4324</v>
      </c>
      <c r="E683" s="1" t="s">
        <v>4325</v>
      </c>
      <c r="F683" s="1" t="s">
        <v>112</v>
      </c>
      <c r="G683" s="1">
        <v>6322634</v>
      </c>
    </row>
    <row r="684" spans="1:9" x14ac:dyDescent="0.35">
      <c r="A684" s="1" t="str">
        <f t="shared" si="10"/>
        <v>21 Testo +  BPA 5</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4326</v>
      </c>
      <c r="D684" s="1" t="s">
        <v>4327</v>
      </c>
      <c r="E684" s="1" t="s">
        <v>4328</v>
      </c>
      <c r="F684" s="1" t="s">
        <v>112</v>
      </c>
      <c r="G684" s="1">
        <v>6330421</v>
      </c>
    </row>
    <row r="685" spans="1:9" x14ac:dyDescent="0.35">
      <c r="A685" s="1" t="str">
        <f t="shared" si="10"/>
        <v>21 Testo +  BPA 5</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4329</v>
      </c>
      <c r="D685" s="1" t="s">
        <v>4330</v>
      </c>
      <c r="E685" s="1" t="s">
        <v>4331</v>
      </c>
      <c r="F685" s="1" t="s">
        <v>112</v>
      </c>
      <c r="G685" s="1">
        <v>6479343</v>
      </c>
    </row>
    <row r="686" spans="1:9"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9"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241</v>
      </c>
      <c r="D687" s="1" t="s">
        <v>112</v>
      </c>
      <c r="E687" s="1" t="s">
        <v>242</v>
      </c>
      <c r="F687" s="1" t="s">
        <v>243</v>
      </c>
      <c r="G687" s="1" t="s">
        <v>244</v>
      </c>
      <c r="H687" s="1" t="s">
        <v>245</v>
      </c>
      <c r="I687" s="1" t="s">
        <v>246</v>
      </c>
    </row>
    <row r="688" spans="1:9" x14ac:dyDescent="0.35">
      <c r="A688" s="1" t="str">
        <f t="shared" si="10"/>
        <v>21 Testo +  BPA 5</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4332</v>
      </c>
      <c r="D688" s="1" t="s">
        <v>112</v>
      </c>
      <c r="E688" s="1" t="s">
        <v>4333</v>
      </c>
      <c r="F688" s="1" t="s">
        <v>4334</v>
      </c>
      <c r="G688" s="1" t="s">
        <v>4335</v>
      </c>
      <c r="H688" s="1" t="s">
        <v>4336</v>
      </c>
      <c r="I688" s="1">
        <v>24</v>
      </c>
    </row>
    <row r="689" spans="1:4"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4"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4"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4"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112</v>
      </c>
    </row>
    <row r="693" spans="1:4"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112</v>
      </c>
    </row>
    <row r="694" spans="1:4"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4"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5" s="1" t="s">
        <v>1599</v>
      </c>
    </row>
    <row r="696" spans="1:4"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6" s="1">
        <v>504</v>
      </c>
    </row>
    <row r="697" spans="1:4"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4"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4"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4"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4"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4"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4"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4"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H1" zoomScale="70" zoomScaleNormal="70" zoomScaleSheetLayoutView="40" zoomScalePageLayoutView="30" workbookViewId="0">
      <selection activeCell="P5" sqref="P5:V1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row r="3" spans="1:22" ht="15" thickBot="1" x14ac:dyDescent="0.4">
      <c r="A3" s="153" t="s">
        <v>22</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BPA-1mg/L</v>
      </c>
      <c r="J4" s="35" t="str">
        <f>'Page de garde'!A15</f>
        <v>BPA-2mg/L</v>
      </c>
      <c r="K4" s="35" t="str">
        <f>'Page de garde'!A16</f>
        <v>BPA-3mg/L</v>
      </c>
      <c r="L4" s="35" t="str">
        <f>'Page de garde'!A17</f>
        <v>BPA-4mg/L</v>
      </c>
      <c r="M4" s="35" t="str">
        <f>'Page de garde'!A18</f>
        <v>BPA-5mg/L</v>
      </c>
      <c r="N4" s="3"/>
      <c r="O4" s="36" t="str">
        <f>'Page de garde'!A35</f>
        <v>Testo -30µg/L</v>
      </c>
      <c r="P4" s="36" t="str">
        <f>'Page de garde'!A36</f>
        <v>Testo 30µg/L + EE2 -64ng/L</v>
      </c>
      <c r="Q4" s="36" t="str">
        <f>'Page de garde'!A37</f>
        <v>Testo 30µg/L + FAD-10mg/L</v>
      </c>
      <c r="R4" s="36" t="str">
        <f>'Page de garde'!A38</f>
        <v>BPA-1mg/L + Testostérone</v>
      </c>
      <c r="S4" s="36" t="str">
        <f>'Page de garde'!A39</f>
        <v>BPA-2mg/L + Testostérone</v>
      </c>
      <c r="T4" s="36" t="str">
        <f>'Page de garde'!A40</f>
        <v>BPA-3mg/L + Testostérone</v>
      </c>
      <c r="U4" s="36" t="str">
        <f>'Page de garde'!A41</f>
        <v>BPA-4mg/L + Testostérone</v>
      </c>
      <c r="V4" s="36" t="str">
        <f>'Page de garde'!A42</f>
        <v>BPA-5mg/L + Testostérone</v>
      </c>
    </row>
    <row r="5" spans="1:22" x14ac:dyDescent="0.35">
      <c r="A5" s="220" t="s">
        <v>33</v>
      </c>
      <c r="B5" s="32">
        <v>14989.333333333334</v>
      </c>
      <c r="C5" s="32">
        <v>28847</v>
      </c>
      <c r="D5" s="32">
        <v>166081.66666666666</v>
      </c>
      <c r="E5" s="32">
        <v>207236</v>
      </c>
      <c r="F5" s="32">
        <v>310619.66666666669</v>
      </c>
      <c r="G5" s="32">
        <v>2062021.3333333333</v>
      </c>
      <c r="H5" s="32">
        <v>7143791.5</v>
      </c>
      <c r="I5" s="32">
        <v>54904</v>
      </c>
      <c r="J5" s="32">
        <v>274057.66666666669</v>
      </c>
      <c r="K5" s="13">
        <v>254713.5</v>
      </c>
      <c r="L5" s="13">
        <v>250041.66666666666</v>
      </c>
      <c r="M5" s="13">
        <v>1965584</v>
      </c>
      <c r="N5" s="3"/>
      <c r="O5" s="32">
        <v>2865427.3333333335</v>
      </c>
      <c r="P5" s="13">
        <v>3581770</v>
      </c>
      <c r="Q5" s="13">
        <v>250524.33333333334</v>
      </c>
      <c r="R5" s="32">
        <v>2193531</v>
      </c>
      <c r="S5" s="32">
        <v>1791330.3333333333</v>
      </c>
      <c r="T5" s="32">
        <v>3025625.6666666665</v>
      </c>
      <c r="U5" s="32">
        <v>3808000.3333333335</v>
      </c>
      <c r="V5" s="32">
        <v>5614817.666666667</v>
      </c>
    </row>
    <row r="6" spans="1:22" ht="16.5" x14ac:dyDescent="0.35">
      <c r="A6" s="220"/>
      <c r="B6" s="14">
        <v>50772.666666666664</v>
      </c>
      <c r="C6" s="13">
        <v>39921.666666666664</v>
      </c>
      <c r="D6" s="32">
        <v>60088</v>
      </c>
      <c r="E6" s="32">
        <v>672076.66666666663</v>
      </c>
      <c r="F6" s="32">
        <v>828035.5</v>
      </c>
      <c r="G6" s="32">
        <v>2896077.3333333335</v>
      </c>
      <c r="H6" s="32">
        <v>7893015.333333333</v>
      </c>
      <c r="I6" s="32">
        <v>372192.66666666669</v>
      </c>
      <c r="J6" s="32">
        <v>314924</v>
      </c>
      <c r="K6" s="13">
        <v>344615</v>
      </c>
      <c r="L6" s="13">
        <v>506334</v>
      </c>
      <c r="M6" s="13">
        <v>3177951</v>
      </c>
      <c r="N6" s="3"/>
      <c r="O6" s="32">
        <v>237150</v>
      </c>
      <c r="P6" s="13">
        <v>5306080</v>
      </c>
      <c r="Q6" s="13">
        <v>223775.66666666666</v>
      </c>
      <c r="R6" s="32">
        <v>2563906.6666666665</v>
      </c>
      <c r="S6" s="32">
        <v>2181115.3333333335</v>
      </c>
      <c r="T6" s="32">
        <v>4118807.6666666665</v>
      </c>
      <c r="U6" s="32">
        <v>5414730.5</v>
      </c>
      <c r="V6" s="32">
        <v>2226960</v>
      </c>
    </row>
    <row r="7" spans="1:22" ht="16.5" x14ac:dyDescent="0.35">
      <c r="A7" s="220"/>
      <c r="B7" s="14">
        <v>501532.66666666669</v>
      </c>
      <c r="C7" s="13">
        <v>48710.333333333336</v>
      </c>
      <c r="D7" s="32">
        <v>298752</v>
      </c>
      <c r="E7" s="32">
        <v>1657145.3333333333</v>
      </c>
      <c r="F7" s="32">
        <v>1206126.3333333333</v>
      </c>
      <c r="G7" s="32">
        <v>2124820</v>
      </c>
      <c r="H7" s="32">
        <v>4434582.666666667</v>
      </c>
      <c r="I7" s="32">
        <v>35948.666666666664</v>
      </c>
      <c r="J7" s="32">
        <v>94003.666666666672</v>
      </c>
      <c r="K7" s="13">
        <v>22509.333333333332</v>
      </c>
      <c r="L7" s="13">
        <v>1837863.3333333333</v>
      </c>
      <c r="M7" s="13">
        <v>789606.33333333337</v>
      </c>
      <c r="N7" s="3"/>
      <c r="O7" s="32">
        <v>519074.33333333331</v>
      </c>
      <c r="P7" s="13">
        <v>3689252.3333333335</v>
      </c>
      <c r="Q7" s="13">
        <v>49900</v>
      </c>
      <c r="R7" s="32">
        <v>1794293.6666666667</v>
      </c>
      <c r="S7" s="32">
        <v>1396220.5</v>
      </c>
      <c r="T7" s="32">
        <v>3078626</v>
      </c>
      <c r="U7" s="32">
        <v>314975</v>
      </c>
      <c r="V7" s="32">
        <v>1258427.5</v>
      </c>
    </row>
    <row r="8" spans="1:22" ht="16.5" x14ac:dyDescent="0.35">
      <c r="A8" s="220"/>
      <c r="B8" s="14">
        <v>510098</v>
      </c>
      <c r="C8" s="13">
        <v>236609.5</v>
      </c>
      <c r="D8" s="32">
        <v>152663.66666666666</v>
      </c>
      <c r="E8" s="32">
        <v>297598.33333333331</v>
      </c>
      <c r="F8" s="32">
        <v>3748504.3333333335</v>
      </c>
      <c r="G8" s="32">
        <v>212153</v>
      </c>
      <c r="H8" s="32">
        <v>5721539.333333333</v>
      </c>
      <c r="I8" s="32">
        <v>59914.666666666664</v>
      </c>
      <c r="J8" s="32">
        <v>267115</v>
      </c>
      <c r="K8" s="13">
        <v>1945969.6666666667</v>
      </c>
      <c r="L8" s="13">
        <v>3215597.5</v>
      </c>
      <c r="M8" s="13">
        <v>1176219.3333333333</v>
      </c>
      <c r="N8" s="3"/>
      <c r="O8" s="32">
        <v>3036361</v>
      </c>
      <c r="P8" s="13">
        <v>2502831</v>
      </c>
      <c r="Q8" s="13">
        <v>294123.66666666669</v>
      </c>
      <c r="R8" s="32">
        <v>2587909</v>
      </c>
      <c r="S8" s="32">
        <v>1774549</v>
      </c>
      <c r="T8" s="32">
        <v>2840762</v>
      </c>
      <c r="U8" s="32">
        <v>5163885</v>
      </c>
      <c r="V8" s="32">
        <v>4758674</v>
      </c>
    </row>
    <row r="9" spans="1:22" ht="16.5" x14ac:dyDescent="0.35">
      <c r="A9" s="220"/>
      <c r="B9" s="14">
        <v>48508.666666666664</v>
      </c>
      <c r="C9" s="13">
        <v>742850</v>
      </c>
      <c r="D9" s="32">
        <v>165540.66666666666</v>
      </c>
      <c r="E9" s="32">
        <v>79674</v>
      </c>
      <c r="F9" s="32"/>
      <c r="G9" s="32">
        <v>945320.33333333337</v>
      </c>
      <c r="H9" s="32">
        <v>5800207.5</v>
      </c>
      <c r="I9" s="32">
        <v>305205</v>
      </c>
      <c r="J9" s="32">
        <v>274779</v>
      </c>
      <c r="K9" s="13">
        <v>155569.33333333334</v>
      </c>
      <c r="L9" s="13">
        <v>2037665.6666666667</v>
      </c>
      <c r="M9" s="13">
        <v>977036.66666666663</v>
      </c>
      <c r="N9" s="3"/>
      <c r="O9" s="32">
        <v>853699.5</v>
      </c>
      <c r="P9" s="13">
        <v>2230864</v>
      </c>
      <c r="Q9" s="13">
        <v>153702.33333333334</v>
      </c>
      <c r="R9" s="32">
        <v>2703444.5</v>
      </c>
      <c r="S9" s="32">
        <v>3211347.5</v>
      </c>
      <c r="T9" s="32">
        <v>1477617.3333333333</v>
      </c>
      <c r="U9" s="32">
        <v>5721755.666666667</v>
      </c>
      <c r="V9" s="32">
        <v>3025438</v>
      </c>
    </row>
    <row r="10" spans="1:22" ht="16.5" x14ac:dyDescent="0.35">
      <c r="A10" s="220"/>
      <c r="B10" s="14">
        <v>485908</v>
      </c>
      <c r="C10" s="13">
        <v>139866.33333333334</v>
      </c>
      <c r="D10" s="32">
        <v>330158.66666666669</v>
      </c>
      <c r="E10" s="32">
        <v>48451</v>
      </c>
      <c r="F10" s="32">
        <v>1130219.6666666667</v>
      </c>
      <c r="G10" s="32">
        <v>1832081</v>
      </c>
      <c r="H10" s="32">
        <v>5801019</v>
      </c>
      <c r="I10" s="32">
        <v>47337</v>
      </c>
      <c r="J10" s="32">
        <v>53285.5</v>
      </c>
      <c r="K10" s="13">
        <v>79612.333333333328</v>
      </c>
      <c r="L10" s="13">
        <v>3660773</v>
      </c>
      <c r="M10" s="13">
        <v>2255039</v>
      </c>
      <c r="N10" s="3"/>
      <c r="O10" s="32">
        <v>1917144</v>
      </c>
      <c r="P10" s="13">
        <v>3435404</v>
      </c>
      <c r="Q10" s="13">
        <v>82265.666666666672</v>
      </c>
      <c r="R10" s="32">
        <v>2335913.3333333335</v>
      </c>
      <c r="S10" s="32">
        <v>334030.5</v>
      </c>
      <c r="T10" s="32">
        <v>3450249.3333333335</v>
      </c>
      <c r="U10" s="32">
        <v>5821491.5</v>
      </c>
      <c r="V10" s="32">
        <v>5367815</v>
      </c>
    </row>
    <row r="11" spans="1:22" ht="16.5" x14ac:dyDescent="0.35">
      <c r="A11" s="220"/>
      <c r="B11" s="14">
        <v>242269.33333333334</v>
      </c>
      <c r="C11" s="13">
        <v>137407.66666666666</v>
      </c>
      <c r="D11" s="32">
        <v>123405.66666666667</v>
      </c>
      <c r="E11" s="32">
        <v>449880.33333333331</v>
      </c>
      <c r="F11" s="32">
        <v>1763795.6666666667</v>
      </c>
      <c r="G11" s="32">
        <v>1841482.6666666667</v>
      </c>
      <c r="H11" s="32">
        <v>5503525</v>
      </c>
      <c r="I11" s="32">
        <v>84637.666666666672</v>
      </c>
      <c r="J11" s="32">
        <v>53324.666666666664</v>
      </c>
      <c r="K11" s="13">
        <v>731415</v>
      </c>
      <c r="L11" s="13">
        <v>985249</v>
      </c>
      <c r="M11" s="13">
        <v>3270252.6666666665</v>
      </c>
      <c r="N11" s="3"/>
      <c r="O11" s="32">
        <v>1261779.6666666667</v>
      </c>
      <c r="P11" s="13">
        <v>3917858.6666666665</v>
      </c>
      <c r="Q11" s="13">
        <v>283366</v>
      </c>
      <c r="R11" s="32">
        <v>2559263.6666666665</v>
      </c>
      <c r="S11" s="32">
        <v>3737386.3333333335</v>
      </c>
      <c r="T11" s="32">
        <v>5656938.666666667</v>
      </c>
      <c r="U11" s="32">
        <v>6128290</v>
      </c>
      <c r="V11" s="32">
        <v>79965.666666666672</v>
      </c>
    </row>
    <row r="12" spans="1:22" ht="16.5" x14ac:dyDescent="0.35">
      <c r="A12" s="220"/>
      <c r="B12" s="14">
        <v>33670.666666666664</v>
      </c>
      <c r="C12" s="13">
        <v>80369.333333333328</v>
      </c>
      <c r="D12" s="32">
        <v>459404.33333333331</v>
      </c>
      <c r="E12" s="32">
        <v>771545.33333333337</v>
      </c>
      <c r="F12" s="32">
        <v>3504165.3333333335</v>
      </c>
      <c r="G12" s="32">
        <v>721486.66666666663</v>
      </c>
      <c r="H12" s="32">
        <v>4802153.666666667</v>
      </c>
      <c r="I12" s="32">
        <v>15335.666666666666</v>
      </c>
      <c r="J12" s="32">
        <v>124581</v>
      </c>
      <c r="K12" s="13">
        <v>1384890</v>
      </c>
      <c r="L12" s="13">
        <v>181950.66666666666</v>
      </c>
      <c r="M12" s="13">
        <v>1559861.6666666667</v>
      </c>
      <c r="N12" s="3"/>
      <c r="O12" s="32">
        <v>2384292</v>
      </c>
      <c r="P12" s="13">
        <v>1838281.3333333333</v>
      </c>
      <c r="Q12" s="13"/>
      <c r="R12" s="32">
        <v>866298.66666666663</v>
      </c>
      <c r="S12" s="32">
        <v>3535572</v>
      </c>
      <c r="T12" s="32">
        <v>3643714.3333333335</v>
      </c>
      <c r="U12" s="32">
        <v>5160092.666666667</v>
      </c>
      <c r="V12" s="32">
        <v>6377466</v>
      </c>
    </row>
    <row r="13" spans="1:22" ht="16.5" x14ac:dyDescent="0.35">
      <c r="A13" s="220"/>
      <c r="B13" s="14"/>
      <c r="C13" s="13"/>
      <c r="D13" s="32"/>
      <c r="E13" s="32"/>
      <c r="F13" s="32"/>
      <c r="G13" s="32"/>
      <c r="H13" s="32"/>
      <c r="I13" s="32"/>
      <c r="J13" s="32"/>
      <c r="K13" s="13"/>
      <c r="L13" s="13"/>
      <c r="M13" s="13"/>
      <c r="N13" s="3"/>
      <c r="O13" s="32">
        <v>1589894.5</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32">
        <v>1890121</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32">
        <v>2348909.5</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32">
        <v>965883</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32">
        <v>984993</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32">
        <v>1964910.3333333333</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32">
        <v>4349706.666666667</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32">
        <v>1868607</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41</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row>
    <row r="23" spans="1:22" x14ac:dyDescent="0.35">
      <c r="A23" s="5" t="s">
        <v>0</v>
      </c>
      <c r="B23" s="5">
        <f t="shared" ref="B23:J23" si="1">AVERAGE(B5:B20)</f>
        <v>235968.66666666669</v>
      </c>
      <c r="C23" s="5">
        <f t="shared" si="1"/>
        <v>181822.72916666666</v>
      </c>
      <c r="D23" s="5">
        <f t="shared" si="1"/>
        <v>219511.83333333331</v>
      </c>
      <c r="E23" s="5">
        <f t="shared" si="1"/>
        <v>522950.87500000006</v>
      </c>
      <c r="F23" s="5">
        <f t="shared" si="1"/>
        <v>1784495.2142857146</v>
      </c>
      <c r="G23" s="5">
        <f t="shared" si="1"/>
        <v>1579430.2916666665</v>
      </c>
      <c r="H23" s="5">
        <f t="shared" si="1"/>
        <v>5887479.2499999991</v>
      </c>
      <c r="I23" s="5">
        <f t="shared" si="1"/>
        <v>121934.41666666666</v>
      </c>
      <c r="J23" s="5">
        <f t="shared" si="1"/>
        <v>182008.81250000003</v>
      </c>
      <c r="K23" s="5"/>
      <c r="L23" s="5">
        <f>AVERAGE(L5:L20)</f>
        <v>1584434.3541666667</v>
      </c>
      <c r="M23" s="5"/>
      <c r="N23" s="5" t="s">
        <v>0</v>
      </c>
      <c r="O23" s="5">
        <f>AVERAGE(O5:O20)</f>
        <v>1814872.0520833335</v>
      </c>
      <c r="P23" s="5">
        <f>AVERAGE(P5:P20)</f>
        <v>3312792.666666667</v>
      </c>
      <c r="Q23" s="5">
        <f>AVERAGE(Q5:Q20)</f>
        <v>191093.9523809524</v>
      </c>
      <c r="R23" s="5">
        <f>AVERAGE(R5:R20)</f>
        <v>2200570.0625</v>
      </c>
      <c r="S23" s="5">
        <f>AVERAGE(S5:S20)</f>
        <v>2245193.9375</v>
      </c>
      <c r="T23" s="5">
        <f t="shared" ref="T23:V23" si="2">AVERAGE(T5:T20)</f>
        <v>3411542.625</v>
      </c>
      <c r="U23" s="5">
        <f t="shared" si="2"/>
        <v>4691652.583333333</v>
      </c>
      <c r="V23" s="5">
        <f t="shared" si="2"/>
        <v>3588695.479166667</v>
      </c>
    </row>
    <row r="24" spans="1:22" x14ac:dyDescent="0.35">
      <c r="A24" s="3" t="s">
        <v>1</v>
      </c>
      <c r="B24" s="3">
        <f t="shared" ref="B24:J24" si="3">STDEV(B5:B20)</f>
        <v>229090.01812069354</v>
      </c>
      <c r="C24" s="3">
        <f t="shared" si="3"/>
        <v>236955.51496567941</v>
      </c>
      <c r="D24" s="3">
        <f t="shared" si="3"/>
        <v>131452.78246821155</v>
      </c>
      <c r="E24" s="3">
        <f t="shared" si="3"/>
        <v>527511.44191306818</v>
      </c>
      <c r="F24" s="3">
        <f t="shared" si="3"/>
        <v>1333212.7223931835</v>
      </c>
      <c r="G24" s="3">
        <f t="shared" si="3"/>
        <v>878636.70394943422</v>
      </c>
      <c r="H24" s="3">
        <f t="shared" si="3"/>
        <v>1138883.1753687607</v>
      </c>
      <c r="I24" s="3">
        <f t="shared" si="3"/>
        <v>136418.20647003097</v>
      </c>
      <c r="J24" s="3">
        <f t="shared" si="3"/>
        <v>110944.62542357096</v>
      </c>
      <c r="K24" s="3"/>
      <c r="L24" s="3">
        <f>STDEV(L5:L20)</f>
        <v>1336862.4275346585</v>
      </c>
      <c r="M24" s="3"/>
      <c r="N24" s="3" t="s">
        <v>1</v>
      </c>
      <c r="O24" s="3">
        <f>STDEV(O5:O20)</f>
        <v>1049768.3282444198</v>
      </c>
      <c r="P24" s="3">
        <f>STDEV(P5:P20)</f>
        <v>1106422.4649402848</v>
      </c>
      <c r="Q24" s="3">
        <f>STDEV(Q5:Q20)</f>
        <v>97388.208185824536</v>
      </c>
      <c r="R24" s="3">
        <f>STDEV(R5:R20)</f>
        <v>612640.27652018599</v>
      </c>
      <c r="S24" s="3">
        <f>STDEV(S5:S20)</f>
        <v>1172912.9108461055</v>
      </c>
      <c r="T24" s="3">
        <f t="shared" ref="T24:V24" si="4">STDEV(T5:T20)</f>
        <v>1190621.2104893902</v>
      </c>
      <c r="U24" s="3">
        <f t="shared" si="4"/>
        <v>1901240.3701212613</v>
      </c>
      <c r="V24" s="3">
        <f t="shared" si="4"/>
        <v>2278139.7298198184</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BPA-1mg/L</v>
      </c>
      <c r="J27" s="35" t="str">
        <f t="shared" si="5"/>
        <v>BPA-2mg/L</v>
      </c>
      <c r="K27" s="35" t="str">
        <f t="shared" si="5"/>
        <v>BPA-3mg/L</v>
      </c>
      <c r="L27" s="35" t="str">
        <f t="shared" si="5"/>
        <v>BPA-4mg/L</v>
      </c>
      <c r="M27" s="35" t="str">
        <f t="shared" si="5"/>
        <v>BPA-5mg/L</v>
      </c>
      <c r="N27" s="3"/>
      <c r="O27" s="36" t="str">
        <f>O4</f>
        <v>Testo -30µg/L</v>
      </c>
      <c r="P27" s="36" t="str">
        <f t="shared" ref="P27:V27" si="6">P4</f>
        <v>Testo 30µg/L + EE2 -64ng/L</v>
      </c>
      <c r="Q27" s="36" t="str">
        <f t="shared" si="6"/>
        <v>Testo 30µg/L + FAD-10mg/L</v>
      </c>
      <c r="R27" s="36" t="str">
        <f t="shared" si="6"/>
        <v>BPA-1mg/L + Testostérone</v>
      </c>
      <c r="S27" s="36" t="str">
        <f t="shared" si="6"/>
        <v>BPA-2mg/L + Testostérone</v>
      </c>
      <c r="T27" s="36" t="str">
        <f t="shared" si="6"/>
        <v>BPA-3mg/L + Testostérone</v>
      </c>
      <c r="U27" s="36" t="str">
        <f t="shared" si="6"/>
        <v>BPA-4mg/L + Testostérone</v>
      </c>
      <c r="V27" s="36" t="str">
        <f t="shared" si="6"/>
        <v>BPA-5mg/L + Testostérone</v>
      </c>
    </row>
    <row r="28" spans="1:22" x14ac:dyDescent="0.35">
      <c r="A28" s="221" t="s">
        <v>34</v>
      </c>
      <c r="B28" s="11">
        <f t="shared" ref="B28:M28" si="7">IF(B5="","",(B5/$O$23))</f>
        <v>8.2591680863269307E-3</v>
      </c>
      <c r="C28" s="11">
        <f t="shared" si="7"/>
        <v>1.5894784410221019E-2</v>
      </c>
      <c r="D28" s="11">
        <f t="shared" si="7"/>
        <v>9.1511501582724628E-2</v>
      </c>
      <c r="E28" s="11">
        <f t="shared" si="7"/>
        <v>0.11418766395245826</v>
      </c>
      <c r="F28" s="11">
        <f t="shared" si="7"/>
        <v>0.17115237755195978</v>
      </c>
      <c r="G28" s="11">
        <f t="shared" si="7"/>
        <v>1.1361800028637232</v>
      </c>
      <c r="H28" s="11">
        <f t="shared" si="7"/>
        <v>3.9362507631320218</v>
      </c>
      <c r="I28" s="11">
        <f t="shared" si="7"/>
        <v>3.025227036637345E-2</v>
      </c>
      <c r="J28" s="11">
        <f t="shared" si="7"/>
        <v>0.1510066047642695</v>
      </c>
      <c r="K28" s="11">
        <f t="shared" si="7"/>
        <v>0.14034791031555557</v>
      </c>
      <c r="L28" s="11">
        <f t="shared" si="7"/>
        <v>0.1377737159926167</v>
      </c>
      <c r="M28" s="11">
        <f t="shared" si="7"/>
        <v>1.0830427399791962</v>
      </c>
      <c r="N28" s="6"/>
      <c r="O28" s="11">
        <f t="shared" ref="O28:V37" si="8">IF(O5="","",(O5/$O$23))</f>
        <v>1.5788591432900425</v>
      </c>
      <c r="P28" s="11">
        <f t="shared" si="8"/>
        <v>1.9735661232362929</v>
      </c>
      <c r="Q28" s="11">
        <f t="shared" si="8"/>
        <v>0.1380396667884938</v>
      </c>
      <c r="R28" s="11">
        <f t="shared" si="8"/>
        <v>1.2086422276887205</v>
      </c>
      <c r="S28" s="11">
        <f t="shared" si="8"/>
        <v>0.98702844163423198</v>
      </c>
      <c r="T28" s="11">
        <f t="shared" si="8"/>
        <v>1.6671289103788232</v>
      </c>
      <c r="U28" s="11">
        <f t="shared" si="8"/>
        <v>2.0982197224107573</v>
      </c>
      <c r="V28" s="11">
        <f t="shared" si="8"/>
        <v>3.0937815479726454</v>
      </c>
    </row>
    <row r="29" spans="1:22" x14ac:dyDescent="0.35">
      <c r="A29" s="221"/>
      <c r="B29" s="11">
        <f t="shared" ref="B29:M29" si="9">IF(B6="","",(B6/$O$23))</f>
        <v>2.7975893181220984E-2</v>
      </c>
      <c r="C29" s="11">
        <f t="shared" si="9"/>
        <v>2.1996959301257443E-2</v>
      </c>
      <c r="D29" s="11">
        <f t="shared" si="9"/>
        <v>3.3108670074578316E-2</v>
      </c>
      <c r="E29" s="11">
        <f t="shared" si="9"/>
        <v>0.37031627981442233</v>
      </c>
      <c r="F29" s="11">
        <f t="shared" si="9"/>
        <v>0.45625006955695802</v>
      </c>
      <c r="G29" s="11">
        <f t="shared" si="9"/>
        <v>1.5957473861635918</v>
      </c>
      <c r="H29" s="11">
        <f t="shared" si="9"/>
        <v>4.3490753655458843</v>
      </c>
      <c r="I29" s="11">
        <f t="shared" si="9"/>
        <v>0.20507928712628426</v>
      </c>
      <c r="J29" s="11">
        <f t="shared" si="9"/>
        <v>0.17352407826132507</v>
      </c>
      <c r="K29" s="11">
        <f t="shared" si="9"/>
        <v>0.1898839092289776</v>
      </c>
      <c r="L29" s="11">
        <f t="shared" si="9"/>
        <v>0.27899156825891253</v>
      </c>
      <c r="M29" s="11">
        <f t="shared" si="9"/>
        <v>1.7510606306113738</v>
      </c>
      <c r="N29" s="6"/>
      <c r="O29" s="11">
        <f t="shared" si="8"/>
        <v>0.13067036859583023</v>
      </c>
      <c r="P29" s="11">
        <f t="shared" si="8"/>
        <v>2.9236661581233943</v>
      </c>
      <c r="Q29" s="11">
        <f t="shared" si="8"/>
        <v>0.12330107040316667</v>
      </c>
      <c r="R29" s="11">
        <f t="shared" si="8"/>
        <v>1.4127203423092547</v>
      </c>
      <c r="S29" s="11">
        <f t="shared" si="8"/>
        <v>1.2018011577342771</v>
      </c>
      <c r="T29" s="11">
        <f t="shared" si="8"/>
        <v>2.2694755048647051</v>
      </c>
      <c r="U29" s="11">
        <f t="shared" si="8"/>
        <v>2.9835329128487631</v>
      </c>
      <c r="V29" s="11">
        <f t="shared" si="8"/>
        <v>1.2270617079830071</v>
      </c>
    </row>
    <row r="30" spans="1:22" x14ac:dyDescent="0.35">
      <c r="A30" s="221"/>
      <c r="B30" s="11">
        <f t="shared" ref="B30:M30" si="10">IF(B7="","",(B7/$O$23))</f>
        <v>0.27634601904357159</v>
      </c>
      <c r="C30" s="11">
        <f t="shared" si="10"/>
        <v>2.6839541265411861E-2</v>
      </c>
      <c r="D30" s="11">
        <f t="shared" si="10"/>
        <v>0.16461325725802856</v>
      </c>
      <c r="E30" s="11">
        <f t="shared" si="10"/>
        <v>0.91309210003595453</v>
      </c>
      <c r="F30" s="11">
        <f t="shared" si="10"/>
        <v>0.66457926438879977</v>
      </c>
      <c r="G30" s="11">
        <f t="shared" si="10"/>
        <v>1.1707822584853131</v>
      </c>
      <c r="H30" s="11">
        <f t="shared" si="10"/>
        <v>2.4434684867046728</v>
      </c>
      <c r="I30" s="11">
        <f t="shared" si="10"/>
        <v>1.9807824262542562E-2</v>
      </c>
      <c r="J30" s="11">
        <f t="shared" si="10"/>
        <v>5.1796305176862296E-2</v>
      </c>
      <c r="K30" s="11">
        <f t="shared" si="10"/>
        <v>1.2402710872920407E-2</v>
      </c>
      <c r="L30" s="11">
        <f t="shared" si="10"/>
        <v>1.0126682656353694</v>
      </c>
      <c r="M30" s="11">
        <f t="shared" si="10"/>
        <v>0.43507548227817278</v>
      </c>
      <c r="N30" s="6"/>
      <c r="O30" s="11">
        <f t="shared" si="8"/>
        <v>0.28601153053047235</v>
      </c>
      <c r="P30" s="11">
        <f t="shared" si="8"/>
        <v>2.0327892145886293</v>
      </c>
      <c r="Q30" s="11">
        <f t="shared" si="8"/>
        <v>2.7495051203592361E-2</v>
      </c>
      <c r="R30" s="11">
        <f t="shared" si="8"/>
        <v>0.98866124728019023</v>
      </c>
      <c r="S30" s="11">
        <f t="shared" si="8"/>
        <v>0.76932172623257178</v>
      </c>
      <c r="T30" s="11">
        <f t="shared" si="8"/>
        <v>1.6963322546435018</v>
      </c>
      <c r="U30" s="11">
        <f t="shared" si="8"/>
        <v>0.17355217941586182</v>
      </c>
      <c r="V30" s="11">
        <f t="shared" si="8"/>
        <v>0.69339736570157773</v>
      </c>
    </row>
    <row r="31" spans="1:22" x14ac:dyDescent="0.35">
      <c r="A31" s="221"/>
      <c r="B31" s="11">
        <f t="shared" ref="B31:M31" si="11">IF(B8="","",(B8/$O$23))</f>
        <v>0.28106554366432979</v>
      </c>
      <c r="C31" s="11">
        <f t="shared" si="11"/>
        <v>0.13037255145804383</v>
      </c>
      <c r="D31" s="11">
        <f t="shared" si="11"/>
        <v>8.4118142924411957E-2</v>
      </c>
      <c r="E31" s="11">
        <f t="shared" si="11"/>
        <v>0.16397758342893282</v>
      </c>
      <c r="F31" s="11">
        <f t="shared" si="11"/>
        <v>2.065437246130017</v>
      </c>
      <c r="G31" s="11">
        <f t="shared" si="11"/>
        <v>0.11689694585161785</v>
      </c>
      <c r="H31" s="11">
        <f t="shared" si="11"/>
        <v>3.1525855096867277</v>
      </c>
      <c r="I31" s="11">
        <f t="shared" si="11"/>
        <v>3.3013162882688747E-2</v>
      </c>
      <c r="J31" s="11">
        <f t="shared" si="11"/>
        <v>0.14718117439373896</v>
      </c>
      <c r="K31" s="11">
        <f t="shared" si="11"/>
        <v>1.0722351828785084</v>
      </c>
      <c r="L31" s="11">
        <f t="shared" si="11"/>
        <v>1.7718039661852423</v>
      </c>
      <c r="M31" s="11">
        <f t="shared" si="11"/>
        <v>0.64810041676663865</v>
      </c>
      <c r="N31" s="6"/>
      <c r="O31" s="11">
        <f t="shared" si="8"/>
        <v>1.6730441115749681</v>
      </c>
      <c r="P31" s="11">
        <f t="shared" si="8"/>
        <v>1.3790674649085828</v>
      </c>
      <c r="Q31" s="11">
        <f t="shared" si="8"/>
        <v>0.16206303156690047</v>
      </c>
      <c r="R31" s="11">
        <f t="shared" si="8"/>
        <v>1.4259457007061624</v>
      </c>
      <c r="S31" s="11">
        <f t="shared" si="8"/>
        <v>0.97778187611790834</v>
      </c>
      <c r="T31" s="11">
        <f t="shared" si="8"/>
        <v>1.5652684698841572</v>
      </c>
      <c r="U31" s="11">
        <f t="shared" si="8"/>
        <v>2.8453162822537585</v>
      </c>
      <c r="V31" s="11">
        <f t="shared" si="8"/>
        <v>2.6220437934108953</v>
      </c>
    </row>
    <row r="32" spans="1:22" x14ac:dyDescent="0.35">
      <c r="A32" s="221"/>
      <c r="B32" s="11">
        <f t="shared" ref="B32:M32" si="12">IF(B9="","",(B9/$O$23))</f>
        <v>2.6728422321001883E-2</v>
      </c>
      <c r="C32" s="11">
        <f t="shared" si="12"/>
        <v>0.40931260093363903</v>
      </c>
      <c r="D32" s="11">
        <f t="shared" si="12"/>
        <v>9.1213408943423155E-2</v>
      </c>
      <c r="E32" s="11">
        <f t="shared" si="12"/>
        <v>4.3900615422745849E-2</v>
      </c>
      <c r="F32" s="11" t="str">
        <f t="shared" si="12"/>
        <v/>
      </c>
      <c r="G32" s="11">
        <f t="shared" si="12"/>
        <v>0.52087436811216437</v>
      </c>
      <c r="H32" s="11">
        <f t="shared" si="12"/>
        <v>3.195931907894999</v>
      </c>
      <c r="I32" s="11">
        <f t="shared" si="12"/>
        <v>0.16816887981147108</v>
      </c>
      <c r="J32" s="11">
        <f t="shared" si="12"/>
        <v>0.15140406161667147</v>
      </c>
      <c r="K32" s="11">
        <f t="shared" si="12"/>
        <v>8.5719174062299161E-2</v>
      </c>
      <c r="L32" s="11">
        <f t="shared" si="12"/>
        <v>1.1227599567295024</v>
      </c>
      <c r="M32" s="11">
        <f t="shared" si="12"/>
        <v>0.53835016388351109</v>
      </c>
      <c r="N32" s="6"/>
      <c r="O32" s="11">
        <f t="shared" si="8"/>
        <v>0.47039101132226852</v>
      </c>
      <c r="P32" s="11">
        <f t="shared" si="8"/>
        <v>1.2292128238126427</v>
      </c>
      <c r="Q32" s="11">
        <f t="shared" si="8"/>
        <v>8.4690451405042513E-2</v>
      </c>
      <c r="R32" s="11">
        <f t="shared" si="8"/>
        <v>1.4896061112939911</v>
      </c>
      <c r="S32" s="11">
        <f t="shared" si="8"/>
        <v>1.769462203307181</v>
      </c>
      <c r="T32" s="11">
        <f t="shared" si="8"/>
        <v>0.81417162804239684</v>
      </c>
      <c r="U32" s="11">
        <f t="shared" si="8"/>
        <v>3.1527047100089129</v>
      </c>
      <c r="V32" s="11">
        <f t="shared" si="8"/>
        <v>1.667025505476835</v>
      </c>
    </row>
    <row r="33" spans="1:22" x14ac:dyDescent="0.35">
      <c r="A33" s="221"/>
      <c r="B33" s="11">
        <f t="shared" ref="B33:M33" si="13">IF(B10="","",(B10/$O$23))</f>
        <v>0.26773678036543402</v>
      </c>
      <c r="C33" s="11">
        <f t="shared" si="13"/>
        <v>7.7066773480134618E-2</v>
      </c>
      <c r="D33" s="11">
        <f t="shared" si="13"/>
        <v>0.18191842575771108</v>
      </c>
      <c r="E33" s="11">
        <f t="shared" si="13"/>
        <v>2.6696647812930935E-2</v>
      </c>
      <c r="F33" s="11">
        <f t="shared" si="13"/>
        <v>0.62275446104823839</v>
      </c>
      <c r="G33" s="11">
        <f t="shared" si="13"/>
        <v>1.0094821824474689</v>
      </c>
      <c r="H33" s="11">
        <f t="shared" si="13"/>
        <v>3.1963790468539512</v>
      </c>
      <c r="I33" s="11">
        <f t="shared" si="13"/>
        <v>2.6082830437363761E-2</v>
      </c>
      <c r="J33" s="11">
        <f t="shared" si="13"/>
        <v>2.9360471962104628E-2</v>
      </c>
      <c r="K33" s="11">
        <f t="shared" si="13"/>
        <v>4.3866636902554365E-2</v>
      </c>
      <c r="L33" s="11">
        <f t="shared" si="13"/>
        <v>2.0170970156258203</v>
      </c>
      <c r="M33" s="11">
        <f t="shared" si="13"/>
        <v>1.2425333220660866</v>
      </c>
      <c r="N33" s="6"/>
      <c r="O33" s="11">
        <f t="shared" si="8"/>
        <v>1.0563521531995967</v>
      </c>
      <c r="P33" s="11">
        <f t="shared" si="8"/>
        <v>1.8929180137279764</v>
      </c>
      <c r="Q33" s="11">
        <f t="shared" si="8"/>
        <v>4.5328631609171575E-2</v>
      </c>
      <c r="R33" s="11">
        <f t="shared" si="8"/>
        <v>1.2870953247926677</v>
      </c>
      <c r="S33" s="11">
        <f t="shared" si="8"/>
        <v>0.18405181765654427</v>
      </c>
      <c r="T33" s="11">
        <f t="shared" si="8"/>
        <v>1.9010978373779643</v>
      </c>
      <c r="U33" s="11">
        <f t="shared" si="8"/>
        <v>3.2076594563883307</v>
      </c>
      <c r="V33" s="11">
        <f t="shared" si="8"/>
        <v>2.9576823301886002</v>
      </c>
    </row>
    <row r="34" spans="1:22" x14ac:dyDescent="0.35">
      <c r="A34" s="221"/>
      <c r="B34" s="11">
        <f t="shared" ref="B34:M34" si="14">IF(B11="","",(B11/$O$23))</f>
        <v>0.13349113677475324</v>
      </c>
      <c r="C34" s="11">
        <f t="shared" si="14"/>
        <v>7.5712040696716457E-2</v>
      </c>
      <c r="D34" s="11">
        <f t="shared" si="14"/>
        <v>6.7996896268806645E-2</v>
      </c>
      <c r="E34" s="11">
        <f t="shared" si="14"/>
        <v>0.247885426863511</v>
      </c>
      <c r="F34" s="11">
        <f t="shared" si="14"/>
        <v>0.97185675686722106</v>
      </c>
      <c r="G34" s="11">
        <f t="shared" si="14"/>
        <v>1.0146625292690943</v>
      </c>
      <c r="H34" s="11">
        <f t="shared" si="14"/>
        <v>3.0324589514078291</v>
      </c>
      <c r="I34" s="11">
        <f t="shared" si="14"/>
        <v>4.6635610796644945E-2</v>
      </c>
      <c r="J34" s="11">
        <f t="shared" si="14"/>
        <v>2.9382052914118134E-2</v>
      </c>
      <c r="K34" s="11">
        <f t="shared" si="14"/>
        <v>0.40301188128407833</v>
      </c>
      <c r="L34" s="11">
        <f t="shared" si="14"/>
        <v>0.54287518443463267</v>
      </c>
      <c r="M34" s="11">
        <f t="shared" si="14"/>
        <v>1.8019191286309513</v>
      </c>
      <c r="N34" s="6"/>
      <c r="O34" s="11">
        <f t="shared" si="8"/>
        <v>0.6952444196924189</v>
      </c>
      <c r="P34" s="11">
        <f t="shared" si="8"/>
        <v>2.1587519969626872</v>
      </c>
      <c r="Q34" s="11">
        <f t="shared" si="8"/>
        <v>0.15613552463641589</v>
      </c>
      <c r="R34" s="11">
        <f t="shared" si="8"/>
        <v>1.4101620352403514</v>
      </c>
      <c r="S34" s="11">
        <f t="shared" si="8"/>
        <v>2.0593111944410083</v>
      </c>
      <c r="T34" s="11">
        <f t="shared" si="8"/>
        <v>3.1169903466048399</v>
      </c>
      <c r="U34" s="11">
        <f t="shared" si="8"/>
        <v>3.3767063595283173</v>
      </c>
      <c r="V34" s="11">
        <f t="shared" si="8"/>
        <v>4.406132463986772E-2</v>
      </c>
    </row>
    <row r="35" spans="1:22" x14ac:dyDescent="0.35">
      <c r="A35" s="221"/>
      <c r="B35" s="11">
        <f t="shared" ref="B35:M35" si="15">IF(B12="","",(B12/$O$23))</f>
        <v>1.8552639359901615E-2</v>
      </c>
      <c r="C35" s="11">
        <f t="shared" si="15"/>
        <v>4.4283746196364375E-2</v>
      </c>
      <c r="D35" s="11">
        <f t="shared" si="15"/>
        <v>0.25313317972248922</v>
      </c>
      <c r="E35" s="11">
        <f t="shared" si="15"/>
        <v>0.42512381655095671</v>
      </c>
      <c r="F35" s="11">
        <f t="shared" si="15"/>
        <v>1.9308057167505672</v>
      </c>
      <c r="G35" s="11">
        <f t="shared" si="15"/>
        <v>0.39754133953324999</v>
      </c>
      <c r="H35" s="11">
        <f t="shared" si="15"/>
        <v>2.6460012214933633</v>
      </c>
      <c r="I35" s="11">
        <f t="shared" si="15"/>
        <v>8.4499988024293506E-3</v>
      </c>
      <c r="J35" s="11">
        <f t="shared" si="15"/>
        <v>6.8644508496888579E-2</v>
      </c>
      <c r="K35" s="11">
        <f t="shared" si="15"/>
        <v>0.76307858639965986</v>
      </c>
      <c r="L35" s="11">
        <f t="shared" si="15"/>
        <v>0.1002553686678911</v>
      </c>
      <c r="M35" s="11">
        <f t="shared" si="15"/>
        <v>0.85948850492025897</v>
      </c>
      <c r="N35" s="6"/>
      <c r="O35" s="11">
        <f t="shared" si="8"/>
        <v>1.3137521167197523</v>
      </c>
      <c r="P35" s="11">
        <f t="shared" si="8"/>
        <v>1.0128985849019647</v>
      </c>
      <c r="Q35" s="11" t="str">
        <f t="shared" si="8"/>
        <v/>
      </c>
      <c r="R35" s="11">
        <f t="shared" si="8"/>
        <v>0.4773331903327413</v>
      </c>
      <c r="S35" s="11">
        <f t="shared" si="8"/>
        <v>1.9481108852502496</v>
      </c>
      <c r="T35" s="11">
        <f t="shared" si="8"/>
        <v>2.0076976386024734</v>
      </c>
      <c r="U35" s="11">
        <f t="shared" si="8"/>
        <v>2.8432266950958209</v>
      </c>
      <c r="V35" s="11">
        <f t="shared" si="8"/>
        <v>3.5140030905645165</v>
      </c>
    </row>
    <row r="36" spans="1:22" x14ac:dyDescent="0.35">
      <c r="A36" s="221"/>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0.8760366870903783</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1"/>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1.0414623983163367</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1"/>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ref="O38:V43" si="19">IF(O15="","",(O15/$O$23))</f>
        <v>1.2942562520061029</v>
      </c>
      <c r="P38" s="11" t="str">
        <f t="shared" si="19"/>
        <v/>
      </c>
      <c r="Q38" s="11" t="str">
        <f t="shared" si="19"/>
        <v/>
      </c>
      <c r="R38" s="11" t="str">
        <f t="shared" si="19"/>
        <v/>
      </c>
      <c r="S38" s="11" t="str">
        <f t="shared" si="19"/>
        <v/>
      </c>
      <c r="T38" s="11" t="str">
        <f t="shared" si="19"/>
        <v/>
      </c>
      <c r="U38" s="11" t="str">
        <f t="shared" si="19"/>
        <v/>
      </c>
      <c r="V38" s="11" t="str">
        <f t="shared" si="19"/>
        <v/>
      </c>
    </row>
    <row r="39" spans="1:22" x14ac:dyDescent="0.35">
      <c r="A39" s="221"/>
      <c r="B39" s="11" t="str">
        <f t="shared" ref="B39:M39" si="20">IF(B16="","",(B16/$O$23))</f>
        <v/>
      </c>
      <c r="C39" s="11" t="str">
        <f t="shared" si="20"/>
        <v/>
      </c>
      <c r="D39" s="11" t="str">
        <f t="shared" si="20"/>
        <v/>
      </c>
      <c r="E39" s="11" t="str">
        <f t="shared" si="20"/>
        <v/>
      </c>
      <c r="F39" s="11" t="str">
        <f t="shared" si="20"/>
        <v/>
      </c>
      <c r="G39" s="11" t="str">
        <f t="shared" si="20"/>
        <v/>
      </c>
      <c r="H39" s="11" t="str">
        <f t="shared" si="20"/>
        <v/>
      </c>
      <c r="I39" s="11" t="str">
        <f t="shared" si="20"/>
        <v/>
      </c>
      <c r="J39" s="11" t="str">
        <f t="shared" si="20"/>
        <v/>
      </c>
      <c r="K39" s="11" t="str">
        <f t="shared" si="20"/>
        <v/>
      </c>
      <c r="L39" s="11" t="str">
        <f t="shared" si="20"/>
        <v/>
      </c>
      <c r="M39" s="11" t="str">
        <f t="shared" si="20"/>
        <v/>
      </c>
      <c r="N39" s="6"/>
      <c r="O39" s="11">
        <f t="shared" si="19"/>
        <v>0.53220445975309427</v>
      </c>
      <c r="P39" s="11" t="str">
        <f t="shared" si="19"/>
        <v/>
      </c>
      <c r="Q39" s="11" t="str">
        <f t="shared" si="19"/>
        <v/>
      </c>
      <c r="R39" s="11" t="str">
        <f t="shared" si="19"/>
        <v/>
      </c>
      <c r="S39" s="11" t="str">
        <f t="shared" si="19"/>
        <v/>
      </c>
      <c r="T39" s="11" t="str">
        <f t="shared" si="19"/>
        <v/>
      </c>
      <c r="U39" s="11" t="str">
        <f t="shared" si="19"/>
        <v/>
      </c>
      <c r="V39" s="11" t="str">
        <f t="shared" si="19"/>
        <v/>
      </c>
    </row>
    <row r="40" spans="1:22" x14ac:dyDescent="0.35">
      <c r="A40" s="221"/>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si="19"/>
        <v>0.54273412765891893</v>
      </c>
      <c r="P40" s="11" t="str">
        <f t="shared" si="19"/>
        <v/>
      </c>
      <c r="Q40" s="11" t="str">
        <f t="shared" si="19"/>
        <v/>
      </c>
      <c r="R40" s="11" t="str">
        <f t="shared" si="19"/>
        <v/>
      </c>
      <c r="S40" s="11" t="str">
        <f t="shared" si="19"/>
        <v/>
      </c>
      <c r="T40" s="11" t="str">
        <f t="shared" si="19"/>
        <v/>
      </c>
      <c r="U40" s="11" t="str">
        <f t="shared" si="19"/>
        <v/>
      </c>
      <c r="V40" s="11" t="str">
        <f t="shared" si="19"/>
        <v/>
      </c>
    </row>
    <row r="41" spans="1:22" x14ac:dyDescent="0.35">
      <c r="A41" s="221"/>
      <c r="B41" s="11" t="str">
        <f t="shared" ref="B41:M41" si="22">IF(B18="","",(B18/$O$23))</f>
        <v/>
      </c>
      <c r="C41" s="11" t="str">
        <f t="shared" si="22"/>
        <v/>
      </c>
      <c r="D41" s="11" t="str">
        <f t="shared" si="22"/>
        <v/>
      </c>
      <c r="E41" s="11" t="str">
        <f t="shared" si="22"/>
        <v/>
      </c>
      <c r="F41" s="11" t="str">
        <f t="shared" si="22"/>
        <v/>
      </c>
      <c r="G41" s="11" t="str">
        <f t="shared" si="22"/>
        <v/>
      </c>
      <c r="H41" s="11" t="str">
        <f t="shared" si="22"/>
        <v/>
      </c>
      <c r="I41" s="11" t="str">
        <f t="shared" si="22"/>
        <v/>
      </c>
      <c r="J41" s="11" t="str">
        <f t="shared" si="22"/>
        <v/>
      </c>
      <c r="K41" s="11" t="str">
        <f t="shared" si="22"/>
        <v/>
      </c>
      <c r="L41" s="11" t="str">
        <f t="shared" si="22"/>
        <v/>
      </c>
      <c r="M41" s="11" t="str">
        <f t="shared" si="22"/>
        <v/>
      </c>
      <c r="N41" s="6"/>
      <c r="O41" s="11">
        <f t="shared" si="19"/>
        <v>1.0826715476045639</v>
      </c>
      <c r="P41" s="11" t="str">
        <f t="shared" si="19"/>
        <v/>
      </c>
      <c r="Q41" s="11" t="str">
        <f t="shared" si="19"/>
        <v/>
      </c>
      <c r="R41" s="11" t="str">
        <f t="shared" si="19"/>
        <v/>
      </c>
      <c r="S41" s="11" t="str">
        <f t="shared" si="19"/>
        <v/>
      </c>
      <c r="T41" s="11" t="str">
        <f t="shared" si="19"/>
        <v/>
      </c>
      <c r="U41" s="11" t="str">
        <f t="shared" si="19"/>
        <v/>
      </c>
      <c r="V41" s="11" t="str">
        <f t="shared" si="19"/>
        <v/>
      </c>
    </row>
    <row r="42" spans="1:22" x14ac:dyDescent="0.35">
      <c r="A42" s="221"/>
      <c r="B42" s="11" t="str">
        <f t="shared" ref="B42:M42" si="23">IF(B19="","",(B19/$O$23))</f>
        <v/>
      </c>
      <c r="C42" s="11" t="str">
        <f t="shared" si="23"/>
        <v/>
      </c>
      <c r="D42" s="11" t="str">
        <f t="shared" si="23"/>
        <v/>
      </c>
      <c r="E42" s="11" t="str">
        <f t="shared" si="23"/>
        <v/>
      </c>
      <c r="F42" s="11" t="str">
        <f t="shared" si="23"/>
        <v/>
      </c>
      <c r="G42" s="11" t="str">
        <f t="shared" si="23"/>
        <v/>
      </c>
      <c r="H42" s="11" t="str">
        <f t="shared" si="23"/>
        <v/>
      </c>
      <c r="I42" s="11" t="str">
        <f t="shared" si="23"/>
        <v/>
      </c>
      <c r="J42" s="11" t="str">
        <f t="shared" si="23"/>
        <v/>
      </c>
      <c r="K42" s="11" t="str">
        <f t="shared" si="23"/>
        <v/>
      </c>
      <c r="L42" s="11" t="str">
        <f t="shared" si="23"/>
        <v/>
      </c>
      <c r="M42" s="11" t="str">
        <f t="shared" si="23"/>
        <v/>
      </c>
      <c r="N42" s="6"/>
      <c r="O42" s="11">
        <f t="shared" si="19"/>
        <v>2.3967015535191796</v>
      </c>
      <c r="P42" s="11" t="str">
        <f t="shared" si="19"/>
        <v/>
      </c>
      <c r="Q42" s="11" t="str">
        <f t="shared" si="19"/>
        <v/>
      </c>
      <c r="R42" s="11" t="str">
        <f t="shared" si="19"/>
        <v/>
      </c>
      <c r="S42" s="11" t="str">
        <f t="shared" si="19"/>
        <v/>
      </c>
      <c r="T42" s="11" t="str">
        <f t="shared" si="19"/>
        <v/>
      </c>
      <c r="U42" s="11" t="str">
        <f t="shared" si="19"/>
        <v/>
      </c>
      <c r="V42" s="11" t="str">
        <f t="shared" si="19"/>
        <v/>
      </c>
    </row>
    <row r="43" spans="1:22" x14ac:dyDescent="0.35">
      <c r="A43" s="221"/>
      <c r="B43" s="11" t="str">
        <f t="shared" ref="B43:M43" si="24">IF(B20="","",(B20/$O$23))</f>
        <v/>
      </c>
      <c r="C43" s="11" t="str">
        <f t="shared" si="24"/>
        <v/>
      </c>
      <c r="D43" s="11" t="str">
        <f t="shared" si="24"/>
        <v/>
      </c>
      <c r="E43" s="11" t="str">
        <f t="shared" si="24"/>
        <v/>
      </c>
      <c r="F43" s="11" t="str">
        <f t="shared" si="24"/>
        <v/>
      </c>
      <c r="G43" s="11" t="str">
        <f t="shared" si="24"/>
        <v/>
      </c>
      <c r="H43" s="11" t="str">
        <f t="shared" si="24"/>
        <v/>
      </c>
      <c r="I43" s="11" t="str">
        <f t="shared" si="24"/>
        <v/>
      </c>
      <c r="J43" s="11" t="str">
        <f t="shared" si="24"/>
        <v/>
      </c>
      <c r="K43" s="11" t="str">
        <f t="shared" si="24"/>
        <v/>
      </c>
      <c r="L43" s="11" t="str">
        <f t="shared" si="24"/>
        <v/>
      </c>
      <c r="M43" s="11" t="str">
        <f t="shared" si="24"/>
        <v/>
      </c>
      <c r="N43" s="6"/>
      <c r="O43" s="11">
        <f t="shared" si="19"/>
        <v>1.0296081191260744</v>
      </c>
      <c r="P43" s="11" t="str">
        <f t="shared" si="19"/>
        <v/>
      </c>
      <c r="Q43" s="11" t="str">
        <f t="shared" si="19"/>
        <v/>
      </c>
      <c r="R43" s="11" t="str">
        <f t="shared" si="19"/>
        <v/>
      </c>
      <c r="S43" s="11" t="str">
        <f t="shared" si="19"/>
        <v/>
      </c>
      <c r="T43" s="11" t="str">
        <f t="shared" si="19"/>
        <v/>
      </c>
      <c r="U43" s="11" t="str">
        <f t="shared" si="19"/>
        <v/>
      </c>
      <c r="V43" s="11" t="str">
        <f t="shared" si="19"/>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5">B4</f>
        <v>Témoin solvant</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BPA-1mg/L</v>
      </c>
      <c r="J45" s="7" t="str">
        <f t="shared" si="25"/>
        <v>BPA-2mg/L</v>
      </c>
      <c r="K45" s="7" t="str">
        <f t="shared" si="25"/>
        <v>BPA-3mg/L</v>
      </c>
      <c r="L45" s="7" t="str">
        <f t="shared" si="25"/>
        <v>BPA-4mg/L</v>
      </c>
      <c r="M45" s="7" t="str">
        <f t="shared" si="25"/>
        <v>BPA-5mg/L</v>
      </c>
      <c r="N45" s="7"/>
      <c r="O45" s="7" t="str">
        <f t="shared" si="25"/>
        <v>Testo -30µg/L</v>
      </c>
      <c r="P45" s="7" t="str">
        <f t="shared" si="25"/>
        <v>Testo 30µg/L + EE2 -64ng/L</v>
      </c>
      <c r="Q45" s="7" t="str">
        <f t="shared" si="25"/>
        <v>Testo 30µg/L + FAD-10mg/L</v>
      </c>
      <c r="R45" s="7" t="str">
        <f t="shared" si="25"/>
        <v>BPA-1mg/L + Testostérone</v>
      </c>
      <c r="S45" s="7" t="str">
        <f t="shared" si="25"/>
        <v>BPA-2mg/L + Testostérone</v>
      </c>
      <c r="T45" s="7" t="str">
        <f t="shared" si="25"/>
        <v>BPA-3mg/L + Testostérone</v>
      </c>
      <c r="U45" s="7" t="str">
        <f t="shared" si="25"/>
        <v>BPA-4mg/L + Testostérone</v>
      </c>
      <c r="V45" s="7" t="str">
        <f t="shared" si="25"/>
        <v>BPA-5mg/L + Testostérone</v>
      </c>
    </row>
    <row r="46" spans="1:22" x14ac:dyDescent="0.35">
      <c r="A46" s="8" t="s">
        <v>0</v>
      </c>
      <c r="B46" s="10">
        <f t="shared" ref="B46:H46" si="26">AVERAGE(B28:B43)</f>
        <v>0.13001945034956752</v>
      </c>
      <c r="C46" s="10">
        <f t="shared" si="26"/>
        <v>0.10018487471772357</v>
      </c>
      <c r="D46" s="10">
        <f t="shared" si="26"/>
        <v>0.1209516853165217</v>
      </c>
      <c r="E46" s="10">
        <f t="shared" si="26"/>
        <v>0.28814751673523908</v>
      </c>
      <c r="F46" s="10">
        <f t="shared" si="26"/>
        <v>0.9832622703276801</v>
      </c>
      <c r="G46" s="10">
        <f t="shared" si="26"/>
        <v>0.87027087659077784</v>
      </c>
      <c r="H46" s="10">
        <f t="shared" si="26"/>
        <v>3.2440189065899312</v>
      </c>
      <c r="I46" s="10">
        <f>AVERAGE(I28:I43)</f>
        <v>6.718623306072477E-2</v>
      </c>
      <c r="J46" s="9">
        <f>AVERAGE(J28:J43)</f>
        <v>0.10028740719824733</v>
      </c>
      <c r="K46" s="9">
        <f t="shared" ref="K46:M46" si="27">AVERAGE(K28:K43)</f>
        <v>0.33881824899306923</v>
      </c>
      <c r="L46" s="9">
        <f t="shared" si="27"/>
        <v>0.87302813019124847</v>
      </c>
      <c r="M46" s="9">
        <f t="shared" si="27"/>
        <v>1.0449462986420235</v>
      </c>
      <c r="N46" s="8" t="s">
        <v>0</v>
      </c>
      <c r="O46" s="10">
        <f t="shared" ref="O46:V46" si="28">AVERAGE(O28:O43)</f>
        <v>0.99999999999999989</v>
      </c>
      <c r="P46" s="10">
        <f t="shared" si="28"/>
        <v>1.8253587975327716</v>
      </c>
      <c r="Q46" s="10">
        <f t="shared" si="28"/>
        <v>0.10529334680182618</v>
      </c>
      <c r="R46" s="10">
        <f t="shared" si="28"/>
        <v>1.2125207724555098</v>
      </c>
      <c r="S46" s="10">
        <f t="shared" si="28"/>
        <v>1.2371086627967465</v>
      </c>
      <c r="T46" s="10">
        <f t="shared" si="28"/>
        <v>1.8797703237998578</v>
      </c>
      <c r="U46" s="10">
        <f t="shared" si="28"/>
        <v>2.5851147897438156</v>
      </c>
      <c r="V46" s="10">
        <f t="shared" si="28"/>
        <v>1.9773820832422431</v>
      </c>
    </row>
    <row r="47" spans="1:22" x14ac:dyDescent="0.35">
      <c r="A47" s="8" t="s">
        <v>1</v>
      </c>
      <c r="B47" s="8">
        <f t="shared" ref="B47:M47" si="29">STDEV(B28:B43)</f>
        <v>0.12622929415752243</v>
      </c>
      <c r="C47" s="8">
        <f t="shared" si="29"/>
        <v>0.13056320675260424</v>
      </c>
      <c r="D47" s="8">
        <f t="shared" si="29"/>
        <v>7.2430881459281782E-2</v>
      </c>
      <c r="E47" s="8">
        <f t="shared" si="29"/>
        <v>0.29066040292345985</v>
      </c>
      <c r="F47" s="8">
        <f t="shared" si="29"/>
        <v>0.73460424984932549</v>
      </c>
      <c r="G47" s="8">
        <f t="shared" si="29"/>
        <v>0.48413148626142904</v>
      </c>
      <c r="H47" s="8">
        <f t="shared" si="29"/>
        <v>0.62752808059466336</v>
      </c>
      <c r="I47" s="8">
        <f t="shared" si="29"/>
        <v>7.5166845130175075E-2</v>
      </c>
      <c r="J47" s="8">
        <f t="shared" si="29"/>
        <v>6.113082478525976E-2</v>
      </c>
      <c r="K47" s="8">
        <f t="shared" si="29"/>
        <v>0.38567059720895619</v>
      </c>
      <c r="L47" s="8">
        <f t="shared" si="29"/>
        <v>0.73661524844136717</v>
      </c>
      <c r="M47" s="8">
        <f t="shared" si="29"/>
        <v>0.52543323477465176</v>
      </c>
      <c r="N47" s="8" t="s">
        <v>1</v>
      </c>
      <c r="O47" s="8">
        <f t="shared" ref="O47:V47" si="30">STDEV(O28:O43)</f>
        <v>0.57842552979939654</v>
      </c>
      <c r="P47" s="8">
        <f t="shared" si="30"/>
        <v>0.60964213078833718</v>
      </c>
      <c r="Q47" s="8">
        <f t="shared" si="30"/>
        <v>5.3661197809526245E-2</v>
      </c>
      <c r="R47" s="8">
        <f t="shared" si="30"/>
        <v>0.33756664874359699</v>
      </c>
      <c r="S47" s="8">
        <f t="shared" si="30"/>
        <v>0.64627856795727934</v>
      </c>
      <c r="T47" s="8">
        <f t="shared" si="30"/>
        <v>0.65603589471921653</v>
      </c>
      <c r="U47" s="8">
        <f t="shared" si="30"/>
        <v>1.0475892049463098</v>
      </c>
      <c r="V47" s="8">
        <f t="shared" si="30"/>
        <v>1.2552618941950704</v>
      </c>
    </row>
    <row r="48" spans="1:22" x14ac:dyDescent="0.35">
      <c r="A48" s="8" t="s">
        <v>2</v>
      </c>
      <c r="B48" s="8">
        <f t="shared" ref="B48:M48" si="31" xml:space="preserve"> B47/SQRT(COUNT(B28:B43))</f>
        <v>4.4628794941587772E-2</v>
      </c>
      <c r="C48" s="8">
        <f t="shared" si="31"/>
        <v>4.6161064434113844E-2</v>
      </c>
      <c r="D48" s="8">
        <f t="shared" si="31"/>
        <v>2.560818372358856E-2</v>
      </c>
      <c r="E48" s="8">
        <f t="shared" si="31"/>
        <v>0.10276397096479632</v>
      </c>
      <c r="F48" s="8">
        <f t="shared" si="31"/>
        <v>0.27765430816463899</v>
      </c>
      <c r="G48" s="8">
        <f t="shared" si="31"/>
        <v>0.17116632846068916</v>
      </c>
      <c r="H48" s="8">
        <f t="shared" si="31"/>
        <v>0.22186468058673237</v>
      </c>
      <c r="I48" s="8">
        <f t="shared" si="31"/>
        <v>2.6575492955972904E-2</v>
      </c>
      <c r="J48" s="8">
        <f t="shared" si="31"/>
        <v>2.1613010372591925E-2</v>
      </c>
      <c r="K48" s="8">
        <f t="shared" si="31"/>
        <v>0.13635514729535925</v>
      </c>
      <c r="L48" s="8">
        <f t="shared" si="31"/>
        <v>0.26043281864915208</v>
      </c>
      <c r="M48" s="8">
        <f t="shared" si="31"/>
        <v>0.18576870168496976</v>
      </c>
      <c r="N48" s="8" t="s">
        <v>2</v>
      </c>
      <c r="O48" s="8">
        <f t="shared" ref="O48:V48" si="32" xml:space="preserve"> O47/SQRT(COUNT(O28:O43))</f>
        <v>0.14460638244984914</v>
      </c>
      <c r="P48" s="8">
        <f t="shared" si="32"/>
        <v>0.21554104238872465</v>
      </c>
      <c r="Q48" s="8">
        <f t="shared" si="32"/>
        <v>2.0282026351121484E-2</v>
      </c>
      <c r="R48" s="8">
        <f t="shared" si="32"/>
        <v>0.11934783321450738</v>
      </c>
      <c r="S48" s="8">
        <f t="shared" si="32"/>
        <v>0.2284939789690616</v>
      </c>
      <c r="T48" s="8">
        <f t="shared" si="32"/>
        <v>0.23194371492887098</v>
      </c>
      <c r="U48" s="8">
        <f t="shared" si="32"/>
        <v>0.37037871535767974</v>
      </c>
      <c r="V48" s="8">
        <f t="shared" si="32"/>
        <v>0.44380209877520238</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row r="52" spans="1:22" x14ac:dyDescent="0.35">
      <c r="A52" s="45" t="str">
        <f t="shared" ref="A52:H52" si="33">A27</f>
        <v>Noms des groupes</v>
      </c>
      <c r="B52" s="46" t="str">
        <f t="shared" si="33"/>
        <v>Témoin solvant</v>
      </c>
      <c r="C52" s="46" t="str">
        <f t="shared" si="33"/>
        <v>EE2-33,8ng/L</v>
      </c>
      <c r="D52" s="46" t="str">
        <f t="shared" si="33"/>
        <v>EE2-50,6ng/L</v>
      </c>
      <c r="E52" s="46" t="str">
        <f t="shared" si="33"/>
        <v>EE2-76ng/L</v>
      </c>
      <c r="F52" s="46" t="str">
        <f t="shared" si="33"/>
        <v>EE2-114ng/L</v>
      </c>
      <c r="G52" s="46" t="str">
        <f t="shared" si="33"/>
        <v>EE2-170,9ng/L</v>
      </c>
      <c r="H52" s="46" t="str">
        <f t="shared" si="33"/>
        <v>EE2-488ng/L</v>
      </c>
      <c r="I52" s="46" t="str">
        <f>I4</f>
        <v>BPA-1mg/L</v>
      </c>
      <c r="J52" s="46" t="str">
        <f>J4</f>
        <v>BPA-2mg/L</v>
      </c>
      <c r="K52" s="46" t="str">
        <f t="shared" ref="K52:M52" si="34">K4</f>
        <v>BPA-3mg/L</v>
      </c>
      <c r="L52" s="46" t="str">
        <f t="shared" si="34"/>
        <v>BPA-4mg/L</v>
      </c>
      <c r="M52" s="46" t="str">
        <f t="shared" si="34"/>
        <v>BPA-5mg/L</v>
      </c>
      <c r="N52" s="47"/>
      <c r="O52" s="46" t="str">
        <f>O27</f>
        <v>Testo -30µg/L</v>
      </c>
      <c r="P52" s="46" t="str">
        <f>P27</f>
        <v>Testo 30µg/L + EE2 -64ng/L</v>
      </c>
      <c r="Q52" s="46" t="str">
        <f>Q27</f>
        <v>Testo 30µg/L + FAD-10mg/L</v>
      </c>
      <c r="R52" s="46" t="str">
        <f>R27</f>
        <v>BPA-1mg/L + Testostérone</v>
      </c>
      <c r="S52" s="46" t="str">
        <f t="shared" ref="S52:V52" si="35">S27</f>
        <v>BPA-2mg/L + Testostérone</v>
      </c>
      <c r="T52" s="46" t="str">
        <f t="shared" si="35"/>
        <v>BPA-3mg/L + Testostérone</v>
      </c>
      <c r="U52" s="46" t="str">
        <f t="shared" si="35"/>
        <v>BPA-4mg/L + Testostérone</v>
      </c>
      <c r="V52" s="46" t="str">
        <f t="shared" si="35"/>
        <v>BPA-5mg/L + Testostérone</v>
      </c>
    </row>
    <row r="53" spans="1:22" s="3" customFormat="1" x14ac:dyDescent="0.35">
      <c r="A53" s="61" t="s">
        <v>32</v>
      </c>
      <c r="B53" s="142">
        <f t="shared" ref="B53:V53" si="36">B46</f>
        <v>0.13001945034956752</v>
      </c>
      <c r="C53" s="142">
        <f t="shared" si="36"/>
        <v>0.10018487471772357</v>
      </c>
      <c r="D53" s="142">
        <f t="shared" si="36"/>
        <v>0.1209516853165217</v>
      </c>
      <c r="E53" s="142">
        <f t="shared" si="36"/>
        <v>0.28814751673523908</v>
      </c>
      <c r="F53" s="142">
        <f t="shared" si="36"/>
        <v>0.9832622703276801</v>
      </c>
      <c r="G53" s="142">
        <f t="shared" si="36"/>
        <v>0.87027087659077784</v>
      </c>
      <c r="H53" s="142">
        <f t="shared" si="36"/>
        <v>3.2440189065899312</v>
      </c>
      <c r="I53" s="142">
        <f t="shared" si="36"/>
        <v>6.718623306072477E-2</v>
      </c>
      <c r="J53" s="142">
        <f t="shared" si="36"/>
        <v>0.10028740719824733</v>
      </c>
      <c r="K53" s="142">
        <f t="shared" si="36"/>
        <v>0.33881824899306923</v>
      </c>
      <c r="L53" s="142">
        <f t="shared" si="36"/>
        <v>0.87302813019124847</v>
      </c>
      <c r="M53" s="142">
        <f t="shared" si="36"/>
        <v>1.0449462986420235</v>
      </c>
      <c r="N53" s="142"/>
      <c r="O53" s="142">
        <f t="shared" si="36"/>
        <v>0.99999999999999989</v>
      </c>
      <c r="P53" s="142">
        <f t="shared" si="36"/>
        <v>1.8253587975327716</v>
      </c>
      <c r="Q53" s="142">
        <f t="shared" si="36"/>
        <v>0.10529334680182618</v>
      </c>
      <c r="R53" s="142">
        <f t="shared" si="36"/>
        <v>1.2125207724555098</v>
      </c>
      <c r="S53" s="142">
        <f t="shared" si="36"/>
        <v>1.2371086627967465</v>
      </c>
      <c r="T53" s="142">
        <f t="shared" si="36"/>
        <v>1.8797703237998578</v>
      </c>
      <c r="U53" s="142">
        <f t="shared" si="36"/>
        <v>2.5851147897438156</v>
      </c>
      <c r="V53" s="142">
        <f t="shared" si="36"/>
        <v>1.9773820832422431</v>
      </c>
    </row>
    <row r="54" spans="1:22" s="3" customFormat="1" x14ac:dyDescent="0.35">
      <c r="A54" s="61" t="s">
        <v>2</v>
      </c>
      <c r="B54" s="142">
        <f t="shared" ref="B54:V54" si="37">B48</f>
        <v>4.4628794941587772E-2</v>
      </c>
      <c r="C54" s="142">
        <f t="shared" si="37"/>
        <v>4.6161064434113844E-2</v>
      </c>
      <c r="D54" s="142">
        <f t="shared" si="37"/>
        <v>2.560818372358856E-2</v>
      </c>
      <c r="E54" s="142">
        <f t="shared" si="37"/>
        <v>0.10276397096479632</v>
      </c>
      <c r="F54" s="142">
        <f t="shared" si="37"/>
        <v>0.27765430816463899</v>
      </c>
      <c r="G54" s="142">
        <f t="shared" si="37"/>
        <v>0.17116632846068916</v>
      </c>
      <c r="H54" s="142">
        <f t="shared" si="37"/>
        <v>0.22186468058673237</v>
      </c>
      <c r="I54" s="142">
        <f t="shared" si="37"/>
        <v>2.6575492955972904E-2</v>
      </c>
      <c r="J54" s="142">
        <f t="shared" si="37"/>
        <v>2.1613010372591925E-2</v>
      </c>
      <c r="K54" s="142">
        <f t="shared" si="37"/>
        <v>0.13635514729535925</v>
      </c>
      <c r="L54" s="142">
        <f t="shared" si="37"/>
        <v>0.26043281864915208</v>
      </c>
      <c r="M54" s="142">
        <f t="shared" si="37"/>
        <v>0.18576870168496976</v>
      </c>
      <c r="N54" s="142"/>
      <c r="O54" s="142">
        <f t="shared" si="37"/>
        <v>0.14460638244984914</v>
      </c>
      <c r="P54" s="142">
        <f t="shared" si="37"/>
        <v>0.21554104238872465</v>
      </c>
      <c r="Q54" s="142">
        <f t="shared" si="37"/>
        <v>2.0282026351121484E-2</v>
      </c>
      <c r="R54" s="142">
        <f t="shared" si="37"/>
        <v>0.11934783321450738</v>
      </c>
      <c r="S54" s="142">
        <f t="shared" si="37"/>
        <v>0.2284939789690616</v>
      </c>
      <c r="T54" s="142">
        <f t="shared" si="37"/>
        <v>0.23194371492887098</v>
      </c>
      <c r="U54" s="142">
        <f t="shared" si="37"/>
        <v>0.37037871535767974</v>
      </c>
      <c r="V54" s="142">
        <f t="shared" si="37"/>
        <v>0.44380209877520238</v>
      </c>
    </row>
    <row r="55" spans="1:22" s="3" customFormat="1" x14ac:dyDescent="0.35">
      <c r="A55" s="61" t="s">
        <v>79</v>
      </c>
      <c r="B55" s="142">
        <f>(B53*100/$B53)-100</f>
        <v>0</v>
      </c>
      <c r="C55" s="142">
        <f t="shared" ref="C55:V55" si="38">(C53*100/$B53)-100</f>
        <v>-22.946240390673353</v>
      </c>
      <c r="D55" s="142">
        <f t="shared" si="38"/>
        <v>-6.9741604111280395</v>
      </c>
      <c r="E55" s="142">
        <f t="shared" si="38"/>
        <v>121.61877777558036</v>
      </c>
      <c r="F55" s="142">
        <f t="shared" si="38"/>
        <v>656.24244502195791</v>
      </c>
      <c r="G55" s="142">
        <f t="shared" si="38"/>
        <v>569.33899062869909</v>
      </c>
      <c r="H55" s="142">
        <f t="shared" si="38"/>
        <v>2395.0258579528918</v>
      </c>
      <c r="I55" s="142">
        <f t="shared" si="38"/>
        <v>-48.326013623277674</v>
      </c>
      <c r="J55" s="142">
        <f t="shared" si="38"/>
        <v>-22.867381050591476</v>
      </c>
      <c r="K55" s="142">
        <f t="shared" si="38"/>
        <v>160.59043326373836</v>
      </c>
      <c r="L55" s="142">
        <f t="shared" si="38"/>
        <v>571.4596376496313</v>
      </c>
      <c r="M55" s="142">
        <f t="shared" si="38"/>
        <v>703.68459936771239</v>
      </c>
      <c r="N55" s="142"/>
      <c r="O55" s="142">
        <f t="shared" si="38"/>
        <v>669.11569562201748</v>
      </c>
      <c r="P55" s="142">
        <f t="shared" si="38"/>
        <v>1303.9121013241872</v>
      </c>
      <c r="Q55" s="142">
        <f t="shared" si="38"/>
        <v>-19.017234330143111</v>
      </c>
      <c r="R55" s="142">
        <f t="shared" si="38"/>
        <v>832.56875736326549</v>
      </c>
      <c r="S55" s="142">
        <f t="shared" si="38"/>
        <v>851.47968974694368</v>
      </c>
      <c r="T55" s="142">
        <f t="shared" si="38"/>
        <v>1345.760860198953</v>
      </c>
      <c r="U55" s="142">
        <f t="shared" si="38"/>
        <v>1888.2523597765803</v>
      </c>
      <c r="V55" s="142">
        <f t="shared" si="38"/>
        <v>1420.835596463372</v>
      </c>
    </row>
    <row r="56" spans="1:22" s="3" customFormat="1" x14ac:dyDescent="0.35">
      <c r="A56" s="61" t="s">
        <v>81</v>
      </c>
      <c r="B56" s="142" t="e">
        <f ca="1">[2]!SWTEST(B28:B43)</f>
        <v>#NAME?</v>
      </c>
      <c r="C56" s="142" t="e">
        <f ca="1">[2]!SWTEST(C28:C43)</f>
        <v>#NAME?</v>
      </c>
      <c r="D56" s="142" t="e">
        <f ca="1">[2]!SWTEST(D28:D43)</f>
        <v>#NAME?</v>
      </c>
      <c r="E56" s="142" t="e">
        <f ca="1">[2]!SWTEST(E28:E43)</f>
        <v>#NAME?</v>
      </c>
      <c r="F56" s="142" t="e">
        <f ca="1">[2]!SWTEST(F28:F43)</f>
        <v>#NAME?</v>
      </c>
      <c r="G56" s="142" t="e">
        <f ca="1">[2]!SWTEST(G28:G43)</f>
        <v>#NAME?</v>
      </c>
      <c r="H56" s="142" t="e">
        <f ca="1">[2]!SWTEST(H28:H43)</f>
        <v>#NAME?</v>
      </c>
      <c r="I56" s="142" t="e">
        <f ca="1">[2]!SWTEST(I28:I43)</f>
        <v>#NAME?</v>
      </c>
      <c r="J56" s="142" t="e">
        <f ca="1">[2]!SWTEST(J28:J43)</f>
        <v>#NAME?</v>
      </c>
      <c r="K56" s="142" t="e">
        <f ca="1">[2]!SWTEST(K28:K43)</f>
        <v>#NAME?</v>
      </c>
      <c r="L56" s="142" t="e">
        <f ca="1">[2]!SWTEST(L28:L43)</f>
        <v>#NAME?</v>
      </c>
      <c r="M56" s="142" t="e">
        <f ca="1">[2]!SWTEST(M28:M43)</f>
        <v>#NAME?</v>
      </c>
      <c r="N56" s="142"/>
      <c r="O56" s="142">
        <f>[1]!SWTEST(O28:O43)</f>
        <v>0.61004115190892816</v>
      </c>
      <c r="P56" s="142">
        <f>[1]!SWTEST(P28:P43)</f>
        <v>0.67536055259623839</v>
      </c>
      <c r="Q56" s="142">
        <f>[1]!SWTEST(Q28:Q43)</f>
        <v>0.35421907131680186</v>
      </c>
      <c r="R56" s="142">
        <f>[1]!SWTEST(R28:R43)</f>
        <v>2.1987295466794454E-2</v>
      </c>
      <c r="S56" s="142">
        <f>[1]!SWTEST(S28:S43)</f>
        <v>0.61622560375618729</v>
      </c>
      <c r="T56" s="142">
        <f>[1]!SWTEST(T28:T43)</f>
        <v>0.66073145356931851</v>
      </c>
      <c r="U56" s="142">
        <f>[1]!SWTEST(U28:U43)</f>
        <v>3.7358475276952907E-3</v>
      </c>
      <c r="V56" s="142">
        <f>[1]!SWTEST(V28:V43)</f>
        <v>0.58730997621457215</v>
      </c>
    </row>
    <row r="57" spans="1:22" s="3" customFormat="1" x14ac:dyDescent="0.35">
      <c r="A57" s="61" t="s">
        <v>85</v>
      </c>
      <c r="B57" s="142" t="e">
        <f ca="1">IF(B56&gt;0.05,"Oui","Non")</f>
        <v>#NAME?</v>
      </c>
      <c r="C57" s="142" t="e">
        <f t="shared" ref="C57:V57" ca="1" si="39">IF(C56&gt;0.05,"Oui","Non")</f>
        <v>#NAME?</v>
      </c>
      <c r="D57" s="142" t="e">
        <f t="shared" ca="1" si="39"/>
        <v>#NAME?</v>
      </c>
      <c r="E57" s="142" t="e">
        <f t="shared" ca="1" si="39"/>
        <v>#NAME?</v>
      </c>
      <c r="F57" s="142" t="e">
        <f t="shared" ca="1" si="39"/>
        <v>#NAME?</v>
      </c>
      <c r="G57" s="142" t="e">
        <f t="shared" ca="1" si="39"/>
        <v>#NAME?</v>
      </c>
      <c r="H57" s="142" t="e">
        <f t="shared" ca="1" si="39"/>
        <v>#NAME?</v>
      </c>
      <c r="I57" s="142" t="e">
        <f t="shared" ca="1" si="39"/>
        <v>#NAME?</v>
      </c>
      <c r="J57" s="142" t="e">
        <f t="shared" ca="1" si="39"/>
        <v>#NAME?</v>
      </c>
      <c r="K57" s="142" t="e">
        <f t="shared" ca="1" si="39"/>
        <v>#NAME?</v>
      </c>
      <c r="L57" s="142" t="e">
        <f t="shared" ca="1" si="39"/>
        <v>#NAME?</v>
      </c>
      <c r="M57" s="142" t="e">
        <f t="shared" ca="1" si="39"/>
        <v>#NAME?</v>
      </c>
      <c r="N57" s="142"/>
      <c r="O57" s="142" t="str">
        <f t="shared" si="39"/>
        <v>Oui</v>
      </c>
      <c r="P57" s="142" t="str">
        <f t="shared" si="39"/>
        <v>Oui</v>
      </c>
      <c r="Q57" s="142" t="str">
        <f t="shared" si="39"/>
        <v>Oui</v>
      </c>
      <c r="R57" s="142" t="str">
        <f t="shared" si="39"/>
        <v>Non</v>
      </c>
      <c r="S57" s="142" t="str">
        <f t="shared" si="39"/>
        <v>Oui</v>
      </c>
      <c r="T57" s="142" t="str">
        <f t="shared" si="39"/>
        <v>Oui</v>
      </c>
      <c r="U57" s="142" t="str">
        <f t="shared" si="39"/>
        <v>Non</v>
      </c>
      <c r="V57" s="142" t="str">
        <f t="shared" si="39"/>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e">
        <f t="shared" ref="C59:O59" ca="1" si="40">IF($B57="Non",IF(C57="Non","MW",IF(C57="Oui","MW","")),IF($B57="Oui",IF(C57="Oui","T-Test Welch",IF(C57="Non","MW",""))))</f>
        <v>#NAME?</v>
      </c>
      <c r="D59" s="151" t="e">
        <f t="shared" ca="1" si="40"/>
        <v>#NAME?</v>
      </c>
      <c r="E59" s="151" t="e">
        <f t="shared" ca="1" si="40"/>
        <v>#NAME?</v>
      </c>
      <c r="F59" s="151" t="e">
        <f t="shared" ca="1" si="40"/>
        <v>#NAME?</v>
      </c>
      <c r="G59" s="151" t="e">
        <f t="shared" ca="1" si="40"/>
        <v>#NAME?</v>
      </c>
      <c r="H59" s="151" t="e">
        <f t="shared" ca="1" si="40"/>
        <v>#NAME?</v>
      </c>
      <c r="I59" s="151" t="e">
        <f t="shared" ca="1" si="40"/>
        <v>#NAME?</v>
      </c>
      <c r="J59" s="151" t="e">
        <f t="shared" ca="1" si="40"/>
        <v>#NAME?</v>
      </c>
      <c r="K59" s="151" t="e">
        <f t="shared" ca="1" si="40"/>
        <v>#NAME?</v>
      </c>
      <c r="L59" s="151" t="e">
        <f t="shared" ca="1" si="40"/>
        <v>#NAME?</v>
      </c>
      <c r="M59" s="151" t="e">
        <f t="shared" ca="1" si="40"/>
        <v>#NAME?</v>
      </c>
      <c r="N59" s="151"/>
      <c r="O59" s="151" t="e">
        <f t="shared" ca="1" si="40"/>
        <v>#NAME?</v>
      </c>
      <c r="P59" s="151" t="str">
        <f t="shared" ref="P59:V59" si="41">IF($O57="Non",IF(P57="Non","MW",IF(P57="Oui","MW","")),IF($O57="Oui",IF(P57="Oui","T-Test Welch",IF(P57="Non","MW",""))))</f>
        <v>T-Test Welch</v>
      </c>
      <c r="Q59" s="151" t="str">
        <f t="shared" si="41"/>
        <v>T-Test Welch</v>
      </c>
      <c r="R59" s="151" t="str">
        <f t="shared" si="41"/>
        <v>MW</v>
      </c>
      <c r="S59" s="151" t="str">
        <f t="shared" si="41"/>
        <v>T-Test Welch</v>
      </c>
      <c r="T59" s="151" t="str">
        <f t="shared" si="41"/>
        <v>T-Test Welch</v>
      </c>
      <c r="U59" s="151" t="str">
        <f t="shared" si="41"/>
        <v>MW</v>
      </c>
      <c r="V59" s="151" t="str">
        <f t="shared" si="41"/>
        <v>T-Test Welch</v>
      </c>
    </row>
    <row r="60" spans="1:22" s="3" customFormat="1" x14ac:dyDescent="0.35">
      <c r="A60" s="61" t="s">
        <v>83</v>
      </c>
      <c r="B60" s="152"/>
      <c r="C60" s="152" t="e">
        <f ca="1">IF(C59="MW",[2]!MTEST($B28:$B43,C28:C43,2), IF(C59="T-Test Welch",_xlfn.T.TEST($B28:$B43,C28:C43,2,3),""))</f>
        <v>#NAME?</v>
      </c>
      <c r="D60" s="152" t="e">
        <f ca="1">IF(D59="MW",[2]!MTEST($B28:$B43,D28:D43,2), IF(D59="T-Test Welch",_xlfn.T.TEST($B28:$B43,D28:D43,2,3),""))</f>
        <v>#NAME?</v>
      </c>
      <c r="E60" s="152" t="e">
        <f ca="1">IF(E59="MW",[2]!MTEST($B28:$B43,E28:E43,2), IF(E59="T-Test Welch",_xlfn.T.TEST($B28:$B43,E28:E43,2,3),""))</f>
        <v>#NAME?</v>
      </c>
      <c r="F60" s="152" t="e">
        <f ca="1">IF(F59="MW",[2]!MTEST($B28:$B43,F28:F43,2), IF(F59="T-Test Welch",_xlfn.T.TEST($B28:$B43,F28:F43,2,3),""))</f>
        <v>#NAME?</v>
      </c>
      <c r="G60" s="152" t="e">
        <f ca="1">IF(G59="MW",[2]!MTEST($B28:$B43,G28:G43,2), IF(G59="T-Test Welch",_xlfn.T.TEST($B28:$B43,G28:G43,2,3),""))</f>
        <v>#NAME?</v>
      </c>
      <c r="H60" s="152" t="e">
        <f ca="1">IF(H59="MW",[2]!MTEST($B28:$B43,H28:H43,2), IF(H59="T-Test Welch",_xlfn.T.TEST($B28:$B43,H28:H43,2,3),""))</f>
        <v>#NAME?</v>
      </c>
      <c r="I60" s="152" t="e">
        <f ca="1">IF(I59="MW",[2]!MTEST($B28:$B43,I28:I43,2), IF(I59="T-Test Welch",_xlfn.T.TEST($B28:$B43,I28:I43,2,3),""))</f>
        <v>#NAME?</v>
      </c>
      <c r="J60" s="152" t="e">
        <f ca="1">IF(J59="MW",[2]!MTEST($B28:$B43,J28:J43,2), IF(J59="T-Test Welch",_xlfn.T.TEST($B28:$B43,J28:J43,2,3),""))</f>
        <v>#NAME?</v>
      </c>
      <c r="K60" s="152" t="e">
        <f ca="1">IF(K59="MW",[2]!MTEST($B28:$B43,K28:K43,2), IF(K59="T-Test Welch",_xlfn.T.TEST($B28:$B43,K28:K43,2,3),""))</f>
        <v>#NAME?</v>
      </c>
      <c r="L60" s="152" t="e">
        <f ca="1">IF(L59="MW",[2]!MTEST($B28:$B43,L28:L43,2), IF(L59="T-Test Welch",_xlfn.T.TEST($B28:$B43,L28:L43,2,3),""))</f>
        <v>#NAME?</v>
      </c>
      <c r="M60" s="152" t="e">
        <f ca="1">IF(M59="MW",[2]!MTEST($B28:$B43,M28:M43,2), IF(M59="T-Test Welch",_xlfn.T.TEST($B28:$B43,M28:M43,2,3),""))</f>
        <v>#NAME?</v>
      </c>
      <c r="N60" s="152"/>
      <c r="O60" s="152" t="e">
        <f ca="1">IF(O59="MW",[2]!MTEST($B28:$B43,O28:O43,2), IF(O59="T-Test Welch",_xlfn.T.TEST($B28:$B43,O28:O43,2,3),""))</f>
        <v>#NAME?</v>
      </c>
      <c r="P60" s="152">
        <f>IF(P59="MW",[2]!MTEST($O28:$O43,P28:P43,2), IF(P59="T-Test Welch",_xlfn.T.TEST($O28:$O43,P28:P43,2,3),""))</f>
        <v>6.9785465697955679E-3</v>
      </c>
      <c r="Q60" s="152">
        <f>IF(Q59="MW",[2]!MTEST($O28:$O43,Q28:Q43,2), IF(Q59="T-Test Welch",_xlfn.T.TEST($O28:$O43,Q28:Q43,2,3),""))</f>
        <v>1.6381796308051025E-5</v>
      </c>
      <c r="R60" s="152" t="e">
        <f ca="1">IF(R59="MW",[2]!MTEST($O28:$O43,R28:R43,2), IF(R59="T-Test Welch",_xlfn.T.TEST($O28:$O43,R28:R43,2,3),""))</f>
        <v>#NAME?</v>
      </c>
      <c r="S60" s="152">
        <f>IF(S59="MW",[2]!MTEST($O28:$O43,S28:S43,2), IF(S59="T-Test Welch",_xlfn.T.TEST($O28:$O43,S28:S43,2,3),""))</f>
        <v>0.39675659440662692</v>
      </c>
      <c r="T60" s="152">
        <f>IF(T59="MW",[2]!MTEST($O28:$O43,T28:T43,2), IF(T59="T-Test Welch",_xlfn.T.TEST($O28:$O43,T28:T43,2,3),""))</f>
        <v>6.9590974424305809E-3</v>
      </c>
      <c r="U60" s="152" t="e">
        <f ca="1">IF(U59="MW",[2]!MTEST($O28:$O43,U28:U43,2), IF(U59="T-Test Welch",_xlfn.T.TEST($O28:$O43,U28:U43,2,3),""))</f>
        <v>#NAME?</v>
      </c>
      <c r="V60" s="152">
        <f>IF(V59="MW",[2]!MTEST($O28:$O43,V28:V43,2), IF(V59="T-Test Welch",_xlfn.T.TEST($O28:$O43,V28:V43,2,3),""))</f>
        <v>6.7483394870314461E-2</v>
      </c>
    </row>
    <row r="61" spans="1:22" s="3" customFormat="1" ht="15" thickBot="1" x14ac:dyDescent="0.4">
      <c r="A61" s="62" t="s">
        <v>84</v>
      </c>
      <c r="B61" s="143"/>
      <c r="C61" s="143" t="e">
        <f t="shared" ref="C61:O61" ca="1" si="42">IF(C60&gt;0.05,"NS",IF(C60&gt;0.01,"*",IF(C60&gt;0.001,"**","***")))</f>
        <v>#NAME?</v>
      </c>
      <c r="D61" s="143" t="e">
        <f t="shared" ca="1" si="42"/>
        <v>#NAME?</v>
      </c>
      <c r="E61" s="143" t="e">
        <f t="shared" ca="1" si="42"/>
        <v>#NAME?</v>
      </c>
      <c r="F61" s="143" t="e">
        <f t="shared" ca="1" si="42"/>
        <v>#NAME?</v>
      </c>
      <c r="G61" s="143" t="e">
        <f t="shared" ca="1" si="42"/>
        <v>#NAME?</v>
      </c>
      <c r="H61" s="143" t="e">
        <f t="shared" ca="1" si="42"/>
        <v>#NAME?</v>
      </c>
      <c r="I61" s="143" t="e">
        <f t="shared" ca="1" si="42"/>
        <v>#NAME?</v>
      </c>
      <c r="J61" s="143" t="e">
        <f t="shared" ca="1" si="42"/>
        <v>#NAME?</v>
      </c>
      <c r="K61" s="143" t="e">
        <f t="shared" ca="1" si="42"/>
        <v>#NAME?</v>
      </c>
      <c r="L61" s="143" t="e">
        <f t="shared" ca="1" si="42"/>
        <v>#NAME?</v>
      </c>
      <c r="M61" s="143" t="e">
        <f t="shared" ca="1" si="42"/>
        <v>#NAME?</v>
      </c>
      <c r="N61" s="143"/>
      <c r="O61" s="143" t="e">
        <f t="shared" ca="1" si="42"/>
        <v>#NAME?</v>
      </c>
      <c r="P61" s="143" t="str">
        <f>IF(P60&gt;0.05,"NS",IF(P60&gt;0.01,"*",IF(P60&gt;0.001,"**","***")))</f>
        <v>**</v>
      </c>
      <c r="Q61" s="143" t="str">
        <f t="shared" ref="Q61:V61" si="43">IF(Q60&gt;0.05,"NS",IF(Q60&gt;0.01,"*",IF(Q60&gt;0.001,"**","***")))</f>
        <v>***</v>
      </c>
      <c r="R61" s="143" t="e">
        <f t="shared" ca="1" si="43"/>
        <v>#NAME?</v>
      </c>
      <c r="S61" s="143" t="str">
        <f t="shared" si="43"/>
        <v>NS</v>
      </c>
      <c r="T61" s="143" t="str">
        <f t="shared" si="43"/>
        <v>**</v>
      </c>
      <c r="U61" s="143" t="e">
        <f t="shared" ca="1" si="43"/>
        <v>#NAME?</v>
      </c>
      <c r="V61" s="143" t="str">
        <f t="shared" si="43"/>
        <v>NS</v>
      </c>
    </row>
    <row r="63" spans="1:22" x14ac:dyDescent="0.35">
      <c r="A63" s="2" t="s">
        <v>39</v>
      </c>
    </row>
    <row r="64" spans="1:22" x14ac:dyDescent="0.35">
      <c r="A64" s="1" t="s">
        <v>23</v>
      </c>
      <c r="B64" s="1">
        <f>B46+(3*B47)</f>
        <v>0.50870733282213476</v>
      </c>
    </row>
    <row r="65" spans="1:22" x14ac:dyDescent="0.35">
      <c r="A65" s="1" t="s">
        <v>24</v>
      </c>
      <c r="B65" s="1">
        <f>B46+(10*B47)</f>
        <v>1.3923123919247919</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4"/>
  <sheetViews>
    <sheetView showGridLines="0" tabSelected="1" topLeftCell="A55" zoomScale="40" zoomScaleNormal="4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18" t="s">
        <v>6</v>
      </c>
      <c r="C3" s="219"/>
      <c r="D3" s="219"/>
      <c r="E3" s="219"/>
      <c r="F3" s="219"/>
      <c r="G3" s="219"/>
      <c r="H3" s="219"/>
      <c r="I3" s="219"/>
      <c r="J3" s="219"/>
      <c r="K3" s="219"/>
      <c r="L3" s="219"/>
      <c r="M3" s="219"/>
      <c r="N3" s="72"/>
      <c r="O3" s="218" t="s">
        <v>3</v>
      </c>
      <c r="P3" s="219"/>
      <c r="Q3" s="219"/>
      <c r="R3" s="219"/>
      <c r="S3" s="219"/>
      <c r="T3" s="219"/>
      <c r="U3" s="219"/>
      <c r="V3" s="219"/>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BPA-1mg/L</v>
      </c>
      <c r="J4" s="35" t="str">
        <f>'R1'!J4</f>
        <v>BPA-2mg/L</v>
      </c>
      <c r="K4" s="35" t="str">
        <f>'R1'!K4</f>
        <v>BPA-3mg/L</v>
      </c>
      <c r="L4" s="35" t="str">
        <f>'R1'!L4</f>
        <v>BPA-4mg/L</v>
      </c>
      <c r="M4" s="35" t="str">
        <f>'R1'!M4</f>
        <v>BPA-5mg/L</v>
      </c>
      <c r="O4" s="35" t="str">
        <f>'R1'!O4</f>
        <v>Testo -30µg/L</v>
      </c>
      <c r="P4" s="35" t="str">
        <f>'R1'!P4</f>
        <v>Testo 30µg/L + EE2 -64ng/L</v>
      </c>
      <c r="Q4" s="35" t="str">
        <f>'R1'!Q4</f>
        <v>Testo 30µg/L + FAD-10mg/L</v>
      </c>
      <c r="R4" s="35" t="str">
        <f>'R1'!R4</f>
        <v>BPA-1mg/L + Testostérone</v>
      </c>
      <c r="S4" s="35" t="str">
        <f>'R1'!S4</f>
        <v>BPA-2mg/L + Testostérone</v>
      </c>
      <c r="T4" s="35" t="str">
        <f>'R1'!T4</f>
        <v>BPA-3mg/L + Testostérone</v>
      </c>
      <c r="U4" s="35" t="str">
        <f>'R1'!U4</f>
        <v>BPA-4mg/L + Testostérone</v>
      </c>
      <c r="V4" s="35" t="str">
        <f>'R1'!V4</f>
        <v>BPA-5mg/L + Testostérone</v>
      </c>
    </row>
    <row r="5" spans="1:22" s="1" customFormat="1" x14ac:dyDescent="0.35">
      <c r="A5" s="34"/>
      <c r="B5" s="35"/>
      <c r="C5" s="195"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1.6299997345091365E-2</v>
      </c>
      <c r="C6" s="53">
        <f>'R1'!C28</f>
        <v>0.1472414132257934</v>
      </c>
      <c r="D6" s="53">
        <f>'R1'!D28</f>
        <v>0.3129107566031939</v>
      </c>
      <c r="E6" s="53">
        <f>'R1'!E28</f>
        <v>0.61977332888798875</v>
      </c>
      <c r="F6" s="53">
        <f>'R1'!F28</f>
        <v>0.10916487580510655</v>
      </c>
      <c r="G6" s="53">
        <f>'R1'!G28</f>
        <v>1.3463821842431083</v>
      </c>
      <c r="H6" s="53">
        <f>'R1'!H28</f>
        <v>2.8300309364455636</v>
      </c>
      <c r="I6" s="53">
        <f>'R1'!I28</f>
        <v>2.3980584936561154E-2</v>
      </c>
      <c r="J6" s="53">
        <f>'R1'!J28</f>
        <v>2.7858774523616903E-2</v>
      </c>
      <c r="K6" s="53">
        <f>'R1'!K28</f>
        <v>0.32345043343161101</v>
      </c>
      <c r="L6" s="53">
        <f>'R1'!L28</f>
        <v>0.850393094225111</v>
      </c>
      <c r="M6" s="53">
        <f>'R1'!M28</f>
        <v>1.8031581835726012</v>
      </c>
      <c r="N6"/>
      <c r="O6" s="53">
        <f>'R1'!O28</f>
        <v>0.4837060465529166</v>
      </c>
      <c r="P6" s="53">
        <f>'R1'!P28</f>
        <v>1.39527544637041</v>
      </c>
      <c r="Q6" s="53">
        <f>'R1'!Q28</f>
        <v>2.1580411328970851E-2</v>
      </c>
      <c r="R6" s="53">
        <f>'R1'!R28</f>
        <v>1.0714093610035502</v>
      </c>
      <c r="S6" s="53">
        <f>'R1'!S28</f>
        <v>0.46758615436403933</v>
      </c>
      <c r="T6" s="53">
        <f>'R1'!T28</f>
        <v>0.50576972936866849</v>
      </c>
      <c r="U6" s="53">
        <f>'R1'!U28</f>
        <v>1.2864640509697591</v>
      </c>
      <c r="V6" s="53">
        <f>'R1'!V28</f>
        <v>1.7314595066294449</v>
      </c>
    </row>
    <row r="7" spans="1:22" s="1" customFormat="1" x14ac:dyDescent="0.35">
      <c r="A7" s="222" t="s">
        <v>34</v>
      </c>
      <c r="B7" s="53">
        <f>'R1'!B29</f>
        <v>5.5911594727105086E-2</v>
      </c>
      <c r="C7" s="53">
        <f>'R1'!C29</f>
        <v>6.2375671334608952E-2</v>
      </c>
      <c r="D7" s="53">
        <f>'R1'!D29</f>
        <v>1.7877039113293764E-2</v>
      </c>
      <c r="E7" s="53">
        <f>'R1'!E29</f>
        <v>0.319786799720152</v>
      </c>
      <c r="F7" s="53">
        <f>'R1'!F29</f>
        <v>0.49525777335166149</v>
      </c>
      <c r="G7" s="53">
        <f>'R1'!G29</f>
        <v>0.48762942266492998</v>
      </c>
      <c r="H7" s="53">
        <f>'R1'!H29</f>
        <v>0.41320977983416529</v>
      </c>
      <c r="I7" s="53">
        <f>'R1'!I29</f>
        <v>1.4456323032458076E-2</v>
      </c>
      <c r="J7" s="53">
        <f>'R1'!J29</f>
        <v>0.25086420981561686</v>
      </c>
      <c r="K7" s="53">
        <f>'R1'!K29</f>
        <v>4.6373873007057179E-3</v>
      </c>
      <c r="L7" s="53">
        <f>'R1'!L29</f>
        <v>1.6286265128109556</v>
      </c>
      <c r="M7" s="53">
        <f>'R1'!M29</f>
        <v>3.1193123452139943E-2</v>
      </c>
      <c r="N7"/>
      <c r="O7" s="53">
        <f>'R1'!O29</f>
        <v>1.3924437574730646</v>
      </c>
      <c r="P7" s="53">
        <f>'R1'!P29</f>
        <v>1.9103511963417903</v>
      </c>
      <c r="Q7" s="53">
        <f>'R1'!Q29</f>
        <v>0.11346961336889008</v>
      </c>
      <c r="R7" s="53">
        <f>'R1'!R29</f>
        <v>1.4452429299988321</v>
      </c>
      <c r="S7" s="53">
        <f>'R1'!S29</f>
        <v>0.85224061419944286</v>
      </c>
      <c r="T7" s="53">
        <f>'R1'!T29</f>
        <v>0.60994726265850374</v>
      </c>
      <c r="U7" s="53">
        <f>'R1'!U29</f>
        <v>2.1285389789409663</v>
      </c>
      <c r="V7" s="53">
        <f>'R1'!V29</f>
        <v>2.699061799753451</v>
      </c>
    </row>
    <row r="8" spans="1:22" s="1" customFormat="1" x14ac:dyDescent="0.35">
      <c r="A8" s="223"/>
      <c r="B8" s="53">
        <f>'R1'!B30</f>
        <v>0.1353600811723043</v>
      </c>
      <c r="C8" s="53">
        <f>'R1'!C30</f>
        <v>8.0564529517291233E-2</v>
      </c>
      <c r="D8" s="53">
        <f>'R1'!D30</f>
        <v>0.24713824433746093</v>
      </c>
      <c r="E8" s="53">
        <f>'R1'!E30</f>
        <v>0.1769369719181671</v>
      </c>
      <c r="F8" s="53">
        <f>'R1'!F30</f>
        <v>0.95074082917093028</v>
      </c>
      <c r="G8" s="53">
        <f>'R1'!G30</f>
        <v>1.1253593477926007</v>
      </c>
      <c r="H8" s="53">
        <f>'R1'!H30</f>
        <v>1.9745429814135265</v>
      </c>
      <c r="I8" s="53">
        <f>'R1'!I30</f>
        <v>1.5492568624305762E-2</v>
      </c>
      <c r="J8" s="53">
        <f>'R1'!J30</f>
        <v>9.8067257558595494E-2</v>
      </c>
      <c r="K8" s="53">
        <f>'R1'!K30</f>
        <v>3.6904892489870361E-2</v>
      </c>
      <c r="L8" s="53">
        <f>'R1'!L30</f>
        <v>0.2009763634315348</v>
      </c>
      <c r="M8" s="53">
        <f>'R1'!M30</f>
        <v>8.5382021974211103E-2</v>
      </c>
      <c r="N8"/>
      <c r="O8" s="53">
        <f>'R1'!O30</f>
        <v>0.1260646361392633</v>
      </c>
      <c r="P8" s="53">
        <f>'R1'!P30</f>
        <v>1.6935081134498642</v>
      </c>
      <c r="Q8" s="53">
        <f>'R1'!Q30</f>
        <v>9.8448458774461525E-2</v>
      </c>
      <c r="R8" s="53">
        <f>'R1'!R30</f>
        <v>1.2899801074135375</v>
      </c>
      <c r="S8" s="53">
        <f>'R1'!S30</f>
        <v>2.228827907309979</v>
      </c>
      <c r="T8" s="53">
        <f>'R1'!T30</f>
        <v>2.2453463061923657</v>
      </c>
      <c r="U8" s="53">
        <f>'R1'!U30</f>
        <v>1.6621105289840863</v>
      </c>
      <c r="V8" s="53">
        <f>'R1'!V30</f>
        <v>1.1100920708494668</v>
      </c>
    </row>
    <row r="9" spans="1:22" s="1" customFormat="1" x14ac:dyDescent="0.35">
      <c r="A9" s="223"/>
      <c r="B9" s="53">
        <f>'R1'!B31</f>
        <v>3.7436795573547246E-2</v>
      </c>
      <c r="C9" s="53">
        <f>'R1'!C31</f>
        <v>7.0042158166517501E-2</v>
      </c>
      <c r="D9" s="53">
        <f>'R1'!D31</f>
        <v>6.4891695500867236E-2</v>
      </c>
      <c r="E9" s="53">
        <f>'R1'!E31</f>
        <v>8.0976976734457765E-2</v>
      </c>
      <c r="F9" s="53">
        <f>'R1'!F31</f>
        <v>1.4207497504050388</v>
      </c>
      <c r="G9" s="53">
        <f>'R1'!G31</f>
        <v>1.7783632797713778</v>
      </c>
      <c r="H9" s="53">
        <f>'R1'!H31</f>
        <v>2.3102762179563618</v>
      </c>
      <c r="I9" s="53">
        <f>'R1'!I31</f>
        <v>1.5624282537480156E-2</v>
      </c>
      <c r="J9" s="53">
        <f>'R1'!J31</f>
        <v>3.7639413874288145E-2</v>
      </c>
      <c r="K9" s="53">
        <f>'R1'!K31</f>
        <v>1.4581223714989919</v>
      </c>
      <c r="L9" s="53">
        <f>'R1'!L31</f>
        <v>7.8812029434093753E-3</v>
      </c>
      <c r="M9" s="53">
        <f>'R1'!M31</f>
        <v>8.1274855280189153E-3</v>
      </c>
      <c r="N9"/>
      <c r="O9" s="53">
        <f>'R1'!O31</f>
        <v>1.6231054244991103</v>
      </c>
      <c r="P9" s="53">
        <f>'R1'!P31</f>
        <v>1.9838313760667869</v>
      </c>
      <c r="Q9" s="53">
        <f>'R1'!Q31</f>
        <v>4.1240555583146175E-2</v>
      </c>
      <c r="R9" s="53" t="str">
        <f>'R1'!R31</f>
        <v/>
      </c>
      <c r="S9" s="53">
        <f>'R1'!S31</f>
        <v>1.895232938789474</v>
      </c>
      <c r="T9" s="53">
        <f>'R1'!T31</f>
        <v>2.0328042754384286</v>
      </c>
      <c r="U9" s="53">
        <f>'R1'!U31</f>
        <v>1.2318882628572263</v>
      </c>
      <c r="V9" s="53">
        <f>'R1'!V31</f>
        <v>2.8669148380319958</v>
      </c>
    </row>
    <row r="10" spans="1:22" s="1" customFormat="1" x14ac:dyDescent="0.35">
      <c r="A10" s="223"/>
      <c r="B10" s="53">
        <f>'R1'!B32</f>
        <v>2.5848374752762259E-2</v>
      </c>
      <c r="C10" s="53">
        <f>'R1'!C32</f>
        <v>0.24055687504815212</v>
      </c>
      <c r="D10" s="53">
        <f>'R1'!D32</f>
        <v>3.6506065324552764E-2</v>
      </c>
      <c r="E10" s="53">
        <f>'R1'!E32</f>
        <v>7.9140032329796897E-2</v>
      </c>
      <c r="F10" s="53">
        <f>'R1'!F32</f>
        <v>0.95232492131891333</v>
      </c>
      <c r="G10" s="53">
        <f>'R1'!G32</f>
        <v>1.6590710141191167</v>
      </c>
      <c r="H10" s="53">
        <f>'R1'!H32</f>
        <v>2.5980072642346244</v>
      </c>
      <c r="I10" s="53">
        <f>'R1'!I32</f>
        <v>7.8183423982289446E-2</v>
      </c>
      <c r="J10" s="53">
        <f>'R1'!J32</f>
        <v>1.771071424483267E-2</v>
      </c>
      <c r="K10" s="53">
        <f>'R1'!K32</f>
        <v>3.0724914140344839E-2</v>
      </c>
      <c r="L10" s="53">
        <f>'R1'!L32</f>
        <v>0.15710857996468142</v>
      </c>
      <c r="M10" s="53">
        <f>'R1'!M32</f>
        <v>1.2018546865251429</v>
      </c>
      <c r="N10"/>
      <c r="O10" s="53">
        <f>'R1'!O32</f>
        <v>1.8703479824101437</v>
      </c>
      <c r="P10" s="53">
        <f>'R1'!P32</f>
        <v>0.32573788108066337</v>
      </c>
      <c r="Q10" s="53">
        <f>'R1'!Q32</f>
        <v>4.7534621896394534E-2</v>
      </c>
      <c r="R10" s="53">
        <f>'R1'!R32</f>
        <v>0.18159502965050237</v>
      </c>
      <c r="S10" s="53">
        <f>'R1'!S32</f>
        <v>8.2619955577199422E-2</v>
      </c>
      <c r="T10" s="53">
        <f>'R1'!T32</f>
        <v>1.6303698794476194</v>
      </c>
      <c r="U10" s="53">
        <f>'R1'!U32</f>
        <v>1.6157231961610843</v>
      </c>
      <c r="V10" s="53">
        <f>'R1'!V32</f>
        <v>1.4790874769561992</v>
      </c>
    </row>
    <row r="11" spans="1:22" s="1" customFormat="1" x14ac:dyDescent="0.35">
      <c r="A11" s="223"/>
      <c r="B11" s="53">
        <f>'R1'!B33</f>
        <v>8.9108788631887519E-3</v>
      </c>
      <c r="C11" s="53">
        <f>'R1'!C33</f>
        <v>2.6805223454125868E-2</v>
      </c>
      <c r="D11" s="53">
        <f>'R1'!D33</f>
        <v>5.8230208259505888E-2</v>
      </c>
      <c r="E11" s="53">
        <f>'R1'!E33</f>
        <v>0.10156088097579899</v>
      </c>
      <c r="F11" s="53">
        <f>'R1'!F33</f>
        <v>0.55621231245276237</v>
      </c>
      <c r="G11" s="53">
        <f>'R1'!G33</f>
        <v>1.6623427108091346</v>
      </c>
      <c r="H11" s="53">
        <f>'R1'!H33</f>
        <v>0.8947254015779651</v>
      </c>
      <c r="I11" s="53">
        <f>'R1'!I33</f>
        <v>5.7090129801798103E-2</v>
      </c>
      <c r="J11" s="53">
        <f>'R1'!J33</f>
        <v>3.5358936487064348E-2</v>
      </c>
      <c r="K11" s="53">
        <f>'R1'!K33</f>
        <v>0.51187311495603172</v>
      </c>
      <c r="L11" s="53">
        <f>'R1'!L33</f>
        <v>9.4723454711730243E-3</v>
      </c>
      <c r="M11" s="53">
        <f>'R1'!M33</f>
        <v>1.823232537638888</v>
      </c>
      <c r="N11"/>
      <c r="O11" s="53">
        <f>'R1'!O33</f>
        <v>0.9416636254392805</v>
      </c>
      <c r="P11" s="53">
        <f>'R1'!P33</f>
        <v>1.0549082675988071</v>
      </c>
      <c r="Q11" s="53">
        <f>'R1'!Q33</f>
        <v>2.2815830149621175E-2</v>
      </c>
      <c r="R11" s="53">
        <f>'R1'!R33</f>
        <v>1.9543748893433379</v>
      </c>
      <c r="S11" s="53">
        <f>'R1'!S33</f>
        <v>2.0937068981065998</v>
      </c>
      <c r="T11" s="53">
        <f>'R1'!T33</f>
        <v>0.58324971773193657</v>
      </c>
      <c r="U11" s="53">
        <f>'R1'!U33</f>
        <v>2.3540123676279929</v>
      </c>
      <c r="V11" s="53">
        <f>'R1'!V33</f>
        <v>1.2409777246355402</v>
      </c>
    </row>
    <row r="12" spans="1:22" s="1" customFormat="1" x14ac:dyDescent="0.35">
      <c r="A12" s="223"/>
      <c r="B12" s="53">
        <f>'R1'!B34</f>
        <v>1.0044067177020024E-2</v>
      </c>
      <c r="C12" s="53">
        <f>'R1'!C34</f>
        <v>0.11481094812215388</v>
      </c>
      <c r="D12" s="53">
        <f>'R1'!D34</f>
        <v>1.0179466515988835E-2</v>
      </c>
      <c r="E12" s="53">
        <f>'R1'!E34</f>
        <v>0.16838309864932449</v>
      </c>
      <c r="F12" s="53">
        <f>'R1'!F34</f>
        <v>0.7650698788277065</v>
      </c>
      <c r="G12" s="53">
        <f>'R1'!G34</f>
        <v>1.9239997701816545</v>
      </c>
      <c r="H12" s="53">
        <f>'R1'!H34</f>
        <v>2.8026676113374394</v>
      </c>
      <c r="I12" s="53">
        <f>'R1'!I34</f>
        <v>0.19717412566302489</v>
      </c>
      <c r="J12" s="53">
        <f>'R1'!J34</f>
        <v>0.14052784931559789</v>
      </c>
      <c r="K12" s="53">
        <f>'R1'!K34</f>
        <v>2.678455302249631E-2</v>
      </c>
      <c r="L12" s="53">
        <f>'R1'!L34</f>
        <v>2.2991506385445843</v>
      </c>
      <c r="M12" s="53">
        <f>'R1'!M34</f>
        <v>1.3915498013640621</v>
      </c>
      <c r="N12"/>
      <c r="O12" s="53">
        <f>'R1'!O34</f>
        <v>2.0065954500193821</v>
      </c>
      <c r="P12" s="53">
        <f>'R1'!P34</f>
        <v>0.57576686124613241</v>
      </c>
      <c r="Q12" s="53">
        <f>'R1'!Q34</f>
        <v>2.8759781012399885E-2</v>
      </c>
      <c r="R12" s="53">
        <f>'R1'!R34</f>
        <v>1.2689058813056346</v>
      </c>
      <c r="S12" s="53">
        <f>'R1'!S34</f>
        <v>1.9342311531305734</v>
      </c>
      <c r="T12" s="53">
        <f>'R1'!T34</f>
        <v>3.2325137236794124</v>
      </c>
      <c r="U12" s="53">
        <f>'R1'!U34</f>
        <v>2.5475662835095712</v>
      </c>
      <c r="V12" s="53">
        <f>'R1'!V34</f>
        <v>3.0089537119233052</v>
      </c>
    </row>
    <row r="13" spans="1:22" s="1" customFormat="1" x14ac:dyDescent="0.35">
      <c r="A13" s="223"/>
      <c r="B13" s="53">
        <f>'R1'!B35</f>
        <v>1.2657354537070111E-2</v>
      </c>
      <c r="C13" s="53">
        <f>'R1'!C35</f>
        <v>1.5367744855007888E-2</v>
      </c>
      <c r="D13" s="53">
        <f>'R1'!D35</f>
        <v>1.2643574249317072E-2</v>
      </c>
      <c r="E13" s="53">
        <f>'R1'!E35</f>
        <v>0.24938090605131594</v>
      </c>
      <c r="F13" s="53" t="str">
        <f>'R1'!F35</f>
        <v/>
      </c>
      <c r="G13" s="53" t="str">
        <f>'R1'!G35</f>
        <v/>
      </c>
      <c r="H13" s="53">
        <f>'R1'!H35</f>
        <v>2.7300817081932536</v>
      </c>
      <c r="I13" s="53">
        <f>'R1'!I35</f>
        <v>7.3591223206541365E-2</v>
      </c>
      <c r="J13" s="53">
        <f>'R1'!J35</f>
        <v>2.7442962352464167E-2</v>
      </c>
      <c r="K13" s="53">
        <f>'R1'!K35</f>
        <v>2.7009684467763976E-2</v>
      </c>
      <c r="L13" s="53">
        <f>'R1'!L35</f>
        <v>1.0864338805519649</v>
      </c>
      <c r="M13" s="53">
        <f>'R1'!M35</f>
        <v>1.8183908495604484</v>
      </c>
      <c r="N13"/>
      <c r="O13" s="53">
        <f>'R1'!O35</f>
        <v>1.7574502509830048</v>
      </c>
      <c r="P13" s="53">
        <f>'R1'!P35</f>
        <v>2.1205327919923551</v>
      </c>
      <c r="Q13" s="53">
        <f>'R1'!Q35</f>
        <v>0.16755483926100523</v>
      </c>
      <c r="R13" s="53">
        <f>'R1'!R35</f>
        <v>2.3460095456333678</v>
      </c>
      <c r="S13" s="53">
        <f>'R1'!S35</f>
        <v>0.14423634908020636</v>
      </c>
      <c r="T13" s="53">
        <f>'R1'!T35</f>
        <v>0.67314093828356913</v>
      </c>
      <c r="U13" s="53">
        <f>'R1'!U35</f>
        <v>2.1264456570897372</v>
      </c>
      <c r="V13" s="53">
        <f>'R1'!V35</f>
        <v>0.43473138458632954</v>
      </c>
    </row>
    <row r="14" spans="1:22" s="1" customFormat="1" x14ac:dyDescent="0.35">
      <c r="A14" s="223"/>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1.7492472943441521E-2</v>
      </c>
      <c r="P14" s="53" t="str">
        <f>'R1'!P36</f>
        <v/>
      </c>
      <c r="Q14" s="53" t="str">
        <f>'R1'!Q36</f>
        <v/>
      </c>
      <c r="R14" s="53" t="str">
        <f>'R1'!R36</f>
        <v/>
      </c>
      <c r="S14" s="53" t="str">
        <f>'R1'!S36</f>
        <v/>
      </c>
      <c r="T14" s="53" t="str">
        <f>'R1'!T36</f>
        <v/>
      </c>
      <c r="U14" s="53" t="str">
        <f>'R1'!U36</f>
        <v/>
      </c>
      <c r="V14" s="53" t="str">
        <f>'R1'!V36</f>
        <v/>
      </c>
    </row>
    <row r="15" spans="1:22" s="1" customFormat="1" x14ac:dyDescent="0.35">
      <c r="A15" s="223"/>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0.78605228976255714</v>
      </c>
      <c r="P15" s="53" t="str">
        <f>'R1'!P37</f>
        <v/>
      </c>
      <c r="Q15" s="53" t="str">
        <f>'R1'!Q37</f>
        <v/>
      </c>
      <c r="R15" s="53" t="str">
        <f>'R1'!R37</f>
        <v/>
      </c>
      <c r="S15" s="53" t="str">
        <f>'R1'!S37</f>
        <v/>
      </c>
      <c r="T15" s="53" t="str">
        <f>'R1'!T37</f>
        <v/>
      </c>
      <c r="U15" s="53" t="str">
        <f>'R1'!U37</f>
        <v/>
      </c>
      <c r="V15" s="53" t="str">
        <f>'R1'!V37</f>
        <v/>
      </c>
    </row>
    <row r="16" spans="1:22" s="1" customFormat="1" x14ac:dyDescent="0.35">
      <c r="A16" s="223"/>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0.52498121309134949</v>
      </c>
      <c r="P16" s="53" t="str">
        <f>'R1'!P38</f>
        <v/>
      </c>
      <c r="Q16" s="53" t="str">
        <f>'R1'!Q38</f>
        <v/>
      </c>
      <c r="R16" s="53" t="str">
        <f>'R1'!R38</f>
        <v/>
      </c>
      <c r="S16" s="53" t="str">
        <f>'R1'!S38</f>
        <v/>
      </c>
      <c r="T16" s="53" t="str">
        <f>'R1'!T38</f>
        <v/>
      </c>
      <c r="U16" s="53" t="str">
        <f>'R1'!U38</f>
        <v/>
      </c>
      <c r="V16" s="53" t="str">
        <f>'R1'!V38</f>
        <v/>
      </c>
    </row>
    <row r="17" spans="1:22" s="1" customFormat="1" x14ac:dyDescent="0.35">
      <c r="A17" s="223"/>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0.59533503009135136</v>
      </c>
      <c r="P17" s="53" t="str">
        <f>'R1'!P39</f>
        <v/>
      </c>
      <c r="Q17" s="53" t="str">
        <f>'R1'!Q39</f>
        <v/>
      </c>
      <c r="R17" s="53" t="str">
        <f>'R1'!R39</f>
        <v/>
      </c>
      <c r="S17" s="53" t="str">
        <f>'R1'!S39</f>
        <v/>
      </c>
      <c r="T17" s="53" t="str">
        <f>'R1'!T39</f>
        <v/>
      </c>
      <c r="U17" s="53" t="str">
        <f>'R1'!U39</f>
        <v/>
      </c>
      <c r="V17" s="53" t="str">
        <f>'R1'!V39</f>
        <v/>
      </c>
    </row>
    <row r="18" spans="1:22" s="1" customFormat="1" x14ac:dyDescent="0.35">
      <c r="A18" s="223"/>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0.61468527810698748</v>
      </c>
      <c r="P18" s="53" t="str">
        <f>'R1'!P40</f>
        <v/>
      </c>
      <c r="Q18" s="53" t="str">
        <f>'R1'!Q40</f>
        <v/>
      </c>
      <c r="R18" s="53" t="str">
        <f>'R1'!R40</f>
        <v/>
      </c>
      <c r="S18" s="53" t="str">
        <f>'R1'!S40</f>
        <v/>
      </c>
      <c r="T18" s="53" t="str">
        <f>'R1'!T40</f>
        <v/>
      </c>
      <c r="U18" s="53" t="str">
        <f>'R1'!U40</f>
        <v/>
      </c>
      <c r="V18" s="53" t="str">
        <f>'R1'!V40</f>
        <v/>
      </c>
    </row>
    <row r="19" spans="1:22" s="1" customFormat="1" x14ac:dyDescent="0.35">
      <c r="A19" s="223"/>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0.86557384378002822</v>
      </c>
      <c r="P19" s="53" t="str">
        <f>'R1'!P41</f>
        <v/>
      </c>
      <c r="Q19" s="53" t="str">
        <f>'R1'!Q41</f>
        <v/>
      </c>
      <c r="R19" s="53" t="str">
        <f>'R1'!R41</f>
        <v/>
      </c>
      <c r="S19" s="53" t="str">
        <f>'R1'!S41</f>
        <v/>
      </c>
      <c r="T19" s="53" t="str">
        <f>'R1'!T41</f>
        <v/>
      </c>
      <c r="U19" s="53" t="str">
        <f>'R1'!U41</f>
        <v/>
      </c>
      <c r="V19" s="53" t="str">
        <f>'R1'!V41</f>
        <v/>
      </c>
    </row>
    <row r="20" spans="1:22" s="1" customFormat="1" x14ac:dyDescent="0.35">
      <c r="A20" s="223"/>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2.1819121164752384</v>
      </c>
      <c r="P20" s="53" t="str">
        <f>'R1'!P42</f>
        <v/>
      </c>
      <c r="Q20" s="53" t="str">
        <f>'R1'!Q42</f>
        <v/>
      </c>
      <c r="R20" s="53" t="str">
        <f>'R1'!R42</f>
        <v/>
      </c>
      <c r="S20" s="53" t="str">
        <f>'R1'!S42</f>
        <v/>
      </c>
      <c r="T20" s="53" t="str">
        <f>'R1'!T42</f>
        <v/>
      </c>
      <c r="U20" s="53" t="str">
        <f>'R1'!U42</f>
        <v/>
      </c>
      <c r="V20" s="53" t="str">
        <f>'R1'!V42</f>
        <v/>
      </c>
    </row>
    <row r="21" spans="1:22" s="1" customFormat="1" x14ac:dyDescent="0.35">
      <c r="A21" s="224"/>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0.21259058223288071</v>
      </c>
      <c r="P21" s="53" t="str">
        <f>'R1'!P43</f>
        <v/>
      </c>
      <c r="Q21" s="53" t="str">
        <f>'R1'!Q43</f>
        <v/>
      </c>
      <c r="R21" s="53" t="str">
        <f>'R1'!R43</f>
        <v/>
      </c>
      <c r="S21" s="53" t="str">
        <f>'R1'!S43</f>
        <v/>
      </c>
      <c r="T21" s="53" t="str">
        <f>'R1'!T43</f>
        <v/>
      </c>
      <c r="U21" s="53" t="str">
        <f>'R1'!U43</f>
        <v/>
      </c>
      <c r="V21" s="53" t="str">
        <f>'R1'!V43</f>
        <v/>
      </c>
    </row>
    <row r="22" spans="1:22" x14ac:dyDescent="0.35">
      <c r="A22" s="39" t="s">
        <v>5</v>
      </c>
      <c r="B22" s="54">
        <f>'R2'!B28</f>
        <v>9.4524808487548309E-2</v>
      </c>
      <c r="C22" s="54">
        <f>'R2'!C28</f>
        <v>1.4188544556639829E-2</v>
      </c>
      <c r="D22" s="54">
        <f>'R2'!D28</f>
        <v>0.2270132421529637</v>
      </c>
      <c r="E22" s="54">
        <f>'R2'!E28</f>
        <v>9.5628192505514353E-2</v>
      </c>
      <c r="F22" s="54">
        <f>'R2'!F28</f>
        <v>0.61020827812912903</v>
      </c>
      <c r="G22" s="54">
        <f>'R2'!G28</f>
        <v>0.98414187193066338</v>
      </c>
      <c r="H22" s="54">
        <f>'R2'!H28</f>
        <v>1.8792371513058914</v>
      </c>
      <c r="I22" s="54">
        <f>'R2'!I28</f>
        <v>6.9114056505401464E-2</v>
      </c>
      <c r="J22" s="54">
        <f>'R2'!J28</f>
        <v>5.3972211716291497E-2</v>
      </c>
      <c r="K22" s="54">
        <f>'R2'!K28</f>
        <v>0.17285676499014885</v>
      </c>
      <c r="L22" s="54">
        <f>'R2'!L28</f>
        <v>9.0324776329178697E-3</v>
      </c>
      <c r="M22" s="54">
        <f>'R2'!M28</f>
        <v>0.37515198596206506</v>
      </c>
      <c r="O22" s="54">
        <f>'R2'!O28</f>
        <v>1.0403867959950845</v>
      </c>
      <c r="P22" s="54">
        <f>'R2'!P28</f>
        <v>1.4358481050860477</v>
      </c>
      <c r="Q22" s="54">
        <f>'R2'!Q28</f>
        <v>0.10012797153750931</v>
      </c>
      <c r="R22" s="54">
        <f>'R2'!R28</f>
        <v>1.0726541788306543</v>
      </c>
      <c r="S22" s="54">
        <f>'R2'!S28</f>
        <v>1.0047412133065865</v>
      </c>
      <c r="T22" s="54">
        <f>'R2'!T28</f>
        <v>1.0372975626457652</v>
      </c>
      <c r="U22" s="54">
        <f>'R2'!U28</f>
        <v>1.7581482490059592</v>
      </c>
      <c r="V22" s="54">
        <f>'R2'!V28</f>
        <v>1.5374887991791193</v>
      </c>
    </row>
    <row r="23" spans="1:22" x14ac:dyDescent="0.35">
      <c r="A23" s="222" t="s">
        <v>34</v>
      </c>
      <c r="B23" s="54">
        <f>'R2'!B29</f>
        <v>5.9834629518352979E-2</v>
      </c>
      <c r="C23" s="54">
        <f>'R2'!C29</f>
        <v>9.3794583033660395E-2</v>
      </c>
      <c r="D23" s="54">
        <f>'R2'!D29</f>
        <v>0.18183360539634819</v>
      </c>
      <c r="E23" s="54">
        <f>'R2'!E29</f>
        <v>7.8583375766250116E-2</v>
      </c>
      <c r="F23" s="54">
        <f>'R2'!F29</f>
        <v>0.36478863221025076</v>
      </c>
      <c r="G23" s="54">
        <f>'R2'!G29</f>
        <v>1.0700994940726336</v>
      </c>
      <c r="H23" s="54">
        <f>'R2'!H29</f>
        <v>1.2963266631963075</v>
      </c>
      <c r="I23" s="54">
        <f>'R2'!I29</f>
        <v>0.10803550441242843</v>
      </c>
      <c r="J23" s="54">
        <f>'R2'!J29</f>
        <v>3.1309560106409874E-2</v>
      </c>
      <c r="K23" s="54">
        <f>'R2'!K29</f>
        <v>0.23376522453647181</v>
      </c>
      <c r="L23" s="54">
        <f>'R2'!L29</f>
        <v>0.46450247977761988</v>
      </c>
      <c r="M23" s="54">
        <f>'R2'!M29</f>
        <v>1.1989525766198528</v>
      </c>
      <c r="O23" s="54">
        <f>'R2'!O29</f>
        <v>1.6196130269176174</v>
      </c>
      <c r="P23" s="54">
        <f>'R2'!P29</f>
        <v>1.0356276570366474</v>
      </c>
      <c r="Q23" s="54">
        <f>'R2'!Q29</f>
        <v>0.19814919583796994</v>
      </c>
      <c r="R23" s="54">
        <f>'R2'!R29</f>
        <v>0.98290439062712809</v>
      </c>
      <c r="S23" s="54">
        <f>'R2'!S29</f>
        <v>2.1412043496768405</v>
      </c>
      <c r="T23" s="54">
        <f>'R2'!T29</f>
        <v>0.90076880405973481</v>
      </c>
      <c r="U23" s="54">
        <f>'R2'!U29</f>
        <v>2.5347137281616239</v>
      </c>
      <c r="V23" s="54">
        <f>'R2'!V29</f>
        <v>1.9697421964566115</v>
      </c>
    </row>
    <row r="24" spans="1:22" x14ac:dyDescent="0.35">
      <c r="A24" s="223"/>
      <c r="B24" s="54">
        <f>'R2'!B30</f>
        <v>0.14246390444532434</v>
      </c>
      <c r="C24" s="54">
        <f>'R2'!C30</f>
        <v>0.27135116865357101</v>
      </c>
      <c r="D24" s="54">
        <f>'R2'!D30</f>
        <v>3.6398736148859656E-3</v>
      </c>
      <c r="E24" s="54">
        <f>'R2'!E30</f>
        <v>7.9130545278543352E-2</v>
      </c>
      <c r="F24" s="54">
        <f>'R2'!F30</f>
        <v>0.92994448194895718</v>
      </c>
      <c r="G24" s="54">
        <f>'R2'!G30</f>
        <v>0.70749464930467021</v>
      </c>
      <c r="H24" s="54">
        <f>'R2'!H30</f>
        <v>1.814888964916791</v>
      </c>
      <c r="I24" s="54">
        <f>'R2'!I30</f>
        <v>0.13772979698019353</v>
      </c>
      <c r="J24" s="54">
        <f>'R2'!J30</f>
        <v>2.8891391643815732E-2</v>
      </c>
      <c r="K24" s="54">
        <f>'R2'!K30</f>
        <v>9.9480623464820242E-2</v>
      </c>
      <c r="L24" s="54">
        <f>'R2'!L30</f>
        <v>4.7024710231706367E-2</v>
      </c>
      <c r="M24" s="54">
        <f>'R2'!M30</f>
        <v>1.442277044479261</v>
      </c>
      <c r="O24" s="54">
        <f>'R2'!O30</f>
        <v>0.72985944717907592</v>
      </c>
      <c r="P24" s="54">
        <f>'R2'!P30</f>
        <v>1.3481912862808176</v>
      </c>
      <c r="Q24" s="54">
        <f>'R2'!Q30</f>
        <v>0.14431802291379478</v>
      </c>
      <c r="R24" s="54">
        <f>'R2'!R30</f>
        <v>0.726308235534178</v>
      </c>
      <c r="S24" s="54">
        <f>'R2'!S30</f>
        <v>2.1479540708120037</v>
      </c>
      <c r="T24" s="54">
        <f>'R2'!T30</f>
        <v>1.5601856324500283</v>
      </c>
      <c r="U24" s="54">
        <f>'R2'!U30</f>
        <v>2.3114063039357435</v>
      </c>
      <c r="V24" s="54">
        <f>'R2'!V30</f>
        <v>2.4173284351276014</v>
      </c>
    </row>
    <row r="25" spans="1:22" x14ac:dyDescent="0.35">
      <c r="A25" s="223"/>
      <c r="B25" s="54">
        <f>'R2'!B31</f>
        <v>0.25301333855839458</v>
      </c>
      <c r="C25" s="54">
        <f>'R2'!C31</f>
        <v>0.17293185947006762</v>
      </c>
      <c r="D25" s="54">
        <f>'R2'!D31</f>
        <v>4.7584237729140291E-2</v>
      </c>
      <c r="E25" s="54">
        <f>'R2'!E31</f>
        <v>0.20749914222107657</v>
      </c>
      <c r="F25" s="54">
        <f>'R2'!F31</f>
        <v>0.26587326824448287</v>
      </c>
      <c r="G25" s="54">
        <f>'R2'!G31</f>
        <v>1.0687799767826325</v>
      </c>
      <c r="H25" s="54">
        <f>'R2'!H31</f>
        <v>1.6048306680281745</v>
      </c>
      <c r="I25" s="54">
        <f>'R2'!I31</f>
        <v>0.21358216320469212</v>
      </c>
      <c r="J25" s="54">
        <f>'R2'!J31</f>
        <v>0.25015690861425777</v>
      </c>
      <c r="K25" s="54">
        <f>'R2'!K31</f>
        <v>0.13809832787324025</v>
      </c>
      <c r="L25" s="54">
        <f>'R2'!L31</f>
        <v>0.18320066148876291</v>
      </c>
      <c r="M25" s="54">
        <f>'R2'!M31</f>
        <v>5.3744614441019502E-3</v>
      </c>
      <c r="O25" s="54">
        <f>'R2'!O31</f>
        <v>0.82926392442056107</v>
      </c>
      <c r="P25" s="54">
        <f>'R2'!P31</f>
        <v>0.88834781948840968</v>
      </c>
      <c r="Q25" s="54">
        <f>'R2'!Q31</f>
        <v>4.8419216827284645E-2</v>
      </c>
      <c r="R25" s="54">
        <f>'R2'!R31</f>
        <v>0.61736507655354378</v>
      </c>
      <c r="S25" s="54">
        <f>'R2'!S31</f>
        <v>1.4950593662816016</v>
      </c>
      <c r="T25" s="54">
        <f>'R2'!T31</f>
        <v>1.4398723909195652</v>
      </c>
      <c r="U25" s="54">
        <f>'R2'!U31</f>
        <v>1.2540053495219783</v>
      </c>
      <c r="V25" s="54">
        <f>'R2'!V31</f>
        <v>0.79629807878227343</v>
      </c>
    </row>
    <row r="26" spans="1:22" x14ac:dyDescent="0.35">
      <c r="A26" s="223"/>
      <c r="B26" s="54">
        <f>'R2'!B32</f>
        <v>7.1254775054794342E-2</v>
      </c>
      <c r="C26" s="54">
        <f>'R2'!C32</f>
        <v>6.5003317363069676E-2</v>
      </c>
      <c r="D26" s="54">
        <f>'R2'!D32</f>
        <v>4.7986950283214445E-2</v>
      </c>
      <c r="E26" s="54">
        <f>'R2'!E32</f>
        <v>0.1315193572817018</v>
      </c>
      <c r="F26" s="54">
        <f>'R2'!F32</f>
        <v>9.0427636835285902E-2</v>
      </c>
      <c r="G26" s="54">
        <f>'R2'!G32</f>
        <v>0.96484621910632706</v>
      </c>
      <c r="H26" s="54">
        <f>'R2'!H32</f>
        <v>1.8178008743261338</v>
      </c>
      <c r="I26" s="54">
        <f>'R2'!I32</f>
        <v>8.762042848302859E-2</v>
      </c>
      <c r="J26" s="54">
        <f>'R2'!J32</f>
        <v>0.11735805287954232</v>
      </c>
      <c r="K26" s="54">
        <f>'R2'!K32</f>
        <v>2.7287588108407847E-2</v>
      </c>
      <c r="L26" s="54">
        <f>'R2'!L32</f>
        <v>3.8075109979987358E-2</v>
      </c>
      <c r="M26" s="54">
        <f>'R2'!M32</f>
        <v>1.1647287406814135</v>
      </c>
      <c r="O26" s="54">
        <f>'R2'!O32</f>
        <v>0.93751303792082574</v>
      </c>
      <c r="P26" s="54">
        <f>'R2'!P32</f>
        <v>0.76624419514049957</v>
      </c>
      <c r="Q26" s="54">
        <f>'R2'!Q32</f>
        <v>4.7654704538027649E-2</v>
      </c>
      <c r="R26" s="54">
        <f>'R2'!R32</f>
        <v>1.1556519846506723</v>
      </c>
      <c r="S26" s="54">
        <f>'R2'!S32</f>
        <v>1.7572360719410636</v>
      </c>
      <c r="T26" s="54">
        <f>'R2'!T32</f>
        <v>1.8367304152672808</v>
      </c>
      <c r="U26" s="54">
        <f>'R2'!U32</f>
        <v>1.7332469615346338</v>
      </c>
      <c r="V26" s="54">
        <f>'R2'!V32</f>
        <v>1.5599853805035782</v>
      </c>
    </row>
    <row r="27" spans="1:22" x14ac:dyDescent="0.35">
      <c r="A27" s="223"/>
      <c r="B27" s="54">
        <f>'R2'!B33</f>
        <v>0.20645491877027344</v>
      </c>
      <c r="C27" s="54">
        <f>'R2'!C33</f>
        <v>9.9900374262237301E-2</v>
      </c>
      <c r="D27" s="54">
        <f>'R2'!D33</f>
        <v>0.17850999102672235</v>
      </c>
      <c r="E27" s="54">
        <f>'R2'!E33</f>
        <v>0.10141772448883116</v>
      </c>
      <c r="F27" s="54">
        <f>'R2'!F33</f>
        <v>0.42674573252972509</v>
      </c>
      <c r="G27" s="54">
        <f>'R2'!G33</f>
        <v>2.0610206937156272</v>
      </c>
      <c r="H27" s="54">
        <f>'R2'!H33</f>
        <v>1.3485642344962123</v>
      </c>
      <c r="I27" s="54">
        <f>'R2'!I33</f>
        <v>3.2194497016825106E-2</v>
      </c>
      <c r="J27" s="54">
        <f>'R2'!J33</f>
        <v>5.4331802790300254E-2</v>
      </c>
      <c r="K27" s="54">
        <f>'R2'!K33</f>
        <v>7.066548321868113E-2</v>
      </c>
      <c r="L27" s="54">
        <f>'R2'!L33</f>
        <v>0.37508945981597019</v>
      </c>
      <c r="M27" s="54">
        <f>'R2'!M33</f>
        <v>0.44064094584757851</v>
      </c>
      <c r="O27" s="54">
        <f>'R2'!O33</f>
        <v>1.9957777892023403E-2</v>
      </c>
      <c r="P27" s="54">
        <f>'R2'!P33</f>
        <v>1.5516887025646544</v>
      </c>
      <c r="Q27" s="54">
        <f>'R2'!Q33</f>
        <v>5.4461377579179689E-2</v>
      </c>
      <c r="R27" s="54">
        <f>'R2'!R33</f>
        <v>1.5241009468852547</v>
      </c>
      <c r="S27" s="54">
        <f>'R2'!S33</f>
        <v>1.22479107264938</v>
      </c>
      <c r="T27" s="54">
        <f>'R2'!T33</f>
        <v>1.6646219657177788</v>
      </c>
      <c r="U27" s="54">
        <f>'R2'!U33</f>
        <v>1.894590501696005</v>
      </c>
      <c r="V27" s="54">
        <f>'R2'!V33</f>
        <v>0.96172269892163875</v>
      </c>
    </row>
    <row r="28" spans="1:22" x14ac:dyDescent="0.35">
      <c r="A28" s="223"/>
      <c r="B28" s="54">
        <f>'R2'!B34</f>
        <v>0.22753879833805343</v>
      </c>
      <c r="C28" s="54">
        <f>'R2'!C34</f>
        <v>8.7338245724454297E-2</v>
      </c>
      <c r="D28" s="54">
        <f>'R2'!D34</f>
        <v>3.8870228002656618E-2</v>
      </c>
      <c r="E28" s="54">
        <f>'R2'!E34</f>
        <v>0.13907434576350092</v>
      </c>
      <c r="F28" s="54">
        <f>'R2'!F34</f>
        <v>6.7851491121389135E-2</v>
      </c>
      <c r="G28" s="54">
        <f>'R2'!G34</f>
        <v>1.1878691993252881</v>
      </c>
      <c r="H28" s="54">
        <f>'R2'!H34</f>
        <v>2.3655332271085627</v>
      </c>
      <c r="I28" s="54">
        <f>'R2'!I34</f>
        <v>0.12073625273247046</v>
      </c>
      <c r="J28" s="54">
        <f>'R2'!J34</f>
        <v>0.16682827690266477</v>
      </c>
      <c r="K28" s="54">
        <f>'R2'!K34</f>
        <v>0.32538611686464053</v>
      </c>
      <c r="L28" s="54">
        <f>'R2'!L34</f>
        <v>1.0536973451478562</v>
      </c>
      <c r="M28" s="54">
        <f>'R2'!M34</f>
        <v>1.0955830266991835</v>
      </c>
      <c r="O28" s="54">
        <f>'R2'!O34</f>
        <v>1.6012761959786863</v>
      </c>
      <c r="P28" s="54">
        <f>'R2'!P34</f>
        <v>1.1298317889565874</v>
      </c>
      <c r="Q28" s="54">
        <f>'R2'!Q34</f>
        <v>0.15436175184141701</v>
      </c>
      <c r="R28" s="54">
        <f>'R2'!R34</f>
        <v>1.4227240826281442</v>
      </c>
      <c r="S28" s="54">
        <f>'R2'!S34</f>
        <v>2.1733898017002864</v>
      </c>
      <c r="T28" s="54">
        <f>'R2'!T34</f>
        <v>1.1678546272887882</v>
      </c>
      <c r="U28" s="54">
        <f>'R2'!U34</f>
        <v>2.0094460888781422</v>
      </c>
      <c r="V28" s="54">
        <f>'R2'!V34</f>
        <v>1.7841231561565714</v>
      </c>
    </row>
    <row r="29" spans="1:22" x14ac:dyDescent="0.35">
      <c r="A29" s="223"/>
      <c r="B29" s="54">
        <f>'R2'!B35</f>
        <v>0.13665386346539107</v>
      </c>
      <c r="C29" s="54">
        <f>'R2'!C35</f>
        <v>8.9417647632681022E-2</v>
      </c>
      <c r="D29" s="54">
        <f>'R2'!D35</f>
        <v>4.4499474289340091E-2</v>
      </c>
      <c r="E29" s="54">
        <f>'R2'!E35</f>
        <v>2.2760463747590939E-2</v>
      </c>
      <c r="F29" s="54">
        <f>'R2'!F35</f>
        <v>0.61173462076193164</v>
      </c>
      <c r="G29" s="54">
        <f>'R2'!G35</f>
        <v>0.81677236786600704</v>
      </c>
      <c r="H29" s="54">
        <f>'R2'!H35</f>
        <v>1.1521508359923869</v>
      </c>
      <c r="I29" s="54" t="str">
        <f>'R2'!I35</f>
        <v/>
      </c>
      <c r="J29" s="54" t="str">
        <f>'R2'!J35</f>
        <v/>
      </c>
      <c r="K29" s="54">
        <f>'R2'!K35</f>
        <v>4.3805639157653696E-2</v>
      </c>
      <c r="L29" s="54">
        <f>'R2'!L35</f>
        <v>0.19877025032525325</v>
      </c>
      <c r="M29" s="54">
        <f>'R2'!M35</f>
        <v>1.1826847353293279</v>
      </c>
      <c r="O29" s="54">
        <f>'R2'!O35</f>
        <v>1.624387942027298</v>
      </c>
      <c r="P29" s="54">
        <f>'R2'!P35</f>
        <v>1.3331289532939743</v>
      </c>
      <c r="Q29" s="54">
        <f>'R2'!Q35</f>
        <v>0.15895250667891578</v>
      </c>
      <c r="R29" s="54">
        <f>'R2'!R35</f>
        <v>0.98284065497610462</v>
      </c>
      <c r="S29" s="54">
        <f>'R2'!S35</f>
        <v>1.4255803548107686</v>
      </c>
      <c r="T29" s="54">
        <f>'R2'!T35</f>
        <v>2.0788058852327458</v>
      </c>
      <c r="U29" s="54">
        <f>'R2'!U35</f>
        <v>1.145408056363771</v>
      </c>
      <c r="V29" s="54">
        <f>'R2'!V35</f>
        <v>1.5396863118729887</v>
      </c>
    </row>
    <row r="30" spans="1:22" x14ac:dyDescent="0.35">
      <c r="A30" s="223"/>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0.31639449946344317</v>
      </c>
      <c r="P30" s="54" t="str">
        <f>'R2'!P36</f>
        <v/>
      </c>
      <c r="Q30" s="54" t="str">
        <f>'R2'!Q36</f>
        <v/>
      </c>
      <c r="R30" s="54" t="str">
        <f>'R2'!R36</f>
        <v/>
      </c>
      <c r="S30" s="54" t="str">
        <f>'R2'!S36</f>
        <v/>
      </c>
      <c r="T30" s="54" t="str">
        <f>'R2'!T36</f>
        <v/>
      </c>
      <c r="U30" s="54" t="str">
        <f>'R2'!U36</f>
        <v/>
      </c>
      <c r="V30" s="54" t="str">
        <f>'R2'!V36</f>
        <v/>
      </c>
    </row>
    <row r="31" spans="1:22" s="1" customFormat="1" x14ac:dyDescent="0.35">
      <c r="A31" s="223"/>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8.7793335100656664E-2</v>
      </c>
      <c r="P31" s="54" t="str">
        <f>'R2'!P37</f>
        <v/>
      </c>
      <c r="Q31" s="54" t="str">
        <f>'R2'!Q37</f>
        <v/>
      </c>
      <c r="R31" s="54" t="str">
        <f>'R2'!R37</f>
        <v/>
      </c>
      <c r="S31" s="54" t="str">
        <f>'R2'!S37</f>
        <v/>
      </c>
      <c r="T31" s="54" t="str">
        <f>'R2'!T37</f>
        <v/>
      </c>
      <c r="U31" s="54" t="str">
        <f>'R2'!U37</f>
        <v/>
      </c>
      <c r="V31" s="54" t="str">
        <f>'R2'!V37</f>
        <v/>
      </c>
    </row>
    <row r="32" spans="1:22" s="1" customFormat="1" x14ac:dyDescent="0.35">
      <c r="A32" s="223"/>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1.1388220916785146</v>
      </c>
      <c r="P32" s="54" t="str">
        <f>'R2'!P38</f>
        <v/>
      </c>
      <c r="Q32" s="54" t="str">
        <f>'R2'!Q38</f>
        <v/>
      </c>
      <c r="R32" s="54" t="str">
        <f>'R2'!R38</f>
        <v/>
      </c>
      <c r="S32" s="54" t="str">
        <f>'R2'!S38</f>
        <v/>
      </c>
      <c r="T32" s="54" t="str">
        <f>'R2'!T38</f>
        <v/>
      </c>
      <c r="U32" s="54" t="str">
        <f>'R2'!U38</f>
        <v/>
      </c>
      <c r="V32" s="54" t="str">
        <f>'R2'!V38</f>
        <v/>
      </c>
    </row>
    <row r="33" spans="1:22" s="1" customFormat="1" x14ac:dyDescent="0.35">
      <c r="A33" s="223"/>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1.2454517306664694</v>
      </c>
      <c r="P33" s="54" t="str">
        <f>'R2'!P39</f>
        <v/>
      </c>
      <c r="Q33" s="54" t="str">
        <f>'R2'!Q39</f>
        <v/>
      </c>
      <c r="R33" s="54" t="str">
        <f>'R2'!R39</f>
        <v/>
      </c>
      <c r="S33" s="54" t="str">
        <f>'R2'!S39</f>
        <v/>
      </c>
      <c r="T33" s="54" t="str">
        <f>'R2'!T39</f>
        <v/>
      </c>
      <c r="U33" s="54" t="str">
        <f>'R2'!U39</f>
        <v/>
      </c>
      <c r="V33" s="54" t="str">
        <f>'R2'!V39</f>
        <v/>
      </c>
    </row>
    <row r="34" spans="1:22" s="1" customFormat="1" x14ac:dyDescent="0.35">
      <c r="A34" s="223"/>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1.2842640076068919</v>
      </c>
      <c r="P34" s="54" t="str">
        <f>'R2'!P40</f>
        <v/>
      </c>
      <c r="Q34" s="54" t="str">
        <f>'R2'!Q40</f>
        <v/>
      </c>
      <c r="R34" s="54" t="str">
        <f>'R2'!R40</f>
        <v/>
      </c>
      <c r="S34" s="54" t="str">
        <f>'R2'!S40</f>
        <v/>
      </c>
      <c r="T34" s="54" t="str">
        <f>'R2'!T40</f>
        <v/>
      </c>
      <c r="U34" s="54" t="str">
        <f>'R2'!U40</f>
        <v/>
      </c>
      <c r="V34" s="54" t="str">
        <f>'R2'!V40</f>
        <v/>
      </c>
    </row>
    <row r="35" spans="1:22" s="1" customFormat="1" x14ac:dyDescent="0.35">
      <c r="A35" s="223"/>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0.94773661497262318</v>
      </c>
      <c r="P35" s="54" t="str">
        <f>'R2'!P41</f>
        <v/>
      </c>
      <c r="Q35" s="54" t="str">
        <f>'R2'!Q41</f>
        <v/>
      </c>
      <c r="R35" s="54" t="str">
        <f>'R2'!R41</f>
        <v/>
      </c>
      <c r="S35" s="54" t="str">
        <f>'R2'!S41</f>
        <v/>
      </c>
      <c r="T35" s="54" t="str">
        <f>'R2'!T41</f>
        <v/>
      </c>
      <c r="U35" s="54" t="str">
        <f>'R2'!U41</f>
        <v/>
      </c>
      <c r="V35" s="54" t="str">
        <f>'R2'!V41</f>
        <v/>
      </c>
    </row>
    <row r="36" spans="1:22" x14ac:dyDescent="0.35">
      <c r="A36" s="223"/>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1.4963014752561681</v>
      </c>
      <c r="P36" s="54" t="str">
        <f>'R2'!P42</f>
        <v/>
      </c>
      <c r="Q36" s="54" t="str">
        <f>'R2'!Q42</f>
        <v/>
      </c>
      <c r="R36" s="54" t="str">
        <f>'R2'!R42</f>
        <v/>
      </c>
      <c r="S36" s="54" t="str">
        <f>'R2'!S42</f>
        <v/>
      </c>
      <c r="T36" s="54" t="str">
        <f>'R2'!T42</f>
        <v/>
      </c>
      <c r="U36" s="54" t="str">
        <f>'R2'!U42</f>
        <v/>
      </c>
      <c r="V36" s="54" t="str">
        <f>'R2'!V42</f>
        <v/>
      </c>
    </row>
    <row r="37" spans="1:22" x14ac:dyDescent="0.35">
      <c r="A37" s="224"/>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1.0809780969240586</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8.2591680863269307E-3</v>
      </c>
      <c r="C38" s="155">
        <f>'R3'!C28</f>
        <v>1.5894784410221019E-2</v>
      </c>
      <c r="D38" s="155">
        <f>'R3'!D28</f>
        <v>9.1511501582724628E-2</v>
      </c>
      <c r="E38" s="155">
        <f>'R3'!E28</f>
        <v>0.11418766395245826</v>
      </c>
      <c r="F38" s="155">
        <f>'R3'!F28</f>
        <v>0.17115237755195978</v>
      </c>
      <c r="G38" s="155">
        <f>'R3'!G28</f>
        <v>1.1361800028637232</v>
      </c>
      <c r="H38" s="155">
        <f>'R3'!H28</f>
        <v>3.9362507631320218</v>
      </c>
      <c r="I38" s="155">
        <f>'R3'!I28</f>
        <v>3.025227036637345E-2</v>
      </c>
      <c r="J38" s="155">
        <f>'R3'!J28</f>
        <v>0.1510066047642695</v>
      </c>
      <c r="K38" s="155">
        <f>'R3'!K28</f>
        <v>0.14034791031555557</v>
      </c>
      <c r="L38" s="155">
        <f>'R3'!L28</f>
        <v>0.1377737159926167</v>
      </c>
      <c r="M38" s="155">
        <f>'R3'!M28</f>
        <v>1.0830427399791962</v>
      </c>
      <c r="N38"/>
      <c r="O38" s="155">
        <f>'R3'!O28</f>
        <v>1.5788591432900425</v>
      </c>
      <c r="P38" s="155">
        <f>'R3'!P28</f>
        <v>1.9735661232362929</v>
      </c>
      <c r="Q38" s="155">
        <f>'R3'!Q28</f>
        <v>0.1380396667884938</v>
      </c>
      <c r="R38" s="155">
        <f>'R3'!R28</f>
        <v>1.2086422276887205</v>
      </c>
      <c r="S38" s="155">
        <f>'R3'!S28</f>
        <v>0.98702844163423198</v>
      </c>
      <c r="T38" s="155">
        <f>'R3'!T28</f>
        <v>1.6671289103788232</v>
      </c>
      <c r="U38" s="155">
        <f>'R3'!U28</f>
        <v>2.0982197224107573</v>
      </c>
      <c r="V38" s="155">
        <f>'R3'!V28</f>
        <v>3.0937815479726454</v>
      </c>
    </row>
    <row r="39" spans="1:22" s="1" customFormat="1" x14ac:dyDescent="0.35">
      <c r="A39" s="222" t="s">
        <v>34</v>
      </c>
      <c r="B39" s="155">
        <f>'R3'!B29</f>
        <v>2.7975893181220984E-2</v>
      </c>
      <c r="C39" s="155">
        <f>'R3'!C29</f>
        <v>2.1996959301257443E-2</v>
      </c>
      <c r="D39" s="155">
        <f>'R3'!D29</f>
        <v>3.3108670074578316E-2</v>
      </c>
      <c r="E39" s="155">
        <f>'R3'!E29</f>
        <v>0.37031627981442233</v>
      </c>
      <c r="F39" s="155">
        <f>'R3'!F29</f>
        <v>0.45625006955695802</v>
      </c>
      <c r="G39" s="155">
        <f>'R3'!G29</f>
        <v>1.5957473861635918</v>
      </c>
      <c r="H39" s="155">
        <f>'R3'!H29</f>
        <v>4.3490753655458843</v>
      </c>
      <c r="I39" s="155">
        <f>'R3'!I29</f>
        <v>0.20507928712628426</v>
      </c>
      <c r="J39" s="155">
        <f>'R3'!J29</f>
        <v>0.17352407826132507</v>
      </c>
      <c r="K39" s="155">
        <f>'R3'!K29</f>
        <v>0.1898839092289776</v>
      </c>
      <c r="L39" s="155">
        <f>'R3'!L29</f>
        <v>0.27899156825891253</v>
      </c>
      <c r="M39" s="155">
        <f>'R3'!M29</f>
        <v>1.7510606306113738</v>
      </c>
      <c r="N39"/>
      <c r="O39" s="155">
        <f>'R3'!O29</f>
        <v>0.13067036859583023</v>
      </c>
      <c r="P39" s="155">
        <f>'R3'!P29</f>
        <v>2.9236661581233943</v>
      </c>
      <c r="Q39" s="155">
        <f>'R3'!Q29</f>
        <v>0.12330107040316667</v>
      </c>
      <c r="R39" s="155">
        <f>'R3'!R29</f>
        <v>1.4127203423092547</v>
      </c>
      <c r="S39" s="155">
        <f>'R3'!S29</f>
        <v>1.2018011577342771</v>
      </c>
      <c r="T39" s="155">
        <f>'R3'!T29</f>
        <v>2.2694755048647051</v>
      </c>
      <c r="U39" s="155">
        <f>'R3'!U29</f>
        <v>2.9835329128487631</v>
      </c>
      <c r="V39" s="155">
        <f>'R3'!V29</f>
        <v>1.2270617079830071</v>
      </c>
    </row>
    <row r="40" spans="1:22" s="1" customFormat="1" x14ac:dyDescent="0.35">
      <c r="A40" s="223"/>
      <c r="B40" s="155">
        <f>'R3'!B30</f>
        <v>0.27634601904357159</v>
      </c>
      <c r="C40" s="155">
        <f>'R3'!C30</f>
        <v>2.6839541265411861E-2</v>
      </c>
      <c r="D40" s="155">
        <f>'R3'!D30</f>
        <v>0.16461325725802856</v>
      </c>
      <c r="E40" s="155">
        <f>'R3'!E30</f>
        <v>0.91309210003595453</v>
      </c>
      <c r="F40" s="155">
        <f>'R3'!F30</f>
        <v>0.66457926438879977</v>
      </c>
      <c r="G40" s="155">
        <f>'R3'!G30</f>
        <v>1.1707822584853131</v>
      </c>
      <c r="H40" s="155">
        <f>'R3'!H30</f>
        <v>2.4434684867046728</v>
      </c>
      <c r="I40" s="155">
        <f>'R3'!I30</f>
        <v>1.9807824262542562E-2</v>
      </c>
      <c r="J40" s="155">
        <f>'R3'!J30</f>
        <v>5.1796305176862296E-2</v>
      </c>
      <c r="K40" s="155">
        <f>'R3'!K30</f>
        <v>1.2402710872920407E-2</v>
      </c>
      <c r="L40" s="155">
        <f>'R3'!L30</f>
        <v>1.0126682656353694</v>
      </c>
      <c r="M40" s="155">
        <f>'R3'!M30</f>
        <v>0.43507548227817278</v>
      </c>
      <c r="N40"/>
      <c r="O40" s="155">
        <f>'R3'!O30</f>
        <v>0.28601153053047235</v>
      </c>
      <c r="P40" s="155">
        <f>'R3'!P30</f>
        <v>2.0327892145886293</v>
      </c>
      <c r="Q40" s="155">
        <f>'R3'!Q30</f>
        <v>2.7495051203592361E-2</v>
      </c>
      <c r="R40" s="155">
        <f>'R3'!R30</f>
        <v>0.98866124728019023</v>
      </c>
      <c r="S40" s="155">
        <f>'R3'!S30</f>
        <v>0.76932172623257178</v>
      </c>
      <c r="T40" s="155">
        <f>'R3'!T30</f>
        <v>1.6963322546435018</v>
      </c>
      <c r="U40" s="155">
        <f>'R3'!U30</f>
        <v>0.17355217941586182</v>
      </c>
      <c r="V40" s="155">
        <f>'R3'!V30</f>
        <v>0.69339736570157773</v>
      </c>
    </row>
    <row r="41" spans="1:22" s="1" customFormat="1" x14ac:dyDescent="0.35">
      <c r="A41" s="223"/>
      <c r="B41" s="155">
        <f>'R3'!B31</f>
        <v>0.28106554366432979</v>
      </c>
      <c r="C41" s="155">
        <f>'R3'!C31</f>
        <v>0.13037255145804383</v>
      </c>
      <c r="D41" s="155">
        <f>'R3'!D31</f>
        <v>8.4118142924411957E-2</v>
      </c>
      <c r="E41" s="155">
        <f>'R3'!E31</f>
        <v>0.16397758342893282</v>
      </c>
      <c r="F41" s="155">
        <f>'R3'!F31</f>
        <v>2.065437246130017</v>
      </c>
      <c r="G41" s="155">
        <f>'R3'!G31</f>
        <v>0.11689694585161785</v>
      </c>
      <c r="H41" s="155">
        <f>'R3'!H31</f>
        <v>3.1525855096867277</v>
      </c>
      <c r="I41" s="155">
        <f>'R3'!I31</f>
        <v>3.3013162882688747E-2</v>
      </c>
      <c r="J41" s="155">
        <f>'R3'!J31</f>
        <v>0.14718117439373896</v>
      </c>
      <c r="K41" s="155">
        <f>'R3'!K31</f>
        <v>1.0722351828785084</v>
      </c>
      <c r="L41" s="155">
        <f>'R3'!L31</f>
        <v>1.7718039661852423</v>
      </c>
      <c r="M41" s="155">
        <f>'R3'!M31</f>
        <v>0.64810041676663865</v>
      </c>
      <c r="N41"/>
      <c r="O41" s="155">
        <f>'R3'!O31</f>
        <v>1.6730441115749681</v>
      </c>
      <c r="P41" s="155">
        <f>'R3'!P31</f>
        <v>1.3790674649085828</v>
      </c>
      <c r="Q41" s="155">
        <f>'R3'!Q31</f>
        <v>0.16206303156690047</v>
      </c>
      <c r="R41" s="155">
        <f>'R3'!R31</f>
        <v>1.4259457007061624</v>
      </c>
      <c r="S41" s="155">
        <f>'R3'!S31</f>
        <v>0.97778187611790834</v>
      </c>
      <c r="T41" s="155">
        <f>'R3'!T31</f>
        <v>1.5652684698841572</v>
      </c>
      <c r="U41" s="155">
        <f>'R3'!U31</f>
        <v>2.8453162822537585</v>
      </c>
      <c r="V41" s="155">
        <f>'R3'!V31</f>
        <v>2.6220437934108953</v>
      </c>
    </row>
    <row r="42" spans="1:22" s="1" customFormat="1" x14ac:dyDescent="0.35">
      <c r="A42" s="223"/>
      <c r="B42" s="155">
        <f>'R3'!B32</f>
        <v>2.6728422321001883E-2</v>
      </c>
      <c r="C42" s="155">
        <f>'R3'!C32</f>
        <v>0.40931260093363903</v>
      </c>
      <c r="D42" s="155">
        <f>'R3'!D32</f>
        <v>9.1213408943423155E-2</v>
      </c>
      <c r="E42" s="155">
        <f>'R3'!E32</f>
        <v>4.3900615422745849E-2</v>
      </c>
      <c r="F42" s="155" t="str">
        <f>'R3'!F32</f>
        <v/>
      </c>
      <c r="G42" s="155">
        <f>'R3'!G32</f>
        <v>0.52087436811216437</v>
      </c>
      <c r="H42" s="155">
        <f>'R3'!H32</f>
        <v>3.195931907894999</v>
      </c>
      <c r="I42" s="155">
        <f>'R3'!I32</f>
        <v>0.16816887981147108</v>
      </c>
      <c r="J42" s="155">
        <f>'R3'!J32</f>
        <v>0.15140406161667147</v>
      </c>
      <c r="K42" s="155">
        <f>'R3'!K32</f>
        <v>8.5719174062299161E-2</v>
      </c>
      <c r="L42" s="155">
        <f>'R3'!L32</f>
        <v>1.1227599567295024</v>
      </c>
      <c r="M42" s="155">
        <f>'R3'!M32</f>
        <v>0.53835016388351109</v>
      </c>
      <c r="N42"/>
      <c r="O42" s="155">
        <f>'R3'!O32</f>
        <v>0.47039101132226852</v>
      </c>
      <c r="P42" s="155">
        <f>'R3'!P32</f>
        <v>1.2292128238126427</v>
      </c>
      <c r="Q42" s="155">
        <f>'R3'!Q32</f>
        <v>8.4690451405042513E-2</v>
      </c>
      <c r="R42" s="155">
        <f>'R3'!R32</f>
        <v>1.4896061112939911</v>
      </c>
      <c r="S42" s="155">
        <f>'R3'!S32</f>
        <v>1.769462203307181</v>
      </c>
      <c r="T42" s="155">
        <f>'R3'!T32</f>
        <v>0.81417162804239684</v>
      </c>
      <c r="U42" s="155">
        <f>'R3'!U32</f>
        <v>3.1527047100089129</v>
      </c>
      <c r="V42" s="155">
        <f>'R3'!V32</f>
        <v>1.667025505476835</v>
      </c>
    </row>
    <row r="43" spans="1:22" s="1" customFormat="1" x14ac:dyDescent="0.35">
      <c r="A43" s="223"/>
      <c r="B43" s="155">
        <f>'R3'!B33</f>
        <v>0.26773678036543402</v>
      </c>
      <c r="C43" s="155">
        <f>'R3'!C33</f>
        <v>7.7066773480134618E-2</v>
      </c>
      <c r="D43" s="155">
        <f>'R3'!D33</f>
        <v>0.18191842575771108</v>
      </c>
      <c r="E43" s="155">
        <f>'R3'!E33</f>
        <v>2.6696647812930935E-2</v>
      </c>
      <c r="F43" s="155">
        <f>'R3'!F33</f>
        <v>0.62275446104823839</v>
      </c>
      <c r="G43" s="155">
        <f>'R3'!G33</f>
        <v>1.0094821824474689</v>
      </c>
      <c r="H43" s="155">
        <f>'R3'!H33</f>
        <v>3.1963790468539512</v>
      </c>
      <c r="I43" s="155">
        <f>'R3'!I33</f>
        <v>2.6082830437363761E-2</v>
      </c>
      <c r="J43" s="155">
        <f>'R3'!J33</f>
        <v>2.9360471962104628E-2</v>
      </c>
      <c r="K43" s="155">
        <f>'R3'!K33</f>
        <v>4.3866636902554365E-2</v>
      </c>
      <c r="L43" s="155">
        <f>'R3'!L33</f>
        <v>2.0170970156258203</v>
      </c>
      <c r="M43" s="155">
        <f>'R3'!M33</f>
        <v>1.2425333220660866</v>
      </c>
      <c r="N43"/>
      <c r="O43" s="155">
        <f>'R3'!O33</f>
        <v>1.0563521531995967</v>
      </c>
      <c r="P43" s="155">
        <f>'R3'!P33</f>
        <v>1.8929180137279764</v>
      </c>
      <c r="Q43" s="155">
        <f>'R3'!Q33</f>
        <v>4.5328631609171575E-2</v>
      </c>
      <c r="R43" s="155">
        <f>'R3'!R33</f>
        <v>1.2870953247926677</v>
      </c>
      <c r="S43" s="155">
        <f>'R3'!S33</f>
        <v>0.18405181765654427</v>
      </c>
      <c r="T43" s="155">
        <f>'R3'!T33</f>
        <v>1.9010978373779643</v>
      </c>
      <c r="U43" s="155">
        <f>'R3'!U33</f>
        <v>3.2076594563883307</v>
      </c>
      <c r="V43" s="155">
        <f>'R3'!V33</f>
        <v>2.9576823301886002</v>
      </c>
    </row>
    <row r="44" spans="1:22" s="1" customFormat="1" x14ac:dyDescent="0.35">
      <c r="A44" s="223"/>
      <c r="B44" s="155">
        <f>'R3'!B34</f>
        <v>0.13349113677475324</v>
      </c>
      <c r="C44" s="155">
        <f>'R3'!C34</f>
        <v>7.5712040696716457E-2</v>
      </c>
      <c r="D44" s="155">
        <f>'R3'!D34</f>
        <v>6.7996896268806645E-2</v>
      </c>
      <c r="E44" s="155">
        <f>'R3'!E34</f>
        <v>0.247885426863511</v>
      </c>
      <c r="F44" s="155">
        <f>'R3'!F34</f>
        <v>0.97185675686722106</v>
      </c>
      <c r="G44" s="155">
        <f>'R3'!G34</f>
        <v>1.0146625292690943</v>
      </c>
      <c r="H44" s="155">
        <f>'R3'!H34</f>
        <v>3.0324589514078291</v>
      </c>
      <c r="I44" s="155">
        <f>'R3'!I34</f>
        <v>4.6635610796644945E-2</v>
      </c>
      <c r="J44" s="155">
        <f>'R3'!J34</f>
        <v>2.9382052914118134E-2</v>
      </c>
      <c r="K44" s="155">
        <f>'R3'!K34</f>
        <v>0.40301188128407833</v>
      </c>
      <c r="L44" s="155">
        <f>'R3'!L34</f>
        <v>0.54287518443463267</v>
      </c>
      <c r="M44" s="155">
        <f>'R3'!M34</f>
        <v>1.8019191286309513</v>
      </c>
      <c r="N44"/>
      <c r="O44" s="155">
        <f>'R3'!O34</f>
        <v>0.6952444196924189</v>
      </c>
      <c r="P44" s="155">
        <f>'R3'!P34</f>
        <v>2.1587519969626872</v>
      </c>
      <c r="Q44" s="155">
        <f>'R3'!Q34</f>
        <v>0.15613552463641589</v>
      </c>
      <c r="R44" s="155">
        <f>'R3'!R34</f>
        <v>1.4101620352403514</v>
      </c>
      <c r="S44" s="155">
        <f>'R3'!S34</f>
        <v>2.0593111944410083</v>
      </c>
      <c r="T44" s="155">
        <f>'R3'!T34</f>
        <v>3.1169903466048399</v>
      </c>
      <c r="U44" s="155">
        <f>'R3'!U34</f>
        <v>3.3767063595283173</v>
      </c>
      <c r="V44" s="155">
        <f>'R3'!V34</f>
        <v>4.406132463986772E-2</v>
      </c>
    </row>
    <row r="45" spans="1:22" s="1" customFormat="1" x14ac:dyDescent="0.35">
      <c r="A45" s="223"/>
      <c r="B45" s="155">
        <f>'R3'!B35</f>
        <v>1.8552639359901615E-2</v>
      </c>
      <c r="C45" s="155">
        <f>'R3'!C35</f>
        <v>4.4283746196364375E-2</v>
      </c>
      <c r="D45" s="155">
        <f>'R3'!D35</f>
        <v>0.25313317972248922</v>
      </c>
      <c r="E45" s="155">
        <f>'R3'!E35</f>
        <v>0.42512381655095671</v>
      </c>
      <c r="F45" s="155">
        <f>'R3'!F35</f>
        <v>1.9308057167505672</v>
      </c>
      <c r="G45" s="155">
        <f>'R3'!G35</f>
        <v>0.39754133953324999</v>
      </c>
      <c r="H45" s="155">
        <f>'R3'!H35</f>
        <v>2.6460012214933633</v>
      </c>
      <c r="I45" s="155">
        <f>'R3'!I35</f>
        <v>8.4499988024293506E-3</v>
      </c>
      <c r="J45" s="155">
        <f>'R3'!J35</f>
        <v>6.8644508496888579E-2</v>
      </c>
      <c r="K45" s="155">
        <f>'R3'!K35</f>
        <v>0.76307858639965986</v>
      </c>
      <c r="L45" s="155">
        <f>'R3'!L35</f>
        <v>0.1002553686678911</v>
      </c>
      <c r="M45" s="155">
        <f>'R3'!M35</f>
        <v>0.85948850492025897</v>
      </c>
      <c r="N45"/>
      <c r="O45" s="155">
        <f>'R3'!O35</f>
        <v>1.3137521167197523</v>
      </c>
      <c r="P45" s="155">
        <f>'R3'!P35</f>
        <v>1.0128985849019647</v>
      </c>
      <c r="Q45" s="155" t="str">
        <f>'R3'!Q35</f>
        <v/>
      </c>
      <c r="R45" s="155">
        <f>'R3'!R35</f>
        <v>0.4773331903327413</v>
      </c>
      <c r="S45" s="155">
        <f>'R3'!S35</f>
        <v>1.9481108852502496</v>
      </c>
      <c r="T45" s="155">
        <f>'R3'!T35</f>
        <v>2.0076976386024734</v>
      </c>
      <c r="U45" s="155">
        <f>'R3'!U35</f>
        <v>2.8432266950958209</v>
      </c>
      <c r="V45" s="155">
        <f>'R3'!V35</f>
        <v>3.5140030905645165</v>
      </c>
    </row>
    <row r="46" spans="1:22" s="1" customFormat="1" x14ac:dyDescent="0.35">
      <c r="A46" s="223"/>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0.8760366870903783</v>
      </c>
      <c r="P46" s="155" t="str">
        <f>'R3'!P36</f>
        <v/>
      </c>
      <c r="Q46" s="155" t="str">
        <f>'R3'!Q36</f>
        <v/>
      </c>
      <c r="R46" s="155" t="str">
        <f>'R3'!R36</f>
        <v/>
      </c>
      <c r="S46" s="155" t="str">
        <f>'R3'!S36</f>
        <v/>
      </c>
      <c r="T46" s="155" t="str">
        <f>'R3'!T36</f>
        <v/>
      </c>
      <c r="U46" s="155" t="str">
        <f>'R3'!U36</f>
        <v/>
      </c>
      <c r="V46" s="155" t="str">
        <f>'R3'!V36</f>
        <v/>
      </c>
    </row>
    <row r="47" spans="1:22" s="1" customFormat="1" x14ac:dyDescent="0.35">
      <c r="A47" s="223"/>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1.0414623983163367</v>
      </c>
      <c r="P47" s="155" t="str">
        <f>'R3'!P37</f>
        <v/>
      </c>
      <c r="Q47" s="155" t="str">
        <f>'R3'!Q37</f>
        <v/>
      </c>
      <c r="R47" s="155" t="str">
        <f>'R3'!R37</f>
        <v/>
      </c>
      <c r="S47" s="155" t="str">
        <f>'R3'!S37</f>
        <v/>
      </c>
      <c r="T47" s="155" t="str">
        <f>'R3'!T37</f>
        <v/>
      </c>
      <c r="U47" s="155" t="str">
        <f>'R3'!U37</f>
        <v/>
      </c>
      <c r="V47" s="155" t="str">
        <f>'R3'!V37</f>
        <v/>
      </c>
    </row>
    <row r="48" spans="1:22" s="1" customFormat="1" x14ac:dyDescent="0.35">
      <c r="A48" s="223"/>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1.2942562520061029</v>
      </c>
      <c r="P48" s="155" t="str">
        <f>'R3'!P38</f>
        <v/>
      </c>
      <c r="Q48" s="155" t="str">
        <f>'R3'!Q38</f>
        <v/>
      </c>
      <c r="R48" s="155" t="str">
        <f>'R3'!R38</f>
        <v/>
      </c>
      <c r="S48" s="155" t="str">
        <f>'R3'!S38</f>
        <v/>
      </c>
      <c r="T48" s="155" t="str">
        <f>'R3'!T38</f>
        <v/>
      </c>
      <c r="U48" s="155" t="str">
        <f>'R3'!U38</f>
        <v/>
      </c>
      <c r="V48" s="155" t="str">
        <f>'R3'!V38</f>
        <v/>
      </c>
    </row>
    <row r="49" spans="1:24" s="1" customFormat="1" x14ac:dyDescent="0.35">
      <c r="A49" s="223"/>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0.53220445975309427</v>
      </c>
      <c r="P49" s="155" t="str">
        <f>'R3'!P39</f>
        <v/>
      </c>
      <c r="Q49" s="155" t="str">
        <f>'R3'!Q39</f>
        <v/>
      </c>
      <c r="R49" s="155" t="str">
        <f>'R3'!R39</f>
        <v/>
      </c>
      <c r="S49" s="155" t="str">
        <f>'R3'!S39</f>
        <v/>
      </c>
      <c r="T49" s="155" t="str">
        <f>'R3'!T39</f>
        <v/>
      </c>
      <c r="U49" s="155" t="str">
        <f>'R3'!U39</f>
        <v/>
      </c>
      <c r="V49" s="155" t="str">
        <f>'R3'!V39</f>
        <v/>
      </c>
    </row>
    <row r="50" spans="1:24" s="1" customFormat="1" x14ac:dyDescent="0.35">
      <c r="A50" s="223"/>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0.54273412765891893</v>
      </c>
      <c r="P50" s="155" t="str">
        <f>'R3'!P40</f>
        <v/>
      </c>
      <c r="Q50" s="155" t="str">
        <f>'R3'!Q40</f>
        <v/>
      </c>
      <c r="R50" s="155" t="str">
        <f>'R3'!R40</f>
        <v/>
      </c>
      <c r="S50" s="155" t="str">
        <f>'R3'!S40</f>
        <v/>
      </c>
      <c r="T50" s="155" t="str">
        <f>'R3'!T40</f>
        <v/>
      </c>
      <c r="U50" s="155" t="str">
        <f>'R3'!U40</f>
        <v/>
      </c>
      <c r="V50" s="155" t="str">
        <f>'R3'!V40</f>
        <v/>
      </c>
    </row>
    <row r="51" spans="1:24" s="1" customFormat="1" x14ac:dyDescent="0.35">
      <c r="A51" s="223"/>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1.0826715476045639</v>
      </c>
      <c r="P51" s="155" t="str">
        <f>'R3'!P41</f>
        <v/>
      </c>
      <c r="Q51" s="155" t="str">
        <f>'R3'!Q41</f>
        <v/>
      </c>
      <c r="R51" s="155" t="str">
        <f>'R3'!R41</f>
        <v/>
      </c>
      <c r="S51" s="155" t="str">
        <f>'R3'!S41</f>
        <v/>
      </c>
      <c r="T51" s="155" t="str">
        <f>'R3'!T41</f>
        <v/>
      </c>
      <c r="U51" s="155" t="str">
        <f>'R3'!U41</f>
        <v/>
      </c>
      <c r="V51" s="155" t="str">
        <f>'R3'!V41</f>
        <v/>
      </c>
    </row>
    <row r="52" spans="1:24" s="1" customFormat="1" x14ac:dyDescent="0.35">
      <c r="A52" s="223"/>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2.3967015535191796</v>
      </c>
      <c r="P52" s="155" t="str">
        <f>'R3'!P42</f>
        <v/>
      </c>
      <c r="Q52" s="155" t="str">
        <f>'R3'!Q42</f>
        <v/>
      </c>
      <c r="R52" s="155" t="str">
        <f>'R3'!R42</f>
        <v/>
      </c>
      <c r="S52" s="155" t="str">
        <f>'R3'!S42</f>
        <v/>
      </c>
      <c r="T52" s="155" t="str">
        <f>'R3'!T42</f>
        <v/>
      </c>
      <c r="U52" s="155" t="str">
        <f>'R3'!U42</f>
        <v/>
      </c>
      <c r="V52" s="155" t="str">
        <f>'R3'!V42</f>
        <v/>
      </c>
    </row>
    <row r="53" spans="1:24" s="1" customFormat="1" x14ac:dyDescent="0.35">
      <c r="A53" s="224"/>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1.0296081191260744</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BPA-1mg/L</v>
      </c>
      <c r="J55" s="15" t="str">
        <f t="shared" si="0"/>
        <v>BPA-2mg/L</v>
      </c>
      <c r="K55" s="15" t="str">
        <f t="shared" si="0"/>
        <v>BPA-3mg/L</v>
      </c>
      <c r="L55" s="15" t="str">
        <f t="shared" si="0"/>
        <v>BPA-4mg/L</v>
      </c>
      <c r="M55" s="15" t="str">
        <f t="shared" si="0"/>
        <v>BPA-5mg/L</v>
      </c>
      <c r="O55" s="15" t="str">
        <f t="shared" ref="O55:V55" si="1">O4</f>
        <v>Testo -30µg/L</v>
      </c>
      <c r="P55" s="15" t="str">
        <f t="shared" si="1"/>
        <v>Testo 30µg/L + EE2 -64ng/L</v>
      </c>
      <c r="Q55" s="15" t="str">
        <f t="shared" si="1"/>
        <v>Testo 30µg/L + FAD-10mg/L</v>
      </c>
      <c r="R55" s="15" t="str">
        <f t="shared" si="1"/>
        <v>BPA-1mg/L + Testostérone</v>
      </c>
      <c r="S55" s="15" t="str">
        <f t="shared" si="1"/>
        <v>BPA-2mg/L + Testostérone</v>
      </c>
      <c r="T55" s="15" t="str">
        <f t="shared" si="1"/>
        <v>BPA-3mg/L + Testostérone</v>
      </c>
      <c r="U55" s="15" t="str">
        <f t="shared" si="1"/>
        <v>BPA-4mg/L + Testostérone</v>
      </c>
      <c r="V55" s="15" t="str">
        <f t="shared" si="1"/>
        <v>BPA-5mg/L + Testostérone</v>
      </c>
    </row>
    <row r="56" spans="1:24" x14ac:dyDescent="0.35">
      <c r="A56" t="s">
        <v>48</v>
      </c>
      <c r="B56" s="9">
        <f t="shared" ref="B56:V56" si="2">AVERAGE(B6:B53)</f>
        <v>0.10559849098261508</v>
      </c>
      <c r="C56" s="9">
        <f t="shared" si="2"/>
        <v>0.10221538759007587</v>
      </c>
      <c r="D56" s="9">
        <f t="shared" si="2"/>
        <v>0.10408033895548441</v>
      </c>
      <c r="E56" s="9">
        <f t="shared" si="2"/>
        <v>0.20653051150841342</v>
      </c>
      <c r="F56" s="9">
        <f t="shared" si="2"/>
        <v>0.70454228979122879</v>
      </c>
      <c r="G56" s="9">
        <f t="shared" si="2"/>
        <v>1.1220147484526957</v>
      </c>
      <c r="H56" s="9">
        <f t="shared" si="2"/>
        <v>2.3243760738784505</v>
      </c>
      <c r="I56" s="9">
        <f t="shared" si="2"/>
        <v>7.7482401113273772E-2</v>
      </c>
      <c r="J56" s="9">
        <f t="shared" si="2"/>
        <v>9.307032958310163E-2</v>
      </c>
      <c r="K56" s="9">
        <f t="shared" si="2"/>
        <v>0.26005829631110139</v>
      </c>
      <c r="L56" s="9">
        <f t="shared" si="2"/>
        <v>0.64973583974472826</v>
      </c>
      <c r="M56" s="9">
        <f t="shared" si="2"/>
        <v>0.97616052482560356</v>
      </c>
      <c r="N56" s="9"/>
      <c r="O56" s="9">
        <f t="shared" si="2"/>
        <v>1</v>
      </c>
      <c r="P56" s="9">
        <f t="shared" si="2"/>
        <v>1.4646537842606921</v>
      </c>
      <c r="Q56" s="9">
        <f t="shared" si="2"/>
        <v>9.4995751597468342E-2</v>
      </c>
      <c r="R56" s="9">
        <f t="shared" si="2"/>
        <v>1.2061840641164574</v>
      </c>
      <c r="S56" s="9">
        <f t="shared" si="2"/>
        <v>1.3735628155879176</v>
      </c>
      <c r="T56" s="9">
        <f t="shared" si="2"/>
        <v>1.5932267377825438</v>
      </c>
      <c r="U56" s="9">
        <f t="shared" si="2"/>
        <v>2.0947763701328665</v>
      </c>
      <c r="V56" s="9">
        <f t="shared" si="2"/>
        <v>1.7898629265126693</v>
      </c>
    </row>
    <row r="57" spans="1:24" x14ac:dyDescent="0.35">
      <c r="A57" t="s">
        <v>1</v>
      </c>
      <c r="B57" s="3">
        <f>STDEV(B6:B53)</f>
        <v>9.7412726319062004E-2</v>
      </c>
      <c r="C57" s="3">
        <f t="shared" ref="C57:V57" si="3">STDEV(C6:C53)</f>
        <v>9.3298832630925907E-2</v>
      </c>
      <c r="D57" s="3">
        <f t="shared" si="3"/>
        <v>9.0124660237576204E-2</v>
      </c>
      <c r="E57" s="3">
        <f t="shared" si="3"/>
        <v>0.20592822855210277</v>
      </c>
      <c r="F57" s="3">
        <f t="shared" si="3"/>
        <v>0.53791578488960379</v>
      </c>
      <c r="G57" s="3">
        <f t="shared" si="3"/>
        <v>0.49795698426766077</v>
      </c>
      <c r="H57" s="3">
        <f t="shared" si="3"/>
        <v>0.94828069564982997</v>
      </c>
      <c r="I57" s="3">
        <f t="shared" si="3"/>
        <v>6.6346555377825925E-2</v>
      </c>
      <c r="J57" s="3">
        <f t="shared" si="3"/>
        <v>7.263306776904277E-2</v>
      </c>
      <c r="K57" s="3">
        <f t="shared" si="3"/>
        <v>0.36475146459813712</v>
      </c>
      <c r="L57" s="3">
        <f t="shared" si="3"/>
        <v>0.69827981512967641</v>
      </c>
      <c r="M57" s="3">
        <f t="shared" si="3"/>
        <v>0.62129021513655935</v>
      </c>
      <c r="N57" s="3"/>
      <c r="O57" s="3">
        <f t="shared" si="3"/>
        <v>0.59146219552739865</v>
      </c>
      <c r="P57" s="3">
        <f t="shared" si="3"/>
        <v>0.59008281146615515</v>
      </c>
      <c r="Q57" s="3">
        <f t="shared" si="3"/>
        <v>5.6622603342825886E-2</v>
      </c>
      <c r="R57" s="3">
        <f t="shared" si="3"/>
        <v>0.45915399321337397</v>
      </c>
      <c r="S57" s="3">
        <f t="shared" si="3"/>
        <v>0.7018957346390301</v>
      </c>
      <c r="T57" s="3">
        <f t="shared" si="3"/>
        <v>0.73090076519946123</v>
      </c>
      <c r="U57" s="3">
        <f t="shared" si="3"/>
        <v>0.77556724003806354</v>
      </c>
      <c r="V57" s="3">
        <f t="shared" si="3"/>
        <v>0.92693749928245295</v>
      </c>
      <c r="W57" s="3"/>
      <c r="X57" s="3"/>
    </row>
    <row r="58" spans="1:24" x14ac:dyDescent="0.35">
      <c r="A58" t="s">
        <v>2</v>
      </c>
      <c r="B58" s="3">
        <f xml:space="preserve"> B57/SQRT(COUNT(B6:B53))</f>
        <v>1.9884289494590611E-2</v>
      </c>
      <c r="C58" s="3">
        <f t="shared" ref="C58:V58" si="4" xml:space="preserve"> C57/SQRT(COUNT(C6:C53))</f>
        <v>1.9044544461924794E-2</v>
      </c>
      <c r="D58" s="3">
        <f t="shared" si="4"/>
        <v>1.839661923531349E-2</v>
      </c>
      <c r="E58" s="3">
        <f t="shared" si="4"/>
        <v>4.2034923632323813E-2</v>
      </c>
      <c r="F58" s="3">
        <f t="shared" si="4"/>
        <v>0.11468403067745397</v>
      </c>
      <c r="G58" s="3">
        <f t="shared" si="4"/>
        <v>0.10383120880019929</v>
      </c>
      <c r="H58" s="3">
        <f t="shared" si="4"/>
        <v>0.19356698643946296</v>
      </c>
      <c r="I58" s="3">
        <f t="shared" si="4"/>
        <v>1.3834213119312636E-2</v>
      </c>
      <c r="J58" s="3">
        <f t="shared" si="4"/>
        <v>1.5145041567029756E-2</v>
      </c>
      <c r="K58" s="3">
        <f t="shared" si="4"/>
        <v>7.4454580933189879E-2</v>
      </c>
      <c r="L58" s="3">
        <f t="shared" si="4"/>
        <v>0.14253577039605636</v>
      </c>
      <c r="M58" s="3">
        <f t="shared" si="4"/>
        <v>0.12682033410571303</v>
      </c>
      <c r="N58" s="3"/>
      <c r="O58" s="3">
        <f t="shared" si="4"/>
        <v>8.5370214450807669E-2</v>
      </c>
      <c r="P58" s="3">
        <f t="shared" si="4"/>
        <v>0.12045014950658392</v>
      </c>
      <c r="Q58" s="3">
        <f t="shared" si="4"/>
        <v>1.1806628958415503E-2</v>
      </c>
      <c r="R58" s="3">
        <f t="shared" si="4"/>
        <v>9.5740225856852768E-2</v>
      </c>
      <c r="S58" s="3">
        <f t="shared" si="4"/>
        <v>0.14327386687513066</v>
      </c>
      <c r="T58" s="3">
        <f t="shared" si="4"/>
        <v>0.14919449394570472</v>
      </c>
      <c r="U58" s="3">
        <f t="shared" si="4"/>
        <v>0.15831199994265799</v>
      </c>
      <c r="V58" s="3">
        <f t="shared" si="4"/>
        <v>0.18921032472445484</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5" t="s">
        <v>46</v>
      </c>
      <c r="B60" s="226"/>
      <c r="C60" s="226"/>
      <c r="D60" s="226"/>
      <c r="E60" s="226"/>
      <c r="F60" s="226"/>
      <c r="G60" s="226"/>
      <c r="H60" s="226"/>
      <c r="I60" s="226"/>
      <c r="J60" s="226"/>
      <c r="K60" s="226"/>
      <c r="L60" s="226"/>
      <c r="M60" s="226"/>
      <c r="N60" s="226"/>
      <c r="O60" s="226"/>
      <c r="P60" s="226"/>
      <c r="Q60" s="226"/>
      <c r="R60" s="226"/>
      <c r="S60" s="226"/>
      <c r="T60" s="226"/>
      <c r="U60" s="226"/>
      <c r="V60" s="226"/>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BPA-1mg/L</v>
      </c>
      <c r="J62" s="3" t="str">
        <f t="shared" si="6"/>
        <v>BPA-2mg/L</v>
      </c>
      <c r="K62" s="3" t="str">
        <f t="shared" si="6"/>
        <v>BPA-3mg/L</v>
      </c>
      <c r="L62" s="3" t="str">
        <f t="shared" si="6"/>
        <v>BPA-4mg/L</v>
      </c>
      <c r="M62" s="3" t="str">
        <f t="shared" si="6"/>
        <v>BPA-5mg/L</v>
      </c>
      <c r="N62" s="3"/>
      <c r="O62" s="3" t="str">
        <f t="shared" si="6"/>
        <v>Testo -30µg/L</v>
      </c>
      <c r="P62" s="3" t="str">
        <f t="shared" si="6"/>
        <v>Testo 30µg/L + EE2 -64ng/L</v>
      </c>
      <c r="Q62" s="3" t="str">
        <f t="shared" si="6"/>
        <v>Testo 30µg/L + FAD-10mg/L</v>
      </c>
      <c r="R62" s="3" t="str">
        <f t="shared" si="6"/>
        <v>BPA-1mg/L + Testostérone</v>
      </c>
      <c r="S62" s="3" t="str">
        <f t="shared" si="6"/>
        <v>BPA-2mg/L + Testostérone</v>
      </c>
      <c r="T62" s="3" t="str">
        <f t="shared" si="6"/>
        <v>BPA-3mg/L + Testostérone</v>
      </c>
      <c r="U62" s="3" t="str">
        <f t="shared" si="6"/>
        <v>BPA-4mg/L + Testostérone</v>
      </c>
      <c r="V62" s="3" t="str">
        <f t="shared" si="6"/>
        <v>BPA-5mg/L + Testostérone</v>
      </c>
    </row>
    <row r="63" spans="1:24" s="1" customFormat="1" x14ac:dyDescent="0.35">
      <c r="A63" s="1" t="s">
        <v>49</v>
      </c>
      <c r="B63" s="3">
        <f>COUNT(B6:B53)</f>
        <v>24</v>
      </c>
      <c r="C63" s="3">
        <f t="shared" ref="C63:V63" si="7">COUNT(C6:C53)</f>
        <v>24</v>
      </c>
      <c r="D63" s="3">
        <f t="shared" si="7"/>
        <v>24</v>
      </c>
      <c r="E63" s="3">
        <f t="shared" si="7"/>
        <v>24</v>
      </c>
      <c r="F63" s="3">
        <f t="shared" si="7"/>
        <v>22</v>
      </c>
      <c r="G63" s="3">
        <f t="shared" si="7"/>
        <v>23</v>
      </c>
      <c r="H63" s="3">
        <f t="shared" si="7"/>
        <v>24</v>
      </c>
      <c r="I63" s="3">
        <f t="shared" si="7"/>
        <v>23</v>
      </c>
      <c r="J63" s="3">
        <f t="shared" si="7"/>
        <v>23</v>
      </c>
      <c r="K63" s="3">
        <f t="shared" si="7"/>
        <v>24</v>
      </c>
      <c r="L63" s="3">
        <f t="shared" si="7"/>
        <v>24</v>
      </c>
      <c r="M63" s="3">
        <f t="shared" si="7"/>
        <v>24</v>
      </c>
      <c r="N63" s="3"/>
      <c r="O63" s="3">
        <f t="shared" si="7"/>
        <v>48</v>
      </c>
      <c r="P63" s="3">
        <f t="shared" si="7"/>
        <v>24</v>
      </c>
      <c r="Q63" s="3">
        <f t="shared" si="7"/>
        <v>23</v>
      </c>
      <c r="R63" s="3">
        <f t="shared" si="7"/>
        <v>23</v>
      </c>
      <c r="S63" s="3">
        <f t="shared" si="7"/>
        <v>24</v>
      </c>
      <c r="T63" s="3">
        <f t="shared" si="7"/>
        <v>24</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5" t="s">
        <v>58</v>
      </c>
      <c r="B65" s="226"/>
      <c r="C65" s="226"/>
      <c r="D65" s="226"/>
      <c r="E65" s="226"/>
      <c r="F65" s="226"/>
      <c r="G65" s="226"/>
      <c r="H65" s="226"/>
      <c r="I65" s="226"/>
      <c r="J65" s="226"/>
      <c r="K65" s="226"/>
      <c r="L65" s="226"/>
      <c r="M65" s="226"/>
      <c r="N65" s="226"/>
      <c r="O65" s="226"/>
      <c r="P65" s="226"/>
      <c r="Q65" s="226"/>
      <c r="R65" s="226"/>
      <c r="S65" s="226"/>
      <c r="T65" s="226"/>
      <c r="U65" s="226"/>
      <c r="V65" s="226"/>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5" t="s">
        <v>53</v>
      </c>
      <c r="B70" s="226"/>
      <c r="C70" s="226"/>
      <c r="D70" s="226"/>
      <c r="E70" s="226"/>
      <c r="F70" s="226"/>
      <c r="G70" s="226"/>
      <c r="H70" s="226"/>
      <c r="I70" s="226"/>
      <c r="J70" s="226"/>
      <c r="K70" s="226"/>
      <c r="L70" s="226"/>
      <c r="M70" s="226"/>
      <c r="N70" s="226"/>
      <c r="O70" s="226"/>
      <c r="P70" s="226"/>
      <c r="Q70" s="226"/>
      <c r="R70" s="226"/>
      <c r="S70" s="226"/>
      <c r="T70" s="226"/>
      <c r="U70" s="226"/>
      <c r="V70" s="226"/>
    </row>
    <row r="71" spans="1:22" ht="15" thickBot="1" x14ac:dyDescent="0.4"/>
    <row r="72" spans="1:22" s="48" customFormat="1" ht="26.5" thickBot="1" x14ac:dyDescent="0.4">
      <c r="A72" s="225" t="s">
        <v>54</v>
      </c>
      <c r="B72" s="226"/>
      <c r="C72" s="226"/>
      <c r="D72" s="226"/>
      <c r="E72" s="226"/>
      <c r="F72" s="226"/>
      <c r="G72" s="226"/>
      <c r="H72" s="226"/>
      <c r="I72" s="226"/>
      <c r="J72" s="226"/>
      <c r="K72" s="226"/>
      <c r="L72" s="226"/>
      <c r="M72" s="226"/>
      <c r="N72" s="226"/>
      <c r="O72" s="226"/>
      <c r="P72" s="226"/>
      <c r="Q72" s="226"/>
      <c r="R72" s="226"/>
      <c r="S72" s="226"/>
      <c r="T72" s="226"/>
      <c r="U72" s="226"/>
      <c r="V72" s="226"/>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BPA-1mg/L</v>
      </c>
      <c r="J74" s="46" t="str">
        <f t="shared" si="9"/>
        <v>BPA-2mg/L</v>
      </c>
      <c r="K74" s="46" t="str">
        <f t="shared" si="9"/>
        <v>BPA-3mg/L</v>
      </c>
      <c r="L74" s="46" t="str">
        <f t="shared" si="9"/>
        <v>BPA-4mg/L</v>
      </c>
      <c r="M74" s="46" t="str">
        <f t="shared" si="9"/>
        <v>BPA-5mg/L</v>
      </c>
      <c r="N74" s="46"/>
      <c r="O74" s="46" t="str">
        <f t="shared" ref="O74:V74" si="10">O4</f>
        <v>Testo -30µg/L</v>
      </c>
      <c r="P74" s="46" t="str">
        <f t="shared" si="10"/>
        <v>Testo 30µg/L + EE2 -64ng/L</v>
      </c>
      <c r="Q74" s="46" t="str">
        <f t="shared" si="10"/>
        <v>Testo 30µg/L + FAD-10mg/L</v>
      </c>
      <c r="R74" s="46" t="str">
        <f t="shared" si="10"/>
        <v>BPA-1mg/L + Testostérone</v>
      </c>
      <c r="S74" s="46" t="str">
        <f t="shared" si="10"/>
        <v>BPA-2mg/L + Testostérone</v>
      </c>
      <c r="T74" s="46" t="str">
        <f t="shared" si="10"/>
        <v>BPA-3mg/L + Testostérone</v>
      </c>
      <c r="U74" s="46" t="str">
        <f t="shared" si="10"/>
        <v>BPA-4mg/L + Testostérone</v>
      </c>
      <c r="V74" s="46" t="str">
        <f t="shared" si="10"/>
        <v>BPA-5mg/L + Testostérone</v>
      </c>
    </row>
    <row r="75" spans="1:22" s="3" customFormat="1" x14ac:dyDescent="0.35">
      <c r="A75" s="61" t="s">
        <v>32</v>
      </c>
      <c r="B75" s="142">
        <f>B56</f>
        <v>0.10559849098261508</v>
      </c>
      <c r="C75" s="142">
        <f t="shared" ref="C75:V75" si="11">C56</f>
        <v>0.10221538759007587</v>
      </c>
      <c r="D75" s="142">
        <f t="shared" si="11"/>
        <v>0.10408033895548441</v>
      </c>
      <c r="E75" s="142">
        <f t="shared" si="11"/>
        <v>0.20653051150841342</v>
      </c>
      <c r="F75" s="142">
        <f t="shared" si="11"/>
        <v>0.70454228979122879</v>
      </c>
      <c r="G75" s="142">
        <f t="shared" si="11"/>
        <v>1.1220147484526957</v>
      </c>
      <c r="H75" s="142">
        <f t="shared" si="11"/>
        <v>2.3243760738784505</v>
      </c>
      <c r="I75" s="142">
        <f t="shared" si="11"/>
        <v>7.7482401113273772E-2</v>
      </c>
      <c r="J75" s="142">
        <f t="shared" si="11"/>
        <v>9.307032958310163E-2</v>
      </c>
      <c r="K75" s="142">
        <f t="shared" si="11"/>
        <v>0.26005829631110139</v>
      </c>
      <c r="L75" s="142">
        <f t="shared" si="11"/>
        <v>0.64973583974472826</v>
      </c>
      <c r="M75" s="142">
        <f t="shared" si="11"/>
        <v>0.97616052482560356</v>
      </c>
      <c r="N75" s="142"/>
      <c r="O75" s="142">
        <f t="shared" si="11"/>
        <v>1</v>
      </c>
      <c r="P75" s="142">
        <f t="shared" si="11"/>
        <v>1.4646537842606921</v>
      </c>
      <c r="Q75" s="142">
        <f t="shared" si="11"/>
        <v>9.4995751597468342E-2</v>
      </c>
      <c r="R75" s="142">
        <f t="shared" si="11"/>
        <v>1.2061840641164574</v>
      </c>
      <c r="S75" s="142">
        <f t="shared" si="11"/>
        <v>1.3735628155879176</v>
      </c>
      <c r="T75" s="142">
        <f t="shared" si="11"/>
        <v>1.5932267377825438</v>
      </c>
      <c r="U75" s="142">
        <f t="shared" si="11"/>
        <v>2.0947763701328665</v>
      </c>
      <c r="V75" s="142">
        <f t="shared" si="11"/>
        <v>1.7898629265126693</v>
      </c>
    </row>
    <row r="76" spans="1:22" s="3" customFormat="1" x14ac:dyDescent="0.35">
      <c r="A76" s="61" t="s">
        <v>2</v>
      </c>
      <c r="B76" s="142">
        <f>B58</f>
        <v>1.9884289494590611E-2</v>
      </c>
      <c r="C76" s="142">
        <f t="shared" ref="C76:V76" si="12">C58</f>
        <v>1.9044544461924794E-2</v>
      </c>
      <c r="D76" s="142">
        <f t="shared" si="12"/>
        <v>1.839661923531349E-2</v>
      </c>
      <c r="E76" s="142">
        <f t="shared" si="12"/>
        <v>4.2034923632323813E-2</v>
      </c>
      <c r="F76" s="142">
        <f t="shared" si="12"/>
        <v>0.11468403067745397</v>
      </c>
      <c r="G76" s="142">
        <f t="shared" si="12"/>
        <v>0.10383120880019929</v>
      </c>
      <c r="H76" s="142">
        <f t="shared" si="12"/>
        <v>0.19356698643946296</v>
      </c>
      <c r="I76" s="142">
        <f t="shared" si="12"/>
        <v>1.3834213119312636E-2</v>
      </c>
      <c r="J76" s="142">
        <f t="shared" si="12"/>
        <v>1.5145041567029756E-2</v>
      </c>
      <c r="K76" s="142">
        <f t="shared" si="12"/>
        <v>7.4454580933189879E-2</v>
      </c>
      <c r="L76" s="142">
        <f t="shared" si="12"/>
        <v>0.14253577039605636</v>
      </c>
      <c r="M76" s="142">
        <f t="shared" si="12"/>
        <v>0.12682033410571303</v>
      </c>
      <c r="N76" s="142"/>
      <c r="O76" s="142">
        <f t="shared" si="12"/>
        <v>8.5370214450807669E-2</v>
      </c>
      <c r="P76" s="142">
        <f t="shared" si="12"/>
        <v>0.12045014950658392</v>
      </c>
      <c r="Q76" s="142">
        <f t="shared" si="12"/>
        <v>1.1806628958415503E-2</v>
      </c>
      <c r="R76" s="142">
        <f t="shared" si="12"/>
        <v>9.5740225856852768E-2</v>
      </c>
      <c r="S76" s="142">
        <f t="shared" si="12"/>
        <v>0.14327386687513066</v>
      </c>
      <c r="T76" s="142">
        <f t="shared" si="12"/>
        <v>0.14919449394570472</v>
      </c>
      <c r="U76" s="142">
        <f t="shared" si="12"/>
        <v>0.15831199994265799</v>
      </c>
      <c r="V76" s="142">
        <f t="shared" si="12"/>
        <v>0.18921032472445484</v>
      </c>
    </row>
    <row r="77" spans="1:22" s="3" customFormat="1" x14ac:dyDescent="0.35">
      <c r="A77" s="61" t="s">
        <v>79</v>
      </c>
      <c r="B77" s="142">
        <f>(B75*100/$B$75)-100</f>
        <v>0</v>
      </c>
      <c r="C77" s="142">
        <f t="shared" ref="C77:M77" si="13">(C75*100/$B$75)-100</f>
        <v>-3.2037421757250115</v>
      </c>
      <c r="D77" s="142">
        <f t="shared" si="13"/>
        <v>-1.4376645092216478</v>
      </c>
      <c r="E77" s="142">
        <f t="shared" si="13"/>
        <v>95.580930737367282</v>
      </c>
      <c r="F77" s="142">
        <f t="shared" si="13"/>
        <v>567.18973276542295</v>
      </c>
      <c r="G77" s="142">
        <f t="shared" si="13"/>
        <v>962.52914981277104</v>
      </c>
      <c r="H77" s="142">
        <f t="shared" si="13"/>
        <v>2101.1451605507486</v>
      </c>
      <c r="I77" s="142">
        <f t="shared" si="13"/>
        <v>-26.625465579778137</v>
      </c>
      <c r="J77" s="142">
        <f t="shared" si="13"/>
        <v>-11.863958739311897</v>
      </c>
      <c r="K77" s="142">
        <f t="shared" si="13"/>
        <v>146.27084524713084</v>
      </c>
      <c r="L77" s="142">
        <f t="shared" si="13"/>
        <v>515.28894371387923</v>
      </c>
      <c r="M77" s="142">
        <f t="shared" si="13"/>
        <v>824.40764611523764</v>
      </c>
      <c r="N77" s="142"/>
      <c r="O77" s="142">
        <f t="shared" ref="O77:V77" si="14">(O75*100/$O$75)-100</f>
        <v>0</v>
      </c>
      <c r="P77" s="142">
        <f t="shared" si="14"/>
        <v>46.465378426069208</v>
      </c>
      <c r="Q77" s="142">
        <f t="shared" si="14"/>
        <v>-90.50042484025316</v>
      </c>
      <c r="R77" s="142">
        <f t="shared" si="14"/>
        <v>20.618406411645736</v>
      </c>
      <c r="S77" s="142">
        <f t="shared" si="14"/>
        <v>37.35628155879175</v>
      </c>
      <c r="T77" s="142">
        <f t="shared" si="14"/>
        <v>59.322673778254369</v>
      </c>
      <c r="U77" s="142">
        <f t="shared" si="14"/>
        <v>109.47763701328665</v>
      </c>
      <c r="V77" s="142">
        <f t="shared" si="14"/>
        <v>78.986292651266922</v>
      </c>
    </row>
    <row r="78" spans="1:22" s="3" customFormat="1" x14ac:dyDescent="0.35">
      <c r="A78" s="61" t="s">
        <v>81</v>
      </c>
      <c r="B78" s="142">
        <f>[1]!DPTEST(B6:B53)</f>
        <v>0.11336940613599378</v>
      </c>
      <c r="C78" s="142">
        <f>[1]!DPTEST(C6:C53)</f>
        <v>5.8218180398528219E-5</v>
      </c>
      <c r="D78" s="142">
        <f>[1]!DPTEST(D6:D53)</f>
        <v>0.16524557658968586</v>
      </c>
      <c r="E78" s="142">
        <f>[1]!DPTEST(E6:E53)</f>
        <v>6.3640455436608789E-6</v>
      </c>
      <c r="F78" s="142">
        <f>[1]!DPTEST(F6:F53)</f>
        <v>1.7310386709190273E-2</v>
      </c>
      <c r="G78" s="142">
        <f>[1]!DPTEST(G6:G53)</f>
        <v>0.98183482132745969</v>
      </c>
      <c r="H78" s="142">
        <f>[1]!DPTEST(H6:H53)</f>
        <v>0.99118444874904132</v>
      </c>
      <c r="I78" s="142">
        <f>[1]!DPTEST(I6:I53)</f>
        <v>0.150537248471035</v>
      </c>
      <c r="J78" s="142">
        <f>[1]!DPTEST(J6:J53)</f>
        <v>0.18567078775917789</v>
      </c>
      <c r="K78" s="142">
        <f>[1]!DPTEST(K6:K53)</f>
        <v>1.1453402544048252E-5</v>
      </c>
      <c r="L78" s="142">
        <f>[1]!DPTEST(L6:L53)</f>
        <v>8.6462677781871444E-2</v>
      </c>
      <c r="M78" s="142">
        <f>[1]!DPTEST(M6:M53)</f>
        <v>0.14545908252371065</v>
      </c>
      <c r="N78" s="142"/>
      <c r="O78" s="142">
        <f>[1]!DPTEST(O6:O53)</f>
        <v>0.55959861614897688</v>
      </c>
      <c r="P78" s="142">
        <f>[1]!DPTEST(P6:P53)</f>
        <v>0.66596353336271319</v>
      </c>
      <c r="Q78" s="142">
        <f>[1]!DPTEST(Q6:Q53)</f>
        <v>1.9954828395505553E-2</v>
      </c>
      <c r="R78" s="142">
        <f>[1]!DPTEST(R6:R53)</f>
        <v>0.3561346316822176</v>
      </c>
      <c r="S78" s="142">
        <f>[1]!DPTEST(S6:S53)</f>
        <v>0.20056374449326386</v>
      </c>
      <c r="T78" s="142">
        <f>[1]!DPTEST(T6:T53)</f>
        <v>0.56476160860729407</v>
      </c>
      <c r="U78" s="142">
        <f>[1]!DPTEST(U6:U53)</f>
        <v>0.66924743935018771</v>
      </c>
      <c r="V78" s="142">
        <f>[1]!DPTEST(V6:V53)</f>
        <v>0.58297372891153443</v>
      </c>
    </row>
    <row r="79" spans="1:22" s="3" customFormat="1" x14ac:dyDescent="0.35">
      <c r="A79" s="61" t="s">
        <v>85</v>
      </c>
      <c r="B79" s="142" t="str">
        <f>IF(B78&gt;0.05,"Oui","Non")</f>
        <v>Oui</v>
      </c>
      <c r="C79" s="142" t="str">
        <f t="shared" ref="C79:V79" si="15">IF(C78&gt;0.05,"Oui","Non")</f>
        <v>Non</v>
      </c>
      <c r="D79" s="142" t="str">
        <f t="shared" si="15"/>
        <v>Oui</v>
      </c>
      <c r="E79" s="142" t="str">
        <f t="shared" si="15"/>
        <v>Non</v>
      </c>
      <c r="F79" s="142" t="str">
        <f t="shared" si="15"/>
        <v>Non</v>
      </c>
      <c r="G79" s="142" t="str">
        <f t="shared" si="15"/>
        <v>Oui</v>
      </c>
      <c r="H79" s="142" t="str">
        <f t="shared" si="15"/>
        <v>Oui</v>
      </c>
      <c r="I79" s="142" t="str">
        <f t="shared" si="15"/>
        <v>Oui</v>
      </c>
      <c r="J79" s="142" t="str">
        <f t="shared" si="15"/>
        <v>Oui</v>
      </c>
      <c r="K79" s="142" t="str">
        <f t="shared" si="15"/>
        <v>Non</v>
      </c>
      <c r="L79" s="142" t="str">
        <f t="shared" si="15"/>
        <v>Oui</v>
      </c>
      <c r="M79" s="142" t="str">
        <f t="shared" si="15"/>
        <v>Oui</v>
      </c>
      <c r="N79" s="142"/>
      <c r="O79" s="142" t="str">
        <f t="shared" si="15"/>
        <v>Oui</v>
      </c>
      <c r="P79" s="142" t="str">
        <f t="shared" si="15"/>
        <v>Oui</v>
      </c>
      <c r="Q79" s="142" t="str">
        <f t="shared" si="15"/>
        <v>Non</v>
      </c>
      <c r="R79" s="142" t="str">
        <f t="shared" si="15"/>
        <v>Oui</v>
      </c>
      <c r="S79" s="142" t="str">
        <f t="shared" si="15"/>
        <v>Oui</v>
      </c>
      <c r="T79" s="142" t="str">
        <f t="shared" si="15"/>
        <v>Oui</v>
      </c>
      <c r="U79" s="142" t="str">
        <f t="shared" si="15"/>
        <v>Oui</v>
      </c>
      <c r="V79" s="142" t="str">
        <f t="shared" si="15"/>
        <v>Oui</v>
      </c>
    </row>
    <row r="80" spans="1:22" s="3" customFormat="1" x14ac:dyDescent="0.35">
      <c r="A80" s="61" t="s">
        <v>122</v>
      </c>
      <c r="B80" s="142" t="str">
        <f>IF(COUNTIF(B79:I79, "Non")=0, "Oui","Non")</f>
        <v>Non</v>
      </c>
      <c r="C80" s="142"/>
      <c r="D80" s="142"/>
      <c r="E80" s="142"/>
      <c r="F80" s="142"/>
      <c r="G80" s="142"/>
      <c r="H80" s="142"/>
      <c r="I80" s="142"/>
      <c r="J80" s="142" t="str">
        <f>IF(COUNTIF(J79:M79, "Non")&gt;0, "Oui","Non")</f>
        <v>Oui</v>
      </c>
      <c r="K80" s="142"/>
      <c r="L80" s="142"/>
      <c r="M80" s="142"/>
      <c r="N80" s="142"/>
      <c r="O80" s="142"/>
      <c r="P80" s="142"/>
      <c r="Q80" s="142"/>
      <c r="R80" s="142" t="str">
        <f>IF(COUNTIF(R79:V79, "Non")&gt;0, "Oui","Non")</f>
        <v>Non</v>
      </c>
      <c r="S80" s="142"/>
      <c r="T80" s="142"/>
      <c r="U80" s="142"/>
      <c r="V80" s="142"/>
    </row>
    <row r="81" spans="1:22" s="3" customFormat="1" x14ac:dyDescent="0.35">
      <c r="A81" s="61" t="s">
        <v>82</v>
      </c>
      <c r="B81" s="142"/>
      <c r="C81" s="142" t="str">
        <f t="shared" ref="C81:I81" si="16">IF($B80="Non","Kruskal-Wallis","ANOVA")</f>
        <v>Kruskal-Wallis</v>
      </c>
      <c r="D81" s="142" t="str">
        <f t="shared" si="16"/>
        <v>Kruskal-Wallis</v>
      </c>
      <c r="E81" s="142" t="str">
        <f t="shared" si="16"/>
        <v>Kruskal-Wallis</v>
      </c>
      <c r="F81" s="142" t="str">
        <f t="shared" si="16"/>
        <v>Kruskal-Wallis</v>
      </c>
      <c r="G81" s="142" t="str">
        <f t="shared" si="16"/>
        <v>Kruskal-Wallis</v>
      </c>
      <c r="H81" s="142" t="str">
        <f t="shared" si="16"/>
        <v>Kruskal-Wallis</v>
      </c>
      <c r="I81" s="142" t="str">
        <f t="shared" si="16"/>
        <v>Kruskal-Wallis</v>
      </c>
      <c r="J81" s="142" t="str">
        <f t="shared" ref="J81:M81" si="17">IF($B79="Non",IF(J79="Non","Mann Withney",IF(J79="Oui","Mann Withney","")),IF($B79="Oui",IF(J79="Oui","T-Test Welch",IF(J79="Non","Mann Withney",""))))</f>
        <v>T-Test Welch</v>
      </c>
      <c r="K81" s="142" t="str">
        <f t="shared" si="17"/>
        <v>Mann Withney</v>
      </c>
      <c r="L81" s="142" t="str">
        <f t="shared" si="17"/>
        <v>T-Test Welch</v>
      </c>
      <c r="M81" s="142" t="str">
        <f t="shared" si="17"/>
        <v>T-Test Welch</v>
      </c>
      <c r="N81" s="142"/>
      <c r="O81" s="142" t="str">
        <f>IF($B79="Non",IF(O79="Non","Mann Withney",IF(O79="Oui","Mann Withney","")),IF($B79="Oui",IF(O79="Oui","T-Test Welch",IF(O79="Non","Mann Withney",""))))</f>
        <v>T-Test Welch</v>
      </c>
      <c r="P81" s="142" t="str">
        <f t="shared" ref="P81:V81" si="18">IF($O79="Non",IF(P79="Non","Mann Withney",IF(P$79="Oui","Mann Withney","")),IF($O79="Oui",IF(P79="Oui","T-Test Welch",IF(P79="Non","Mann Withney",""))))</f>
        <v>T-Test Welch</v>
      </c>
      <c r="Q81" s="142" t="str">
        <f t="shared" si="18"/>
        <v>Mann Withney</v>
      </c>
      <c r="R81" s="142" t="str">
        <f t="shared" si="18"/>
        <v>T-Test Welch</v>
      </c>
      <c r="S81" s="142" t="str">
        <f t="shared" si="18"/>
        <v>T-Test Welch</v>
      </c>
      <c r="T81" s="142" t="str">
        <f t="shared" si="18"/>
        <v>T-Test Welch</v>
      </c>
      <c r="U81" s="142" t="str">
        <f t="shared" si="18"/>
        <v>T-Test Welch</v>
      </c>
      <c r="V81" s="142" t="str">
        <f t="shared" si="18"/>
        <v>T-Test Welch</v>
      </c>
    </row>
    <row r="82" spans="1:22" s="3" customFormat="1" x14ac:dyDescent="0.35">
      <c r="A82" s="61" t="s">
        <v>83</v>
      </c>
      <c r="B82" s="142"/>
      <c r="C82" s="142" t="str">
        <f>IF(C81="Mann Withney",[1]!MTEST($B6:$B53,C6:C53,2), IF(C81="T-Test Welch",_xlfn.T.TEST($B6:$B53,C6:C53,2,3),""))</f>
        <v/>
      </c>
      <c r="D82" s="142" t="str">
        <f>IF(D81="Mann Withney",[1]!MTEST($B6:$B53,D6:D53,2), IF(D81="T-Test Welch",_xlfn.T.TEST($B6:$B53,D6:D53,2,3),""))</f>
        <v/>
      </c>
      <c r="E82" s="142" t="str">
        <f>IF(E81="Mann Withney",[1]!MTEST($B6:$B53,E6:E53,2), IF(E81="T-Test Welch",_xlfn.T.TEST($B6:$B53,E6:E53,2,3),""))</f>
        <v/>
      </c>
      <c r="F82" s="142" t="str">
        <f>IF(F81="Mann Withney",[1]!MTEST($B6:$B53,F6:F53,2), IF(F81="T-Test Welch",_xlfn.T.TEST($B6:$B53,F6:F53,2,3),""))</f>
        <v/>
      </c>
      <c r="G82" s="142" t="str">
        <f>IF(G81="Mann Withney",[1]!MTEST($B6:$B53,G6:G53,2), IF(G81="T-Test Welch",_xlfn.T.TEST($B6:$B53,G6:G53,2,3),""))</f>
        <v/>
      </c>
      <c r="H82" s="142" t="str">
        <f>IF(H81="Mann Withney",[1]!MTEST($B6:$B53,H6:H53,2), IF(H81="T-Test Welch",_xlfn.T.TEST($B6:$B53,H6:H53,2,3),""))</f>
        <v/>
      </c>
      <c r="I82" s="142" t="str">
        <f>IF(I81="Mann Withney",[1]!MTEST($B6:$B53,I6:I53,2), IF(I81="T-Test Welch",_xlfn.T.TEST($B6:$B53,I6:I53,2,3),""))</f>
        <v/>
      </c>
      <c r="J82" s="142">
        <f>IF(J81="Mann Withney",[1]!MTEST($B6:$B53,J6:J53,2), IF(J81="T-Test Welch",_xlfn.T.TEST($B6:$B53,J6:J53,2,3),""))</f>
        <v>0.61880120319422816</v>
      </c>
      <c r="K82" s="142">
        <f>IF(K81="Mann Withney",[1]!MTEST($B6:$B53,K6:K53,2), IF(K81="T-Test Welch",_xlfn.T.TEST($B6:$B53,K6:K53,2,3),""))</f>
        <v>0.12704615837680744</v>
      </c>
      <c r="L82" s="142">
        <f>IF(L81="Mann Withney",[1]!MTEST($B6:$B53,L6:L53,2), IF(L81="T-Test Welch",_xlfn.T.TEST($B6:$B53,L6:L53,2,3),""))</f>
        <v>9.2004614117867443E-4</v>
      </c>
      <c r="M82" s="142">
        <f>IF(M81="Mann Withney",[1]!MTEST($B6:$B53,M6:M53,2), IF(M81="T-Test Welch",_xlfn.T.TEST($B6:$B53,M6:M53,2,3),""))</f>
        <v>5.0092258290657323E-7</v>
      </c>
      <c r="N82" s="142"/>
      <c r="O82" s="142">
        <f>IF(O81="Mann Withney",[1]!MTEST($B6:$B37,O6:O53,2), IF(O81="T-Test Welch",_xlfn.T.TEST($B6:$B37,O6:O53,2,3),""))</f>
        <v>3.3678644732740753E-14</v>
      </c>
      <c r="P82" s="142">
        <f>IF(P81="Mann Withney",[1]!MTEST($O6:$O53,P6:P53,2), IF(P81="T-Test Welch",_xlfn.T.TEST($O6:$O53,P6:P53,2,3),""))</f>
        <v>2.8837223182889204E-3</v>
      </c>
      <c r="Q82" s="142">
        <f>IF(Q81="Mann Withney",[1]!MTEST($O6:$O53,Q6:Q53,2), IF(Q81="T-Test Welch",_xlfn.T.TEST($O6:$O53,Q6:Q53,2,3),""))</f>
        <v>4.2770844643769124E-9</v>
      </c>
      <c r="R82" s="142">
        <f>IF(R81="Mann Withney",[1]!MTEST($O6:$O53,R6:R53,2), IF(R81="T-Test Welch",_xlfn.T.TEST($O6:$O53,R6:R53,2,3),""))</f>
        <v>0.11373041570178562</v>
      </c>
      <c r="S82" s="142">
        <f>IF(S81="Mann Withney",[1]!MTEST($O6:$O53,S6:S53,2), IF(S81="T-Test Welch",_xlfn.T.TEST($O6:$O53,S6:S53,2,3),""))</f>
        <v>3.0757125702116778E-2</v>
      </c>
      <c r="T82" s="142">
        <f>IF(T81="Mann Withney",[1]!MTEST($O6:$O53,T6:T53,2), IF(T81="T-Test Welch",_xlfn.T.TEST($O6:$O53,T6:T53,2,3),""))</f>
        <v>1.3693184076640401E-3</v>
      </c>
      <c r="U82" s="142">
        <f>IF(U81="Mann Withney",[1]!MTEST($O6:$O53,U6:U53,2), IF(U81="T-Test Welch",_xlfn.T.TEST($O6:$O53,U6:U53,2,3),""))</f>
        <v>4.8927407271030435E-7</v>
      </c>
      <c r="V82" s="142">
        <f>IF(V81="Mann Withney",[1]!MTEST($O6:$O53,V6:V53,2), IF(V81="T-Test Welch",_xlfn.T.TEST($O6:$O53,V6:V53,2,3),""))</f>
        <v>5.8980682940693128E-4</v>
      </c>
    </row>
    <row r="83" spans="1:22" s="3" customFormat="1" ht="15" thickBot="1" x14ac:dyDescent="0.4">
      <c r="A83" s="62" t="s">
        <v>84</v>
      </c>
      <c r="B83" s="143"/>
      <c r="C83" s="143" t="str">
        <f t="shared" ref="C83:O83" si="19">IF(C82&gt;0.05,"NS",IF(C82&gt;0.01,"*",IF(C82&gt;0.001,"**","***")))</f>
        <v>NS</v>
      </c>
      <c r="D83" s="143" t="str">
        <f t="shared" si="19"/>
        <v>NS</v>
      </c>
      <c r="E83" s="143" t="str">
        <f t="shared" si="19"/>
        <v>NS</v>
      </c>
      <c r="F83" s="143" t="str">
        <f t="shared" si="19"/>
        <v>NS</v>
      </c>
      <c r="G83" s="143" t="str">
        <f t="shared" si="19"/>
        <v>NS</v>
      </c>
      <c r="H83" s="143" t="str">
        <f t="shared" si="19"/>
        <v>NS</v>
      </c>
      <c r="I83" s="143" t="str">
        <f t="shared" si="19"/>
        <v>NS</v>
      </c>
      <c r="J83" s="143" t="str">
        <f t="shared" si="19"/>
        <v>NS</v>
      </c>
      <c r="K83" s="143" t="str">
        <f t="shared" si="19"/>
        <v>NS</v>
      </c>
      <c r="L83" s="143" t="str">
        <f t="shared" si="19"/>
        <v>***</v>
      </c>
      <c r="M83" s="143" t="str">
        <f t="shared" si="19"/>
        <v>***</v>
      </c>
      <c r="N83" s="143"/>
      <c r="O83" s="143" t="str">
        <f t="shared" si="19"/>
        <v>***</v>
      </c>
      <c r="P83" s="143" t="str">
        <f t="shared" ref="P83" si="20">IF(P82&gt;0.05,"NS",IF(P82&gt;0.01,"*",IF(P82&gt;0.001,"**","***")))</f>
        <v>**</v>
      </c>
      <c r="Q83" s="143" t="str">
        <f t="shared" ref="Q83:V83" si="21">IF(Q82&gt;0.05,"NS",IF(Q82&gt;0.01,"*",IF(Q82&gt;0.001,"**","***")))</f>
        <v>***</v>
      </c>
      <c r="R83" s="143" t="str">
        <f t="shared" si="21"/>
        <v>NS</v>
      </c>
      <c r="S83" s="143" t="str">
        <f t="shared" si="21"/>
        <v>*</v>
      </c>
      <c r="T83" s="143" t="str">
        <f t="shared" si="21"/>
        <v>**</v>
      </c>
      <c r="U83" s="143" t="str">
        <f t="shared" si="21"/>
        <v>***</v>
      </c>
      <c r="V83" s="143" t="str">
        <f t="shared" si="21"/>
        <v>***</v>
      </c>
    </row>
    <row r="84" spans="1:22" s="1" customFormat="1" x14ac:dyDescent="0.35"/>
    <row r="85" spans="1:22" s="1" customFormat="1" x14ac:dyDescent="0.35">
      <c r="A85" s="2" t="s">
        <v>39</v>
      </c>
    </row>
    <row r="86" spans="1:22" x14ac:dyDescent="0.35">
      <c r="A86" s="1" t="s">
        <v>23</v>
      </c>
      <c r="B86" s="1">
        <f>B56+(3*B57)</f>
        <v>0.3978366699398011</v>
      </c>
    </row>
    <row r="87" spans="1:22" x14ac:dyDescent="0.35">
      <c r="A87" s="1" t="s">
        <v>24</v>
      </c>
      <c r="B87" s="1">
        <f>B56+(10*B57)</f>
        <v>1.079725754173235</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5" t="s">
        <v>57</v>
      </c>
      <c r="B93" s="226"/>
      <c r="C93" s="226"/>
      <c r="D93" s="226"/>
      <c r="E93" s="226"/>
      <c r="F93" s="226"/>
      <c r="G93" s="226"/>
      <c r="H93" s="226"/>
      <c r="I93" s="226"/>
      <c r="J93" s="226"/>
      <c r="K93" s="226"/>
      <c r="L93" s="226"/>
      <c r="M93" s="226"/>
      <c r="N93" s="226"/>
      <c r="O93" s="226"/>
      <c r="P93" s="226"/>
      <c r="Q93" s="226"/>
      <c r="R93" s="226"/>
      <c r="S93" s="226"/>
      <c r="T93" s="226"/>
      <c r="U93" s="226"/>
      <c r="V93" s="226"/>
    </row>
    <row r="94" spans="1:22" x14ac:dyDescent="0.35">
      <c r="B94" s="1">
        <f t="shared" ref="B94:V94" si="22">B75/$B$75</f>
        <v>1</v>
      </c>
      <c r="C94" s="1">
        <f t="shared" si="22"/>
        <v>0.96796257824274989</v>
      </c>
      <c r="D94" s="1">
        <f t="shared" si="22"/>
        <v>0.98562335490778363</v>
      </c>
      <c r="E94" s="1">
        <f t="shared" si="22"/>
        <v>1.9558093073736729</v>
      </c>
      <c r="F94" s="1">
        <f t="shared" si="22"/>
        <v>6.6718973276542295</v>
      </c>
      <c r="G94" s="1">
        <f t="shared" si="22"/>
        <v>10.62529149812771</v>
      </c>
      <c r="H94" s="1">
        <f>H75/$B$75</f>
        <v>22.011451605507485</v>
      </c>
      <c r="I94" s="1">
        <f t="shared" si="22"/>
        <v>0.7337453442022186</v>
      </c>
      <c r="J94" s="1">
        <f t="shared" si="22"/>
        <v>0.88136041260688103</v>
      </c>
      <c r="K94" s="1">
        <f t="shared" si="22"/>
        <v>2.4627084524713085</v>
      </c>
      <c r="L94" s="1">
        <f t="shared" si="22"/>
        <v>6.1528894371387919</v>
      </c>
      <c r="M94" s="1">
        <f t="shared" si="22"/>
        <v>9.2440764611523765</v>
      </c>
      <c r="N94" s="1">
        <f t="shared" si="22"/>
        <v>0</v>
      </c>
      <c r="O94" s="1">
        <f t="shared" si="22"/>
        <v>9.4698322930072205</v>
      </c>
      <c r="P94" s="1">
        <f t="shared" si="22"/>
        <v>13.870025704267134</v>
      </c>
      <c r="Q94" s="1">
        <f t="shared" si="22"/>
        <v>0.89959383617619793</v>
      </c>
      <c r="R94" s="1">
        <f t="shared" si="22"/>
        <v>11.422360801680719</v>
      </c>
      <c r="S94" s="1">
        <f t="shared" si="22"/>
        <v>13.007409507528383</v>
      </c>
      <c r="T94" s="1">
        <f t="shared" si="22"/>
        <v>15.08759001153568</v>
      </c>
      <c r="U94" s="1">
        <f t="shared" si="22"/>
        <v>19.837180916512665</v>
      </c>
      <c r="V94" s="1">
        <f t="shared" si="22"/>
        <v>16.949701741546086</v>
      </c>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5" t="s">
        <v>104</v>
      </c>
      <c r="B1" s="226"/>
      <c r="C1" s="226"/>
      <c r="D1" s="226"/>
      <c r="E1" s="226"/>
      <c r="F1" s="226"/>
      <c r="G1" s="226"/>
      <c r="H1" s="226"/>
      <c r="I1" s="226"/>
      <c r="J1" s="226"/>
      <c r="K1" s="226"/>
      <c r="L1" s="226"/>
      <c r="M1" s="226"/>
      <c r="N1" s="226"/>
      <c r="O1" s="227"/>
    </row>
    <row r="2" spans="1:15" s="48" customFormat="1" ht="26.5" thickBot="1" x14ac:dyDescent="0.4">
      <c r="A2" s="225" t="s">
        <v>105</v>
      </c>
      <c r="B2" s="226"/>
      <c r="C2" s="226"/>
      <c r="D2" s="226"/>
      <c r="E2" s="226"/>
      <c r="F2" s="226"/>
      <c r="G2" s="226"/>
      <c r="H2" s="226"/>
      <c r="I2" s="226"/>
      <c r="J2" s="226"/>
      <c r="K2" s="226"/>
      <c r="L2" s="226"/>
      <c r="M2" s="226"/>
      <c r="N2" s="226"/>
      <c r="O2" s="227"/>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garde'!A14</f>
        <v>BPA-1mg/L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BPA-1mg/L : 0%</v>
      </c>
      <c r="O7"/>
    </row>
    <row r="8" spans="1:15" s="77" customFormat="1" ht="15.5" x14ac:dyDescent="0.35">
      <c r="A8" s="80" t="str">
        <f>'Page de garde'!A15</f>
        <v>BPA-2mg/L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BPA-2mg/L : 0%</v>
      </c>
      <c r="O8"/>
    </row>
    <row r="9" spans="1:15" s="77" customFormat="1" ht="15.5" x14ac:dyDescent="0.35">
      <c r="A9" s="80" t="str">
        <f>'Page de garde'!A16</f>
        <v>BPA-3mg/L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BPA-3mg/L : 0%</v>
      </c>
      <c r="O9"/>
    </row>
    <row r="10" spans="1:15" s="77" customFormat="1" ht="15.5" x14ac:dyDescent="0.35">
      <c r="A10" s="80" t="str">
        <f>'Page de garde'!A17</f>
        <v>BPA-4mg/L</v>
      </c>
      <c r="B10" s="100"/>
      <c r="C10" s="80"/>
      <c r="D10" s="85"/>
      <c r="E10" s="82"/>
      <c r="F10" s="98" t="str">
        <f>HLOOKUP(A10,'pooled normalised values'!$B$74:$V$83,10,FALSE)</f>
        <v>***</v>
      </c>
      <c r="G10" s="129" t="e">
        <f t="shared" si="0"/>
        <v>#NUM!</v>
      </c>
      <c r="H10" s="120" t="str">
        <f>IF(VLOOKUP(A10,liste_groupe[],4,FALSE)="%",VLOOKUP(A10,liste_groupe[],3,FALSE)/100,IF(ISBLANK(VLOOKUP(A10,liste_groupe[],4,FALSE)),"Non","Non"))</f>
        <v>Non</v>
      </c>
      <c r="I10" s="129" t="e">
        <f t="shared" si="1"/>
        <v>#NUM!</v>
      </c>
      <c r="J10" s="130">
        <v>64</v>
      </c>
      <c r="K10" s="131" t="e">
        <f t="shared" si="2"/>
        <v>#NUM!</v>
      </c>
      <c r="L10" s="126"/>
      <c r="M10" s="132" t="e">
        <f t="shared" si="3"/>
        <v>#NUM!</v>
      </c>
      <c r="N10" s="93" t="e">
        <f>IF(H10="Non",CONCATENATE(VLOOKUP(A10,liste_groupe[],5,FALSE),"-",VLOOKUP(A10,liste_groupe[],3,FALSE),VLOOKUP(A10,liste_groupe[],4,FALSE)," : ",ROUND(K10,0),"%"),CONCATENATE(VLOOKUP(A10,liste_groupe[],5,FALSE)," : ",ROUND(K10,0),"%"))</f>
        <v>#NUM!</v>
      </c>
      <c r="O10"/>
    </row>
    <row r="11" spans="1:15" s="77" customFormat="1" ht="15.5" x14ac:dyDescent="0.35">
      <c r="A11" s="80" t="str">
        <f>'Page de garde'!A18</f>
        <v>BPA-5mg/L</v>
      </c>
      <c r="B11" s="100"/>
      <c r="C11" s="80"/>
      <c r="D11" s="85"/>
      <c r="E11" s="82"/>
      <c r="F11" s="98" t="str">
        <f>HLOOKUP(A11,'pooled normalised values'!$B$74:$V$83,10,FALSE)</f>
        <v>***</v>
      </c>
      <c r="G11" s="129" t="e">
        <f t="shared" si="0"/>
        <v>#NUM!</v>
      </c>
      <c r="H11" s="120" t="str">
        <f>IF(VLOOKUP(A11,liste_groupe[],4,FALSE)="%",VLOOKUP(A11,liste_groupe[],3,FALSE)/100,IF(ISBLANK(VLOOKUP(A11,liste_groupe[],4,FALSE)),"Non","Non"))</f>
        <v>Non</v>
      </c>
      <c r="I11" s="129" t="e">
        <f t="shared" si="1"/>
        <v>#NUM!</v>
      </c>
      <c r="J11" s="130">
        <v>64</v>
      </c>
      <c r="K11" s="131" t="e">
        <f t="shared" si="2"/>
        <v>#NUM!</v>
      </c>
      <c r="L11" s="126"/>
      <c r="M11" s="132" t="e">
        <f t="shared" si="3"/>
        <v>#NUM!</v>
      </c>
      <c r="N11" s="93" t="e">
        <f>IF(H11="Non",CONCATENATE(VLOOKUP(A11,liste_groupe[],5,FALSE),"-",VLOOKUP(A11,liste_groupe[],3,FALSE),VLOOKUP(A11,liste_groupe[],4,FALSE)," : ",ROUND(K11,0),"%"),CONCATENATE(VLOOKUP(A11,liste_groupe[],5,FALSE)," : ",ROUND(K11,0),"%"))</f>
        <v>#NUM!</v>
      </c>
      <c r="O11"/>
    </row>
    <row r="12" spans="1:15" s="77" customFormat="1" ht="15.5" x14ac:dyDescent="0.35">
      <c r="A12" s="80" t="str">
        <f>'Page de garde'!A19</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garde'!A20</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garde'!A21</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garde'!A22</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garde'!A23</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garde'!A24</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garde'!A25</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garde'!A26</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garde'!A27</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garde'!A28</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garde'!A29</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garde'!A30</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garde'!A31</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garde'!A32</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garde'!A33</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garde'!A38</f>
        <v>BPA-1mg/L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BPA-1mg/L : 0%</v>
      </c>
    </row>
    <row r="33" spans="1:14" s="77" customFormat="1" ht="15.5" x14ac:dyDescent="0.35">
      <c r="A33" s="128" t="str">
        <f>'Page de garde'!A39</f>
        <v>BPA-2mg/L + Testostérone</v>
      </c>
      <c r="B33" s="99"/>
      <c r="C33" s="87"/>
      <c r="D33" s="87"/>
      <c r="E33" s="82"/>
      <c r="F33" s="94" t="str">
        <f>HLOOKUP(A33,'pooled normalised values'!$B$74:$V$83,10,FALSE)</f>
        <v>*</v>
      </c>
      <c r="G33" s="133" t="e">
        <f>IF(F33="NS","NC",ROUND(B33-$B$29,2-(1+INT(LOG10(ABS(B33-$B$29))))))</f>
        <v>#NUM!</v>
      </c>
      <c r="H33" s="124" t="str">
        <f>IF(VLOOKUP(A33,liste_groupe[],4,FALSE)="%",VLOOKUP(A33,liste_groupe[],3,FALSE)/100,IF(ISBLANK(VLOOKUP(A33,liste_groupe[],4,FALSE)),"Non","Non"))</f>
        <v>Non</v>
      </c>
      <c r="I33" s="133" t="e">
        <f t="shared" ref="I33:I51" si="7">IF(F33="NS","NC",IF(H33="Non",G33,G33*(1/H33)))</f>
        <v>#NUM!</v>
      </c>
      <c r="J33" s="138" t="e">
        <f t="shared" ref="J33:J51" si="8">IF(G33&lt;0,$G$31,$G$30)</f>
        <v>#NUM!</v>
      </c>
      <c r="K33" s="139" t="e">
        <f t="shared" ref="K33:K51" si="9">IF(F33="NS",0,IF(I33&lt;0,-ROUND(I33/J33*100,0),ROUND(I33/J33*100,0)))</f>
        <v>#NUM!</v>
      </c>
      <c r="L33" s="140"/>
      <c r="M33" s="132" t="e">
        <f t="shared" ref="M33:M51" si="10">IF(I33&lt;0,IF(K33&lt;-100,-125,K33),IF(K33&gt;100,125,K33))</f>
        <v>#NUM!</v>
      </c>
      <c r="N33" s="141" t="e">
        <f>IF(H33="Non",CONCATENATE(VLOOKUP(A33,liste_groupe[],5,FALSE),"-",VLOOKUP(A33,liste_groupe[],3,FALSE),VLOOKUP(A33,liste_groupe[],4,FALSE)," : ",ROUND(K33,0),"%"),CONCATENATE(VLOOKUP(A33,liste_groupe[],5,FALSE)," : ",ROUND(K33,0),"%"))</f>
        <v>#NUM!</v>
      </c>
    </row>
    <row r="34" spans="1:14" s="77" customFormat="1" ht="15.5" x14ac:dyDescent="0.35">
      <c r="A34" s="128" t="str">
        <f>'Page de garde'!A40</f>
        <v>BPA-3mg/L + Testostérone</v>
      </c>
      <c r="B34" s="100"/>
      <c r="C34" s="80"/>
      <c r="D34" s="80"/>
      <c r="E34" s="82"/>
      <c r="F34" s="94" t="str">
        <f>HLOOKUP(A34,'pooled normalised values'!$B$74:$V$83,10,FALSE)</f>
        <v>**</v>
      </c>
      <c r="G34" s="133" t="e">
        <f t="shared" si="6"/>
        <v>#NUM!</v>
      </c>
      <c r="H34" s="124" t="str">
        <f>IF(VLOOKUP(A34,liste_groupe[],4,FALSE)="%",VLOOKUP(A34,liste_groupe[],3,FALSE)/100,IF(ISBLANK(VLOOKUP(A34,liste_groupe[],4,FALSE)),"Non","Non"))</f>
        <v>Non</v>
      </c>
      <c r="I34" s="133" t="e">
        <f t="shared" si="7"/>
        <v>#NUM!</v>
      </c>
      <c r="J34" s="138" t="e">
        <f t="shared" si="8"/>
        <v>#NUM!</v>
      </c>
      <c r="K34" s="139" t="e">
        <f t="shared" si="9"/>
        <v>#NUM!</v>
      </c>
      <c r="L34" s="140"/>
      <c r="M34" s="132" t="e">
        <f t="shared" si="10"/>
        <v>#NUM!</v>
      </c>
      <c r="N34" s="141" t="e">
        <f>IF(H34="Non",CONCATENATE(VLOOKUP(A34,liste_groupe[],5,FALSE),"-",VLOOKUP(A34,liste_groupe[],3,FALSE),VLOOKUP(A34,liste_groupe[],4,FALSE)," : ",ROUND(K34,0),"%"),CONCATENATE(VLOOKUP(A34,liste_groupe[],5,FALSE)," : ",ROUND(K34,0),"%"))</f>
        <v>#NUM!</v>
      </c>
    </row>
    <row r="35" spans="1:14" s="77" customFormat="1" ht="15.5" x14ac:dyDescent="0.35">
      <c r="A35" s="128" t="str">
        <f>'Page de garde'!A41</f>
        <v>BPA-4mg/L + Testostérone</v>
      </c>
      <c r="B35" s="99"/>
      <c r="C35" s="87"/>
      <c r="D35" s="87"/>
      <c r="E35" s="82"/>
      <c r="F35" s="94" t="str">
        <f>HLOOKUP(A35,'pooled normalised values'!$B$74:$V$83,10,FALSE)</f>
        <v>***</v>
      </c>
      <c r="G35" s="133" t="e">
        <f t="shared" si="6"/>
        <v>#NUM!</v>
      </c>
      <c r="H35" s="124" t="str">
        <f>IF(VLOOKUP(A35,liste_groupe[],4,FALSE)="%",VLOOKUP(A35,liste_groupe[],3,FALSE)/100,IF(ISBLANK(VLOOKUP(A35,liste_groupe[],4,FALSE)),"Non","Non"))</f>
        <v>Non</v>
      </c>
      <c r="I35" s="133" t="e">
        <f t="shared" si="7"/>
        <v>#NUM!</v>
      </c>
      <c r="J35" s="138" t="e">
        <f t="shared" si="8"/>
        <v>#NUM!</v>
      </c>
      <c r="K35" s="139" t="e">
        <f t="shared" si="9"/>
        <v>#NUM!</v>
      </c>
      <c r="L35" s="140"/>
      <c r="M35" s="132" t="e">
        <f t="shared" si="10"/>
        <v>#NUM!</v>
      </c>
      <c r="N35" s="141" t="e">
        <f>IF(H35="Non",CONCATENATE(VLOOKUP(A35,liste_groupe[],5,FALSE),"-",VLOOKUP(A35,liste_groupe[],3,FALSE),VLOOKUP(A35,liste_groupe[],4,FALSE)," : ",ROUND(K35,0),"%"),CONCATENATE(VLOOKUP(A35,liste_groupe[],5,FALSE)," : ",ROUND(K35,0),"%"))</f>
        <v>#NUM!</v>
      </c>
    </row>
    <row r="36" spans="1:14" s="77" customFormat="1" ht="15.5" x14ac:dyDescent="0.35">
      <c r="A36" s="128" t="str">
        <f>'Page de garde'!A42</f>
        <v>BPA-5mg/L + Testostérone</v>
      </c>
      <c r="B36" s="99"/>
      <c r="C36" s="87"/>
      <c r="D36" s="87"/>
      <c r="E36" s="82"/>
      <c r="F36" s="94" t="str">
        <f>HLOOKUP(A36,'pooled normalised values'!$B$74:$V$83,10,FALSE)</f>
        <v>***</v>
      </c>
      <c r="G36" s="133" t="e">
        <f t="shared" si="6"/>
        <v>#NUM!</v>
      </c>
      <c r="H36" s="124" t="str">
        <f>IF(VLOOKUP(A36,liste_groupe[],4,FALSE)="%",VLOOKUP(A36,liste_groupe[],3,FALSE)/100,IF(ISBLANK(VLOOKUP(A36,liste_groupe[],4,FALSE)),"Non","Non"))</f>
        <v>Non</v>
      </c>
      <c r="I36" s="133" t="e">
        <f t="shared" si="7"/>
        <v>#NUM!</v>
      </c>
      <c r="J36" s="138" t="e">
        <f t="shared" si="8"/>
        <v>#NUM!</v>
      </c>
      <c r="K36" s="139" t="e">
        <f t="shared" si="9"/>
        <v>#NUM!</v>
      </c>
      <c r="L36" s="140"/>
      <c r="M36" s="132" t="e">
        <f t="shared" si="10"/>
        <v>#NUM!</v>
      </c>
      <c r="N36" s="141" t="e">
        <f>IF(H36="Non",CONCATENATE(VLOOKUP(A36,liste_groupe[],5,FALSE),"-",VLOOKUP(A36,liste_groupe[],3,FALSE),VLOOKUP(A36,liste_groupe[],4,FALSE)," : ",ROUND(K36,0),"%"),CONCATENATE(VLOOKUP(A36,liste_groupe[],5,FALSE)," : ",ROUND(K36,0),"%"))</f>
        <v>#NUM!</v>
      </c>
    </row>
    <row r="37" spans="1:14" s="77" customFormat="1" ht="15.5" x14ac:dyDescent="0.35">
      <c r="A37" s="128">
        <f>'Page de garde'!A43</f>
        <v>0</v>
      </c>
      <c r="B37" s="99"/>
      <c r="C37" s="87"/>
      <c r="D37" s="87"/>
      <c r="E37" s="82"/>
      <c r="F37" s="94" t="e">
        <f>HLOOKUP(A37,'pooled normalised values'!$B$74:$V$83,10,FALSE)</f>
        <v>#N/A</v>
      </c>
      <c r="G37" s="133" t="e">
        <f t="shared" si="6"/>
        <v>#N/A</v>
      </c>
      <c r="H37" s="124" t="e">
        <f>IF(VLOOKUP(A37,liste_groupe[],4,FALSE)="%",VLOOKUP(A37,liste_groupe[],3,FALSE)/100,IF(ISBLANK(VLOOKUP(A37,liste_groupe[],4,FALSE)),"Non","Non"))</f>
        <v>#N/A</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f>'Page de garde'!A44</f>
        <v>0</v>
      </c>
      <c r="B38" s="99"/>
      <c r="C38" s="87"/>
      <c r="D38" s="87"/>
      <c r="E38" s="82"/>
      <c r="F38" s="94" t="e">
        <f>HLOOKUP(A38,'pooled normalised values'!$B$74:$V$83,10,FALSE)</f>
        <v>#N/A</v>
      </c>
      <c r="G38" s="133" t="e">
        <f t="shared" si="6"/>
        <v>#N/A</v>
      </c>
      <c r="H38" s="124" t="e">
        <f>IF(VLOOKUP(A38,liste_groupe[],4,FALSE)="%",VLOOKUP(A38,liste_groupe[],3,FALSE)/100,IF(ISBLANK(VLOOKUP(A38,liste_groupe[],4,FALSE)),"Non","Non"))</f>
        <v>#N/A</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f>'Page de garde'!A45</f>
        <v>0</v>
      </c>
      <c r="B39" s="99"/>
      <c r="C39" s="87"/>
      <c r="D39" s="87"/>
      <c r="E39" s="82"/>
      <c r="F39" s="94" t="e">
        <f>HLOOKUP(A39,'pooled normalised values'!$B$74:$V$83,10,FALSE)</f>
        <v>#N/A</v>
      </c>
      <c r="G39" s="133" t="e">
        <f t="shared" ref="G39:G50" si="11">IF(F39="NS","NC",ROUND(B39-$B$29,2-(1+INT(LOG10(ABS(B39-$B$29))))))</f>
        <v>#N/A</v>
      </c>
      <c r="H39" s="124" t="e">
        <f>IF(VLOOKUP(A39,liste_groupe[],4,FALSE)="%",VLOOKUP(A39,liste_groupe[],3,FALSE)/100,IF(ISBLANK(VLOOKUP(A39,liste_groupe[],4,FALSE)),"Non","Non"))</f>
        <v>#N/A</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f>'Page de garde'!A46</f>
        <v>0</v>
      </c>
      <c r="B40" s="99"/>
      <c r="C40" s="87"/>
      <c r="D40" s="87"/>
      <c r="E40" s="82"/>
      <c r="F40" s="94" t="e">
        <f>HLOOKUP(A40,'pooled normalised values'!$B$74:$V$83,10,FALSE)</f>
        <v>#N/A</v>
      </c>
      <c r="G40" s="133" t="e">
        <f t="shared" si="11"/>
        <v>#N/A</v>
      </c>
      <c r="H40" s="124" t="e">
        <f>IF(VLOOKUP(A40,liste_groupe[],4,FALSE)="%",VLOOKUP(A40,liste_groupe[],3,FALSE)/100,IF(ISBLANK(VLOOKUP(A40,liste_groupe[],4,FALSE)),"Non","Non"))</f>
        <v>#N/A</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f>'Page de garde'!A47</f>
        <v>0</v>
      </c>
      <c r="B41" s="99"/>
      <c r="C41" s="87"/>
      <c r="D41" s="87"/>
      <c r="E41" s="82"/>
      <c r="F41" s="94" t="e">
        <f>HLOOKUP(A41,'pooled normalised values'!$B$74:$V$83,10,FALSE)</f>
        <v>#N/A</v>
      </c>
      <c r="G41" s="133" t="e">
        <f t="shared" si="11"/>
        <v>#N/A</v>
      </c>
      <c r="H41" s="124" t="e">
        <f>IF(VLOOKUP(A41,liste_groupe[],4,FALSE)="%",VLOOKUP(A41,liste_groupe[],3,FALSE)/100,IF(ISBLANK(VLOOKUP(A41,liste_groupe[],4,FALSE)),"Non","Non"))</f>
        <v>#N/A</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f>'Page de garde'!A48</f>
        <v>0</v>
      </c>
      <c r="B42" s="99"/>
      <c r="C42" s="87"/>
      <c r="D42" s="87"/>
      <c r="E42" s="82"/>
      <c r="F42" s="94" t="e">
        <f>HLOOKUP(A42,'pooled normalised values'!$B$74:$V$83,10,FALSE)</f>
        <v>#N/A</v>
      </c>
      <c r="G42" s="133" t="e">
        <f t="shared" si="11"/>
        <v>#N/A</v>
      </c>
      <c r="H42" s="124" t="e">
        <f>IF(VLOOKUP(A42,liste_groupe[],4,FALSE)="%",VLOOKUP(A42,liste_groupe[],3,FALSE)/100,IF(ISBLANK(VLOOKUP(A42,liste_groupe[],4,FALSE)),"Non","Non"))</f>
        <v>#N/A</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f>'Page de garde'!A49</f>
        <v>0</v>
      </c>
      <c r="B43" s="99"/>
      <c r="C43" s="87"/>
      <c r="D43" s="87"/>
      <c r="E43" s="82"/>
      <c r="F43" s="94" t="e">
        <f>HLOOKUP(A43,'pooled normalised values'!$B$74:$V$83,10,FALSE)</f>
        <v>#N/A</v>
      </c>
      <c r="G43" s="133" t="e">
        <f t="shared" si="11"/>
        <v>#N/A</v>
      </c>
      <c r="H43" s="124" t="e">
        <f>IF(VLOOKUP(A43,liste_groupe[],4,FALSE)="%",VLOOKUP(A43,liste_groupe[],3,FALSE)/100,IF(ISBLANK(VLOOKUP(A43,liste_groupe[],4,FALSE)),"Non","Non"))</f>
        <v>#N/A</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f>'Page de garde'!A50</f>
        <v>0</v>
      </c>
      <c r="B44" s="99"/>
      <c r="C44" s="87"/>
      <c r="D44" s="87"/>
      <c r="E44" s="82"/>
      <c r="F44" s="94" t="e">
        <f>HLOOKUP(A44,'pooled normalised values'!$B$74:$V$83,10,FALSE)</f>
        <v>#N/A</v>
      </c>
      <c r="G44" s="133" t="e">
        <f t="shared" si="11"/>
        <v>#N/A</v>
      </c>
      <c r="H44" s="124" t="e">
        <f>IF(VLOOKUP(A44,liste_groupe[],4,FALSE)="%",VLOOKUP(A44,liste_groupe[],3,FALSE)/100,IF(ISBLANK(VLOOKUP(A44,liste_groupe[],4,FALSE)),"Non","Non"))</f>
        <v>#N/A</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f>'Page de garde'!A51</f>
        <v>0</v>
      </c>
      <c r="B45" s="99"/>
      <c r="C45" s="87"/>
      <c r="D45" s="87"/>
      <c r="E45" s="82"/>
      <c r="F45" s="94" t="e">
        <f>HLOOKUP(A45,'pooled normalised values'!$B$74:$V$83,10,FALSE)</f>
        <v>#N/A</v>
      </c>
      <c r="G45" s="133" t="e">
        <f t="shared" si="11"/>
        <v>#N/A</v>
      </c>
      <c r="H45" s="124" t="e">
        <f>IF(VLOOKUP(A45,liste_groupe[],4,FALSE)="%",VLOOKUP(A45,liste_groupe[],3,FALSE)/100,IF(ISBLANK(VLOOKUP(A45,liste_groupe[],4,FALSE)),"Non","Non"))</f>
        <v>#N/A</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f>'Page de garde'!A52</f>
        <v>0</v>
      </c>
      <c r="B46" s="99"/>
      <c r="C46" s="87"/>
      <c r="D46" s="87"/>
      <c r="E46" s="82"/>
      <c r="F46" s="94" t="e">
        <f>HLOOKUP(A46,'pooled normalised values'!$B$74:$V$83,10,FALSE)</f>
        <v>#N/A</v>
      </c>
      <c r="G46" s="133" t="e">
        <f t="shared" si="11"/>
        <v>#N/A</v>
      </c>
      <c r="H46" s="124" t="e">
        <f>IF(VLOOKUP(A46,liste_groupe[],4,FALSE)="%",VLOOKUP(A46,liste_groupe[],3,FALSE)/100,IF(ISBLANK(VLOOKUP(A46,liste_groupe[],4,FALSE)),"Non","Non"))</f>
        <v>#N/A</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f>'Page de garde'!A53</f>
        <v>0</v>
      </c>
      <c r="B47" s="99"/>
      <c r="C47" s="87"/>
      <c r="D47" s="87"/>
      <c r="E47" s="82"/>
      <c r="F47" s="94" t="e">
        <f>HLOOKUP(A47,'pooled normalised values'!$B$74:$V$83,10,FALSE)</f>
        <v>#N/A</v>
      </c>
      <c r="G47" s="133" t="e">
        <f t="shared" si="11"/>
        <v>#N/A</v>
      </c>
      <c r="H47" s="124" t="e">
        <f>IF(VLOOKUP(A47,liste_groupe[],4,FALSE)="%",VLOOKUP(A47,liste_groupe[],3,FALSE)/100,IF(ISBLANK(VLOOKUP(A47,liste_groupe[],4,FALSE)),"Non","Non"))</f>
        <v>#N/A</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f>'Page de garde'!A54</f>
        <v>0</v>
      </c>
      <c r="B48" s="99"/>
      <c r="C48" s="87"/>
      <c r="D48" s="87"/>
      <c r="E48" s="82"/>
      <c r="F48" s="94" t="e">
        <f>HLOOKUP(A48,'pooled normalised values'!$B$74:$V$83,10,FALSE)</f>
        <v>#N/A</v>
      </c>
      <c r="G48" s="133" t="e">
        <f t="shared" si="11"/>
        <v>#N/A</v>
      </c>
      <c r="H48" s="124" t="e">
        <f>IF(VLOOKUP(A48,liste_groupe[],4,FALSE)="%",VLOOKUP(A48,liste_groupe[],3,FALSE)/100,IF(ISBLANK(VLOOKUP(A48,liste_groupe[],4,FALSE)),"Non","Non"))</f>
        <v>#N/A</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f>'Page de garde'!A55</f>
        <v>0</v>
      </c>
      <c r="B49" s="99"/>
      <c r="C49" s="87"/>
      <c r="D49" s="87"/>
      <c r="E49" s="82"/>
      <c r="F49" s="94" t="e">
        <f>HLOOKUP(A49,'pooled normalised values'!$B$74:$V$83,10,FALSE)</f>
        <v>#N/A</v>
      </c>
      <c r="G49" s="133" t="e">
        <f t="shared" si="11"/>
        <v>#N/A</v>
      </c>
      <c r="H49" s="124" t="e">
        <f>IF(VLOOKUP(A49,liste_groupe[],4,FALSE)="%",VLOOKUP(A49,liste_groupe[],3,FALSE)/100,IF(ISBLANK(VLOOKUP(A49,liste_groupe[],4,FALSE)),"Non","Non"))</f>
        <v>#N/A</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f>'Page de garde'!A56</f>
        <v>0</v>
      </c>
      <c r="B50" s="99"/>
      <c r="C50" s="87"/>
      <c r="D50" s="87"/>
      <c r="E50" s="82"/>
      <c r="F50" s="94" t="e">
        <f>HLOOKUP(A50,'pooled normalised values'!$B$74:$V$83,10,FALSE)</f>
        <v>#N/A</v>
      </c>
      <c r="G50" s="133" t="e">
        <f t="shared" si="11"/>
        <v>#N/A</v>
      </c>
      <c r="H50" s="124" t="e">
        <f>IF(VLOOKUP(A50,liste_groupe[],4,FALSE)="%",VLOOKUP(A50,liste_groupe[],3,FALSE)/100,IF(ISBLANK(VLOOKUP(A50,liste_groupe[],4,FALSE)),"Non","Non"))</f>
        <v>#N/A</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f>'Page de garde'!A57</f>
        <v>0</v>
      </c>
      <c r="B51" s="99"/>
      <c r="C51" s="87"/>
      <c r="D51" s="87"/>
      <c r="E51" s="82"/>
      <c r="F51" s="94" t="e">
        <f>HLOOKUP(A51,'pooled normalised values'!$B$74:$V$83,10,FALSE)</f>
        <v>#N/A</v>
      </c>
      <c r="G51" s="133" t="e">
        <f t="shared" si="6"/>
        <v>#N/A</v>
      </c>
      <c r="H51" s="124" t="e">
        <f>IF(VLOOKUP(A51,liste_groupe[],4,FALSE)="%",VLOOKUP(A51,liste_groupe[],3,FALSE)/100,IF(ISBLANK(VLOOKUP(A51,liste_groupe[],4,FALSE)),"Non","Non"))</f>
        <v>#N/A</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25" t="s">
        <v>60</v>
      </c>
      <c r="B53" s="226"/>
      <c r="C53" s="226"/>
      <c r="D53" s="226"/>
      <c r="E53" s="226"/>
      <c r="F53" s="226"/>
      <c r="G53" s="226"/>
      <c r="H53" s="226"/>
      <c r="I53" s="226"/>
      <c r="J53" s="226"/>
      <c r="K53" s="226"/>
      <c r="L53" s="226"/>
      <c r="M53" s="226"/>
      <c r="N53" s="226"/>
      <c r="O53" s="227"/>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0" customWidth="1"/>
    <col min="2" max="2" width="46.26953125" style="180" customWidth="1"/>
    <col min="3" max="3" width="15.26953125" style="180" customWidth="1"/>
    <col min="4" max="4" width="24.7265625" style="180" customWidth="1"/>
    <col min="5" max="5" width="24.453125" style="180" customWidth="1"/>
    <col min="6" max="6" width="23.1796875" style="180" customWidth="1"/>
    <col min="7" max="7" width="21.26953125" style="180" customWidth="1"/>
    <col min="8" max="16384" width="11.453125" style="180"/>
  </cols>
  <sheetData>
    <row r="1" spans="1:7" ht="29.5" thickBot="1" x14ac:dyDescent="0.4">
      <c r="A1" s="185" t="s">
        <v>132</v>
      </c>
      <c r="B1" s="186" t="s">
        <v>133</v>
      </c>
      <c r="C1" s="186" t="s">
        <v>139</v>
      </c>
      <c r="D1" s="186" t="s">
        <v>138</v>
      </c>
      <c r="E1" s="186" t="s">
        <v>140</v>
      </c>
      <c r="F1" s="187" t="s">
        <v>141</v>
      </c>
      <c r="G1" s="188" t="s">
        <v>142</v>
      </c>
    </row>
    <row r="2" spans="1:7" ht="58" x14ac:dyDescent="0.35">
      <c r="A2" s="181" t="s">
        <v>134</v>
      </c>
      <c r="B2" s="182" t="s">
        <v>135</v>
      </c>
      <c r="C2" s="182" t="s">
        <v>136</v>
      </c>
      <c r="D2" s="182" t="s">
        <v>143</v>
      </c>
      <c r="E2" s="182" t="s">
        <v>137</v>
      </c>
      <c r="F2" s="183" t="s">
        <v>136</v>
      </c>
      <c r="G2" s="184"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0.10559849098261508</v>
      </c>
      <c r="D2" s="17" t="s">
        <v>9</v>
      </c>
      <c r="E2" s="18"/>
      <c r="F2" s="19" t="str">
        <f>'pooled normalised values'!J74</f>
        <v>BPA-2mg/L</v>
      </c>
      <c r="G2" s="19" t="str">
        <f>'pooled normalised values'!K74</f>
        <v>BPA-3mg/L</v>
      </c>
      <c r="H2" s="19" t="str">
        <f>'pooled normalised values'!L74</f>
        <v>BPA-4mg/L</v>
      </c>
      <c r="I2" s="19" t="str">
        <f>'pooled normalised values'!M74</f>
        <v>BPA-5mg/L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BPA-1mg/L + Testostérone</v>
      </c>
      <c r="W2" s="19" t="str">
        <f>'pooled normalised values'!S74</f>
        <v>BPA-2mg/L + Testostérone</v>
      </c>
      <c r="X2" s="19" t="str">
        <f>'pooled normalised values'!T74</f>
        <v>BPA-3mg/L + Testostérone</v>
      </c>
      <c r="Y2" s="19" t="str">
        <f>'pooled normalised values'!U74</f>
        <v>BPA-4mg/L + Testostérone</v>
      </c>
      <c r="Z2" s="19" t="str">
        <f>'pooled normalised values'!V74</f>
        <v>BPA-5mg/L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9.307032958310163E-2</v>
      </c>
      <c r="G3" s="19">
        <f>HLOOKUP(G2,'pooled normalised values'!C74:W83,2,FALSE)</f>
        <v>0.26005829631110139</v>
      </c>
      <c r="H3" s="19">
        <f>HLOOKUP(H2,'pooled normalised values'!C74:X83,2,FALSE)</f>
        <v>0.64973583974472826</v>
      </c>
      <c r="I3" s="19">
        <f>HLOOKUP(I2,'pooled normalised values'!D74:Y83,2,FALSE)</f>
        <v>0.97616052482560356</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1.2061840641164574</v>
      </c>
      <c r="W3" s="19">
        <f>HLOOKUP(W2,'pooled normalised values'!N74:AM83,2,FALSE)</f>
        <v>1.3735628155879176</v>
      </c>
      <c r="X3" s="19">
        <f>HLOOKUP(X2,'pooled normalised values'!N74:AN83,2,FALSE)</f>
        <v>1.5932267377825438</v>
      </c>
      <c r="Y3" s="19">
        <f>HLOOKUP(Y2,'pooled normalised values'!N74:AO83,2,FALSE)</f>
        <v>2.0947763701328665</v>
      </c>
      <c r="Z3" s="19">
        <f>HLOOKUP(Z2,'pooled normalised values'!N74:AP83,2,FALSE)</f>
        <v>1.7898629265126693</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1.5145041567029756E-2</v>
      </c>
      <c r="G4" s="19">
        <f>HLOOKUP(G2,'pooled normalised values'!C74:W83,3,FALSE)</f>
        <v>7.4454580933189879E-2</v>
      </c>
      <c r="H4" s="19">
        <f>HLOOKUP(H2,'pooled normalised values'!C74:X83,3,FALSE)</f>
        <v>0.14253577039605636</v>
      </c>
      <c r="I4" s="19">
        <f>HLOOKUP(I2,'pooled normalised values'!D74:Y83,3,FALSE)</f>
        <v>0.12682033410571303</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9.5740225856852768E-2</v>
      </c>
      <c r="W4" s="19">
        <f>HLOOKUP(W2,'pooled normalised values'!N74:AM83,3,FALSE)</f>
        <v>0.14327386687513066</v>
      </c>
      <c r="X4" s="19">
        <f>HLOOKUP(X2,'pooled normalised values'!N74:AN83,3,FALSE)</f>
        <v>0.14919449394570472</v>
      </c>
      <c r="Y4" s="19">
        <f>HLOOKUP(Y2,'pooled normalised values'!N74:AO83,3,FALSE)</f>
        <v>0.15831199994265799</v>
      </c>
      <c r="Z4" s="19">
        <f>HLOOKUP(Z2,'pooled normalised values'!N74:AP83,3,FALSE)</f>
        <v>0.18921032472445484</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1.4646537842606921</v>
      </c>
      <c r="D5" s="23" t="s">
        <v>11</v>
      </c>
      <c r="E5" s="22"/>
      <c r="F5" s="19" t="str">
        <f>HLOOKUP(F2,'pooled normalised values'!B74:V83,10,FALSE)</f>
        <v>NS</v>
      </c>
      <c r="G5" s="19" t="str">
        <f>HLOOKUP(G2,'pooled normalised values'!C74:W83,10,FALSE)</f>
        <v>NS</v>
      </c>
      <c r="H5" s="19" t="str">
        <f>HLOOKUP(H2,'pooled normalised values'!C74:X83,10,FALSE)</f>
        <v>***</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9.4995751597468342E-2</v>
      </c>
      <c r="D6" s="21" t="s">
        <v>12</v>
      </c>
      <c r="E6" s="24">
        <f>$B$2</f>
        <v>0.10559849098261508</v>
      </c>
      <c r="F6" s="24">
        <f>$B$2</f>
        <v>0.10559849098261508</v>
      </c>
      <c r="G6" s="24">
        <f t="shared" ref="G6:R6" si="0">$B$2</f>
        <v>0.10559849098261508</v>
      </c>
      <c r="H6" s="24">
        <f t="shared" si="0"/>
        <v>0.10559849098261508</v>
      </c>
      <c r="I6" s="24">
        <f t="shared" si="0"/>
        <v>0.10559849098261508</v>
      </c>
      <c r="J6" s="24">
        <f t="shared" si="0"/>
        <v>0.10559849098261508</v>
      </c>
      <c r="K6" s="24">
        <f t="shared" si="0"/>
        <v>0.10559849098261508</v>
      </c>
      <c r="L6" s="24">
        <f t="shared" si="0"/>
        <v>0.10559849098261508</v>
      </c>
      <c r="M6" s="24">
        <f t="shared" si="0"/>
        <v>0.10559849098261508</v>
      </c>
      <c r="N6" s="24">
        <f t="shared" si="0"/>
        <v>0.10559849098261508</v>
      </c>
      <c r="O6" s="24">
        <f t="shared" si="0"/>
        <v>0.10559849098261508</v>
      </c>
      <c r="P6" s="24">
        <f t="shared" si="0"/>
        <v>0.10559849098261508</v>
      </c>
      <c r="Q6" s="24">
        <f t="shared" si="0"/>
        <v>0.10559849098261508</v>
      </c>
      <c r="R6" s="24">
        <f t="shared" si="0"/>
        <v>0.10559849098261508</v>
      </c>
      <c r="S6" s="24">
        <f>$B$2</f>
        <v>0.10559849098261508</v>
      </c>
      <c r="T6" s="24">
        <f>$B$2</f>
        <v>0.10559849098261508</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9.4995751597468342E-2</v>
      </c>
      <c r="V8" s="25">
        <f t="shared" ref="V8:AJ8" si="2">$B$6</f>
        <v>9.4995751597468342E-2</v>
      </c>
      <c r="W8" s="25">
        <f t="shared" si="2"/>
        <v>9.4995751597468342E-2</v>
      </c>
      <c r="X8" s="25">
        <f t="shared" si="2"/>
        <v>9.4995751597468342E-2</v>
      </c>
      <c r="Y8" s="25">
        <f t="shared" si="2"/>
        <v>9.4995751597468342E-2</v>
      </c>
      <c r="Z8" s="25">
        <f t="shared" si="2"/>
        <v>9.4995751597468342E-2</v>
      </c>
      <c r="AA8" s="25">
        <f t="shared" si="2"/>
        <v>9.4995751597468342E-2</v>
      </c>
      <c r="AB8" s="25">
        <f t="shared" si="2"/>
        <v>9.4995751597468342E-2</v>
      </c>
      <c r="AC8" s="25">
        <f t="shared" si="2"/>
        <v>9.4995751597468342E-2</v>
      </c>
      <c r="AD8" s="25">
        <f t="shared" si="2"/>
        <v>9.4995751597468342E-2</v>
      </c>
      <c r="AE8" s="25">
        <f t="shared" si="2"/>
        <v>9.4995751597468342E-2</v>
      </c>
      <c r="AF8" s="25">
        <f t="shared" si="2"/>
        <v>9.4995751597468342E-2</v>
      </c>
      <c r="AG8" s="25">
        <f t="shared" si="2"/>
        <v>9.4995751597468342E-2</v>
      </c>
      <c r="AH8" s="25">
        <f t="shared" si="2"/>
        <v>9.4995751597468342E-2</v>
      </c>
      <c r="AI8" s="25">
        <f t="shared" si="2"/>
        <v>9.4995751597468342E-2</v>
      </c>
      <c r="AJ8" s="25">
        <f t="shared" si="2"/>
        <v>9.4995751597468342E-2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1.3696580326632237</v>
      </c>
      <c r="V9" s="25">
        <f>$B$5-V8</f>
        <v>1.3696580326632237</v>
      </c>
      <c r="W9" s="25">
        <f t="shared" ref="W9:AH9" si="4">$B$5-W8</f>
        <v>1.3696580326632237</v>
      </c>
      <c r="X9" s="25">
        <f t="shared" si="4"/>
        <v>1.3696580326632237</v>
      </c>
      <c r="Y9" s="25">
        <f t="shared" si="4"/>
        <v>1.3696580326632237</v>
      </c>
      <c r="Z9" s="25">
        <f t="shared" si="4"/>
        <v>1.3696580326632237</v>
      </c>
      <c r="AA9" s="25">
        <f t="shared" si="4"/>
        <v>1.3696580326632237</v>
      </c>
      <c r="AB9" s="25">
        <f t="shared" si="4"/>
        <v>1.3696580326632237</v>
      </c>
      <c r="AC9" s="25">
        <f t="shared" si="4"/>
        <v>1.3696580326632237</v>
      </c>
      <c r="AD9" s="25">
        <f t="shared" si="4"/>
        <v>1.3696580326632237</v>
      </c>
      <c r="AE9" s="25">
        <f t="shared" si="4"/>
        <v>1.3696580326632237</v>
      </c>
      <c r="AF9" s="25">
        <f t="shared" si="4"/>
        <v>1.3696580326632237</v>
      </c>
      <c r="AG9" s="25">
        <f t="shared" si="4"/>
        <v>1.3696580326632237</v>
      </c>
      <c r="AH9" s="25">
        <f t="shared" si="4"/>
        <v>1.3696580326632237</v>
      </c>
      <c r="AI9" s="25">
        <f>$B$5-AI8</f>
        <v>1.3696580326632237</v>
      </c>
      <c r="AJ9" s="25">
        <f>$B$5-AJ8</f>
        <v>1.3696580326632237</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1.1303419673367763</v>
      </c>
      <c r="V10" s="25">
        <f>2.5-V9</f>
        <v>1.1303419673367763</v>
      </c>
      <c r="W10" s="25">
        <f t="shared" ref="W10:AH10" si="6">2.5-W9</f>
        <v>1.1303419673367763</v>
      </c>
      <c r="X10" s="25">
        <f t="shared" si="6"/>
        <v>1.1303419673367763</v>
      </c>
      <c r="Y10" s="25">
        <f t="shared" si="6"/>
        <v>1.1303419673367763</v>
      </c>
      <c r="Z10" s="25">
        <f t="shared" si="6"/>
        <v>1.1303419673367763</v>
      </c>
      <c r="AA10" s="25">
        <f t="shared" si="6"/>
        <v>1.1303419673367763</v>
      </c>
      <c r="AB10" s="25">
        <f t="shared" si="6"/>
        <v>1.1303419673367763</v>
      </c>
      <c r="AC10" s="25">
        <f t="shared" si="6"/>
        <v>1.1303419673367763</v>
      </c>
      <c r="AD10" s="25">
        <f t="shared" si="6"/>
        <v>1.1303419673367763</v>
      </c>
      <c r="AE10" s="25">
        <f t="shared" si="6"/>
        <v>1.1303419673367763</v>
      </c>
      <c r="AF10" s="25">
        <f t="shared" si="6"/>
        <v>1.1303419673367763</v>
      </c>
      <c r="AG10" s="25">
        <f t="shared" si="6"/>
        <v>1.1303419673367763</v>
      </c>
      <c r="AH10" s="25">
        <f t="shared" si="6"/>
        <v>1.1303419673367763</v>
      </c>
      <c r="AI10" s="25">
        <f>2.5-AI9</f>
        <v>1.1303419673367763</v>
      </c>
      <c r="AJ10" s="25">
        <f>2.5-AJ9</f>
        <v>1.1303419673367763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0.10559849098261508</v>
      </c>
      <c r="D2" s="17" t="s">
        <v>9</v>
      </c>
      <c r="E2" s="18"/>
      <c r="F2" s="19" t="str">
        <f>'pooled normalised values'!J74</f>
        <v>BPA-2mg/L</v>
      </c>
      <c r="G2" s="18"/>
      <c r="H2" s="20"/>
      <c r="I2" s="19" t="str">
        <f>'pooled normalised values'!R74</f>
        <v>BPA-1mg/L + Testostérone</v>
      </c>
      <c r="J2" s="20"/>
      <c r="K2" s="17" t="s">
        <v>9</v>
      </c>
    </row>
    <row r="3" spans="1:11" x14ac:dyDescent="0.25">
      <c r="A3" s="17" t="s">
        <v>71</v>
      </c>
      <c r="B3" s="63">
        <f>'summary results'!E6</f>
        <v>0</v>
      </c>
      <c r="D3" s="21" t="s">
        <v>10</v>
      </c>
      <c r="E3" s="22"/>
      <c r="F3" s="19">
        <f>HLOOKUP(F2,'pooled normalised values'!B74:V83,2,FALSE)</f>
        <v>9.307032958310163E-2</v>
      </c>
      <c r="G3" s="22"/>
      <c r="H3" s="20"/>
      <c r="I3" s="19">
        <f>HLOOKUP(I2,'pooled normalised values'!N74:AL83,2,FALSE)</f>
        <v>1.2061840641164574</v>
      </c>
      <c r="J3" s="20"/>
      <c r="K3" s="21" t="s">
        <v>10</v>
      </c>
    </row>
    <row r="4" spans="1:11" x14ac:dyDescent="0.25">
      <c r="A4" s="17" t="s">
        <v>72</v>
      </c>
      <c r="B4" s="63">
        <f>'pooled normalised values'!O75</f>
        <v>1</v>
      </c>
      <c r="D4" s="21" t="s">
        <v>2</v>
      </c>
      <c r="E4" s="22"/>
      <c r="F4" s="19">
        <f>HLOOKUP(F2,'pooled normalised values'!B74:V83,3,FALSE)</f>
        <v>1.5145041567029756E-2</v>
      </c>
      <c r="G4" s="22"/>
      <c r="H4" s="20"/>
      <c r="I4" s="19">
        <f>HLOOKUP(I2,'pooled normalised values'!N74:AL83,3,FALSE)</f>
        <v>9.5740225856852768E-2</v>
      </c>
      <c r="J4" s="20"/>
      <c r="K4" s="21" t="s">
        <v>2</v>
      </c>
    </row>
    <row r="5" spans="1:11" x14ac:dyDescent="0.25">
      <c r="A5" s="17" t="s">
        <v>73</v>
      </c>
      <c r="B5" s="63">
        <f>'pooled normalised values'!P75</f>
        <v>1.4646537842606921</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9.4995751597468342E-2</v>
      </c>
      <c r="D6" s="21" t="s">
        <v>12</v>
      </c>
      <c r="E6" s="24">
        <f>$B$2</f>
        <v>0.10559849098261508</v>
      </c>
      <c r="F6" s="24">
        <f>$B$2</f>
        <v>0.10559849098261508</v>
      </c>
      <c r="G6" s="24">
        <f>$B$2</f>
        <v>0.10559849098261508</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9.4995751597468342E-2</v>
      </c>
      <c r="I8" s="25">
        <f t="shared" ref="I8:J8" si="1">$B$6</f>
        <v>9.4995751597468342E-2</v>
      </c>
      <c r="J8" s="25">
        <f t="shared" si="1"/>
        <v>9.4995751597468342E-2</v>
      </c>
      <c r="K8" s="28" t="s">
        <v>14</v>
      </c>
    </row>
    <row r="9" spans="1:11" x14ac:dyDescent="0.25">
      <c r="D9" s="28" t="s">
        <v>15</v>
      </c>
      <c r="E9" s="29">
        <f>$B$3-E8</f>
        <v>0</v>
      </c>
      <c r="F9" s="29">
        <f>$B$3-F8</f>
        <v>0</v>
      </c>
      <c r="G9" s="29">
        <f>$B$3-G8</f>
        <v>0</v>
      </c>
      <c r="H9" s="25">
        <f>$B$5-H8</f>
        <v>1.3696580326632237</v>
      </c>
      <c r="I9" s="25">
        <f>$B$5-I8</f>
        <v>1.3696580326632237</v>
      </c>
      <c r="J9" s="25">
        <f>$B$5-J8</f>
        <v>1.3696580326632237</v>
      </c>
      <c r="K9" s="28" t="s">
        <v>15</v>
      </c>
    </row>
    <row r="10" spans="1:11" x14ac:dyDescent="0.25">
      <c r="D10" s="28" t="s">
        <v>16</v>
      </c>
      <c r="E10" s="27">
        <f t="shared" ref="E10:J10" si="2">2.5-E9</f>
        <v>2.5</v>
      </c>
      <c r="F10" s="27">
        <f t="shared" si="2"/>
        <v>2.5</v>
      </c>
      <c r="G10" s="27">
        <f t="shared" si="2"/>
        <v>2.5</v>
      </c>
      <c r="H10" s="25">
        <f t="shared" si="2"/>
        <v>1.1303419673367763</v>
      </c>
      <c r="I10" s="25">
        <f t="shared" si="2"/>
        <v>1.1303419673367763</v>
      </c>
      <c r="J10" s="25">
        <f t="shared" si="2"/>
        <v>1.1303419673367763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28" t="s">
        <v>99</v>
      </c>
      <c r="R1" s="228"/>
      <c r="S1" s="228"/>
      <c r="U1" s="228" t="s">
        <v>98</v>
      </c>
      <c r="V1" s="228"/>
      <c r="W1" s="228"/>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286883-9644-4FDD-83F1-429CBA436176}"/>
</file>

<file path=customXml/itemProps2.xml><?xml version="1.0" encoding="utf-8"?>
<ds:datastoreItem xmlns:ds="http://schemas.openxmlformats.org/officeDocument/2006/customXml" ds:itemID="{1BB38750-54A9-4782-9D0E-A8C82336A9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2022-10-05T14:29:33Z</dcterms:modified>
</cp:coreProperties>
</file>