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1.xml" ContentType="application/vnd.openxmlformats-officedocument.spreadsheetml.chart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2.xml" ContentType="application/vnd.openxmlformats-officedocument.spreadsheetml.chart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3.xml" ContentType="application/vnd.openxmlformats-officedocument.spreadsheetml.chartsheet+xml"/>
  <Override PartName="/xl/worksheets/sheet9.xml" ContentType="application/vnd.openxmlformats-officedocument.spreadsheetml.worksheet+xml"/>
  <Override PartName="/xl/chartsheets/sheet4.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tables/table3.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pivotTables/pivotTable2.xml" ContentType="application/vnd.openxmlformats-officedocument.spreadsheetml.pivotTable+xml"/>
  <Override PartName="/xl/tables/table4.xml" ContentType="application/vnd.openxmlformats-officedocument.spreadsheetml.table+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pivotTables/pivotTable3.xml" ContentType="application/vnd.openxmlformats-officedocument.spreadsheetml.pivotTable+xml"/>
  <Override PartName="/xl/tables/table5.xml" ContentType="application/vnd.openxmlformats-officedocument.spreadsheetml.table+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comments1.xml" ContentType="application/vnd.openxmlformats-officedocument.spreadsheetml.comments+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tables/table6.xml" ContentType="application/vnd.openxmlformats-officedocument.spreadsheetml.table+xml"/>
  <Override PartName="/xl/drawings/drawing9.xml" ContentType="application/vnd.openxmlformats-officedocument.drawing+xml"/>
  <Override PartName="/xl/charts/chart9.xml" ContentType="application/vnd.openxmlformats-officedocument.drawingml.chart+xml"/>
  <Override PartName="/xl/drawings/drawing10.xml" ContentType="application/vnd.openxmlformats-officedocument.drawingml.chartshapes+xml"/>
  <Override PartName="/xl/charts/chart10.xml" ContentType="application/vnd.openxmlformats-officedocument.drawingml.chart+xml"/>
  <Override PartName="/xl/drawings/drawing11.xml" ContentType="application/vnd.openxmlformats-officedocument.drawingml.chartshapes+xml"/>
  <Override PartName="/xl/charts/chart11.xml" ContentType="application/vnd.openxmlformats-officedocument.drawingml.chart+xml"/>
  <Override PartName="/xl/drawings/drawing12.xml" ContentType="application/vnd.openxmlformats-officedocument.drawingml.chartshapes+xml"/>
  <Override PartName="/xl/charts/chart12.xml" ContentType="application/vnd.openxmlformats-officedocument.drawingml.chart+xml"/>
  <Override PartName="/xl/drawings/drawing13.xml" ContentType="application/vnd.openxmlformats-officedocument.drawingml.chartshapes+xml"/>
  <Override PartName="/xl/drawings/drawing14.xml" ContentType="application/vnd.openxmlformats-officedocument.drawing+xml"/>
  <Override PartName="/xl/charts/chart13.xml" ContentType="application/vnd.openxmlformats-officedocument.drawingml.chart+xml"/>
  <Override PartName="/xl/drawings/drawing15.xml" ContentType="application/vnd.openxmlformats-officedocument.drawingml.chartshapes+xml"/>
  <Override PartName="/xl/charts/chart14.xml" ContentType="application/vnd.openxmlformats-officedocument.drawingml.chart+xml"/>
  <Override PartName="/xl/drawings/drawing16.xml" ContentType="application/vnd.openxmlformats-officedocument.drawingml.chartshapes+xml"/>
  <Override PartName="/xl/charts/chart15.xml" ContentType="application/vnd.openxmlformats-officedocument.drawingml.chart+xml"/>
  <Override PartName="/xl/drawings/drawing17.xml" ContentType="application/vnd.openxmlformats-officedocument.drawingml.chartshapes+xml"/>
  <Override PartName="/xl/charts/chart16.xml" ContentType="application/vnd.openxmlformats-officedocument.drawingml.chart+xml"/>
  <Override PartName="/xl/drawings/drawing18.xml" ContentType="application/vnd.openxmlformats-officedocument.drawingml.chartshapes+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filterPrivacy="1" hidePivotFieldList="1" defaultThemeVersion="124226"/>
  <xr:revisionPtr revIDLastSave="29" documentId="13_ncr:1_{DE778C94-C698-4D40-9EEB-E32D80D8CAD3}" xr6:coauthVersionLast="47" xr6:coauthVersionMax="47" xr10:uidLastSave="{EF37799D-E800-4341-8131-78F8D0CC00C8}"/>
  <bookViews>
    <workbookView xWindow="9030" yWindow="810" windowWidth="38700" windowHeight="15435" activeTab="3" xr2:uid="{00000000-000D-0000-FFFF-FFFF00000000}"/>
  </bookViews>
  <sheets>
    <sheet name="Page de garde" sheetId="10" r:id="rId1"/>
    <sheet name="Feuil1" sheetId="39" r:id="rId2"/>
    <sheet name="Raw data R1" sheetId="35" r:id="rId3"/>
    <sheet name="R1" sheetId="1" r:id="rId4"/>
    <sheet name="Graph R1" sheetId="8" r:id="rId5"/>
    <sheet name="Raw data R2" sheetId="36" r:id="rId6"/>
    <sheet name="R2" sheetId="23" r:id="rId7"/>
    <sheet name="Graph R2" sheetId="19" r:id="rId8"/>
    <sheet name="Raw data R3" sheetId="37" r:id="rId9"/>
    <sheet name="R3" sheetId="33" r:id="rId10"/>
    <sheet name="Graph R3" sheetId="34" r:id="rId11"/>
    <sheet name="pooled normalised values" sheetId="4" r:id="rId12"/>
    <sheet name="pooled normalised graphe" sheetId="5" r:id="rId13"/>
    <sheet name="summary results" sheetId="22" r:id="rId14"/>
    <sheet name="Notice" sheetId="38" r:id="rId15"/>
    <sheet name="Graph format rapport CHG" sheetId="12" r:id="rId16"/>
    <sheet name="Graph format rapport CHG 1éch" sheetId="27" r:id="rId17"/>
    <sheet name="Récap" sheetId="28" r:id="rId18"/>
  </sheets>
  <externalReferences>
    <externalReference r:id="rId19"/>
  </externalReferences>
  <definedNames>
    <definedName name="_xlnm.Print_Area" localSheetId="0">'Page de garde'!$A$1:$I$52</definedName>
  </definedNames>
  <calcPr calcId="191029"/>
  <pivotCaches>
    <pivotCache cacheId="0" r:id="rId20"/>
    <pivotCache cacheId="1" r:id="rId21"/>
    <pivotCache cacheId="2" r:id="rId22"/>
    <pivotCache cacheId="3" r:id="rId2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3" i="10" l="1"/>
  <c r="E39" i="10"/>
  <c r="M4" i="33"/>
  <c r="L4" i="33"/>
  <c r="K4" i="33"/>
  <c r="J4" i="33"/>
  <c r="I4" i="33"/>
  <c r="M4" i="23"/>
  <c r="L4" i="23"/>
  <c r="K4" i="23"/>
  <c r="J4" i="23"/>
  <c r="I4" i="23"/>
  <c r="M4" i="1"/>
  <c r="L4" i="1"/>
  <c r="K4" i="1"/>
  <c r="J4" i="1"/>
  <c r="I4" i="1"/>
  <c r="C83" i="4"/>
  <c r="D83" i="4"/>
  <c r="E83" i="4"/>
  <c r="F83" i="4"/>
  <c r="G83" i="4"/>
  <c r="H83" i="4"/>
  <c r="K61" i="33"/>
  <c r="I61" i="33"/>
  <c r="J61" i="33"/>
  <c r="L61" i="33"/>
  <c r="M61" i="33"/>
  <c r="R61" i="23"/>
  <c r="C61" i="23"/>
  <c r="D61" i="23"/>
  <c r="E61" i="23"/>
  <c r="F61" i="23"/>
  <c r="G61" i="23"/>
  <c r="H61" i="23"/>
  <c r="R61" i="1"/>
  <c r="U61" i="1"/>
  <c r="V61" i="1"/>
  <c r="S61" i="1"/>
  <c r="T61" i="1"/>
  <c r="K61" i="1"/>
  <c r="M61" i="1"/>
  <c r="I61" i="1"/>
  <c r="J61" i="1"/>
  <c r="L61" i="1"/>
  <c r="E61" i="1"/>
  <c r="H61" i="1"/>
  <c r="C61" i="1"/>
  <c r="D61" i="1"/>
  <c r="F61" i="1"/>
  <c r="G61" i="1"/>
  <c r="A1011" i="37"/>
  <c r="B1011" i="37"/>
  <c r="A1012" i="37"/>
  <c r="B1012" i="37"/>
  <c r="A1013" i="37"/>
  <c r="B1013" i="37"/>
  <c r="A1014" i="37"/>
  <c r="B1014" i="37"/>
  <c r="A1015" i="37"/>
  <c r="B1015" i="37"/>
  <c r="A1016" i="37"/>
  <c r="B1016" i="37"/>
  <c r="A1017" i="37"/>
  <c r="B1017" i="37"/>
  <c r="A1018" i="37"/>
  <c r="B1018" i="37"/>
  <c r="A1019" i="37"/>
  <c r="B1019" i="37"/>
  <c r="A1020" i="37"/>
  <c r="B1020" i="37"/>
  <c r="A1021" i="37"/>
  <c r="B1021" i="37"/>
  <c r="A1022" i="37"/>
  <c r="B1022" i="37"/>
  <c r="A1023" i="37"/>
  <c r="B1023" i="37"/>
  <c r="A1024" i="37"/>
  <c r="B1024" i="37"/>
  <c r="A1025" i="37"/>
  <c r="B1025" i="37"/>
  <c r="A1026" i="37"/>
  <c r="B1026" i="37"/>
  <c r="A1027" i="37"/>
  <c r="B1027" i="37"/>
  <c r="A1028" i="37"/>
  <c r="B1028" i="37"/>
  <c r="A1029" i="37"/>
  <c r="B1029" i="37"/>
  <c r="A1030" i="37"/>
  <c r="B1030" i="37"/>
  <c r="A1031" i="37"/>
  <c r="B1031" i="37"/>
  <c r="A1032" i="37"/>
  <c r="B1032" i="37"/>
  <c r="A1033" i="37"/>
  <c r="B1033" i="37"/>
  <c r="A1034" i="37"/>
  <c r="B1034" i="37"/>
  <c r="A1035" i="37"/>
  <c r="B1035" i="37"/>
  <c r="A1036" i="37"/>
  <c r="B1036" i="37"/>
  <c r="A1037" i="37"/>
  <c r="B1037" i="37"/>
  <c r="A1038" i="37"/>
  <c r="B1038" i="37"/>
  <c r="A1039" i="37"/>
  <c r="B1039" i="37"/>
  <c r="A1040" i="37"/>
  <c r="B1040" i="37"/>
  <c r="A1041" i="37"/>
  <c r="B1041" i="37"/>
  <c r="A1042" i="37"/>
  <c r="B1042" i="37"/>
  <c r="A1043" i="37"/>
  <c r="B1043" i="37"/>
  <c r="A1044" i="37"/>
  <c r="B1044" i="37"/>
  <c r="A1045" i="37"/>
  <c r="B1045" i="37"/>
  <c r="A1046" i="37"/>
  <c r="B1046" i="37"/>
  <c r="A1047" i="37"/>
  <c r="B1047" i="37"/>
  <c r="A1048" i="37"/>
  <c r="B1048" i="37"/>
  <c r="A1049" i="37"/>
  <c r="B1049" i="37"/>
  <c r="A1050" i="37"/>
  <c r="B1050" i="37"/>
  <c r="A1051" i="37"/>
  <c r="B1051" i="37"/>
  <c r="A1052" i="37"/>
  <c r="B1052" i="37"/>
  <c r="A1053" i="37"/>
  <c r="B1053" i="37"/>
  <c r="A1054" i="37"/>
  <c r="B1054" i="37"/>
  <c r="A1055" i="37"/>
  <c r="B1055" i="37"/>
  <c r="A1056" i="37"/>
  <c r="B1056" i="37"/>
  <c r="A1057" i="37"/>
  <c r="B1057" i="37"/>
  <c r="A1058" i="37"/>
  <c r="B1058" i="37"/>
  <c r="A1059" i="37"/>
  <c r="B1059" i="37"/>
  <c r="A1060" i="37"/>
  <c r="B1060" i="37"/>
  <c r="A1061" i="37"/>
  <c r="B1061" i="37"/>
  <c r="A1062" i="37"/>
  <c r="B1062" i="37"/>
  <c r="A1063" i="37"/>
  <c r="B1063" i="37"/>
  <c r="A1064" i="37"/>
  <c r="B1064" i="37"/>
  <c r="A1065" i="37"/>
  <c r="B1065" i="37"/>
  <c r="A1066" i="37"/>
  <c r="B1066" i="37"/>
  <c r="A1067" i="37"/>
  <c r="B1067" i="37"/>
  <c r="A1068" i="37"/>
  <c r="B1068" i="37"/>
  <c r="A1069" i="37"/>
  <c r="B1069" i="37"/>
  <c r="A1070" i="37"/>
  <c r="B1070" i="37"/>
  <c r="A1071" i="37"/>
  <c r="B1071" i="37"/>
  <c r="A1072" i="37"/>
  <c r="B1072" i="37"/>
  <c r="A1073" i="37"/>
  <c r="B1073" i="37"/>
  <c r="A1074" i="37"/>
  <c r="B1074" i="37"/>
  <c r="A1075" i="37"/>
  <c r="B1075" i="37"/>
  <c r="A1076" i="37"/>
  <c r="B1076" i="37"/>
  <c r="A1077" i="37"/>
  <c r="B1077" i="37"/>
  <c r="A1078" i="37"/>
  <c r="B1078" i="37"/>
  <c r="A1079" i="37"/>
  <c r="B1079" i="37"/>
  <c r="A1080" i="37"/>
  <c r="B1080" i="37"/>
  <c r="A1081" i="37"/>
  <c r="B1081" i="37"/>
  <c r="A1082" i="37"/>
  <c r="B1082" i="37"/>
  <c r="A1083" i="37"/>
  <c r="B1083" i="37"/>
  <c r="A1084" i="37"/>
  <c r="B1084" i="37"/>
  <c r="A1085" i="37"/>
  <c r="B1085" i="37"/>
  <c r="A1086" i="37"/>
  <c r="B1086" i="37"/>
  <c r="A1087" i="37"/>
  <c r="B1087" i="37"/>
  <c r="A1088" i="37"/>
  <c r="B1088" i="37"/>
  <c r="A1089" i="37"/>
  <c r="B1089" i="37"/>
  <c r="A1090" i="37"/>
  <c r="B1090" i="37"/>
  <c r="A1091" i="37"/>
  <c r="B1091" i="37"/>
  <c r="A1092" i="37"/>
  <c r="B1092" i="37"/>
  <c r="A1093" i="37"/>
  <c r="B1093" i="37"/>
  <c r="A1094" i="37"/>
  <c r="B1094" i="37"/>
  <c r="A1095" i="37"/>
  <c r="B1095" i="37"/>
  <c r="A1096" i="37"/>
  <c r="B1096" i="37"/>
  <c r="A1097" i="37"/>
  <c r="B1097" i="37"/>
  <c r="A1098" i="37"/>
  <c r="B1098" i="37"/>
  <c r="A1099" i="37"/>
  <c r="B1099" i="37"/>
  <c r="A1100" i="37"/>
  <c r="B1100" i="37"/>
  <c r="A1101" i="37"/>
  <c r="B1101" i="37"/>
  <c r="A1102" i="37"/>
  <c r="B1102" i="37"/>
  <c r="A1103" i="37"/>
  <c r="B1103" i="37"/>
  <c r="A1104" i="37"/>
  <c r="B1104" i="37"/>
  <c r="A1105" i="37"/>
  <c r="B1105" i="37"/>
  <c r="A1106" i="37"/>
  <c r="B1106" i="37"/>
  <c r="A1107" i="37"/>
  <c r="B1107" i="37"/>
  <c r="A1108" i="37"/>
  <c r="B1108" i="37"/>
  <c r="A1109" i="37"/>
  <c r="B1109" i="37"/>
  <c r="A1110" i="37"/>
  <c r="B1110" i="37"/>
  <c r="A1111" i="37"/>
  <c r="B1111" i="37"/>
  <c r="A1112" i="37"/>
  <c r="B1112" i="37"/>
  <c r="A1113" i="37"/>
  <c r="B1113" i="37"/>
  <c r="A1114" i="37"/>
  <c r="B1114" i="37"/>
  <c r="A1115" i="37"/>
  <c r="B1115" i="37"/>
  <c r="A1116" i="37"/>
  <c r="B1116" i="37"/>
  <c r="A1117" i="37"/>
  <c r="B1117" i="37"/>
  <c r="A1118" i="37"/>
  <c r="B1118" i="37"/>
  <c r="A1119" i="37"/>
  <c r="B1119" i="37"/>
  <c r="A1120" i="37"/>
  <c r="B1120" i="37"/>
  <c r="A1121" i="37"/>
  <c r="B1121" i="37"/>
  <c r="A1122" i="37"/>
  <c r="B1122" i="37"/>
  <c r="A1123" i="37"/>
  <c r="B1123" i="37"/>
  <c r="A1124" i="37"/>
  <c r="B1124" i="37"/>
  <c r="A1125" i="37"/>
  <c r="B1125" i="37"/>
  <c r="A1126" i="37"/>
  <c r="B1126" i="37"/>
  <c r="A1127" i="37"/>
  <c r="B1127" i="37"/>
  <c r="A1128" i="37"/>
  <c r="B1128" i="37"/>
  <c r="A1129" i="37"/>
  <c r="B1129" i="37"/>
  <c r="A1130" i="37"/>
  <c r="B1130" i="37"/>
  <c r="A1131" i="37"/>
  <c r="B1131" i="37"/>
  <c r="A1132" i="37"/>
  <c r="B1132" i="37"/>
  <c r="A1133" i="37"/>
  <c r="B1133" i="37"/>
  <c r="A1134" i="37"/>
  <c r="B1134" i="37"/>
  <c r="A1135" i="37"/>
  <c r="B1135" i="37"/>
  <c r="A1136" i="37"/>
  <c r="B1136" i="37"/>
  <c r="A1137" i="37"/>
  <c r="B1137" i="37"/>
  <c r="A1138" i="37"/>
  <c r="B1138" i="37"/>
  <c r="A1139" i="37"/>
  <c r="B1139" i="37"/>
  <c r="A1140" i="37"/>
  <c r="B1140" i="37"/>
  <c r="A1141" i="37"/>
  <c r="B1141" i="37"/>
  <c r="A1142" i="37"/>
  <c r="B1142" i="37"/>
  <c r="A1143" i="37"/>
  <c r="B1143" i="37"/>
  <c r="A1144" i="37"/>
  <c r="B1144" i="37"/>
  <c r="A1145" i="37"/>
  <c r="B1145" i="37"/>
  <c r="A1146" i="37"/>
  <c r="B1146" i="37"/>
  <c r="A1147" i="37"/>
  <c r="B1147" i="37"/>
  <c r="A1148" i="37"/>
  <c r="B1148" i="37"/>
  <c r="A1149" i="37"/>
  <c r="B1149" i="37"/>
  <c r="A1150" i="37"/>
  <c r="B1150" i="37"/>
  <c r="A1151" i="37"/>
  <c r="B1151" i="37"/>
  <c r="A1152" i="37"/>
  <c r="B1152" i="37"/>
  <c r="A1153" i="37"/>
  <c r="B1153" i="37"/>
  <c r="A1154" i="37"/>
  <c r="B1154" i="37"/>
  <c r="A1155" i="37"/>
  <c r="B1155" i="37"/>
  <c r="A1156" i="37"/>
  <c r="B1156" i="37"/>
  <c r="A1157" i="37"/>
  <c r="B1157" i="37"/>
  <c r="A1158" i="37"/>
  <c r="B1158" i="37"/>
  <c r="A1159" i="37"/>
  <c r="B1159" i="37"/>
  <c r="A1160" i="37"/>
  <c r="B1160" i="37"/>
  <c r="A1161" i="37"/>
  <c r="B1161" i="37"/>
  <c r="A1162" i="37"/>
  <c r="B1162" i="37"/>
  <c r="A1163" i="37"/>
  <c r="B1163" i="37"/>
  <c r="A1164" i="37"/>
  <c r="B1164" i="37"/>
  <c r="A1165" i="37"/>
  <c r="B1165" i="37"/>
  <c r="A1166" i="37"/>
  <c r="B1166" i="37"/>
  <c r="A1167" i="37"/>
  <c r="B1167" i="37"/>
  <c r="A1168" i="37"/>
  <c r="B1168" i="37"/>
  <c r="A1169" i="37"/>
  <c r="B1169" i="37"/>
  <c r="A1170" i="37"/>
  <c r="B1170" i="37"/>
  <c r="A1171" i="37"/>
  <c r="B1171" i="37"/>
  <c r="A1172" i="37"/>
  <c r="B1172" i="37"/>
  <c r="A1173" i="37"/>
  <c r="B1173" i="37"/>
  <c r="A1174" i="37"/>
  <c r="B1174" i="37"/>
  <c r="A1175" i="37"/>
  <c r="B1175" i="37"/>
  <c r="A1176" i="37"/>
  <c r="B1176" i="37"/>
  <c r="A1177" i="37"/>
  <c r="B1177" i="37"/>
  <c r="A1178" i="37"/>
  <c r="B1178" i="37"/>
  <c r="A1179" i="37"/>
  <c r="B1179" i="37"/>
  <c r="A1180" i="37"/>
  <c r="B1180" i="37"/>
  <c r="A1181" i="37"/>
  <c r="B1181" i="37"/>
  <c r="A1182" i="37"/>
  <c r="B1182" i="37"/>
  <c r="A1183" i="37"/>
  <c r="B1183" i="37"/>
  <c r="A1184" i="37"/>
  <c r="B1184" i="37"/>
  <c r="A1185" i="37"/>
  <c r="B1185" i="37"/>
  <c r="A1186" i="37"/>
  <c r="B1186" i="37"/>
  <c r="A1187" i="37"/>
  <c r="B1187" i="37"/>
  <c r="A1188" i="37"/>
  <c r="B1188" i="37"/>
  <c r="A1189" i="37"/>
  <c r="B1189" i="37"/>
  <c r="A1190" i="37"/>
  <c r="B1190" i="37"/>
  <c r="A1191" i="37"/>
  <c r="B1191" i="37"/>
  <c r="A1192" i="37"/>
  <c r="B1192" i="37"/>
  <c r="A1193" i="37"/>
  <c r="B1193" i="37"/>
  <c r="A1194" i="37"/>
  <c r="B1194" i="37"/>
  <c r="A1195" i="37"/>
  <c r="B1195" i="37"/>
  <c r="A1196" i="37"/>
  <c r="B1196" i="37"/>
  <c r="A1197" i="37"/>
  <c r="B1197" i="37"/>
  <c r="A1198" i="37"/>
  <c r="B1198" i="37"/>
  <c r="A1199" i="37"/>
  <c r="B1199" i="37"/>
  <c r="A1200" i="37"/>
  <c r="B1200" i="37"/>
  <c r="A1201" i="37"/>
  <c r="B1201" i="37"/>
  <c r="A1202" i="37"/>
  <c r="B1202" i="37"/>
  <c r="A1203" i="37"/>
  <c r="B1203" i="37"/>
  <c r="A1204" i="37"/>
  <c r="B1204" i="37"/>
  <c r="A1205" i="37"/>
  <c r="B1205" i="37"/>
  <c r="A1206" i="37"/>
  <c r="B1206" i="37"/>
  <c r="A1207" i="37"/>
  <c r="B1207" i="37"/>
  <c r="A1208" i="37"/>
  <c r="B1208" i="37"/>
  <c r="A1209" i="37"/>
  <c r="B1209" i="37"/>
  <c r="A1210" i="37"/>
  <c r="B1210" i="37"/>
  <c r="A1211" i="37"/>
  <c r="B1211" i="37"/>
  <c r="A1212" i="37"/>
  <c r="B1212" i="37"/>
  <c r="A1213" i="37"/>
  <c r="B1213" i="37"/>
  <c r="A1214" i="37"/>
  <c r="B1214" i="37"/>
  <c r="A1215" i="37"/>
  <c r="B1215" i="37"/>
  <c r="A1216" i="37"/>
  <c r="B1216" i="37"/>
  <c r="A1217" i="37"/>
  <c r="B1217" i="37"/>
  <c r="A1218" i="37"/>
  <c r="B1218" i="37"/>
  <c r="A1219" i="37"/>
  <c r="B1219" i="37"/>
  <c r="A1220" i="37"/>
  <c r="B1220" i="37"/>
  <c r="A1221" i="37"/>
  <c r="B1221" i="37"/>
  <c r="A1222" i="37"/>
  <c r="B1222" i="37"/>
  <c r="A1223" i="37"/>
  <c r="B1223" i="37"/>
  <c r="A1224" i="37"/>
  <c r="B1224" i="37"/>
  <c r="A1225" i="37"/>
  <c r="B1225" i="37"/>
  <c r="A1226" i="37"/>
  <c r="B1226" i="37"/>
  <c r="A1227" i="37"/>
  <c r="B1227" i="37"/>
  <c r="A1228" i="37"/>
  <c r="B1228" i="37"/>
  <c r="A1229" i="37"/>
  <c r="B1229" i="37"/>
  <c r="A1230" i="37"/>
  <c r="B1230" i="37"/>
  <c r="A1231" i="37"/>
  <c r="B1231" i="37"/>
  <c r="A1232" i="37"/>
  <c r="B1232" i="37"/>
  <c r="A1233" i="37"/>
  <c r="B1233" i="37"/>
  <c r="A1234" i="37"/>
  <c r="B1234" i="37"/>
  <c r="A1235" i="37"/>
  <c r="B1235" i="37"/>
  <c r="A1236" i="37"/>
  <c r="B1236" i="37"/>
  <c r="A1237" i="37"/>
  <c r="B1237" i="37"/>
  <c r="A1238" i="37"/>
  <c r="B1238" i="37"/>
  <c r="A1239" i="37"/>
  <c r="B1239" i="37"/>
  <c r="A1240" i="37"/>
  <c r="B1240" i="37"/>
  <c r="A1241" i="37"/>
  <c r="B1241" i="37"/>
  <c r="A1242" i="37"/>
  <c r="B1242" i="37"/>
  <c r="A1243" i="37"/>
  <c r="B1243" i="37"/>
  <c r="A1244" i="37"/>
  <c r="B1244" i="37"/>
  <c r="A1245" i="37"/>
  <c r="B1245" i="37"/>
  <c r="A1246" i="37"/>
  <c r="B1246" i="37"/>
  <c r="A1247" i="37"/>
  <c r="B1247" i="37"/>
  <c r="A1248" i="37"/>
  <c r="B1248" i="37"/>
  <c r="A1249" i="37"/>
  <c r="B1249" i="37"/>
  <c r="A1250" i="37"/>
  <c r="B1250" i="37"/>
  <c r="A1251" i="37"/>
  <c r="B1251" i="37"/>
  <c r="A1252" i="37"/>
  <c r="B1252" i="37"/>
  <c r="A1253" i="37"/>
  <c r="B1253" i="37"/>
  <c r="A1254" i="37"/>
  <c r="B1254" i="37"/>
  <c r="A1255" i="37"/>
  <c r="B1255" i="37"/>
  <c r="A1256" i="37"/>
  <c r="B1256" i="37"/>
  <c r="A1257" i="37"/>
  <c r="B1257" i="37"/>
  <c r="A1258" i="37"/>
  <c r="B1258" i="37"/>
  <c r="A1259" i="37"/>
  <c r="B1259" i="37"/>
  <c r="A1260" i="37"/>
  <c r="B1260" i="37"/>
  <c r="A1261" i="37"/>
  <c r="B1261" i="37"/>
  <c r="A1262" i="37"/>
  <c r="B1262" i="37"/>
  <c r="A1263" i="37"/>
  <c r="B1263" i="37"/>
  <c r="A1264" i="37"/>
  <c r="B1264" i="37"/>
  <c r="A1265" i="37"/>
  <c r="B1265" i="37"/>
  <c r="A1266" i="37"/>
  <c r="B1266" i="37"/>
  <c r="A1267" i="37"/>
  <c r="B1267" i="37"/>
  <c r="A1268" i="37"/>
  <c r="B1268" i="37"/>
  <c r="A1269" i="37"/>
  <c r="B1269" i="37"/>
  <c r="A1270" i="37"/>
  <c r="B1270" i="37"/>
  <c r="A1271" i="37"/>
  <c r="B1271" i="37"/>
  <c r="A1272" i="37"/>
  <c r="B1272" i="37"/>
  <c r="A1273" i="37"/>
  <c r="B1273" i="37"/>
  <c r="A1274" i="37"/>
  <c r="B1274" i="37"/>
  <c r="A1275" i="37"/>
  <c r="B1275" i="37"/>
  <c r="A1276" i="37"/>
  <c r="B1276" i="37"/>
  <c r="A1277" i="37"/>
  <c r="B1277" i="37"/>
  <c r="A1278" i="37"/>
  <c r="B1278" i="37"/>
  <c r="A1279" i="37"/>
  <c r="B1279" i="37"/>
  <c r="A1280" i="37"/>
  <c r="B1280" i="37"/>
  <c r="A1281" i="37"/>
  <c r="B1281" i="37"/>
  <c r="A1282" i="37"/>
  <c r="B1282" i="37"/>
  <c r="A1283" i="37"/>
  <c r="B1283" i="37"/>
  <c r="A1284" i="37"/>
  <c r="B1284" i="37"/>
  <c r="A1285" i="37"/>
  <c r="B1285" i="37"/>
  <c r="A1286" i="37"/>
  <c r="B1286" i="37"/>
  <c r="A1287" i="37"/>
  <c r="B1287" i="37"/>
  <c r="A1288" i="37"/>
  <c r="B1288" i="37"/>
  <c r="A1289" i="37"/>
  <c r="B1289" i="37"/>
  <c r="A1290" i="37"/>
  <c r="B1290" i="37"/>
  <c r="A1291" i="37"/>
  <c r="B1291" i="37"/>
  <c r="A1292" i="37"/>
  <c r="B1292" i="37"/>
  <c r="A1293" i="37"/>
  <c r="B1293" i="37"/>
  <c r="A1294" i="37"/>
  <c r="B1294" i="37"/>
  <c r="A1295" i="37"/>
  <c r="B1295" i="37"/>
  <c r="A1296" i="37"/>
  <c r="B1296" i="37"/>
  <c r="A1297" i="37"/>
  <c r="B1297" i="37"/>
  <c r="A1298" i="37"/>
  <c r="B1298" i="37"/>
  <c r="A1299" i="37"/>
  <c r="B1299" i="37"/>
  <c r="A1300" i="37"/>
  <c r="B1300" i="37"/>
  <c r="A1301" i="37"/>
  <c r="B1301" i="37"/>
  <c r="A1302" i="37"/>
  <c r="B1302" i="37"/>
  <c r="A1303" i="37"/>
  <c r="B1303" i="37"/>
  <c r="A1304" i="37"/>
  <c r="B1304" i="37"/>
  <c r="A1305" i="37"/>
  <c r="B1305" i="37"/>
  <c r="A1306" i="37"/>
  <c r="B1306" i="37"/>
  <c r="A1307" i="37"/>
  <c r="B1307" i="37"/>
  <c r="A1308" i="37"/>
  <c r="B1308" i="37"/>
  <c r="A1309" i="37"/>
  <c r="B1309" i="37"/>
  <c r="A1310" i="37"/>
  <c r="B1310" i="37"/>
  <c r="A1311" i="37"/>
  <c r="B1311" i="37"/>
  <c r="A1312" i="37"/>
  <c r="B1312" i="37"/>
  <c r="A1313" i="37"/>
  <c r="B1313" i="37"/>
  <c r="A1314" i="37"/>
  <c r="B1314" i="37"/>
  <c r="A1315" i="37"/>
  <c r="B1315" i="37"/>
  <c r="A1316" i="37"/>
  <c r="B1316" i="37"/>
  <c r="A1317" i="37"/>
  <c r="B1317" i="37"/>
  <c r="A1318" i="37"/>
  <c r="B1318" i="37"/>
  <c r="A1319" i="37"/>
  <c r="B1319" i="37"/>
  <c r="A1320" i="37"/>
  <c r="B1320" i="37"/>
  <c r="A1321" i="37"/>
  <c r="B1321" i="37"/>
  <c r="A1322" i="37"/>
  <c r="B1322" i="37"/>
  <c r="A1323" i="37"/>
  <c r="B1323" i="37"/>
  <c r="A1324" i="37"/>
  <c r="B1324" i="37"/>
  <c r="A1325" i="37"/>
  <c r="B1325" i="37"/>
  <c r="A1326" i="37"/>
  <c r="B1326" i="37"/>
  <c r="A1327" i="37"/>
  <c r="B1327" i="37"/>
  <c r="A1328" i="37"/>
  <c r="B1328" i="37"/>
  <c r="A1329" i="37"/>
  <c r="B1329" i="37"/>
  <c r="A1330" i="37"/>
  <c r="B1330" i="37"/>
  <c r="A1331" i="37"/>
  <c r="B1331" i="37"/>
  <c r="A1332" i="37"/>
  <c r="B1332" i="37"/>
  <c r="A1333" i="37"/>
  <c r="B1333" i="37"/>
  <c r="A1334" i="37"/>
  <c r="B1334" i="37"/>
  <c r="A1335" i="37"/>
  <c r="B1335" i="37"/>
  <c r="A1336" i="37"/>
  <c r="B1336" i="37"/>
  <c r="A1337" i="37"/>
  <c r="B1337" i="37"/>
  <c r="A1338" i="37"/>
  <c r="B1338" i="37"/>
  <c r="A1339" i="37"/>
  <c r="B1339" i="37"/>
  <c r="A1340" i="37"/>
  <c r="B1340" i="37"/>
  <c r="A1341" i="37"/>
  <c r="B1341" i="37"/>
  <c r="A1342" i="37"/>
  <c r="B1342" i="37"/>
  <c r="A1343" i="37"/>
  <c r="B1343" i="37"/>
  <c r="A1344" i="37"/>
  <c r="B1344" i="37"/>
  <c r="A1345" i="37"/>
  <c r="B1345" i="37"/>
  <c r="A1346" i="37"/>
  <c r="B1346" i="37"/>
  <c r="A1347" i="37"/>
  <c r="B1347" i="37"/>
  <c r="A1348" i="37"/>
  <c r="B1348" i="37"/>
  <c r="A1349" i="37"/>
  <c r="B1349" i="37"/>
  <c r="A1350" i="37"/>
  <c r="B1350" i="37"/>
  <c r="A1351" i="37"/>
  <c r="B1351" i="37"/>
  <c r="A1352" i="37"/>
  <c r="B1352" i="37"/>
  <c r="A1353" i="37"/>
  <c r="B1353" i="37"/>
  <c r="A1354" i="37"/>
  <c r="B1354" i="37"/>
  <c r="A1355" i="37"/>
  <c r="B1355" i="37"/>
  <c r="A1356" i="37"/>
  <c r="B1356" i="37"/>
  <c r="A1357" i="37"/>
  <c r="B1357" i="37"/>
  <c r="A1358" i="37"/>
  <c r="B1358" i="37"/>
  <c r="A1359" i="37"/>
  <c r="B1359" i="37"/>
  <c r="A1360" i="37"/>
  <c r="B1360" i="37"/>
  <c r="A1361" i="37"/>
  <c r="B1361" i="37"/>
  <c r="A1362" i="37"/>
  <c r="B1362" i="37"/>
  <c r="A1363" i="37"/>
  <c r="B1363" i="37"/>
  <c r="A1364" i="37"/>
  <c r="B1364" i="37"/>
  <c r="A1365" i="37"/>
  <c r="B1365" i="37"/>
  <c r="A1366" i="37"/>
  <c r="B1366" i="37"/>
  <c r="A1367" i="37"/>
  <c r="B1367" i="37"/>
  <c r="A1368" i="37"/>
  <c r="B1368" i="37"/>
  <c r="A1369" i="37"/>
  <c r="B1369" i="37"/>
  <c r="A1370" i="37"/>
  <c r="B1370" i="37"/>
  <c r="A1371" i="37"/>
  <c r="B1371" i="37"/>
  <c r="A1372" i="37"/>
  <c r="B1372" i="37"/>
  <c r="A1373" i="37"/>
  <c r="B1373" i="37"/>
  <c r="A1374" i="37"/>
  <c r="B1374" i="37"/>
  <c r="A1375" i="37"/>
  <c r="B1375" i="37"/>
  <c r="A1376" i="37"/>
  <c r="B1376" i="37"/>
  <c r="A1377" i="37"/>
  <c r="B1377" i="37"/>
  <c r="A1378" i="37"/>
  <c r="B1378" i="37"/>
  <c r="A1379" i="37"/>
  <c r="B1379" i="37"/>
  <c r="A1380" i="37"/>
  <c r="B1380" i="37"/>
  <c r="A1381" i="37"/>
  <c r="B1381" i="37"/>
  <c r="A1382" i="37"/>
  <c r="B1382" i="37"/>
  <c r="A1383" i="37"/>
  <c r="B1383" i="37"/>
  <c r="A1384" i="37"/>
  <c r="B1384" i="37"/>
  <c r="A1385" i="37"/>
  <c r="B1385" i="37"/>
  <c r="A1386" i="37"/>
  <c r="B1386" i="37"/>
  <c r="A1387" i="37"/>
  <c r="B1387" i="37"/>
  <c r="A1388" i="37"/>
  <c r="B1388" i="37"/>
  <c r="A1389" i="37"/>
  <c r="B1389" i="37"/>
  <c r="A1390" i="37"/>
  <c r="B1390" i="37"/>
  <c r="A1391" i="37"/>
  <c r="B1391" i="37"/>
  <c r="A1392" i="37"/>
  <c r="B1392" i="37"/>
  <c r="A1393" i="37"/>
  <c r="B1393" i="37"/>
  <c r="A1394" i="37"/>
  <c r="B1394" i="37"/>
  <c r="A1395" i="37"/>
  <c r="B1395" i="37"/>
  <c r="A1396" i="37"/>
  <c r="B1396" i="37"/>
  <c r="A1397" i="37"/>
  <c r="B1397" i="37"/>
  <c r="A1398" i="37"/>
  <c r="B1398" i="37"/>
  <c r="A1399" i="37"/>
  <c r="B1399" i="37"/>
  <c r="A1400" i="37"/>
  <c r="B1400" i="37"/>
  <c r="A1401" i="37"/>
  <c r="B1401" i="37"/>
  <c r="A1402" i="37"/>
  <c r="B1402" i="37"/>
  <c r="A1403" i="37"/>
  <c r="B1403" i="37"/>
  <c r="A1404" i="37"/>
  <c r="B1404" i="37"/>
  <c r="A1405" i="37"/>
  <c r="B1405" i="37"/>
  <c r="A1406" i="37"/>
  <c r="B1406" i="37"/>
  <c r="A1407" i="37"/>
  <c r="B1407" i="37"/>
  <c r="A1408" i="37"/>
  <c r="B1408" i="37"/>
  <c r="A1409" i="37"/>
  <c r="B1409" i="37"/>
  <c r="A1410" i="37"/>
  <c r="B1410" i="37"/>
  <c r="A1411" i="37"/>
  <c r="B1411" i="37"/>
  <c r="A1412" i="37"/>
  <c r="B1412" i="37"/>
  <c r="A1413" i="37"/>
  <c r="B1413" i="37"/>
  <c r="A1414" i="37"/>
  <c r="B1414" i="37"/>
  <c r="A1415" i="37"/>
  <c r="B1415" i="37"/>
  <c r="A1416" i="37"/>
  <c r="B1416" i="37"/>
  <c r="A1417" i="37"/>
  <c r="B1417" i="37"/>
  <c r="A1418" i="37"/>
  <c r="B1418" i="37"/>
  <c r="A1419" i="37"/>
  <c r="B1419" i="37"/>
  <c r="A1420" i="37"/>
  <c r="B1420" i="37"/>
  <c r="A1421" i="37"/>
  <c r="B1421" i="37"/>
  <c r="A1422" i="37"/>
  <c r="B1422" i="37"/>
  <c r="A1423" i="37"/>
  <c r="B1423" i="37"/>
  <c r="A1424" i="37"/>
  <c r="B1424" i="37"/>
  <c r="A1425" i="37"/>
  <c r="B1425" i="37"/>
  <c r="A1426" i="37"/>
  <c r="B1426" i="37"/>
  <c r="A1427" i="37"/>
  <c r="B1427" i="37"/>
  <c r="A1428" i="37"/>
  <c r="B1428" i="37"/>
  <c r="A1429" i="37"/>
  <c r="B1429" i="37"/>
  <c r="A1430" i="37"/>
  <c r="B1430" i="37"/>
  <c r="A1431" i="37"/>
  <c r="B1431" i="37"/>
  <c r="A1432" i="37"/>
  <c r="B1432" i="37"/>
  <c r="A1433" i="37"/>
  <c r="B1433" i="37"/>
  <c r="A1434" i="37"/>
  <c r="B1434" i="37"/>
  <c r="A1435" i="37"/>
  <c r="B1435" i="37"/>
  <c r="A1436" i="37"/>
  <c r="B1436" i="37"/>
  <c r="A1437" i="37"/>
  <c r="B1437" i="37"/>
  <c r="A1438" i="37"/>
  <c r="B1438" i="37"/>
  <c r="A1439" i="37"/>
  <c r="B1439" i="37"/>
  <c r="A1440" i="37"/>
  <c r="B1440" i="37"/>
  <c r="A1441" i="37"/>
  <c r="B1441" i="37"/>
  <c r="A1442" i="37"/>
  <c r="B1442" i="37"/>
  <c r="A1443" i="37"/>
  <c r="B1443" i="37"/>
  <c r="A1444" i="37"/>
  <c r="B1444" i="37"/>
  <c r="A1445" i="37"/>
  <c r="B1445" i="37"/>
  <c r="A1446" i="37"/>
  <c r="B1446" i="37"/>
  <c r="A1447" i="37"/>
  <c r="B1447" i="37"/>
  <c r="A1448" i="37"/>
  <c r="B1448" i="37"/>
  <c r="A1449" i="37"/>
  <c r="B1449" i="37"/>
  <c r="A1450" i="37"/>
  <c r="B1450" i="37"/>
  <c r="A1451" i="37"/>
  <c r="B1451" i="37"/>
  <c r="A1452" i="37"/>
  <c r="B1452" i="37"/>
  <c r="A1453" i="37"/>
  <c r="B1453" i="37"/>
  <c r="A1454" i="37"/>
  <c r="B1454" i="37"/>
  <c r="A1455" i="37"/>
  <c r="B1455" i="37"/>
  <c r="A1456" i="37"/>
  <c r="B1456" i="37"/>
  <c r="A1457" i="37"/>
  <c r="B1457" i="37"/>
  <c r="A1458" i="37"/>
  <c r="B1458" i="37"/>
  <c r="A1459" i="37"/>
  <c r="B1459" i="37"/>
  <c r="A1460" i="37"/>
  <c r="B1460" i="37"/>
  <c r="A1461" i="37"/>
  <c r="B1461" i="37"/>
  <c r="A1462" i="37"/>
  <c r="B1462" i="37"/>
  <c r="A1463" i="37"/>
  <c r="B1463" i="37"/>
  <c r="A1464" i="37"/>
  <c r="B1464" i="37"/>
  <c r="A1465" i="37"/>
  <c r="B1465" i="37"/>
  <c r="A1466" i="37"/>
  <c r="B1466" i="37"/>
  <c r="A1467" i="37"/>
  <c r="B1467" i="37"/>
  <c r="A1468" i="37"/>
  <c r="B1468" i="37"/>
  <c r="A1469" i="37"/>
  <c r="B1469" i="37"/>
  <c r="A1470" i="37"/>
  <c r="B1470" i="37"/>
  <c r="A1471" i="37"/>
  <c r="B1471" i="37"/>
  <c r="A1472" i="37"/>
  <c r="B1472" i="37"/>
  <c r="A1473" i="37"/>
  <c r="B1473" i="37"/>
  <c r="A1474" i="37"/>
  <c r="B1474" i="37"/>
  <c r="A1475" i="37"/>
  <c r="B1475" i="37"/>
  <c r="A1476" i="37"/>
  <c r="B1476" i="37"/>
  <c r="A1477" i="37"/>
  <c r="B1477" i="37"/>
  <c r="A1478" i="37"/>
  <c r="B1478" i="37"/>
  <c r="A1479" i="37"/>
  <c r="B1479" i="37"/>
  <c r="A1480" i="37"/>
  <c r="B1480" i="37"/>
  <c r="A1481" i="37"/>
  <c r="B1481" i="37"/>
  <c r="A1482" i="37"/>
  <c r="B1482" i="37"/>
  <c r="A1483" i="37"/>
  <c r="B1483" i="37"/>
  <c r="A1484" i="37"/>
  <c r="B1484" i="37"/>
  <c r="A1485" i="37"/>
  <c r="B1485" i="37"/>
  <c r="A1486" i="37"/>
  <c r="B1486" i="37"/>
  <c r="A1487" i="37"/>
  <c r="B1487" i="37"/>
  <c r="A1488" i="37"/>
  <c r="B1488" i="37"/>
  <c r="A1489" i="37"/>
  <c r="B1489" i="37"/>
  <c r="A1490" i="37"/>
  <c r="B1490" i="37"/>
  <c r="A1491" i="37"/>
  <c r="B1491" i="37"/>
  <c r="A1492" i="37"/>
  <c r="B1492" i="37"/>
  <c r="A1493" i="37"/>
  <c r="B1493" i="37"/>
  <c r="A1494" i="37"/>
  <c r="B1494" i="37"/>
  <c r="A1495" i="37"/>
  <c r="B1495" i="37"/>
  <c r="A1496" i="37"/>
  <c r="B1496" i="37"/>
  <c r="A1497" i="37"/>
  <c r="B1497" i="37"/>
  <c r="A1498" i="37"/>
  <c r="B1498" i="37"/>
  <c r="A1499" i="37"/>
  <c r="B1499" i="37"/>
  <c r="A1500" i="37"/>
  <c r="B1500" i="37"/>
  <c r="A1501" i="37"/>
  <c r="B1501" i="37"/>
  <c r="A1502" i="37"/>
  <c r="B1502" i="37"/>
  <c r="A1503" i="37"/>
  <c r="B1503" i="37"/>
  <c r="A1504" i="37"/>
  <c r="B1504" i="37"/>
  <c r="A1505" i="37"/>
  <c r="B1505" i="37"/>
  <c r="A1506" i="37"/>
  <c r="B1506" i="37"/>
  <c r="A1507" i="37"/>
  <c r="B1507" i="37"/>
  <c r="A1508" i="37"/>
  <c r="B1508" i="37"/>
  <c r="A1509" i="37"/>
  <c r="B1509" i="37"/>
  <c r="A1510" i="37"/>
  <c r="B1510" i="37"/>
  <c r="A1511" i="37"/>
  <c r="B1511" i="37"/>
  <c r="A1512" i="37"/>
  <c r="B1512" i="37"/>
  <c r="A1513" i="37"/>
  <c r="B1513" i="37"/>
  <c r="A1514" i="37"/>
  <c r="B1514" i="37"/>
  <c r="A1515" i="37"/>
  <c r="B1515" i="37"/>
  <c r="A1516" i="37"/>
  <c r="B1516" i="37"/>
  <c r="A1517" i="37"/>
  <c r="B1517" i="37"/>
  <c r="A1518" i="37"/>
  <c r="B1518" i="37"/>
  <c r="A1519" i="37"/>
  <c r="B1519" i="37"/>
  <c r="A1520" i="37"/>
  <c r="B1520" i="37"/>
  <c r="A1521" i="37"/>
  <c r="B1521" i="37"/>
  <c r="A1522" i="37"/>
  <c r="B1522" i="37"/>
  <c r="A1523" i="37"/>
  <c r="B1523" i="37"/>
  <c r="A1524" i="37"/>
  <c r="B1524" i="37"/>
  <c r="A1525" i="37"/>
  <c r="B1525" i="37"/>
  <c r="A1526" i="37"/>
  <c r="B1526" i="37"/>
  <c r="A1527" i="37"/>
  <c r="B1527" i="37"/>
  <c r="A1528" i="37"/>
  <c r="B1528" i="37"/>
  <c r="A1529" i="37"/>
  <c r="B1529" i="37"/>
  <c r="A1530" i="37"/>
  <c r="B1530" i="37"/>
  <c r="A1531" i="37"/>
  <c r="B1531" i="37"/>
  <c r="A1532" i="37"/>
  <c r="B1532" i="37"/>
  <c r="A1533" i="37"/>
  <c r="B1533" i="37"/>
  <c r="A1534" i="37"/>
  <c r="B1534" i="37"/>
  <c r="A1535" i="37"/>
  <c r="B1535" i="37"/>
  <c r="A1536" i="37"/>
  <c r="B1536" i="37"/>
  <c r="A1537" i="37"/>
  <c r="B1537" i="37"/>
  <c r="A1538" i="37"/>
  <c r="B1538" i="37"/>
  <c r="A1539" i="37"/>
  <c r="B1539" i="37"/>
  <c r="A1540" i="37"/>
  <c r="B1540" i="37"/>
  <c r="A1541" i="37"/>
  <c r="B1541" i="37"/>
  <c r="A1542" i="37"/>
  <c r="B1542" i="37"/>
  <c r="A1543" i="37"/>
  <c r="B1543" i="37"/>
  <c r="A1544" i="37"/>
  <c r="B1544" i="37"/>
  <c r="A1545" i="37"/>
  <c r="B1545" i="37"/>
  <c r="A1546" i="37"/>
  <c r="B1546" i="37"/>
  <c r="A1547" i="37"/>
  <c r="B1547" i="37"/>
  <c r="A1548" i="37"/>
  <c r="B1548" i="37"/>
  <c r="A1549" i="37"/>
  <c r="B1549" i="37"/>
  <c r="A1550" i="37"/>
  <c r="B1550" i="37"/>
  <c r="A1551" i="37"/>
  <c r="B1551" i="37"/>
  <c r="A1552" i="37"/>
  <c r="B1552" i="37"/>
  <c r="A1553" i="37"/>
  <c r="B1553" i="37"/>
  <c r="A1554" i="37"/>
  <c r="B1554" i="37"/>
  <c r="A1555" i="37"/>
  <c r="B1555" i="37"/>
  <c r="A1556" i="37"/>
  <c r="B1556" i="37"/>
  <c r="A1557" i="37"/>
  <c r="B1557" i="37"/>
  <c r="A1558" i="37"/>
  <c r="B1558" i="37"/>
  <c r="A1559" i="37"/>
  <c r="B1559" i="37"/>
  <c r="A1560" i="37"/>
  <c r="B1560" i="37"/>
  <c r="A1561" i="37"/>
  <c r="B1561" i="37"/>
  <c r="A1562" i="37"/>
  <c r="B1562" i="37"/>
  <c r="A1563" i="37"/>
  <c r="B1563" i="37"/>
  <c r="A1564" i="37"/>
  <c r="B1564" i="37"/>
  <c r="A1565" i="37"/>
  <c r="B1565" i="37"/>
  <c r="A1566" i="37"/>
  <c r="B1566" i="37"/>
  <c r="A1567" i="37"/>
  <c r="B1567" i="37"/>
  <c r="A1568" i="37"/>
  <c r="B1568" i="37"/>
  <c r="A1569" i="37"/>
  <c r="B1569" i="37"/>
  <c r="A1570" i="37"/>
  <c r="B1570" i="37"/>
  <c r="A1571" i="37"/>
  <c r="B1571" i="37"/>
  <c r="A1572" i="37"/>
  <c r="B1572" i="37"/>
  <c r="A1573" i="37"/>
  <c r="B1573" i="37"/>
  <c r="A1574" i="37"/>
  <c r="B1574" i="37"/>
  <c r="A1575" i="37"/>
  <c r="B1575" i="37"/>
  <c r="A1576" i="37"/>
  <c r="B1576" i="37"/>
  <c r="A1577" i="37"/>
  <c r="B1577" i="37"/>
  <c r="A1578" i="37"/>
  <c r="B1578" i="37"/>
  <c r="A1579" i="37"/>
  <c r="B1579" i="37"/>
  <c r="A1580" i="37"/>
  <c r="B1580" i="37"/>
  <c r="A1581" i="37"/>
  <c r="B1581" i="37"/>
  <c r="A1582" i="37"/>
  <c r="B1582" i="37"/>
  <c r="A1583" i="37"/>
  <c r="B1583" i="37"/>
  <c r="A1584" i="37"/>
  <c r="B1584" i="37"/>
  <c r="A1585" i="37"/>
  <c r="B1585" i="37"/>
  <c r="A1586" i="37"/>
  <c r="B1586" i="37"/>
  <c r="A1587" i="37"/>
  <c r="B1587" i="37"/>
  <c r="A1588" i="37"/>
  <c r="B1588" i="37"/>
  <c r="A1589" i="37"/>
  <c r="B1589" i="37"/>
  <c r="A1590" i="37"/>
  <c r="B1590" i="37"/>
  <c r="A1591" i="37"/>
  <c r="B1591" i="37"/>
  <c r="A1592" i="37"/>
  <c r="B1592" i="37"/>
  <c r="A1593" i="37"/>
  <c r="B1593" i="37"/>
  <c r="A1594" i="37"/>
  <c r="B1594" i="37"/>
  <c r="A1595" i="37"/>
  <c r="B1595" i="37"/>
  <c r="A1596" i="37"/>
  <c r="B1596" i="37"/>
  <c r="A1597" i="37"/>
  <c r="B1597" i="37"/>
  <c r="A1598" i="37"/>
  <c r="B1598" i="37"/>
  <c r="A1599" i="37"/>
  <c r="B1599" i="37"/>
  <c r="A1600" i="37"/>
  <c r="B1600" i="37"/>
  <c r="A1601" i="37"/>
  <c r="B1601" i="37"/>
  <c r="A1602" i="37"/>
  <c r="B1602" i="37"/>
  <c r="A1603" i="37"/>
  <c r="B1603" i="37"/>
  <c r="A1604" i="37"/>
  <c r="B1604" i="37"/>
  <c r="A1605" i="37"/>
  <c r="B1605" i="37"/>
  <c r="A1606" i="37"/>
  <c r="B1606" i="37"/>
  <c r="A1607" i="37"/>
  <c r="B1607" i="37"/>
  <c r="A1608" i="37"/>
  <c r="B1608" i="37"/>
  <c r="A1609" i="37"/>
  <c r="B1609" i="37"/>
  <c r="A1610" i="37"/>
  <c r="B1610" i="37"/>
  <c r="A1611" i="37"/>
  <c r="B1611" i="37"/>
  <c r="A1612" i="37"/>
  <c r="B1612" i="37"/>
  <c r="A1613" i="37"/>
  <c r="B1613" i="37"/>
  <c r="A1614" i="37"/>
  <c r="B1614" i="37"/>
  <c r="A1615" i="37"/>
  <c r="B1615" i="37"/>
  <c r="A1616" i="37"/>
  <c r="B1616" i="37"/>
  <c r="A1617" i="37"/>
  <c r="B1617" i="37"/>
  <c r="A1618" i="37"/>
  <c r="B1618" i="37"/>
  <c r="A1619" i="37"/>
  <c r="B1619" i="37"/>
  <c r="A1620" i="37"/>
  <c r="B1620" i="37"/>
  <c r="A1621" i="37"/>
  <c r="B1621" i="37"/>
  <c r="A1622" i="37"/>
  <c r="B1622" i="37"/>
  <c r="A1623" i="37"/>
  <c r="B1623" i="37"/>
  <c r="A1624" i="37"/>
  <c r="B1624" i="37"/>
  <c r="A1625" i="37"/>
  <c r="B1625" i="37"/>
  <c r="A1626" i="37"/>
  <c r="B1626" i="37"/>
  <c r="A1627" i="37"/>
  <c r="B1627" i="37"/>
  <c r="A1628" i="37"/>
  <c r="B1628" i="37"/>
  <c r="A1629" i="37"/>
  <c r="B1629" i="37"/>
  <c r="A1630" i="37"/>
  <c r="B1630" i="37"/>
  <c r="A1631" i="37"/>
  <c r="B1631" i="37"/>
  <c r="A1632" i="37"/>
  <c r="B1632" i="37"/>
  <c r="A1633" i="37"/>
  <c r="B1633" i="37"/>
  <c r="A1634" i="37"/>
  <c r="B1634" i="37"/>
  <c r="A1635" i="37"/>
  <c r="B1635" i="37"/>
  <c r="A1636" i="37"/>
  <c r="B1636" i="37"/>
  <c r="A1637" i="37"/>
  <c r="B1637" i="37"/>
  <c r="A1638" i="37"/>
  <c r="B1638" i="37"/>
  <c r="A1639" i="37"/>
  <c r="B1639" i="37"/>
  <c r="A1640" i="37"/>
  <c r="B1640" i="37"/>
  <c r="A1641" i="37"/>
  <c r="B1641" i="37"/>
  <c r="A1642" i="37"/>
  <c r="B1642" i="37"/>
  <c r="A1643" i="37"/>
  <c r="B1643" i="37"/>
  <c r="A1644" i="37"/>
  <c r="B1644" i="37"/>
  <c r="A1645" i="37"/>
  <c r="B1645" i="37"/>
  <c r="A1646" i="37"/>
  <c r="B1646" i="37"/>
  <c r="A1647" i="37"/>
  <c r="B1647" i="37"/>
  <c r="A1648" i="37"/>
  <c r="B1648" i="37"/>
  <c r="A1649" i="37"/>
  <c r="B1649" i="37"/>
  <c r="A1650" i="37"/>
  <c r="B1650" i="37"/>
  <c r="A1651" i="37"/>
  <c r="B1651" i="37"/>
  <c r="A1652" i="37"/>
  <c r="B1652" i="37"/>
  <c r="A1653" i="37"/>
  <c r="B1653" i="37"/>
  <c r="A1654" i="37"/>
  <c r="B1654" i="37"/>
  <c r="A1655" i="37"/>
  <c r="B1655" i="37"/>
  <c r="A1656" i="37"/>
  <c r="B1656" i="37"/>
  <c r="A1657" i="37"/>
  <c r="B1657" i="37"/>
  <c r="A1658" i="37"/>
  <c r="B1658" i="37"/>
  <c r="A1659" i="37"/>
  <c r="B1659" i="37"/>
  <c r="A1660" i="37"/>
  <c r="B1660" i="37"/>
  <c r="A1661" i="37"/>
  <c r="B1661" i="37"/>
  <c r="A1662" i="37"/>
  <c r="B1662" i="37"/>
  <c r="A1663" i="37"/>
  <c r="B1663" i="37"/>
  <c r="A1664" i="37"/>
  <c r="B1664" i="37"/>
  <c r="A1665" i="37"/>
  <c r="B1665" i="37"/>
  <c r="A1666" i="37"/>
  <c r="B1666" i="37"/>
  <c r="A1667" i="37"/>
  <c r="B1667" i="37"/>
  <c r="A1668" i="37"/>
  <c r="B1668" i="37"/>
  <c r="A1669" i="37"/>
  <c r="B1669" i="37"/>
  <c r="A1670" i="37"/>
  <c r="B1670" i="37"/>
  <c r="A1671" i="37"/>
  <c r="B1671" i="37"/>
  <c r="A1672" i="37"/>
  <c r="B1672" i="37"/>
  <c r="A1673" i="37"/>
  <c r="B1673" i="37"/>
  <c r="A1674" i="37"/>
  <c r="B1674" i="37"/>
  <c r="A1675" i="37"/>
  <c r="B1675" i="37"/>
  <c r="A1676" i="37"/>
  <c r="B1676" i="37"/>
  <c r="A1677" i="37"/>
  <c r="B1677" i="37"/>
  <c r="A1678" i="37"/>
  <c r="B1678" i="37"/>
  <c r="A1679" i="37"/>
  <c r="B1679" i="37"/>
  <c r="A1680" i="37"/>
  <c r="B1680" i="37"/>
  <c r="A1681" i="37"/>
  <c r="B1681" i="37"/>
  <c r="A1682" i="37"/>
  <c r="B1682" i="37"/>
  <c r="A1683" i="37"/>
  <c r="B1683" i="37"/>
  <c r="A1684" i="37"/>
  <c r="B1684" i="37"/>
  <c r="A1685" i="37"/>
  <c r="B1685" i="37"/>
  <c r="A1686" i="37"/>
  <c r="B1686" i="37"/>
  <c r="A1687" i="37"/>
  <c r="B1687" i="37"/>
  <c r="A1688" i="37"/>
  <c r="B1688" i="37"/>
  <c r="A1689" i="37"/>
  <c r="B1689" i="37"/>
  <c r="A1690" i="37"/>
  <c r="B1690" i="37"/>
  <c r="A1691" i="37"/>
  <c r="B1691" i="37"/>
  <c r="A1692" i="37"/>
  <c r="B1692" i="37"/>
  <c r="A1693" i="37"/>
  <c r="B1693" i="37"/>
  <c r="A1694" i="37"/>
  <c r="B1694" i="37"/>
  <c r="A1695" i="37"/>
  <c r="B1695" i="37"/>
  <c r="A1696" i="37"/>
  <c r="B1696" i="37"/>
  <c r="A1697" i="37"/>
  <c r="B1697" i="37"/>
  <c r="A1698" i="37"/>
  <c r="B1698" i="37"/>
  <c r="A1699" i="37"/>
  <c r="B1699" i="37"/>
  <c r="A1700" i="37"/>
  <c r="B1700" i="37"/>
  <c r="A1701" i="37"/>
  <c r="B1701" i="37"/>
  <c r="A1702" i="37"/>
  <c r="B1702" i="37"/>
  <c r="A1703" i="37"/>
  <c r="B1703" i="37"/>
  <c r="A1704" i="37"/>
  <c r="B1704" i="37"/>
  <c r="A1705" i="37"/>
  <c r="B1705" i="37"/>
  <c r="A1706" i="37"/>
  <c r="B1706" i="37"/>
  <c r="A1707" i="37"/>
  <c r="B1707" i="37"/>
  <c r="A1708" i="37"/>
  <c r="B1708" i="37"/>
  <c r="A1709" i="37"/>
  <c r="B1709" i="37"/>
  <c r="A1710" i="37"/>
  <c r="B1710" i="37"/>
  <c r="A1711" i="37"/>
  <c r="B1711" i="37"/>
  <c r="B1011" i="36"/>
  <c r="B1012" i="36"/>
  <c r="B1013" i="36"/>
  <c r="B1014" i="36"/>
  <c r="B1015" i="36"/>
  <c r="B1016" i="36"/>
  <c r="B1017" i="36"/>
  <c r="B1018" i="36"/>
  <c r="B1019" i="36"/>
  <c r="B1020" i="36"/>
  <c r="B1021" i="36"/>
  <c r="B1022" i="36"/>
  <c r="B1023" i="36"/>
  <c r="B1024" i="36"/>
  <c r="B1025" i="36"/>
  <c r="B1026" i="36"/>
  <c r="B1027" i="36"/>
  <c r="B1028" i="36"/>
  <c r="B1029" i="36"/>
  <c r="B1030" i="36"/>
  <c r="B1031" i="36"/>
  <c r="B1032" i="36"/>
  <c r="B1033" i="36"/>
  <c r="B1034" i="36"/>
  <c r="B1035" i="36"/>
  <c r="B1036" i="36"/>
  <c r="B1037" i="36"/>
  <c r="B1038" i="36"/>
  <c r="B1039" i="36"/>
  <c r="B1040" i="36"/>
  <c r="B1041" i="36"/>
  <c r="B1042" i="36"/>
  <c r="B1043" i="36"/>
  <c r="B1044" i="36"/>
  <c r="B1045" i="36"/>
  <c r="B1046" i="36"/>
  <c r="B1047" i="36"/>
  <c r="B1048" i="36"/>
  <c r="B1049" i="36"/>
  <c r="B1050" i="36"/>
  <c r="B1051" i="36"/>
  <c r="B1052" i="36"/>
  <c r="B1053" i="36"/>
  <c r="B1054" i="36"/>
  <c r="B1055" i="36"/>
  <c r="B1056" i="36"/>
  <c r="B1057" i="36"/>
  <c r="B1058" i="36"/>
  <c r="B1059" i="36"/>
  <c r="B1060" i="36"/>
  <c r="B1061" i="36"/>
  <c r="B1062" i="36"/>
  <c r="B1063" i="36"/>
  <c r="B1064" i="36"/>
  <c r="B1065" i="36"/>
  <c r="B1066" i="36"/>
  <c r="B1067" i="36"/>
  <c r="B1068" i="36"/>
  <c r="B1069" i="36"/>
  <c r="B1070" i="36"/>
  <c r="B1071" i="36"/>
  <c r="B1072" i="36"/>
  <c r="B1073" i="36"/>
  <c r="B1074" i="36"/>
  <c r="B1075" i="36"/>
  <c r="B1076" i="36"/>
  <c r="B1077" i="36"/>
  <c r="B1078" i="36"/>
  <c r="B1079" i="36"/>
  <c r="B1080" i="36"/>
  <c r="B1081" i="36"/>
  <c r="B1082" i="36"/>
  <c r="B1083" i="36"/>
  <c r="B1084" i="36"/>
  <c r="B1085" i="36"/>
  <c r="B1086" i="36"/>
  <c r="B1087" i="36"/>
  <c r="B1088" i="36"/>
  <c r="B1089" i="36"/>
  <c r="B1090" i="36"/>
  <c r="B1091" i="36"/>
  <c r="B1092" i="36"/>
  <c r="B1093" i="36"/>
  <c r="B1094" i="36"/>
  <c r="B1095" i="36"/>
  <c r="B1096" i="36"/>
  <c r="B1097" i="36"/>
  <c r="B1098" i="36"/>
  <c r="B1099" i="36"/>
  <c r="B1100" i="36"/>
  <c r="B1101" i="36"/>
  <c r="B1102" i="36"/>
  <c r="B1103" i="36"/>
  <c r="B1104" i="36"/>
  <c r="B1105" i="36"/>
  <c r="B1106" i="36"/>
  <c r="B1107" i="36"/>
  <c r="B1108" i="36"/>
  <c r="B1109" i="36"/>
  <c r="B1110" i="36"/>
  <c r="B1111" i="36"/>
  <c r="B1112" i="36"/>
  <c r="B1113" i="36"/>
  <c r="B1114" i="36"/>
  <c r="B1115" i="36"/>
  <c r="B1116" i="36"/>
  <c r="B1117" i="36"/>
  <c r="B1118" i="36"/>
  <c r="B1119" i="36"/>
  <c r="B1120" i="36"/>
  <c r="B1121" i="36"/>
  <c r="B1122" i="36"/>
  <c r="B1123" i="36"/>
  <c r="B1124" i="36"/>
  <c r="B1125" i="36"/>
  <c r="B1126" i="36"/>
  <c r="B1127" i="36"/>
  <c r="B1128" i="36"/>
  <c r="B1129" i="36"/>
  <c r="B1130" i="36"/>
  <c r="B1131" i="36"/>
  <c r="B1132" i="36"/>
  <c r="B1133" i="36"/>
  <c r="B1134" i="36"/>
  <c r="B1135" i="36"/>
  <c r="B1136" i="36"/>
  <c r="B1137" i="36"/>
  <c r="B1138" i="36"/>
  <c r="B1139" i="36"/>
  <c r="B1140" i="36"/>
  <c r="B1141" i="36"/>
  <c r="B1142" i="36"/>
  <c r="B1143" i="36"/>
  <c r="B1144" i="36"/>
  <c r="B1145" i="36"/>
  <c r="B1146" i="36"/>
  <c r="B1147" i="36"/>
  <c r="B1148" i="36"/>
  <c r="B1149" i="36"/>
  <c r="B1150" i="36"/>
  <c r="B1151" i="36"/>
  <c r="B1152" i="36"/>
  <c r="B1153" i="36"/>
  <c r="B1154" i="36"/>
  <c r="B1155" i="36"/>
  <c r="B1156" i="36"/>
  <c r="B1157" i="36"/>
  <c r="B1158" i="36"/>
  <c r="B1159" i="36"/>
  <c r="B1160" i="36"/>
  <c r="B1161" i="36"/>
  <c r="B1162" i="36"/>
  <c r="B1163" i="36"/>
  <c r="B1164" i="36"/>
  <c r="B1165" i="36"/>
  <c r="B1166" i="36"/>
  <c r="B1167" i="36"/>
  <c r="B1168" i="36"/>
  <c r="B1169" i="36"/>
  <c r="B1170" i="36"/>
  <c r="B1171" i="36"/>
  <c r="B1172" i="36"/>
  <c r="B1173" i="36"/>
  <c r="B1174" i="36"/>
  <c r="B1175" i="36"/>
  <c r="B1176" i="36"/>
  <c r="B1177" i="36"/>
  <c r="B1178" i="36"/>
  <c r="B1179" i="36"/>
  <c r="B1180" i="36"/>
  <c r="B1181" i="36"/>
  <c r="B1182" i="36"/>
  <c r="B1183" i="36"/>
  <c r="B1184" i="36"/>
  <c r="B1185" i="36"/>
  <c r="B1186" i="36"/>
  <c r="B1187" i="36"/>
  <c r="B1188" i="36"/>
  <c r="B1189" i="36"/>
  <c r="B1190" i="36"/>
  <c r="B1191" i="36"/>
  <c r="B1192" i="36"/>
  <c r="B1193" i="36"/>
  <c r="B1194" i="36"/>
  <c r="B1195" i="36"/>
  <c r="B1196" i="36"/>
  <c r="B1197" i="36"/>
  <c r="B1198" i="36"/>
  <c r="B1199" i="36"/>
  <c r="B1200" i="36"/>
  <c r="B1201" i="36"/>
  <c r="B1202" i="36"/>
  <c r="B1203" i="36"/>
  <c r="B1204" i="36"/>
  <c r="B1205" i="36"/>
  <c r="B1206" i="36"/>
  <c r="B1207" i="36"/>
  <c r="B1208" i="36"/>
  <c r="B1209" i="36"/>
  <c r="B1210" i="36"/>
  <c r="B1211" i="36"/>
  <c r="B1212" i="36"/>
  <c r="B1213" i="36"/>
  <c r="B1214" i="36"/>
  <c r="B1215" i="36"/>
  <c r="B1216" i="36"/>
  <c r="B1217" i="36"/>
  <c r="B1218" i="36"/>
  <c r="B1219" i="36"/>
  <c r="B1220" i="36"/>
  <c r="B1221" i="36"/>
  <c r="B1222" i="36"/>
  <c r="B1223" i="36"/>
  <c r="B1224" i="36"/>
  <c r="B1225" i="36"/>
  <c r="B1226" i="36"/>
  <c r="B1227" i="36"/>
  <c r="B1228" i="36"/>
  <c r="B1229" i="36"/>
  <c r="B1230" i="36"/>
  <c r="B1231" i="36"/>
  <c r="B1232" i="36"/>
  <c r="B1233" i="36"/>
  <c r="B1234" i="36"/>
  <c r="B1235" i="36"/>
  <c r="B1236" i="36"/>
  <c r="B1237" i="36"/>
  <c r="B1238" i="36"/>
  <c r="B1239" i="36"/>
  <c r="B1240" i="36"/>
  <c r="B1241" i="36"/>
  <c r="B1242" i="36"/>
  <c r="B1243" i="36"/>
  <c r="B1244" i="36"/>
  <c r="B1245" i="36"/>
  <c r="B1246" i="36"/>
  <c r="B1247" i="36"/>
  <c r="B1248" i="36"/>
  <c r="B1249" i="36"/>
  <c r="B1250" i="36"/>
  <c r="B1251" i="36"/>
  <c r="B1252" i="36"/>
  <c r="B1253" i="36"/>
  <c r="B1254" i="36"/>
  <c r="B1255" i="36"/>
  <c r="B1256" i="36"/>
  <c r="B1257" i="36"/>
  <c r="B1258" i="36"/>
  <c r="B1259" i="36"/>
  <c r="B1260" i="36"/>
  <c r="B1261" i="36"/>
  <c r="B1262" i="36"/>
  <c r="B1263" i="36"/>
  <c r="B1264" i="36"/>
  <c r="B1265" i="36"/>
  <c r="B1266" i="36"/>
  <c r="B1267" i="36"/>
  <c r="B1268" i="36"/>
  <c r="B1269" i="36"/>
  <c r="B1270" i="36"/>
  <c r="B1271" i="36"/>
  <c r="B1272" i="36"/>
  <c r="B1273" i="36"/>
  <c r="B1274" i="36"/>
  <c r="B1275" i="36"/>
  <c r="B1276" i="36"/>
  <c r="B1277" i="36"/>
  <c r="B1278" i="36"/>
  <c r="B1279" i="36"/>
  <c r="B1280" i="36"/>
  <c r="B1281" i="36"/>
  <c r="B1282" i="36"/>
  <c r="B1283" i="36"/>
  <c r="B1284" i="36"/>
  <c r="B1285" i="36"/>
  <c r="B1286" i="36"/>
  <c r="B1287" i="36"/>
  <c r="B1288" i="36"/>
  <c r="B1289" i="36"/>
  <c r="B1290" i="36"/>
  <c r="B1291" i="36"/>
  <c r="B1292" i="36"/>
  <c r="B1293" i="36"/>
  <c r="B1294" i="36"/>
  <c r="B1295" i="36"/>
  <c r="B1296" i="36"/>
  <c r="B1297" i="36"/>
  <c r="B1298" i="36"/>
  <c r="B1299" i="36"/>
  <c r="B1300" i="36"/>
  <c r="B1301" i="36"/>
  <c r="B1302" i="36"/>
  <c r="B1303" i="36"/>
  <c r="B1304" i="36"/>
  <c r="B1305" i="36"/>
  <c r="B1306" i="36"/>
  <c r="B1307" i="36"/>
  <c r="B1308" i="36"/>
  <c r="B1309" i="36"/>
  <c r="B1310" i="36"/>
  <c r="B1311" i="36"/>
  <c r="B1312" i="36"/>
  <c r="B1313" i="36"/>
  <c r="B1314" i="36"/>
  <c r="B1315" i="36"/>
  <c r="B1316" i="36"/>
  <c r="B1317" i="36"/>
  <c r="B1318" i="36"/>
  <c r="B1319" i="36"/>
  <c r="B1320" i="36"/>
  <c r="B1321" i="36"/>
  <c r="B1322" i="36"/>
  <c r="B1323" i="36"/>
  <c r="B1324" i="36"/>
  <c r="B1325" i="36"/>
  <c r="B1326" i="36"/>
  <c r="B1327" i="36"/>
  <c r="B1328" i="36"/>
  <c r="B1329" i="36"/>
  <c r="B1330" i="36"/>
  <c r="B1331" i="36"/>
  <c r="B1332" i="36"/>
  <c r="B1333" i="36"/>
  <c r="B1334" i="36"/>
  <c r="B1335" i="36"/>
  <c r="B1336" i="36"/>
  <c r="B1337" i="36"/>
  <c r="B1338" i="36"/>
  <c r="B1339" i="36"/>
  <c r="B1340" i="36"/>
  <c r="B1341" i="36"/>
  <c r="B1342" i="36"/>
  <c r="B1343" i="36"/>
  <c r="B1344" i="36"/>
  <c r="B1345" i="36"/>
  <c r="B1346" i="36"/>
  <c r="B1347" i="36"/>
  <c r="B1348" i="36"/>
  <c r="B1349" i="36"/>
  <c r="B1350" i="36"/>
  <c r="B1351" i="36"/>
  <c r="B1352" i="36"/>
  <c r="B1353" i="36"/>
  <c r="B1354" i="36"/>
  <c r="B1355" i="36"/>
  <c r="B1356" i="36"/>
  <c r="B1357" i="36"/>
  <c r="B1358" i="36"/>
  <c r="B1359" i="36"/>
  <c r="B1360" i="36"/>
  <c r="B1361" i="36"/>
  <c r="B1362" i="36"/>
  <c r="B1363" i="36"/>
  <c r="B1364" i="36"/>
  <c r="B1365" i="36"/>
  <c r="B1366" i="36"/>
  <c r="B1367" i="36"/>
  <c r="B1368" i="36"/>
  <c r="B1369" i="36"/>
  <c r="B1370" i="36"/>
  <c r="B1371" i="36"/>
  <c r="B1372" i="36"/>
  <c r="B1373" i="36"/>
  <c r="B1374" i="36"/>
  <c r="B1375" i="36"/>
  <c r="B1376" i="36"/>
  <c r="B1377" i="36"/>
  <c r="B1378" i="36"/>
  <c r="B1379" i="36"/>
  <c r="B1380" i="36"/>
  <c r="B1381" i="36"/>
  <c r="B1382" i="36"/>
  <c r="B1383" i="36"/>
  <c r="B1384" i="36"/>
  <c r="B1385" i="36"/>
  <c r="B1386" i="36"/>
  <c r="B1387" i="36"/>
  <c r="B1388" i="36"/>
  <c r="B1389" i="36"/>
  <c r="B1390" i="36"/>
  <c r="B1391" i="36"/>
  <c r="B1392" i="36"/>
  <c r="B1393" i="36"/>
  <c r="B1394" i="36"/>
  <c r="B1395" i="36"/>
  <c r="B1396" i="36"/>
  <c r="B1397" i="36"/>
  <c r="B1398" i="36"/>
  <c r="B1399" i="36"/>
  <c r="B1400" i="36"/>
  <c r="B1401" i="36"/>
  <c r="B1402" i="36"/>
  <c r="B1403" i="36"/>
  <c r="B1404" i="36"/>
  <c r="B1405" i="36"/>
  <c r="B1406" i="36"/>
  <c r="B1407" i="36"/>
  <c r="B1408" i="36"/>
  <c r="B1409" i="36"/>
  <c r="B1410" i="36"/>
  <c r="B1411" i="36"/>
  <c r="B1412" i="36"/>
  <c r="B1413" i="36"/>
  <c r="B1414" i="36"/>
  <c r="B1415" i="36"/>
  <c r="B1416" i="36"/>
  <c r="B1417" i="36"/>
  <c r="B1418" i="36"/>
  <c r="B1419" i="36"/>
  <c r="B1420" i="36"/>
  <c r="B1421" i="36"/>
  <c r="B1422" i="36"/>
  <c r="B1423" i="36"/>
  <c r="B1424" i="36"/>
  <c r="B1425" i="36"/>
  <c r="B1426" i="36"/>
  <c r="B1427" i="36"/>
  <c r="B1428" i="36"/>
  <c r="B1429" i="36"/>
  <c r="B1430" i="36"/>
  <c r="B1431" i="36"/>
  <c r="B1432" i="36"/>
  <c r="B1433" i="36"/>
  <c r="B1434" i="36"/>
  <c r="B1435" i="36"/>
  <c r="B1436" i="36"/>
  <c r="B1437" i="36"/>
  <c r="B1438" i="36"/>
  <c r="B1439" i="36"/>
  <c r="B1440" i="36"/>
  <c r="B1441" i="36"/>
  <c r="B1442" i="36"/>
  <c r="B1443" i="36"/>
  <c r="B1444" i="36"/>
  <c r="B1445" i="36"/>
  <c r="B1446" i="36"/>
  <c r="B1447" i="36"/>
  <c r="B1448" i="36"/>
  <c r="B1449" i="36"/>
  <c r="B1450" i="36"/>
  <c r="B1451" i="36"/>
  <c r="B1452" i="36"/>
  <c r="B1453" i="36"/>
  <c r="B1454" i="36"/>
  <c r="B1455" i="36"/>
  <c r="B1456" i="36"/>
  <c r="B1457" i="36"/>
  <c r="B1458" i="36"/>
  <c r="B1459" i="36"/>
  <c r="B1460" i="36"/>
  <c r="B1461" i="36"/>
  <c r="B1462" i="36"/>
  <c r="B1463" i="36"/>
  <c r="B1464" i="36"/>
  <c r="B1465" i="36"/>
  <c r="B1466" i="36"/>
  <c r="B1467" i="36"/>
  <c r="B1468" i="36"/>
  <c r="B1469" i="36"/>
  <c r="B1470" i="36"/>
  <c r="B1471" i="36"/>
  <c r="B1472" i="36"/>
  <c r="B1473" i="36"/>
  <c r="B1474" i="36"/>
  <c r="B1475" i="36"/>
  <c r="B1476" i="36"/>
  <c r="B1477" i="36"/>
  <c r="B1478" i="36"/>
  <c r="B1479" i="36"/>
  <c r="B1480" i="36"/>
  <c r="B1481" i="36"/>
  <c r="B1482" i="36"/>
  <c r="B1483" i="36"/>
  <c r="B1484" i="36"/>
  <c r="B1485" i="36"/>
  <c r="B1486" i="36"/>
  <c r="B1487" i="36"/>
  <c r="B1488" i="36"/>
  <c r="B1489" i="36"/>
  <c r="B1490" i="36"/>
  <c r="B1491" i="36"/>
  <c r="B1492" i="36"/>
  <c r="B1493" i="36"/>
  <c r="B1494" i="36"/>
  <c r="B1495" i="36"/>
  <c r="B1496" i="36"/>
  <c r="B1497" i="36"/>
  <c r="B1498" i="36"/>
  <c r="B1499" i="36"/>
  <c r="B1500" i="36"/>
  <c r="B1501" i="36"/>
  <c r="B1502" i="36"/>
  <c r="B1503" i="36"/>
  <c r="B1504" i="36"/>
  <c r="B1505" i="36"/>
  <c r="B1506" i="36"/>
  <c r="B1507" i="36"/>
  <c r="B1508" i="36"/>
  <c r="B1509" i="36"/>
  <c r="B1510" i="36"/>
  <c r="B1511" i="36"/>
  <c r="B1512" i="36"/>
  <c r="B1513" i="36"/>
  <c r="B1514" i="36"/>
  <c r="B1515" i="36"/>
  <c r="B1516" i="36"/>
  <c r="B1517" i="36"/>
  <c r="B1518" i="36"/>
  <c r="B1519" i="36"/>
  <c r="B1520" i="36"/>
  <c r="B1521" i="36"/>
  <c r="B1522" i="36"/>
  <c r="B1523" i="36"/>
  <c r="B1524" i="36"/>
  <c r="B1525" i="36"/>
  <c r="B1526" i="36"/>
  <c r="B1527" i="36"/>
  <c r="B1528" i="36"/>
  <c r="B1529" i="36"/>
  <c r="B1530" i="36"/>
  <c r="B1531" i="36"/>
  <c r="A1011" i="36"/>
  <c r="A1012" i="36"/>
  <c r="A1013" i="36"/>
  <c r="A1014" i="36"/>
  <c r="A1015" i="36"/>
  <c r="A1016" i="36"/>
  <c r="A1017" i="36"/>
  <c r="A1018" i="36"/>
  <c r="A1019" i="36"/>
  <c r="A1020" i="36"/>
  <c r="A1021" i="36"/>
  <c r="A1022" i="36"/>
  <c r="A1023" i="36"/>
  <c r="A1024" i="36"/>
  <c r="A1025" i="36"/>
  <c r="A1026" i="36"/>
  <c r="A1027" i="36"/>
  <c r="A1028" i="36"/>
  <c r="A1029" i="36"/>
  <c r="A1030" i="36"/>
  <c r="A1031" i="36"/>
  <c r="A1032" i="36"/>
  <c r="A1033" i="36"/>
  <c r="A1034" i="36"/>
  <c r="A1035" i="36"/>
  <c r="A1036" i="36"/>
  <c r="A1037" i="36"/>
  <c r="A1038" i="36"/>
  <c r="A1039" i="36"/>
  <c r="A1040" i="36"/>
  <c r="A1041" i="36"/>
  <c r="A1042" i="36"/>
  <c r="A1043" i="36"/>
  <c r="A1044" i="36"/>
  <c r="A1045" i="36"/>
  <c r="A1046" i="36"/>
  <c r="A1047" i="36"/>
  <c r="A1048" i="36"/>
  <c r="A1049" i="36"/>
  <c r="A1050" i="36"/>
  <c r="A1051" i="36"/>
  <c r="A1052" i="36"/>
  <c r="A1053" i="36"/>
  <c r="A1054" i="36"/>
  <c r="A1055" i="36"/>
  <c r="A1056" i="36"/>
  <c r="A1057" i="36"/>
  <c r="A1058" i="36"/>
  <c r="A1059" i="36"/>
  <c r="A1060" i="36"/>
  <c r="A1061" i="36"/>
  <c r="A1062" i="36"/>
  <c r="A1063" i="36"/>
  <c r="A1064" i="36"/>
  <c r="A1065" i="36"/>
  <c r="A1066" i="36"/>
  <c r="A1067" i="36"/>
  <c r="A1068" i="36"/>
  <c r="A1069" i="36"/>
  <c r="A1070" i="36"/>
  <c r="A1071" i="36"/>
  <c r="A1072" i="36"/>
  <c r="A1073" i="36"/>
  <c r="A1074" i="36"/>
  <c r="A1075" i="36"/>
  <c r="A1076" i="36"/>
  <c r="A1077" i="36"/>
  <c r="A1078" i="36"/>
  <c r="A1079" i="36"/>
  <c r="A1080" i="36"/>
  <c r="A1081" i="36"/>
  <c r="A1082" i="36"/>
  <c r="A1083" i="36"/>
  <c r="A1084" i="36"/>
  <c r="A1085" i="36"/>
  <c r="A1086" i="36"/>
  <c r="A1087" i="36"/>
  <c r="A1088" i="36"/>
  <c r="A1089" i="36"/>
  <c r="A1090" i="36"/>
  <c r="A1091" i="36"/>
  <c r="A1092" i="36"/>
  <c r="A1093" i="36"/>
  <c r="A1094" i="36"/>
  <c r="A1095" i="36"/>
  <c r="A1096" i="36"/>
  <c r="A1097" i="36"/>
  <c r="A1098" i="36"/>
  <c r="A1099" i="36"/>
  <c r="A1100" i="36"/>
  <c r="A1101" i="36"/>
  <c r="A1102" i="36"/>
  <c r="A1103" i="36"/>
  <c r="A1104" i="36"/>
  <c r="A1105" i="36"/>
  <c r="A1106" i="36"/>
  <c r="A1107" i="36"/>
  <c r="A1108" i="36"/>
  <c r="A1109" i="36"/>
  <c r="A1110" i="36"/>
  <c r="A1111" i="36"/>
  <c r="A1112" i="36"/>
  <c r="A1113" i="36"/>
  <c r="A1114" i="36"/>
  <c r="A1115" i="36"/>
  <c r="A1116" i="36"/>
  <c r="A1117" i="36"/>
  <c r="A1118" i="36"/>
  <c r="A1119" i="36"/>
  <c r="A1120" i="36"/>
  <c r="A1121" i="36"/>
  <c r="A1122" i="36"/>
  <c r="A1123" i="36"/>
  <c r="A1124" i="36"/>
  <c r="A1125" i="36"/>
  <c r="A1126" i="36"/>
  <c r="A1127" i="36"/>
  <c r="A1128" i="36"/>
  <c r="A1129" i="36"/>
  <c r="A1130" i="36"/>
  <c r="A1131" i="36"/>
  <c r="A1132" i="36"/>
  <c r="A1133" i="36"/>
  <c r="A1134" i="36"/>
  <c r="A1135" i="36"/>
  <c r="A1136" i="36"/>
  <c r="A1137" i="36"/>
  <c r="A1138" i="36"/>
  <c r="A1139" i="36"/>
  <c r="A1140" i="36"/>
  <c r="A1141" i="36"/>
  <c r="A1142" i="36"/>
  <c r="A1143" i="36"/>
  <c r="A1144" i="36"/>
  <c r="A1145" i="36"/>
  <c r="A1146" i="36"/>
  <c r="A1147" i="36"/>
  <c r="A1148" i="36"/>
  <c r="A1149" i="36"/>
  <c r="A1150" i="36"/>
  <c r="A1151" i="36"/>
  <c r="A1152" i="36"/>
  <c r="A1153" i="36"/>
  <c r="A1154" i="36"/>
  <c r="A1155" i="36"/>
  <c r="A1156" i="36"/>
  <c r="A1157" i="36"/>
  <c r="A1158" i="36"/>
  <c r="A1159" i="36"/>
  <c r="A1160" i="36"/>
  <c r="A1161" i="36"/>
  <c r="A1162" i="36"/>
  <c r="A1163" i="36"/>
  <c r="A1164" i="36"/>
  <c r="A1165" i="36"/>
  <c r="A1166" i="36"/>
  <c r="A1167" i="36"/>
  <c r="A1168" i="36"/>
  <c r="A1169" i="36"/>
  <c r="A1170" i="36"/>
  <c r="A1171" i="36"/>
  <c r="A1172" i="36"/>
  <c r="A1173" i="36"/>
  <c r="A1174" i="36"/>
  <c r="A1175" i="36"/>
  <c r="A1176" i="36"/>
  <c r="A1177" i="36"/>
  <c r="A1178" i="36"/>
  <c r="A1179" i="36"/>
  <c r="A1180" i="36"/>
  <c r="A1181" i="36"/>
  <c r="A1182" i="36"/>
  <c r="A1183" i="36"/>
  <c r="A1184" i="36"/>
  <c r="A1185" i="36"/>
  <c r="A1186" i="36"/>
  <c r="A1187" i="36"/>
  <c r="A1188" i="36"/>
  <c r="A1189" i="36"/>
  <c r="A1190" i="36"/>
  <c r="A1191" i="36"/>
  <c r="A1192" i="36"/>
  <c r="A1193" i="36"/>
  <c r="A1194" i="36"/>
  <c r="A1195" i="36"/>
  <c r="A1196" i="36"/>
  <c r="A1197" i="36"/>
  <c r="A1198" i="36"/>
  <c r="A1199" i="36"/>
  <c r="A1200" i="36"/>
  <c r="A1201" i="36"/>
  <c r="A1202" i="36"/>
  <c r="A1203" i="36"/>
  <c r="A1204" i="36"/>
  <c r="A1205" i="36"/>
  <c r="A1206" i="36"/>
  <c r="A1207" i="36"/>
  <c r="A1208" i="36"/>
  <c r="A1209" i="36"/>
  <c r="A1210" i="36"/>
  <c r="A1211" i="36"/>
  <c r="A1212" i="36"/>
  <c r="A1213" i="36"/>
  <c r="A1214" i="36"/>
  <c r="A1215" i="36"/>
  <c r="A1216" i="36"/>
  <c r="A1217" i="36"/>
  <c r="A1218" i="36"/>
  <c r="A1219" i="36"/>
  <c r="A1220" i="36"/>
  <c r="A1221" i="36"/>
  <c r="A1222" i="36"/>
  <c r="A1223" i="36"/>
  <c r="A1224" i="36"/>
  <c r="A1225" i="36"/>
  <c r="A1226" i="36"/>
  <c r="A1227" i="36"/>
  <c r="A1228" i="36"/>
  <c r="A1229" i="36"/>
  <c r="A1230" i="36"/>
  <c r="A1231" i="36"/>
  <c r="A1232" i="36"/>
  <c r="A1233" i="36"/>
  <c r="A1234" i="36"/>
  <c r="A1235" i="36"/>
  <c r="A1236" i="36"/>
  <c r="A1237" i="36"/>
  <c r="A1238" i="36"/>
  <c r="A1239" i="36"/>
  <c r="A1240" i="36"/>
  <c r="A1241" i="36"/>
  <c r="A1242" i="36"/>
  <c r="A1243" i="36"/>
  <c r="A1244" i="36"/>
  <c r="A1245" i="36"/>
  <c r="A1246" i="36"/>
  <c r="A1247" i="36"/>
  <c r="A1248" i="36"/>
  <c r="A1249" i="36"/>
  <c r="A1250" i="36"/>
  <c r="A1251" i="36"/>
  <c r="A1252" i="36"/>
  <c r="A1253" i="36"/>
  <c r="A1254" i="36"/>
  <c r="A1255" i="36"/>
  <c r="A1256" i="36"/>
  <c r="A1257" i="36"/>
  <c r="A1258" i="36"/>
  <c r="A1259" i="36"/>
  <c r="A1260" i="36"/>
  <c r="A1261" i="36"/>
  <c r="A1262" i="36"/>
  <c r="A1263" i="36"/>
  <c r="A1264" i="36"/>
  <c r="A1265" i="36"/>
  <c r="A1266" i="36"/>
  <c r="A1267" i="36"/>
  <c r="A1268" i="36"/>
  <c r="A1269" i="36"/>
  <c r="A1270" i="36"/>
  <c r="A1271" i="36"/>
  <c r="A1272" i="36"/>
  <c r="A1273" i="36"/>
  <c r="A1274" i="36"/>
  <c r="A1275" i="36"/>
  <c r="A1276" i="36"/>
  <c r="A1277" i="36"/>
  <c r="A1278" i="36"/>
  <c r="A1279" i="36"/>
  <c r="A1280" i="36"/>
  <c r="A1281" i="36"/>
  <c r="A1282" i="36"/>
  <c r="A1283" i="36"/>
  <c r="A1284" i="36"/>
  <c r="A1285" i="36"/>
  <c r="A1286" i="36"/>
  <c r="A1287" i="36"/>
  <c r="A1288" i="36"/>
  <c r="A1289" i="36"/>
  <c r="A1290" i="36"/>
  <c r="A1291" i="36"/>
  <c r="A1292" i="36"/>
  <c r="A1293" i="36"/>
  <c r="A1294" i="36"/>
  <c r="A1295" i="36"/>
  <c r="A1296" i="36"/>
  <c r="A1297" i="36"/>
  <c r="A1298" i="36"/>
  <c r="A1299" i="36"/>
  <c r="A1300" i="36"/>
  <c r="A1301" i="36"/>
  <c r="A1302" i="36"/>
  <c r="A1303" i="36"/>
  <c r="A1304" i="36"/>
  <c r="A1305" i="36"/>
  <c r="A1306" i="36"/>
  <c r="A1307" i="36"/>
  <c r="A1308" i="36"/>
  <c r="A1309" i="36"/>
  <c r="A1310" i="36"/>
  <c r="A1311" i="36"/>
  <c r="A1312" i="36"/>
  <c r="A1313" i="36"/>
  <c r="A1314" i="36"/>
  <c r="A1315" i="36"/>
  <c r="A1316" i="36"/>
  <c r="A1317" i="36"/>
  <c r="A1318" i="36"/>
  <c r="A1319" i="36"/>
  <c r="A1320" i="36"/>
  <c r="A1321" i="36"/>
  <c r="A1322" i="36"/>
  <c r="A1323" i="36"/>
  <c r="A1324" i="36"/>
  <c r="A1325" i="36"/>
  <c r="A1326" i="36"/>
  <c r="A1327" i="36"/>
  <c r="A1328" i="36"/>
  <c r="A1329" i="36"/>
  <c r="A1330" i="36"/>
  <c r="A1331" i="36"/>
  <c r="A1332" i="36"/>
  <c r="A1333" i="36"/>
  <c r="A1334" i="36"/>
  <c r="A1335" i="36"/>
  <c r="A1336" i="36"/>
  <c r="A1337" i="36"/>
  <c r="A1338" i="36"/>
  <c r="A1339" i="36"/>
  <c r="A1340" i="36"/>
  <c r="A1341" i="36"/>
  <c r="A1342" i="36"/>
  <c r="A1343" i="36"/>
  <c r="A1344" i="36"/>
  <c r="A1345" i="36"/>
  <c r="A1346" i="36"/>
  <c r="A1347" i="36"/>
  <c r="A1348" i="36"/>
  <c r="A1349" i="36"/>
  <c r="A1350" i="36"/>
  <c r="A1351" i="36"/>
  <c r="A1352" i="36"/>
  <c r="A1353" i="36"/>
  <c r="A1354" i="36"/>
  <c r="A1355" i="36"/>
  <c r="A1356" i="36"/>
  <c r="A1357" i="36"/>
  <c r="A1358" i="36"/>
  <c r="A1359" i="36"/>
  <c r="A1360" i="36"/>
  <c r="A1361" i="36"/>
  <c r="A1362" i="36"/>
  <c r="A1363" i="36"/>
  <c r="A1364" i="36"/>
  <c r="A1365" i="36"/>
  <c r="A1366" i="36"/>
  <c r="A1367" i="36"/>
  <c r="A1368" i="36"/>
  <c r="A1369" i="36"/>
  <c r="A1370" i="36"/>
  <c r="A1371" i="36"/>
  <c r="A1372" i="36"/>
  <c r="A1373" i="36"/>
  <c r="A1374" i="36"/>
  <c r="A1375" i="36"/>
  <c r="A1376" i="36"/>
  <c r="A1377" i="36"/>
  <c r="A1378" i="36"/>
  <c r="A1379" i="36"/>
  <c r="A1380" i="36"/>
  <c r="A1381" i="36"/>
  <c r="A1382" i="36"/>
  <c r="A1383" i="36"/>
  <c r="A1384" i="36"/>
  <c r="A1385" i="36"/>
  <c r="A1386" i="36"/>
  <c r="A1387" i="36"/>
  <c r="A1388" i="36"/>
  <c r="A1389" i="36"/>
  <c r="A1390" i="36"/>
  <c r="A1391" i="36"/>
  <c r="A1392" i="36"/>
  <c r="A1393" i="36"/>
  <c r="A1394" i="36"/>
  <c r="A1395" i="36"/>
  <c r="A1396" i="36"/>
  <c r="A1397" i="36"/>
  <c r="A1398" i="36"/>
  <c r="A1399" i="36"/>
  <c r="A1400" i="36"/>
  <c r="A1401" i="36"/>
  <c r="A1402" i="36"/>
  <c r="A1403" i="36"/>
  <c r="A1404" i="36"/>
  <c r="A1405" i="36"/>
  <c r="A1406" i="36"/>
  <c r="A1407" i="36"/>
  <c r="A1408" i="36"/>
  <c r="A1409" i="36"/>
  <c r="A1410" i="36"/>
  <c r="A1411" i="36"/>
  <c r="A1412" i="36"/>
  <c r="A1413" i="36"/>
  <c r="A1414" i="36"/>
  <c r="A1415" i="36"/>
  <c r="A1416" i="36"/>
  <c r="A1417" i="36"/>
  <c r="A1418" i="36"/>
  <c r="A1419" i="36"/>
  <c r="A1420" i="36"/>
  <c r="A1421" i="36"/>
  <c r="A1422" i="36"/>
  <c r="A1423" i="36"/>
  <c r="A1424" i="36"/>
  <c r="A1425" i="36"/>
  <c r="A1426" i="36"/>
  <c r="A1427" i="36"/>
  <c r="A1428" i="36"/>
  <c r="A1429" i="36"/>
  <c r="A1430" i="36"/>
  <c r="A1431" i="36"/>
  <c r="A1432" i="36"/>
  <c r="A1433" i="36"/>
  <c r="A1434" i="36"/>
  <c r="A1435" i="36"/>
  <c r="A1436" i="36"/>
  <c r="A1437" i="36"/>
  <c r="A1438" i="36"/>
  <c r="A1439" i="36"/>
  <c r="A1440" i="36"/>
  <c r="A1441" i="36"/>
  <c r="A1442" i="36"/>
  <c r="A1443" i="36"/>
  <c r="A1444" i="36"/>
  <c r="A1445" i="36"/>
  <c r="A1446" i="36"/>
  <c r="A1447" i="36"/>
  <c r="A1448" i="36"/>
  <c r="A1449" i="36"/>
  <c r="A1450" i="36"/>
  <c r="A1451" i="36"/>
  <c r="A1452" i="36"/>
  <c r="A1453" i="36"/>
  <c r="A1454" i="36"/>
  <c r="A1455" i="36"/>
  <c r="A1456" i="36"/>
  <c r="A1457" i="36"/>
  <c r="A1458" i="36"/>
  <c r="A1459" i="36"/>
  <c r="A1460" i="36"/>
  <c r="A1461" i="36"/>
  <c r="A1462" i="36"/>
  <c r="A1463" i="36"/>
  <c r="A1464" i="36"/>
  <c r="A1465" i="36"/>
  <c r="A1466" i="36"/>
  <c r="A1467" i="36"/>
  <c r="A1468" i="36"/>
  <c r="A1469" i="36"/>
  <c r="A1470" i="36"/>
  <c r="A1471" i="36"/>
  <c r="A1472" i="36"/>
  <c r="A1473" i="36"/>
  <c r="A1474" i="36"/>
  <c r="A1475" i="36"/>
  <c r="A1476" i="36"/>
  <c r="A1477" i="36"/>
  <c r="A1478" i="36"/>
  <c r="A1479" i="36"/>
  <c r="A1480" i="36"/>
  <c r="A1481" i="36"/>
  <c r="A1482" i="36"/>
  <c r="A1483" i="36"/>
  <c r="A1484" i="36"/>
  <c r="A1485" i="36"/>
  <c r="A1486" i="36"/>
  <c r="A1487" i="36"/>
  <c r="A1488" i="36"/>
  <c r="A1489" i="36"/>
  <c r="A1490" i="36"/>
  <c r="A1491" i="36"/>
  <c r="A1492" i="36"/>
  <c r="A1493" i="36"/>
  <c r="A1494" i="36"/>
  <c r="A1495" i="36"/>
  <c r="A1496" i="36"/>
  <c r="A1497" i="36"/>
  <c r="A1498" i="36"/>
  <c r="A1499" i="36"/>
  <c r="A1500" i="36"/>
  <c r="A1501" i="36"/>
  <c r="A1502" i="36"/>
  <c r="A1503" i="36"/>
  <c r="A1504" i="36"/>
  <c r="A1505" i="36"/>
  <c r="A1506" i="36"/>
  <c r="A1507" i="36"/>
  <c r="A1508" i="36"/>
  <c r="A1509" i="36"/>
  <c r="A1510" i="36"/>
  <c r="A1511" i="36"/>
  <c r="A1512" i="36"/>
  <c r="A1513" i="36"/>
  <c r="A1514" i="36"/>
  <c r="A1515" i="36"/>
  <c r="A1516" i="36"/>
  <c r="A1517" i="36"/>
  <c r="A1518" i="36"/>
  <c r="A1519" i="36"/>
  <c r="A1520" i="36"/>
  <c r="A1521" i="36"/>
  <c r="A1522" i="36"/>
  <c r="A1523" i="36"/>
  <c r="A1524" i="36"/>
  <c r="A1525" i="36"/>
  <c r="A1526" i="36"/>
  <c r="A1527" i="36"/>
  <c r="A1528" i="36"/>
  <c r="A1529" i="36"/>
  <c r="A1530" i="36"/>
  <c r="A1531" i="36"/>
  <c r="A3" i="36"/>
  <c r="A4" i="36"/>
  <c r="A5" i="36"/>
  <c r="A6" i="36"/>
  <c r="A7" i="36"/>
  <c r="A8" i="36"/>
  <c r="A9" i="36"/>
  <c r="A10" i="36"/>
  <c r="A11" i="36"/>
  <c r="A12" i="36"/>
  <c r="A13" i="36"/>
  <c r="A14" i="36"/>
  <c r="A15" i="36"/>
  <c r="A16" i="36"/>
  <c r="A17" i="36"/>
  <c r="A18" i="36"/>
  <c r="A19" i="36"/>
  <c r="A20" i="36"/>
  <c r="A21" i="36"/>
  <c r="A22" i="36"/>
  <c r="A23" i="36"/>
  <c r="A24" i="36"/>
  <c r="A25" i="36"/>
  <c r="A26" i="36"/>
  <c r="A27" i="36"/>
  <c r="A28" i="36"/>
  <c r="A29" i="36"/>
  <c r="A30" i="36"/>
  <c r="A31" i="36"/>
  <c r="A32" i="36"/>
  <c r="A33" i="36"/>
  <c r="A34" i="36"/>
  <c r="A35" i="36"/>
  <c r="A36" i="36"/>
  <c r="A37" i="36"/>
  <c r="A38" i="36"/>
  <c r="A39" i="36"/>
  <c r="A40" i="36"/>
  <c r="A41" i="36"/>
  <c r="A42" i="36"/>
  <c r="A43" i="36"/>
  <c r="A44" i="36"/>
  <c r="A45" i="36"/>
  <c r="A46" i="36"/>
  <c r="A47" i="36"/>
  <c r="A48" i="36"/>
  <c r="A49" i="36"/>
  <c r="A50" i="36"/>
  <c r="A51" i="36"/>
  <c r="A52" i="36"/>
  <c r="A53" i="36"/>
  <c r="A54" i="36"/>
  <c r="A55" i="36"/>
  <c r="A56" i="36"/>
  <c r="A57" i="36"/>
  <c r="A58" i="36"/>
  <c r="A59" i="36"/>
  <c r="A60" i="36"/>
  <c r="A61" i="36"/>
  <c r="A62" i="36"/>
  <c r="A63" i="36"/>
  <c r="A64" i="36"/>
  <c r="A65" i="36"/>
  <c r="A66" i="36"/>
  <c r="A67" i="36"/>
  <c r="A68" i="36"/>
  <c r="A69" i="36"/>
  <c r="A70" i="36"/>
  <c r="A71" i="36"/>
  <c r="A72" i="36"/>
  <c r="A73" i="36"/>
  <c r="A74" i="36"/>
  <c r="A75" i="36"/>
  <c r="A76" i="36"/>
  <c r="A77" i="36"/>
  <c r="A78" i="36"/>
  <c r="A79" i="36"/>
  <c r="A80" i="36"/>
  <c r="A81" i="36"/>
  <c r="A82" i="36"/>
  <c r="A83" i="36"/>
  <c r="A84" i="36"/>
  <c r="A85" i="36"/>
  <c r="A86" i="36"/>
  <c r="A87" i="36"/>
  <c r="A88" i="36"/>
  <c r="A89" i="36"/>
  <c r="A90" i="36"/>
  <c r="A91" i="36"/>
  <c r="A92" i="36"/>
  <c r="A93" i="36"/>
  <c r="A94" i="36"/>
  <c r="A95" i="36"/>
  <c r="A96" i="36"/>
  <c r="A97" i="36"/>
  <c r="A98" i="36"/>
  <c r="A99" i="36"/>
  <c r="A100" i="36"/>
  <c r="A101" i="36"/>
  <c r="A102" i="36"/>
  <c r="A103" i="36"/>
  <c r="A104" i="36"/>
  <c r="A105" i="36"/>
  <c r="A106" i="36"/>
  <c r="A107" i="36"/>
  <c r="A108" i="36"/>
  <c r="A109" i="36"/>
  <c r="A110" i="36"/>
  <c r="A111" i="36"/>
  <c r="A112" i="36"/>
  <c r="A113" i="36"/>
  <c r="A114" i="36"/>
  <c r="A115" i="36"/>
  <c r="A116" i="36"/>
  <c r="A117" i="36"/>
  <c r="A118" i="36"/>
  <c r="A119" i="36"/>
  <c r="A120" i="36"/>
  <c r="A121" i="36"/>
  <c r="A122" i="36"/>
  <c r="A123" i="36"/>
  <c r="A124" i="36"/>
  <c r="A125" i="36"/>
  <c r="A126" i="36"/>
  <c r="A127" i="36"/>
  <c r="A128" i="36"/>
  <c r="A129" i="36"/>
  <c r="A130" i="36"/>
  <c r="A131" i="36"/>
  <c r="A132" i="36"/>
  <c r="A133" i="36"/>
  <c r="A134" i="36"/>
  <c r="A135" i="36"/>
  <c r="A136" i="36"/>
  <c r="A137" i="36"/>
  <c r="A138" i="36"/>
  <c r="A139" i="36"/>
  <c r="A140" i="36"/>
  <c r="A141" i="36"/>
  <c r="A142" i="36"/>
  <c r="A143" i="36"/>
  <c r="A144" i="36"/>
  <c r="A145" i="36"/>
  <c r="A146" i="36"/>
  <c r="A147" i="36"/>
  <c r="A148" i="36"/>
  <c r="A149" i="36"/>
  <c r="A150" i="36"/>
  <c r="A151" i="36"/>
  <c r="A152" i="36"/>
  <c r="A153" i="36"/>
  <c r="A154" i="36"/>
  <c r="A155" i="36"/>
  <c r="A156" i="36"/>
  <c r="A157" i="36"/>
  <c r="A158" i="36"/>
  <c r="A159" i="36"/>
  <c r="A160" i="36"/>
  <c r="A161" i="36"/>
  <c r="A162" i="36"/>
  <c r="A163" i="36"/>
  <c r="A164" i="36"/>
  <c r="A165" i="36"/>
  <c r="A166" i="36"/>
  <c r="A167" i="36"/>
  <c r="A168" i="36"/>
  <c r="A169" i="36"/>
  <c r="A170" i="36"/>
  <c r="A171" i="36"/>
  <c r="A172" i="36"/>
  <c r="A173" i="36"/>
  <c r="A174" i="36"/>
  <c r="A175" i="36"/>
  <c r="A176" i="36"/>
  <c r="A177" i="36"/>
  <c r="A178" i="36"/>
  <c r="A179" i="36"/>
  <c r="A180" i="36"/>
  <c r="A181" i="36"/>
  <c r="A182" i="36"/>
  <c r="A183" i="36"/>
  <c r="A184" i="36"/>
  <c r="A185" i="36"/>
  <c r="A186" i="36"/>
  <c r="A187" i="36"/>
  <c r="A188" i="36"/>
  <c r="A189" i="36"/>
  <c r="A190" i="36"/>
  <c r="A191" i="36"/>
  <c r="A192" i="36"/>
  <c r="A193" i="36"/>
  <c r="A194" i="36"/>
  <c r="A195" i="36"/>
  <c r="A196" i="36"/>
  <c r="A197" i="36"/>
  <c r="A198" i="36"/>
  <c r="A199" i="36"/>
  <c r="A200" i="36"/>
  <c r="A201" i="36"/>
  <c r="A202" i="36"/>
  <c r="A203" i="36"/>
  <c r="A204" i="36"/>
  <c r="A205" i="36"/>
  <c r="A206" i="36"/>
  <c r="A207" i="36"/>
  <c r="A208" i="36"/>
  <c r="A209" i="36"/>
  <c r="A210" i="36"/>
  <c r="A211" i="36"/>
  <c r="A212" i="36"/>
  <c r="A213" i="36"/>
  <c r="A214" i="36"/>
  <c r="A215" i="36"/>
  <c r="A216" i="36"/>
  <c r="A217" i="36"/>
  <c r="A218" i="36"/>
  <c r="A219" i="36"/>
  <c r="A220" i="36"/>
  <c r="A221" i="36"/>
  <c r="A222" i="36"/>
  <c r="A223" i="36"/>
  <c r="A224" i="36"/>
  <c r="A225" i="36"/>
  <c r="A226" i="36"/>
  <c r="A227" i="36"/>
  <c r="A228" i="36"/>
  <c r="A229" i="36"/>
  <c r="A230" i="36"/>
  <c r="A231" i="36"/>
  <c r="A232" i="36"/>
  <c r="A233" i="36"/>
  <c r="A234" i="36"/>
  <c r="A235" i="36"/>
  <c r="A236" i="36"/>
  <c r="A237" i="36"/>
  <c r="A238" i="36"/>
  <c r="A239" i="36"/>
  <c r="A240" i="36"/>
  <c r="A241" i="36"/>
  <c r="A242" i="36"/>
  <c r="A243" i="36"/>
  <c r="A244" i="36"/>
  <c r="A245" i="36"/>
  <c r="A246" i="36"/>
  <c r="A247" i="36"/>
  <c r="A248" i="36"/>
  <c r="A249" i="36"/>
  <c r="A250" i="36"/>
  <c r="A251" i="36"/>
  <c r="A252" i="36"/>
  <c r="A253" i="36"/>
  <c r="A254" i="36"/>
  <c r="A255" i="36"/>
  <c r="A256" i="36"/>
  <c r="A257" i="36"/>
  <c r="A258" i="36"/>
  <c r="A259" i="36"/>
  <c r="A260" i="36"/>
  <c r="A261" i="36"/>
  <c r="A262" i="36"/>
  <c r="A263" i="36"/>
  <c r="A264" i="36"/>
  <c r="A265" i="36"/>
  <c r="A266" i="36"/>
  <c r="A267" i="36"/>
  <c r="A268" i="36"/>
  <c r="A269" i="36"/>
  <c r="A270" i="36"/>
  <c r="A271" i="36"/>
  <c r="A272" i="36"/>
  <c r="A273" i="36"/>
  <c r="A274" i="36"/>
  <c r="A275" i="36"/>
  <c r="A276" i="36"/>
  <c r="A277" i="36"/>
  <c r="A278" i="36"/>
  <c r="A279" i="36"/>
  <c r="A280" i="36"/>
  <c r="A281" i="36"/>
  <c r="A282" i="36"/>
  <c r="A283" i="36"/>
  <c r="A284" i="36"/>
  <c r="A285" i="36"/>
  <c r="A286" i="36"/>
  <c r="A287" i="36"/>
  <c r="A288" i="36"/>
  <c r="A289" i="36"/>
  <c r="A290" i="36"/>
  <c r="A291" i="36"/>
  <c r="A292" i="36"/>
  <c r="A293" i="36"/>
  <c r="A294" i="36"/>
  <c r="A295" i="36"/>
  <c r="A296" i="36"/>
  <c r="A297" i="36"/>
  <c r="A298" i="36"/>
  <c r="A299" i="36"/>
  <c r="A300" i="36"/>
  <c r="A301" i="36"/>
  <c r="A302" i="36"/>
  <c r="A303" i="36"/>
  <c r="A304" i="36"/>
  <c r="A305" i="36"/>
  <c r="A306" i="36"/>
  <c r="A307" i="36"/>
  <c r="A308" i="36"/>
  <c r="A309" i="36"/>
  <c r="A310" i="36"/>
  <c r="A311" i="36"/>
  <c r="A312" i="36"/>
  <c r="A313" i="36"/>
  <c r="A314" i="36"/>
  <c r="A315" i="36"/>
  <c r="A316" i="36"/>
  <c r="A317" i="36"/>
  <c r="A318" i="36"/>
  <c r="A319" i="36"/>
  <c r="A320" i="36"/>
  <c r="A321" i="36"/>
  <c r="A322" i="36"/>
  <c r="A323" i="36"/>
  <c r="A324" i="36"/>
  <c r="A325" i="36"/>
  <c r="A326" i="36"/>
  <c r="A327" i="36"/>
  <c r="A328" i="36"/>
  <c r="A329" i="36"/>
  <c r="A330" i="36"/>
  <c r="A331" i="36"/>
  <c r="A332" i="36"/>
  <c r="A333" i="36"/>
  <c r="A334" i="36"/>
  <c r="A335" i="36"/>
  <c r="A336" i="36"/>
  <c r="A337" i="36"/>
  <c r="A338" i="36"/>
  <c r="A339" i="36"/>
  <c r="A340" i="36"/>
  <c r="A341" i="36"/>
  <c r="A342" i="36"/>
  <c r="A343" i="36"/>
  <c r="A344" i="36"/>
  <c r="A345" i="36"/>
  <c r="A346" i="36"/>
  <c r="A347" i="36"/>
  <c r="A348" i="36"/>
  <c r="A349" i="36"/>
  <c r="A350" i="36"/>
  <c r="A351" i="36"/>
  <c r="A352" i="36"/>
  <c r="A353" i="36"/>
  <c r="A354" i="36"/>
  <c r="A355" i="36"/>
  <c r="A356" i="36"/>
  <c r="A357" i="36"/>
  <c r="A358" i="36"/>
  <c r="A359" i="36"/>
  <c r="A360" i="36"/>
  <c r="A361" i="36"/>
  <c r="A362" i="36"/>
  <c r="A363" i="36"/>
  <c r="A364" i="36"/>
  <c r="A365" i="36"/>
  <c r="A366" i="36"/>
  <c r="A367" i="36"/>
  <c r="A368" i="36"/>
  <c r="A369" i="36"/>
  <c r="A370" i="36"/>
  <c r="A371" i="36"/>
  <c r="A372" i="36"/>
  <c r="A373" i="36"/>
  <c r="A374" i="36"/>
  <c r="A375" i="36"/>
  <c r="A376" i="36"/>
  <c r="A377" i="36"/>
  <c r="A378" i="36"/>
  <c r="A379" i="36"/>
  <c r="A380" i="36"/>
  <c r="A381" i="36"/>
  <c r="A382" i="36"/>
  <c r="A383" i="36"/>
  <c r="A384" i="36"/>
  <c r="A385" i="36"/>
  <c r="A386" i="36"/>
  <c r="A387" i="36"/>
  <c r="A388" i="36"/>
  <c r="A389" i="36"/>
  <c r="A390" i="36"/>
  <c r="A391" i="36"/>
  <c r="A392" i="36"/>
  <c r="A393" i="36"/>
  <c r="A394" i="36"/>
  <c r="A395" i="36"/>
  <c r="A396" i="36"/>
  <c r="A397" i="36"/>
  <c r="A398" i="36"/>
  <c r="A399" i="36"/>
  <c r="A400" i="36"/>
  <c r="A401" i="36"/>
  <c r="A402" i="36"/>
  <c r="A403" i="36"/>
  <c r="A404" i="36"/>
  <c r="A405" i="36"/>
  <c r="A406" i="36"/>
  <c r="A407" i="36"/>
  <c r="A408" i="36"/>
  <c r="A409" i="36"/>
  <c r="A410" i="36"/>
  <c r="A411" i="36"/>
  <c r="A412" i="36"/>
  <c r="A413" i="36"/>
  <c r="A414" i="36"/>
  <c r="A415" i="36"/>
  <c r="A416" i="36"/>
  <c r="A417" i="36"/>
  <c r="A418" i="36"/>
  <c r="A419" i="36"/>
  <c r="A420" i="36"/>
  <c r="A421" i="36"/>
  <c r="A422" i="36"/>
  <c r="A423" i="36"/>
  <c r="A424" i="36"/>
  <c r="A425" i="36"/>
  <c r="A426" i="36"/>
  <c r="A427" i="36"/>
  <c r="A428" i="36"/>
  <c r="A429" i="36"/>
  <c r="A430" i="36"/>
  <c r="A431" i="36"/>
  <c r="A432" i="36"/>
  <c r="A433" i="36"/>
  <c r="A434" i="36"/>
  <c r="A435" i="36"/>
  <c r="A436" i="36"/>
  <c r="A437" i="36"/>
  <c r="A438" i="36"/>
  <c r="A439" i="36"/>
  <c r="A440" i="36"/>
  <c r="A441" i="36"/>
  <c r="A442" i="36"/>
  <c r="A443" i="36"/>
  <c r="A444" i="36"/>
  <c r="A445" i="36"/>
  <c r="A446" i="36"/>
  <c r="A447" i="36"/>
  <c r="A448" i="36"/>
  <c r="A449" i="36"/>
  <c r="A450" i="36"/>
  <c r="A451" i="36"/>
  <c r="A452" i="36"/>
  <c r="A453" i="36"/>
  <c r="A454" i="36"/>
  <c r="A455" i="36"/>
  <c r="A456" i="36"/>
  <c r="A457" i="36"/>
  <c r="A458" i="36"/>
  <c r="A459" i="36"/>
  <c r="A460" i="36"/>
  <c r="A461" i="36"/>
  <c r="A462" i="36"/>
  <c r="A463" i="36"/>
  <c r="A464" i="36"/>
  <c r="A465" i="36"/>
  <c r="A466" i="36"/>
  <c r="A467" i="36"/>
  <c r="A468" i="36"/>
  <c r="A469" i="36"/>
  <c r="A470" i="36"/>
  <c r="A471" i="36"/>
  <c r="A472" i="36"/>
  <c r="A473" i="36"/>
  <c r="A474" i="36"/>
  <c r="A475" i="36"/>
  <c r="A476" i="36"/>
  <c r="A477" i="36"/>
  <c r="A478" i="36"/>
  <c r="A479" i="36"/>
  <c r="A480" i="36"/>
  <c r="A481" i="36"/>
  <c r="A482" i="36"/>
  <c r="A483" i="36"/>
  <c r="A484" i="36"/>
  <c r="A485" i="36"/>
  <c r="A486" i="36"/>
  <c r="A487" i="36"/>
  <c r="A488" i="36"/>
  <c r="A489" i="36"/>
  <c r="A490" i="36"/>
  <c r="A491" i="36"/>
  <c r="A492" i="36"/>
  <c r="A493" i="36"/>
  <c r="A494" i="36"/>
  <c r="A495" i="36"/>
  <c r="A496" i="36"/>
  <c r="A497" i="36"/>
  <c r="A498" i="36"/>
  <c r="A499" i="36"/>
  <c r="A500" i="36"/>
  <c r="A501" i="36"/>
  <c r="A502" i="36"/>
  <c r="A503" i="36"/>
  <c r="A504" i="36"/>
  <c r="A505" i="36"/>
  <c r="A506" i="36"/>
  <c r="A507" i="36"/>
  <c r="A508" i="36"/>
  <c r="A509" i="36"/>
  <c r="A510" i="36"/>
  <c r="A511" i="36"/>
  <c r="A512" i="36"/>
  <c r="A513" i="36"/>
  <c r="A514" i="36"/>
  <c r="A515" i="36"/>
  <c r="A516" i="36"/>
  <c r="A517" i="36"/>
  <c r="A518" i="36"/>
  <c r="A519" i="36"/>
  <c r="A520" i="36"/>
  <c r="A521" i="36"/>
  <c r="A522" i="36"/>
  <c r="A523" i="36"/>
  <c r="A524" i="36"/>
  <c r="A525" i="36"/>
  <c r="A526" i="36"/>
  <c r="A527" i="36"/>
  <c r="A528" i="36"/>
  <c r="A529" i="36"/>
  <c r="A530" i="36"/>
  <c r="A531" i="36"/>
  <c r="A532" i="36"/>
  <c r="A533" i="36"/>
  <c r="A534" i="36"/>
  <c r="A535" i="36"/>
  <c r="A536" i="36"/>
  <c r="A537" i="36"/>
  <c r="A538" i="36"/>
  <c r="A539" i="36"/>
  <c r="A540" i="36"/>
  <c r="A541" i="36"/>
  <c r="A542" i="36"/>
  <c r="A543" i="36"/>
  <c r="A544" i="36"/>
  <c r="A545" i="36"/>
  <c r="A546" i="36"/>
  <c r="A547" i="36"/>
  <c r="A548" i="36"/>
  <c r="A549" i="36"/>
  <c r="A550" i="36"/>
  <c r="A551" i="36"/>
  <c r="A552" i="36"/>
  <c r="A553" i="36"/>
  <c r="A554" i="36"/>
  <c r="A555" i="36"/>
  <c r="A556" i="36"/>
  <c r="A557" i="36"/>
  <c r="A558" i="36"/>
  <c r="A559" i="36"/>
  <c r="A560" i="36"/>
  <c r="A561" i="36"/>
  <c r="A562" i="36"/>
  <c r="A563" i="36"/>
  <c r="A564" i="36"/>
  <c r="A565" i="36"/>
  <c r="A566" i="36"/>
  <c r="A567" i="36"/>
  <c r="A568" i="36"/>
  <c r="A569" i="36"/>
  <c r="A570" i="36"/>
  <c r="A571" i="36"/>
  <c r="A572" i="36"/>
  <c r="A573" i="36"/>
  <c r="A574" i="36"/>
  <c r="A575" i="36"/>
  <c r="A576" i="36"/>
  <c r="A577" i="36"/>
  <c r="A578" i="36"/>
  <c r="A579" i="36"/>
  <c r="A580" i="36"/>
  <c r="A581" i="36"/>
  <c r="A582" i="36"/>
  <c r="A583" i="36"/>
  <c r="A584" i="36"/>
  <c r="A585" i="36"/>
  <c r="A586" i="36"/>
  <c r="A587" i="36"/>
  <c r="A588" i="36"/>
  <c r="A589" i="36"/>
  <c r="A590" i="36"/>
  <c r="A591" i="36"/>
  <c r="A592" i="36"/>
  <c r="A593" i="36"/>
  <c r="A594" i="36"/>
  <c r="A595" i="36"/>
  <c r="A596" i="36"/>
  <c r="A597" i="36"/>
  <c r="A598" i="36"/>
  <c r="A599" i="36"/>
  <c r="A600" i="36"/>
  <c r="A601" i="36"/>
  <c r="A602" i="36"/>
  <c r="A603" i="36"/>
  <c r="A604" i="36"/>
  <c r="A605" i="36"/>
  <c r="A606" i="36"/>
  <c r="A607" i="36"/>
  <c r="A608" i="36"/>
  <c r="A609" i="36"/>
  <c r="A610" i="36"/>
  <c r="A611" i="36"/>
  <c r="A612" i="36"/>
  <c r="A613" i="36"/>
  <c r="A614" i="36"/>
  <c r="A615" i="36"/>
  <c r="A616" i="36"/>
  <c r="A617" i="36"/>
  <c r="A618" i="36"/>
  <c r="A619" i="36"/>
  <c r="A620" i="36"/>
  <c r="A621" i="36"/>
  <c r="A622" i="36"/>
  <c r="A623" i="36"/>
  <c r="A624" i="36"/>
  <c r="A625" i="36"/>
  <c r="A626" i="36"/>
  <c r="A627" i="36"/>
  <c r="A628" i="36"/>
  <c r="A629" i="36"/>
  <c r="A630" i="36"/>
  <c r="A631" i="36"/>
  <c r="A632" i="36"/>
  <c r="A633" i="36"/>
  <c r="A634" i="36"/>
  <c r="A635" i="36"/>
  <c r="A636" i="36"/>
  <c r="A637" i="36"/>
  <c r="A638" i="36"/>
  <c r="A639" i="36"/>
  <c r="A640" i="36"/>
  <c r="A641" i="36"/>
  <c r="A642" i="36"/>
  <c r="A643" i="36"/>
  <c r="A644" i="36"/>
  <c r="A645" i="36"/>
  <c r="A646" i="36"/>
  <c r="A647" i="36"/>
  <c r="A648" i="36"/>
  <c r="A649" i="36"/>
  <c r="A650" i="36"/>
  <c r="A651" i="36"/>
  <c r="A652" i="36"/>
  <c r="A653" i="36"/>
  <c r="A654" i="36"/>
  <c r="A655" i="36"/>
  <c r="A656" i="36"/>
  <c r="A657" i="36"/>
  <c r="A658" i="36"/>
  <c r="A659" i="36"/>
  <c r="A660" i="36"/>
  <c r="A661" i="36"/>
  <c r="A662" i="36"/>
  <c r="A663" i="36"/>
  <c r="A664" i="36"/>
  <c r="A665" i="36"/>
  <c r="A666" i="36"/>
  <c r="A667" i="36"/>
  <c r="A668" i="36"/>
  <c r="A669" i="36"/>
  <c r="A670" i="36"/>
  <c r="A671" i="36"/>
  <c r="A672" i="36"/>
  <c r="A673" i="36"/>
  <c r="A674" i="36"/>
  <c r="A675" i="36"/>
  <c r="A676" i="36"/>
  <c r="A677" i="36"/>
  <c r="A678" i="36"/>
  <c r="A679" i="36"/>
  <c r="A680" i="36"/>
  <c r="A681" i="36"/>
  <c r="A682" i="36"/>
  <c r="A683" i="36"/>
  <c r="A684" i="36"/>
  <c r="A685" i="36"/>
  <c r="A686" i="36"/>
  <c r="A687" i="36"/>
  <c r="A688" i="36"/>
  <c r="A689" i="36"/>
  <c r="A690" i="36"/>
  <c r="A691" i="36"/>
  <c r="A692" i="36"/>
  <c r="A693" i="36"/>
  <c r="A694" i="36"/>
  <c r="A695" i="36"/>
  <c r="A696" i="36"/>
  <c r="A697" i="36"/>
  <c r="A698" i="36"/>
  <c r="A699" i="36"/>
  <c r="A700" i="36"/>
  <c r="A701" i="36"/>
  <c r="A702" i="36"/>
  <c r="A703" i="36"/>
  <c r="A704" i="36"/>
  <c r="A705" i="36"/>
  <c r="A706" i="36"/>
  <c r="A707" i="36"/>
  <c r="A708" i="36"/>
  <c r="A709" i="36"/>
  <c r="A710" i="36"/>
  <c r="A711" i="36"/>
  <c r="A712" i="36"/>
  <c r="A713" i="36"/>
  <c r="A714" i="36"/>
  <c r="A715" i="36"/>
  <c r="A716" i="36"/>
  <c r="A717" i="36"/>
  <c r="A718" i="36"/>
  <c r="A719" i="36"/>
  <c r="A720" i="36"/>
  <c r="A721" i="36"/>
  <c r="A722" i="36"/>
  <c r="A723" i="36"/>
  <c r="A724" i="36"/>
  <c r="A725" i="36"/>
  <c r="A726" i="36"/>
  <c r="A727" i="36"/>
  <c r="A728" i="36"/>
  <c r="A729" i="36"/>
  <c r="A730" i="36"/>
  <c r="A731" i="36"/>
  <c r="A732" i="36"/>
  <c r="A733" i="36"/>
  <c r="A734" i="36"/>
  <c r="A735" i="36"/>
  <c r="A736" i="36"/>
  <c r="A737" i="36"/>
  <c r="A738" i="36"/>
  <c r="A739" i="36"/>
  <c r="A740" i="36"/>
  <c r="A741" i="36"/>
  <c r="A742" i="36"/>
  <c r="A743" i="36"/>
  <c r="A744" i="36"/>
  <c r="A745" i="36"/>
  <c r="A746" i="36"/>
  <c r="A747" i="36"/>
  <c r="A748" i="36"/>
  <c r="A749" i="36"/>
  <c r="A750" i="36"/>
  <c r="A751" i="36"/>
  <c r="A752" i="36"/>
  <c r="A753" i="36"/>
  <c r="A754" i="36"/>
  <c r="A755" i="36"/>
  <c r="A756" i="36"/>
  <c r="A757" i="36"/>
  <c r="A758" i="36"/>
  <c r="A759" i="36"/>
  <c r="A760" i="36"/>
  <c r="A761" i="36"/>
  <c r="A762" i="36"/>
  <c r="A763" i="36"/>
  <c r="A764" i="36"/>
  <c r="A765" i="36"/>
  <c r="A766" i="36"/>
  <c r="A767" i="36"/>
  <c r="A768" i="36"/>
  <c r="A769" i="36"/>
  <c r="A770" i="36"/>
  <c r="A771" i="36"/>
  <c r="A772" i="36"/>
  <c r="A773" i="36"/>
  <c r="A774" i="36"/>
  <c r="A775" i="36"/>
  <c r="A776" i="36"/>
  <c r="A777" i="36"/>
  <c r="A778" i="36"/>
  <c r="A779" i="36"/>
  <c r="A780" i="36"/>
  <c r="A781" i="36"/>
  <c r="A782" i="36"/>
  <c r="A783" i="36"/>
  <c r="A784" i="36"/>
  <c r="A785" i="36"/>
  <c r="A786" i="36"/>
  <c r="A787" i="36"/>
  <c r="A788" i="36"/>
  <c r="A789" i="36"/>
  <c r="A790" i="36"/>
  <c r="A791" i="36"/>
  <c r="A792" i="36"/>
  <c r="A793" i="36"/>
  <c r="A794" i="36"/>
  <c r="A795" i="36"/>
  <c r="A796" i="36"/>
  <c r="A797" i="36"/>
  <c r="A798" i="36"/>
  <c r="A799" i="36"/>
  <c r="A800" i="36"/>
  <c r="A801" i="36"/>
  <c r="A802" i="36"/>
  <c r="A803" i="36"/>
  <c r="A804" i="36"/>
  <c r="A805" i="36"/>
  <c r="A806" i="36"/>
  <c r="A807" i="36"/>
  <c r="A808" i="36"/>
  <c r="A809" i="36"/>
  <c r="A810" i="36"/>
  <c r="A811" i="36"/>
  <c r="A812" i="36"/>
  <c r="A813" i="36"/>
  <c r="A814" i="36"/>
  <c r="A815" i="36"/>
  <c r="A816" i="36"/>
  <c r="A817" i="36"/>
  <c r="A818" i="36"/>
  <c r="A819" i="36"/>
  <c r="A820" i="36"/>
  <c r="A821" i="36"/>
  <c r="A822" i="36"/>
  <c r="A823" i="36"/>
  <c r="A824" i="36"/>
  <c r="A825" i="36"/>
  <c r="A826" i="36"/>
  <c r="A827" i="36"/>
  <c r="A828" i="36"/>
  <c r="A829" i="36"/>
  <c r="A830" i="36"/>
  <c r="A831" i="36"/>
  <c r="A832" i="36"/>
  <c r="A833" i="36"/>
  <c r="A834" i="36"/>
  <c r="A835" i="36"/>
  <c r="A836" i="36"/>
  <c r="A837" i="36"/>
  <c r="A838" i="36"/>
  <c r="A839" i="36"/>
  <c r="A840" i="36"/>
  <c r="A841" i="36"/>
  <c r="A842" i="36"/>
  <c r="A843" i="36"/>
  <c r="A844" i="36"/>
  <c r="A845" i="36"/>
  <c r="A846" i="36"/>
  <c r="A847" i="36"/>
  <c r="A848" i="36"/>
  <c r="A849" i="36"/>
  <c r="A850" i="36"/>
  <c r="A851" i="36"/>
  <c r="A852" i="36"/>
  <c r="A853" i="36"/>
  <c r="A854" i="36"/>
  <c r="A855" i="36"/>
  <c r="A856" i="36"/>
  <c r="A857" i="36"/>
  <c r="A858" i="36"/>
  <c r="A859" i="36"/>
  <c r="A860" i="36"/>
  <c r="A861" i="36"/>
  <c r="A862" i="36"/>
  <c r="A863" i="36"/>
  <c r="A864" i="36"/>
  <c r="A865" i="36"/>
  <c r="A866" i="36"/>
  <c r="A867" i="36"/>
  <c r="A868" i="36"/>
  <c r="A869" i="36"/>
  <c r="A870" i="36"/>
  <c r="A871" i="36"/>
  <c r="A872" i="36"/>
  <c r="A873" i="36"/>
  <c r="A874" i="36"/>
  <c r="A875" i="36"/>
  <c r="A876" i="36"/>
  <c r="A877" i="36"/>
  <c r="A878" i="36"/>
  <c r="A879" i="36"/>
  <c r="A880" i="36"/>
  <c r="A881" i="36"/>
  <c r="A882" i="36"/>
  <c r="A883" i="36"/>
  <c r="A884" i="36"/>
  <c r="A885" i="36"/>
  <c r="A886" i="36"/>
  <c r="A887" i="36"/>
  <c r="A888" i="36"/>
  <c r="A889" i="36"/>
  <c r="A890" i="36"/>
  <c r="A891" i="36"/>
  <c r="A892" i="36"/>
  <c r="A893" i="36"/>
  <c r="A894" i="36"/>
  <c r="A895" i="36"/>
  <c r="A896" i="36"/>
  <c r="A897" i="36"/>
  <c r="A898" i="36"/>
  <c r="A899" i="36"/>
  <c r="A900" i="36"/>
  <c r="A901" i="36"/>
  <c r="A902" i="36"/>
  <c r="A903" i="36"/>
  <c r="A904" i="36"/>
  <c r="A905" i="36"/>
  <c r="A906" i="36"/>
  <c r="A907" i="36"/>
  <c r="A908" i="36"/>
  <c r="A909" i="36"/>
  <c r="A910" i="36"/>
  <c r="A911" i="36"/>
  <c r="A912" i="36"/>
  <c r="A913" i="36"/>
  <c r="A914" i="36"/>
  <c r="A915" i="36"/>
  <c r="A916" i="36"/>
  <c r="A917" i="36"/>
  <c r="A918" i="36"/>
  <c r="A919" i="36"/>
  <c r="A920" i="36"/>
  <c r="A921" i="36"/>
  <c r="A922" i="36"/>
  <c r="A923" i="36"/>
  <c r="A924" i="36"/>
  <c r="A925" i="36"/>
  <c r="A926" i="36"/>
  <c r="A927" i="36"/>
  <c r="A928" i="36"/>
  <c r="A929" i="36"/>
  <c r="A930" i="36"/>
  <c r="A931" i="36"/>
  <c r="A932" i="36"/>
  <c r="A933" i="36"/>
  <c r="A934" i="36"/>
  <c r="A935" i="36"/>
  <c r="A936" i="36"/>
  <c r="A937" i="36"/>
  <c r="A938" i="36"/>
  <c r="A939" i="36"/>
  <c r="A940" i="36"/>
  <c r="A941" i="36"/>
  <c r="A942" i="36"/>
  <c r="A943" i="36"/>
  <c r="A944" i="36"/>
  <c r="A945" i="36"/>
  <c r="A946" i="36"/>
  <c r="A947" i="36"/>
  <c r="A948" i="36"/>
  <c r="A949" i="36"/>
  <c r="A950" i="36"/>
  <c r="A951" i="36"/>
  <c r="A952" i="36"/>
  <c r="A953" i="36"/>
  <c r="A954" i="36"/>
  <c r="A955" i="36"/>
  <c r="A956" i="36"/>
  <c r="A957" i="36"/>
  <c r="A958" i="36"/>
  <c r="A959" i="36"/>
  <c r="A960" i="36"/>
  <c r="A961" i="36"/>
  <c r="A962" i="36"/>
  <c r="A963" i="36"/>
  <c r="A964" i="36"/>
  <c r="A965" i="36"/>
  <c r="A966" i="36"/>
  <c r="A967" i="36"/>
  <c r="A968" i="36"/>
  <c r="A969" i="36"/>
  <c r="A970" i="36"/>
  <c r="A971" i="36"/>
  <c r="A972" i="36"/>
  <c r="A973" i="36"/>
  <c r="A974" i="36"/>
  <c r="A975" i="36"/>
  <c r="A976" i="36"/>
  <c r="A977" i="36"/>
  <c r="A978" i="36"/>
  <c r="A979" i="36"/>
  <c r="A980" i="36"/>
  <c r="A981" i="36"/>
  <c r="A982" i="36"/>
  <c r="A983" i="36"/>
  <c r="A984" i="36"/>
  <c r="A985" i="36"/>
  <c r="A986" i="36"/>
  <c r="A987" i="36"/>
  <c r="A988" i="36"/>
  <c r="A989" i="36"/>
  <c r="A990" i="36"/>
  <c r="A991" i="36"/>
  <c r="A992" i="36"/>
  <c r="A993" i="36"/>
  <c r="A994" i="36"/>
  <c r="A995" i="36"/>
  <c r="A996" i="36"/>
  <c r="A997" i="36"/>
  <c r="A998" i="36"/>
  <c r="A999" i="36"/>
  <c r="A1000" i="36"/>
  <c r="A1001" i="36"/>
  <c r="A1002" i="36"/>
  <c r="A1003" i="36"/>
  <c r="A1004" i="36"/>
  <c r="A1005" i="36"/>
  <c r="A1006" i="36"/>
  <c r="A1007" i="36"/>
  <c r="A1008" i="36"/>
  <c r="A1009" i="36"/>
  <c r="A1010" i="36"/>
  <c r="A3" i="35"/>
  <c r="A4" i="35"/>
  <c r="A5" i="35"/>
  <c r="A6" i="35"/>
  <c r="A7" i="35"/>
  <c r="A8" i="35"/>
  <c r="A9" i="35"/>
  <c r="A10" i="35"/>
  <c r="A11" i="35"/>
  <c r="A12" i="35"/>
  <c r="A13" i="35"/>
  <c r="A14" i="35"/>
  <c r="A15" i="35"/>
  <c r="A16" i="35"/>
  <c r="A17" i="35"/>
  <c r="A18" i="35"/>
  <c r="A19" i="35"/>
  <c r="A20" i="35"/>
  <c r="A21" i="35"/>
  <c r="A22" i="35"/>
  <c r="A23" i="35"/>
  <c r="A24" i="35"/>
  <c r="A25" i="35"/>
  <c r="A26" i="35"/>
  <c r="A27" i="35"/>
  <c r="A28" i="35"/>
  <c r="A29" i="35"/>
  <c r="A30" i="35"/>
  <c r="A31" i="35"/>
  <c r="A32" i="35"/>
  <c r="A33" i="35"/>
  <c r="A34" i="35"/>
  <c r="A35" i="35"/>
  <c r="A36" i="35"/>
  <c r="A37" i="35"/>
  <c r="A38" i="35"/>
  <c r="A39" i="35"/>
  <c r="A40" i="35"/>
  <c r="A41" i="35"/>
  <c r="A42" i="35"/>
  <c r="A43" i="35"/>
  <c r="A44" i="35"/>
  <c r="A45" i="35"/>
  <c r="A46" i="35"/>
  <c r="A47" i="35"/>
  <c r="A48" i="35"/>
  <c r="A49" i="35"/>
  <c r="A50" i="35"/>
  <c r="A51" i="35"/>
  <c r="A52" i="35"/>
  <c r="A53" i="35"/>
  <c r="A54" i="35"/>
  <c r="A55" i="35"/>
  <c r="A56" i="35"/>
  <c r="A57" i="35"/>
  <c r="A58" i="35"/>
  <c r="A59" i="35"/>
  <c r="A60" i="35"/>
  <c r="A61" i="35"/>
  <c r="A62" i="35"/>
  <c r="A63" i="35"/>
  <c r="A64" i="35"/>
  <c r="A65" i="35"/>
  <c r="A66" i="35"/>
  <c r="A67" i="35"/>
  <c r="A68" i="35"/>
  <c r="A69" i="35"/>
  <c r="A70" i="35"/>
  <c r="A71" i="35"/>
  <c r="A72" i="35"/>
  <c r="A73" i="35"/>
  <c r="A74" i="35"/>
  <c r="A75" i="35"/>
  <c r="A76" i="35"/>
  <c r="A77" i="35"/>
  <c r="A78" i="35"/>
  <c r="A79" i="35"/>
  <c r="A80" i="35"/>
  <c r="A81" i="35"/>
  <c r="A82" i="35"/>
  <c r="A83" i="35"/>
  <c r="A84" i="35"/>
  <c r="A85" i="35"/>
  <c r="A86" i="35"/>
  <c r="A87" i="35"/>
  <c r="A88" i="35"/>
  <c r="A89" i="35"/>
  <c r="A90" i="35"/>
  <c r="A91" i="35"/>
  <c r="A92" i="35"/>
  <c r="A93" i="35"/>
  <c r="A94" i="35"/>
  <c r="A95" i="35"/>
  <c r="A96" i="35"/>
  <c r="A97" i="35"/>
  <c r="A98" i="35"/>
  <c r="A99" i="35"/>
  <c r="A100" i="35"/>
  <c r="A101" i="35"/>
  <c r="A102" i="35"/>
  <c r="A103" i="35"/>
  <c r="A104" i="35"/>
  <c r="A105" i="35"/>
  <c r="A106" i="35"/>
  <c r="A107" i="35"/>
  <c r="A108" i="35"/>
  <c r="A109" i="35"/>
  <c r="A110" i="35"/>
  <c r="A111" i="35"/>
  <c r="A112" i="35"/>
  <c r="A113" i="35"/>
  <c r="A114" i="35"/>
  <c r="A115" i="35"/>
  <c r="A116" i="35"/>
  <c r="A117" i="35"/>
  <c r="A118" i="35"/>
  <c r="A119" i="35"/>
  <c r="A120" i="35"/>
  <c r="A121" i="35"/>
  <c r="A122" i="35"/>
  <c r="A123" i="35"/>
  <c r="A124" i="35"/>
  <c r="A125" i="35"/>
  <c r="A126" i="35"/>
  <c r="A127" i="35"/>
  <c r="A128" i="35"/>
  <c r="A129" i="35"/>
  <c r="A130" i="35"/>
  <c r="A131" i="35"/>
  <c r="A132" i="35"/>
  <c r="A133" i="35"/>
  <c r="A134" i="35"/>
  <c r="A135" i="35"/>
  <c r="A136" i="35"/>
  <c r="A137" i="35"/>
  <c r="A138" i="35"/>
  <c r="A139" i="35"/>
  <c r="A140" i="35"/>
  <c r="A141" i="35"/>
  <c r="A142" i="35"/>
  <c r="A143" i="35"/>
  <c r="A144" i="35"/>
  <c r="A145" i="35"/>
  <c r="A146" i="35"/>
  <c r="A147" i="35"/>
  <c r="A148" i="35"/>
  <c r="A149" i="35"/>
  <c r="A150" i="35"/>
  <c r="A151" i="35"/>
  <c r="A152" i="35"/>
  <c r="A153" i="35"/>
  <c r="A154" i="35"/>
  <c r="A155" i="35"/>
  <c r="A156" i="35"/>
  <c r="A157" i="35"/>
  <c r="A158" i="35"/>
  <c r="A159" i="35"/>
  <c r="A160" i="35"/>
  <c r="A161" i="35"/>
  <c r="A162" i="35"/>
  <c r="A163" i="35"/>
  <c r="A164" i="35"/>
  <c r="A165" i="35"/>
  <c r="A166" i="35"/>
  <c r="A167" i="35"/>
  <c r="A168" i="35"/>
  <c r="A169" i="35"/>
  <c r="A170" i="35"/>
  <c r="A171" i="35"/>
  <c r="A172" i="35"/>
  <c r="A173" i="35"/>
  <c r="A174" i="35"/>
  <c r="A175" i="35"/>
  <c r="A176" i="35"/>
  <c r="A177" i="35"/>
  <c r="A178" i="35"/>
  <c r="A179" i="35"/>
  <c r="A180" i="35"/>
  <c r="A181" i="35"/>
  <c r="A182" i="35"/>
  <c r="A183" i="35"/>
  <c r="A184" i="35"/>
  <c r="A185" i="35"/>
  <c r="A186" i="35"/>
  <c r="A187" i="35"/>
  <c r="A188" i="35"/>
  <c r="A189" i="35"/>
  <c r="A190" i="35"/>
  <c r="A191" i="35"/>
  <c r="A192" i="35"/>
  <c r="A193" i="35"/>
  <c r="A194" i="35"/>
  <c r="A195" i="35"/>
  <c r="A196" i="35"/>
  <c r="A197" i="35"/>
  <c r="A198" i="35"/>
  <c r="A199" i="35"/>
  <c r="A200" i="35"/>
  <c r="A201" i="35"/>
  <c r="A202" i="35"/>
  <c r="A203" i="35"/>
  <c r="A204" i="35"/>
  <c r="A205" i="35"/>
  <c r="A206" i="35"/>
  <c r="A207" i="35"/>
  <c r="A208" i="35"/>
  <c r="A209" i="35"/>
  <c r="A210" i="35"/>
  <c r="A211" i="35"/>
  <c r="A212" i="35"/>
  <c r="A213" i="35"/>
  <c r="A214" i="35"/>
  <c r="A215" i="35"/>
  <c r="A216" i="35"/>
  <c r="A217" i="35"/>
  <c r="A218" i="35"/>
  <c r="A219" i="35"/>
  <c r="A220" i="35"/>
  <c r="A221" i="35"/>
  <c r="A222" i="35"/>
  <c r="A223" i="35"/>
  <c r="A224" i="35"/>
  <c r="A225" i="35"/>
  <c r="A226" i="35"/>
  <c r="A227" i="35"/>
  <c r="A228" i="35"/>
  <c r="A229" i="35"/>
  <c r="A230" i="35"/>
  <c r="A231" i="35"/>
  <c r="A232" i="35"/>
  <c r="A233" i="35"/>
  <c r="A234" i="35"/>
  <c r="A235" i="35"/>
  <c r="A236" i="35"/>
  <c r="A237" i="35"/>
  <c r="A238" i="35"/>
  <c r="A239" i="35"/>
  <c r="A240" i="35"/>
  <c r="A241" i="35"/>
  <c r="A242" i="35"/>
  <c r="A243" i="35"/>
  <c r="A244" i="35"/>
  <c r="A245" i="35"/>
  <c r="A246" i="35"/>
  <c r="A247" i="35"/>
  <c r="A248" i="35"/>
  <c r="A249" i="35"/>
  <c r="A250" i="35"/>
  <c r="A251" i="35"/>
  <c r="A252" i="35"/>
  <c r="A253" i="35"/>
  <c r="A254" i="35"/>
  <c r="A255" i="35"/>
  <c r="A256" i="35"/>
  <c r="A257" i="35"/>
  <c r="A258" i="35"/>
  <c r="A259" i="35"/>
  <c r="A260" i="35"/>
  <c r="A261" i="35"/>
  <c r="A262" i="35"/>
  <c r="A263" i="35"/>
  <c r="A264" i="35"/>
  <c r="A265" i="35"/>
  <c r="A266" i="35"/>
  <c r="A267" i="35"/>
  <c r="A268" i="35"/>
  <c r="A269" i="35"/>
  <c r="A270" i="35"/>
  <c r="A271" i="35"/>
  <c r="A272" i="35"/>
  <c r="A273" i="35"/>
  <c r="A274" i="35"/>
  <c r="A275" i="35"/>
  <c r="A276" i="35"/>
  <c r="A277" i="35"/>
  <c r="A278" i="35"/>
  <c r="A279" i="35"/>
  <c r="A280" i="35"/>
  <c r="A281" i="35"/>
  <c r="A282" i="35"/>
  <c r="A283" i="35"/>
  <c r="A284" i="35"/>
  <c r="A285" i="35"/>
  <c r="A286" i="35"/>
  <c r="A287" i="35"/>
  <c r="A288" i="35"/>
  <c r="A289" i="35"/>
  <c r="A290" i="35"/>
  <c r="A291" i="35"/>
  <c r="A292" i="35"/>
  <c r="A293" i="35"/>
  <c r="A294" i="35"/>
  <c r="A295" i="35"/>
  <c r="A296" i="35"/>
  <c r="A297" i="35"/>
  <c r="A298" i="35"/>
  <c r="A299" i="35"/>
  <c r="A300" i="35"/>
  <c r="A301" i="35"/>
  <c r="A302" i="35"/>
  <c r="A303" i="35"/>
  <c r="A304" i="35"/>
  <c r="A305" i="35"/>
  <c r="A306" i="35"/>
  <c r="A307" i="35"/>
  <c r="A308" i="35"/>
  <c r="A309" i="35"/>
  <c r="A310" i="35"/>
  <c r="A311" i="35"/>
  <c r="A312" i="35"/>
  <c r="A313" i="35"/>
  <c r="A314" i="35"/>
  <c r="A315" i="35"/>
  <c r="A316" i="35"/>
  <c r="A317" i="35"/>
  <c r="A318" i="35"/>
  <c r="A319" i="35"/>
  <c r="A320" i="35"/>
  <c r="A321" i="35"/>
  <c r="A322" i="35"/>
  <c r="A323" i="35"/>
  <c r="A324" i="35"/>
  <c r="A325" i="35"/>
  <c r="A326" i="35"/>
  <c r="A327" i="35"/>
  <c r="A328" i="35"/>
  <c r="A329" i="35"/>
  <c r="A330" i="35"/>
  <c r="A331" i="35"/>
  <c r="A332" i="35"/>
  <c r="A333" i="35"/>
  <c r="A334" i="35"/>
  <c r="A335" i="35"/>
  <c r="A336" i="35"/>
  <c r="A337" i="35"/>
  <c r="A338" i="35"/>
  <c r="A339" i="35"/>
  <c r="A340" i="35"/>
  <c r="A341" i="35"/>
  <c r="A342" i="35"/>
  <c r="A343" i="35"/>
  <c r="A344" i="35"/>
  <c r="A345" i="35"/>
  <c r="A346" i="35"/>
  <c r="A347" i="35"/>
  <c r="A348" i="35"/>
  <c r="A349" i="35"/>
  <c r="A350" i="35"/>
  <c r="A351" i="35"/>
  <c r="A352" i="35"/>
  <c r="A353" i="35"/>
  <c r="A354" i="35"/>
  <c r="A355" i="35"/>
  <c r="A356" i="35"/>
  <c r="A357" i="35"/>
  <c r="A358" i="35"/>
  <c r="A359" i="35"/>
  <c r="A360" i="35"/>
  <c r="A361" i="35"/>
  <c r="A362" i="35"/>
  <c r="A363" i="35"/>
  <c r="A364" i="35"/>
  <c r="A365" i="35"/>
  <c r="A366" i="35"/>
  <c r="A367" i="35"/>
  <c r="A368" i="35"/>
  <c r="A369" i="35"/>
  <c r="A370" i="35"/>
  <c r="A371" i="35"/>
  <c r="A372" i="35"/>
  <c r="A373" i="35"/>
  <c r="A374" i="35"/>
  <c r="A375" i="35"/>
  <c r="A376" i="35"/>
  <c r="A377" i="35"/>
  <c r="A378" i="35"/>
  <c r="A379" i="35"/>
  <c r="A380" i="35"/>
  <c r="A381" i="35"/>
  <c r="A382" i="35"/>
  <c r="A383" i="35"/>
  <c r="A384" i="35"/>
  <c r="A385" i="35"/>
  <c r="A386" i="35"/>
  <c r="A387" i="35"/>
  <c r="A388" i="35"/>
  <c r="A389" i="35"/>
  <c r="A390" i="35"/>
  <c r="A391" i="35"/>
  <c r="A392" i="35"/>
  <c r="A393" i="35"/>
  <c r="A394" i="35"/>
  <c r="A395" i="35"/>
  <c r="A396" i="35"/>
  <c r="A397" i="35"/>
  <c r="A398" i="35"/>
  <c r="A399" i="35"/>
  <c r="A400" i="35"/>
  <c r="A401" i="35"/>
  <c r="A402" i="35"/>
  <c r="A403" i="35"/>
  <c r="A404" i="35"/>
  <c r="A405" i="35"/>
  <c r="A406" i="35"/>
  <c r="A407" i="35"/>
  <c r="A408" i="35"/>
  <c r="A409" i="35"/>
  <c r="A410" i="35"/>
  <c r="A411" i="35"/>
  <c r="A412" i="35"/>
  <c r="A413" i="35"/>
  <c r="A414" i="35"/>
  <c r="A415" i="35"/>
  <c r="A416" i="35"/>
  <c r="A417" i="35"/>
  <c r="A418" i="35"/>
  <c r="A419" i="35"/>
  <c r="A420" i="35"/>
  <c r="A421" i="35"/>
  <c r="A422" i="35"/>
  <c r="A423" i="35"/>
  <c r="A424" i="35"/>
  <c r="A425" i="35"/>
  <c r="A426" i="35"/>
  <c r="A427" i="35"/>
  <c r="A428" i="35"/>
  <c r="A429" i="35"/>
  <c r="A430" i="35"/>
  <c r="A431" i="35"/>
  <c r="A432" i="35"/>
  <c r="A433" i="35"/>
  <c r="A434" i="35"/>
  <c r="A435" i="35"/>
  <c r="A436" i="35"/>
  <c r="A437" i="35"/>
  <c r="A438" i="35"/>
  <c r="A439" i="35"/>
  <c r="A440" i="35"/>
  <c r="A441" i="35"/>
  <c r="A442" i="35"/>
  <c r="A443" i="35"/>
  <c r="A444" i="35"/>
  <c r="A445" i="35"/>
  <c r="A446" i="35"/>
  <c r="A447" i="35"/>
  <c r="A448" i="35"/>
  <c r="A449" i="35"/>
  <c r="A450" i="35"/>
  <c r="A451" i="35"/>
  <c r="A452" i="35"/>
  <c r="A453" i="35"/>
  <c r="A454" i="35"/>
  <c r="A455" i="35"/>
  <c r="A456" i="35"/>
  <c r="A457" i="35"/>
  <c r="A458" i="35"/>
  <c r="A459" i="35"/>
  <c r="A460" i="35"/>
  <c r="A461" i="35"/>
  <c r="A462" i="35"/>
  <c r="A463" i="35"/>
  <c r="A464" i="35"/>
  <c r="A465" i="35"/>
  <c r="A466" i="35"/>
  <c r="A467" i="35"/>
  <c r="A468" i="35"/>
  <c r="A469" i="35"/>
  <c r="A470" i="35"/>
  <c r="A471" i="35"/>
  <c r="A472" i="35"/>
  <c r="A473" i="35"/>
  <c r="A474" i="35"/>
  <c r="A475" i="35"/>
  <c r="A476" i="35"/>
  <c r="A477" i="35"/>
  <c r="A478" i="35"/>
  <c r="A479" i="35"/>
  <c r="A480" i="35"/>
  <c r="A481" i="35"/>
  <c r="A482" i="35"/>
  <c r="A483" i="35"/>
  <c r="A484" i="35"/>
  <c r="A485" i="35"/>
  <c r="A486" i="35"/>
  <c r="A487" i="35"/>
  <c r="A488" i="35"/>
  <c r="A489" i="35"/>
  <c r="A490" i="35"/>
  <c r="A491" i="35"/>
  <c r="A492" i="35"/>
  <c r="A493" i="35"/>
  <c r="A494" i="35"/>
  <c r="A495" i="35"/>
  <c r="A496" i="35"/>
  <c r="A497" i="35"/>
  <c r="A498" i="35"/>
  <c r="A499" i="35"/>
  <c r="A500" i="35"/>
  <c r="A501" i="35"/>
  <c r="A502" i="35"/>
  <c r="A503" i="35"/>
  <c r="A504" i="35"/>
  <c r="A505" i="35"/>
  <c r="A506" i="35"/>
  <c r="A507" i="35"/>
  <c r="A508" i="35"/>
  <c r="A509" i="35"/>
  <c r="A510" i="35"/>
  <c r="A511" i="35"/>
  <c r="A512" i="35"/>
  <c r="A513" i="35"/>
  <c r="A514" i="35"/>
  <c r="A515" i="35"/>
  <c r="A516" i="35"/>
  <c r="A517" i="35"/>
  <c r="A518" i="35"/>
  <c r="A519" i="35"/>
  <c r="A520" i="35"/>
  <c r="A521" i="35"/>
  <c r="A522" i="35"/>
  <c r="A523" i="35"/>
  <c r="A524" i="35"/>
  <c r="A525" i="35"/>
  <c r="A526" i="35"/>
  <c r="A527" i="35"/>
  <c r="A528" i="35"/>
  <c r="A529" i="35"/>
  <c r="A530" i="35"/>
  <c r="A531" i="35"/>
  <c r="A532" i="35"/>
  <c r="A533" i="35"/>
  <c r="A534" i="35"/>
  <c r="A535" i="35"/>
  <c r="A536" i="35"/>
  <c r="A537" i="35"/>
  <c r="A538" i="35"/>
  <c r="A539" i="35"/>
  <c r="A540" i="35"/>
  <c r="A541" i="35"/>
  <c r="A542" i="35"/>
  <c r="A543" i="35"/>
  <c r="A544" i="35"/>
  <c r="A545" i="35"/>
  <c r="A546" i="35"/>
  <c r="A547" i="35"/>
  <c r="A548" i="35"/>
  <c r="A549" i="35"/>
  <c r="A550" i="35"/>
  <c r="A551" i="35"/>
  <c r="A552" i="35"/>
  <c r="A553" i="35"/>
  <c r="A554" i="35"/>
  <c r="A555" i="35"/>
  <c r="A556" i="35"/>
  <c r="A557" i="35"/>
  <c r="A558" i="35"/>
  <c r="A559" i="35"/>
  <c r="A560" i="35"/>
  <c r="A561" i="35"/>
  <c r="A562" i="35"/>
  <c r="A563" i="35"/>
  <c r="A564" i="35"/>
  <c r="A565" i="35"/>
  <c r="A566" i="35"/>
  <c r="A567" i="35"/>
  <c r="A568" i="35"/>
  <c r="A569" i="35"/>
  <c r="A570" i="35"/>
  <c r="A571" i="35"/>
  <c r="A572" i="35"/>
  <c r="A573" i="35"/>
  <c r="A574" i="35"/>
  <c r="A575" i="35"/>
  <c r="A576" i="35"/>
  <c r="A577" i="35"/>
  <c r="A578" i="35"/>
  <c r="A579" i="35"/>
  <c r="A580" i="35"/>
  <c r="A581" i="35"/>
  <c r="A582" i="35"/>
  <c r="A583" i="35"/>
  <c r="A584" i="35"/>
  <c r="A585" i="35"/>
  <c r="A586" i="35"/>
  <c r="A587" i="35"/>
  <c r="A588" i="35"/>
  <c r="A589" i="35"/>
  <c r="A590" i="35"/>
  <c r="A591" i="35"/>
  <c r="A592" i="35"/>
  <c r="A593" i="35"/>
  <c r="A594" i="35"/>
  <c r="A595" i="35"/>
  <c r="A596" i="35"/>
  <c r="A597" i="35"/>
  <c r="A598" i="35"/>
  <c r="A599" i="35"/>
  <c r="A600" i="35"/>
  <c r="A601" i="35"/>
  <c r="A602" i="35"/>
  <c r="A603" i="35"/>
  <c r="A604" i="35"/>
  <c r="A605" i="35"/>
  <c r="A606" i="35"/>
  <c r="A607" i="35"/>
  <c r="A608" i="35"/>
  <c r="A609" i="35"/>
  <c r="A610" i="35"/>
  <c r="A611" i="35"/>
  <c r="A612" i="35"/>
  <c r="A613" i="35"/>
  <c r="A614" i="35"/>
  <c r="A615" i="35"/>
  <c r="A616" i="35"/>
  <c r="A617" i="35"/>
  <c r="A618" i="35"/>
  <c r="A619" i="35"/>
  <c r="A620" i="35"/>
  <c r="A621" i="35"/>
  <c r="A622" i="35"/>
  <c r="A623" i="35"/>
  <c r="A624" i="35"/>
  <c r="A625" i="35"/>
  <c r="A626" i="35"/>
  <c r="A627" i="35"/>
  <c r="A628" i="35"/>
  <c r="A629" i="35"/>
  <c r="A630" i="35"/>
  <c r="A631" i="35"/>
  <c r="A632" i="35"/>
  <c r="A633" i="35"/>
  <c r="A634" i="35"/>
  <c r="A635" i="35"/>
  <c r="A636" i="35"/>
  <c r="A637" i="35"/>
  <c r="A638" i="35"/>
  <c r="A639" i="35"/>
  <c r="A640" i="35"/>
  <c r="A641" i="35"/>
  <c r="A642" i="35"/>
  <c r="A643" i="35"/>
  <c r="A644" i="35"/>
  <c r="A645" i="35"/>
  <c r="A646" i="35"/>
  <c r="A647" i="35"/>
  <c r="A648" i="35"/>
  <c r="A649" i="35"/>
  <c r="A650" i="35"/>
  <c r="A651" i="35"/>
  <c r="A652" i="35"/>
  <c r="A653" i="35"/>
  <c r="A654" i="35"/>
  <c r="A655" i="35"/>
  <c r="A656" i="35"/>
  <c r="A657" i="35"/>
  <c r="A658" i="35"/>
  <c r="A659" i="35"/>
  <c r="A660" i="35"/>
  <c r="A661" i="35"/>
  <c r="A662" i="35"/>
  <c r="A663" i="35"/>
  <c r="A664" i="35"/>
  <c r="A665" i="35"/>
  <c r="A666" i="35"/>
  <c r="A667" i="35"/>
  <c r="A668" i="35"/>
  <c r="A669" i="35"/>
  <c r="A670" i="35"/>
  <c r="A671" i="35"/>
  <c r="A672" i="35"/>
  <c r="A673" i="35"/>
  <c r="A674" i="35"/>
  <c r="A675" i="35"/>
  <c r="A676" i="35"/>
  <c r="A677" i="35"/>
  <c r="A678" i="35"/>
  <c r="A679" i="35"/>
  <c r="A680" i="35"/>
  <c r="A681" i="35"/>
  <c r="A682" i="35"/>
  <c r="A683" i="35"/>
  <c r="A684" i="35"/>
  <c r="A685" i="35"/>
  <c r="A686" i="35"/>
  <c r="A687" i="35"/>
  <c r="A688" i="35"/>
  <c r="A689" i="35"/>
  <c r="A690" i="35"/>
  <c r="A691" i="35"/>
  <c r="A692" i="35"/>
  <c r="A693" i="35"/>
  <c r="A694" i="35"/>
  <c r="A695" i="35"/>
  <c r="A696" i="35"/>
  <c r="A697" i="35"/>
  <c r="A698" i="35"/>
  <c r="A699" i="35"/>
  <c r="A700" i="35"/>
  <c r="A701" i="35"/>
  <c r="A702" i="35"/>
  <c r="A703" i="35"/>
  <c r="A704" i="35"/>
  <c r="A705" i="35"/>
  <c r="A706" i="35"/>
  <c r="A707" i="35"/>
  <c r="A708" i="35"/>
  <c r="A709" i="35"/>
  <c r="A710" i="35"/>
  <c r="A711" i="35"/>
  <c r="A712" i="35"/>
  <c r="A713" i="35"/>
  <c r="A714" i="35"/>
  <c r="A715" i="35"/>
  <c r="A716" i="35"/>
  <c r="A717" i="35"/>
  <c r="A718" i="35"/>
  <c r="A719" i="35"/>
  <c r="A720" i="35"/>
  <c r="A721" i="35"/>
  <c r="A722" i="35"/>
  <c r="A723" i="35"/>
  <c r="A724" i="35"/>
  <c r="A725" i="35"/>
  <c r="A726" i="35"/>
  <c r="A727" i="35"/>
  <c r="A728" i="35"/>
  <c r="A729" i="35"/>
  <c r="A730" i="35"/>
  <c r="A731" i="35"/>
  <c r="A732" i="35"/>
  <c r="A733" i="35"/>
  <c r="A734" i="35"/>
  <c r="A735" i="35"/>
  <c r="A736" i="35"/>
  <c r="A737" i="35"/>
  <c r="A738" i="35"/>
  <c r="A739" i="35"/>
  <c r="A740" i="35"/>
  <c r="A741" i="35"/>
  <c r="A742" i="35"/>
  <c r="A743" i="35"/>
  <c r="A744" i="35"/>
  <c r="A745" i="35"/>
  <c r="A746" i="35"/>
  <c r="A747" i="35"/>
  <c r="A748" i="35"/>
  <c r="A749" i="35"/>
  <c r="A750" i="35"/>
  <c r="A751" i="35"/>
  <c r="A752" i="35"/>
  <c r="A753" i="35"/>
  <c r="A754" i="35"/>
  <c r="A755" i="35"/>
  <c r="A756" i="35"/>
  <c r="A757" i="35"/>
  <c r="A758" i="35"/>
  <c r="A759" i="35"/>
  <c r="A760" i="35"/>
  <c r="A761" i="35"/>
  <c r="A762" i="35"/>
  <c r="A763" i="35"/>
  <c r="A764" i="35"/>
  <c r="A765" i="35"/>
  <c r="A766" i="35"/>
  <c r="A767" i="35"/>
  <c r="A768" i="35"/>
  <c r="A769" i="35"/>
  <c r="A770" i="35"/>
  <c r="A771" i="35"/>
  <c r="A772" i="35"/>
  <c r="A773" i="35"/>
  <c r="A774" i="35"/>
  <c r="A775" i="35"/>
  <c r="A776" i="35"/>
  <c r="A777" i="35"/>
  <c r="A778" i="35"/>
  <c r="A779" i="35"/>
  <c r="A780" i="35"/>
  <c r="A781" i="35"/>
  <c r="A782" i="35"/>
  <c r="A783" i="35"/>
  <c r="A784" i="35"/>
  <c r="A785" i="35"/>
  <c r="A786" i="35"/>
  <c r="A787" i="35"/>
  <c r="A788" i="35"/>
  <c r="A789" i="35"/>
  <c r="A790" i="35"/>
  <c r="A791" i="35"/>
  <c r="A792" i="35"/>
  <c r="A793" i="35"/>
  <c r="A794" i="35"/>
  <c r="A795" i="35"/>
  <c r="A796" i="35"/>
  <c r="A797" i="35"/>
  <c r="A798" i="35"/>
  <c r="A799" i="35"/>
  <c r="A800" i="35"/>
  <c r="A801" i="35"/>
  <c r="A802" i="35"/>
  <c r="A803" i="35"/>
  <c r="A804" i="35"/>
  <c r="A805" i="35"/>
  <c r="A806" i="35"/>
  <c r="A807" i="35"/>
  <c r="A808" i="35"/>
  <c r="A809" i="35"/>
  <c r="A810" i="35"/>
  <c r="A811" i="35"/>
  <c r="A812" i="35"/>
  <c r="A813" i="35"/>
  <c r="A814" i="35"/>
  <c r="A815" i="35"/>
  <c r="A816" i="35"/>
  <c r="A817" i="35"/>
  <c r="A818" i="35"/>
  <c r="A819" i="35"/>
  <c r="A820" i="35"/>
  <c r="A821" i="35"/>
  <c r="A822" i="35"/>
  <c r="A823" i="35"/>
  <c r="A824" i="35"/>
  <c r="A825" i="35"/>
  <c r="A826" i="35"/>
  <c r="A827" i="35"/>
  <c r="A828" i="35"/>
  <c r="A829" i="35"/>
  <c r="A830" i="35"/>
  <c r="A831" i="35"/>
  <c r="A832" i="35"/>
  <c r="A833" i="35"/>
  <c r="A834" i="35"/>
  <c r="A835" i="35"/>
  <c r="A836" i="35"/>
  <c r="A837" i="35"/>
  <c r="A838" i="35"/>
  <c r="A839" i="35"/>
  <c r="A840" i="35"/>
  <c r="A841" i="35"/>
  <c r="A842" i="35"/>
  <c r="A843" i="35"/>
  <c r="A844" i="35"/>
  <c r="A845" i="35"/>
  <c r="A846" i="35"/>
  <c r="A847" i="35"/>
  <c r="A848" i="35"/>
  <c r="A849" i="35"/>
  <c r="A850" i="35"/>
  <c r="A851" i="35"/>
  <c r="A852" i="35"/>
  <c r="A853" i="35"/>
  <c r="A854" i="35"/>
  <c r="A855" i="35"/>
  <c r="A856" i="35"/>
  <c r="A857" i="35"/>
  <c r="A858" i="35"/>
  <c r="A859" i="35"/>
  <c r="A860" i="35"/>
  <c r="A861" i="35"/>
  <c r="A862" i="35"/>
  <c r="A863" i="35"/>
  <c r="A864" i="35"/>
  <c r="A865" i="35"/>
  <c r="A866" i="35"/>
  <c r="A867" i="35"/>
  <c r="A868" i="35"/>
  <c r="A869" i="35"/>
  <c r="A870" i="35"/>
  <c r="A871" i="35"/>
  <c r="A872" i="35"/>
  <c r="A873" i="35"/>
  <c r="A874" i="35"/>
  <c r="A875" i="35"/>
  <c r="A876" i="35"/>
  <c r="A877" i="35"/>
  <c r="A878" i="35"/>
  <c r="A879" i="35"/>
  <c r="A880" i="35"/>
  <c r="A881" i="35"/>
  <c r="A882" i="35"/>
  <c r="A883" i="35"/>
  <c r="A884" i="35"/>
  <c r="A885" i="35"/>
  <c r="A886" i="35"/>
  <c r="A887" i="35"/>
  <c r="A888" i="35"/>
  <c r="A889" i="35"/>
  <c r="A890" i="35"/>
  <c r="A891" i="35"/>
  <c r="A892" i="35"/>
  <c r="A893" i="35"/>
  <c r="A894" i="35"/>
  <c r="A895" i="35"/>
  <c r="A896" i="35"/>
  <c r="A897" i="35"/>
  <c r="A898" i="35"/>
  <c r="A899" i="35"/>
  <c r="A900" i="35"/>
  <c r="A901" i="35"/>
  <c r="A902" i="35"/>
  <c r="A903" i="35"/>
  <c r="A904" i="35"/>
  <c r="A905" i="35"/>
  <c r="A906" i="35"/>
  <c r="A907" i="35"/>
  <c r="A908" i="35"/>
  <c r="A909" i="35"/>
  <c r="A910" i="35"/>
  <c r="A911" i="35"/>
  <c r="A912" i="35"/>
  <c r="A913" i="35"/>
  <c r="A914" i="35"/>
  <c r="A915" i="35"/>
  <c r="A916" i="35"/>
  <c r="A917" i="35"/>
  <c r="A918" i="35"/>
  <c r="A919" i="35"/>
  <c r="A920" i="35"/>
  <c r="A921" i="35"/>
  <c r="A922" i="35"/>
  <c r="A923" i="35"/>
  <c r="A924" i="35"/>
  <c r="A925" i="35"/>
  <c r="A926" i="35"/>
  <c r="A927" i="35"/>
  <c r="A928" i="35"/>
  <c r="A929" i="35"/>
  <c r="A930" i="35"/>
  <c r="A931" i="35"/>
  <c r="A932" i="35"/>
  <c r="A933" i="35"/>
  <c r="A934" i="35"/>
  <c r="A935" i="35"/>
  <c r="A936" i="35"/>
  <c r="A937" i="35"/>
  <c r="A938" i="35"/>
  <c r="A939" i="35"/>
  <c r="A940" i="35"/>
  <c r="A941" i="35"/>
  <c r="A942" i="35"/>
  <c r="A943" i="35"/>
  <c r="A944" i="35"/>
  <c r="A945" i="35"/>
  <c r="A946" i="35"/>
  <c r="A947" i="35"/>
  <c r="A948" i="35"/>
  <c r="A949" i="35"/>
  <c r="A950" i="35"/>
  <c r="A951" i="35"/>
  <c r="A952" i="35"/>
  <c r="A953" i="35"/>
  <c r="A954" i="35"/>
  <c r="A955" i="35"/>
  <c r="A956" i="35"/>
  <c r="A957" i="35"/>
  <c r="A958" i="35"/>
  <c r="A959" i="35"/>
  <c r="A960" i="35"/>
  <c r="A961" i="35"/>
  <c r="A962" i="35"/>
  <c r="A963" i="35"/>
  <c r="A964" i="35"/>
  <c r="A965" i="35"/>
  <c r="A966" i="35"/>
  <c r="A967" i="35"/>
  <c r="A968" i="35"/>
  <c r="A969" i="35"/>
  <c r="A970" i="35"/>
  <c r="A971" i="35"/>
  <c r="A972" i="35"/>
  <c r="A973" i="35"/>
  <c r="A974" i="35"/>
  <c r="A975" i="35"/>
  <c r="A976" i="35"/>
  <c r="A977" i="35"/>
  <c r="A978" i="35"/>
  <c r="A979" i="35"/>
  <c r="A980" i="35"/>
  <c r="A981" i="35"/>
  <c r="A982" i="35"/>
  <c r="A983" i="35"/>
  <c r="A984" i="35"/>
  <c r="A985" i="35"/>
  <c r="A986" i="35"/>
  <c r="A987" i="35"/>
  <c r="A988" i="35"/>
  <c r="A989" i="35"/>
  <c r="A990" i="35"/>
  <c r="A991" i="35"/>
  <c r="A992" i="35"/>
  <c r="A993" i="35"/>
  <c r="A994" i="35"/>
  <c r="A995" i="35"/>
  <c r="A996" i="35"/>
  <c r="A997" i="35"/>
  <c r="A998" i="35"/>
  <c r="A999" i="35"/>
  <c r="A1000" i="35"/>
  <c r="A1001" i="35"/>
  <c r="A1002" i="35"/>
  <c r="A1003" i="35"/>
  <c r="A1004" i="35"/>
  <c r="A1005" i="35"/>
  <c r="A1006" i="35"/>
  <c r="A1007" i="35"/>
  <c r="A1008" i="35"/>
  <c r="A1009" i="35"/>
  <c r="A1010" i="35"/>
  <c r="A1011" i="35"/>
  <c r="A1012" i="35"/>
  <c r="A1013" i="35"/>
  <c r="A1014" i="35"/>
  <c r="A1015" i="35"/>
  <c r="A1016" i="35"/>
  <c r="A1017" i="35"/>
  <c r="A1018" i="35"/>
  <c r="A1019" i="35"/>
  <c r="A1020" i="35"/>
  <c r="A1021" i="35"/>
  <c r="A1022" i="35"/>
  <c r="A1023" i="35"/>
  <c r="A1024" i="35"/>
  <c r="A1025" i="35"/>
  <c r="A1026" i="35"/>
  <c r="A1027" i="35"/>
  <c r="A1028" i="35"/>
  <c r="A1029" i="35"/>
  <c r="A1030" i="35"/>
  <c r="A1031" i="35"/>
  <c r="A1032" i="35"/>
  <c r="A1033" i="35"/>
  <c r="A1034" i="35"/>
  <c r="A1035" i="35"/>
  <c r="A1036" i="35"/>
  <c r="A1037" i="35"/>
  <c r="A1038" i="35"/>
  <c r="A1039" i="35"/>
  <c r="A1040" i="35"/>
  <c r="A1041" i="35"/>
  <c r="A1042" i="35"/>
  <c r="A1043" i="35"/>
  <c r="A1044" i="35"/>
  <c r="A1045" i="35"/>
  <c r="A1046" i="35"/>
  <c r="A1047" i="35"/>
  <c r="A1048" i="35"/>
  <c r="A1049" i="35"/>
  <c r="A1050" i="35"/>
  <c r="A1051" i="35"/>
  <c r="A1052" i="35"/>
  <c r="A1053" i="35"/>
  <c r="A1054" i="35"/>
  <c r="A1055" i="35"/>
  <c r="A1056" i="35"/>
  <c r="A1057" i="35"/>
  <c r="A1058" i="35"/>
  <c r="A1059" i="35"/>
  <c r="A1060" i="35"/>
  <c r="A1061" i="35"/>
  <c r="A1062" i="35"/>
  <c r="A1063" i="35"/>
  <c r="A1064" i="35"/>
  <c r="A1065" i="35"/>
  <c r="A1066" i="35"/>
  <c r="A1067" i="35"/>
  <c r="A1068" i="35"/>
  <c r="A1069" i="35"/>
  <c r="A1070" i="35"/>
  <c r="A1071" i="35"/>
  <c r="A1072" i="35"/>
  <c r="A1073" i="35"/>
  <c r="A1074" i="35"/>
  <c r="A1075" i="35"/>
  <c r="A1076" i="35"/>
  <c r="A1077" i="35"/>
  <c r="A1078" i="35"/>
  <c r="A1079" i="35"/>
  <c r="A1080" i="35"/>
  <c r="A1081" i="35"/>
  <c r="A1082" i="35"/>
  <c r="A1083" i="35"/>
  <c r="A1084" i="35"/>
  <c r="A1085" i="35"/>
  <c r="A1086" i="35"/>
  <c r="A1087" i="35"/>
  <c r="A1088" i="35"/>
  <c r="A1089" i="35"/>
  <c r="A1090" i="35"/>
  <c r="A1091" i="35"/>
  <c r="A1092" i="35"/>
  <c r="A1093" i="35"/>
  <c r="A1094" i="35"/>
  <c r="A1095" i="35"/>
  <c r="A1096" i="35"/>
  <c r="A1097" i="35"/>
  <c r="A1098" i="35"/>
  <c r="A1099" i="35"/>
  <c r="A1100" i="35"/>
  <c r="A1101" i="35"/>
  <c r="A1102" i="35"/>
  <c r="A1103" i="35"/>
  <c r="A1104" i="35"/>
  <c r="A1105" i="35"/>
  <c r="A1106" i="35"/>
  <c r="A1107" i="35"/>
  <c r="A1108" i="35"/>
  <c r="A1109" i="35"/>
  <c r="A1110" i="35"/>
  <c r="A1111" i="35"/>
  <c r="A1112" i="35"/>
  <c r="A1113" i="35"/>
  <c r="A1114" i="35"/>
  <c r="A1115" i="35"/>
  <c r="A1116" i="35"/>
  <c r="A1117" i="35"/>
  <c r="A1118" i="35"/>
  <c r="A1119" i="35"/>
  <c r="A1120" i="35"/>
  <c r="A1121" i="35"/>
  <c r="A1122" i="35"/>
  <c r="A1123" i="35"/>
  <c r="A1124" i="35"/>
  <c r="A1125" i="35"/>
  <c r="A1126" i="35"/>
  <c r="A1127" i="35"/>
  <c r="A1128" i="35"/>
  <c r="A1129" i="35"/>
  <c r="A1130" i="35"/>
  <c r="A1131" i="35"/>
  <c r="A1132" i="35"/>
  <c r="A1133" i="35"/>
  <c r="A1134" i="35"/>
  <c r="A1135" i="35"/>
  <c r="A1136" i="35"/>
  <c r="A1137" i="35"/>
  <c r="A1138" i="35"/>
  <c r="A1139" i="35"/>
  <c r="A1140" i="35"/>
  <c r="A1141" i="35"/>
  <c r="A1142" i="35"/>
  <c r="A1143" i="35"/>
  <c r="A1144" i="35"/>
  <c r="A1145" i="35"/>
  <c r="A1146" i="35"/>
  <c r="A1147" i="35"/>
  <c r="A1148" i="35"/>
  <c r="A1149" i="35"/>
  <c r="A1150" i="35"/>
  <c r="A1151" i="35"/>
  <c r="A1152" i="35"/>
  <c r="A1153" i="35"/>
  <c r="A1154" i="35"/>
  <c r="A1155" i="35"/>
  <c r="A1156" i="35"/>
  <c r="A1157" i="35"/>
  <c r="A1158" i="35"/>
  <c r="A1159" i="35"/>
  <c r="A1160" i="35"/>
  <c r="A1161" i="35"/>
  <c r="A1162" i="35"/>
  <c r="A1163" i="35"/>
  <c r="A1164" i="35"/>
  <c r="A1165" i="35"/>
  <c r="A1166" i="35"/>
  <c r="A1167" i="35"/>
  <c r="A1168" i="35"/>
  <c r="A1169" i="35"/>
  <c r="A1170" i="35"/>
  <c r="A1171" i="35"/>
  <c r="A1172" i="35"/>
  <c r="A1173" i="35"/>
  <c r="A1174" i="35"/>
  <c r="A1175" i="35"/>
  <c r="A1176" i="35"/>
  <c r="A1177" i="35"/>
  <c r="A1178" i="35"/>
  <c r="A1179" i="35"/>
  <c r="A1180" i="35"/>
  <c r="A1181" i="35"/>
  <c r="A1182" i="35"/>
  <c r="A1183" i="35"/>
  <c r="A1184" i="35"/>
  <c r="A1185" i="35"/>
  <c r="A1186" i="35"/>
  <c r="A1187" i="35"/>
  <c r="A1188" i="35"/>
  <c r="A1189" i="35"/>
  <c r="A1190" i="35"/>
  <c r="A1191" i="35"/>
  <c r="A1192" i="35"/>
  <c r="A1193" i="35"/>
  <c r="A1194" i="35"/>
  <c r="A1195" i="35"/>
  <c r="A1196" i="35"/>
  <c r="A1197" i="35"/>
  <c r="A1198" i="35"/>
  <c r="A1199" i="35"/>
  <c r="A1200" i="35"/>
  <c r="A1201" i="35"/>
  <c r="A1202" i="35"/>
  <c r="A1203" i="35"/>
  <c r="A1204" i="35"/>
  <c r="A1205" i="35"/>
  <c r="A1206" i="35"/>
  <c r="A1207" i="35"/>
  <c r="A1208" i="35"/>
  <c r="A1209" i="35"/>
  <c r="A1210" i="35"/>
  <c r="A1211" i="35"/>
  <c r="A1212" i="35"/>
  <c r="A1213" i="35"/>
  <c r="A1214" i="35"/>
  <c r="A1215" i="35"/>
  <c r="A1216" i="35"/>
  <c r="A1217" i="35"/>
  <c r="A1218" i="35"/>
  <c r="A1219" i="35"/>
  <c r="A1220" i="35"/>
  <c r="A1221" i="35"/>
  <c r="A1222" i="35"/>
  <c r="A1223" i="35"/>
  <c r="A1224" i="35"/>
  <c r="A1225" i="35"/>
  <c r="A1226" i="35"/>
  <c r="A1227" i="35"/>
  <c r="A1228" i="35"/>
  <c r="A1229" i="35"/>
  <c r="A1230" i="35"/>
  <c r="A1231" i="35"/>
  <c r="A1232" i="35"/>
  <c r="A1233" i="35"/>
  <c r="A1234" i="35"/>
  <c r="A1235" i="35"/>
  <c r="A1236" i="35"/>
  <c r="A1237" i="35"/>
  <c r="A1238" i="35"/>
  <c r="A1239" i="35"/>
  <c r="A1240" i="35"/>
  <c r="A1241" i="35"/>
  <c r="A1242" i="35"/>
  <c r="A1243" i="35"/>
  <c r="A1244" i="35"/>
  <c r="A1245" i="35"/>
  <c r="A1246" i="35"/>
  <c r="A1247" i="35"/>
  <c r="A1248" i="35"/>
  <c r="A1249" i="35"/>
  <c r="A1250" i="35"/>
  <c r="A1251" i="35"/>
  <c r="A1252" i="35"/>
  <c r="A1253" i="35"/>
  <c r="A1254" i="35"/>
  <c r="A1255" i="35"/>
  <c r="A1256" i="35"/>
  <c r="A1257" i="35"/>
  <c r="A1258" i="35"/>
  <c r="A1259" i="35"/>
  <c r="A1260" i="35"/>
  <c r="A1261" i="35"/>
  <c r="A1262" i="35"/>
  <c r="A1263" i="35"/>
  <c r="A1264" i="35"/>
  <c r="A1265" i="35"/>
  <c r="A1266" i="35"/>
  <c r="A1267" i="35"/>
  <c r="A1268" i="35"/>
  <c r="A1269" i="35"/>
  <c r="A1270" i="35"/>
  <c r="A1271" i="35"/>
  <c r="A1272" i="35"/>
  <c r="A1273" i="35"/>
  <c r="A1274" i="35"/>
  <c r="A1275" i="35"/>
  <c r="A1276" i="35"/>
  <c r="A1277" i="35"/>
  <c r="A1278" i="35"/>
  <c r="A1279" i="35"/>
  <c r="A1280" i="35"/>
  <c r="A1281" i="35"/>
  <c r="A1282" i="35"/>
  <c r="A1283" i="35"/>
  <c r="A1284" i="35"/>
  <c r="A1285" i="35"/>
  <c r="A1286" i="35"/>
  <c r="A1287" i="35"/>
  <c r="A1288" i="35"/>
  <c r="A1289" i="35"/>
  <c r="A1290" i="35"/>
  <c r="A1291" i="35"/>
  <c r="A1292" i="35"/>
  <c r="A1293" i="35"/>
  <c r="A1294" i="35"/>
  <c r="A1295" i="35"/>
  <c r="A1296" i="35"/>
  <c r="A1297" i="35"/>
  <c r="A1298" i="35"/>
  <c r="A1299" i="35"/>
  <c r="A1300" i="35"/>
  <c r="A1301" i="35"/>
  <c r="A1302" i="35"/>
  <c r="A1303" i="35"/>
  <c r="A1304" i="35"/>
  <c r="A1305" i="35"/>
  <c r="A1306" i="35"/>
  <c r="A1307" i="35"/>
  <c r="A1308" i="35"/>
  <c r="A1309" i="35"/>
  <c r="A1310" i="35"/>
  <c r="A1311" i="35"/>
  <c r="A1312" i="35"/>
  <c r="A1313" i="35"/>
  <c r="A1314" i="35"/>
  <c r="A1315" i="35"/>
  <c r="A1316" i="35"/>
  <c r="A1317" i="35"/>
  <c r="A1318" i="35"/>
  <c r="A1319" i="35"/>
  <c r="A1320" i="35"/>
  <c r="A1321" i="35"/>
  <c r="A1322" i="35"/>
  <c r="A1323" i="35"/>
  <c r="A1324" i="35"/>
  <c r="A1325" i="35"/>
  <c r="A1326" i="35"/>
  <c r="A1327" i="35"/>
  <c r="A1328" i="35"/>
  <c r="A1329" i="35"/>
  <c r="A1330" i="35"/>
  <c r="A1331" i="35"/>
  <c r="A1332" i="35"/>
  <c r="A1333" i="35"/>
  <c r="A1334" i="35"/>
  <c r="A1335" i="35"/>
  <c r="A1336" i="35"/>
  <c r="A1337" i="35"/>
  <c r="A1338" i="35"/>
  <c r="A1339" i="35"/>
  <c r="A1340" i="35"/>
  <c r="A1341" i="35"/>
  <c r="A1342" i="35"/>
  <c r="A1343" i="35"/>
  <c r="A1344" i="35"/>
  <c r="A1345" i="35"/>
  <c r="A1346" i="35"/>
  <c r="A1347" i="35"/>
  <c r="A1348" i="35"/>
  <c r="A1349" i="35"/>
  <c r="A1350" i="35"/>
  <c r="A1351" i="35"/>
  <c r="A1352" i="35"/>
  <c r="A1353" i="35"/>
  <c r="A1354" i="35"/>
  <c r="A1355" i="35"/>
  <c r="A1356" i="35"/>
  <c r="A1357" i="35"/>
  <c r="A1358" i="35"/>
  <c r="A1359" i="35"/>
  <c r="A1360" i="35"/>
  <c r="A1361" i="35"/>
  <c r="A1362" i="35"/>
  <c r="A1363" i="35"/>
  <c r="A1364" i="35"/>
  <c r="A1365" i="35"/>
  <c r="A1366" i="35"/>
  <c r="A1367" i="35"/>
  <c r="A1368" i="35"/>
  <c r="A1369" i="35"/>
  <c r="A1370" i="35"/>
  <c r="A1371" i="35"/>
  <c r="A1372" i="35"/>
  <c r="A1373" i="35"/>
  <c r="A1374" i="35"/>
  <c r="A1375" i="35"/>
  <c r="A1376" i="35"/>
  <c r="A1377" i="35"/>
  <c r="A1378" i="35"/>
  <c r="A1379" i="35"/>
  <c r="A1380" i="35"/>
  <c r="A1381" i="35"/>
  <c r="A1382" i="35"/>
  <c r="A1383" i="35"/>
  <c r="A1384" i="35"/>
  <c r="A1385" i="35"/>
  <c r="A1386" i="35"/>
  <c r="A1387" i="35"/>
  <c r="A1388" i="35"/>
  <c r="A1389" i="35"/>
  <c r="A1390" i="35"/>
  <c r="A1391" i="35"/>
  <c r="A1392" i="35"/>
  <c r="A1393" i="35"/>
  <c r="A1394" i="35"/>
  <c r="A1395" i="35"/>
  <c r="A1396" i="35"/>
  <c r="A1397" i="35"/>
  <c r="A1398" i="35"/>
  <c r="A1399" i="35"/>
  <c r="A1400" i="35"/>
  <c r="A1401" i="35"/>
  <c r="A1402" i="35"/>
  <c r="A1403" i="35"/>
  <c r="A1404" i="35"/>
  <c r="A1405" i="35"/>
  <c r="A1406" i="35"/>
  <c r="A1407" i="35"/>
  <c r="A1408" i="35"/>
  <c r="A1409" i="35"/>
  <c r="A1410" i="35"/>
  <c r="A1411" i="35"/>
  <c r="A1412" i="35"/>
  <c r="A1413" i="35"/>
  <c r="A1414" i="35"/>
  <c r="A1415" i="35"/>
  <c r="A1416" i="35"/>
  <c r="A1417" i="35"/>
  <c r="A1418" i="35"/>
  <c r="A1419" i="35"/>
  <c r="A1420" i="35"/>
  <c r="A1421" i="35"/>
  <c r="A1422" i="35"/>
  <c r="A1423" i="35"/>
  <c r="A1424" i="35"/>
  <c r="A1425" i="35"/>
  <c r="A1426" i="35"/>
  <c r="A1427" i="35"/>
  <c r="A1428" i="35"/>
  <c r="A1429" i="35"/>
  <c r="A1430" i="35"/>
  <c r="A1431" i="35"/>
  <c r="A1432" i="35"/>
  <c r="A1433" i="35"/>
  <c r="A1434" i="35"/>
  <c r="A1435" i="35"/>
  <c r="A1436" i="35"/>
  <c r="A1437" i="35"/>
  <c r="A1438" i="35"/>
  <c r="A1439" i="35"/>
  <c r="A1440" i="35"/>
  <c r="A1441" i="35"/>
  <c r="A1442" i="35"/>
  <c r="A1443" i="35"/>
  <c r="A1444" i="35"/>
  <c r="A1445" i="35"/>
  <c r="A1446" i="35"/>
  <c r="A1447" i="35"/>
  <c r="A1448" i="35"/>
  <c r="A1449" i="35"/>
  <c r="A1450" i="35"/>
  <c r="A1451" i="35"/>
  <c r="A1452" i="35"/>
  <c r="A1453" i="35"/>
  <c r="A1454" i="35"/>
  <c r="A1455" i="35"/>
  <c r="A1456" i="35"/>
  <c r="A1457" i="35"/>
  <c r="A1458" i="35"/>
  <c r="A1459" i="35"/>
  <c r="A1460" i="35"/>
  <c r="A1461" i="35"/>
  <c r="A1462" i="35"/>
  <c r="A1463" i="35"/>
  <c r="A1464" i="35"/>
  <c r="A1465" i="35"/>
  <c r="A1466" i="35"/>
  <c r="A1467" i="35"/>
  <c r="A1468" i="35"/>
  <c r="A1469" i="35"/>
  <c r="A1470" i="35"/>
  <c r="A1471" i="35"/>
  <c r="A1472" i="35"/>
  <c r="A1473" i="35"/>
  <c r="A1474" i="35"/>
  <c r="A1475" i="35"/>
  <c r="A1476" i="35"/>
  <c r="A1477" i="35"/>
  <c r="A1478" i="35"/>
  <c r="A1479" i="35"/>
  <c r="A1480" i="35"/>
  <c r="A1481" i="35"/>
  <c r="A1482" i="35"/>
  <c r="A1483" i="35"/>
  <c r="A1484" i="35"/>
  <c r="A1485" i="35"/>
  <c r="A1486" i="35"/>
  <c r="A1487" i="35"/>
  <c r="A1488" i="35"/>
  <c r="A1489" i="35"/>
  <c r="A1490" i="35"/>
  <c r="A1491" i="35"/>
  <c r="A1492" i="35"/>
  <c r="A1493" i="35"/>
  <c r="A1494" i="35"/>
  <c r="A1495" i="35"/>
  <c r="A1496" i="35"/>
  <c r="A1497" i="35"/>
  <c r="A1498" i="35"/>
  <c r="A1499" i="35"/>
  <c r="A1500" i="35"/>
  <c r="A1501" i="35"/>
  <c r="A1502" i="35"/>
  <c r="A1503" i="35"/>
  <c r="A1504" i="35"/>
  <c r="A1505" i="35"/>
  <c r="A1506" i="35"/>
  <c r="A1507" i="35"/>
  <c r="A1508" i="35"/>
  <c r="A1509" i="35"/>
  <c r="A1510" i="35"/>
  <c r="A1511" i="35"/>
  <c r="A1512" i="35"/>
  <c r="A1513" i="35"/>
  <c r="A1514" i="35"/>
  <c r="A1515" i="35"/>
  <c r="A1516" i="35"/>
  <c r="A1517" i="35"/>
  <c r="A1518" i="35"/>
  <c r="A1519" i="35"/>
  <c r="A1520" i="35"/>
  <c r="A1521" i="35"/>
  <c r="A1522" i="35"/>
  <c r="A1523" i="35"/>
  <c r="A1524" i="35"/>
  <c r="A1525" i="35"/>
  <c r="A1526" i="35"/>
  <c r="A1527" i="35"/>
  <c r="A1528" i="35"/>
  <c r="A1529" i="35"/>
  <c r="A1530" i="35"/>
  <c r="A1531" i="35"/>
  <c r="A1532" i="35"/>
  <c r="A1533" i="35"/>
  <c r="A1534" i="35"/>
  <c r="A1535" i="35"/>
  <c r="A1536" i="35"/>
  <c r="A1537" i="35"/>
  <c r="A1538" i="35"/>
  <c r="A1539" i="35"/>
  <c r="A1540" i="35"/>
  <c r="A1541" i="35"/>
  <c r="A1542" i="35"/>
  <c r="A1543" i="35"/>
  <c r="A1544" i="35"/>
  <c r="A1545" i="35"/>
  <c r="A1546" i="35"/>
  <c r="A1547" i="35"/>
  <c r="A1548" i="35"/>
  <c r="A1549" i="35"/>
  <c r="A1550" i="35"/>
  <c r="A1551" i="35"/>
  <c r="A1552" i="35"/>
  <c r="A1553" i="35"/>
  <c r="A1554" i="35"/>
  <c r="A1555" i="35"/>
  <c r="A1556" i="35"/>
  <c r="A1557" i="35"/>
  <c r="B40" i="10" l="1"/>
  <c r="C40" i="10"/>
  <c r="D40" i="10"/>
  <c r="E40" i="10"/>
  <c r="B41" i="10"/>
  <c r="C41" i="10"/>
  <c r="D41" i="10"/>
  <c r="E41" i="10"/>
  <c r="B42" i="10"/>
  <c r="C42" i="10"/>
  <c r="D42" i="10"/>
  <c r="E42" i="10"/>
  <c r="B43" i="10"/>
  <c r="C43" i="10"/>
  <c r="D43" i="10"/>
  <c r="B44" i="10"/>
  <c r="C44" i="10"/>
  <c r="D44" i="10"/>
  <c r="E44" i="10"/>
  <c r="B45" i="10"/>
  <c r="C45" i="10"/>
  <c r="D45" i="10"/>
  <c r="E45" i="10"/>
  <c r="B46" i="10"/>
  <c r="C46" i="10"/>
  <c r="D46" i="10"/>
  <c r="E46" i="10"/>
  <c r="B47" i="10"/>
  <c r="C47" i="10"/>
  <c r="D47" i="10"/>
  <c r="E47" i="10"/>
  <c r="B48" i="10"/>
  <c r="C48" i="10"/>
  <c r="D48" i="10"/>
  <c r="E48" i="10"/>
  <c r="B49" i="10"/>
  <c r="C49" i="10"/>
  <c r="D49" i="10"/>
  <c r="E49" i="10"/>
  <c r="B50" i="10"/>
  <c r="C50" i="10"/>
  <c r="D50" i="10"/>
  <c r="E50" i="10"/>
  <c r="B51" i="10"/>
  <c r="C51" i="10"/>
  <c r="D51" i="10"/>
  <c r="E51" i="10"/>
  <c r="B52" i="10"/>
  <c r="C52" i="10"/>
  <c r="D52" i="10"/>
  <c r="E52" i="10"/>
  <c r="B53" i="10"/>
  <c r="C53" i="10"/>
  <c r="D53" i="10"/>
  <c r="E53" i="10"/>
  <c r="B54" i="10"/>
  <c r="C54" i="10"/>
  <c r="D54" i="10"/>
  <c r="E54" i="10"/>
  <c r="B55" i="10"/>
  <c r="C55" i="10"/>
  <c r="D55" i="10"/>
  <c r="E55" i="10"/>
  <c r="B56" i="10"/>
  <c r="C56" i="10"/>
  <c r="D56" i="10"/>
  <c r="E56" i="10"/>
  <c r="B57" i="10"/>
  <c r="C57" i="10"/>
  <c r="D57" i="10"/>
  <c r="E57" i="10"/>
  <c r="B58" i="10"/>
  <c r="C58" i="10"/>
  <c r="D58" i="10"/>
  <c r="E58" i="10"/>
  <c r="C39" i="10"/>
  <c r="D39" i="10"/>
  <c r="B39" i="10"/>
  <c r="R4" i="1" l="1"/>
  <c r="R4" i="33"/>
  <c r="R4" i="23"/>
  <c r="A7" i="10"/>
  <c r="A8" i="10"/>
  <c r="A9" i="10"/>
  <c r="A10" i="10"/>
  <c r="A11" i="10"/>
  <c r="A12" i="10"/>
  <c r="A13" i="10"/>
  <c r="A14" i="10"/>
  <c r="A7" i="22"/>
  <c r="A8" i="22"/>
  <c r="A9" i="22"/>
  <c r="A10" i="22"/>
  <c r="A11" i="22"/>
  <c r="A20" i="10"/>
  <c r="A12" i="22" s="1"/>
  <c r="A21" i="10"/>
  <c r="A13" i="22" s="1"/>
  <c r="A22" i="10"/>
  <c r="A14" i="22" s="1"/>
  <c r="A23" i="10"/>
  <c r="A15" i="22" s="1"/>
  <c r="A24" i="10"/>
  <c r="A16" i="22" s="1"/>
  <c r="A25" i="10"/>
  <c r="A17" i="22" s="1"/>
  <c r="A26" i="10"/>
  <c r="A18" i="22" s="1"/>
  <c r="A27" i="10"/>
  <c r="A19" i="22" s="1"/>
  <c r="A28" i="10"/>
  <c r="A20" i="22" s="1"/>
  <c r="A29" i="10"/>
  <c r="A21" i="22" s="1"/>
  <c r="A30" i="10"/>
  <c r="A22" i="22" s="1"/>
  <c r="A31" i="10"/>
  <c r="A23" i="22" s="1"/>
  <c r="A32" i="10"/>
  <c r="A24" i="22" s="1"/>
  <c r="A33" i="10"/>
  <c r="A25" i="22" s="1"/>
  <c r="A34" i="10"/>
  <c r="A26" i="22" s="1"/>
  <c r="A35" i="10"/>
  <c r="A36" i="10"/>
  <c r="A37" i="10"/>
  <c r="A38" i="10"/>
  <c r="Q4" i="33" s="1"/>
  <c r="A44" i="10"/>
  <c r="A45" i="10"/>
  <c r="A46" i="10"/>
  <c r="A47" i="10"/>
  <c r="A48" i="10"/>
  <c r="A49" i="10"/>
  <c r="A50" i="10"/>
  <c r="A51" i="10"/>
  <c r="A52" i="10"/>
  <c r="A53" i="10"/>
  <c r="A54" i="10"/>
  <c r="A55" i="10"/>
  <c r="A56" i="10"/>
  <c r="A57" i="10"/>
  <c r="A58" i="10"/>
  <c r="V4" i="33" l="1"/>
  <c r="V4" i="1"/>
  <c r="V4" i="23"/>
  <c r="U4" i="23"/>
  <c r="U4" i="33"/>
  <c r="U4" i="1"/>
  <c r="T4" i="33"/>
  <c r="T4" i="23"/>
  <c r="T4" i="1"/>
  <c r="S4" i="23"/>
  <c r="S4" i="1"/>
  <c r="S4" i="33"/>
  <c r="B2" i="37"/>
  <c r="B3" i="37"/>
  <c r="B4" i="37"/>
  <c r="B5" i="37"/>
  <c r="B6" i="37"/>
  <c r="B7" i="37"/>
  <c r="B8" i="37"/>
  <c r="B9" i="37"/>
  <c r="B10" i="37"/>
  <c r="B11" i="37"/>
  <c r="B12" i="37"/>
  <c r="B13" i="37"/>
  <c r="B14" i="37"/>
  <c r="B15" i="37"/>
  <c r="B16" i="37"/>
  <c r="B17" i="37"/>
  <c r="B18" i="37"/>
  <c r="B19" i="37"/>
  <c r="B20" i="37"/>
  <c r="B21" i="37"/>
  <c r="B22" i="37"/>
  <c r="B23" i="37"/>
  <c r="B24" i="37"/>
  <c r="B25" i="37"/>
  <c r="B26" i="37"/>
  <c r="B27" i="37"/>
  <c r="B28" i="37"/>
  <c r="B29" i="37"/>
  <c r="B30" i="37"/>
  <c r="B31" i="37"/>
  <c r="B32" i="37"/>
  <c r="B33" i="37"/>
  <c r="B34" i="37"/>
  <c r="B35" i="37"/>
  <c r="B36" i="37"/>
  <c r="B37" i="37"/>
  <c r="B38" i="37"/>
  <c r="B39" i="37"/>
  <c r="B40" i="37"/>
  <c r="B41" i="37"/>
  <c r="B42" i="37"/>
  <c r="B43" i="37"/>
  <c r="B44" i="37"/>
  <c r="B45" i="37"/>
  <c r="B46" i="37"/>
  <c r="B47" i="37"/>
  <c r="B48" i="37"/>
  <c r="B49" i="37"/>
  <c r="B50" i="37"/>
  <c r="B51" i="37"/>
  <c r="B52" i="37"/>
  <c r="B53" i="37"/>
  <c r="B54" i="37"/>
  <c r="B55" i="37"/>
  <c r="B56" i="37"/>
  <c r="B57" i="37"/>
  <c r="B58" i="37"/>
  <c r="B59" i="37"/>
  <c r="B60" i="37"/>
  <c r="B61" i="37"/>
  <c r="B62" i="37"/>
  <c r="B63" i="37"/>
  <c r="B64" i="37"/>
  <c r="B65" i="37"/>
  <c r="B66" i="37"/>
  <c r="B67" i="37"/>
  <c r="B68" i="37"/>
  <c r="B69" i="37"/>
  <c r="B70" i="37"/>
  <c r="B71" i="37"/>
  <c r="B72" i="37"/>
  <c r="B73" i="37"/>
  <c r="B74" i="37"/>
  <c r="B75" i="37"/>
  <c r="B76" i="37"/>
  <c r="B77" i="37"/>
  <c r="B78" i="37"/>
  <c r="B79" i="37"/>
  <c r="B80" i="37"/>
  <c r="B81" i="37"/>
  <c r="B82" i="37"/>
  <c r="B83" i="37"/>
  <c r="B84" i="37"/>
  <c r="B85" i="37"/>
  <c r="B86" i="37"/>
  <c r="B87" i="37"/>
  <c r="B88" i="37"/>
  <c r="B89" i="37"/>
  <c r="B90" i="37"/>
  <c r="B91" i="37"/>
  <c r="B92" i="37"/>
  <c r="B93" i="37"/>
  <c r="B94" i="37"/>
  <c r="B95" i="37"/>
  <c r="B96" i="37"/>
  <c r="B97" i="37"/>
  <c r="B98" i="37"/>
  <c r="B99" i="37"/>
  <c r="B100" i="37"/>
  <c r="B101" i="37"/>
  <c r="B102" i="37"/>
  <c r="B103" i="37"/>
  <c r="B104" i="37"/>
  <c r="B105" i="37"/>
  <c r="B106" i="37"/>
  <c r="B107" i="37"/>
  <c r="B108" i="37"/>
  <c r="B109" i="37"/>
  <c r="B110" i="37"/>
  <c r="B111" i="37"/>
  <c r="B112" i="37"/>
  <c r="B113" i="37"/>
  <c r="B114" i="37"/>
  <c r="B115" i="37"/>
  <c r="B116" i="37"/>
  <c r="B117" i="37"/>
  <c r="B118" i="37"/>
  <c r="B119" i="37"/>
  <c r="B120" i="37"/>
  <c r="B121" i="37"/>
  <c r="B122" i="37"/>
  <c r="B123" i="37"/>
  <c r="B124" i="37"/>
  <c r="B125" i="37"/>
  <c r="B126" i="37"/>
  <c r="B127" i="37"/>
  <c r="B128" i="37"/>
  <c r="B129" i="37"/>
  <c r="B130" i="37"/>
  <c r="B131" i="37"/>
  <c r="B132" i="37"/>
  <c r="B133" i="37"/>
  <c r="B134" i="37"/>
  <c r="B135" i="37"/>
  <c r="B136" i="37"/>
  <c r="B137" i="37"/>
  <c r="B138" i="37"/>
  <c r="B139" i="37"/>
  <c r="B140" i="37"/>
  <c r="B141" i="37"/>
  <c r="B142" i="37"/>
  <c r="B143" i="37"/>
  <c r="B144" i="37"/>
  <c r="B145" i="37"/>
  <c r="B146" i="37"/>
  <c r="B147" i="37"/>
  <c r="B148" i="37"/>
  <c r="B149" i="37"/>
  <c r="B150" i="37"/>
  <c r="B151" i="37"/>
  <c r="B152" i="37"/>
  <c r="B153" i="37"/>
  <c r="B154" i="37"/>
  <c r="B155" i="37"/>
  <c r="B156" i="37"/>
  <c r="B157" i="37"/>
  <c r="B158" i="37"/>
  <c r="B159" i="37"/>
  <c r="B160" i="37"/>
  <c r="B161" i="37"/>
  <c r="B162" i="37"/>
  <c r="B163" i="37"/>
  <c r="B164" i="37"/>
  <c r="B165" i="37"/>
  <c r="B166" i="37"/>
  <c r="B167" i="37"/>
  <c r="B168" i="37"/>
  <c r="B169" i="37"/>
  <c r="B170" i="37"/>
  <c r="B171" i="37"/>
  <c r="B172" i="37"/>
  <c r="B173" i="37"/>
  <c r="B174" i="37"/>
  <c r="B175" i="37"/>
  <c r="B176" i="37"/>
  <c r="B177" i="37"/>
  <c r="B178" i="37"/>
  <c r="B179" i="37"/>
  <c r="B180" i="37"/>
  <c r="B181" i="37"/>
  <c r="B182" i="37"/>
  <c r="B183" i="37"/>
  <c r="B184" i="37"/>
  <c r="B185" i="37"/>
  <c r="B186" i="37"/>
  <c r="B187" i="37"/>
  <c r="B188" i="37"/>
  <c r="B189" i="37"/>
  <c r="B190" i="37"/>
  <c r="B191" i="37"/>
  <c r="B192" i="37"/>
  <c r="B193" i="37"/>
  <c r="B194" i="37"/>
  <c r="B195" i="37"/>
  <c r="B196" i="37"/>
  <c r="B197" i="37"/>
  <c r="B198" i="37"/>
  <c r="B199" i="37"/>
  <c r="B200" i="37"/>
  <c r="B201" i="37"/>
  <c r="B202" i="37"/>
  <c r="B203" i="37"/>
  <c r="B204" i="37"/>
  <c r="B205" i="37"/>
  <c r="B206" i="37"/>
  <c r="B207" i="37"/>
  <c r="B208" i="37"/>
  <c r="B209" i="37"/>
  <c r="B210" i="37"/>
  <c r="B211" i="37"/>
  <c r="B212" i="37"/>
  <c r="B213" i="37"/>
  <c r="B214" i="37"/>
  <c r="B215" i="37"/>
  <c r="B216" i="37"/>
  <c r="B217" i="37"/>
  <c r="B218" i="37"/>
  <c r="B219" i="37"/>
  <c r="B220" i="37"/>
  <c r="B221" i="37"/>
  <c r="B222" i="37"/>
  <c r="B223" i="37"/>
  <c r="B224" i="37"/>
  <c r="B225" i="37"/>
  <c r="B226" i="37"/>
  <c r="B227" i="37"/>
  <c r="B228" i="37"/>
  <c r="B229" i="37"/>
  <c r="B230" i="37"/>
  <c r="B231" i="37"/>
  <c r="B232" i="37"/>
  <c r="B233" i="37"/>
  <c r="B234" i="37"/>
  <c r="B235" i="37"/>
  <c r="B236" i="37"/>
  <c r="B237" i="37"/>
  <c r="B238" i="37"/>
  <c r="B239" i="37"/>
  <c r="B240" i="37"/>
  <c r="B241" i="37"/>
  <c r="B242" i="37"/>
  <c r="B243" i="37"/>
  <c r="B244" i="37"/>
  <c r="B245" i="37"/>
  <c r="B246" i="37"/>
  <c r="B247" i="37"/>
  <c r="B248" i="37"/>
  <c r="B249" i="37"/>
  <c r="B250" i="37"/>
  <c r="B251" i="37"/>
  <c r="B252" i="37"/>
  <c r="B253" i="37"/>
  <c r="B254" i="37"/>
  <c r="B255" i="37"/>
  <c r="B256" i="37"/>
  <c r="B257" i="37"/>
  <c r="B258" i="37"/>
  <c r="B259" i="37"/>
  <c r="B260" i="37"/>
  <c r="B261" i="37"/>
  <c r="B262" i="37"/>
  <c r="B263" i="37"/>
  <c r="B264" i="37"/>
  <c r="B265" i="37"/>
  <c r="B266" i="37"/>
  <c r="B267" i="37"/>
  <c r="B268" i="37"/>
  <c r="B269" i="37"/>
  <c r="B270" i="37"/>
  <c r="B271" i="37"/>
  <c r="B272" i="37"/>
  <c r="B273" i="37"/>
  <c r="B274" i="37"/>
  <c r="B275" i="37"/>
  <c r="B276" i="37"/>
  <c r="B277" i="37"/>
  <c r="B278" i="37"/>
  <c r="B279" i="37"/>
  <c r="B280" i="37"/>
  <c r="B281" i="37"/>
  <c r="B282" i="37"/>
  <c r="B283" i="37"/>
  <c r="B284" i="37"/>
  <c r="B285" i="37"/>
  <c r="B286" i="37"/>
  <c r="B287" i="37"/>
  <c r="B288" i="37"/>
  <c r="B289" i="37"/>
  <c r="B290" i="37"/>
  <c r="B291" i="37"/>
  <c r="B292" i="37"/>
  <c r="B293" i="37"/>
  <c r="B294" i="37"/>
  <c r="B295" i="37"/>
  <c r="B296" i="37"/>
  <c r="B297" i="37"/>
  <c r="B298" i="37"/>
  <c r="B299" i="37"/>
  <c r="B300" i="37"/>
  <c r="B301" i="37"/>
  <c r="B302" i="37"/>
  <c r="B303" i="37"/>
  <c r="B304" i="37"/>
  <c r="B305" i="37"/>
  <c r="B306" i="37"/>
  <c r="B307" i="37"/>
  <c r="B308" i="37"/>
  <c r="B309" i="37"/>
  <c r="B310" i="37"/>
  <c r="B311" i="37"/>
  <c r="B312" i="37"/>
  <c r="B313" i="37"/>
  <c r="B314" i="37"/>
  <c r="B315" i="37"/>
  <c r="B316" i="37"/>
  <c r="B317" i="37"/>
  <c r="B318" i="37"/>
  <c r="B319" i="37"/>
  <c r="B320" i="37"/>
  <c r="B321" i="37"/>
  <c r="B322" i="37"/>
  <c r="B323" i="37"/>
  <c r="B324" i="37"/>
  <c r="B325" i="37"/>
  <c r="B326" i="37"/>
  <c r="B327" i="37"/>
  <c r="B328" i="37"/>
  <c r="B329" i="37"/>
  <c r="B330" i="37"/>
  <c r="B331" i="37"/>
  <c r="B332" i="37"/>
  <c r="B333" i="37"/>
  <c r="B334" i="37"/>
  <c r="B335" i="37"/>
  <c r="B336" i="37"/>
  <c r="B337" i="37"/>
  <c r="B338" i="37"/>
  <c r="B339" i="37"/>
  <c r="B340" i="37"/>
  <c r="B341" i="37"/>
  <c r="B342" i="37"/>
  <c r="B343" i="37"/>
  <c r="B344" i="37"/>
  <c r="B345" i="37"/>
  <c r="B346" i="37"/>
  <c r="B347" i="37"/>
  <c r="B348" i="37"/>
  <c r="B349" i="37"/>
  <c r="B350" i="37"/>
  <c r="B351" i="37"/>
  <c r="B352" i="37"/>
  <c r="B353" i="37"/>
  <c r="B354" i="37"/>
  <c r="B355" i="37"/>
  <c r="B356" i="37"/>
  <c r="B357" i="37"/>
  <c r="B358" i="37"/>
  <c r="B359" i="37"/>
  <c r="B360" i="37"/>
  <c r="B361" i="37"/>
  <c r="B362" i="37"/>
  <c r="B363" i="37"/>
  <c r="B364" i="37"/>
  <c r="B365" i="37"/>
  <c r="B366" i="37"/>
  <c r="B367" i="37"/>
  <c r="B368" i="37"/>
  <c r="B369" i="37"/>
  <c r="B370" i="37"/>
  <c r="B371" i="37"/>
  <c r="B372" i="37"/>
  <c r="B373" i="37"/>
  <c r="B374" i="37"/>
  <c r="B375" i="37"/>
  <c r="B376" i="37"/>
  <c r="B377" i="37"/>
  <c r="B378" i="37"/>
  <c r="B379" i="37"/>
  <c r="B380" i="37"/>
  <c r="B381" i="37"/>
  <c r="B382" i="37"/>
  <c r="B383" i="37"/>
  <c r="B384" i="37"/>
  <c r="B385" i="37"/>
  <c r="B386" i="37"/>
  <c r="B387" i="37"/>
  <c r="B388" i="37"/>
  <c r="B389" i="37"/>
  <c r="B390" i="37"/>
  <c r="B391" i="37"/>
  <c r="B392" i="37"/>
  <c r="B393" i="37"/>
  <c r="B394" i="37"/>
  <c r="B395" i="37"/>
  <c r="B396" i="37"/>
  <c r="B397" i="37"/>
  <c r="B398" i="37"/>
  <c r="B399" i="37"/>
  <c r="B400" i="37"/>
  <c r="B401" i="37"/>
  <c r="B402" i="37"/>
  <c r="B403" i="37"/>
  <c r="B404" i="37"/>
  <c r="B405" i="37"/>
  <c r="B406" i="37"/>
  <c r="B407" i="37"/>
  <c r="B408" i="37"/>
  <c r="B409" i="37"/>
  <c r="B410" i="37"/>
  <c r="B411" i="37"/>
  <c r="B412" i="37"/>
  <c r="B413" i="37"/>
  <c r="B414" i="37"/>
  <c r="B415" i="37"/>
  <c r="B416" i="37"/>
  <c r="B417" i="37"/>
  <c r="B418" i="37"/>
  <c r="B419" i="37"/>
  <c r="B420" i="37"/>
  <c r="B421" i="37"/>
  <c r="B422" i="37"/>
  <c r="B423" i="37"/>
  <c r="B424" i="37"/>
  <c r="B425" i="37"/>
  <c r="B426" i="37"/>
  <c r="B427" i="37"/>
  <c r="B428" i="37"/>
  <c r="B429" i="37"/>
  <c r="B430" i="37"/>
  <c r="B431" i="37"/>
  <c r="B432" i="37"/>
  <c r="B433" i="37"/>
  <c r="B434" i="37"/>
  <c r="B435" i="37"/>
  <c r="B436" i="37"/>
  <c r="B437" i="37"/>
  <c r="B438" i="37"/>
  <c r="B439" i="37"/>
  <c r="B440" i="37"/>
  <c r="B441" i="37"/>
  <c r="B442" i="37"/>
  <c r="B443" i="37"/>
  <c r="B444" i="37"/>
  <c r="B445" i="37"/>
  <c r="B446" i="37"/>
  <c r="B447" i="37"/>
  <c r="B448" i="37"/>
  <c r="B449" i="37"/>
  <c r="B450" i="37"/>
  <c r="B451" i="37"/>
  <c r="B452" i="37"/>
  <c r="B453" i="37"/>
  <c r="B454" i="37"/>
  <c r="B455" i="37"/>
  <c r="B456" i="37"/>
  <c r="B457" i="37"/>
  <c r="B458" i="37"/>
  <c r="B459" i="37"/>
  <c r="B460" i="37"/>
  <c r="B461" i="37"/>
  <c r="B462" i="37"/>
  <c r="B463" i="37"/>
  <c r="B464" i="37"/>
  <c r="B465" i="37"/>
  <c r="B466" i="37"/>
  <c r="B467" i="37"/>
  <c r="B468" i="37"/>
  <c r="B469" i="37"/>
  <c r="B470" i="37"/>
  <c r="B471" i="37"/>
  <c r="B472" i="37"/>
  <c r="B473" i="37"/>
  <c r="B474" i="37"/>
  <c r="B475" i="37"/>
  <c r="B476" i="37"/>
  <c r="B477" i="37"/>
  <c r="B478" i="37"/>
  <c r="B479" i="37"/>
  <c r="B480" i="37"/>
  <c r="B481" i="37"/>
  <c r="B482" i="37"/>
  <c r="B483" i="37"/>
  <c r="B484" i="37"/>
  <c r="B485" i="37"/>
  <c r="B486" i="37"/>
  <c r="B487" i="37"/>
  <c r="B488" i="37"/>
  <c r="B489" i="37"/>
  <c r="B490" i="37"/>
  <c r="B491" i="37"/>
  <c r="B492" i="37"/>
  <c r="B493" i="37"/>
  <c r="B494" i="37"/>
  <c r="B495" i="37"/>
  <c r="B496" i="37"/>
  <c r="B497" i="37"/>
  <c r="B498" i="37"/>
  <c r="B499" i="37"/>
  <c r="B500" i="37"/>
  <c r="B501" i="37"/>
  <c r="B502" i="37"/>
  <c r="B503" i="37"/>
  <c r="B504" i="37"/>
  <c r="B505" i="37"/>
  <c r="B506" i="37"/>
  <c r="B507" i="37"/>
  <c r="B508" i="37"/>
  <c r="B509" i="37"/>
  <c r="B510" i="37"/>
  <c r="B511" i="37"/>
  <c r="B512" i="37"/>
  <c r="B513" i="37"/>
  <c r="B514" i="37"/>
  <c r="B515" i="37"/>
  <c r="B516" i="37"/>
  <c r="B517" i="37"/>
  <c r="B518" i="37"/>
  <c r="B519" i="37"/>
  <c r="B520" i="37"/>
  <c r="B521" i="37"/>
  <c r="B522" i="37"/>
  <c r="B523" i="37"/>
  <c r="B524" i="37"/>
  <c r="B525" i="37"/>
  <c r="B526" i="37"/>
  <c r="B527" i="37"/>
  <c r="B528" i="37"/>
  <c r="B529" i="37"/>
  <c r="B530" i="37"/>
  <c r="B531" i="37"/>
  <c r="B532" i="37"/>
  <c r="B533" i="37"/>
  <c r="B534" i="37"/>
  <c r="B535" i="37"/>
  <c r="B536" i="37"/>
  <c r="B537" i="37"/>
  <c r="B538" i="37"/>
  <c r="B539" i="37"/>
  <c r="B540" i="37"/>
  <c r="B541" i="37"/>
  <c r="B542" i="37"/>
  <c r="B543" i="37"/>
  <c r="B544" i="37"/>
  <c r="B545" i="37"/>
  <c r="B546" i="37"/>
  <c r="B547" i="37"/>
  <c r="B548" i="37"/>
  <c r="B549" i="37"/>
  <c r="B550" i="37"/>
  <c r="B551" i="37"/>
  <c r="B552" i="37"/>
  <c r="B553" i="37"/>
  <c r="B554" i="37"/>
  <c r="B555" i="37"/>
  <c r="B556" i="37"/>
  <c r="B557" i="37"/>
  <c r="B558" i="37"/>
  <c r="B559" i="37"/>
  <c r="B560" i="37"/>
  <c r="B561" i="37"/>
  <c r="B562" i="37"/>
  <c r="B563" i="37"/>
  <c r="B564" i="37"/>
  <c r="B565" i="37"/>
  <c r="B566" i="37"/>
  <c r="B567" i="37"/>
  <c r="B568" i="37"/>
  <c r="B569" i="37"/>
  <c r="B570" i="37"/>
  <c r="B571" i="37"/>
  <c r="B572" i="37"/>
  <c r="B573" i="37"/>
  <c r="B574" i="37"/>
  <c r="B575" i="37"/>
  <c r="B576" i="37"/>
  <c r="B577" i="37"/>
  <c r="B578" i="37"/>
  <c r="B579" i="37"/>
  <c r="B580" i="37"/>
  <c r="B581" i="37"/>
  <c r="B582" i="37"/>
  <c r="B583" i="37"/>
  <c r="B584" i="37"/>
  <c r="B585" i="37"/>
  <c r="B586" i="37"/>
  <c r="B587" i="37"/>
  <c r="B588" i="37"/>
  <c r="B589" i="37"/>
  <c r="B590" i="37"/>
  <c r="B591" i="37"/>
  <c r="B592" i="37"/>
  <c r="B593" i="37"/>
  <c r="B594" i="37"/>
  <c r="B595" i="37"/>
  <c r="B596" i="37"/>
  <c r="B597" i="37"/>
  <c r="B598" i="37"/>
  <c r="B599" i="37"/>
  <c r="B600" i="37"/>
  <c r="B601" i="37"/>
  <c r="B602" i="37"/>
  <c r="B603" i="37"/>
  <c r="B604" i="37"/>
  <c r="B605" i="37"/>
  <c r="B606" i="37"/>
  <c r="B607" i="37"/>
  <c r="B608" i="37"/>
  <c r="B609" i="37"/>
  <c r="B610" i="37"/>
  <c r="B611" i="37"/>
  <c r="B612" i="37"/>
  <c r="B613" i="37"/>
  <c r="B614" i="37"/>
  <c r="B615" i="37"/>
  <c r="B616" i="37"/>
  <c r="B617" i="37"/>
  <c r="B618" i="37"/>
  <c r="B619" i="37"/>
  <c r="B620" i="37"/>
  <c r="B621" i="37"/>
  <c r="B622" i="37"/>
  <c r="B623" i="37"/>
  <c r="B624" i="37"/>
  <c r="B625" i="37"/>
  <c r="B626" i="37"/>
  <c r="B627" i="37"/>
  <c r="B628" i="37"/>
  <c r="B629" i="37"/>
  <c r="B630" i="37"/>
  <c r="B631" i="37"/>
  <c r="B632" i="37"/>
  <c r="B633" i="37"/>
  <c r="B634" i="37"/>
  <c r="B635" i="37"/>
  <c r="B636" i="37"/>
  <c r="B637" i="37"/>
  <c r="B638" i="37"/>
  <c r="B639" i="37"/>
  <c r="B640" i="37"/>
  <c r="B641" i="37"/>
  <c r="B642" i="37"/>
  <c r="B643" i="37"/>
  <c r="B644" i="37"/>
  <c r="B645" i="37"/>
  <c r="B646" i="37"/>
  <c r="B647" i="37"/>
  <c r="B648" i="37"/>
  <c r="B649" i="37"/>
  <c r="B650" i="37"/>
  <c r="B651" i="37"/>
  <c r="B652" i="37"/>
  <c r="B653" i="37"/>
  <c r="B654" i="37"/>
  <c r="B655" i="37"/>
  <c r="B656" i="37"/>
  <c r="B657" i="37"/>
  <c r="B658" i="37"/>
  <c r="B659" i="37"/>
  <c r="B660" i="37"/>
  <c r="B661" i="37"/>
  <c r="B662" i="37"/>
  <c r="B663" i="37"/>
  <c r="B664" i="37"/>
  <c r="B665" i="37"/>
  <c r="B666" i="37"/>
  <c r="B667" i="37"/>
  <c r="B668" i="37"/>
  <c r="B669" i="37"/>
  <c r="B670" i="37"/>
  <c r="B671" i="37"/>
  <c r="B672" i="37"/>
  <c r="B673" i="37"/>
  <c r="B674" i="37"/>
  <c r="B675" i="37"/>
  <c r="B676" i="37"/>
  <c r="B677" i="37"/>
  <c r="B678" i="37"/>
  <c r="B679" i="37"/>
  <c r="B680" i="37"/>
  <c r="B681" i="37"/>
  <c r="B682" i="37"/>
  <c r="B683" i="37"/>
  <c r="B684" i="37"/>
  <c r="B685" i="37"/>
  <c r="B686" i="37"/>
  <c r="B687" i="37"/>
  <c r="B688" i="37"/>
  <c r="B689" i="37"/>
  <c r="B690" i="37"/>
  <c r="B691" i="37"/>
  <c r="B692" i="37"/>
  <c r="B693" i="37"/>
  <c r="B694" i="37"/>
  <c r="B695" i="37"/>
  <c r="B696" i="37"/>
  <c r="B697" i="37"/>
  <c r="B698" i="37"/>
  <c r="B699" i="37"/>
  <c r="B700" i="37"/>
  <c r="B701" i="37"/>
  <c r="B702" i="37"/>
  <c r="B703" i="37"/>
  <c r="B704" i="37"/>
  <c r="B705" i="37"/>
  <c r="B706" i="37"/>
  <c r="B707" i="37"/>
  <c r="B708" i="37"/>
  <c r="B709" i="37"/>
  <c r="B710" i="37"/>
  <c r="B711" i="37"/>
  <c r="B712" i="37"/>
  <c r="B713" i="37"/>
  <c r="B714" i="37"/>
  <c r="B715" i="37"/>
  <c r="B716" i="37"/>
  <c r="B717" i="37"/>
  <c r="B718" i="37"/>
  <c r="B719" i="37"/>
  <c r="B720" i="37"/>
  <c r="B721" i="37"/>
  <c r="B722" i="37"/>
  <c r="B723" i="37"/>
  <c r="B724" i="37"/>
  <c r="B725" i="37"/>
  <c r="B726" i="37"/>
  <c r="B727" i="37"/>
  <c r="B728" i="37"/>
  <c r="B729" i="37"/>
  <c r="B730" i="37"/>
  <c r="B731" i="37"/>
  <c r="B732" i="37"/>
  <c r="B733" i="37"/>
  <c r="B734" i="37"/>
  <c r="B735" i="37"/>
  <c r="B736" i="37"/>
  <c r="B737" i="37"/>
  <c r="B738" i="37"/>
  <c r="B739" i="37"/>
  <c r="B740" i="37"/>
  <c r="B741" i="37"/>
  <c r="B742" i="37"/>
  <c r="B743" i="37"/>
  <c r="B744" i="37"/>
  <c r="B745" i="37"/>
  <c r="B746" i="37"/>
  <c r="B747" i="37"/>
  <c r="B748" i="37"/>
  <c r="B749" i="37"/>
  <c r="B750" i="37"/>
  <c r="B751" i="37"/>
  <c r="B752" i="37"/>
  <c r="B753" i="37"/>
  <c r="B754" i="37"/>
  <c r="B755" i="37"/>
  <c r="B756" i="37"/>
  <c r="B757" i="37"/>
  <c r="B758" i="37"/>
  <c r="B759" i="37"/>
  <c r="B760" i="37"/>
  <c r="B761" i="37"/>
  <c r="B762" i="37"/>
  <c r="B763" i="37"/>
  <c r="B764" i="37"/>
  <c r="B765" i="37"/>
  <c r="B766" i="37"/>
  <c r="B767" i="37"/>
  <c r="B768" i="37"/>
  <c r="B769" i="37"/>
  <c r="B770" i="37"/>
  <c r="B771" i="37"/>
  <c r="B772" i="37"/>
  <c r="B773" i="37"/>
  <c r="B774" i="37"/>
  <c r="B775" i="37"/>
  <c r="B776" i="37"/>
  <c r="B777" i="37"/>
  <c r="B778" i="37"/>
  <c r="B779" i="37"/>
  <c r="B780" i="37"/>
  <c r="B781" i="37"/>
  <c r="B782" i="37"/>
  <c r="B783" i="37"/>
  <c r="B784" i="37"/>
  <c r="B785" i="37"/>
  <c r="B786" i="37"/>
  <c r="B787" i="37"/>
  <c r="B788" i="37"/>
  <c r="B789" i="37"/>
  <c r="B790" i="37"/>
  <c r="B791" i="37"/>
  <c r="B792" i="37"/>
  <c r="B793" i="37"/>
  <c r="B794" i="37"/>
  <c r="B795" i="37"/>
  <c r="B796" i="37"/>
  <c r="B797" i="37"/>
  <c r="B798" i="37"/>
  <c r="B799" i="37"/>
  <c r="B800" i="37"/>
  <c r="B801" i="37"/>
  <c r="B802" i="37"/>
  <c r="B803" i="37"/>
  <c r="B804" i="37"/>
  <c r="B805" i="37"/>
  <c r="B806" i="37"/>
  <c r="B807" i="37"/>
  <c r="B808" i="37"/>
  <c r="B809" i="37"/>
  <c r="B810" i="37"/>
  <c r="B811" i="37"/>
  <c r="B812" i="37"/>
  <c r="B813" i="37"/>
  <c r="B814" i="37"/>
  <c r="B815" i="37"/>
  <c r="B816" i="37"/>
  <c r="B817" i="37"/>
  <c r="B818" i="37"/>
  <c r="B819" i="37"/>
  <c r="B820" i="37"/>
  <c r="B821" i="37"/>
  <c r="B822" i="37"/>
  <c r="B823" i="37"/>
  <c r="B824" i="37"/>
  <c r="B825" i="37"/>
  <c r="B826" i="37"/>
  <c r="B827" i="37"/>
  <c r="B828" i="37"/>
  <c r="B829" i="37"/>
  <c r="B830" i="37"/>
  <c r="B831" i="37"/>
  <c r="B832" i="37"/>
  <c r="B833" i="37"/>
  <c r="B834" i="37"/>
  <c r="B835" i="37"/>
  <c r="B836" i="37"/>
  <c r="B837" i="37"/>
  <c r="B838" i="37"/>
  <c r="B839" i="37"/>
  <c r="B840" i="37"/>
  <c r="B841" i="37"/>
  <c r="B842" i="37"/>
  <c r="B843" i="37"/>
  <c r="B844" i="37"/>
  <c r="B845" i="37"/>
  <c r="B846" i="37"/>
  <c r="B847" i="37"/>
  <c r="B848" i="37"/>
  <c r="B849" i="37"/>
  <c r="B850" i="37"/>
  <c r="B851" i="37"/>
  <c r="B852" i="37"/>
  <c r="B853" i="37"/>
  <c r="B854" i="37"/>
  <c r="B855" i="37"/>
  <c r="B856" i="37"/>
  <c r="B857" i="37"/>
  <c r="B858" i="37"/>
  <c r="B859" i="37"/>
  <c r="B860" i="37"/>
  <c r="B861" i="37"/>
  <c r="B862" i="37"/>
  <c r="B863" i="37"/>
  <c r="B864" i="37"/>
  <c r="B865" i="37"/>
  <c r="B866" i="37"/>
  <c r="B867" i="37"/>
  <c r="B868" i="37"/>
  <c r="B869" i="37"/>
  <c r="B870" i="37"/>
  <c r="B871" i="37"/>
  <c r="B872" i="37"/>
  <c r="B873" i="37"/>
  <c r="B874" i="37"/>
  <c r="B875" i="37"/>
  <c r="B876" i="37"/>
  <c r="B877" i="37"/>
  <c r="B878" i="37"/>
  <c r="B879" i="37"/>
  <c r="B880" i="37"/>
  <c r="B881" i="37"/>
  <c r="B882" i="37"/>
  <c r="B883" i="37"/>
  <c r="B884" i="37"/>
  <c r="B885" i="37"/>
  <c r="B886" i="37"/>
  <c r="B887" i="37"/>
  <c r="B888" i="37"/>
  <c r="B889" i="37"/>
  <c r="B890" i="37"/>
  <c r="B891" i="37"/>
  <c r="B892" i="37"/>
  <c r="B893" i="37"/>
  <c r="B894" i="37"/>
  <c r="B895" i="37"/>
  <c r="B896" i="37"/>
  <c r="B897" i="37"/>
  <c r="B898" i="37"/>
  <c r="B899" i="37"/>
  <c r="B900" i="37"/>
  <c r="B901" i="37"/>
  <c r="B902" i="37"/>
  <c r="B903" i="37"/>
  <c r="B904" i="37"/>
  <c r="B905" i="37"/>
  <c r="B906" i="37"/>
  <c r="B907" i="37"/>
  <c r="B908" i="37"/>
  <c r="B909" i="37"/>
  <c r="B910" i="37"/>
  <c r="B911" i="37"/>
  <c r="B912" i="37"/>
  <c r="B913" i="37"/>
  <c r="B914" i="37"/>
  <c r="B915" i="37"/>
  <c r="B916" i="37"/>
  <c r="B917" i="37"/>
  <c r="B918" i="37"/>
  <c r="B919" i="37"/>
  <c r="B920" i="37"/>
  <c r="B921" i="37"/>
  <c r="B922" i="37"/>
  <c r="B923" i="37"/>
  <c r="B924" i="37"/>
  <c r="B925" i="37"/>
  <c r="B926" i="37"/>
  <c r="B927" i="37"/>
  <c r="B928" i="37"/>
  <c r="B929" i="37"/>
  <c r="B930" i="37"/>
  <c r="B931" i="37"/>
  <c r="B932" i="37"/>
  <c r="B933" i="37"/>
  <c r="B934" i="37"/>
  <c r="B935" i="37"/>
  <c r="B936" i="37"/>
  <c r="B937" i="37"/>
  <c r="B938" i="37"/>
  <c r="B939" i="37"/>
  <c r="B940" i="37"/>
  <c r="B941" i="37"/>
  <c r="B942" i="37"/>
  <c r="B943" i="37"/>
  <c r="B944" i="37"/>
  <c r="B945" i="37"/>
  <c r="B946" i="37"/>
  <c r="B947" i="37"/>
  <c r="B948" i="37"/>
  <c r="B949" i="37"/>
  <c r="B950" i="37"/>
  <c r="B951" i="37"/>
  <c r="B952" i="37"/>
  <c r="B953" i="37"/>
  <c r="B954" i="37"/>
  <c r="B955" i="37"/>
  <c r="B956" i="37"/>
  <c r="B957" i="37"/>
  <c r="B958" i="37"/>
  <c r="B959" i="37"/>
  <c r="B960" i="37"/>
  <c r="B961" i="37"/>
  <c r="B962" i="37"/>
  <c r="B963" i="37"/>
  <c r="B964" i="37"/>
  <c r="B965" i="37"/>
  <c r="B966" i="37"/>
  <c r="B967" i="37"/>
  <c r="B968" i="37"/>
  <c r="B969" i="37"/>
  <c r="B970" i="37"/>
  <c r="B971" i="37"/>
  <c r="B972" i="37"/>
  <c r="B973" i="37"/>
  <c r="B974" i="37"/>
  <c r="B975" i="37"/>
  <c r="B976" i="37"/>
  <c r="B977" i="37"/>
  <c r="B978" i="37"/>
  <c r="B979" i="37"/>
  <c r="B980" i="37"/>
  <c r="B981" i="37"/>
  <c r="B982" i="37"/>
  <c r="B983" i="37"/>
  <c r="B984" i="37"/>
  <c r="B985" i="37"/>
  <c r="B986" i="37"/>
  <c r="B987" i="37"/>
  <c r="B988" i="37"/>
  <c r="B989" i="37"/>
  <c r="B990" i="37"/>
  <c r="B991" i="37"/>
  <c r="B992" i="37"/>
  <c r="B993" i="37"/>
  <c r="B994" i="37"/>
  <c r="B995" i="37"/>
  <c r="B996" i="37"/>
  <c r="B997" i="37"/>
  <c r="B998" i="37"/>
  <c r="B999" i="37"/>
  <c r="B1000" i="37"/>
  <c r="B1001" i="37"/>
  <c r="B1002" i="37"/>
  <c r="B1003" i="37"/>
  <c r="B1004" i="37"/>
  <c r="B1005" i="37"/>
  <c r="B1006" i="37"/>
  <c r="B1007" i="37"/>
  <c r="B1008" i="37"/>
  <c r="B1009" i="37"/>
  <c r="B1010" i="37"/>
  <c r="B2" i="36"/>
  <c r="B3" i="36"/>
  <c r="B4" i="36"/>
  <c r="B5" i="36"/>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139" i="36"/>
  <c r="B140" i="36"/>
  <c r="B141" i="36"/>
  <c r="B142" i="36"/>
  <c r="B143" i="36"/>
  <c r="B144" i="36"/>
  <c r="B145" i="36"/>
  <c r="B146" i="36"/>
  <c r="B147" i="36"/>
  <c r="B148" i="36"/>
  <c r="B149" i="36"/>
  <c r="B150" i="36"/>
  <c r="B151" i="36"/>
  <c r="B152" i="36"/>
  <c r="B153" i="36"/>
  <c r="B154" i="36"/>
  <c r="B155" i="36"/>
  <c r="B156" i="36"/>
  <c r="B157" i="36"/>
  <c r="B158" i="36"/>
  <c r="B159" i="36"/>
  <c r="B160" i="36"/>
  <c r="B161" i="36"/>
  <c r="B162" i="36"/>
  <c r="B163" i="36"/>
  <c r="B164" i="36"/>
  <c r="B165" i="36"/>
  <c r="B166" i="36"/>
  <c r="B167" i="36"/>
  <c r="B168" i="36"/>
  <c r="B169" i="36"/>
  <c r="B170" i="36"/>
  <c r="B171" i="36"/>
  <c r="B172" i="36"/>
  <c r="B173" i="36"/>
  <c r="B174" i="36"/>
  <c r="B175" i="36"/>
  <c r="B176" i="36"/>
  <c r="B177" i="36"/>
  <c r="B178" i="36"/>
  <c r="B179" i="36"/>
  <c r="B180" i="36"/>
  <c r="B181" i="36"/>
  <c r="B182" i="36"/>
  <c r="B183" i="36"/>
  <c r="B184" i="36"/>
  <c r="B185" i="36"/>
  <c r="B186" i="36"/>
  <c r="B187" i="36"/>
  <c r="B188" i="36"/>
  <c r="B189" i="36"/>
  <c r="B190" i="36"/>
  <c r="B191" i="36"/>
  <c r="B192" i="36"/>
  <c r="B193" i="36"/>
  <c r="B194" i="36"/>
  <c r="B195" i="36"/>
  <c r="B196" i="36"/>
  <c r="B197" i="36"/>
  <c r="B198" i="36"/>
  <c r="B199" i="36"/>
  <c r="B200" i="36"/>
  <c r="B201" i="36"/>
  <c r="B202" i="36"/>
  <c r="B203" i="36"/>
  <c r="B204" i="36"/>
  <c r="B205" i="36"/>
  <c r="B206" i="36"/>
  <c r="B207" i="36"/>
  <c r="B208" i="36"/>
  <c r="B209" i="36"/>
  <c r="B210" i="36"/>
  <c r="B211" i="36"/>
  <c r="B212" i="36"/>
  <c r="B213" i="36"/>
  <c r="B214" i="36"/>
  <c r="B215" i="36"/>
  <c r="B216" i="36"/>
  <c r="B217" i="36"/>
  <c r="B218" i="36"/>
  <c r="B219" i="36"/>
  <c r="B220" i="36"/>
  <c r="B221" i="36"/>
  <c r="B222" i="36"/>
  <c r="B223" i="36"/>
  <c r="B224" i="36"/>
  <c r="B225" i="36"/>
  <c r="B226" i="36"/>
  <c r="B227" i="36"/>
  <c r="B228" i="36"/>
  <c r="B229" i="36"/>
  <c r="B230" i="36"/>
  <c r="B231" i="36"/>
  <c r="B232" i="36"/>
  <c r="B233" i="36"/>
  <c r="B234" i="36"/>
  <c r="B235" i="36"/>
  <c r="B236" i="36"/>
  <c r="B237" i="36"/>
  <c r="B238" i="36"/>
  <c r="B239" i="36"/>
  <c r="B240" i="36"/>
  <c r="B241" i="36"/>
  <c r="B242" i="36"/>
  <c r="B243" i="36"/>
  <c r="B244" i="36"/>
  <c r="B245" i="36"/>
  <c r="B246" i="36"/>
  <c r="B247" i="36"/>
  <c r="B248" i="36"/>
  <c r="B249" i="36"/>
  <c r="B250" i="36"/>
  <c r="B251" i="36"/>
  <c r="B252" i="36"/>
  <c r="B253" i="36"/>
  <c r="B254" i="36"/>
  <c r="B255" i="36"/>
  <c r="B256" i="36"/>
  <c r="B257" i="36"/>
  <c r="B258" i="36"/>
  <c r="B259" i="36"/>
  <c r="B260" i="36"/>
  <c r="B261" i="36"/>
  <c r="B262" i="36"/>
  <c r="B263" i="36"/>
  <c r="B264" i="36"/>
  <c r="B265" i="36"/>
  <c r="B266" i="36"/>
  <c r="B267" i="36"/>
  <c r="B268" i="36"/>
  <c r="B269" i="36"/>
  <c r="B270" i="36"/>
  <c r="B271" i="36"/>
  <c r="B272" i="36"/>
  <c r="B273" i="36"/>
  <c r="B274" i="36"/>
  <c r="B275" i="36"/>
  <c r="B276" i="36"/>
  <c r="B277" i="36"/>
  <c r="B278" i="36"/>
  <c r="B279" i="36"/>
  <c r="B280" i="36"/>
  <c r="B281" i="36"/>
  <c r="B282" i="36"/>
  <c r="B283" i="36"/>
  <c r="B284" i="36"/>
  <c r="B285" i="36"/>
  <c r="B286" i="36"/>
  <c r="B287" i="36"/>
  <c r="B288" i="36"/>
  <c r="B289" i="36"/>
  <c r="B290" i="36"/>
  <c r="B291" i="36"/>
  <c r="B292" i="36"/>
  <c r="B293" i="36"/>
  <c r="B294" i="36"/>
  <c r="B295" i="36"/>
  <c r="B296" i="36"/>
  <c r="B297" i="36"/>
  <c r="B298" i="36"/>
  <c r="B299" i="36"/>
  <c r="B300" i="36"/>
  <c r="B301" i="36"/>
  <c r="B302" i="36"/>
  <c r="B303" i="36"/>
  <c r="B304" i="36"/>
  <c r="B305" i="36"/>
  <c r="B306" i="36"/>
  <c r="B307" i="36"/>
  <c r="B308" i="36"/>
  <c r="B309" i="36"/>
  <c r="B310" i="36"/>
  <c r="B311" i="36"/>
  <c r="B312" i="36"/>
  <c r="B313" i="36"/>
  <c r="B314" i="36"/>
  <c r="B315" i="36"/>
  <c r="B316" i="36"/>
  <c r="B317" i="36"/>
  <c r="B318" i="36"/>
  <c r="B319" i="36"/>
  <c r="B320" i="36"/>
  <c r="B321" i="36"/>
  <c r="B322" i="36"/>
  <c r="B323" i="36"/>
  <c r="B324" i="36"/>
  <c r="B325" i="36"/>
  <c r="B326" i="36"/>
  <c r="B327" i="36"/>
  <c r="B328" i="36"/>
  <c r="B329" i="36"/>
  <c r="B330" i="36"/>
  <c r="B331" i="36"/>
  <c r="B332" i="36"/>
  <c r="B333" i="36"/>
  <c r="B334" i="36"/>
  <c r="B335" i="36"/>
  <c r="B336" i="36"/>
  <c r="B337" i="36"/>
  <c r="B338" i="36"/>
  <c r="B339" i="36"/>
  <c r="B340" i="36"/>
  <c r="B341" i="36"/>
  <c r="B342" i="36"/>
  <c r="B343" i="36"/>
  <c r="B344" i="36"/>
  <c r="B345" i="36"/>
  <c r="B346" i="36"/>
  <c r="B347" i="36"/>
  <c r="B348" i="36"/>
  <c r="B349" i="36"/>
  <c r="B350" i="36"/>
  <c r="B351" i="36"/>
  <c r="B352" i="36"/>
  <c r="B353" i="36"/>
  <c r="B354" i="36"/>
  <c r="B355" i="36"/>
  <c r="B356" i="36"/>
  <c r="B357" i="36"/>
  <c r="B358" i="36"/>
  <c r="B359" i="36"/>
  <c r="B360" i="36"/>
  <c r="B361" i="36"/>
  <c r="B362" i="36"/>
  <c r="B363" i="36"/>
  <c r="B364" i="36"/>
  <c r="B365" i="36"/>
  <c r="B366" i="36"/>
  <c r="B367" i="36"/>
  <c r="B368" i="36"/>
  <c r="B369" i="36"/>
  <c r="B370" i="36"/>
  <c r="B371" i="36"/>
  <c r="B372" i="36"/>
  <c r="B373" i="36"/>
  <c r="B374" i="36"/>
  <c r="B375" i="36"/>
  <c r="B376" i="36"/>
  <c r="B377" i="36"/>
  <c r="B378" i="36"/>
  <c r="B379" i="36"/>
  <c r="B380" i="36"/>
  <c r="B381" i="36"/>
  <c r="B382" i="36"/>
  <c r="B383" i="36"/>
  <c r="B384" i="36"/>
  <c r="B385" i="36"/>
  <c r="B386" i="36"/>
  <c r="B387" i="36"/>
  <c r="B388" i="36"/>
  <c r="B389" i="36"/>
  <c r="B390" i="36"/>
  <c r="B391" i="36"/>
  <c r="B392" i="36"/>
  <c r="B393" i="36"/>
  <c r="B394" i="36"/>
  <c r="B395" i="36"/>
  <c r="B396" i="36"/>
  <c r="B397" i="36"/>
  <c r="B398" i="36"/>
  <c r="B399" i="36"/>
  <c r="B400" i="36"/>
  <c r="B401" i="36"/>
  <c r="B402" i="36"/>
  <c r="B403" i="36"/>
  <c r="B404" i="36"/>
  <c r="B405" i="36"/>
  <c r="B406" i="36"/>
  <c r="B407" i="36"/>
  <c r="B408" i="36"/>
  <c r="B409" i="36"/>
  <c r="B410" i="36"/>
  <c r="B411" i="36"/>
  <c r="B412" i="36"/>
  <c r="B413" i="36"/>
  <c r="B414" i="36"/>
  <c r="B415" i="36"/>
  <c r="B416" i="36"/>
  <c r="B417" i="36"/>
  <c r="B418" i="36"/>
  <c r="B419" i="36"/>
  <c r="B420" i="36"/>
  <c r="B421" i="36"/>
  <c r="B422" i="36"/>
  <c r="B423" i="36"/>
  <c r="B424" i="36"/>
  <c r="B425" i="36"/>
  <c r="B426" i="36"/>
  <c r="B427" i="36"/>
  <c r="B428" i="36"/>
  <c r="B429" i="36"/>
  <c r="B430" i="36"/>
  <c r="B431" i="36"/>
  <c r="B432" i="36"/>
  <c r="B433" i="36"/>
  <c r="B434" i="36"/>
  <c r="B435" i="36"/>
  <c r="B436" i="36"/>
  <c r="B437" i="36"/>
  <c r="B438" i="36"/>
  <c r="B439" i="36"/>
  <c r="B440" i="36"/>
  <c r="B441" i="36"/>
  <c r="B442" i="36"/>
  <c r="B443" i="36"/>
  <c r="B444" i="36"/>
  <c r="B445" i="36"/>
  <c r="B446" i="36"/>
  <c r="B447" i="36"/>
  <c r="B448" i="36"/>
  <c r="B449" i="36"/>
  <c r="B450" i="36"/>
  <c r="B451" i="36"/>
  <c r="B452" i="36"/>
  <c r="B453" i="36"/>
  <c r="B454" i="36"/>
  <c r="B455" i="36"/>
  <c r="B456" i="36"/>
  <c r="B457" i="36"/>
  <c r="B458" i="36"/>
  <c r="B459" i="36"/>
  <c r="B460" i="36"/>
  <c r="B461" i="36"/>
  <c r="B462" i="36"/>
  <c r="B463" i="36"/>
  <c r="B464" i="36"/>
  <c r="B465" i="36"/>
  <c r="B466" i="36"/>
  <c r="B467" i="36"/>
  <c r="B468" i="36"/>
  <c r="B469" i="36"/>
  <c r="B470" i="36"/>
  <c r="B471" i="36"/>
  <c r="B472" i="36"/>
  <c r="B473" i="36"/>
  <c r="B474" i="36"/>
  <c r="B475" i="36"/>
  <c r="B476" i="36"/>
  <c r="B477" i="36"/>
  <c r="B478" i="36"/>
  <c r="B479" i="36"/>
  <c r="B480" i="36"/>
  <c r="B481" i="36"/>
  <c r="B482" i="36"/>
  <c r="B483" i="36"/>
  <c r="B484" i="36"/>
  <c r="B485" i="36"/>
  <c r="B486" i="36"/>
  <c r="B487" i="36"/>
  <c r="B488" i="36"/>
  <c r="B489" i="36"/>
  <c r="B490" i="36"/>
  <c r="B491" i="36"/>
  <c r="B492" i="36"/>
  <c r="B493" i="36"/>
  <c r="B494" i="36"/>
  <c r="B495" i="36"/>
  <c r="B496" i="36"/>
  <c r="B497" i="36"/>
  <c r="B498" i="36"/>
  <c r="B499" i="36"/>
  <c r="B500" i="36"/>
  <c r="B501" i="36"/>
  <c r="B502" i="36"/>
  <c r="B503" i="36"/>
  <c r="B504" i="36"/>
  <c r="B505" i="36"/>
  <c r="B506" i="36"/>
  <c r="B507" i="36"/>
  <c r="B508" i="36"/>
  <c r="B509" i="36"/>
  <c r="B510" i="36"/>
  <c r="B511" i="36"/>
  <c r="B512" i="36"/>
  <c r="B513" i="36"/>
  <c r="B514" i="36"/>
  <c r="B515" i="36"/>
  <c r="B516" i="36"/>
  <c r="B517" i="36"/>
  <c r="B518" i="36"/>
  <c r="B519" i="36"/>
  <c r="B520" i="36"/>
  <c r="B521" i="36"/>
  <c r="B522" i="36"/>
  <c r="B523" i="36"/>
  <c r="B524" i="36"/>
  <c r="B525" i="36"/>
  <c r="B526" i="36"/>
  <c r="B527" i="36"/>
  <c r="B528" i="36"/>
  <c r="B529" i="36"/>
  <c r="B530" i="36"/>
  <c r="B531" i="36"/>
  <c r="B532" i="36"/>
  <c r="B533" i="36"/>
  <c r="B534" i="36"/>
  <c r="B535" i="36"/>
  <c r="B536" i="36"/>
  <c r="B537" i="36"/>
  <c r="B538" i="36"/>
  <c r="B539" i="36"/>
  <c r="B540" i="36"/>
  <c r="B541" i="36"/>
  <c r="B542" i="36"/>
  <c r="B543" i="36"/>
  <c r="B544" i="36"/>
  <c r="B545" i="36"/>
  <c r="B546" i="36"/>
  <c r="B547" i="36"/>
  <c r="B548" i="36"/>
  <c r="B549" i="36"/>
  <c r="B550" i="36"/>
  <c r="B551" i="36"/>
  <c r="B552" i="36"/>
  <c r="B553" i="36"/>
  <c r="B554" i="36"/>
  <c r="B555" i="36"/>
  <c r="B556" i="36"/>
  <c r="B557" i="36"/>
  <c r="B558" i="36"/>
  <c r="B559" i="36"/>
  <c r="B560" i="36"/>
  <c r="B561" i="36"/>
  <c r="B562" i="36"/>
  <c r="B563" i="36"/>
  <c r="B564" i="36"/>
  <c r="B565" i="36"/>
  <c r="B566" i="36"/>
  <c r="B567" i="36"/>
  <c r="B568" i="36"/>
  <c r="B569" i="36"/>
  <c r="B570" i="36"/>
  <c r="B571" i="36"/>
  <c r="B572" i="36"/>
  <c r="B573" i="36"/>
  <c r="B574" i="36"/>
  <c r="B575" i="36"/>
  <c r="B576" i="36"/>
  <c r="B577" i="36"/>
  <c r="B578" i="36"/>
  <c r="B579" i="36"/>
  <c r="B580" i="36"/>
  <c r="B581" i="36"/>
  <c r="B582" i="36"/>
  <c r="B583" i="36"/>
  <c r="B584" i="36"/>
  <c r="B585" i="36"/>
  <c r="B586" i="36"/>
  <c r="B587" i="36"/>
  <c r="B588" i="36"/>
  <c r="B589" i="36"/>
  <c r="B590" i="36"/>
  <c r="B591" i="36"/>
  <c r="B592" i="36"/>
  <c r="B593" i="36"/>
  <c r="B594" i="36"/>
  <c r="B595" i="36"/>
  <c r="B596" i="36"/>
  <c r="B597" i="36"/>
  <c r="B598" i="36"/>
  <c r="B599" i="36"/>
  <c r="B600" i="36"/>
  <c r="B601" i="36"/>
  <c r="B602" i="36"/>
  <c r="B603" i="36"/>
  <c r="B604" i="36"/>
  <c r="B605" i="36"/>
  <c r="B606" i="36"/>
  <c r="B607" i="36"/>
  <c r="B608" i="36"/>
  <c r="B609" i="36"/>
  <c r="B610" i="36"/>
  <c r="B611" i="36"/>
  <c r="B612" i="36"/>
  <c r="B613" i="36"/>
  <c r="B614" i="36"/>
  <c r="B615" i="36"/>
  <c r="B616" i="36"/>
  <c r="B617" i="36"/>
  <c r="B618" i="36"/>
  <c r="B619" i="36"/>
  <c r="B620" i="36"/>
  <c r="B621" i="36"/>
  <c r="B622" i="36"/>
  <c r="B623" i="36"/>
  <c r="B624" i="36"/>
  <c r="B625" i="36"/>
  <c r="B626" i="36"/>
  <c r="B627" i="36"/>
  <c r="B628" i="36"/>
  <c r="B629" i="36"/>
  <c r="B630" i="36"/>
  <c r="B631" i="36"/>
  <c r="B632" i="36"/>
  <c r="B633" i="36"/>
  <c r="B634" i="36"/>
  <c r="B635" i="36"/>
  <c r="B636" i="36"/>
  <c r="B637" i="36"/>
  <c r="B638" i="36"/>
  <c r="B639" i="36"/>
  <c r="B640" i="36"/>
  <c r="B641" i="36"/>
  <c r="B642" i="36"/>
  <c r="B643" i="36"/>
  <c r="B644" i="36"/>
  <c r="B645" i="36"/>
  <c r="B646" i="36"/>
  <c r="B647" i="36"/>
  <c r="B648" i="36"/>
  <c r="B649" i="36"/>
  <c r="B650" i="36"/>
  <c r="B651" i="36"/>
  <c r="B652" i="36"/>
  <c r="B653" i="36"/>
  <c r="B654" i="36"/>
  <c r="B655" i="36"/>
  <c r="B656" i="36"/>
  <c r="B657" i="36"/>
  <c r="B658" i="36"/>
  <c r="B659" i="36"/>
  <c r="B660" i="36"/>
  <c r="B661" i="36"/>
  <c r="B662" i="36"/>
  <c r="B663" i="36"/>
  <c r="B664" i="36"/>
  <c r="B665" i="36"/>
  <c r="B666" i="36"/>
  <c r="B667" i="36"/>
  <c r="B668" i="36"/>
  <c r="B669" i="36"/>
  <c r="B670" i="36"/>
  <c r="B671" i="36"/>
  <c r="B672" i="36"/>
  <c r="B673" i="36"/>
  <c r="B674" i="36"/>
  <c r="B675" i="36"/>
  <c r="B676" i="36"/>
  <c r="B677" i="36"/>
  <c r="B678" i="36"/>
  <c r="B679" i="36"/>
  <c r="B680" i="36"/>
  <c r="B681" i="36"/>
  <c r="B682" i="36"/>
  <c r="B683" i="36"/>
  <c r="B684" i="36"/>
  <c r="B685" i="36"/>
  <c r="B686" i="36"/>
  <c r="B687" i="36"/>
  <c r="B688" i="36"/>
  <c r="B689" i="36"/>
  <c r="B690" i="36"/>
  <c r="B691" i="36"/>
  <c r="B692" i="36"/>
  <c r="B693" i="36"/>
  <c r="B694" i="36"/>
  <c r="B695" i="36"/>
  <c r="B696" i="36"/>
  <c r="B697" i="36"/>
  <c r="B698" i="36"/>
  <c r="B699" i="36"/>
  <c r="B700" i="36"/>
  <c r="B701" i="36"/>
  <c r="B702" i="36"/>
  <c r="B703" i="36"/>
  <c r="B704" i="36"/>
  <c r="B705" i="36"/>
  <c r="B706" i="36"/>
  <c r="B707" i="36"/>
  <c r="B708" i="36"/>
  <c r="B709" i="36"/>
  <c r="B710" i="36"/>
  <c r="B711" i="36"/>
  <c r="B712" i="36"/>
  <c r="B713" i="36"/>
  <c r="B714" i="36"/>
  <c r="B715" i="36"/>
  <c r="B716" i="36"/>
  <c r="B717" i="36"/>
  <c r="B718" i="36"/>
  <c r="B719" i="36"/>
  <c r="B720" i="36"/>
  <c r="B721" i="36"/>
  <c r="B722" i="36"/>
  <c r="B723" i="36"/>
  <c r="B724" i="36"/>
  <c r="B725" i="36"/>
  <c r="B726" i="36"/>
  <c r="B727" i="36"/>
  <c r="B728" i="36"/>
  <c r="B729" i="36"/>
  <c r="B730" i="36"/>
  <c r="B731" i="36"/>
  <c r="B732" i="36"/>
  <c r="B733" i="36"/>
  <c r="B734" i="36"/>
  <c r="B735" i="36"/>
  <c r="B736" i="36"/>
  <c r="B737" i="36"/>
  <c r="B738" i="36"/>
  <c r="B739" i="36"/>
  <c r="B740" i="36"/>
  <c r="B741" i="36"/>
  <c r="B742" i="36"/>
  <c r="B743" i="36"/>
  <c r="B744" i="36"/>
  <c r="B745" i="36"/>
  <c r="B746" i="36"/>
  <c r="B747" i="36"/>
  <c r="B748" i="36"/>
  <c r="B749" i="36"/>
  <c r="B750" i="36"/>
  <c r="B751" i="36"/>
  <c r="B752" i="36"/>
  <c r="B753" i="36"/>
  <c r="B754" i="36"/>
  <c r="B755" i="36"/>
  <c r="B756" i="36"/>
  <c r="B757" i="36"/>
  <c r="B758" i="36"/>
  <c r="B759" i="36"/>
  <c r="B760" i="36"/>
  <c r="B761" i="36"/>
  <c r="B762" i="36"/>
  <c r="B763" i="36"/>
  <c r="B764" i="36"/>
  <c r="B765" i="36"/>
  <c r="B766" i="36"/>
  <c r="B767" i="36"/>
  <c r="B768" i="36"/>
  <c r="B769" i="36"/>
  <c r="B770" i="36"/>
  <c r="B771" i="36"/>
  <c r="B772" i="36"/>
  <c r="B773" i="36"/>
  <c r="B774" i="36"/>
  <c r="B775" i="36"/>
  <c r="B776" i="36"/>
  <c r="B777" i="36"/>
  <c r="B778" i="36"/>
  <c r="B779" i="36"/>
  <c r="B780" i="36"/>
  <c r="B781" i="36"/>
  <c r="B782" i="36"/>
  <c r="B783" i="36"/>
  <c r="B784" i="36"/>
  <c r="B785" i="36"/>
  <c r="B786" i="36"/>
  <c r="B787" i="36"/>
  <c r="B788" i="36"/>
  <c r="B789" i="36"/>
  <c r="B790" i="36"/>
  <c r="B791" i="36"/>
  <c r="B792" i="36"/>
  <c r="B793" i="36"/>
  <c r="B794" i="36"/>
  <c r="B795" i="36"/>
  <c r="B796" i="36"/>
  <c r="B797" i="36"/>
  <c r="B798" i="36"/>
  <c r="B799" i="36"/>
  <c r="B800" i="36"/>
  <c r="B801" i="36"/>
  <c r="B802" i="36"/>
  <c r="B803" i="36"/>
  <c r="B804" i="36"/>
  <c r="B805" i="36"/>
  <c r="B806" i="36"/>
  <c r="B807" i="36"/>
  <c r="B808" i="36"/>
  <c r="B809" i="36"/>
  <c r="B810" i="36"/>
  <c r="B811" i="36"/>
  <c r="B812" i="36"/>
  <c r="B813" i="36"/>
  <c r="B814" i="36"/>
  <c r="B815" i="36"/>
  <c r="B816" i="36"/>
  <c r="B817" i="36"/>
  <c r="B818" i="36"/>
  <c r="B819" i="36"/>
  <c r="B820" i="36"/>
  <c r="B821" i="36"/>
  <c r="B822" i="36"/>
  <c r="B823" i="36"/>
  <c r="B824" i="36"/>
  <c r="B825" i="36"/>
  <c r="B826" i="36"/>
  <c r="B827" i="36"/>
  <c r="B828" i="36"/>
  <c r="B829" i="36"/>
  <c r="B830" i="36"/>
  <c r="B831" i="36"/>
  <c r="B832" i="36"/>
  <c r="B833" i="36"/>
  <c r="B834" i="36"/>
  <c r="B835" i="36"/>
  <c r="B836" i="36"/>
  <c r="B837" i="36"/>
  <c r="B838" i="36"/>
  <c r="B839" i="36"/>
  <c r="B840" i="36"/>
  <c r="B841" i="36"/>
  <c r="B842" i="36"/>
  <c r="B843" i="36"/>
  <c r="B844" i="36"/>
  <c r="B845" i="36"/>
  <c r="B846" i="36"/>
  <c r="B847" i="36"/>
  <c r="B848" i="36"/>
  <c r="B849" i="36"/>
  <c r="B850" i="36"/>
  <c r="B851" i="36"/>
  <c r="B852" i="36"/>
  <c r="B853" i="36"/>
  <c r="B854" i="36"/>
  <c r="B855" i="36"/>
  <c r="B856" i="36"/>
  <c r="B857" i="36"/>
  <c r="B858" i="36"/>
  <c r="B859" i="36"/>
  <c r="B860" i="36"/>
  <c r="B861" i="36"/>
  <c r="B862" i="36"/>
  <c r="B863" i="36"/>
  <c r="B864" i="36"/>
  <c r="B865" i="36"/>
  <c r="B866" i="36"/>
  <c r="B867" i="36"/>
  <c r="B868" i="36"/>
  <c r="B869" i="36"/>
  <c r="B870" i="36"/>
  <c r="B871" i="36"/>
  <c r="B872" i="36"/>
  <c r="B873" i="36"/>
  <c r="B874" i="36"/>
  <c r="B875" i="36"/>
  <c r="B876" i="36"/>
  <c r="B877" i="36"/>
  <c r="B878" i="36"/>
  <c r="B879" i="36"/>
  <c r="B880" i="36"/>
  <c r="B881" i="36"/>
  <c r="B882" i="36"/>
  <c r="B883" i="36"/>
  <c r="B884" i="36"/>
  <c r="B885" i="36"/>
  <c r="B886" i="36"/>
  <c r="B887" i="36"/>
  <c r="B888" i="36"/>
  <c r="B889" i="36"/>
  <c r="B890" i="36"/>
  <c r="B891" i="36"/>
  <c r="B892" i="36"/>
  <c r="B893" i="36"/>
  <c r="B894" i="36"/>
  <c r="B895" i="36"/>
  <c r="B896" i="36"/>
  <c r="B897" i="36"/>
  <c r="B898" i="36"/>
  <c r="B899" i="36"/>
  <c r="B900" i="36"/>
  <c r="B901" i="36"/>
  <c r="B902" i="36"/>
  <c r="B903" i="36"/>
  <c r="B904" i="36"/>
  <c r="B905" i="36"/>
  <c r="B906" i="36"/>
  <c r="B907" i="36"/>
  <c r="B908" i="36"/>
  <c r="B909" i="36"/>
  <c r="B910" i="36"/>
  <c r="B911" i="36"/>
  <c r="B912" i="36"/>
  <c r="B913" i="36"/>
  <c r="B914" i="36"/>
  <c r="B915" i="36"/>
  <c r="B916" i="36"/>
  <c r="B917" i="36"/>
  <c r="B918" i="36"/>
  <c r="B919" i="36"/>
  <c r="B920" i="36"/>
  <c r="B921" i="36"/>
  <c r="B922" i="36"/>
  <c r="B923" i="36"/>
  <c r="B924" i="36"/>
  <c r="B925" i="36"/>
  <c r="B926" i="36"/>
  <c r="B927" i="36"/>
  <c r="B928" i="36"/>
  <c r="B929" i="36"/>
  <c r="B930" i="36"/>
  <c r="B931" i="36"/>
  <c r="B932" i="36"/>
  <c r="B933" i="36"/>
  <c r="B934" i="36"/>
  <c r="B935" i="36"/>
  <c r="B936" i="36"/>
  <c r="B937" i="36"/>
  <c r="B938" i="36"/>
  <c r="B939" i="36"/>
  <c r="B940" i="36"/>
  <c r="B941" i="36"/>
  <c r="B942" i="36"/>
  <c r="B943" i="36"/>
  <c r="B944" i="36"/>
  <c r="B945" i="36"/>
  <c r="B946" i="36"/>
  <c r="B947" i="36"/>
  <c r="B948" i="36"/>
  <c r="B949" i="36"/>
  <c r="B950" i="36"/>
  <c r="B951" i="36"/>
  <c r="B952" i="36"/>
  <c r="B953" i="36"/>
  <c r="B954" i="36"/>
  <c r="B955" i="36"/>
  <c r="B956" i="36"/>
  <c r="B957" i="36"/>
  <c r="B958" i="36"/>
  <c r="B959" i="36"/>
  <c r="B960" i="36"/>
  <c r="B961" i="36"/>
  <c r="B962" i="36"/>
  <c r="B963" i="36"/>
  <c r="B964" i="36"/>
  <c r="B965" i="36"/>
  <c r="B966" i="36"/>
  <c r="B967" i="36"/>
  <c r="B968" i="36"/>
  <c r="B969" i="36"/>
  <c r="B970" i="36"/>
  <c r="B971" i="36"/>
  <c r="B972" i="36"/>
  <c r="B973" i="36"/>
  <c r="B974" i="36"/>
  <c r="B975" i="36"/>
  <c r="B976" i="36"/>
  <c r="B977" i="36"/>
  <c r="B978" i="36"/>
  <c r="B979" i="36"/>
  <c r="B980" i="36"/>
  <c r="B981" i="36"/>
  <c r="B982" i="36"/>
  <c r="B983" i="36"/>
  <c r="B984" i="36"/>
  <c r="B985" i="36"/>
  <c r="B986" i="36"/>
  <c r="B987" i="36"/>
  <c r="B988" i="36"/>
  <c r="B989" i="36"/>
  <c r="B990" i="36"/>
  <c r="B991" i="36"/>
  <c r="B992" i="36"/>
  <c r="B993" i="36"/>
  <c r="B994" i="36"/>
  <c r="B995" i="36"/>
  <c r="B996" i="36"/>
  <c r="B997" i="36"/>
  <c r="B998" i="36"/>
  <c r="B999" i="36"/>
  <c r="B1000" i="36"/>
  <c r="B1001" i="36"/>
  <c r="B1002" i="36"/>
  <c r="B1003" i="36"/>
  <c r="B1004" i="36"/>
  <c r="B1005" i="36"/>
  <c r="B1006" i="36"/>
  <c r="B1007" i="36"/>
  <c r="B1008" i="36"/>
  <c r="B1009" i="36"/>
  <c r="B1010" i="36"/>
  <c r="B2" i="35" l="1"/>
  <c r="B3" i="35"/>
  <c r="B4" i="35"/>
  <c r="B5" i="35"/>
  <c r="B6" i="35"/>
  <c r="B7" i="35"/>
  <c r="B8" i="35"/>
  <c r="B9" i="35"/>
  <c r="B10" i="35"/>
  <c r="B11" i="35"/>
  <c r="B12" i="35"/>
  <c r="B13" i="35"/>
  <c r="B14" i="35"/>
  <c r="B15" i="35"/>
  <c r="B16" i="35"/>
  <c r="B17" i="35"/>
  <c r="B18" i="35"/>
  <c r="B19" i="35"/>
  <c r="B20" i="35"/>
  <c r="B21" i="35"/>
  <c r="B22" i="35"/>
  <c r="B23" i="35"/>
  <c r="B24" i="35"/>
  <c r="B25" i="35"/>
  <c r="B26" i="35"/>
  <c r="B27" i="35"/>
  <c r="B28" i="35"/>
  <c r="B29" i="35"/>
  <c r="B30" i="35"/>
  <c r="B31" i="35"/>
  <c r="B32" i="35"/>
  <c r="B33" i="35"/>
  <c r="B34" i="35"/>
  <c r="B35" i="35"/>
  <c r="B36" i="35"/>
  <c r="B37" i="35"/>
  <c r="B38" i="35"/>
  <c r="B39" i="35"/>
  <c r="B40" i="35"/>
  <c r="B41" i="35"/>
  <c r="B42" i="35"/>
  <c r="B43" i="35"/>
  <c r="B44" i="35"/>
  <c r="B45" i="35"/>
  <c r="B46" i="35"/>
  <c r="B47" i="35"/>
  <c r="B48" i="35"/>
  <c r="B49" i="35"/>
  <c r="B50" i="35"/>
  <c r="B51" i="35"/>
  <c r="B52" i="35"/>
  <c r="B53" i="35"/>
  <c r="B54" i="35"/>
  <c r="B55" i="35"/>
  <c r="B56" i="35"/>
  <c r="B57" i="35"/>
  <c r="B58" i="35"/>
  <c r="B59" i="35"/>
  <c r="B60" i="35"/>
  <c r="B61" i="35"/>
  <c r="B62" i="35"/>
  <c r="B63" i="35"/>
  <c r="B64" i="35"/>
  <c r="B65" i="35"/>
  <c r="B66" i="35"/>
  <c r="B67" i="35"/>
  <c r="B68" i="35"/>
  <c r="B69" i="35"/>
  <c r="B70" i="35"/>
  <c r="B71" i="35"/>
  <c r="B72" i="35"/>
  <c r="B73" i="35"/>
  <c r="B74" i="35"/>
  <c r="B75" i="35"/>
  <c r="B76" i="35"/>
  <c r="B77" i="35"/>
  <c r="B78" i="35"/>
  <c r="B79" i="35"/>
  <c r="B80" i="35"/>
  <c r="B81" i="35"/>
  <c r="B82" i="35"/>
  <c r="B83" i="35"/>
  <c r="B84" i="35"/>
  <c r="B85" i="35"/>
  <c r="B86" i="35"/>
  <c r="B87" i="35"/>
  <c r="B88" i="35"/>
  <c r="B89" i="35"/>
  <c r="B90" i="35"/>
  <c r="B91" i="35"/>
  <c r="B92" i="35"/>
  <c r="B93" i="35"/>
  <c r="B94" i="35"/>
  <c r="B95" i="35"/>
  <c r="B96" i="35"/>
  <c r="B97" i="35"/>
  <c r="B98" i="35"/>
  <c r="B99" i="35"/>
  <c r="B100" i="35"/>
  <c r="B101" i="35"/>
  <c r="B102" i="35"/>
  <c r="B103" i="35"/>
  <c r="B104" i="35"/>
  <c r="B105" i="35"/>
  <c r="B106" i="35"/>
  <c r="B107" i="35"/>
  <c r="B108" i="35"/>
  <c r="B109" i="35"/>
  <c r="B110" i="35"/>
  <c r="B111" i="35"/>
  <c r="B112" i="35"/>
  <c r="B113" i="35"/>
  <c r="B114" i="35"/>
  <c r="B115" i="35"/>
  <c r="B116" i="35"/>
  <c r="B117" i="35"/>
  <c r="B118" i="35"/>
  <c r="B119" i="35"/>
  <c r="B120" i="35"/>
  <c r="B121" i="35"/>
  <c r="B122" i="35"/>
  <c r="B123" i="35"/>
  <c r="B124" i="35"/>
  <c r="B125" i="35"/>
  <c r="B126" i="35"/>
  <c r="B127" i="35"/>
  <c r="B128" i="35"/>
  <c r="B129" i="35"/>
  <c r="B130" i="35"/>
  <c r="B131" i="35"/>
  <c r="B132" i="35"/>
  <c r="B133" i="35"/>
  <c r="B134" i="35"/>
  <c r="B135" i="35"/>
  <c r="B136" i="35"/>
  <c r="B137" i="35"/>
  <c r="B138" i="35"/>
  <c r="B139" i="35"/>
  <c r="B140" i="35"/>
  <c r="B141" i="35"/>
  <c r="B142" i="35"/>
  <c r="B143" i="35"/>
  <c r="B144" i="35"/>
  <c r="B145" i="35"/>
  <c r="B146" i="35"/>
  <c r="B147" i="35"/>
  <c r="B148" i="35"/>
  <c r="B149" i="35"/>
  <c r="B150" i="35"/>
  <c r="B151" i="35"/>
  <c r="B152" i="35"/>
  <c r="B153" i="35"/>
  <c r="B154" i="35"/>
  <c r="B155" i="35"/>
  <c r="B156" i="35"/>
  <c r="B157" i="35"/>
  <c r="B158" i="35"/>
  <c r="B159" i="35"/>
  <c r="B160" i="35"/>
  <c r="B161" i="35"/>
  <c r="B162" i="35"/>
  <c r="B163" i="35"/>
  <c r="B164" i="35"/>
  <c r="B165" i="35"/>
  <c r="B166" i="35"/>
  <c r="B167" i="35"/>
  <c r="B168" i="35"/>
  <c r="B169" i="35"/>
  <c r="B170" i="35"/>
  <c r="B171" i="35"/>
  <c r="B172" i="35"/>
  <c r="B173" i="35"/>
  <c r="B174" i="35"/>
  <c r="B175" i="35"/>
  <c r="B176" i="35"/>
  <c r="B177" i="35"/>
  <c r="B178" i="35"/>
  <c r="B179" i="35"/>
  <c r="B180" i="35"/>
  <c r="B181" i="35"/>
  <c r="B182" i="35"/>
  <c r="B183" i="35"/>
  <c r="B184" i="35"/>
  <c r="B185" i="35"/>
  <c r="B186" i="35"/>
  <c r="B187" i="35"/>
  <c r="B188" i="35"/>
  <c r="B189" i="35"/>
  <c r="B190" i="35"/>
  <c r="B191" i="35"/>
  <c r="B192" i="35"/>
  <c r="B193" i="35"/>
  <c r="B194" i="35"/>
  <c r="B195" i="35"/>
  <c r="B196" i="35"/>
  <c r="B197" i="35"/>
  <c r="B198" i="35"/>
  <c r="B199" i="35"/>
  <c r="B200" i="35"/>
  <c r="B201" i="35"/>
  <c r="B202" i="35"/>
  <c r="B203" i="35"/>
  <c r="B204" i="35"/>
  <c r="B205" i="35"/>
  <c r="B206" i="35"/>
  <c r="B207" i="35"/>
  <c r="B208" i="35"/>
  <c r="B209" i="35"/>
  <c r="B210" i="35"/>
  <c r="B211" i="35"/>
  <c r="B212" i="35"/>
  <c r="B213" i="35"/>
  <c r="B214" i="35"/>
  <c r="B215" i="35"/>
  <c r="B216" i="35"/>
  <c r="B217" i="35"/>
  <c r="B218" i="35"/>
  <c r="B219" i="35"/>
  <c r="B220" i="35"/>
  <c r="B221" i="35"/>
  <c r="B222" i="35"/>
  <c r="B223" i="35"/>
  <c r="B224" i="35"/>
  <c r="B225" i="35"/>
  <c r="B226" i="35"/>
  <c r="B227" i="35"/>
  <c r="B228" i="35"/>
  <c r="B229" i="35"/>
  <c r="B230" i="35"/>
  <c r="B231" i="35"/>
  <c r="B232" i="35"/>
  <c r="B233" i="35"/>
  <c r="B234" i="35"/>
  <c r="B235" i="35"/>
  <c r="B236" i="35"/>
  <c r="B237" i="35"/>
  <c r="B238" i="35"/>
  <c r="B239" i="35"/>
  <c r="B240" i="35"/>
  <c r="B241" i="35"/>
  <c r="B242" i="35"/>
  <c r="B243" i="35"/>
  <c r="B244" i="35"/>
  <c r="B245" i="35"/>
  <c r="B246" i="35"/>
  <c r="B247" i="35"/>
  <c r="B248" i="35"/>
  <c r="B249" i="35"/>
  <c r="B250" i="35"/>
  <c r="B251" i="35"/>
  <c r="B252" i="35"/>
  <c r="B253" i="35"/>
  <c r="B254" i="35"/>
  <c r="B255" i="35"/>
  <c r="B256" i="35"/>
  <c r="B257" i="35"/>
  <c r="B258" i="35"/>
  <c r="B259" i="35"/>
  <c r="B260" i="35"/>
  <c r="B261" i="35"/>
  <c r="B262" i="35"/>
  <c r="B263" i="35"/>
  <c r="B264" i="35"/>
  <c r="B265" i="35"/>
  <c r="B266" i="35"/>
  <c r="B267" i="35"/>
  <c r="B268" i="35"/>
  <c r="B269" i="35"/>
  <c r="B270" i="35"/>
  <c r="B271" i="35"/>
  <c r="B272" i="35"/>
  <c r="B273" i="35"/>
  <c r="B274" i="35"/>
  <c r="B275" i="35"/>
  <c r="B276" i="35"/>
  <c r="B277" i="35"/>
  <c r="B278" i="35"/>
  <c r="B279" i="35"/>
  <c r="B280" i="35"/>
  <c r="B281" i="35"/>
  <c r="B282" i="35"/>
  <c r="B283" i="35"/>
  <c r="B284" i="35"/>
  <c r="B285" i="35"/>
  <c r="B286" i="35"/>
  <c r="B287" i="35"/>
  <c r="B288" i="35"/>
  <c r="B289" i="35"/>
  <c r="B290" i="35"/>
  <c r="B291" i="35"/>
  <c r="B292" i="35"/>
  <c r="B293" i="35"/>
  <c r="B294" i="35"/>
  <c r="B295" i="35"/>
  <c r="B296" i="35"/>
  <c r="B297" i="35"/>
  <c r="B298" i="35"/>
  <c r="B299" i="35"/>
  <c r="B300" i="35"/>
  <c r="B301" i="35"/>
  <c r="B302" i="35"/>
  <c r="B303" i="35"/>
  <c r="B304" i="35"/>
  <c r="B305" i="35"/>
  <c r="B306" i="35"/>
  <c r="B307" i="35"/>
  <c r="B308" i="35"/>
  <c r="B309" i="35"/>
  <c r="B310" i="35"/>
  <c r="B311" i="35"/>
  <c r="B312" i="35"/>
  <c r="B313" i="35"/>
  <c r="B314" i="35"/>
  <c r="B315" i="35"/>
  <c r="B316" i="35"/>
  <c r="B317" i="35"/>
  <c r="B318" i="35"/>
  <c r="B319" i="35"/>
  <c r="B320" i="35"/>
  <c r="B321" i="35"/>
  <c r="B322" i="35"/>
  <c r="B323" i="35"/>
  <c r="B324" i="35"/>
  <c r="B325" i="35"/>
  <c r="B326" i="35"/>
  <c r="B327" i="35"/>
  <c r="B328" i="35"/>
  <c r="B329" i="35"/>
  <c r="B330" i="35"/>
  <c r="B331" i="35"/>
  <c r="B332" i="35"/>
  <c r="B333" i="35"/>
  <c r="B334" i="35"/>
  <c r="B335" i="35"/>
  <c r="B336" i="35"/>
  <c r="B337" i="35"/>
  <c r="B338" i="35"/>
  <c r="B339" i="35"/>
  <c r="B340" i="35"/>
  <c r="B341" i="35"/>
  <c r="B342" i="35"/>
  <c r="B343" i="35"/>
  <c r="B344" i="35"/>
  <c r="B345" i="35"/>
  <c r="B346" i="35"/>
  <c r="B347" i="35"/>
  <c r="B348" i="35"/>
  <c r="B349" i="35"/>
  <c r="B350" i="35"/>
  <c r="B351" i="35"/>
  <c r="B352" i="35"/>
  <c r="B353" i="35"/>
  <c r="B354" i="35"/>
  <c r="B355" i="35"/>
  <c r="B356" i="35"/>
  <c r="B357" i="35"/>
  <c r="B358" i="35"/>
  <c r="B359" i="35"/>
  <c r="B360" i="35"/>
  <c r="B361" i="35"/>
  <c r="B362" i="35"/>
  <c r="B363" i="35"/>
  <c r="B364" i="35"/>
  <c r="B365" i="35"/>
  <c r="B366" i="35"/>
  <c r="B367" i="35"/>
  <c r="B368" i="35"/>
  <c r="B369" i="35"/>
  <c r="B370" i="35"/>
  <c r="B371" i="35"/>
  <c r="B372" i="35"/>
  <c r="B373" i="35"/>
  <c r="B374" i="35"/>
  <c r="B375" i="35"/>
  <c r="B376" i="35"/>
  <c r="B377" i="35"/>
  <c r="B378" i="35"/>
  <c r="B379" i="35"/>
  <c r="B380" i="35"/>
  <c r="B381" i="35"/>
  <c r="B382" i="35"/>
  <c r="B383" i="35"/>
  <c r="B384" i="35"/>
  <c r="B385" i="35"/>
  <c r="B386" i="35"/>
  <c r="B387" i="35"/>
  <c r="B388" i="35"/>
  <c r="B389" i="35"/>
  <c r="B390" i="35"/>
  <c r="B391" i="35"/>
  <c r="B392" i="35"/>
  <c r="B393" i="35"/>
  <c r="B394" i="35"/>
  <c r="B395" i="35"/>
  <c r="B396" i="35"/>
  <c r="B397" i="35"/>
  <c r="B398" i="35"/>
  <c r="B399" i="35"/>
  <c r="B400" i="35"/>
  <c r="B401" i="35"/>
  <c r="B402" i="35"/>
  <c r="B403" i="35"/>
  <c r="B404" i="35"/>
  <c r="B405" i="35"/>
  <c r="B406" i="35"/>
  <c r="B407" i="35"/>
  <c r="B408" i="35"/>
  <c r="B409" i="35"/>
  <c r="B410" i="35"/>
  <c r="B411" i="35"/>
  <c r="B412" i="35"/>
  <c r="B413" i="35"/>
  <c r="B414" i="35"/>
  <c r="B415" i="35"/>
  <c r="B416" i="35"/>
  <c r="B417" i="35"/>
  <c r="B418" i="35"/>
  <c r="B419" i="35"/>
  <c r="B420" i="35"/>
  <c r="B421" i="35"/>
  <c r="B422" i="35"/>
  <c r="B423" i="35"/>
  <c r="B424" i="35"/>
  <c r="B425" i="35"/>
  <c r="B426" i="35"/>
  <c r="B427" i="35"/>
  <c r="B428" i="35"/>
  <c r="B429" i="35"/>
  <c r="B430" i="35"/>
  <c r="B431" i="35"/>
  <c r="B432" i="35"/>
  <c r="B433" i="35"/>
  <c r="B434" i="35"/>
  <c r="B435" i="35"/>
  <c r="B436" i="35"/>
  <c r="B437" i="35"/>
  <c r="B438" i="35"/>
  <c r="B439" i="35"/>
  <c r="B440" i="35"/>
  <c r="B441" i="35"/>
  <c r="B442" i="35"/>
  <c r="B443" i="35"/>
  <c r="B444" i="35"/>
  <c r="B445" i="35"/>
  <c r="B446" i="35"/>
  <c r="B447" i="35"/>
  <c r="B448" i="35"/>
  <c r="B449" i="35"/>
  <c r="B450" i="35"/>
  <c r="B451" i="35"/>
  <c r="B452" i="35"/>
  <c r="B453" i="35"/>
  <c r="B454" i="35"/>
  <c r="B455" i="35"/>
  <c r="B456" i="35"/>
  <c r="B457" i="35"/>
  <c r="B458" i="35"/>
  <c r="B459" i="35"/>
  <c r="B460" i="35"/>
  <c r="B461" i="35"/>
  <c r="B462" i="35"/>
  <c r="B463" i="35"/>
  <c r="B464" i="35"/>
  <c r="B465" i="35"/>
  <c r="B466" i="35"/>
  <c r="B467" i="35"/>
  <c r="B468" i="35"/>
  <c r="B469" i="35"/>
  <c r="B470" i="35"/>
  <c r="B471" i="35"/>
  <c r="B472" i="35"/>
  <c r="B473" i="35"/>
  <c r="B474" i="35"/>
  <c r="B475" i="35"/>
  <c r="B476" i="35"/>
  <c r="B477" i="35"/>
  <c r="B478" i="35"/>
  <c r="B479" i="35"/>
  <c r="B480" i="35"/>
  <c r="B481" i="35"/>
  <c r="B482" i="35"/>
  <c r="B483" i="35"/>
  <c r="B484" i="35"/>
  <c r="B485" i="35"/>
  <c r="B486" i="35"/>
  <c r="B487" i="35"/>
  <c r="B488" i="35"/>
  <c r="B489" i="35"/>
  <c r="B490" i="35"/>
  <c r="B491" i="35"/>
  <c r="B492" i="35"/>
  <c r="B493" i="35"/>
  <c r="B494" i="35"/>
  <c r="B495" i="35"/>
  <c r="B496" i="35"/>
  <c r="B497" i="35"/>
  <c r="B498" i="35"/>
  <c r="B499" i="35"/>
  <c r="B500" i="35"/>
  <c r="B501" i="35"/>
  <c r="B502" i="35"/>
  <c r="B503" i="35"/>
  <c r="B504" i="35"/>
  <c r="B505" i="35"/>
  <c r="B506" i="35"/>
  <c r="B507" i="35"/>
  <c r="B508" i="35"/>
  <c r="B509" i="35"/>
  <c r="B510" i="35"/>
  <c r="B511" i="35"/>
  <c r="B512" i="35"/>
  <c r="B513" i="35"/>
  <c r="B514" i="35"/>
  <c r="B515" i="35"/>
  <c r="B516" i="35"/>
  <c r="B517" i="35"/>
  <c r="B518" i="35"/>
  <c r="B519" i="35"/>
  <c r="B520" i="35"/>
  <c r="B521" i="35"/>
  <c r="B522" i="35"/>
  <c r="B523" i="35"/>
  <c r="B524" i="35"/>
  <c r="B525" i="35"/>
  <c r="B526" i="35"/>
  <c r="B527" i="35"/>
  <c r="B528" i="35"/>
  <c r="B529" i="35"/>
  <c r="B530" i="35"/>
  <c r="B531" i="35"/>
  <c r="B532" i="35"/>
  <c r="B533" i="35"/>
  <c r="B534" i="35"/>
  <c r="B535" i="35"/>
  <c r="B536" i="35"/>
  <c r="B537" i="35"/>
  <c r="B538" i="35"/>
  <c r="B539" i="35"/>
  <c r="B540" i="35"/>
  <c r="B541" i="35"/>
  <c r="B542" i="35"/>
  <c r="B543" i="35"/>
  <c r="B544" i="35"/>
  <c r="B545" i="35"/>
  <c r="B546" i="35"/>
  <c r="B547" i="35"/>
  <c r="B548" i="35"/>
  <c r="B549" i="35"/>
  <c r="B550" i="35"/>
  <c r="B551" i="35"/>
  <c r="B552" i="35"/>
  <c r="B553" i="35"/>
  <c r="B554" i="35"/>
  <c r="B555" i="35"/>
  <c r="B556" i="35"/>
  <c r="B557" i="35"/>
  <c r="B558" i="35"/>
  <c r="B559" i="35"/>
  <c r="B560" i="35"/>
  <c r="B561" i="35"/>
  <c r="B562" i="35"/>
  <c r="B563" i="35"/>
  <c r="B564" i="35"/>
  <c r="B565" i="35"/>
  <c r="B566" i="35"/>
  <c r="B567" i="35"/>
  <c r="B568" i="35"/>
  <c r="B569" i="35"/>
  <c r="B570" i="35"/>
  <c r="B571" i="35"/>
  <c r="B572" i="35"/>
  <c r="B573" i="35"/>
  <c r="B574" i="35"/>
  <c r="B575" i="35"/>
  <c r="B576" i="35"/>
  <c r="B577" i="35"/>
  <c r="B578" i="35"/>
  <c r="B579" i="35"/>
  <c r="B580" i="35"/>
  <c r="B581" i="35"/>
  <c r="B582" i="35"/>
  <c r="B583" i="35"/>
  <c r="B584" i="35"/>
  <c r="B585" i="35"/>
  <c r="B586" i="35"/>
  <c r="B587" i="35"/>
  <c r="B588" i="35"/>
  <c r="B589" i="35"/>
  <c r="B590" i="35"/>
  <c r="B591" i="35"/>
  <c r="B592" i="35"/>
  <c r="B593" i="35"/>
  <c r="B594" i="35"/>
  <c r="B595" i="35"/>
  <c r="B596" i="35"/>
  <c r="B597" i="35"/>
  <c r="B598" i="35"/>
  <c r="B599" i="35"/>
  <c r="B600" i="35"/>
  <c r="B601" i="35"/>
  <c r="B602" i="35"/>
  <c r="B603" i="35"/>
  <c r="B604" i="35"/>
  <c r="B605" i="35"/>
  <c r="B606" i="35"/>
  <c r="B607" i="35"/>
  <c r="B608" i="35"/>
  <c r="B609" i="35"/>
  <c r="B610" i="35"/>
  <c r="B611" i="35"/>
  <c r="B612" i="35"/>
  <c r="B613" i="35"/>
  <c r="B614" i="35"/>
  <c r="B615" i="35"/>
  <c r="B616" i="35"/>
  <c r="B617" i="35"/>
  <c r="B618" i="35"/>
  <c r="B619" i="35"/>
  <c r="B620" i="35"/>
  <c r="B621" i="35"/>
  <c r="B622" i="35"/>
  <c r="B623" i="35"/>
  <c r="B624" i="35"/>
  <c r="B625" i="35"/>
  <c r="B626" i="35"/>
  <c r="B627" i="35"/>
  <c r="B628" i="35"/>
  <c r="B629" i="35"/>
  <c r="B630" i="35"/>
  <c r="B631" i="35"/>
  <c r="B632" i="35"/>
  <c r="B633" i="35"/>
  <c r="B634" i="35"/>
  <c r="B635" i="35"/>
  <c r="B636" i="35"/>
  <c r="B637" i="35"/>
  <c r="B638" i="35"/>
  <c r="B639" i="35"/>
  <c r="B640" i="35"/>
  <c r="B641" i="35"/>
  <c r="B642" i="35"/>
  <c r="B643" i="35"/>
  <c r="B644" i="35"/>
  <c r="B645" i="35"/>
  <c r="B646" i="35"/>
  <c r="B647" i="35"/>
  <c r="B648" i="35"/>
  <c r="B649" i="35"/>
  <c r="B650" i="35"/>
  <c r="B651" i="35"/>
  <c r="B652" i="35"/>
  <c r="B653" i="35"/>
  <c r="B654" i="35"/>
  <c r="B655" i="35"/>
  <c r="B656" i="35"/>
  <c r="B657" i="35"/>
  <c r="B658" i="35"/>
  <c r="B659" i="35"/>
  <c r="B660" i="35"/>
  <c r="B661" i="35"/>
  <c r="B662" i="35"/>
  <c r="B663" i="35"/>
  <c r="B664" i="35"/>
  <c r="B665" i="35"/>
  <c r="B666" i="35"/>
  <c r="B667" i="35"/>
  <c r="B668" i="35"/>
  <c r="B669" i="35"/>
  <c r="B670" i="35"/>
  <c r="B671" i="35"/>
  <c r="B672" i="35"/>
  <c r="B673" i="35"/>
  <c r="B674" i="35"/>
  <c r="B675" i="35"/>
  <c r="B676" i="35"/>
  <c r="B677" i="35"/>
  <c r="B678" i="35"/>
  <c r="B679" i="35"/>
  <c r="B680" i="35"/>
  <c r="B681" i="35"/>
  <c r="B682" i="35"/>
  <c r="B683" i="35"/>
  <c r="B684" i="35"/>
  <c r="B685" i="35"/>
  <c r="B686" i="35"/>
  <c r="B687" i="35"/>
  <c r="B688" i="35"/>
  <c r="B689" i="35"/>
  <c r="B690" i="35"/>
  <c r="B691" i="35"/>
  <c r="B692" i="35"/>
  <c r="B693" i="35"/>
  <c r="B694" i="35"/>
  <c r="B695" i="35"/>
  <c r="B696" i="35"/>
  <c r="B697" i="35"/>
  <c r="B698" i="35"/>
  <c r="B699" i="35"/>
  <c r="B700" i="35"/>
  <c r="B701" i="35"/>
  <c r="B702" i="35"/>
  <c r="B703" i="35"/>
  <c r="B704" i="35"/>
  <c r="B705" i="35"/>
  <c r="B706" i="35"/>
  <c r="B707" i="35"/>
  <c r="B708" i="35"/>
  <c r="B709" i="35"/>
  <c r="B710" i="35"/>
  <c r="B711" i="35"/>
  <c r="B712" i="35"/>
  <c r="B713" i="35"/>
  <c r="B714" i="35"/>
  <c r="B715" i="35"/>
  <c r="B716" i="35"/>
  <c r="B717" i="35"/>
  <c r="B718" i="35"/>
  <c r="B719" i="35"/>
  <c r="B720" i="35"/>
  <c r="B721" i="35"/>
  <c r="B722" i="35"/>
  <c r="B723" i="35"/>
  <c r="B724" i="35"/>
  <c r="B725" i="35"/>
  <c r="B726" i="35"/>
  <c r="B727" i="35"/>
  <c r="B728" i="35"/>
  <c r="B729" i="35"/>
  <c r="B730" i="35"/>
  <c r="B731" i="35"/>
  <c r="B732" i="35"/>
  <c r="B733" i="35"/>
  <c r="B734" i="35"/>
  <c r="B735" i="35"/>
  <c r="B736" i="35"/>
  <c r="B737" i="35"/>
  <c r="B738" i="35"/>
  <c r="B739" i="35"/>
  <c r="B740" i="35"/>
  <c r="B741" i="35"/>
  <c r="B742" i="35"/>
  <c r="B743" i="35"/>
  <c r="B744" i="35"/>
  <c r="B745" i="35"/>
  <c r="B746" i="35"/>
  <c r="B747" i="35"/>
  <c r="B748" i="35"/>
  <c r="B749" i="35"/>
  <c r="B750" i="35"/>
  <c r="B751" i="35"/>
  <c r="B752" i="35"/>
  <c r="B753" i="35"/>
  <c r="B754" i="35"/>
  <c r="B755" i="35"/>
  <c r="B756" i="35"/>
  <c r="B757" i="35"/>
  <c r="B758" i="35"/>
  <c r="B759" i="35"/>
  <c r="B760" i="35"/>
  <c r="B761" i="35"/>
  <c r="B762" i="35"/>
  <c r="B763" i="35"/>
  <c r="B764" i="35"/>
  <c r="B765" i="35"/>
  <c r="B766" i="35"/>
  <c r="B767" i="35"/>
  <c r="B768" i="35"/>
  <c r="B769" i="35"/>
  <c r="B770" i="35"/>
  <c r="B771" i="35"/>
  <c r="B772" i="35"/>
  <c r="B773" i="35"/>
  <c r="B774" i="35"/>
  <c r="B775" i="35"/>
  <c r="B776" i="35"/>
  <c r="B777" i="35"/>
  <c r="B778" i="35"/>
  <c r="B779" i="35"/>
  <c r="B780" i="35"/>
  <c r="B781" i="35"/>
  <c r="B782" i="35"/>
  <c r="B783" i="35"/>
  <c r="B784" i="35"/>
  <c r="B785" i="35"/>
  <c r="B786" i="35"/>
  <c r="B787" i="35"/>
  <c r="B788" i="35"/>
  <c r="B789" i="35"/>
  <c r="B790" i="35"/>
  <c r="B791" i="35"/>
  <c r="B792" i="35"/>
  <c r="B793" i="35"/>
  <c r="B794" i="35"/>
  <c r="B795" i="35"/>
  <c r="B796" i="35"/>
  <c r="B797" i="35"/>
  <c r="B798" i="35"/>
  <c r="B799" i="35"/>
  <c r="B800" i="35"/>
  <c r="B801" i="35"/>
  <c r="B802" i="35"/>
  <c r="B803" i="35"/>
  <c r="B804" i="35"/>
  <c r="B805" i="35"/>
  <c r="B806" i="35"/>
  <c r="B807" i="35"/>
  <c r="B808" i="35"/>
  <c r="B809" i="35"/>
  <c r="B810" i="35"/>
  <c r="B811" i="35"/>
  <c r="B812" i="35"/>
  <c r="B813" i="35"/>
  <c r="B814" i="35"/>
  <c r="B815" i="35"/>
  <c r="B816" i="35"/>
  <c r="B817" i="35"/>
  <c r="B818" i="35"/>
  <c r="B819" i="35"/>
  <c r="B820" i="35"/>
  <c r="B821" i="35"/>
  <c r="B822" i="35"/>
  <c r="B823" i="35"/>
  <c r="B824" i="35"/>
  <c r="B825" i="35"/>
  <c r="B826" i="35"/>
  <c r="B827" i="35"/>
  <c r="B828" i="35"/>
  <c r="B829" i="35"/>
  <c r="B830" i="35"/>
  <c r="B831" i="35"/>
  <c r="B832" i="35"/>
  <c r="B833" i="35"/>
  <c r="B834" i="35"/>
  <c r="B835" i="35"/>
  <c r="B836" i="35"/>
  <c r="B837" i="35"/>
  <c r="B838" i="35"/>
  <c r="B839" i="35"/>
  <c r="B840" i="35"/>
  <c r="B841" i="35"/>
  <c r="B842" i="35"/>
  <c r="B843" i="35"/>
  <c r="B844" i="35"/>
  <c r="B845" i="35"/>
  <c r="B846" i="35"/>
  <c r="B847" i="35"/>
  <c r="B848" i="35"/>
  <c r="B849" i="35"/>
  <c r="B850" i="35"/>
  <c r="B851" i="35"/>
  <c r="B852" i="35"/>
  <c r="B853" i="35"/>
  <c r="B854" i="35"/>
  <c r="B855" i="35"/>
  <c r="B856" i="35"/>
  <c r="B857" i="35"/>
  <c r="B858" i="35"/>
  <c r="B859" i="35"/>
  <c r="B860" i="35"/>
  <c r="B861" i="35"/>
  <c r="B862" i="35"/>
  <c r="B863" i="35"/>
  <c r="B864" i="35"/>
  <c r="B865" i="35"/>
  <c r="B866" i="35"/>
  <c r="B867" i="35"/>
  <c r="B868" i="35"/>
  <c r="B869" i="35"/>
  <c r="B870" i="35"/>
  <c r="B871" i="35"/>
  <c r="B872" i="35"/>
  <c r="B873" i="35"/>
  <c r="B874" i="35"/>
  <c r="B875" i="35"/>
  <c r="B876" i="35"/>
  <c r="B877" i="35"/>
  <c r="B878" i="35"/>
  <c r="B879" i="35"/>
  <c r="B880" i="35"/>
  <c r="B881" i="35"/>
  <c r="B882" i="35"/>
  <c r="B883" i="35"/>
  <c r="B884" i="35"/>
  <c r="B885" i="35"/>
  <c r="B886" i="35"/>
  <c r="B887" i="35"/>
  <c r="B888" i="35"/>
  <c r="B889" i="35"/>
  <c r="B890" i="35"/>
  <c r="B891" i="35"/>
  <c r="B892" i="35"/>
  <c r="B893" i="35"/>
  <c r="B894" i="35"/>
  <c r="B895" i="35"/>
  <c r="B896" i="35"/>
  <c r="B897" i="35"/>
  <c r="B898" i="35"/>
  <c r="B899" i="35"/>
  <c r="B900" i="35"/>
  <c r="B901" i="35"/>
  <c r="B902" i="35"/>
  <c r="B903" i="35"/>
  <c r="B904" i="35"/>
  <c r="B905" i="35"/>
  <c r="B906" i="35"/>
  <c r="B907" i="35"/>
  <c r="B908" i="35"/>
  <c r="B909" i="35"/>
  <c r="B910" i="35"/>
  <c r="B911" i="35"/>
  <c r="B912" i="35"/>
  <c r="B913" i="35"/>
  <c r="B914" i="35"/>
  <c r="B915" i="35"/>
  <c r="B916" i="35"/>
  <c r="B917" i="35"/>
  <c r="B918" i="35"/>
  <c r="B919" i="35"/>
  <c r="B920" i="35"/>
  <c r="B921" i="35"/>
  <c r="B922" i="35"/>
  <c r="B923" i="35"/>
  <c r="B924" i="35"/>
  <c r="B925" i="35"/>
  <c r="B926" i="35"/>
  <c r="B927" i="35"/>
  <c r="B928" i="35"/>
  <c r="B929" i="35"/>
  <c r="B930" i="35"/>
  <c r="B931" i="35"/>
  <c r="B932" i="35"/>
  <c r="B933" i="35"/>
  <c r="B934" i="35"/>
  <c r="B935" i="35"/>
  <c r="B936" i="35"/>
  <c r="B937" i="35"/>
  <c r="B938" i="35"/>
  <c r="B939" i="35"/>
  <c r="B940" i="35"/>
  <c r="B941" i="35"/>
  <c r="B942" i="35"/>
  <c r="B943" i="35"/>
  <c r="B944" i="35"/>
  <c r="B945" i="35"/>
  <c r="B946" i="35"/>
  <c r="B947" i="35"/>
  <c r="B948" i="35"/>
  <c r="B949" i="35"/>
  <c r="B950" i="35"/>
  <c r="B951" i="35"/>
  <c r="B952" i="35"/>
  <c r="B953" i="35"/>
  <c r="B954" i="35"/>
  <c r="B955" i="35"/>
  <c r="B956" i="35"/>
  <c r="B957" i="35"/>
  <c r="B958" i="35"/>
  <c r="B959" i="35"/>
  <c r="B960" i="35"/>
  <c r="B961" i="35"/>
  <c r="B962" i="35"/>
  <c r="B963" i="35"/>
  <c r="B964" i="35"/>
  <c r="B965" i="35"/>
  <c r="B966" i="35"/>
  <c r="B967" i="35"/>
  <c r="B968" i="35"/>
  <c r="B969" i="35"/>
  <c r="B970" i="35"/>
  <c r="B971" i="35"/>
  <c r="B972" i="35"/>
  <c r="B973" i="35"/>
  <c r="B974" i="35"/>
  <c r="B975" i="35"/>
  <c r="B976" i="35"/>
  <c r="B977" i="35"/>
  <c r="B978" i="35"/>
  <c r="B979" i="35"/>
  <c r="B980" i="35"/>
  <c r="B981" i="35"/>
  <c r="B982" i="35"/>
  <c r="B983" i="35"/>
  <c r="B984" i="35"/>
  <c r="B985" i="35"/>
  <c r="B986" i="35"/>
  <c r="B987" i="35"/>
  <c r="B988" i="35"/>
  <c r="B989" i="35"/>
  <c r="B990" i="35"/>
  <c r="B991" i="35"/>
  <c r="B992" i="35"/>
  <c r="B993" i="35"/>
  <c r="B994" i="35"/>
  <c r="B995" i="35"/>
  <c r="B996" i="35"/>
  <c r="B997" i="35"/>
  <c r="B998" i="35"/>
  <c r="B999" i="35"/>
  <c r="B1000" i="35"/>
  <c r="B1001" i="35"/>
  <c r="B1002" i="35"/>
  <c r="B1003" i="35"/>
  <c r="B1004" i="35"/>
  <c r="B1005" i="35"/>
  <c r="B1006" i="35"/>
  <c r="B1007" i="35"/>
  <c r="B1008" i="35"/>
  <c r="B1009" i="35"/>
  <c r="B1010" i="35"/>
  <c r="B1011" i="35"/>
  <c r="B1012" i="35"/>
  <c r="B1013" i="35"/>
  <c r="B1014" i="35"/>
  <c r="B1015" i="35"/>
  <c r="B1016" i="35"/>
  <c r="B1017" i="35"/>
  <c r="B1018" i="35"/>
  <c r="B1019" i="35"/>
  <c r="B1020" i="35"/>
  <c r="B1021" i="35"/>
  <c r="B1022" i="35"/>
  <c r="B1023" i="35"/>
  <c r="B1024" i="35"/>
  <c r="B1025" i="35"/>
  <c r="B1026" i="35"/>
  <c r="B1027" i="35"/>
  <c r="B1028" i="35"/>
  <c r="B1029" i="35"/>
  <c r="B1030" i="35"/>
  <c r="B1031" i="35"/>
  <c r="B1032" i="35"/>
  <c r="B1033" i="35"/>
  <c r="B1034" i="35"/>
  <c r="B1035" i="35"/>
  <c r="B1036" i="35"/>
  <c r="B1037" i="35"/>
  <c r="B1038" i="35"/>
  <c r="B1039" i="35"/>
  <c r="B1040" i="35"/>
  <c r="B1041" i="35"/>
  <c r="B1042" i="35"/>
  <c r="B1043" i="35"/>
  <c r="B1044" i="35"/>
  <c r="B1045" i="35"/>
  <c r="B1046" i="35"/>
  <c r="B1047" i="35"/>
  <c r="B1048" i="35"/>
  <c r="B1049" i="35"/>
  <c r="B1050" i="35"/>
  <c r="B1051" i="35"/>
  <c r="B1052" i="35"/>
  <c r="B1053" i="35"/>
  <c r="B1054" i="35"/>
  <c r="B1055" i="35"/>
  <c r="B1056" i="35"/>
  <c r="B1057" i="35"/>
  <c r="B1058" i="35"/>
  <c r="B1059" i="35"/>
  <c r="B1060" i="35"/>
  <c r="B1061" i="35"/>
  <c r="B1062" i="35"/>
  <c r="B1063" i="35"/>
  <c r="B1064" i="35"/>
  <c r="B1065" i="35"/>
  <c r="B1066" i="35"/>
  <c r="B1067" i="35"/>
  <c r="B1068" i="35"/>
  <c r="B1069" i="35"/>
  <c r="B1070" i="35"/>
  <c r="B1071" i="35"/>
  <c r="B1072" i="35"/>
  <c r="B1073" i="35"/>
  <c r="B1074" i="35"/>
  <c r="B1075" i="35"/>
  <c r="B1076" i="35"/>
  <c r="B1077" i="35"/>
  <c r="B1078" i="35"/>
  <c r="B1079" i="35"/>
  <c r="B1080" i="35"/>
  <c r="B1081" i="35"/>
  <c r="B1082" i="35"/>
  <c r="B1083" i="35"/>
  <c r="B1084" i="35"/>
  <c r="B1085" i="35"/>
  <c r="B1086" i="35"/>
  <c r="B1087" i="35"/>
  <c r="B1088" i="35"/>
  <c r="B1089" i="35"/>
  <c r="B1090" i="35"/>
  <c r="B1091" i="35"/>
  <c r="B1092" i="35"/>
  <c r="B1093" i="35"/>
  <c r="B1094" i="35"/>
  <c r="B1095" i="35"/>
  <c r="B1096" i="35"/>
  <c r="B1097" i="35"/>
  <c r="B1098" i="35"/>
  <c r="B1099" i="35"/>
  <c r="B1100" i="35"/>
  <c r="B1101" i="35"/>
  <c r="B1102" i="35"/>
  <c r="B1103" i="35"/>
  <c r="B1104" i="35"/>
  <c r="B1105" i="35"/>
  <c r="B1106" i="35"/>
  <c r="B1107" i="35"/>
  <c r="B1108" i="35"/>
  <c r="B1109" i="35"/>
  <c r="B1110" i="35"/>
  <c r="B1111" i="35"/>
  <c r="B1112" i="35"/>
  <c r="B1113" i="35"/>
  <c r="B1114" i="35"/>
  <c r="B1115" i="35"/>
  <c r="B1116" i="35"/>
  <c r="B1117" i="35"/>
  <c r="B1118" i="35"/>
  <c r="B1119" i="35"/>
  <c r="B1120" i="35"/>
  <c r="B1121" i="35"/>
  <c r="B1122" i="35"/>
  <c r="B1123" i="35"/>
  <c r="B1124" i="35"/>
  <c r="B1125" i="35"/>
  <c r="B1126" i="35"/>
  <c r="B1127" i="35"/>
  <c r="B1128" i="35"/>
  <c r="B1129" i="35"/>
  <c r="B1130" i="35"/>
  <c r="B1131" i="35"/>
  <c r="B1132" i="35"/>
  <c r="B1133" i="35"/>
  <c r="B1134" i="35"/>
  <c r="B1135" i="35"/>
  <c r="B1136" i="35"/>
  <c r="B1137" i="35"/>
  <c r="B1138" i="35"/>
  <c r="B1139" i="35"/>
  <c r="B1140" i="35"/>
  <c r="B1141" i="35"/>
  <c r="B1142" i="35"/>
  <c r="B1143" i="35"/>
  <c r="B1144" i="35"/>
  <c r="B1145" i="35"/>
  <c r="B1146" i="35"/>
  <c r="B1147" i="35"/>
  <c r="B1148" i="35"/>
  <c r="B1149" i="35"/>
  <c r="B1150" i="35"/>
  <c r="B1151" i="35"/>
  <c r="B1152" i="35"/>
  <c r="B1153" i="35"/>
  <c r="B1154" i="35"/>
  <c r="B1155" i="35"/>
  <c r="B1156" i="35"/>
  <c r="B1157" i="35"/>
  <c r="B1158" i="35"/>
  <c r="B1159" i="35"/>
  <c r="B1160" i="35"/>
  <c r="B1161" i="35"/>
  <c r="B1162" i="35"/>
  <c r="B1163" i="35"/>
  <c r="B1164" i="35"/>
  <c r="B1165" i="35"/>
  <c r="B1166" i="35"/>
  <c r="B1167" i="35"/>
  <c r="B1168" i="35"/>
  <c r="B1169" i="35"/>
  <c r="B1170" i="35"/>
  <c r="B1171" i="35"/>
  <c r="B1172" i="35"/>
  <c r="B1173" i="35"/>
  <c r="B1174" i="35"/>
  <c r="B1175" i="35"/>
  <c r="B1176" i="35"/>
  <c r="B1177" i="35"/>
  <c r="B1178" i="35"/>
  <c r="B1179" i="35"/>
  <c r="B1180" i="35"/>
  <c r="B1181" i="35"/>
  <c r="B1182" i="35"/>
  <c r="B1183" i="35"/>
  <c r="B1184" i="35"/>
  <c r="B1185" i="35"/>
  <c r="B1186" i="35"/>
  <c r="B1187" i="35"/>
  <c r="B1188" i="35"/>
  <c r="B1189" i="35"/>
  <c r="B1190" i="35"/>
  <c r="B1191" i="35"/>
  <c r="B1192" i="35"/>
  <c r="B1193" i="35"/>
  <c r="B1194" i="35"/>
  <c r="B1195" i="35"/>
  <c r="B1196" i="35"/>
  <c r="B1197" i="35"/>
  <c r="B1198" i="35"/>
  <c r="B1199" i="35"/>
  <c r="B1200" i="35"/>
  <c r="B1201" i="35"/>
  <c r="B1202" i="35"/>
  <c r="B1203" i="35"/>
  <c r="B1204" i="35"/>
  <c r="B1205" i="35"/>
  <c r="B1206" i="35"/>
  <c r="B1207" i="35"/>
  <c r="B1208" i="35"/>
  <c r="B1209" i="35"/>
  <c r="B1210" i="35"/>
  <c r="B1211" i="35"/>
  <c r="B1212" i="35"/>
  <c r="B1213" i="35"/>
  <c r="B1214" i="35"/>
  <c r="B1215" i="35"/>
  <c r="B1216" i="35"/>
  <c r="B1217" i="35"/>
  <c r="B1218" i="35"/>
  <c r="B1219" i="35"/>
  <c r="B1220" i="35"/>
  <c r="B1221" i="35"/>
  <c r="B1222" i="35"/>
  <c r="B1223" i="35"/>
  <c r="B1224" i="35"/>
  <c r="B1225" i="35"/>
  <c r="B1226" i="35"/>
  <c r="B1227" i="35"/>
  <c r="B1228" i="35"/>
  <c r="B1229" i="35"/>
  <c r="B1230" i="35"/>
  <c r="B1231" i="35"/>
  <c r="B1232" i="35"/>
  <c r="B1233" i="35"/>
  <c r="B1234" i="35"/>
  <c r="B1235" i="35"/>
  <c r="B1236" i="35"/>
  <c r="B1237" i="35"/>
  <c r="B1238" i="35"/>
  <c r="B1239" i="35"/>
  <c r="B1240" i="35"/>
  <c r="B1241" i="35"/>
  <c r="B1242" i="35"/>
  <c r="B1243" i="35"/>
  <c r="B1244" i="35"/>
  <c r="B1245" i="35"/>
  <c r="B1246" i="35"/>
  <c r="B1247" i="35"/>
  <c r="B1248" i="35"/>
  <c r="B1249" i="35"/>
  <c r="B1250" i="35"/>
  <c r="B1251" i="35"/>
  <c r="B1252" i="35"/>
  <c r="B1253" i="35"/>
  <c r="B1254" i="35"/>
  <c r="B1255" i="35"/>
  <c r="B1256" i="35"/>
  <c r="B1257" i="35"/>
  <c r="B1258" i="35"/>
  <c r="B1259" i="35"/>
  <c r="B1260" i="35"/>
  <c r="B1261" i="35"/>
  <c r="B1262" i="35"/>
  <c r="B1263" i="35"/>
  <c r="B1264" i="35"/>
  <c r="B1265" i="35"/>
  <c r="B1266" i="35"/>
  <c r="B1267" i="35"/>
  <c r="B1268" i="35"/>
  <c r="B1269" i="35"/>
  <c r="B1270" i="35"/>
  <c r="B1271" i="35"/>
  <c r="B1272" i="35"/>
  <c r="B1273" i="35"/>
  <c r="B1274" i="35"/>
  <c r="B1275" i="35"/>
  <c r="B1276" i="35"/>
  <c r="B1277" i="35"/>
  <c r="B1278" i="35"/>
  <c r="B1279" i="35"/>
  <c r="B1280" i="35"/>
  <c r="B1281" i="35"/>
  <c r="B1282" i="35"/>
  <c r="B1283" i="35"/>
  <c r="B1284" i="35"/>
  <c r="B1285" i="35"/>
  <c r="B1286" i="35"/>
  <c r="B1287" i="35"/>
  <c r="B1288" i="35"/>
  <c r="B1289" i="35"/>
  <c r="B1290" i="35"/>
  <c r="B1291" i="35"/>
  <c r="B1292" i="35"/>
  <c r="B1293" i="35"/>
  <c r="B1294" i="35"/>
  <c r="B1295" i="35"/>
  <c r="B1296" i="35"/>
  <c r="B1297" i="35"/>
  <c r="B1298" i="35"/>
  <c r="B1299" i="35"/>
  <c r="B1300" i="35"/>
  <c r="B1301" i="35"/>
  <c r="B1302" i="35"/>
  <c r="B1303" i="35"/>
  <c r="B1304" i="35"/>
  <c r="B1305" i="35"/>
  <c r="B1306" i="35"/>
  <c r="B1307" i="35"/>
  <c r="B1308" i="35"/>
  <c r="B1309" i="35"/>
  <c r="B1310" i="35"/>
  <c r="B1311" i="35"/>
  <c r="B1312" i="35"/>
  <c r="B1313" i="35"/>
  <c r="B1314" i="35"/>
  <c r="B1315" i="35"/>
  <c r="B1316" i="35"/>
  <c r="B1317" i="35"/>
  <c r="B1318" i="35"/>
  <c r="B1319" i="35"/>
  <c r="B1320" i="35"/>
  <c r="B1321" i="35"/>
  <c r="B1322" i="35"/>
  <c r="B1323" i="35"/>
  <c r="B1324" i="35"/>
  <c r="B1325" i="35"/>
  <c r="B1326" i="35"/>
  <c r="B1327" i="35"/>
  <c r="B1328" i="35"/>
  <c r="B1329" i="35"/>
  <c r="B1330" i="35"/>
  <c r="B1331" i="35"/>
  <c r="B1332" i="35"/>
  <c r="B1333" i="35"/>
  <c r="B1334" i="35"/>
  <c r="B1335" i="35"/>
  <c r="B1336" i="35"/>
  <c r="B1337" i="35"/>
  <c r="B1338" i="35"/>
  <c r="B1339" i="35"/>
  <c r="B1340" i="35"/>
  <c r="B1341" i="35"/>
  <c r="B1342" i="35"/>
  <c r="B1343" i="35"/>
  <c r="B1344" i="35"/>
  <c r="B1345" i="35"/>
  <c r="B1346" i="35"/>
  <c r="B1347" i="35"/>
  <c r="B1348" i="35"/>
  <c r="B1349" i="35"/>
  <c r="B1350" i="35"/>
  <c r="B1351" i="35"/>
  <c r="B1352" i="35"/>
  <c r="B1353" i="35"/>
  <c r="B1354" i="35"/>
  <c r="B1355" i="35"/>
  <c r="B1356" i="35"/>
  <c r="B1357" i="35"/>
  <c r="B1358" i="35"/>
  <c r="B1359" i="35"/>
  <c r="B1360" i="35"/>
  <c r="B1361" i="35"/>
  <c r="B1362" i="35"/>
  <c r="B1363" i="35"/>
  <c r="B1364" i="35"/>
  <c r="B1365" i="35"/>
  <c r="B1366" i="35"/>
  <c r="B1367" i="35"/>
  <c r="B1368" i="35"/>
  <c r="B1369" i="35"/>
  <c r="B1370" i="35"/>
  <c r="B1371" i="35"/>
  <c r="B1372" i="35"/>
  <c r="B1373" i="35"/>
  <c r="B1374" i="35"/>
  <c r="B1375" i="35"/>
  <c r="B1376" i="35"/>
  <c r="B1377" i="35"/>
  <c r="B1378" i="35"/>
  <c r="B1379" i="35"/>
  <c r="B1380" i="35"/>
  <c r="B1381" i="35"/>
  <c r="B1382" i="35"/>
  <c r="B1383" i="35"/>
  <c r="B1384" i="35"/>
  <c r="B1385" i="35"/>
  <c r="B1386" i="35"/>
  <c r="B1387" i="35"/>
  <c r="B1388" i="35"/>
  <c r="B1389" i="35"/>
  <c r="B1390" i="35"/>
  <c r="B1391" i="35"/>
  <c r="B1392" i="35"/>
  <c r="B1393" i="35"/>
  <c r="B1394" i="35"/>
  <c r="B1395" i="35"/>
  <c r="B1396" i="35"/>
  <c r="B1397" i="35"/>
  <c r="B1398" i="35"/>
  <c r="B1399" i="35"/>
  <c r="B1400" i="35"/>
  <c r="B1401" i="35"/>
  <c r="B1402" i="35"/>
  <c r="B1403" i="35"/>
  <c r="B1404" i="35"/>
  <c r="B1405" i="35"/>
  <c r="B1406" i="35"/>
  <c r="B1407" i="35"/>
  <c r="B1408" i="35"/>
  <c r="B1409" i="35"/>
  <c r="B1410" i="35"/>
  <c r="B1411" i="35"/>
  <c r="B1412" i="35"/>
  <c r="B1413" i="35"/>
  <c r="B1414" i="35"/>
  <c r="B1415" i="35"/>
  <c r="B1416" i="35"/>
  <c r="B1417" i="35"/>
  <c r="B1418" i="35"/>
  <c r="B1419" i="35"/>
  <c r="B1420" i="35"/>
  <c r="B1421" i="35"/>
  <c r="B1422" i="35"/>
  <c r="B1423" i="35"/>
  <c r="B1424" i="35"/>
  <c r="B1425" i="35"/>
  <c r="B1426" i="35"/>
  <c r="B1427" i="35"/>
  <c r="B1428" i="35"/>
  <c r="B1429" i="35"/>
  <c r="B1430" i="35"/>
  <c r="B1431" i="35"/>
  <c r="B1432" i="35"/>
  <c r="B1433" i="35"/>
  <c r="B1434" i="35"/>
  <c r="B1435" i="35"/>
  <c r="B1436" i="35"/>
  <c r="B1437" i="35"/>
  <c r="B1438" i="35"/>
  <c r="B1439" i="35"/>
  <c r="B1440" i="35"/>
  <c r="B1441" i="35"/>
  <c r="B1442" i="35"/>
  <c r="B1443" i="35"/>
  <c r="B1444" i="35"/>
  <c r="B1445" i="35"/>
  <c r="B1446" i="35"/>
  <c r="B1447" i="35"/>
  <c r="B1448" i="35"/>
  <c r="B1449" i="35"/>
  <c r="B1450" i="35"/>
  <c r="B1451" i="35"/>
  <c r="B1452" i="35"/>
  <c r="B1453" i="35"/>
  <c r="B1454" i="35"/>
  <c r="B1455" i="35"/>
  <c r="B1456" i="35"/>
  <c r="B1457" i="35"/>
  <c r="B1458" i="35"/>
  <c r="B1459" i="35"/>
  <c r="B1460" i="35"/>
  <c r="B1461" i="35"/>
  <c r="B1462" i="35"/>
  <c r="B1463" i="35"/>
  <c r="B1464" i="35"/>
  <c r="B1465" i="35"/>
  <c r="B1466" i="35"/>
  <c r="B1467" i="35"/>
  <c r="B1468" i="35"/>
  <c r="B1469" i="35"/>
  <c r="B1470" i="35"/>
  <c r="B1471" i="35"/>
  <c r="B1472" i="35"/>
  <c r="B1473" i="35"/>
  <c r="B1474" i="35"/>
  <c r="B1475" i="35"/>
  <c r="B1476" i="35"/>
  <c r="B1477" i="35"/>
  <c r="B1478" i="35"/>
  <c r="B1479" i="35"/>
  <c r="B1480" i="35"/>
  <c r="B1481" i="35"/>
  <c r="B1482" i="35"/>
  <c r="B1483" i="35"/>
  <c r="B1484" i="35"/>
  <c r="B1485" i="35"/>
  <c r="B1486" i="35"/>
  <c r="B1487" i="35"/>
  <c r="B1488" i="35"/>
  <c r="B1489" i="35"/>
  <c r="B1490" i="35"/>
  <c r="B1491" i="35"/>
  <c r="B1492" i="35"/>
  <c r="B1493" i="35"/>
  <c r="B1494" i="35"/>
  <c r="B1495" i="35"/>
  <c r="B1496" i="35"/>
  <c r="B1497" i="35"/>
  <c r="B1498" i="35"/>
  <c r="B1499" i="35"/>
  <c r="B1500" i="35"/>
  <c r="B1501" i="35"/>
  <c r="B1502" i="35"/>
  <c r="B1503" i="35"/>
  <c r="B1504" i="35"/>
  <c r="B1505" i="35"/>
  <c r="B1506" i="35"/>
  <c r="B1507" i="35"/>
  <c r="B1508" i="35"/>
  <c r="B1509" i="35"/>
  <c r="B1510" i="35"/>
  <c r="B1511" i="35"/>
  <c r="B1512" i="35"/>
  <c r="B1513" i="35"/>
  <c r="B1514" i="35"/>
  <c r="B1515" i="35"/>
  <c r="B1516" i="35"/>
  <c r="B1517" i="35"/>
  <c r="B1518" i="35"/>
  <c r="B1519" i="35"/>
  <c r="B1520" i="35"/>
  <c r="B1521" i="35"/>
  <c r="B1522" i="35"/>
  <c r="B1523" i="35"/>
  <c r="B1524" i="35"/>
  <c r="B1525" i="35"/>
  <c r="B1526" i="35"/>
  <c r="B1527" i="35"/>
  <c r="B1528" i="35"/>
  <c r="B1529" i="35"/>
  <c r="B1530" i="35"/>
  <c r="B1531" i="35"/>
  <c r="B1532" i="35"/>
  <c r="B1533" i="35"/>
  <c r="B1534" i="35"/>
  <c r="B1535" i="35"/>
  <c r="B1536" i="35"/>
  <c r="B1537" i="35"/>
  <c r="B1538" i="35"/>
  <c r="B1539" i="35"/>
  <c r="B1540" i="35"/>
  <c r="B1541" i="35"/>
  <c r="B1542" i="35"/>
  <c r="B1543" i="35"/>
  <c r="B1544" i="35"/>
  <c r="B1545" i="35"/>
  <c r="B1546" i="35"/>
  <c r="B1547" i="35"/>
  <c r="B1548" i="35"/>
  <c r="B1549" i="35"/>
  <c r="B1550" i="35"/>
  <c r="B1551" i="35"/>
  <c r="B1552" i="35"/>
  <c r="B1553" i="35"/>
  <c r="B1554" i="35"/>
  <c r="B1555" i="35"/>
  <c r="B1556" i="35"/>
  <c r="B1557" i="35"/>
  <c r="B4" i="33" l="1"/>
  <c r="B4" i="23" l="1"/>
  <c r="B4" i="1"/>
  <c r="H4" i="33" l="1"/>
  <c r="H4" i="23"/>
  <c r="H4" i="1"/>
  <c r="G4" i="33"/>
  <c r="G4" i="23"/>
  <c r="G4" i="1"/>
  <c r="C4" i="33"/>
  <c r="C4" i="23"/>
  <c r="C4" i="1"/>
  <c r="D4" i="33"/>
  <c r="D4" i="23"/>
  <c r="D4" i="1"/>
  <c r="F4" i="33" l="1"/>
  <c r="F4" i="23"/>
  <c r="F4" i="1"/>
  <c r="E4" i="33"/>
  <c r="E4" i="23"/>
  <c r="E4" i="1"/>
  <c r="A1010" i="37"/>
  <c r="A1009" i="37"/>
  <c r="A1008" i="37"/>
  <c r="A1007" i="37"/>
  <c r="A1006" i="37"/>
  <c r="A1005" i="37"/>
  <c r="A1004" i="37"/>
  <c r="A1003" i="37"/>
  <c r="A1002" i="37"/>
  <c r="A1001" i="37"/>
  <c r="A1000" i="37"/>
  <c r="A999" i="37"/>
  <c r="A998" i="37"/>
  <c r="A997" i="37"/>
  <c r="A996" i="37"/>
  <c r="A995" i="37"/>
  <c r="A994" i="37"/>
  <c r="A993" i="37"/>
  <c r="A992" i="37"/>
  <c r="A991" i="37"/>
  <c r="A990" i="37"/>
  <c r="A989" i="37"/>
  <c r="A988" i="37"/>
  <c r="A987" i="37"/>
  <c r="A986" i="37"/>
  <c r="A985" i="37"/>
  <c r="A984" i="37"/>
  <c r="A983" i="37"/>
  <c r="A982" i="37"/>
  <c r="A981" i="37"/>
  <c r="A980" i="37"/>
  <c r="A979" i="37"/>
  <c r="A978" i="37"/>
  <c r="A977" i="37"/>
  <c r="A976" i="37"/>
  <c r="A975" i="37"/>
  <c r="A974" i="37"/>
  <c r="A973" i="37"/>
  <c r="A972" i="37"/>
  <c r="A971" i="37"/>
  <c r="A970" i="37"/>
  <c r="A969" i="37"/>
  <c r="A968" i="37"/>
  <c r="A967" i="37"/>
  <c r="A966" i="37"/>
  <c r="A965" i="37"/>
  <c r="A964" i="37"/>
  <c r="A963" i="37"/>
  <c r="A962" i="37"/>
  <c r="A961" i="37"/>
  <c r="A960" i="37"/>
  <c r="A959" i="37"/>
  <c r="A958" i="37"/>
  <c r="A957" i="37"/>
  <c r="A956" i="37"/>
  <c r="A955" i="37"/>
  <c r="A954" i="37"/>
  <c r="A953" i="37"/>
  <c r="A952" i="37"/>
  <c r="A951" i="37"/>
  <c r="A950" i="37"/>
  <c r="A949" i="37"/>
  <c r="A948" i="37"/>
  <c r="A947" i="37"/>
  <c r="A946" i="37"/>
  <c r="A945" i="37"/>
  <c r="A944" i="37"/>
  <c r="A943" i="37"/>
  <c r="A942" i="37"/>
  <c r="A941" i="37"/>
  <c r="A940" i="37"/>
  <c r="A939" i="37"/>
  <c r="A938" i="37"/>
  <c r="A937" i="37"/>
  <c r="A936" i="37"/>
  <c r="A935" i="37"/>
  <c r="A934" i="37"/>
  <c r="A933" i="37"/>
  <c r="A932" i="37"/>
  <c r="A931" i="37"/>
  <c r="A930" i="37"/>
  <c r="A929" i="37"/>
  <c r="A928" i="37"/>
  <c r="A927" i="37"/>
  <c r="A926" i="37"/>
  <c r="A925" i="37"/>
  <c r="A924" i="37"/>
  <c r="A923" i="37"/>
  <c r="A922" i="37"/>
  <c r="A921" i="37"/>
  <c r="A920" i="37"/>
  <c r="A919" i="37"/>
  <c r="A918" i="37"/>
  <c r="A917" i="37"/>
  <c r="A916" i="37"/>
  <c r="A915" i="37"/>
  <c r="A914" i="37"/>
  <c r="A913" i="37"/>
  <c r="A912" i="37"/>
  <c r="A911" i="37"/>
  <c r="A910" i="37"/>
  <c r="A909" i="37"/>
  <c r="A908" i="37"/>
  <c r="A907" i="37"/>
  <c r="A906" i="37"/>
  <c r="A905" i="37"/>
  <c r="A904" i="37"/>
  <c r="A903" i="37"/>
  <c r="A902" i="37"/>
  <c r="A901" i="37"/>
  <c r="A900" i="37"/>
  <c r="A899" i="37"/>
  <c r="A898" i="37"/>
  <c r="A897" i="37"/>
  <c r="A896" i="37"/>
  <c r="A895" i="37"/>
  <c r="A894" i="37"/>
  <c r="A893" i="37"/>
  <c r="A892" i="37"/>
  <c r="A891" i="37"/>
  <c r="A890" i="37"/>
  <c r="A889" i="37"/>
  <c r="A888" i="37"/>
  <c r="A887" i="37"/>
  <c r="A886" i="37"/>
  <c r="A885" i="37"/>
  <c r="A884" i="37"/>
  <c r="A883" i="37"/>
  <c r="A882" i="37"/>
  <c r="A881" i="37"/>
  <c r="A880" i="37"/>
  <c r="A879" i="37"/>
  <c r="A878" i="37"/>
  <c r="A877" i="37"/>
  <c r="A876" i="37"/>
  <c r="A875" i="37"/>
  <c r="A874" i="37"/>
  <c r="A873" i="37"/>
  <c r="A872" i="37"/>
  <c r="A871" i="37"/>
  <c r="A870" i="37"/>
  <c r="A869" i="37"/>
  <c r="A868" i="37"/>
  <c r="A867" i="37"/>
  <c r="A866" i="37"/>
  <c r="A865" i="37"/>
  <c r="A864" i="37"/>
  <c r="A863" i="37"/>
  <c r="A862" i="37"/>
  <c r="A861" i="37"/>
  <c r="A860" i="37"/>
  <c r="A859" i="37"/>
  <c r="A858" i="37"/>
  <c r="A857" i="37"/>
  <c r="A856" i="37"/>
  <c r="A855" i="37"/>
  <c r="A854" i="37"/>
  <c r="A853" i="37"/>
  <c r="A852" i="37"/>
  <c r="A851" i="37"/>
  <c r="A850" i="37"/>
  <c r="A849" i="37"/>
  <c r="A848" i="37"/>
  <c r="A847" i="37"/>
  <c r="A846" i="37"/>
  <c r="A845" i="37"/>
  <c r="A844" i="37"/>
  <c r="A843" i="37"/>
  <c r="A842" i="37"/>
  <c r="A841" i="37"/>
  <c r="A840" i="37"/>
  <c r="A839" i="37"/>
  <c r="A838" i="37"/>
  <c r="A837" i="37"/>
  <c r="A836" i="37"/>
  <c r="A835" i="37"/>
  <c r="A834" i="37"/>
  <c r="A833" i="37"/>
  <c r="A832" i="37"/>
  <c r="A831" i="37"/>
  <c r="A830" i="37"/>
  <c r="A829" i="37"/>
  <c r="A828" i="37"/>
  <c r="A827" i="37"/>
  <c r="A826" i="37"/>
  <c r="A825" i="37"/>
  <c r="A824" i="37"/>
  <c r="A823" i="37"/>
  <c r="A822" i="37"/>
  <c r="A821" i="37"/>
  <c r="A820" i="37"/>
  <c r="A819" i="37"/>
  <c r="A818" i="37"/>
  <c r="A817" i="37"/>
  <c r="A816" i="37"/>
  <c r="A815" i="37"/>
  <c r="A814" i="37"/>
  <c r="A813" i="37"/>
  <c r="A812" i="37"/>
  <c r="A811" i="37"/>
  <c r="A810" i="37"/>
  <c r="A809" i="37"/>
  <c r="A808" i="37"/>
  <c r="A807" i="37"/>
  <c r="A806" i="37"/>
  <c r="A805" i="37"/>
  <c r="A804" i="37"/>
  <c r="A803" i="37"/>
  <c r="A802" i="37"/>
  <c r="A801" i="37"/>
  <c r="A800" i="37"/>
  <c r="A799" i="37"/>
  <c r="A798" i="37"/>
  <c r="A797" i="37"/>
  <c r="A796" i="37"/>
  <c r="A795" i="37"/>
  <c r="A794" i="37"/>
  <c r="A793" i="37"/>
  <c r="A792" i="37"/>
  <c r="A791" i="37"/>
  <c r="A790" i="37"/>
  <c r="A789" i="37"/>
  <c r="A788" i="37"/>
  <c r="A787" i="37"/>
  <c r="A786" i="37"/>
  <c r="A785" i="37"/>
  <c r="A784" i="37"/>
  <c r="A783" i="37"/>
  <c r="A782" i="37"/>
  <c r="A781" i="37"/>
  <c r="A780" i="37"/>
  <c r="A779" i="37"/>
  <c r="A778" i="37"/>
  <c r="A777" i="37"/>
  <c r="A776" i="37"/>
  <c r="A775" i="37"/>
  <c r="A774" i="37"/>
  <c r="A773" i="37"/>
  <c r="A772" i="37"/>
  <c r="A771" i="37"/>
  <c r="A770" i="37"/>
  <c r="A769" i="37"/>
  <c r="A768" i="37"/>
  <c r="A767" i="37"/>
  <c r="A766" i="37"/>
  <c r="A765" i="37"/>
  <c r="A764" i="37"/>
  <c r="A763" i="37"/>
  <c r="A762" i="37"/>
  <c r="A761" i="37"/>
  <c r="A760" i="37"/>
  <c r="A759" i="37"/>
  <c r="A758" i="37"/>
  <c r="A757" i="37"/>
  <c r="A756" i="37"/>
  <c r="A755" i="37"/>
  <c r="A754" i="37"/>
  <c r="A753" i="37"/>
  <c r="A752" i="37"/>
  <c r="A751" i="37"/>
  <c r="A750" i="37"/>
  <c r="A749" i="37"/>
  <c r="A748" i="37"/>
  <c r="A747" i="37"/>
  <c r="A746" i="37"/>
  <c r="A745" i="37"/>
  <c r="A744" i="37"/>
  <c r="A743" i="37"/>
  <c r="A742" i="37"/>
  <c r="A741" i="37"/>
  <c r="A740" i="37"/>
  <c r="A739" i="37"/>
  <c r="A738" i="37"/>
  <c r="A737" i="37"/>
  <c r="A736" i="37"/>
  <c r="A735" i="37"/>
  <c r="A734" i="37"/>
  <c r="A733" i="37"/>
  <c r="A732" i="37"/>
  <c r="A731" i="37"/>
  <c r="A730" i="37"/>
  <c r="A729" i="37"/>
  <c r="A728" i="37"/>
  <c r="A727" i="37"/>
  <c r="A726" i="37"/>
  <c r="A725" i="37"/>
  <c r="A724" i="37"/>
  <c r="A723" i="37"/>
  <c r="A722" i="37"/>
  <c r="A721" i="37"/>
  <c r="A720" i="37"/>
  <c r="A719" i="37"/>
  <c r="A718" i="37"/>
  <c r="A717" i="37"/>
  <c r="A716" i="37"/>
  <c r="A715" i="37"/>
  <c r="A714" i="37"/>
  <c r="A713" i="37"/>
  <c r="A712" i="37"/>
  <c r="A711" i="37"/>
  <c r="A710" i="37"/>
  <c r="A709" i="37"/>
  <c r="A708" i="37"/>
  <c r="A707" i="37"/>
  <c r="A706" i="37"/>
  <c r="A705" i="37"/>
  <c r="A704" i="37"/>
  <c r="A703" i="37"/>
  <c r="A702" i="37"/>
  <c r="A701" i="37"/>
  <c r="A700" i="37"/>
  <c r="A699" i="37"/>
  <c r="A698" i="37"/>
  <c r="A697" i="37"/>
  <c r="A696" i="37"/>
  <c r="A695" i="37"/>
  <c r="A694" i="37"/>
  <c r="A693" i="37"/>
  <c r="A692" i="37"/>
  <c r="A691" i="37"/>
  <c r="A690" i="37"/>
  <c r="A689" i="37"/>
  <c r="A688" i="37"/>
  <c r="A687" i="37"/>
  <c r="A686" i="37"/>
  <c r="A685" i="37"/>
  <c r="A684" i="37"/>
  <c r="A683" i="37"/>
  <c r="A682" i="37"/>
  <c r="A681" i="37"/>
  <c r="A680" i="37"/>
  <c r="A679" i="37"/>
  <c r="A678" i="37"/>
  <c r="A677" i="37"/>
  <c r="A676" i="37"/>
  <c r="A675" i="37"/>
  <c r="A674" i="37"/>
  <c r="A673" i="37"/>
  <c r="A672" i="37"/>
  <c r="A671" i="37"/>
  <c r="A670" i="37"/>
  <c r="A669" i="37"/>
  <c r="A668" i="37"/>
  <c r="A667" i="37"/>
  <c r="A666" i="37"/>
  <c r="A665" i="37"/>
  <c r="A664" i="37"/>
  <c r="A663" i="37"/>
  <c r="A662" i="37"/>
  <c r="A661" i="37"/>
  <c r="A660" i="37"/>
  <c r="A659" i="37"/>
  <c r="A658" i="37"/>
  <c r="A657" i="37"/>
  <c r="A656" i="37"/>
  <c r="A655" i="37"/>
  <c r="A654" i="37"/>
  <c r="A653" i="37"/>
  <c r="A652" i="37"/>
  <c r="A651" i="37"/>
  <c r="A650" i="37"/>
  <c r="A649" i="37"/>
  <c r="A648" i="37"/>
  <c r="A647" i="37"/>
  <c r="A646" i="37"/>
  <c r="A645" i="37"/>
  <c r="A644" i="37"/>
  <c r="A643" i="37"/>
  <c r="A642" i="37"/>
  <c r="A641" i="37"/>
  <c r="A640" i="37"/>
  <c r="A639" i="37"/>
  <c r="A638" i="37"/>
  <c r="A637" i="37"/>
  <c r="A636" i="37"/>
  <c r="A635" i="37"/>
  <c r="A634" i="37"/>
  <c r="A633" i="37"/>
  <c r="A632" i="37"/>
  <c r="A631" i="37"/>
  <c r="A630" i="37"/>
  <c r="A629" i="37"/>
  <c r="A628" i="37"/>
  <c r="A627" i="37"/>
  <c r="A626" i="37"/>
  <c r="A625" i="37"/>
  <c r="A624" i="37"/>
  <c r="A623" i="37"/>
  <c r="A622" i="37"/>
  <c r="A621" i="37"/>
  <c r="A620" i="37"/>
  <c r="A619" i="37"/>
  <c r="A618" i="37"/>
  <c r="A617" i="37"/>
  <c r="A616" i="37"/>
  <c r="A615" i="37"/>
  <c r="A614" i="37"/>
  <c r="A613" i="37"/>
  <c r="A612" i="37"/>
  <c r="A611" i="37"/>
  <c r="A610" i="37"/>
  <c r="A609" i="37"/>
  <c r="A608" i="37"/>
  <c r="A607" i="37"/>
  <c r="A606" i="37"/>
  <c r="A605" i="37"/>
  <c r="A604" i="37"/>
  <c r="A603" i="37"/>
  <c r="A602" i="37"/>
  <c r="A601" i="37"/>
  <c r="A600" i="37"/>
  <c r="A599" i="37"/>
  <c r="A598" i="37"/>
  <c r="A597" i="37"/>
  <c r="A596" i="37"/>
  <c r="A595" i="37"/>
  <c r="A594" i="37"/>
  <c r="A593" i="37"/>
  <c r="A592" i="37"/>
  <c r="A591" i="37"/>
  <c r="A590" i="37"/>
  <c r="A589" i="37"/>
  <c r="A588" i="37"/>
  <c r="A587" i="37"/>
  <c r="A586" i="37"/>
  <c r="A585" i="37"/>
  <c r="A584" i="37"/>
  <c r="A583" i="37"/>
  <c r="A582" i="37"/>
  <c r="A581" i="37"/>
  <c r="A580" i="37"/>
  <c r="A579" i="37"/>
  <c r="A578" i="37"/>
  <c r="A577" i="37"/>
  <c r="A576" i="37"/>
  <c r="A575" i="37"/>
  <c r="A574" i="37"/>
  <c r="A573" i="37"/>
  <c r="A572" i="37"/>
  <c r="A571" i="37"/>
  <c r="A570" i="37"/>
  <c r="A569" i="37"/>
  <c r="A568" i="37"/>
  <c r="A567" i="37"/>
  <c r="A566" i="37"/>
  <c r="A565" i="37"/>
  <c r="A564" i="37"/>
  <c r="A563" i="37"/>
  <c r="A562" i="37"/>
  <c r="A561" i="37"/>
  <c r="A560" i="37"/>
  <c r="A559" i="37"/>
  <c r="A558" i="37"/>
  <c r="A557" i="37"/>
  <c r="A556" i="37"/>
  <c r="A555" i="37"/>
  <c r="A554" i="37"/>
  <c r="A553" i="37"/>
  <c r="A552" i="37"/>
  <c r="A551" i="37"/>
  <c r="A550" i="37"/>
  <c r="A549" i="37"/>
  <c r="A548" i="37"/>
  <c r="A547" i="37"/>
  <c r="A546" i="37"/>
  <c r="A545" i="37"/>
  <c r="A544" i="37"/>
  <c r="A543" i="37"/>
  <c r="A542" i="37"/>
  <c r="A541" i="37"/>
  <c r="A540" i="37"/>
  <c r="A539" i="37"/>
  <c r="A538" i="37"/>
  <c r="A537" i="37"/>
  <c r="A536" i="37"/>
  <c r="A535" i="37"/>
  <c r="A534" i="37"/>
  <c r="A533" i="37"/>
  <c r="A532" i="37"/>
  <c r="A531" i="37"/>
  <c r="A530" i="37"/>
  <c r="A529" i="37"/>
  <c r="A528" i="37"/>
  <c r="A527" i="37"/>
  <c r="A526" i="37"/>
  <c r="A525" i="37"/>
  <c r="A524" i="37"/>
  <c r="A523" i="37"/>
  <c r="A522" i="37"/>
  <c r="A521" i="37"/>
  <c r="A520" i="37"/>
  <c r="A519" i="37"/>
  <c r="A518" i="37"/>
  <c r="A517" i="37"/>
  <c r="A516" i="37"/>
  <c r="A515" i="37"/>
  <c r="A514" i="37"/>
  <c r="A513" i="37"/>
  <c r="A512" i="37"/>
  <c r="A511" i="37"/>
  <c r="A510" i="37"/>
  <c r="A509" i="37"/>
  <c r="A508" i="37"/>
  <c r="A507" i="37"/>
  <c r="A506" i="37"/>
  <c r="A505" i="37"/>
  <c r="A504" i="37"/>
  <c r="A503" i="37"/>
  <c r="A502" i="37"/>
  <c r="A501" i="37"/>
  <c r="A500" i="37"/>
  <c r="A499" i="37"/>
  <c r="A498" i="37"/>
  <c r="A497" i="37"/>
  <c r="A496" i="37"/>
  <c r="A495" i="37"/>
  <c r="A494" i="37"/>
  <c r="A493" i="37"/>
  <c r="A492" i="37"/>
  <c r="A491" i="37"/>
  <c r="A490" i="37"/>
  <c r="A489" i="37"/>
  <c r="A488" i="37"/>
  <c r="A487" i="37"/>
  <c r="A486" i="37"/>
  <c r="A485" i="37"/>
  <c r="A484" i="37"/>
  <c r="A483" i="37"/>
  <c r="A482" i="37"/>
  <c r="A481" i="37"/>
  <c r="A480" i="37"/>
  <c r="A479" i="37"/>
  <c r="A478" i="37"/>
  <c r="A477" i="37"/>
  <c r="A476" i="37"/>
  <c r="A475" i="37"/>
  <c r="A474" i="37"/>
  <c r="A473" i="37"/>
  <c r="A472" i="37"/>
  <c r="A471" i="37"/>
  <c r="A470" i="37"/>
  <c r="A469" i="37"/>
  <c r="A468" i="37"/>
  <c r="A467" i="37"/>
  <c r="A466" i="37"/>
  <c r="A465" i="37"/>
  <c r="A464" i="37"/>
  <c r="A463" i="37"/>
  <c r="A462" i="37"/>
  <c r="A461" i="37"/>
  <c r="A460" i="37"/>
  <c r="A459" i="37"/>
  <c r="A458" i="37"/>
  <c r="A457" i="37"/>
  <c r="A456" i="37"/>
  <c r="A455" i="37"/>
  <c r="A454" i="37"/>
  <c r="A453" i="37"/>
  <c r="A452" i="37"/>
  <c r="A451" i="37"/>
  <c r="A450" i="37"/>
  <c r="A449" i="37"/>
  <c r="A448" i="37"/>
  <c r="A447" i="37"/>
  <c r="A446" i="37"/>
  <c r="A445" i="37"/>
  <c r="A444" i="37"/>
  <c r="A443" i="37"/>
  <c r="A442" i="37"/>
  <c r="A441" i="37"/>
  <c r="A440" i="37"/>
  <c r="A439" i="37"/>
  <c r="A438" i="37"/>
  <c r="A437" i="37"/>
  <c r="A436" i="37"/>
  <c r="A435" i="37"/>
  <c r="A434" i="37"/>
  <c r="A433" i="37"/>
  <c r="A432" i="37"/>
  <c r="A431" i="37"/>
  <c r="A430" i="37"/>
  <c r="A429" i="37"/>
  <c r="A428" i="37"/>
  <c r="A427" i="37"/>
  <c r="A426" i="37"/>
  <c r="A425" i="37"/>
  <c r="A424" i="37"/>
  <c r="A423" i="37"/>
  <c r="A422" i="37"/>
  <c r="A421" i="37"/>
  <c r="A420" i="37"/>
  <c r="A419" i="37"/>
  <c r="A418" i="37"/>
  <c r="A417" i="37"/>
  <c r="A416" i="37"/>
  <c r="A415" i="37"/>
  <c r="A414" i="37"/>
  <c r="A413" i="37"/>
  <c r="A412" i="37"/>
  <c r="A411" i="37"/>
  <c r="A410" i="37"/>
  <c r="A409" i="37"/>
  <c r="A408" i="37"/>
  <c r="A407" i="37"/>
  <c r="A406" i="37"/>
  <c r="A405" i="37"/>
  <c r="A404" i="37"/>
  <c r="A403" i="37"/>
  <c r="A402" i="37"/>
  <c r="A401" i="37"/>
  <c r="A400" i="37"/>
  <c r="A399" i="37"/>
  <c r="A398" i="37"/>
  <c r="A397" i="37"/>
  <c r="A396" i="37"/>
  <c r="A395" i="37"/>
  <c r="A394" i="37"/>
  <c r="A393" i="37"/>
  <c r="A392" i="37"/>
  <c r="A391" i="37"/>
  <c r="A390" i="37"/>
  <c r="A389" i="37"/>
  <c r="A388" i="37"/>
  <c r="A387" i="37"/>
  <c r="A386" i="37"/>
  <c r="A385" i="37"/>
  <c r="A384" i="37"/>
  <c r="A383" i="37"/>
  <c r="A382" i="37"/>
  <c r="A381" i="37"/>
  <c r="A380" i="37"/>
  <c r="A379" i="37"/>
  <c r="A378" i="37"/>
  <c r="A377" i="37"/>
  <c r="A376" i="37"/>
  <c r="A375" i="37"/>
  <c r="A374" i="37"/>
  <c r="A373" i="37"/>
  <c r="A372" i="37"/>
  <c r="A371" i="37"/>
  <c r="A370" i="37"/>
  <c r="A369" i="37"/>
  <c r="A368" i="37"/>
  <c r="A367" i="37"/>
  <c r="A366" i="37"/>
  <c r="A365" i="37"/>
  <c r="A364" i="37"/>
  <c r="A363" i="37"/>
  <c r="A362" i="37"/>
  <c r="A361" i="37"/>
  <c r="A360" i="37"/>
  <c r="A359" i="37"/>
  <c r="A358" i="37"/>
  <c r="A357" i="37"/>
  <c r="A356" i="37"/>
  <c r="A355" i="37"/>
  <c r="A354" i="37"/>
  <c r="A353" i="37"/>
  <c r="A352" i="37"/>
  <c r="A351" i="37"/>
  <c r="A350" i="37"/>
  <c r="A349" i="37"/>
  <c r="A348" i="37"/>
  <c r="A347" i="37"/>
  <c r="A346" i="37"/>
  <c r="A345" i="37"/>
  <c r="A344" i="37"/>
  <c r="A343" i="37"/>
  <c r="A342" i="37"/>
  <c r="A341" i="37"/>
  <c r="A340" i="37"/>
  <c r="A339" i="37"/>
  <c r="A338" i="37"/>
  <c r="A337" i="37"/>
  <c r="A336" i="37"/>
  <c r="A335" i="37"/>
  <c r="A334" i="37"/>
  <c r="A333" i="37"/>
  <c r="A332" i="37"/>
  <c r="A331" i="37"/>
  <c r="A330" i="37"/>
  <c r="A329" i="37"/>
  <c r="A328" i="37"/>
  <c r="A327" i="37"/>
  <c r="A326" i="37"/>
  <c r="A325" i="37"/>
  <c r="A324" i="37"/>
  <c r="A323" i="37"/>
  <c r="A322" i="37"/>
  <c r="A321" i="37"/>
  <c r="A320" i="37"/>
  <c r="A319" i="37"/>
  <c r="A318" i="37"/>
  <c r="A317" i="37"/>
  <c r="A316" i="37"/>
  <c r="A315" i="37"/>
  <c r="A314" i="37"/>
  <c r="A313" i="37"/>
  <c r="A312" i="37"/>
  <c r="A311" i="37"/>
  <c r="A310" i="37"/>
  <c r="A309" i="37"/>
  <c r="A308" i="37"/>
  <c r="A307" i="37"/>
  <c r="A306" i="37"/>
  <c r="A305" i="37"/>
  <c r="A304" i="37"/>
  <c r="A303" i="37"/>
  <c r="A302" i="37"/>
  <c r="A301" i="37"/>
  <c r="A300" i="37"/>
  <c r="A299" i="37"/>
  <c r="A298" i="37"/>
  <c r="A297" i="37"/>
  <c r="A296" i="37"/>
  <c r="A295" i="37"/>
  <c r="A294" i="37"/>
  <c r="A293" i="37"/>
  <c r="A292" i="37"/>
  <c r="A291" i="37"/>
  <c r="A290" i="37"/>
  <c r="A289" i="37"/>
  <c r="A288" i="37"/>
  <c r="A287" i="37"/>
  <c r="A286" i="37"/>
  <c r="A285" i="37"/>
  <c r="A284" i="37"/>
  <c r="A283" i="37"/>
  <c r="A282" i="37"/>
  <c r="A281" i="37"/>
  <c r="A280" i="37"/>
  <c r="A279" i="37"/>
  <c r="A278" i="37"/>
  <c r="A277" i="37"/>
  <c r="A276" i="37"/>
  <c r="A275" i="37"/>
  <c r="A274" i="37"/>
  <c r="A273" i="37"/>
  <c r="A272" i="37"/>
  <c r="A271" i="37"/>
  <c r="A270" i="37"/>
  <c r="A269" i="37"/>
  <c r="A268" i="37"/>
  <c r="A267" i="37"/>
  <c r="A266" i="37"/>
  <c r="A265" i="37"/>
  <c r="A264" i="37"/>
  <c r="A263" i="37"/>
  <c r="A262" i="37"/>
  <c r="A261" i="37"/>
  <c r="A260" i="37"/>
  <c r="A259" i="37"/>
  <c r="A258" i="37"/>
  <c r="A257" i="37"/>
  <c r="A256" i="37"/>
  <c r="A255" i="37"/>
  <c r="A254" i="37"/>
  <c r="A253" i="37"/>
  <c r="A252" i="37"/>
  <c r="A251" i="37"/>
  <c r="A250" i="37"/>
  <c r="A249" i="37"/>
  <c r="A248" i="37"/>
  <c r="A247" i="37"/>
  <c r="A246" i="37"/>
  <c r="A245" i="37"/>
  <c r="A244" i="37"/>
  <c r="A243" i="37"/>
  <c r="A242" i="37"/>
  <c r="A241" i="37"/>
  <c r="A240" i="37"/>
  <c r="A239" i="37"/>
  <c r="A238" i="37"/>
  <c r="A237" i="37"/>
  <c r="A236" i="37"/>
  <c r="A235" i="37"/>
  <c r="A234" i="37"/>
  <c r="A233" i="37"/>
  <c r="A232" i="37"/>
  <c r="A231" i="37"/>
  <c r="A230" i="37"/>
  <c r="A229" i="37"/>
  <c r="A228" i="37"/>
  <c r="A227" i="37"/>
  <c r="A226" i="37"/>
  <c r="A225" i="37"/>
  <c r="A224" i="37"/>
  <c r="A223" i="37"/>
  <c r="A222" i="37"/>
  <c r="A221" i="37"/>
  <c r="A220" i="37"/>
  <c r="A219" i="37"/>
  <c r="A218" i="37"/>
  <c r="A217" i="37"/>
  <c r="A216" i="37"/>
  <c r="A215" i="37"/>
  <c r="A214" i="37"/>
  <c r="A213" i="37"/>
  <c r="A212" i="37"/>
  <c r="A211" i="37"/>
  <c r="A210" i="37"/>
  <c r="A209" i="37"/>
  <c r="A208" i="37"/>
  <c r="A207" i="37"/>
  <c r="A206" i="37"/>
  <c r="A205" i="37"/>
  <c r="A204" i="37"/>
  <c r="A203" i="37"/>
  <c r="A202" i="37"/>
  <c r="A201" i="37"/>
  <c r="A200" i="37"/>
  <c r="A199" i="37"/>
  <c r="A198" i="37"/>
  <c r="A197" i="37"/>
  <c r="A196" i="37"/>
  <c r="A195" i="37"/>
  <c r="A194" i="37"/>
  <c r="A193" i="37"/>
  <c r="A192" i="37"/>
  <c r="A191" i="37"/>
  <c r="A190" i="37"/>
  <c r="A189" i="37"/>
  <c r="A188" i="37"/>
  <c r="A187" i="37"/>
  <c r="A186" i="37"/>
  <c r="A185" i="37"/>
  <c r="A184" i="37"/>
  <c r="A183" i="37"/>
  <c r="A182" i="37"/>
  <c r="A181" i="37"/>
  <c r="A180" i="37"/>
  <c r="A179" i="37"/>
  <c r="A178" i="37"/>
  <c r="A177" i="37"/>
  <c r="A176" i="37"/>
  <c r="A175" i="37"/>
  <c r="A174" i="37"/>
  <c r="A173" i="37"/>
  <c r="A172" i="37"/>
  <c r="A171" i="37"/>
  <c r="A170" i="37"/>
  <c r="A169" i="37"/>
  <c r="A168" i="37"/>
  <c r="A167" i="37"/>
  <c r="A166" i="37"/>
  <c r="A165" i="37"/>
  <c r="A164" i="37"/>
  <c r="A163" i="37"/>
  <c r="A162" i="37"/>
  <c r="A161" i="37"/>
  <c r="A160" i="37"/>
  <c r="A159" i="37"/>
  <c r="A158" i="37"/>
  <c r="A157" i="37"/>
  <c r="A156" i="37"/>
  <c r="A155" i="37"/>
  <c r="A154" i="37"/>
  <c r="A153" i="37"/>
  <c r="A152" i="37"/>
  <c r="A151" i="37"/>
  <c r="A150" i="37"/>
  <c r="A149" i="37"/>
  <c r="A148" i="37"/>
  <c r="A147" i="37"/>
  <c r="A146" i="37"/>
  <c r="A145" i="37"/>
  <c r="A144" i="37"/>
  <c r="A143" i="37"/>
  <c r="A142" i="37"/>
  <c r="A141" i="37"/>
  <c r="A140" i="37"/>
  <c r="A139" i="37"/>
  <c r="A138" i="37"/>
  <c r="A137" i="37"/>
  <c r="A136" i="37"/>
  <c r="A135" i="37"/>
  <c r="A134" i="37"/>
  <c r="A133" i="37"/>
  <c r="A132" i="37"/>
  <c r="A131" i="37"/>
  <c r="A130" i="37"/>
  <c r="A129" i="37"/>
  <c r="A128" i="37"/>
  <c r="A127" i="37"/>
  <c r="A126" i="37"/>
  <c r="A125" i="37"/>
  <c r="A124" i="37"/>
  <c r="A123" i="37"/>
  <c r="A122" i="37"/>
  <c r="A121" i="37"/>
  <c r="A120" i="37"/>
  <c r="A119" i="37"/>
  <c r="A118" i="37"/>
  <c r="A117" i="37"/>
  <c r="A116" i="37"/>
  <c r="A115" i="37"/>
  <c r="A114" i="37"/>
  <c r="A113" i="37"/>
  <c r="A112" i="37"/>
  <c r="A111" i="37"/>
  <c r="A110" i="37"/>
  <c r="A109" i="37"/>
  <c r="A108" i="37"/>
  <c r="A107" i="37"/>
  <c r="A106" i="37"/>
  <c r="A105" i="37"/>
  <c r="A104" i="37"/>
  <c r="A103" i="37"/>
  <c r="A102" i="37"/>
  <c r="A101" i="37"/>
  <c r="A100" i="37"/>
  <c r="A99" i="37"/>
  <c r="A98" i="37"/>
  <c r="A97" i="37"/>
  <c r="A96" i="37"/>
  <c r="A95" i="37"/>
  <c r="A94" i="37"/>
  <c r="A93" i="37"/>
  <c r="A92" i="37"/>
  <c r="A91" i="37"/>
  <c r="A90" i="37"/>
  <c r="A89" i="37"/>
  <c r="A88" i="37"/>
  <c r="A87" i="37"/>
  <c r="A86" i="37"/>
  <c r="A85" i="37"/>
  <c r="A84" i="37"/>
  <c r="A83" i="37"/>
  <c r="A82" i="37"/>
  <c r="A81" i="37"/>
  <c r="A80" i="37"/>
  <c r="A79" i="37"/>
  <c r="A78" i="37"/>
  <c r="A77" i="37"/>
  <c r="A76" i="37"/>
  <c r="A75" i="37"/>
  <c r="A74" i="37"/>
  <c r="A73" i="37"/>
  <c r="A72" i="37"/>
  <c r="A71" i="37"/>
  <c r="A70" i="37"/>
  <c r="A69" i="37"/>
  <c r="A68" i="37"/>
  <c r="A67" i="37"/>
  <c r="A66" i="37"/>
  <c r="A65" i="37"/>
  <c r="A64" i="37"/>
  <c r="A63" i="37"/>
  <c r="A62" i="37"/>
  <c r="A61" i="37"/>
  <c r="A60" i="37"/>
  <c r="A59" i="37"/>
  <c r="A58" i="37"/>
  <c r="A57" i="37"/>
  <c r="A56" i="37"/>
  <c r="A55" i="37"/>
  <c r="A54" i="37"/>
  <c r="A53" i="37"/>
  <c r="A52" i="37"/>
  <c r="A51" i="37"/>
  <c r="A50" i="37"/>
  <c r="A49" i="37"/>
  <c r="A48" i="37"/>
  <c r="A47" i="37"/>
  <c r="A46" i="37"/>
  <c r="A45" i="37"/>
  <c r="A44" i="37"/>
  <c r="A43" i="37"/>
  <c r="A42" i="37"/>
  <c r="A41" i="37"/>
  <c r="A40" i="37"/>
  <c r="A39" i="37"/>
  <c r="A38" i="37"/>
  <c r="A37" i="37"/>
  <c r="A36" i="37"/>
  <c r="A35" i="37"/>
  <c r="A34" i="37"/>
  <c r="A33" i="37"/>
  <c r="A32" i="37"/>
  <c r="A31" i="37"/>
  <c r="A30" i="37"/>
  <c r="A29" i="37"/>
  <c r="A28" i="37"/>
  <c r="A27" i="37"/>
  <c r="A26" i="37"/>
  <c r="A25" i="37"/>
  <c r="A24" i="37"/>
  <c r="A23" i="37"/>
  <c r="A22" i="37"/>
  <c r="A21" i="37"/>
  <c r="A20" i="37"/>
  <c r="A19" i="37"/>
  <c r="A18" i="37"/>
  <c r="A17" i="37"/>
  <c r="A16" i="37"/>
  <c r="A15" i="37"/>
  <c r="A14" i="37"/>
  <c r="A13" i="37"/>
  <c r="A12" i="37"/>
  <c r="A11" i="37"/>
  <c r="A10" i="37"/>
  <c r="A9" i="37"/>
  <c r="A8" i="37"/>
  <c r="A7" i="37"/>
  <c r="A6" i="37"/>
  <c r="A5" i="37"/>
  <c r="A4" i="37"/>
  <c r="A3" i="37"/>
  <c r="A2" i="37"/>
  <c r="A2" i="36"/>
  <c r="A2" i="35"/>
  <c r="A52" i="33" l="1"/>
  <c r="A45" i="33"/>
  <c r="V43" i="33"/>
  <c r="V53" i="4" s="1"/>
  <c r="U43" i="33"/>
  <c r="U53" i="4" s="1"/>
  <c r="T43" i="33"/>
  <c r="T53" i="4" s="1"/>
  <c r="S43" i="33"/>
  <c r="S53" i="4" s="1"/>
  <c r="R43" i="33"/>
  <c r="R53" i="4" s="1"/>
  <c r="Q43" i="33"/>
  <c r="Q53" i="4" s="1"/>
  <c r="P43" i="33"/>
  <c r="P53" i="4" s="1"/>
  <c r="M43" i="33"/>
  <c r="M53" i="4" s="1"/>
  <c r="L43" i="33"/>
  <c r="L53" i="4" s="1"/>
  <c r="K43" i="33"/>
  <c r="K53" i="4" s="1"/>
  <c r="J43" i="33"/>
  <c r="J53" i="4" s="1"/>
  <c r="I43" i="33"/>
  <c r="I53" i="4" s="1"/>
  <c r="H43" i="33"/>
  <c r="H53" i="4" s="1"/>
  <c r="G43" i="33"/>
  <c r="G53" i="4" s="1"/>
  <c r="F43" i="33"/>
  <c r="F53" i="4" s="1"/>
  <c r="E43" i="33"/>
  <c r="E53" i="4" s="1"/>
  <c r="D43" i="33"/>
  <c r="D53" i="4" s="1"/>
  <c r="C43" i="33"/>
  <c r="C53" i="4" s="1"/>
  <c r="B43" i="33"/>
  <c r="B53" i="4" s="1"/>
  <c r="V42" i="33"/>
  <c r="V52" i="4" s="1"/>
  <c r="U42" i="33"/>
  <c r="U52" i="4" s="1"/>
  <c r="T42" i="33"/>
  <c r="T52" i="4" s="1"/>
  <c r="S42" i="33"/>
  <c r="S52" i="4" s="1"/>
  <c r="R42" i="33"/>
  <c r="R52" i="4" s="1"/>
  <c r="Q42" i="33"/>
  <c r="Q52" i="4" s="1"/>
  <c r="P42" i="33"/>
  <c r="P52" i="4" s="1"/>
  <c r="O42" i="33"/>
  <c r="O52" i="4" s="1"/>
  <c r="M42" i="33"/>
  <c r="M52" i="4" s="1"/>
  <c r="L42" i="33"/>
  <c r="L52" i="4" s="1"/>
  <c r="K42" i="33"/>
  <c r="K52" i="4" s="1"/>
  <c r="J42" i="33"/>
  <c r="J52" i="4" s="1"/>
  <c r="I42" i="33"/>
  <c r="I52" i="4" s="1"/>
  <c r="H42" i="33"/>
  <c r="H52" i="4" s="1"/>
  <c r="G42" i="33"/>
  <c r="G52" i="4" s="1"/>
  <c r="F42" i="33"/>
  <c r="F52" i="4" s="1"/>
  <c r="E42" i="33"/>
  <c r="E52" i="4" s="1"/>
  <c r="D42" i="33"/>
  <c r="D52" i="4" s="1"/>
  <c r="C42" i="33"/>
  <c r="C52" i="4" s="1"/>
  <c r="B42" i="33"/>
  <c r="B52" i="4" s="1"/>
  <c r="V41" i="33"/>
  <c r="V51" i="4" s="1"/>
  <c r="U41" i="33"/>
  <c r="U51" i="4" s="1"/>
  <c r="T41" i="33"/>
  <c r="T51" i="4" s="1"/>
  <c r="S41" i="33"/>
  <c r="S51" i="4" s="1"/>
  <c r="R41" i="33"/>
  <c r="R51" i="4" s="1"/>
  <c r="Q41" i="33"/>
  <c r="Q51" i="4" s="1"/>
  <c r="P41" i="33"/>
  <c r="P51" i="4" s="1"/>
  <c r="M41" i="33"/>
  <c r="M51" i="4" s="1"/>
  <c r="L41" i="33"/>
  <c r="L51" i="4" s="1"/>
  <c r="K41" i="33"/>
  <c r="K51" i="4" s="1"/>
  <c r="J41" i="33"/>
  <c r="J51" i="4" s="1"/>
  <c r="I41" i="33"/>
  <c r="I51" i="4" s="1"/>
  <c r="H41" i="33"/>
  <c r="H51" i="4" s="1"/>
  <c r="G41" i="33"/>
  <c r="G51" i="4" s="1"/>
  <c r="F41" i="33"/>
  <c r="F51" i="4" s="1"/>
  <c r="E41" i="33"/>
  <c r="E51" i="4" s="1"/>
  <c r="D41" i="33"/>
  <c r="D51" i="4" s="1"/>
  <c r="C41" i="33"/>
  <c r="C51" i="4" s="1"/>
  <c r="B41" i="33"/>
  <c r="B51" i="4" s="1"/>
  <c r="V40" i="33"/>
  <c r="V50" i="4" s="1"/>
  <c r="U40" i="33"/>
  <c r="U50" i="4" s="1"/>
  <c r="T40" i="33"/>
  <c r="T50" i="4" s="1"/>
  <c r="S40" i="33"/>
  <c r="S50" i="4" s="1"/>
  <c r="R40" i="33"/>
  <c r="R50" i="4" s="1"/>
  <c r="Q40" i="33"/>
  <c r="Q50" i="4" s="1"/>
  <c r="P40" i="33"/>
  <c r="P50" i="4" s="1"/>
  <c r="M40" i="33"/>
  <c r="M50" i="4" s="1"/>
  <c r="L40" i="33"/>
  <c r="L50" i="4" s="1"/>
  <c r="K40" i="33"/>
  <c r="K50" i="4" s="1"/>
  <c r="J40" i="33"/>
  <c r="J50" i="4" s="1"/>
  <c r="I40" i="33"/>
  <c r="I50" i="4" s="1"/>
  <c r="H40" i="33"/>
  <c r="H50" i="4" s="1"/>
  <c r="G40" i="33"/>
  <c r="G50" i="4" s="1"/>
  <c r="F40" i="33"/>
  <c r="F50" i="4" s="1"/>
  <c r="E40" i="33"/>
  <c r="E50" i="4" s="1"/>
  <c r="D40" i="33"/>
  <c r="D50" i="4" s="1"/>
  <c r="C40" i="33"/>
  <c r="C50" i="4" s="1"/>
  <c r="B40" i="33"/>
  <c r="B50" i="4" s="1"/>
  <c r="V39" i="33"/>
  <c r="V49" i="4" s="1"/>
  <c r="U39" i="33"/>
  <c r="U49" i="4" s="1"/>
  <c r="T39" i="33"/>
  <c r="T49" i="4" s="1"/>
  <c r="S39" i="33"/>
  <c r="S49" i="4" s="1"/>
  <c r="R39" i="33"/>
  <c r="R49" i="4" s="1"/>
  <c r="Q39" i="33"/>
  <c r="Q49" i="4" s="1"/>
  <c r="P39" i="33"/>
  <c r="P49" i="4" s="1"/>
  <c r="M39" i="33"/>
  <c r="M49" i="4" s="1"/>
  <c r="L39" i="33"/>
  <c r="L49" i="4" s="1"/>
  <c r="K39" i="33"/>
  <c r="K49" i="4" s="1"/>
  <c r="J39" i="33"/>
  <c r="J49" i="4" s="1"/>
  <c r="I39" i="33"/>
  <c r="I49" i="4" s="1"/>
  <c r="H39" i="33"/>
  <c r="H49" i="4" s="1"/>
  <c r="G39" i="33"/>
  <c r="G49" i="4" s="1"/>
  <c r="F39" i="33"/>
  <c r="F49" i="4" s="1"/>
  <c r="E39" i="33"/>
  <c r="E49" i="4" s="1"/>
  <c r="D39" i="33"/>
  <c r="D49" i="4" s="1"/>
  <c r="C39" i="33"/>
  <c r="C49" i="4" s="1"/>
  <c r="B39" i="33"/>
  <c r="B49" i="4" s="1"/>
  <c r="V38" i="33"/>
  <c r="V48" i="4" s="1"/>
  <c r="U38" i="33"/>
  <c r="U48" i="4" s="1"/>
  <c r="T38" i="33"/>
  <c r="T48" i="4" s="1"/>
  <c r="S38" i="33"/>
  <c r="S48" i="4" s="1"/>
  <c r="R38" i="33"/>
  <c r="R48" i="4" s="1"/>
  <c r="Q38" i="33"/>
  <c r="Q48" i="4" s="1"/>
  <c r="P38" i="33"/>
  <c r="P48" i="4" s="1"/>
  <c r="M38" i="33"/>
  <c r="M48" i="4" s="1"/>
  <c r="L38" i="33"/>
  <c r="L48" i="4" s="1"/>
  <c r="K38" i="33"/>
  <c r="K48" i="4" s="1"/>
  <c r="J38" i="33"/>
  <c r="J48" i="4" s="1"/>
  <c r="I38" i="33"/>
  <c r="I48" i="4" s="1"/>
  <c r="H38" i="33"/>
  <c r="H48" i="4" s="1"/>
  <c r="G38" i="33"/>
  <c r="G48" i="4" s="1"/>
  <c r="F38" i="33"/>
  <c r="F48" i="4" s="1"/>
  <c r="E38" i="33"/>
  <c r="E48" i="4" s="1"/>
  <c r="D38" i="33"/>
  <c r="D48" i="4" s="1"/>
  <c r="C38" i="33"/>
  <c r="C48" i="4" s="1"/>
  <c r="B38" i="33"/>
  <c r="B48" i="4" s="1"/>
  <c r="V37" i="33"/>
  <c r="V47" i="4" s="1"/>
  <c r="U37" i="33"/>
  <c r="U47" i="4" s="1"/>
  <c r="T37" i="33"/>
  <c r="T47" i="4" s="1"/>
  <c r="S37" i="33"/>
  <c r="S47" i="4" s="1"/>
  <c r="R37" i="33"/>
  <c r="R47" i="4" s="1"/>
  <c r="Q37" i="33"/>
  <c r="Q47" i="4" s="1"/>
  <c r="P37" i="33"/>
  <c r="P47" i="4" s="1"/>
  <c r="M37" i="33"/>
  <c r="M47" i="4" s="1"/>
  <c r="L37" i="33"/>
  <c r="L47" i="4" s="1"/>
  <c r="K37" i="33"/>
  <c r="K47" i="4" s="1"/>
  <c r="J37" i="33"/>
  <c r="J47" i="4" s="1"/>
  <c r="I37" i="33"/>
  <c r="I47" i="4" s="1"/>
  <c r="H37" i="33"/>
  <c r="H47" i="4" s="1"/>
  <c r="G37" i="33"/>
  <c r="G47" i="4" s="1"/>
  <c r="F37" i="33"/>
  <c r="F47" i="4" s="1"/>
  <c r="E37" i="33"/>
  <c r="E47" i="4" s="1"/>
  <c r="D37" i="33"/>
  <c r="D47" i="4" s="1"/>
  <c r="C37" i="33"/>
  <c r="C47" i="4" s="1"/>
  <c r="B37" i="33"/>
  <c r="B47" i="4" s="1"/>
  <c r="V36" i="33"/>
  <c r="V46" i="4" s="1"/>
  <c r="U36" i="33"/>
  <c r="U46" i="4" s="1"/>
  <c r="T36" i="33"/>
  <c r="T46" i="4" s="1"/>
  <c r="S36" i="33"/>
  <c r="S46" i="4" s="1"/>
  <c r="R36" i="33"/>
  <c r="R46" i="4" s="1"/>
  <c r="Q36" i="33"/>
  <c r="Q46" i="4" s="1"/>
  <c r="P36" i="33"/>
  <c r="P46" i="4" s="1"/>
  <c r="M36" i="33"/>
  <c r="M46" i="4" s="1"/>
  <c r="L36" i="33"/>
  <c r="L46" i="4" s="1"/>
  <c r="K36" i="33"/>
  <c r="K46" i="4" s="1"/>
  <c r="J36" i="33"/>
  <c r="J46" i="4" s="1"/>
  <c r="I36" i="33"/>
  <c r="I46" i="4" s="1"/>
  <c r="H36" i="33"/>
  <c r="H46" i="4" s="1"/>
  <c r="G36" i="33"/>
  <c r="G46" i="4" s="1"/>
  <c r="F36" i="33"/>
  <c r="F46" i="4" s="1"/>
  <c r="E36" i="33"/>
  <c r="E46" i="4" s="1"/>
  <c r="D36" i="33"/>
  <c r="D46" i="4" s="1"/>
  <c r="C36" i="33"/>
  <c r="C46" i="4" s="1"/>
  <c r="B36" i="33"/>
  <c r="B46" i="4" s="1"/>
  <c r="E33" i="33"/>
  <c r="E43" i="4" s="1"/>
  <c r="J29" i="33"/>
  <c r="J39" i="4" s="1"/>
  <c r="V28" i="33"/>
  <c r="T28" i="33"/>
  <c r="V24" i="33"/>
  <c r="U24" i="33"/>
  <c r="T24" i="33"/>
  <c r="S24" i="33"/>
  <c r="R24" i="33"/>
  <c r="Q24" i="33"/>
  <c r="P24" i="33"/>
  <c r="O24" i="33"/>
  <c r="L24" i="33"/>
  <c r="J24" i="33"/>
  <c r="I24" i="33"/>
  <c r="H24" i="33"/>
  <c r="G24" i="33"/>
  <c r="F24" i="33"/>
  <c r="E24" i="33"/>
  <c r="D24" i="33"/>
  <c r="C24" i="33"/>
  <c r="B24" i="33"/>
  <c r="V23" i="33"/>
  <c r="U23" i="33"/>
  <c r="T23" i="33"/>
  <c r="S23" i="33"/>
  <c r="R23" i="33"/>
  <c r="Q23" i="33"/>
  <c r="P23" i="33"/>
  <c r="O23" i="33"/>
  <c r="L35" i="33" s="1"/>
  <c r="L45" i="4" s="1"/>
  <c r="L23" i="33"/>
  <c r="J23" i="33"/>
  <c r="I23" i="33"/>
  <c r="H23" i="33"/>
  <c r="G23" i="33"/>
  <c r="F23" i="33"/>
  <c r="E23" i="33"/>
  <c r="D23" i="33"/>
  <c r="C23" i="33"/>
  <c r="B23" i="33"/>
  <c r="A22" i="33"/>
  <c r="H22" i="33"/>
  <c r="G45" i="33"/>
  <c r="F27" i="33"/>
  <c r="F52" i="33" s="1"/>
  <c r="E45" i="33"/>
  <c r="D22" i="33"/>
  <c r="C45" i="33"/>
  <c r="B45" i="33"/>
  <c r="R28" i="33" l="1"/>
  <c r="T29" i="33"/>
  <c r="S30" i="33"/>
  <c r="S40" i="4" s="1"/>
  <c r="R31" i="33"/>
  <c r="R41" i="4" s="1"/>
  <c r="V31" i="33"/>
  <c r="V41" i="4" s="1"/>
  <c r="U32" i="33"/>
  <c r="U42" i="4" s="1"/>
  <c r="S33" i="33"/>
  <c r="S43" i="4" s="1"/>
  <c r="R34" i="33"/>
  <c r="R44" i="4" s="1"/>
  <c r="V34" i="33"/>
  <c r="V44" i="4" s="1"/>
  <c r="U35" i="33"/>
  <c r="U45" i="4" s="1"/>
  <c r="S28" i="33"/>
  <c r="U29" i="33"/>
  <c r="U39" i="4" s="1"/>
  <c r="T30" i="33"/>
  <c r="T40" i="4" s="1"/>
  <c r="S31" i="33"/>
  <c r="S41" i="4" s="1"/>
  <c r="R32" i="33"/>
  <c r="R42" i="4" s="1"/>
  <c r="V32" i="33"/>
  <c r="V42" i="4" s="1"/>
  <c r="T33" i="33"/>
  <c r="T43" i="4" s="1"/>
  <c r="S34" i="33"/>
  <c r="S44" i="4" s="1"/>
  <c r="R35" i="33"/>
  <c r="R45" i="4" s="1"/>
  <c r="V35" i="33"/>
  <c r="V45" i="4" s="1"/>
  <c r="R29" i="33"/>
  <c r="R39" i="4" s="1"/>
  <c r="V29" i="33"/>
  <c r="U30" i="33"/>
  <c r="U40" i="4" s="1"/>
  <c r="T31" i="33"/>
  <c r="T41" i="4" s="1"/>
  <c r="S32" i="33"/>
  <c r="S42" i="4" s="1"/>
  <c r="U33" i="33"/>
  <c r="U43" i="4" s="1"/>
  <c r="T34" i="33"/>
  <c r="T44" i="4" s="1"/>
  <c r="S35" i="33"/>
  <c r="S45" i="4" s="1"/>
  <c r="U28" i="33"/>
  <c r="S29" i="33"/>
  <c r="S39" i="4" s="1"/>
  <c r="R30" i="33"/>
  <c r="R40" i="4" s="1"/>
  <c r="V30" i="33"/>
  <c r="V40" i="4" s="1"/>
  <c r="U31" i="33"/>
  <c r="U41" i="4" s="1"/>
  <c r="T32" i="33"/>
  <c r="T42" i="4" s="1"/>
  <c r="R33" i="33"/>
  <c r="R43" i="4" s="1"/>
  <c r="V33" i="33"/>
  <c r="V43" i="4" s="1"/>
  <c r="U34" i="33"/>
  <c r="U44" i="4" s="1"/>
  <c r="T35" i="33"/>
  <c r="T45" i="4" s="1"/>
  <c r="Q29" i="33"/>
  <c r="Q39" i="4" s="1"/>
  <c r="P32" i="33"/>
  <c r="P42" i="4" s="1"/>
  <c r="P33" i="33"/>
  <c r="P43" i="4" s="1"/>
  <c r="Q34" i="33"/>
  <c r="Q44" i="4" s="1"/>
  <c r="Q30" i="33"/>
  <c r="Q40" i="4" s="1"/>
  <c r="P34" i="33"/>
  <c r="P44" i="4" s="1"/>
  <c r="Q35" i="33"/>
  <c r="Q45" i="4" s="1"/>
  <c r="P28" i="33"/>
  <c r="P31" i="33"/>
  <c r="P41" i="4" s="1"/>
  <c r="Q32" i="33"/>
  <c r="Q42" i="4" s="1"/>
  <c r="Q33" i="33"/>
  <c r="Q43" i="4" s="1"/>
  <c r="P29" i="33"/>
  <c r="P39" i="4" s="1"/>
  <c r="Q28" i="33"/>
  <c r="Q38" i="4" s="1"/>
  <c r="P30" i="33"/>
  <c r="P40" i="4" s="1"/>
  <c r="Q31" i="33"/>
  <c r="Q41" i="4" s="1"/>
  <c r="P35" i="33"/>
  <c r="P45" i="4" s="1"/>
  <c r="O36" i="33"/>
  <c r="O46" i="4" s="1"/>
  <c r="O37" i="33"/>
  <c r="O47" i="4" s="1"/>
  <c r="O38" i="33"/>
  <c r="O48" i="4" s="1"/>
  <c r="O39" i="33"/>
  <c r="O49" i="4" s="1"/>
  <c r="O40" i="33"/>
  <c r="O50" i="4" s="1"/>
  <c r="O41" i="33"/>
  <c r="O51" i="4" s="1"/>
  <c r="O43" i="33"/>
  <c r="O53" i="4" s="1"/>
  <c r="M28" i="33"/>
  <c r="C29" i="33"/>
  <c r="C39" i="4" s="1"/>
  <c r="G30" i="33"/>
  <c r="G40" i="4" s="1"/>
  <c r="K31" i="33"/>
  <c r="K41" i="4" s="1"/>
  <c r="D28" i="33"/>
  <c r="E29" i="33"/>
  <c r="E39" i="4" s="1"/>
  <c r="C30" i="33"/>
  <c r="C40" i="4" s="1"/>
  <c r="I30" i="33"/>
  <c r="I40" i="4" s="1"/>
  <c r="O30" i="33"/>
  <c r="O40" i="4" s="1"/>
  <c r="M31" i="33"/>
  <c r="M41" i="4" s="1"/>
  <c r="B32" i="33"/>
  <c r="B42" i="4" s="1"/>
  <c r="K32" i="33"/>
  <c r="K42" i="4" s="1"/>
  <c r="E28" i="33"/>
  <c r="B29" i="33"/>
  <c r="B39" i="4" s="1"/>
  <c r="F29" i="33"/>
  <c r="F39" i="4" s="1"/>
  <c r="K29" i="33"/>
  <c r="K39" i="4" s="1"/>
  <c r="J30" i="33"/>
  <c r="J40" i="4" s="1"/>
  <c r="I31" i="33"/>
  <c r="I41" i="4" s="1"/>
  <c r="O31" i="33"/>
  <c r="O41" i="4" s="1"/>
  <c r="M32" i="33"/>
  <c r="M42" i="4" s="1"/>
  <c r="G28" i="33"/>
  <c r="L28" i="33"/>
  <c r="O28" i="33"/>
  <c r="O38" i="4" s="1"/>
  <c r="G29" i="33"/>
  <c r="G39" i="4" s="1"/>
  <c r="M29" i="33"/>
  <c r="M39" i="4" s="1"/>
  <c r="B30" i="33"/>
  <c r="B40" i="4" s="1"/>
  <c r="F30" i="33"/>
  <c r="F40" i="4" s="1"/>
  <c r="K30" i="33"/>
  <c r="K40" i="4" s="1"/>
  <c r="E31" i="33"/>
  <c r="E41" i="4" s="1"/>
  <c r="J31" i="33"/>
  <c r="J41" i="4" s="1"/>
  <c r="C32" i="33"/>
  <c r="C42" i="4" s="1"/>
  <c r="I32" i="33"/>
  <c r="I42" i="4" s="1"/>
  <c r="O32" i="33"/>
  <c r="O42" i="4" s="1"/>
  <c r="G33" i="33"/>
  <c r="G43" i="4" s="1"/>
  <c r="M33" i="33"/>
  <c r="M43" i="4" s="1"/>
  <c r="B34" i="33"/>
  <c r="B44" i="4" s="1"/>
  <c r="F34" i="33"/>
  <c r="F44" i="4" s="1"/>
  <c r="K34" i="33"/>
  <c r="K44" i="4" s="1"/>
  <c r="E35" i="33"/>
  <c r="E45" i="4" s="1"/>
  <c r="J35" i="33"/>
  <c r="J45" i="4" s="1"/>
  <c r="C28" i="33"/>
  <c r="I29" i="33"/>
  <c r="I39" i="4" s="1"/>
  <c r="O29" i="33"/>
  <c r="O39" i="4" s="1"/>
  <c r="M30" i="33"/>
  <c r="M40" i="4" s="1"/>
  <c r="J32" i="33"/>
  <c r="J42" i="4" s="1"/>
  <c r="C33" i="33"/>
  <c r="C43" i="4" s="1"/>
  <c r="I33" i="33"/>
  <c r="I43" i="4" s="1"/>
  <c r="O33" i="33"/>
  <c r="O43" i="4" s="1"/>
  <c r="G34" i="33"/>
  <c r="G44" i="4" s="1"/>
  <c r="M34" i="33"/>
  <c r="M44" i="4" s="1"/>
  <c r="B35" i="33"/>
  <c r="B45" i="4" s="1"/>
  <c r="F35" i="33"/>
  <c r="F45" i="4" s="1"/>
  <c r="K35" i="33"/>
  <c r="K45" i="4" s="1"/>
  <c r="B31" i="33"/>
  <c r="B41" i="4" s="1"/>
  <c r="E32" i="33"/>
  <c r="E42" i="4" s="1"/>
  <c r="J33" i="33"/>
  <c r="J43" i="4" s="1"/>
  <c r="C34" i="33"/>
  <c r="C44" i="4" s="1"/>
  <c r="I34" i="33"/>
  <c r="I44" i="4" s="1"/>
  <c r="O34" i="33"/>
  <c r="O44" i="4" s="1"/>
  <c r="G35" i="33"/>
  <c r="G45" i="4" s="1"/>
  <c r="M35" i="33"/>
  <c r="M45" i="4" s="1"/>
  <c r="H28" i="33"/>
  <c r="F31" i="33"/>
  <c r="F41" i="4" s="1"/>
  <c r="I28" i="33"/>
  <c r="G31" i="33"/>
  <c r="G41" i="4" s="1"/>
  <c r="F32" i="33"/>
  <c r="F42" i="4" s="1"/>
  <c r="K28" i="33"/>
  <c r="E30" i="33"/>
  <c r="E40" i="4" s="1"/>
  <c r="C31" i="33"/>
  <c r="C41" i="4" s="1"/>
  <c r="G32" i="33"/>
  <c r="G42" i="4" s="1"/>
  <c r="B33" i="33"/>
  <c r="B43" i="4" s="1"/>
  <c r="F33" i="33"/>
  <c r="F43" i="4" s="1"/>
  <c r="K33" i="33"/>
  <c r="K43" i="4" s="1"/>
  <c r="E34" i="33"/>
  <c r="E44" i="4" s="1"/>
  <c r="J34" i="33"/>
  <c r="J44" i="4" s="1"/>
  <c r="C35" i="33"/>
  <c r="C45" i="4" s="1"/>
  <c r="I35" i="33"/>
  <c r="I45" i="4" s="1"/>
  <c r="O35" i="33"/>
  <c r="O45" i="4" s="1"/>
  <c r="B28" i="33"/>
  <c r="F28" i="33"/>
  <c r="F38" i="4" s="1"/>
  <c r="J28" i="33"/>
  <c r="D29" i="33"/>
  <c r="D39" i="4" s="1"/>
  <c r="H29" i="33"/>
  <c r="H39" i="4" s="1"/>
  <c r="L29" i="33"/>
  <c r="L39" i="4" s="1"/>
  <c r="D30" i="33"/>
  <c r="D40" i="4" s="1"/>
  <c r="H30" i="33"/>
  <c r="H40" i="4" s="1"/>
  <c r="L30" i="33"/>
  <c r="L40" i="4" s="1"/>
  <c r="D31" i="33"/>
  <c r="D41" i="4" s="1"/>
  <c r="H31" i="33"/>
  <c r="H41" i="4" s="1"/>
  <c r="L31" i="33"/>
  <c r="L41" i="4" s="1"/>
  <c r="D32" i="33"/>
  <c r="D42" i="4" s="1"/>
  <c r="H32" i="33"/>
  <c r="H42" i="4" s="1"/>
  <c r="L32" i="33"/>
  <c r="L42" i="4" s="1"/>
  <c r="D33" i="33"/>
  <c r="D43" i="4" s="1"/>
  <c r="H33" i="33"/>
  <c r="H43" i="4" s="1"/>
  <c r="L33" i="33"/>
  <c r="L43" i="4" s="1"/>
  <c r="D34" i="33"/>
  <c r="D44" i="4" s="1"/>
  <c r="H34" i="33"/>
  <c r="H44" i="4" s="1"/>
  <c r="L34" i="33"/>
  <c r="L44" i="4" s="1"/>
  <c r="D35" i="33"/>
  <c r="D45" i="4" s="1"/>
  <c r="H35" i="33"/>
  <c r="H45" i="4" s="1"/>
  <c r="V38" i="4"/>
  <c r="R38" i="4"/>
  <c r="U38" i="4"/>
  <c r="B22" i="33"/>
  <c r="E22" i="33"/>
  <c r="I45" i="33"/>
  <c r="I52" i="33"/>
  <c r="I27" i="33"/>
  <c r="P38" i="4"/>
  <c r="T38" i="4"/>
  <c r="B27" i="33"/>
  <c r="B52" i="33" s="1"/>
  <c r="D27" i="33"/>
  <c r="D52" i="33" s="1"/>
  <c r="I22" i="33"/>
  <c r="E27" i="33"/>
  <c r="E52" i="33" s="1"/>
  <c r="S38" i="4"/>
  <c r="D45" i="33"/>
  <c r="F22" i="33"/>
  <c r="F45" i="33"/>
  <c r="G22" i="33"/>
  <c r="G27" i="33"/>
  <c r="G52" i="33" s="1"/>
  <c r="C22" i="33"/>
  <c r="C27" i="33"/>
  <c r="C52" i="33" s="1"/>
  <c r="H27" i="33"/>
  <c r="H52" i="33" s="1"/>
  <c r="H45" i="33"/>
  <c r="R56" i="33"/>
  <c r="U56" i="33"/>
  <c r="I56" i="33"/>
  <c r="F56" i="33"/>
  <c r="Q56" i="33"/>
  <c r="L56" i="33"/>
  <c r="T56" i="33"/>
  <c r="V56" i="33"/>
  <c r="M56" i="33"/>
  <c r="D56" i="33"/>
  <c r="E56" i="33"/>
  <c r="G56" i="33"/>
  <c r="C56" i="33"/>
  <c r="J56" i="33"/>
  <c r="O56" i="33"/>
  <c r="H56" i="33"/>
  <c r="K56" i="33"/>
  <c r="B56" i="33"/>
  <c r="S56" i="33"/>
  <c r="P56" i="33"/>
  <c r="V46" i="33" l="1"/>
  <c r="V53" i="33" s="1"/>
  <c r="S57" i="33"/>
  <c r="B57" i="33"/>
  <c r="K57" i="33"/>
  <c r="H57" i="33"/>
  <c r="J57" i="33"/>
  <c r="C57" i="33"/>
  <c r="G57" i="33"/>
  <c r="E57" i="33"/>
  <c r="D57" i="33"/>
  <c r="M57" i="33"/>
  <c r="V57" i="33"/>
  <c r="T57" i="33"/>
  <c r="L57" i="33"/>
  <c r="F57" i="33"/>
  <c r="I57" i="33"/>
  <c r="U57" i="33"/>
  <c r="R57" i="33"/>
  <c r="B38" i="4"/>
  <c r="K46" i="33"/>
  <c r="K53" i="33" s="1"/>
  <c r="U47" i="33"/>
  <c r="U48" i="33" s="1"/>
  <c r="U54" i="33" s="1"/>
  <c r="H38" i="4"/>
  <c r="R46" i="33"/>
  <c r="R53" i="33" s="1"/>
  <c r="U46" i="33"/>
  <c r="U53" i="33" s="1"/>
  <c r="S46" i="33"/>
  <c r="S53" i="33" s="1"/>
  <c r="T46" i="33"/>
  <c r="T53" i="33" s="1"/>
  <c r="J38" i="4"/>
  <c r="C38" i="4"/>
  <c r="E38" i="4"/>
  <c r="D38" i="4"/>
  <c r="M38" i="4"/>
  <c r="V39" i="4"/>
  <c r="T39" i="4"/>
  <c r="V47" i="33"/>
  <c r="V48" i="33" s="1"/>
  <c r="V54" i="33" s="1"/>
  <c r="S47" i="33"/>
  <c r="S48" i="33" s="1"/>
  <c r="S54" i="33" s="1"/>
  <c r="T47" i="33"/>
  <c r="T48" i="33" s="1"/>
  <c r="T54" i="33" s="1"/>
  <c r="K38" i="4"/>
  <c r="L38" i="4"/>
  <c r="R47" i="33"/>
  <c r="R48" i="33" s="1"/>
  <c r="R54" i="33" s="1"/>
  <c r="I38" i="4"/>
  <c r="M46" i="33"/>
  <c r="M53" i="33" s="1"/>
  <c r="Q46" i="33"/>
  <c r="Q53" i="33" s="1"/>
  <c r="P47" i="33"/>
  <c r="P48" i="33" s="1"/>
  <c r="P54" i="33" s="1"/>
  <c r="J46" i="33"/>
  <c r="J53" i="33" s="1"/>
  <c r="Q47" i="33"/>
  <c r="Q48" i="33" s="1"/>
  <c r="Q54" i="33" s="1"/>
  <c r="P57" i="33"/>
  <c r="Q57" i="33"/>
  <c r="M47" i="33"/>
  <c r="M48" i="33" s="1"/>
  <c r="M54" i="33" s="1"/>
  <c r="H46" i="33"/>
  <c r="H53" i="33" s="1"/>
  <c r="E47" i="33"/>
  <c r="E48" i="33" s="1"/>
  <c r="E54" i="33" s="1"/>
  <c r="L47" i="33"/>
  <c r="L48" i="33" s="1"/>
  <c r="L54" i="33" s="1"/>
  <c r="G46" i="33"/>
  <c r="G53" i="33" s="1"/>
  <c r="P46" i="33"/>
  <c r="P53" i="33" s="1"/>
  <c r="P55" i="33" s="1"/>
  <c r="B46" i="33"/>
  <c r="B53" i="33" s="1"/>
  <c r="J47" i="33"/>
  <c r="J48" i="33" s="1"/>
  <c r="J54" i="33" s="1"/>
  <c r="L46" i="33"/>
  <c r="L53" i="33" s="1"/>
  <c r="G47" i="33"/>
  <c r="G48" i="33" s="1"/>
  <c r="G54" i="33" s="1"/>
  <c r="I46" i="33"/>
  <c r="I53" i="33" s="1"/>
  <c r="D47" i="33"/>
  <c r="D48" i="33" s="1"/>
  <c r="D54" i="33" s="1"/>
  <c r="O46" i="33"/>
  <c r="O53" i="33" s="1"/>
  <c r="O55" i="33" s="1"/>
  <c r="F47" i="33"/>
  <c r="F48" i="33" s="1"/>
  <c r="F54" i="33" s="1"/>
  <c r="E46" i="33"/>
  <c r="E53" i="33" s="1"/>
  <c r="D46" i="33"/>
  <c r="D53" i="33" s="1"/>
  <c r="G38" i="4"/>
  <c r="O57" i="33"/>
  <c r="U61" i="33" s="1"/>
  <c r="K47" i="33"/>
  <c r="K48" i="33" s="1"/>
  <c r="K54" i="33" s="1"/>
  <c r="C47" i="33"/>
  <c r="C48" i="33" s="1"/>
  <c r="C54" i="33" s="1"/>
  <c r="F46" i="33"/>
  <c r="F53" i="33" s="1"/>
  <c r="I47" i="33"/>
  <c r="I48" i="33" s="1"/>
  <c r="I54" i="33" s="1"/>
  <c r="B47" i="33"/>
  <c r="B48" i="33" s="1"/>
  <c r="B54" i="33" s="1"/>
  <c r="H47" i="33"/>
  <c r="H48" i="33" s="1"/>
  <c r="H54" i="33" s="1"/>
  <c r="O47" i="33"/>
  <c r="O48" i="33" s="1"/>
  <c r="O54" i="33" s="1"/>
  <c r="C46" i="33"/>
  <c r="C53" i="33" s="1"/>
  <c r="Q55" i="33" l="1"/>
  <c r="M55" i="33"/>
  <c r="O59" i="33"/>
  <c r="C61" i="33"/>
  <c r="G61" i="33"/>
  <c r="F61" i="33"/>
  <c r="H61" i="33"/>
  <c r="O61" i="33"/>
  <c r="T55" i="33"/>
  <c r="V61" i="33"/>
  <c r="S61" i="33"/>
  <c r="R55" i="33"/>
  <c r="V55" i="33"/>
  <c r="S55" i="33"/>
  <c r="P59" i="33"/>
  <c r="P61" i="33" s="1"/>
  <c r="U55" i="33"/>
  <c r="Q59" i="33"/>
  <c r="Q61" i="33" s="1"/>
  <c r="B64" i="33"/>
  <c r="B65" i="33"/>
  <c r="T61" i="33"/>
  <c r="R61" i="33"/>
  <c r="D55" i="33"/>
  <c r="B55" i="33"/>
  <c r="K55" i="33"/>
  <c r="L55" i="33"/>
  <c r="G55" i="33"/>
  <c r="F55" i="33"/>
  <c r="C55" i="33"/>
  <c r="J55" i="33"/>
  <c r="H55" i="33"/>
  <c r="I55" i="33"/>
  <c r="E55" i="33"/>
  <c r="E61" i="33" l="1"/>
  <c r="D61" i="33"/>
  <c r="L22" i="33"/>
  <c r="K22" i="33"/>
  <c r="J52" i="33"/>
  <c r="M45" i="33"/>
  <c r="M52" i="33"/>
  <c r="M27" i="33"/>
  <c r="M22" i="33"/>
  <c r="K52" i="33" l="1"/>
  <c r="K45" i="33"/>
  <c r="K27" i="33"/>
  <c r="O4" i="33"/>
  <c r="O4" i="23"/>
  <c r="O4" i="1"/>
  <c r="Q4" i="1"/>
  <c r="Q4" i="23"/>
  <c r="P4" i="33"/>
  <c r="P4" i="23"/>
  <c r="P4" i="1"/>
  <c r="J22" i="33"/>
  <c r="L52" i="33"/>
  <c r="J45" i="33"/>
  <c r="L27" i="33"/>
  <c r="J27" i="33"/>
  <c r="L45" i="33"/>
  <c r="A4" i="28"/>
  <c r="A5" i="28"/>
  <c r="A6" i="28"/>
  <c r="A7" i="28"/>
  <c r="A8" i="28"/>
  <c r="A9" i="28"/>
  <c r="A10" i="28"/>
  <c r="A11" i="28"/>
  <c r="A12" i="28"/>
  <c r="A13" i="28"/>
  <c r="A14" i="28"/>
  <c r="A15" i="28"/>
  <c r="B4" i="28"/>
  <c r="B5" i="28"/>
  <c r="B6" i="28"/>
  <c r="B7" i="28"/>
  <c r="B8" i="28"/>
  <c r="B9" i="28"/>
  <c r="B10" i="28"/>
  <c r="B11" i="28"/>
  <c r="B12" i="28"/>
  <c r="B13" i="28"/>
  <c r="B14" i="28"/>
  <c r="B15" i="28"/>
  <c r="A3" i="28"/>
  <c r="B2" i="28"/>
  <c r="B3" i="28"/>
  <c r="A2" i="28"/>
  <c r="D2" i="28" s="1"/>
  <c r="Q22" i="33" l="1"/>
  <c r="Q45" i="33"/>
  <c r="Q27" i="33"/>
  <c r="Q52" i="33" s="1"/>
  <c r="O27" i="33"/>
  <c r="O52" i="33" s="1"/>
  <c r="O22" i="33"/>
  <c r="O45" i="33"/>
  <c r="P22" i="33"/>
  <c r="P45" i="33"/>
  <c r="P27" i="33"/>
  <c r="P52" i="33" s="1"/>
  <c r="B3" i="27"/>
  <c r="G9" i="27" l="1"/>
  <c r="G10" i="27" s="1"/>
  <c r="E9" i="27"/>
  <c r="E10" i="27" s="1"/>
  <c r="F9" i="27"/>
  <c r="F10" i="27" s="1"/>
  <c r="G6" i="22" l="1"/>
  <c r="G31" i="22" l="1"/>
  <c r="G30" i="22"/>
  <c r="M4" i="28" l="1"/>
  <c r="M8" i="28"/>
  <c r="M12" i="28"/>
  <c r="M5" i="28"/>
  <c r="M9" i="28"/>
  <c r="M13" i="28"/>
  <c r="M6" i="28"/>
  <c r="M10" i="28"/>
  <c r="M14" i="28"/>
  <c r="M3" i="28"/>
  <c r="M7" i="28"/>
  <c r="M11" i="28"/>
  <c r="M15" i="28"/>
  <c r="M2" i="28"/>
  <c r="N4" i="28"/>
  <c r="N8" i="28"/>
  <c r="N12" i="28"/>
  <c r="N3" i="28"/>
  <c r="N5" i="28"/>
  <c r="N9" i="28"/>
  <c r="N13" i="28"/>
  <c r="N2" i="28"/>
  <c r="N6" i="28"/>
  <c r="N10" i="28"/>
  <c r="N14" i="28"/>
  <c r="N7" i="28"/>
  <c r="N11" i="28"/>
  <c r="N15" i="28"/>
  <c r="H14" i="22"/>
  <c r="H24" i="22"/>
  <c r="H26" i="22"/>
  <c r="B3" i="12"/>
  <c r="Q9" i="12" s="1"/>
  <c r="Q10" i="12" s="1"/>
  <c r="P22" i="1"/>
  <c r="Q45" i="1"/>
  <c r="Q31" i="23"/>
  <c r="Q25" i="4" s="1"/>
  <c r="P32" i="23"/>
  <c r="P26" i="4" s="1"/>
  <c r="P36" i="23"/>
  <c r="P30" i="4" s="1"/>
  <c r="Q36" i="23"/>
  <c r="Q30" i="4" s="1"/>
  <c r="R36" i="23"/>
  <c r="R30" i="4" s="1"/>
  <c r="S36" i="23"/>
  <c r="S30" i="4" s="1"/>
  <c r="T36" i="23"/>
  <c r="T30" i="4" s="1"/>
  <c r="U36" i="23"/>
  <c r="U30" i="4" s="1"/>
  <c r="V36" i="23"/>
  <c r="V30" i="4" s="1"/>
  <c r="P37" i="23"/>
  <c r="P31" i="4" s="1"/>
  <c r="Q37" i="23"/>
  <c r="R37" i="23"/>
  <c r="R31" i="4" s="1"/>
  <c r="S37" i="23"/>
  <c r="S31" i="4" s="1"/>
  <c r="T37" i="23"/>
  <c r="T31" i="4" s="1"/>
  <c r="U37" i="23"/>
  <c r="U31" i="4" s="1"/>
  <c r="V37" i="23"/>
  <c r="V31" i="4" s="1"/>
  <c r="P38" i="23"/>
  <c r="P32" i="4" s="1"/>
  <c r="Q38" i="23"/>
  <c r="Q32" i="4" s="1"/>
  <c r="R38" i="23"/>
  <c r="R32" i="4" s="1"/>
  <c r="S38" i="23"/>
  <c r="S32" i="4" s="1"/>
  <c r="T38" i="23"/>
  <c r="T32" i="4" s="1"/>
  <c r="U38" i="23"/>
  <c r="U32" i="4" s="1"/>
  <c r="V38" i="23"/>
  <c r="V32" i="4" s="1"/>
  <c r="P39" i="23"/>
  <c r="P33" i="4" s="1"/>
  <c r="Q39" i="23"/>
  <c r="Q33" i="4" s="1"/>
  <c r="R39" i="23"/>
  <c r="R33" i="4" s="1"/>
  <c r="S39" i="23"/>
  <c r="S33" i="4" s="1"/>
  <c r="T39" i="23"/>
  <c r="T33" i="4" s="1"/>
  <c r="U39" i="23"/>
  <c r="U33" i="4" s="1"/>
  <c r="V39" i="23"/>
  <c r="V33" i="4" s="1"/>
  <c r="P40" i="23"/>
  <c r="P34" i="4" s="1"/>
  <c r="Q40" i="23"/>
  <c r="Q34" i="4" s="1"/>
  <c r="R40" i="23"/>
  <c r="R34" i="4" s="1"/>
  <c r="S40" i="23"/>
  <c r="S34" i="4" s="1"/>
  <c r="T40" i="23"/>
  <c r="T34" i="4" s="1"/>
  <c r="U40" i="23"/>
  <c r="U34" i="4" s="1"/>
  <c r="V40" i="23"/>
  <c r="V34" i="4" s="1"/>
  <c r="P41" i="23"/>
  <c r="P35" i="4" s="1"/>
  <c r="Q41" i="23"/>
  <c r="Q35" i="4" s="1"/>
  <c r="R41" i="23"/>
  <c r="R35" i="4" s="1"/>
  <c r="S41" i="23"/>
  <c r="S35" i="4" s="1"/>
  <c r="T41" i="23"/>
  <c r="T35" i="4" s="1"/>
  <c r="U41" i="23"/>
  <c r="U35" i="4" s="1"/>
  <c r="V41" i="23"/>
  <c r="P42" i="23"/>
  <c r="P36" i="4" s="1"/>
  <c r="Q42" i="23"/>
  <c r="Q36" i="4" s="1"/>
  <c r="R42" i="23"/>
  <c r="R36" i="4" s="1"/>
  <c r="S42" i="23"/>
  <c r="S36" i="4" s="1"/>
  <c r="T42" i="23"/>
  <c r="T36" i="4" s="1"/>
  <c r="U42" i="23"/>
  <c r="U36" i="4" s="1"/>
  <c r="V42" i="23"/>
  <c r="V36" i="4" s="1"/>
  <c r="P43" i="23"/>
  <c r="Q43" i="23"/>
  <c r="Q37" i="4" s="1"/>
  <c r="R43" i="23"/>
  <c r="S43" i="23"/>
  <c r="T43" i="23"/>
  <c r="U43" i="23"/>
  <c r="V43" i="23"/>
  <c r="K36" i="23"/>
  <c r="K30" i="4" s="1"/>
  <c r="L36" i="23"/>
  <c r="L30" i="4" s="1"/>
  <c r="M36" i="23"/>
  <c r="M30" i="4" s="1"/>
  <c r="K37" i="23"/>
  <c r="K31" i="4" s="1"/>
  <c r="L37" i="23"/>
  <c r="L31" i="4" s="1"/>
  <c r="M37" i="23"/>
  <c r="M31" i="4" s="1"/>
  <c r="K38" i="23"/>
  <c r="K32" i="4" s="1"/>
  <c r="L38" i="23"/>
  <c r="L32" i="4" s="1"/>
  <c r="M38" i="23"/>
  <c r="M32" i="4" s="1"/>
  <c r="K39" i="23"/>
  <c r="K33" i="4" s="1"/>
  <c r="L39" i="23"/>
  <c r="L33" i="4" s="1"/>
  <c r="M39" i="23"/>
  <c r="M33" i="4" s="1"/>
  <c r="K40" i="23"/>
  <c r="K34" i="4" s="1"/>
  <c r="L40" i="23"/>
  <c r="L34" i="4" s="1"/>
  <c r="M40" i="23"/>
  <c r="M34" i="4" s="1"/>
  <c r="K41" i="23"/>
  <c r="K35" i="4" s="1"/>
  <c r="L41" i="23"/>
  <c r="L35" i="4" s="1"/>
  <c r="M41" i="23"/>
  <c r="M35" i="4" s="1"/>
  <c r="K42" i="23"/>
  <c r="K36" i="4" s="1"/>
  <c r="L42" i="23"/>
  <c r="L36" i="4" s="1"/>
  <c r="M42" i="23"/>
  <c r="M36" i="4" s="1"/>
  <c r="K43" i="23"/>
  <c r="L43" i="23"/>
  <c r="M43" i="23"/>
  <c r="V30" i="1"/>
  <c r="V8" i="4" s="1"/>
  <c r="S31" i="1"/>
  <c r="S9" i="4" s="1"/>
  <c r="S33" i="1"/>
  <c r="S11" i="4" s="1"/>
  <c r="U33" i="1"/>
  <c r="U11" i="4" s="1"/>
  <c r="U35" i="1"/>
  <c r="U13" i="4" s="1"/>
  <c r="V35" i="1"/>
  <c r="V13" i="4" s="1"/>
  <c r="S36" i="1"/>
  <c r="S14" i="4" s="1"/>
  <c r="T36" i="1"/>
  <c r="T14" i="4" s="1"/>
  <c r="U36" i="1"/>
  <c r="U14" i="4" s="1"/>
  <c r="V36" i="1"/>
  <c r="V14" i="4" s="1"/>
  <c r="S37" i="1"/>
  <c r="S15" i="4" s="1"/>
  <c r="T37" i="1"/>
  <c r="T15" i="4" s="1"/>
  <c r="U37" i="1"/>
  <c r="U15" i="4" s="1"/>
  <c r="V37" i="1"/>
  <c r="V15" i="4" s="1"/>
  <c r="S38" i="1"/>
  <c r="S16" i="4" s="1"/>
  <c r="T38" i="1"/>
  <c r="T16" i="4" s="1"/>
  <c r="U38" i="1"/>
  <c r="U16" i="4" s="1"/>
  <c r="V38" i="1"/>
  <c r="V16" i="4" s="1"/>
  <c r="S39" i="1"/>
  <c r="S17" i="4" s="1"/>
  <c r="T39" i="1"/>
  <c r="T17" i="4" s="1"/>
  <c r="U39" i="1"/>
  <c r="U17" i="4" s="1"/>
  <c r="V39" i="1"/>
  <c r="V17" i="4" s="1"/>
  <c r="S40" i="1"/>
  <c r="S18" i="4" s="1"/>
  <c r="T40" i="1"/>
  <c r="T18" i="4" s="1"/>
  <c r="U40" i="1"/>
  <c r="U18" i="4" s="1"/>
  <c r="V40" i="1"/>
  <c r="V18" i="4" s="1"/>
  <c r="S41" i="1"/>
  <c r="S19" i="4" s="1"/>
  <c r="T41" i="1"/>
  <c r="T19" i="4" s="1"/>
  <c r="U41" i="1"/>
  <c r="U19" i="4" s="1"/>
  <c r="V41" i="1"/>
  <c r="V19" i="4" s="1"/>
  <c r="S42" i="1"/>
  <c r="S20" i="4" s="1"/>
  <c r="T42" i="1"/>
  <c r="T20" i="4" s="1"/>
  <c r="U42" i="1"/>
  <c r="U20" i="4" s="1"/>
  <c r="V42" i="1"/>
  <c r="V20" i="4" s="1"/>
  <c r="S43" i="1"/>
  <c r="S21" i="4" s="1"/>
  <c r="T43" i="1"/>
  <c r="U43" i="1"/>
  <c r="V43" i="1"/>
  <c r="K36" i="1"/>
  <c r="K14" i="4" s="1"/>
  <c r="L36" i="1"/>
  <c r="L14" i="4" s="1"/>
  <c r="M36" i="1"/>
  <c r="M14" i="4" s="1"/>
  <c r="K37" i="1"/>
  <c r="K15" i="4" s="1"/>
  <c r="L37" i="1"/>
  <c r="L15" i="4" s="1"/>
  <c r="M37" i="1"/>
  <c r="M15" i="4" s="1"/>
  <c r="K38" i="1"/>
  <c r="K16" i="4" s="1"/>
  <c r="L38" i="1"/>
  <c r="L16" i="4" s="1"/>
  <c r="M38" i="1"/>
  <c r="M16" i="4" s="1"/>
  <c r="K39" i="1"/>
  <c r="K17" i="4" s="1"/>
  <c r="L39" i="1"/>
  <c r="L17" i="4" s="1"/>
  <c r="M39" i="1"/>
  <c r="M17" i="4" s="1"/>
  <c r="K40" i="1"/>
  <c r="K18" i="4" s="1"/>
  <c r="L40" i="1"/>
  <c r="L18" i="4" s="1"/>
  <c r="M40" i="1"/>
  <c r="M18" i="4" s="1"/>
  <c r="K41" i="1"/>
  <c r="K19" i="4" s="1"/>
  <c r="L41" i="1"/>
  <c r="L19" i="4" s="1"/>
  <c r="M41" i="1"/>
  <c r="M19" i="4" s="1"/>
  <c r="K42" i="1"/>
  <c r="K20" i="4" s="1"/>
  <c r="L42" i="1"/>
  <c r="L20" i="4" s="1"/>
  <c r="M42" i="1"/>
  <c r="M20" i="4" s="1"/>
  <c r="K43" i="1"/>
  <c r="L43" i="1"/>
  <c r="M43" i="1"/>
  <c r="N45" i="1"/>
  <c r="A45" i="1"/>
  <c r="A45" i="23"/>
  <c r="A22" i="23"/>
  <c r="A22" i="1"/>
  <c r="B1" i="4"/>
  <c r="A52" i="23"/>
  <c r="U37" i="4"/>
  <c r="I43" i="23"/>
  <c r="H43" i="23"/>
  <c r="G43" i="23"/>
  <c r="F43" i="23"/>
  <c r="E43" i="23"/>
  <c r="D43" i="23"/>
  <c r="C43" i="23"/>
  <c r="B43" i="23"/>
  <c r="I42" i="23"/>
  <c r="I36" i="4" s="1"/>
  <c r="H42" i="23"/>
  <c r="H36" i="4" s="1"/>
  <c r="G42" i="23"/>
  <c r="G36" i="4" s="1"/>
  <c r="F42" i="23"/>
  <c r="F36" i="4" s="1"/>
  <c r="E42" i="23"/>
  <c r="E36" i="4" s="1"/>
  <c r="D42" i="23"/>
  <c r="D36" i="4" s="1"/>
  <c r="C42" i="23"/>
  <c r="C36" i="4" s="1"/>
  <c r="B42" i="23"/>
  <c r="B36" i="4" s="1"/>
  <c r="V35" i="4"/>
  <c r="I41" i="23"/>
  <c r="I35" i="4" s="1"/>
  <c r="H41" i="23"/>
  <c r="H35" i="4" s="1"/>
  <c r="G41" i="23"/>
  <c r="G35" i="4" s="1"/>
  <c r="F41" i="23"/>
  <c r="F35" i="4" s="1"/>
  <c r="E41" i="23"/>
  <c r="E35" i="4" s="1"/>
  <c r="D41" i="23"/>
  <c r="D35" i="4" s="1"/>
  <c r="C41" i="23"/>
  <c r="C35" i="4" s="1"/>
  <c r="B41" i="23"/>
  <c r="B35" i="4" s="1"/>
  <c r="I40" i="23"/>
  <c r="I34" i="4" s="1"/>
  <c r="H40" i="23"/>
  <c r="H34" i="4" s="1"/>
  <c r="G40" i="23"/>
  <c r="G34" i="4" s="1"/>
  <c r="F40" i="23"/>
  <c r="F34" i="4" s="1"/>
  <c r="E40" i="23"/>
  <c r="E34" i="4" s="1"/>
  <c r="D40" i="23"/>
  <c r="D34" i="4" s="1"/>
  <c r="C40" i="23"/>
  <c r="C34" i="4" s="1"/>
  <c r="B40" i="23"/>
  <c r="B34" i="4" s="1"/>
  <c r="I39" i="23"/>
  <c r="I33" i="4" s="1"/>
  <c r="H39" i="23"/>
  <c r="H33" i="4" s="1"/>
  <c r="G39" i="23"/>
  <c r="G33" i="4" s="1"/>
  <c r="F39" i="23"/>
  <c r="F33" i="4" s="1"/>
  <c r="E39" i="23"/>
  <c r="E33" i="4" s="1"/>
  <c r="D39" i="23"/>
  <c r="D33" i="4" s="1"/>
  <c r="C39" i="23"/>
  <c r="C33" i="4" s="1"/>
  <c r="B39" i="23"/>
  <c r="B33" i="4" s="1"/>
  <c r="I38" i="23"/>
  <c r="I32" i="4" s="1"/>
  <c r="H38" i="23"/>
  <c r="H32" i="4" s="1"/>
  <c r="G38" i="23"/>
  <c r="G32" i="4" s="1"/>
  <c r="F38" i="23"/>
  <c r="F32" i="4" s="1"/>
  <c r="E38" i="23"/>
  <c r="E32" i="4" s="1"/>
  <c r="D38" i="23"/>
  <c r="D32" i="4" s="1"/>
  <c r="C38" i="23"/>
  <c r="C32" i="4" s="1"/>
  <c r="Q31" i="4"/>
  <c r="I37" i="23"/>
  <c r="I31" i="4" s="1"/>
  <c r="H37" i="23"/>
  <c r="H31" i="4" s="1"/>
  <c r="G37" i="23"/>
  <c r="G31" i="4" s="1"/>
  <c r="F37" i="23"/>
  <c r="F31" i="4" s="1"/>
  <c r="E37" i="23"/>
  <c r="E31" i="4" s="1"/>
  <c r="D37" i="23"/>
  <c r="D31" i="4" s="1"/>
  <c r="C37" i="23"/>
  <c r="C31" i="4" s="1"/>
  <c r="B37" i="23"/>
  <c r="B31" i="4" s="1"/>
  <c r="I36" i="23"/>
  <c r="I30" i="4" s="1"/>
  <c r="H36" i="23"/>
  <c r="H30" i="4" s="1"/>
  <c r="G36" i="23"/>
  <c r="G30" i="4" s="1"/>
  <c r="F36" i="23"/>
  <c r="F30" i="4" s="1"/>
  <c r="E36" i="23"/>
  <c r="E30" i="4" s="1"/>
  <c r="D36" i="23"/>
  <c r="D30" i="4" s="1"/>
  <c r="C36" i="23"/>
  <c r="C30" i="4" s="1"/>
  <c r="B36" i="23"/>
  <c r="B30" i="4" s="1"/>
  <c r="V24" i="23"/>
  <c r="U24" i="23"/>
  <c r="T24" i="23"/>
  <c r="S24" i="23"/>
  <c r="R24" i="23"/>
  <c r="Q24" i="23"/>
  <c r="P24" i="23"/>
  <c r="O24" i="23"/>
  <c r="L24" i="23"/>
  <c r="J24" i="23"/>
  <c r="I24" i="23"/>
  <c r="H24" i="23"/>
  <c r="G24" i="23"/>
  <c r="F24" i="23"/>
  <c r="E24" i="23"/>
  <c r="D24" i="23"/>
  <c r="C24" i="23"/>
  <c r="B24" i="23"/>
  <c r="V23" i="23"/>
  <c r="U23" i="23"/>
  <c r="T23" i="23"/>
  <c r="S23" i="23"/>
  <c r="R23" i="23"/>
  <c r="Q23" i="23"/>
  <c r="P23" i="23"/>
  <c r="O23" i="23"/>
  <c r="B32" i="23" s="1"/>
  <c r="B26" i="4" s="1"/>
  <c r="L23" i="23"/>
  <c r="J23" i="23"/>
  <c r="I23" i="23"/>
  <c r="H23" i="23"/>
  <c r="G23" i="23"/>
  <c r="F23" i="23"/>
  <c r="E23" i="23"/>
  <c r="D23" i="23"/>
  <c r="C23" i="23"/>
  <c r="B23" i="23"/>
  <c r="Q45" i="23"/>
  <c r="P45" i="23"/>
  <c r="O45" i="23"/>
  <c r="I22" i="23"/>
  <c r="H27" i="23"/>
  <c r="H52" i="23" s="1"/>
  <c r="G45" i="23"/>
  <c r="F27" i="23"/>
  <c r="F52" i="23" s="1"/>
  <c r="E45" i="23"/>
  <c r="C45" i="23"/>
  <c r="B45" i="23"/>
  <c r="J40" i="23"/>
  <c r="J34" i="4" s="1"/>
  <c r="J36" i="23"/>
  <c r="J30" i="4" s="1"/>
  <c r="J42" i="23"/>
  <c r="J36" i="4" s="1"/>
  <c r="J38" i="23"/>
  <c r="J32" i="4" s="1"/>
  <c r="J41" i="23"/>
  <c r="J35" i="4" s="1"/>
  <c r="J37" i="23"/>
  <c r="J31" i="4" s="1"/>
  <c r="J43" i="23"/>
  <c r="J39" i="23"/>
  <c r="J33" i="4" s="1"/>
  <c r="F35" i="23"/>
  <c r="F29" i="4" s="1"/>
  <c r="P22" i="23"/>
  <c r="S23" i="1"/>
  <c r="T23" i="1"/>
  <c r="U23" i="1"/>
  <c r="V23" i="1"/>
  <c r="S24" i="1"/>
  <c r="T24" i="1"/>
  <c r="U24" i="1"/>
  <c r="V24" i="1"/>
  <c r="L23" i="1"/>
  <c r="M23" i="1"/>
  <c r="L24" i="1"/>
  <c r="M24" i="1"/>
  <c r="I23" i="1"/>
  <c r="I24" i="1"/>
  <c r="J35" i="1"/>
  <c r="J13" i="4" s="1"/>
  <c r="C36" i="1"/>
  <c r="C14" i="4" s="1"/>
  <c r="D36" i="1"/>
  <c r="D14" i="4" s="1"/>
  <c r="E36" i="1"/>
  <c r="E14" i="4" s="1"/>
  <c r="F36" i="1"/>
  <c r="F14" i="4" s="1"/>
  <c r="G36" i="1"/>
  <c r="G14" i="4" s="1"/>
  <c r="H36" i="1"/>
  <c r="H14" i="4" s="1"/>
  <c r="I36" i="1"/>
  <c r="I14" i="4" s="1"/>
  <c r="J36" i="1"/>
  <c r="J14" i="4" s="1"/>
  <c r="C37" i="1"/>
  <c r="C15" i="4" s="1"/>
  <c r="D37" i="1"/>
  <c r="D15" i="4" s="1"/>
  <c r="E37" i="1"/>
  <c r="E15" i="4" s="1"/>
  <c r="F37" i="1"/>
  <c r="F15" i="4" s="1"/>
  <c r="G37" i="1"/>
  <c r="G15" i="4" s="1"/>
  <c r="H37" i="1"/>
  <c r="H15" i="4" s="1"/>
  <c r="I37" i="1"/>
  <c r="I15" i="4" s="1"/>
  <c r="J37" i="1"/>
  <c r="J15" i="4" s="1"/>
  <c r="C38" i="1"/>
  <c r="C16" i="4" s="1"/>
  <c r="D38" i="1"/>
  <c r="D16" i="4" s="1"/>
  <c r="E38" i="1"/>
  <c r="E16" i="4" s="1"/>
  <c r="F38" i="1"/>
  <c r="F16" i="4" s="1"/>
  <c r="G38" i="1"/>
  <c r="G16" i="4" s="1"/>
  <c r="H38" i="1"/>
  <c r="H16" i="4" s="1"/>
  <c r="I38" i="1"/>
  <c r="I16" i="4" s="1"/>
  <c r="J38" i="1"/>
  <c r="J16" i="4" s="1"/>
  <c r="C39" i="1"/>
  <c r="C17" i="4" s="1"/>
  <c r="D39" i="1"/>
  <c r="E39" i="1"/>
  <c r="E17" i="4" s="1"/>
  <c r="F39" i="1"/>
  <c r="F17" i="4" s="1"/>
  <c r="G39" i="1"/>
  <c r="G17" i="4" s="1"/>
  <c r="H39" i="1"/>
  <c r="H17" i="4" s="1"/>
  <c r="I39" i="1"/>
  <c r="I17" i="4" s="1"/>
  <c r="J39" i="1"/>
  <c r="J17" i="4" s="1"/>
  <c r="C40" i="1"/>
  <c r="C18" i="4" s="1"/>
  <c r="D40" i="1"/>
  <c r="D18" i="4" s="1"/>
  <c r="E40" i="1"/>
  <c r="E18" i="4" s="1"/>
  <c r="F40" i="1"/>
  <c r="F18" i="4" s="1"/>
  <c r="G40" i="1"/>
  <c r="G18" i="4" s="1"/>
  <c r="H40" i="1"/>
  <c r="H18" i="4" s="1"/>
  <c r="I40" i="1"/>
  <c r="I18" i="4" s="1"/>
  <c r="J40" i="1"/>
  <c r="J18" i="4" s="1"/>
  <c r="C41" i="1"/>
  <c r="C19" i="4" s="1"/>
  <c r="D41" i="1"/>
  <c r="D19" i="4" s="1"/>
  <c r="E41" i="1"/>
  <c r="E19" i="4" s="1"/>
  <c r="F41" i="1"/>
  <c r="F19" i="4" s="1"/>
  <c r="G41" i="1"/>
  <c r="G19" i="4" s="1"/>
  <c r="H41" i="1"/>
  <c r="H19" i="4" s="1"/>
  <c r="I41" i="1"/>
  <c r="I19" i="4" s="1"/>
  <c r="J41" i="1"/>
  <c r="J19" i="4" s="1"/>
  <c r="C42" i="1"/>
  <c r="C20" i="4" s="1"/>
  <c r="D42" i="1"/>
  <c r="D20" i="4" s="1"/>
  <c r="E42" i="1"/>
  <c r="E20" i="4" s="1"/>
  <c r="F42" i="1"/>
  <c r="F20" i="4" s="1"/>
  <c r="G42" i="1"/>
  <c r="G20" i="4" s="1"/>
  <c r="H42" i="1"/>
  <c r="H20" i="4" s="1"/>
  <c r="I42" i="1"/>
  <c r="I20" i="4" s="1"/>
  <c r="J42" i="1"/>
  <c r="J20" i="4" s="1"/>
  <c r="C43" i="1"/>
  <c r="D43" i="1"/>
  <c r="E43" i="1"/>
  <c r="F43" i="1"/>
  <c r="G43" i="1"/>
  <c r="H43" i="1"/>
  <c r="I43" i="1"/>
  <c r="J43" i="1"/>
  <c r="I45" i="1"/>
  <c r="Q36" i="1"/>
  <c r="Q14" i="4" s="1"/>
  <c r="R36" i="1"/>
  <c r="R14" i="4" s="1"/>
  <c r="Q37" i="1"/>
  <c r="Q15" i="4" s="1"/>
  <c r="P38" i="1"/>
  <c r="P16" i="4" s="1"/>
  <c r="Q38" i="1"/>
  <c r="Q16" i="4" s="1"/>
  <c r="P39" i="1"/>
  <c r="P17" i="4" s="1"/>
  <c r="Q39" i="1"/>
  <c r="Q17" i="4" s="1"/>
  <c r="R39" i="1"/>
  <c r="R17" i="4" s="1"/>
  <c r="P40" i="1"/>
  <c r="P18" i="4" s="1"/>
  <c r="Q40" i="1"/>
  <c r="Q18" i="4" s="1"/>
  <c r="R40" i="1"/>
  <c r="R18" i="4" s="1"/>
  <c r="P41" i="1"/>
  <c r="P19" i="4" s="1"/>
  <c r="Q41" i="1"/>
  <c r="Q19" i="4" s="1"/>
  <c r="P42" i="1"/>
  <c r="P20" i="4" s="1"/>
  <c r="Q42" i="1"/>
  <c r="Q20" i="4" s="1"/>
  <c r="P43" i="1"/>
  <c r="Q43" i="1"/>
  <c r="R43" i="1"/>
  <c r="B36" i="1"/>
  <c r="B14" i="4" s="1"/>
  <c r="B37" i="1"/>
  <c r="B15" i="4" s="1"/>
  <c r="B38" i="1"/>
  <c r="B16" i="4" s="1"/>
  <c r="B39" i="1"/>
  <c r="B17" i="4" s="1"/>
  <c r="B40" i="1"/>
  <c r="B18" i="4" s="1"/>
  <c r="B41" i="1"/>
  <c r="B19" i="4" s="1"/>
  <c r="B42" i="1"/>
  <c r="B20" i="4" s="1"/>
  <c r="B43" i="1"/>
  <c r="B23" i="1"/>
  <c r="B4" i="4"/>
  <c r="B62" i="4" s="1"/>
  <c r="A52" i="1"/>
  <c r="O22" i="1"/>
  <c r="Q24" i="1"/>
  <c r="P24" i="1"/>
  <c r="O24" i="1"/>
  <c r="Q23" i="1"/>
  <c r="P23" i="1"/>
  <c r="O23" i="1"/>
  <c r="C29" i="1" s="1"/>
  <c r="C7" i="4" s="1"/>
  <c r="H27" i="1"/>
  <c r="H52" i="1" s="1"/>
  <c r="G27" i="1"/>
  <c r="G52" i="1" s="1"/>
  <c r="F27" i="1"/>
  <c r="F52" i="1" s="1"/>
  <c r="E4" i="4"/>
  <c r="D22" i="1"/>
  <c r="C45" i="1"/>
  <c r="E35" i="1"/>
  <c r="E13" i="4" s="1"/>
  <c r="O40" i="1"/>
  <c r="O18" i="4" s="1"/>
  <c r="P28" i="1"/>
  <c r="Q28" i="1"/>
  <c r="Q35" i="1"/>
  <c r="Q13" i="4" s="1"/>
  <c r="Q27" i="1"/>
  <c r="Q52" i="1" s="1"/>
  <c r="K24" i="1"/>
  <c r="J24" i="1"/>
  <c r="H24" i="1"/>
  <c r="G24" i="1"/>
  <c r="F24" i="1"/>
  <c r="E24" i="1"/>
  <c r="D24" i="1"/>
  <c r="C24" i="1"/>
  <c r="B24" i="1"/>
  <c r="K23" i="1"/>
  <c r="J23" i="1"/>
  <c r="H23" i="1"/>
  <c r="G23" i="1"/>
  <c r="F23" i="1"/>
  <c r="E23" i="1"/>
  <c r="D23" i="1"/>
  <c r="C23" i="1"/>
  <c r="R24" i="1"/>
  <c r="R23" i="1"/>
  <c r="K4" i="4"/>
  <c r="K62" i="4" s="1"/>
  <c r="L4" i="4"/>
  <c r="K52" i="23"/>
  <c r="L27" i="23"/>
  <c r="V56" i="1"/>
  <c r="G29" i="23" l="1"/>
  <c r="G23" i="4" s="1"/>
  <c r="I29" i="23"/>
  <c r="I23" i="4" s="1"/>
  <c r="V34" i="1"/>
  <c r="V12" i="4" s="1"/>
  <c r="V29" i="1"/>
  <c r="V7" i="4" s="1"/>
  <c r="V33" i="1"/>
  <c r="V11" i="4" s="1"/>
  <c r="V28" i="1"/>
  <c r="V32" i="1"/>
  <c r="V10" i="4" s="1"/>
  <c r="V31" i="1"/>
  <c r="V9" i="4" s="1"/>
  <c r="U34" i="1"/>
  <c r="U12" i="4" s="1"/>
  <c r="U32" i="1"/>
  <c r="U10" i="4" s="1"/>
  <c r="U31" i="1"/>
  <c r="U9" i="4" s="1"/>
  <c r="U30" i="1"/>
  <c r="U8" i="4" s="1"/>
  <c r="U29" i="1"/>
  <c r="U7" i="4" s="1"/>
  <c r="U28" i="1"/>
  <c r="E33" i="23"/>
  <c r="E27" i="4" s="1"/>
  <c r="P34" i="1"/>
  <c r="P12" i="4" s="1"/>
  <c r="C32" i="23"/>
  <c r="C26" i="4" s="1"/>
  <c r="T35" i="1"/>
  <c r="T13" i="4" s="1"/>
  <c r="T34" i="1"/>
  <c r="T12" i="4" s="1"/>
  <c r="T33" i="1"/>
  <c r="T11" i="4" s="1"/>
  <c r="T32" i="1"/>
  <c r="T10" i="4" s="1"/>
  <c r="T31" i="1"/>
  <c r="T9" i="4" s="1"/>
  <c r="T30" i="1"/>
  <c r="T8" i="4" s="1"/>
  <c r="T29" i="1"/>
  <c r="T7" i="4" s="1"/>
  <c r="T28" i="1"/>
  <c r="R33" i="1"/>
  <c r="R11" i="4" s="1"/>
  <c r="I32" i="23"/>
  <c r="I26" i="4" s="1"/>
  <c r="J34" i="23"/>
  <c r="J28" i="4" s="1"/>
  <c r="P33" i="1"/>
  <c r="P11" i="4" s="1"/>
  <c r="H31" i="23"/>
  <c r="H25" i="4" s="1"/>
  <c r="J35" i="23"/>
  <c r="J29" i="4" s="1"/>
  <c r="S35" i="1"/>
  <c r="S13" i="4" s="1"/>
  <c r="S34" i="1"/>
  <c r="S12" i="4" s="1"/>
  <c r="S32" i="1"/>
  <c r="S10" i="4" s="1"/>
  <c r="S30" i="1"/>
  <c r="S8" i="4" s="1"/>
  <c r="S29" i="1"/>
  <c r="S7" i="4" s="1"/>
  <c r="S28" i="1"/>
  <c r="O9" i="12"/>
  <c r="O10" i="12" s="1"/>
  <c r="R35" i="23"/>
  <c r="R29" i="4" s="1"/>
  <c r="Q33" i="23"/>
  <c r="Q27" i="4" s="1"/>
  <c r="R32" i="23"/>
  <c r="R26" i="4" s="1"/>
  <c r="R31" i="23"/>
  <c r="R25" i="4" s="1"/>
  <c r="U28" i="23"/>
  <c r="U22" i="4" s="1"/>
  <c r="Q28" i="23"/>
  <c r="U30" i="23"/>
  <c r="U24" i="4" s="1"/>
  <c r="O39" i="23"/>
  <c r="O33" i="4" s="1"/>
  <c r="V35" i="23"/>
  <c r="V29" i="4" s="1"/>
  <c r="S34" i="23"/>
  <c r="S28" i="4" s="1"/>
  <c r="U33" i="23"/>
  <c r="U27" i="4" s="1"/>
  <c r="V32" i="23"/>
  <c r="V26" i="4" s="1"/>
  <c r="V31" i="23"/>
  <c r="V25" i="4" s="1"/>
  <c r="Q30" i="23"/>
  <c r="Q24" i="4" s="1"/>
  <c r="S29" i="23"/>
  <c r="S23" i="4" s="1"/>
  <c r="U35" i="23"/>
  <c r="Q35" i="23"/>
  <c r="Q29" i="4" s="1"/>
  <c r="V34" i="23"/>
  <c r="V28" i="4" s="1"/>
  <c r="R34" i="23"/>
  <c r="R28" i="4" s="1"/>
  <c r="T33" i="23"/>
  <c r="P33" i="23"/>
  <c r="P27" i="4" s="1"/>
  <c r="U32" i="23"/>
  <c r="U26" i="4" s="1"/>
  <c r="Q32" i="23"/>
  <c r="Q26" i="4" s="1"/>
  <c r="U31" i="23"/>
  <c r="U25" i="4" s="1"/>
  <c r="T30" i="23"/>
  <c r="T24" i="4" s="1"/>
  <c r="P30" i="23"/>
  <c r="P24" i="4" s="1"/>
  <c r="V29" i="23"/>
  <c r="V23" i="4" s="1"/>
  <c r="R29" i="23"/>
  <c r="R23" i="4" s="1"/>
  <c r="T28" i="23"/>
  <c r="P28" i="23"/>
  <c r="T35" i="23"/>
  <c r="T29" i="4" s="1"/>
  <c r="P35" i="23"/>
  <c r="P29" i="4" s="1"/>
  <c r="U34" i="23"/>
  <c r="U28" i="4" s="1"/>
  <c r="Q34" i="23"/>
  <c r="Q28" i="4" s="1"/>
  <c r="S33" i="23"/>
  <c r="S27" i="4" s="1"/>
  <c r="T32" i="23"/>
  <c r="T26" i="4" s="1"/>
  <c r="T31" i="23"/>
  <c r="T25" i="4" s="1"/>
  <c r="P31" i="23"/>
  <c r="P25" i="4" s="1"/>
  <c r="S30" i="23"/>
  <c r="S24" i="4" s="1"/>
  <c r="U29" i="23"/>
  <c r="Q29" i="23"/>
  <c r="S28" i="23"/>
  <c r="S47" i="23" s="1"/>
  <c r="S48" i="23" s="1"/>
  <c r="S54" i="23" s="1"/>
  <c r="O43" i="23"/>
  <c r="S35" i="23"/>
  <c r="S29" i="4" s="1"/>
  <c r="T34" i="23"/>
  <c r="T28" i="4" s="1"/>
  <c r="P34" i="23"/>
  <c r="P28" i="4" s="1"/>
  <c r="V33" i="23"/>
  <c r="V27" i="4" s="1"/>
  <c r="R33" i="23"/>
  <c r="R27" i="4" s="1"/>
  <c r="S32" i="23"/>
  <c r="S26" i="4" s="1"/>
  <c r="S31" i="23"/>
  <c r="S25" i="4" s="1"/>
  <c r="V30" i="23"/>
  <c r="V24" i="4" s="1"/>
  <c r="R30" i="23"/>
  <c r="R24" i="4" s="1"/>
  <c r="T29" i="23"/>
  <c r="T23" i="4" s="1"/>
  <c r="P29" i="23"/>
  <c r="V28" i="23"/>
  <c r="R28" i="23"/>
  <c r="I30" i="23"/>
  <c r="I24" i="4" s="1"/>
  <c r="E28" i="23"/>
  <c r="E22" i="4" s="1"/>
  <c r="F30" i="23"/>
  <c r="F24" i="4" s="1"/>
  <c r="O42" i="23"/>
  <c r="O36" i="4" s="1"/>
  <c r="O36" i="23"/>
  <c r="O30" i="4" s="1"/>
  <c r="O41" i="23"/>
  <c r="O35" i="4" s="1"/>
  <c r="O40" i="23"/>
  <c r="O34" i="4" s="1"/>
  <c r="D30" i="23"/>
  <c r="D24" i="4" s="1"/>
  <c r="D34" i="23"/>
  <c r="D28" i="4" s="1"/>
  <c r="J29" i="23"/>
  <c r="J23" i="4" s="1"/>
  <c r="K34" i="23"/>
  <c r="K28" i="4" s="1"/>
  <c r="K29" i="23"/>
  <c r="K23" i="4" s="1"/>
  <c r="O33" i="23"/>
  <c r="O27" i="4" s="1"/>
  <c r="F33" i="23"/>
  <c r="F27" i="4" s="1"/>
  <c r="D32" i="23"/>
  <c r="D26" i="4" s="1"/>
  <c r="G34" i="23"/>
  <c r="G28" i="4" s="1"/>
  <c r="E34" i="23"/>
  <c r="E28" i="4" s="1"/>
  <c r="C29" i="23"/>
  <c r="C23" i="4" s="1"/>
  <c r="H32" i="23"/>
  <c r="H26" i="4" s="1"/>
  <c r="C31" i="23"/>
  <c r="C25" i="4" s="1"/>
  <c r="C35" i="23"/>
  <c r="C29" i="4" s="1"/>
  <c r="D31" i="23"/>
  <c r="D25" i="4" s="1"/>
  <c r="M32" i="23"/>
  <c r="M26" i="4" s="1"/>
  <c r="O29" i="23"/>
  <c r="O23" i="4" s="1"/>
  <c r="D29" i="23"/>
  <c r="D23" i="4" s="1"/>
  <c r="H33" i="23"/>
  <c r="H27" i="4" s="1"/>
  <c r="E31" i="23"/>
  <c r="E25" i="4" s="1"/>
  <c r="G30" i="23"/>
  <c r="G24" i="4" s="1"/>
  <c r="D35" i="23"/>
  <c r="D29" i="4" s="1"/>
  <c r="E35" i="23"/>
  <c r="E29" i="4" s="1"/>
  <c r="J31" i="23"/>
  <c r="J25" i="4" s="1"/>
  <c r="H35" i="23"/>
  <c r="H29" i="4" s="1"/>
  <c r="J28" i="23"/>
  <c r="F32" i="23"/>
  <c r="F26" i="4" s="1"/>
  <c r="L35" i="23"/>
  <c r="L29" i="4" s="1"/>
  <c r="L30" i="23"/>
  <c r="L24" i="4" s="1"/>
  <c r="O35" i="23"/>
  <c r="O29" i="4" s="1"/>
  <c r="G28" i="23"/>
  <c r="J33" i="23"/>
  <c r="J27" i="4" s="1"/>
  <c r="I35" i="23"/>
  <c r="I29" i="4" s="1"/>
  <c r="H29" i="23"/>
  <c r="H23" i="4" s="1"/>
  <c r="F31" i="23"/>
  <c r="F25" i="4" s="1"/>
  <c r="D33" i="23"/>
  <c r="D27" i="4" s="1"/>
  <c r="I34" i="23"/>
  <c r="I28" i="4" s="1"/>
  <c r="D28" i="23"/>
  <c r="D22" i="4" s="1"/>
  <c r="J30" i="23"/>
  <c r="C33" i="23"/>
  <c r="C27" i="4" s="1"/>
  <c r="E29" i="23"/>
  <c r="H30" i="23"/>
  <c r="H24" i="4" s="1"/>
  <c r="J32" i="23"/>
  <c r="J26" i="4" s="1"/>
  <c r="H34" i="23"/>
  <c r="H28" i="4" s="1"/>
  <c r="F29" i="23"/>
  <c r="F23" i="4" s="1"/>
  <c r="M35" i="23"/>
  <c r="M29" i="4" s="1"/>
  <c r="L34" i="23"/>
  <c r="L28" i="4" s="1"/>
  <c r="K33" i="23"/>
  <c r="K27" i="4" s="1"/>
  <c r="K31" i="23"/>
  <c r="K25" i="4" s="1"/>
  <c r="M30" i="23"/>
  <c r="M24" i="4" s="1"/>
  <c r="L29" i="23"/>
  <c r="L23" i="4" s="1"/>
  <c r="K28" i="23"/>
  <c r="G32" i="23"/>
  <c r="G26" i="4" s="1"/>
  <c r="H28" i="23"/>
  <c r="G33" i="23"/>
  <c r="G27" i="4" s="1"/>
  <c r="I28" i="23"/>
  <c r="C30" i="23"/>
  <c r="C24" i="4" s="1"/>
  <c r="E32" i="23"/>
  <c r="E26" i="4" s="1"/>
  <c r="C34" i="23"/>
  <c r="C28" i="4" s="1"/>
  <c r="I31" i="23"/>
  <c r="I25" i="4" s="1"/>
  <c r="F34" i="23"/>
  <c r="F28" i="4" s="1"/>
  <c r="F28" i="23"/>
  <c r="G31" i="23"/>
  <c r="G25" i="4" s="1"/>
  <c r="I33" i="23"/>
  <c r="I27" i="4" s="1"/>
  <c r="G35" i="23"/>
  <c r="G29" i="4" s="1"/>
  <c r="C28" i="23"/>
  <c r="E30" i="23"/>
  <c r="E24" i="4" s="1"/>
  <c r="K35" i="23"/>
  <c r="K29" i="4" s="1"/>
  <c r="M33" i="23"/>
  <c r="M27" i="4" s="1"/>
  <c r="L32" i="23"/>
  <c r="L26" i="4" s="1"/>
  <c r="M31" i="23"/>
  <c r="M25" i="4" s="1"/>
  <c r="K30" i="23"/>
  <c r="K24" i="4" s="1"/>
  <c r="M28" i="23"/>
  <c r="M34" i="23"/>
  <c r="M28" i="4" s="1"/>
  <c r="L33" i="23"/>
  <c r="L27" i="4" s="1"/>
  <c r="K32" i="23"/>
  <c r="K26" i="4" s="1"/>
  <c r="L31" i="23"/>
  <c r="L25" i="4" s="1"/>
  <c r="M29" i="23"/>
  <c r="M23" i="4" s="1"/>
  <c r="L28" i="23"/>
  <c r="L22" i="4" s="1"/>
  <c r="Q34" i="1"/>
  <c r="Q12" i="4" s="1"/>
  <c r="Q33" i="1"/>
  <c r="Q11" i="4" s="1"/>
  <c r="P30" i="1"/>
  <c r="P8" i="4" s="1"/>
  <c r="Q31" i="1"/>
  <c r="Q9" i="4" s="1"/>
  <c r="F34" i="1"/>
  <c r="F12" i="4" s="1"/>
  <c r="O32" i="1"/>
  <c r="O10" i="4" s="1"/>
  <c r="O43" i="1"/>
  <c r="O42" i="1"/>
  <c r="O20" i="4" s="1"/>
  <c r="O39" i="1"/>
  <c r="O17" i="4" s="1"/>
  <c r="F32" i="1"/>
  <c r="F10" i="4" s="1"/>
  <c r="M34" i="1"/>
  <c r="M12" i="4" s="1"/>
  <c r="O38" i="1"/>
  <c r="O16" i="4" s="1"/>
  <c r="O41" i="1"/>
  <c r="O19" i="4" s="1"/>
  <c r="G30" i="1"/>
  <c r="G8" i="4" s="1"/>
  <c r="I30" i="1"/>
  <c r="I8" i="4" s="1"/>
  <c r="J29" i="1"/>
  <c r="J7" i="4" s="1"/>
  <c r="E32" i="1"/>
  <c r="E10" i="4" s="1"/>
  <c r="F30" i="1"/>
  <c r="M32" i="1"/>
  <c r="M10" i="4" s="1"/>
  <c r="F29" i="1"/>
  <c r="F7" i="4" s="1"/>
  <c r="I34" i="1"/>
  <c r="I12" i="4" s="1"/>
  <c r="H30" i="1"/>
  <c r="H8" i="4" s="1"/>
  <c r="M29" i="1"/>
  <c r="M7" i="4" s="1"/>
  <c r="G34" i="1"/>
  <c r="G12" i="4" s="1"/>
  <c r="H35" i="1"/>
  <c r="H13" i="4" s="1"/>
  <c r="M31" i="1"/>
  <c r="M9" i="4" s="1"/>
  <c r="L28" i="1"/>
  <c r="B33" i="1"/>
  <c r="B11" i="4" s="1"/>
  <c r="I33" i="1"/>
  <c r="I11" i="4" s="1"/>
  <c r="I29" i="1"/>
  <c r="E30" i="1"/>
  <c r="E8" i="4" s="1"/>
  <c r="H31" i="1"/>
  <c r="H9" i="4" s="1"/>
  <c r="L33" i="1"/>
  <c r="L11" i="4" s="1"/>
  <c r="G35" i="1"/>
  <c r="G13" i="4" s="1"/>
  <c r="E33" i="1"/>
  <c r="E11" i="4" s="1"/>
  <c r="E29" i="1"/>
  <c r="E7" i="4" s="1"/>
  <c r="H33" i="1"/>
  <c r="H11" i="4" s="1"/>
  <c r="G29" i="1"/>
  <c r="F33" i="1"/>
  <c r="F11" i="4" s="1"/>
  <c r="C35" i="1"/>
  <c r="C13" i="4" s="1"/>
  <c r="H32" i="1"/>
  <c r="H10" i="4" s="1"/>
  <c r="F35" i="1"/>
  <c r="F13" i="4" s="1"/>
  <c r="D33" i="1"/>
  <c r="D11" i="4" s="1"/>
  <c r="D35" i="1"/>
  <c r="D13" i="4" s="1"/>
  <c r="H34" i="1"/>
  <c r="H12" i="4" s="1"/>
  <c r="J33" i="1"/>
  <c r="J11" i="4" s="1"/>
  <c r="J28" i="1"/>
  <c r="C33" i="1"/>
  <c r="C11" i="4" s="1"/>
  <c r="J34" i="1"/>
  <c r="J12" i="4" s="1"/>
  <c r="J30" i="1"/>
  <c r="K35" i="1"/>
  <c r="K13" i="4" s="1"/>
  <c r="M33" i="1"/>
  <c r="M11" i="4" s="1"/>
  <c r="K30" i="1"/>
  <c r="K8" i="4" s="1"/>
  <c r="M28" i="1"/>
  <c r="M6" i="4" s="1"/>
  <c r="J32" i="1"/>
  <c r="J10" i="4" s="1"/>
  <c r="M35" i="1"/>
  <c r="M13" i="4" s="1"/>
  <c r="L34" i="1"/>
  <c r="L12" i="4" s="1"/>
  <c r="K33" i="1"/>
  <c r="K11" i="4" s="1"/>
  <c r="L32" i="1"/>
  <c r="L10" i="4" s="1"/>
  <c r="L31" i="1"/>
  <c r="L9" i="4" s="1"/>
  <c r="M30" i="1"/>
  <c r="M8" i="4" s="1"/>
  <c r="L29" i="1"/>
  <c r="K28" i="1"/>
  <c r="J31" i="1"/>
  <c r="J9" i="4" s="1"/>
  <c r="L35" i="1"/>
  <c r="L13" i="4" s="1"/>
  <c r="K34" i="1"/>
  <c r="K12" i="4" s="1"/>
  <c r="K32" i="1"/>
  <c r="K10" i="4" s="1"/>
  <c r="K31" i="1"/>
  <c r="K9" i="4" s="1"/>
  <c r="L30" i="1"/>
  <c r="L8" i="4" s="1"/>
  <c r="K29" i="1"/>
  <c r="K7" i="4" s="1"/>
  <c r="F22" i="4"/>
  <c r="T6" i="4"/>
  <c r="M22" i="4"/>
  <c r="Q6" i="4"/>
  <c r="I22" i="4"/>
  <c r="J22" i="4"/>
  <c r="J6" i="4"/>
  <c r="S6" i="4"/>
  <c r="G22" i="4"/>
  <c r="Q22" i="4"/>
  <c r="P6" i="4"/>
  <c r="U6" i="4"/>
  <c r="P22" i="4"/>
  <c r="T22" i="33"/>
  <c r="Q22" i="1"/>
  <c r="S9" i="12"/>
  <c r="S10" i="12" s="1"/>
  <c r="N9" i="12"/>
  <c r="N10" i="12" s="1"/>
  <c r="M9" i="12"/>
  <c r="M10" i="12" s="1"/>
  <c r="I9" i="12"/>
  <c r="I10" i="12" s="1"/>
  <c r="P9" i="12"/>
  <c r="P10" i="12" s="1"/>
  <c r="R35" i="1"/>
  <c r="R13" i="4" s="1"/>
  <c r="G32" i="1"/>
  <c r="G10" i="4" s="1"/>
  <c r="H29" i="1"/>
  <c r="E28" i="1"/>
  <c r="D34" i="1"/>
  <c r="D12" i="4" s="1"/>
  <c r="I31" i="1"/>
  <c r="I9" i="4" s="1"/>
  <c r="F28" i="1"/>
  <c r="R41" i="1"/>
  <c r="R19" i="4" s="1"/>
  <c r="R37" i="1"/>
  <c r="R15" i="4" s="1"/>
  <c r="Q29" i="1"/>
  <c r="O37" i="1"/>
  <c r="O15" i="4" s="1"/>
  <c r="P29" i="1"/>
  <c r="B34" i="1"/>
  <c r="B12" i="4" s="1"/>
  <c r="B35" i="1"/>
  <c r="B13" i="4" s="1"/>
  <c r="C34" i="1"/>
  <c r="C12" i="4" s="1"/>
  <c r="I28" i="1"/>
  <c r="G31" i="1"/>
  <c r="G9" i="4" s="1"/>
  <c r="H28" i="1"/>
  <c r="E34" i="1"/>
  <c r="F31" i="1"/>
  <c r="G28" i="1"/>
  <c r="I32" i="1"/>
  <c r="I10" i="4" s="1"/>
  <c r="I35" i="1"/>
  <c r="G33" i="1"/>
  <c r="E31" i="1"/>
  <c r="E9" i="4" s="1"/>
  <c r="R42" i="1"/>
  <c r="R20" i="4" s="1"/>
  <c r="R38" i="1"/>
  <c r="R16" i="4" s="1"/>
  <c r="R34" i="1"/>
  <c r="R12" i="4" s="1"/>
  <c r="L74" i="4"/>
  <c r="H2" i="12" s="1"/>
  <c r="L62" i="4"/>
  <c r="E55" i="4"/>
  <c r="E62" i="4"/>
  <c r="K9" i="12"/>
  <c r="K10" i="12" s="1"/>
  <c r="P21" i="4"/>
  <c r="I52" i="23"/>
  <c r="V37" i="4"/>
  <c r="R37" i="4"/>
  <c r="K37" i="4"/>
  <c r="I45" i="23"/>
  <c r="O21" i="4"/>
  <c r="R21" i="4"/>
  <c r="Q21" i="4"/>
  <c r="C27" i="23"/>
  <c r="C52" i="23" s="1"/>
  <c r="I27" i="23"/>
  <c r="V21" i="4"/>
  <c r="T21" i="4"/>
  <c r="B21" i="4"/>
  <c r="O37" i="23"/>
  <c r="O31" i="4" s="1"/>
  <c r="O34" i="23"/>
  <c r="O28" i="4" s="1"/>
  <c r="O38" i="23"/>
  <c r="T37" i="4"/>
  <c r="B38" i="23"/>
  <c r="F37" i="4"/>
  <c r="L37" i="4"/>
  <c r="P37" i="4"/>
  <c r="S37" i="4"/>
  <c r="J37" i="4"/>
  <c r="H37" i="4"/>
  <c r="M37" i="4"/>
  <c r="O37" i="4"/>
  <c r="Q4" i="4"/>
  <c r="Q62" i="4" s="1"/>
  <c r="H7" i="22"/>
  <c r="A44" i="22"/>
  <c r="H22" i="22"/>
  <c r="H19" i="22"/>
  <c r="H15" i="22"/>
  <c r="H25" i="22"/>
  <c r="H21" i="22"/>
  <c r="H18" i="22"/>
  <c r="P27" i="23"/>
  <c r="P52" i="23" s="1"/>
  <c r="H20" i="22"/>
  <c r="H17" i="22"/>
  <c r="H23" i="22"/>
  <c r="H16" i="22"/>
  <c r="A49" i="22"/>
  <c r="J4" i="4"/>
  <c r="J45" i="23"/>
  <c r="M27" i="23"/>
  <c r="H10" i="22"/>
  <c r="M4" i="4"/>
  <c r="H13" i="22"/>
  <c r="H12" i="22"/>
  <c r="H11" i="22"/>
  <c r="L45" i="1"/>
  <c r="L27" i="1"/>
  <c r="L52" i="1" s="1"/>
  <c r="H9" i="22"/>
  <c r="H8" i="22"/>
  <c r="O32" i="23"/>
  <c r="O31" i="23"/>
  <c r="O25" i="4" s="1"/>
  <c r="O30" i="23"/>
  <c r="O24" i="4" s="1"/>
  <c r="B33" i="23"/>
  <c r="B27" i="4" s="1"/>
  <c r="R46" i="23"/>
  <c r="R53" i="23" s="1"/>
  <c r="B28" i="23"/>
  <c r="B30" i="23"/>
  <c r="B24" i="4" s="1"/>
  <c r="B34" i="23"/>
  <c r="B28" i="4" s="1"/>
  <c r="B35" i="23"/>
  <c r="O28" i="23"/>
  <c r="B31" i="23"/>
  <c r="B25" i="4" s="1"/>
  <c r="B29" i="23"/>
  <c r="B23" i="4" s="1"/>
  <c r="Q32" i="1"/>
  <c r="P32" i="1"/>
  <c r="P10" i="4" s="1"/>
  <c r="D4" i="4"/>
  <c r="P23" i="4"/>
  <c r="O29" i="1"/>
  <c r="O7" i="4" s="1"/>
  <c r="B27" i="23"/>
  <c r="B52" i="23" s="1"/>
  <c r="K45" i="23"/>
  <c r="E27" i="23"/>
  <c r="E52" i="23" s="1"/>
  <c r="Q30" i="1"/>
  <c r="Q8" i="4" s="1"/>
  <c r="B29" i="1"/>
  <c r="B7" i="4" s="1"/>
  <c r="P35" i="1"/>
  <c r="P13" i="4" s="1"/>
  <c r="P31" i="1"/>
  <c r="P9" i="4" s="1"/>
  <c r="H22" i="23"/>
  <c r="P37" i="1"/>
  <c r="F22" i="23"/>
  <c r="O36" i="1"/>
  <c r="H45" i="23"/>
  <c r="U46" i="23"/>
  <c r="U53" i="23" s="1"/>
  <c r="R31" i="1"/>
  <c r="R9" i="4" s="1"/>
  <c r="R22" i="4"/>
  <c r="V22" i="4"/>
  <c r="U29" i="4"/>
  <c r="T47" i="23"/>
  <c r="T48" i="23" s="1"/>
  <c r="T54" i="23" s="1"/>
  <c r="T27" i="4"/>
  <c r="V57" i="1"/>
  <c r="J21" i="4"/>
  <c r="E37" i="4"/>
  <c r="M21" i="4"/>
  <c r="R28" i="1"/>
  <c r="R30" i="1"/>
  <c r="R8" i="4" s="1"/>
  <c r="L21" i="4"/>
  <c r="U21" i="4"/>
  <c r="R29" i="1"/>
  <c r="R7" i="4" s="1"/>
  <c r="D21" i="4"/>
  <c r="C37" i="4"/>
  <c r="I37" i="4"/>
  <c r="K21" i="4"/>
  <c r="P36" i="1"/>
  <c r="P14" i="4" s="1"/>
  <c r="R32" i="1"/>
  <c r="C21" i="4"/>
  <c r="B37" i="4"/>
  <c r="D37" i="4"/>
  <c r="G37" i="4"/>
  <c r="O34" i="1"/>
  <c r="O12" i="4" s="1"/>
  <c r="O35" i="1"/>
  <c r="O13" i="4" s="1"/>
  <c r="O33" i="1"/>
  <c r="O11" i="4" s="1"/>
  <c r="O30" i="1"/>
  <c r="O8" i="4" s="1"/>
  <c r="B31" i="1"/>
  <c r="B9" i="4" s="1"/>
  <c r="O31" i="1"/>
  <c r="O9" i="4" s="1"/>
  <c r="B32" i="1"/>
  <c r="D28" i="1"/>
  <c r="C32" i="1"/>
  <c r="B28" i="1"/>
  <c r="D32" i="1"/>
  <c r="B30" i="1"/>
  <c r="B8" i="4" s="1"/>
  <c r="C28" i="1"/>
  <c r="D31" i="1"/>
  <c r="D9" i="4" s="1"/>
  <c r="U46" i="1"/>
  <c r="U53" i="1" s="1"/>
  <c r="O28" i="1"/>
  <c r="C30" i="1"/>
  <c r="C8" i="4" s="1"/>
  <c r="C31" i="1"/>
  <c r="C9" i="4" s="1"/>
  <c r="D29" i="1"/>
  <c r="D7" i="4" s="1"/>
  <c r="D30" i="1"/>
  <c r="V6" i="4"/>
  <c r="U47" i="1"/>
  <c r="U48" i="1" s="1"/>
  <c r="U54" i="1" s="1"/>
  <c r="G21" i="4"/>
  <c r="I21" i="4"/>
  <c r="F21" i="4"/>
  <c r="H21" i="4"/>
  <c r="E21" i="4"/>
  <c r="L52" i="23"/>
  <c r="D17" i="4"/>
  <c r="F8" i="4"/>
  <c r="G7" i="4"/>
  <c r="C4" i="4"/>
  <c r="A47" i="22"/>
  <c r="G27" i="23"/>
  <c r="G52" i="23" s="1"/>
  <c r="A50" i="22"/>
  <c r="H50" i="22" s="1"/>
  <c r="K27" i="23"/>
  <c r="L22" i="1"/>
  <c r="I7" i="4"/>
  <c r="D27" i="1"/>
  <c r="D52" i="1" s="1"/>
  <c r="D45" i="1"/>
  <c r="D22" i="23"/>
  <c r="D45" i="23"/>
  <c r="D27" i="23"/>
  <c r="D52" i="23" s="1"/>
  <c r="F45" i="23"/>
  <c r="E22" i="23"/>
  <c r="G22" i="23"/>
  <c r="K22" i="23"/>
  <c r="L45" i="23"/>
  <c r="O22" i="23"/>
  <c r="Q22" i="23"/>
  <c r="B22" i="23"/>
  <c r="C22" i="23"/>
  <c r="L22" i="23"/>
  <c r="Q27" i="23"/>
  <c r="Q52" i="23" s="1"/>
  <c r="O27" i="23"/>
  <c r="O52" i="23" s="1"/>
  <c r="E45" i="1"/>
  <c r="B27" i="1"/>
  <c r="B52" i="1" s="1"/>
  <c r="K27" i="1"/>
  <c r="K52" i="1" s="1"/>
  <c r="F4" i="4"/>
  <c r="G22" i="1"/>
  <c r="F45" i="1"/>
  <c r="C22" i="1"/>
  <c r="B22" i="1"/>
  <c r="G45" i="1"/>
  <c r="E27" i="1"/>
  <c r="E52" i="1" s="1"/>
  <c r="E22" i="1"/>
  <c r="I22" i="1"/>
  <c r="I27" i="1"/>
  <c r="P27" i="1"/>
  <c r="P52" i="1" s="1"/>
  <c r="H4" i="4"/>
  <c r="F22" i="1"/>
  <c r="I4" i="4"/>
  <c r="G4" i="4"/>
  <c r="C27" i="1"/>
  <c r="C52" i="1" s="1"/>
  <c r="B45" i="1"/>
  <c r="K74" i="4"/>
  <c r="G2" i="12" s="1"/>
  <c r="K22" i="1"/>
  <c r="H22" i="1"/>
  <c r="O4" i="4"/>
  <c r="H45" i="1"/>
  <c r="O45" i="1"/>
  <c r="P4" i="4"/>
  <c r="K45" i="1"/>
  <c r="P45" i="1"/>
  <c r="O27" i="1"/>
  <c r="O52" i="1" s="1"/>
  <c r="I52" i="1"/>
  <c r="K55" i="4"/>
  <c r="B55" i="4"/>
  <c r="H9" i="12"/>
  <c r="H10" i="12" s="1"/>
  <c r="G9" i="12"/>
  <c r="G10" i="12" s="1"/>
  <c r="E9" i="12"/>
  <c r="E10" i="12" s="1"/>
  <c r="L55" i="4"/>
  <c r="E74" i="4"/>
  <c r="B74" i="4"/>
  <c r="T9" i="12"/>
  <c r="T10" i="12" s="1"/>
  <c r="F9" i="12"/>
  <c r="F10" i="12" s="1"/>
  <c r="L9" i="12"/>
  <c r="L10" i="12" s="1"/>
  <c r="J9" i="12"/>
  <c r="J10" i="12" s="1"/>
  <c r="R9" i="12"/>
  <c r="R10" i="12" s="1"/>
  <c r="T56" i="1"/>
  <c r="S56" i="1"/>
  <c r="V56" i="23"/>
  <c r="K56" i="1"/>
  <c r="M56" i="23"/>
  <c r="K56" i="23"/>
  <c r="Q56" i="23"/>
  <c r="S56" i="23"/>
  <c r="U56" i="1"/>
  <c r="F56" i="23"/>
  <c r="C56" i="1"/>
  <c r="V78" i="4"/>
  <c r="D56" i="1"/>
  <c r="C56" i="23"/>
  <c r="B56" i="1"/>
  <c r="J56" i="23"/>
  <c r="M56" i="1"/>
  <c r="P56" i="23"/>
  <c r="Q56" i="1"/>
  <c r="R56" i="23"/>
  <c r="M78" i="4"/>
  <c r="E56" i="1"/>
  <c r="J56" i="1"/>
  <c r="U56" i="23"/>
  <c r="R56" i="1"/>
  <c r="I56" i="23"/>
  <c r="I56" i="1"/>
  <c r="T56" i="23"/>
  <c r="O56" i="1"/>
  <c r="P56" i="1"/>
  <c r="B56" i="23"/>
  <c r="D56" i="23"/>
  <c r="G56" i="1"/>
  <c r="H56" i="23"/>
  <c r="F56" i="1"/>
  <c r="O56" i="23"/>
  <c r="L56" i="1"/>
  <c r="H56" i="1"/>
  <c r="L56" i="23"/>
  <c r="G56" i="23"/>
  <c r="E56" i="23"/>
  <c r="J46" i="23" l="1"/>
  <c r="J53" i="23" s="1"/>
  <c r="V46" i="1"/>
  <c r="V53" i="1" s="1"/>
  <c r="Q47" i="23"/>
  <c r="Q48" i="23" s="1"/>
  <c r="Q54" i="23" s="1"/>
  <c r="S46" i="1"/>
  <c r="S53" i="1" s="1"/>
  <c r="T47" i="1"/>
  <c r="T48" i="1" s="1"/>
  <c r="T54" i="1" s="1"/>
  <c r="T46" i="1"/>
  <c r="T53" i="1" s="1"/>
  <c r="S47" i="1"/>
  <c r="S48" i="1" s="1"/>
  <c r="S54" i="1" s="1"/>
  <c r="Q46" i="23"/>
  <c r="Q53" i="23" s="1"/>
  <c r="V47" i="1"/>
  <c r="V48" i="1" s="1"/>
  <c r="V54" i="1" s="1"/>
  <c r="U57" i="1"/>
  <c r="S57" i="1"/>
  <c r="T57" i="1"/>
  <c r="T46" i="23"/>
  <c r="T53" i="23" s="1"/>
  <c r="S46" i="23"/>
  <c r="S53" i="23" s="1"/>
  <c r="U47" i="23"/>
  <c r="U48" i="23" s="1"/>
  <c r="U54" i="23" s="1"/>
  <c r="R47" i="23"/>
  <c r="R48" i="23" s="1"/>
  <c r="R54" i="23" s="1"/>
  <c r="V46" i="23"/>
  <c r="V53" i="23" s="1"/>
  <c r="P47" i="23"/>
  <c r="P48" i="23" s="1"/>
  <c r="P54" i="23" s="1"/>
  <c r="V47" i="23"/>
  <c r="V48" i="23" s="1"/>
  <c r="V54" i="23" s="1"/>
  <c r="P46" i="23"/>
  <c r="P53" i="23" s="1"/>
  <c r="V57" i="23"/>
  <c r="S57" i="23"/>
  <c r="P57" i="23"/>
  <c r="Q57" i="23"/>
  <c r="T57" i="23"/>
  <c r="R57" i="23"/>
  <c r="U57" i="23"/>
  <c r="S22" i="4"/>
  <c r="S63" i="4" s="1"/>
  <c r="S64" i="4" s="1"/>
  <c r="Q23" i="4"/>
  <c r="T22" i="4"/>
  <c r="E46" i="23"/>
  <c r="E53" i="23" s="1"/>
  <c r="U23" i="4"/>
  <c r="U56" i="4" s="1"/>
  <c r="U75" i="4" s="1"/>
  <c r="F47" i="23"/>
  <c r="F48" i="23" s="1"/>
  <c r="F54" i="23" s="1"/>
  <c r="K46" i="23"/>
  <c r="K53" i="23" s="1"/>
  <c r="F46" i="23"/>
  <c r="F53" i="23" s="1"/>
  <c r="I47" i="23"/>
  <c r="I48" i="23" s="1"/>
  <c r="I54" i="23" s="1"/>
  <c r="J47" i="23"/>
  <c r="J48" i="23" s="1"/>
  <c r="J54" i="23" s="1"/>
  <c r="G46" i="23"/>
  <c r="G53" i="23" s="1"/>
  <c r="G47" i="23"/>
  <c r="G48" i="23" s="1"/>
  <c r="G54" i="23" s="1"/>
  <c r="I46" i="23"/>
  <c r="I53" i="23" s="1"/>
  <c r="C47" i="23"/>
  <c r="C48" i="23" s="1"/>
  <c r="C54" i="23" s="1"/>
  <c r="L47" i="23"/>
  <c r="L48" i="23" s="1"/>
  <c r="L54" i="23" s="1"/>
  <c r="D47" i="23"/>
  <c r="D48" i="23" s="1"/>
  <c r="D54" i="23" s="1"/>
  <c r="K47" i="23"/>
  <c r="K48" i="23" s="1"/>
  <c r="K54" i="23" s="1"/>
  <c r="C46" i="23"/>
  <c r="C53" i="23" s="1"/>
  <c r="E47" i="23"/>
  <c r="E48" i="23" s="1"/>
  <c r="E54" i="23" s="1"/>
  <c r="D46" i="23"/>
  <c r="D53" i="23" s="1"/>
  <c r="L46" i="23"/>
  <c r="L53" i="23" s="1"/>
  <c r="M46" i="23"/>
  <c r="M53" i="23" s="1"/>
  <c r="M47" i="23"/>
  <c r="M48" i="23" s="1"/>
  <c r="M54" i="23" s="1"/>
  <c r="C57" i="23"/>
  <c r="F57" i="23"/>
  <c r="H57" i="23"/>
  <c r="D57" i="23"/>
  <c r="M57" i="23"/>
  <c r="E57" i="23"/>
  <c r="I57" i="23"/>
  <c r="K57" i="23"/>
  <c r="L57" i="23"/>
  <c r="J57" i="23"/>
  <c r="G57" i="23"/>
  <c r="E23" i="4"/>
  <c r="H47" i="23"/>
  <c r="H48" i="23" s="1"/>
  <c r="H54" i="23" s="1"/>
  <c r="C22" i="4"/>
  <c r="H22" i="4"/>
  <c r="K22" i="4"/>
  <c r="H46" i="23"/>
  <c r="H53" i="23" s="1"/>
  <c r="J24" i="4"/>
  <c r="J57" i="4" s="1"/>
  <c r="J58" i="4" s="1"/>
  <c r="J76" i="4" s="1"/>
  <c r="M46" i="1"/>
  <c r="M53" i="1" s="1"/>
  <c r="K47" i="1"/>
  <c r="K48" i="1" s="1"/>
  <c r="K54" i="1" s="1"/>
  <c r="K46" i="1"/>
  <c r="K53" i="1" s="1"/>
  <c r="J47" i="1"/>
  <c r="J48" i="1" s="1"/>
  <c r="J54" i="1" s="1"/>
  <c r="L46" i="1"/>
  <c r="L53" i="1" s="1"/>
  <c r="K6" i="4"/>
  <c r="J46" i="1"/>
  <c r="J53" i="1" s="1"/>
  <c r="M63" i="4"/>
  <c r="M64" i="4" s="1"/>
  <c r="L6" i="4"/>
  <c r="M47" i="1"/>
  <c r="M48" i="1" s="1"/>
  <c r="M54" i="1" s="1"/>
  <c r="L47" i="1"/>
  <c r="L48" i="1" s="1"/>
  <c r="L54" i="1" s="1"/>
  <c r="K57" i="1"/>
  <c r="L57" i="1"/>
  <c r="M57" i="1"/>
  <c r="J57" i="1"/>
  <c r="F46" i="1"/>
  <c r="F53" i="1" s="1"/>
  <c r="L7" i="4"/>
  <c r="J8" i="4"/>
  <c r="P47" i="1"/>
  <c r="P48" i="1" s="1"/>
  <c r="P54" i="1" s="1"/>
  <c r="B6" i="4"/>
  <c r="R6" i="4"/>
  <c r="C6" i="4"/>
  <c r="B22" i="4"/>
  <c r="I6" i="4"/>
  <c r="P7" i="4"/>
  <c r="E6" i="4"/>
  <c r="O6" i="4"/>
  <c r="D6" i="4"/>
  <c r="H6" i="4"/>
  <c r="F6" i="4"/>
  <c r="G6" i="4"/>
  <c r="Q7" i="4"/>
  <c r="V63" i="4"/>
  <c r="V64" i="4" s="1"/>
  <c r="T63" i="4"/>
  <c r="T64" i="4" s="1"/>
  <c r="H47" i="22"/>
  <c r="H49" i="22"/>
  <c r="H44" i="22"/>
  <c r="A46" i="22"/>
  <c r="H46" i="22" s="1"/>
  <c r="T27" i="33"/>
  <c r="T52" i="33" s="1"/>
  <c r="A34" i="22"/>
  <c r="H34" i="22" s="1"/>
  <c r="A35" i="22"/>
  <c r="H35" i="22" s="1"/>
  <c r="T45" i="33"/>
  <c r="A38" i="22"/>
  <c r="H38" i="22" s="1"/>
  <c r="A42" i="22"/>
  <c r="H42" i="22" s="1"/>
  <c r="A40" i="22"/>
  <c r="H40" i="22" s="1"/>
  <c r="I47" i="1"/>
  <c r="I48" i="1" s="1"/>
  <c r="I54" i="1" s="1"/>
  <c r="F47" i="1"/>
  <c r="F48" i="1" s="1"/>
  <c r="F54" i="1" s="1"/>
  <c r="G47" i="1"/>
  <c r="G48" i="1" s="1"/>
  <c r="G54" i="1" s="1"/>
  <c r="E47" i="1"/>
  <c r="E48" i="1" s="1"/>
  <c r="E54" i="1" s="1"/>
  <c r="Q46" i="1"/>
  <c r="Q53" i="1" s="1"/>
  <c r="E46" i="1"/>
  <c r="E53" i="1" s="1"/>
  <c r="Q47" i="1"/>
  <c r="Q48" i="1" s="1"/>
  <c r="Q54" i="1" s="1"/>
  <c r="I46" i="1"/>
  <c r="I53" i="1" s="1"/>
  <c r="Q74" i="4"/>
  <c r="A51" i="22"/>
  <c r="H51" i="22" s="1"/>
  <c r="A45" i="22"/>
  <c r="H45" i="22" s="1"/>
  <c r="M57" i="4"/>
  <c r="M58" i="4" s="1"/>
  <c r="M76" i="4" s="1"/>
  <c r="T57" i="4"/>
  <c r="T58" i="4" s="1"/>
  <c r="T76" i="4" s="1"/>
  <c r="H57" i="1"/>
  <c r="G57" i="1"/>
  <c r="F57" i="1"/>
  <c r="I57" i="1"/>
  <c r="E57" i="1"/>
  <c r="H7" i="4"/>
  <c r="G46" i="1"/>
  <c r="G53" i="1" s="1"/>
  <c r="H46" i="1"/>
  <c r="H53" i="1" s="1"/>
  <c r="H47" i="1"/>
  <c r="H48" i="1" s="1"/>
  <c r="H54" i="1" s="1"/>
  <c r="G11" i="4"/>
  <c r="F9" i="4"/>
  <c r="I13" i="4"/>
  <c r="E12" i="4"/>
  <c r="I55" i="4"/>
  <c r="I62" i="4"/>
  <c r="V57" i="4"/>
  <c r="V58" i="4" s="1"/>
  <c r="V76" i="4" s="1"/>
  <c r="V56" i="4"/>
  <c r="V75" i="4" s="1"/>
  <c r="S56" i="4"/>
  <c r="S75" i="4" s="1"/>
  <c r="K57" i="4"/>
  <c r="K58" i="4" s="1"/>
  <c r="K76" i="4" s="1"/>
  <c r="O55" i="4"/>
  <c r="O62" i="4"/>
  <c r="F55" i="4"/>
  <c r="F62" i="4"/>
  <c r="M55" i="4"/>
  <c r="M62" i="4"/>
  <c r="J55" i="4"/>
  <c r="J62" i="4"/>
  <c r="P55" i="4"/>
  <c r="P62" i="4"/>
  <c r="G55" i="4"/>
  <c r="G62" i="4"/>
  <c r="H74" i="4"/>
  <c r="H62" i="4"/>
  <c r="U22" i="33"/>
  <c r="U45" i="33"/>
  <c r="U27" i="33"/>
  <c r="U52" i="33" s="1"/>
  <c r="R45" i="33"/>
  <c r="R27" i="33"/>
  <c r="R52" i="33" s="1"/>
  <c r="R22" i="33"/>
  <c r="M56" i="4"/>
  <c r="M75" i="4" s="1"/>
  <c r="T56" i="4"/>
  <c r="T75" i="4" s="1"/>
  <c r="C74" i="4"/>
  <c r="C62" i="4"/>
  <c r="D55" i="4"/>
  <c r="D62" i="4"/>
  <c r="S27" i="33"/>
  <c r="S52" i="33" s="1"/>
  <c r="S22" i="33"/>
  <c r="S45" i="33"/>
  <c r="A36" i="22"/>
  <c r="H36" i="22" s="1"/>
  <c r="Q55" i="4"/>
  <c r="V45" i="1"/>
  <c r="O32" i="4"/>
  <c r="Q10" i="4"/>
  <c r="B32" i="4"/>
  <c r="H55" i="4"/>
  <c r="R10" i="4"/>
  <c r="O14" i="4"/>
  <c r="P15" i="4"/>
  <c r="V45" i="23"/>
  <c r="V4" i="4"/>
  <c r="V55" i="4" s="1"/>
  <c r="B10" i="4"/>
  <c r="A32" i="22"/>
  <c r="H32" i="22" s="1"/>
  <c r="D13" i="28"/>
  <c r="D9" i="28"/>
  <c r="D5" i="28"/>
  <c r="D14" i="28"/>
  <c r="D10" i="28"/>
  <c r="D6" i="28"/>
  <c r="D15" i="28"/>
  <c r="D11" i="28"/>
  <c r="D7" i="28"/>
  <c r="D3" i="28"/>
  <c r="D12" i="28"/>
  <c r="D8" i="28"/>
  <c r="D4" i="28"/>
  <c r="V79" i="4"/>
  <c r="M79" i="4"/>
  <c r="O26" i="4"/>
  <c r="P46" i="1"/>
  <c r="P53" i="1" s="1"/>
  <c r="A37" i="22"/>
  <c r="H37" i="22" s="1"/>
  <c r="U22" i="1"/>
  <c r="M74" i="4"/>
  <c r="I2" i="12" s="1"/>
  <c r="M27" i="1"/>
  <c r="M52" i="1" s="1"/>
  <c r="M22" i="1"/>
  <c r="J52" i="1"/>
  <c r="J74" i="4"/>
  <c r="F2" i="12" s="1"/>
  <c r="J27" i="1"/>
  <c r="J45" i="1"/>
  <c r="A48" i="22"/>
  <c r="H48" i="22" s="1"/>
  <c r="A33" i="22"/>
  <c r="H33" i="22" s="1"/>
  <c r="A43" i="22"/>
  <c r="H43" i="22" s="1"/>
  <c r="A41" i="22"/>
  <c r="H41" i="22" s="1"/>
  <c r="A39" i="22"/>
  <c r="H39" i="22" s="1"/>
  <c r="C55" i="4"/>
  <c r="U22" i="23"/>
  <c r="J22" i="23"/>
  <c r="J52" i="23"/>
  <c r="J22" i="1"/>
  <c r="J27" i="23"/>
  <c r="R22" i="1"/>
  <c r="R22" i="23"/>
  <c r="M52" i="23"/>
  <c r="M22" i="23"/>
  <c r="M45" i="23"/>
  <c r="L2" i="12"/>
  <c r="M45" i="1"/>
  <c r="B46" i="23"/>
  <c r="B53" i="23" s="1"/>
  <c r="B55" i="23" s="1"/>
  <c r="O46" i="23"/>
  <c r="O53" i="23" s="1"/>
  <c r="O55" i="23" s="1"/>
  <c r="O47" i="23"/>
  <c r="O48" i="23" s="1"/>
  <c r="O54" i="23" s="1"/>
  <c r="B47" i="23"/>
  <c r="B48" i="23" s="1"/>
  <c r="B54" i="23" s="1"/>
  <c r="B57" i="23"/>
  <c r="O57" i="23"/>
  <c r="B29" i="4"/>
  <c r="O22" i="4"/>
  <c r="R47" i="1"/>
  <c r="R48" i="1" s="1"/>
  <c r="R54" i="1" s="1"/>
  <c r="Q57" i="1"/>
  <c r="D74" i="4"/>
  <c r="M2" i="12"/>
  <c r="R46" i="1"/>
  <c r="R53" i="1" s="1"/>
  <c r="J2" i="12"/>
  <c r="C47" i="1"/>
  <c r="C48" i="1" s="1"/>
  <c r="C54" i="1" s="1"/>
  <c r="G74" i="4"/>
  <c r="D57" i="1"/>
  <c r="R57" i="1"/>
  <c r="P57" i="1"/>
  <c r="O57" i="1"/>
  <c r="C57" i="1"/>
  <c r="D10" i="4"/>
  <c r="C10" i="4"/>
  <c r="B57" i="1"/>
  <c r="O59" i="1" s="1"/>
  <c r="C46" i="1"/>
  <c r="C53" i="1" s="1"/>
  <c r="B46" i="1"/>
  <c r="B53" i="1" s="1"/>
  <c r="B47" i="1"/>
  <c r="B48" i="1" s="1"/>
  <c r="B54" i="1" s="1"/>
  <c r="D46" i="1"/>
  <c r="D53" i="1" s="1"/>
  <c r="O47" i="1"/>
  <c r="O48" i="1" s="1"/>
  <c r="O54" i="1" s="1"/>
  <c r="O46" i="1"/>
  <c r="O53" i="1" s="1"/>
  <c r="O55" i="1" s="1"/>
  <c r="D47" i="1"/>
  <c r="D48" i="1" s="1"/>
  <c r="D54" i="1" s="1"/>
  <c r="D8" i="4"/>
  <c r="F74" i="4"/>
  <c r="I74" i="4"/>
  <c r="O74" i="4"/>
  <c r="P74" i="4"/>
  <c r="AD2" i="12"/>
  <c r="F78" i="4"/>
  <c r="K78" i="4"/>
  <c r="J78" i="4"/>
  <c r="Q78" i="4"/>
  <c r="O78" i="4"/>
  <c r="P78" i="4"/>
  <c r="S78" i="4"/>
  <c r="E78" i="4"/>
  <c r="I78" i="4"/>
  <c r="B78" i="4"/>
  <c r="C78" i="4"/>
  <c r="H78" i="4"/>
  <c r="D78" i="4"/>
  <c r="L78" i="4"/>
  <c r="R78" i="4"/>
  <c r="T78" i="4"/>
  <c r="U78" i="4"/>
  <c r="G78" i="4"/>
  <c r="G55" i="1" l="1"/>
  <c r="J63" i="4"/>
  <c r="J64" i="4" s="1"/>
  <c r="U57" i="4"/>
  <c r="U58" i="4" s="1"/>
  <c r="U76" i="4" s="1"/>
  <c r="U63" i="4"/>
  <c r="U64" i="4" s="1"/>
  <c r="S57" i="4"/>
  <c r="S58" i="4" s="1"/>
  <c r="S76" i="4" s="1"/>
  <c r="I63" i="4"/>
  <c r="I64" i="4" s="1"/>
  <c r="L63" i="4"/>
  <c r="L64" i="4" s="1"/>
  <c r="K63" i="4"/>
  <c r="K64" i="4" s="1"/>
  <c r="U79" i="4"/>
  <c r="S79" i="4"/>
  <c r="T79" i="4"/>
  <c r="C55" i="23"/>
  <c r="F55" i="23"/>
  <c r="K79" i="4"/>
  <c r="K56" i="4"/>
  <c r="K75" i="4" s="1"/>
  <c r="G3" i="12" s="1"/>
  <c r="J56" i="4"/>
  <c r="J75" i="4" s="1"/>
  <c r="H56" i="4"/>
  <c r="H75" i="4" s="1"/>
  <c r="F63" i="4"/>
  <c r="F64" i="4" s="1"/>
  <c r="I57" i="4"/>
  <c r="I58" i="4" s="1"/>
  <c r="I76" i="4" s="1"/>
  <c r="C63" i="4"/>
  <c r="C64" i="4" s="1"/>
  <c r="L57" i="4"/>
  <c r="L58" i="4" s="1"/>
  <c r="L76" i="4" s="1"/>
  <c r="H4" i="12" s="1"/>
  <c r="L56" i="4"/>
  <c r="L75" i="4" s="1"/>
  <c r="J79" i="4"/>
  <c r="L79" i="4"/>
  <c r="R63" i="4"/>
  <c r="R64" i="4" s="1"/>
  <c r="P55" i="23"/>
  <c r="U55" i="1"/>
  <c r="R55" i="23"/>
  <c r="S55" i="1"/>
  <c r="U55" i="23"/>
  <c r="T55" i="1"/>
  <c r="R55" i="1"/>
  <c r="P55" i="1"/>
  <c r="V55" i="1"/>
  <c r="Q55" i="23"/>
  <c r="Q55" i="1"/>
  <c r="S55" i="23"/>
  <c r="V55" i="23"/>
  <c r="T55" i="23"/>
  <c r="D63" i="4"/>
  <c r="D64" i="4" s="1"/>
  <c r="B63" i="4"/>
  <c r="B64" i="4" s="1"/>
  <c r="O63" i="4"/>
  <c r="O64" i="4" s="1"/>
  <c r="G56" i="4"/>
  <c r="G75" i="4" s="1"/>
  <c r="H57" i="4"/>
  <c r="H58" i="4" s="1"/>
  <c r="H76" i="4" s="1"/>
  <c r="H63" i="4"/>
  <c r="H64" i="4" s="1"/>
  <c r="P63" i="4"/>
  <c r="P64" i="4" s="1"/>
  <c r="G63" i="4"/>
  <c r="G64" i="4" s="1"/>
  <c r="E63" i="4"/>
  <c r="E64" i="4" s="1"/>
  <c r="Q63" i="4"/>
  <c r="Q64" i="4" s="1"/>
  <c r="V27" i="23"/>
  <c r="V52" i="23" s="1"/>
  <c r="I56" i="4"/>
  <c r="I75" i="4" s="1"/>
  <c r="J4" i="12"/>
  <c r="M4" i="12"/>
  <c r="G4" i="12"/>
  <c r="F4" i="12"/>
  <c r="I4" i="12"/>
  <c r="L4" i="12"/>
  <c r="U45" i="1"/>
  <c r="V22" i="1"/>
  <c r="V22" i="23"/>
  <c r="V27" i="1"/>
  <c r="V52" i="1" s="1"/>
  <c r="G57" i="4"/>
  <c r="G58" i="4" s="1"/>
  <c r="G76" i="4" s="1"/>
  <c r="F57" i="4"/>
  <c r="F58" i="4" s="1"/>
  <c r="F76" i="4" s="1"/>
  <c r="B56" i="4"/>
  <c r="E79" i="4"/>
  <c r="G79" i="4"/>
  <c r="I79" i="4"/>
  <c r="H79" i="4"/>
  <c r="F79" i="4"/>
  <c r="E57" i="4"/>
  <c r="E58" i="4" s="1"/>
  <c r="E76" i="4" s="1"/>
  <c r="E56" i="4"/>
  <c r="E75" i="4" s="1"/>
  <c r="F56" i="4"/>
  <c r="F75" i="4" s="1"/>
  <c r="P57" i="4"/>
  <c r="P58" i="4" s="1"/>
  <c r="P76" i="4" s="1"/>
  <c r="R56" i="4"/>
  <c r="R75" i="4" s="1"/>
  <c r="D56" i="4"/>
  <c r="D75" i="4" s="1"/>
  <c r="B57" i="4"/>
  <c r="B58" i="4" s="1"/>
  <c r="B76" i="4" s="1"/>
  <c r="AH2" i="12"/>
  <c r="V45" i="33"/>
  <c r="V27" i="33"/>
  <c r="V52" i="33" s="1"/>
  <c r="V22" i="33"/>
  <c r="D57" i="4"/>
  <c r="D58" i="4" s="1"/>
  <c r="D76" i="4" s="1"/>
  <c r="O57" i="4"/>
  <c r="O58" i="4" s="1"/>
  <c r="O76" i="4" s="1"/>
  <c r="C57" i="4"/>
  <c r="C58" i="4" s="1"/>
  <c r="C76" i="4" s="1"/>
  <c r="Q2" i="12"/>
  <c r="Q4" i="12" s="1"/>
  <c r="P2" i="12"/>
  <c r="P4" i="12" s="1"/>
  <c r="Q56" i="4"/>
  <c r="Q75" i="4" s="1"/>
  <c r="O56" i="4"/>
  <c r="O75" i="4" s="1"/>
  <c r="T77" i="4" s="1"/>
  <c r="C56" i="4"/>
  <c r="C75" i="4" s="1"/>
  <c r="R2" i="12"/>
  <c r="R4" i="12" s="1"/>
  <c r="V74" i="4"/>
  <c r="Z2" i="12" s="1"/>
  <c r="V62" i="4"/>
  <c r="P56" i="4"/>
  <c r="R57" i="4"/>
  <c r="R58" i="4" s="1"/>
  <c r="R76" i="4" s="1"/>
  <c r="Q57" i="4"/>
  <c r="Q58" i="4" s="1"/>
  <c r="Q76" i="4" s="1"/>
  <c r="Q79" i="4"/>
  <c r="P79" i="4"/>
  <c r="R79" i="4"/>
  <c r="U4" i="4"/>
  <c r="F2" i="27"/>
  <c r="F4" i="27" s="1"/>
  <c r="O2" i="12"/>
  <c r="O4" i="12" s="1"/>
  <c r="U27" i="1"/>
  <c r="U52" i="1" s="1"/>
  <c r="C79" i="4"/>
  <c r="D79" i="4"/>
  <c r="K15" i="28"/>
  <c r="K13" i="28"/>
  <c r="K11" i="28"/>
  <c r="K9" i="28"/>
  <c r="K7" i="28"/>
  <c r="K5" i="28"/>
  <c r="L14" i="28"/>
  <c r="L12" i="28"/>
  <c r="L10" i="28"/>
  <c r="L8" i="28"/>
  <c r="L6" i="28"/>
  <c r="L4" i="28"/>
  <c r="L15" i="28"/>
  <c r="L13" i="28"/>
  <c r="L11" i="28"/>
  <c r="L9" i="28"/>
  <c r="L7" i="28"/>
  <c r="L5" i="28"/>
  <c r="K14" i="28"/>
  <c r="K12" i="28"/>
  <c r="K10" i="28"/>
  <c r="K8" i="28"/>
  <c r="K6" i="28"/>
  <c r="K4" i="28"/>
  <c r="L55" i="23"/>
  <c r="D55" i="23"/>
  <c r="H55" i="23"/>
  <c r="K55" i="23"/>
  <c r="J55" i="23"/>
  <c r="M55" i="23"/>
  <c r="G55" i="23"/>
  <c r="E55" i="23"/>
  <c r="I55" i="23"/>
  <c r="O79" i="4"/>
  <c r="B79" i="4"/>
  <c r="B64" i="23"/>
  <c r="Q59" i="23"/>
  <c r="P59" i="23"/>
  <c r="B65" i="23"/>
  <c r="N2" i="12"/>
  <c r="N4" i="12" s="1"/>
  <c r="R45" i="23"/>
  <c r="S4" i="4"/>
  <c r="S62" i="4" s="1"/>
  <c r="S45" i="1"/>
  <c r="S27" i="1"/>
  <c r="S52" i="1" s="1"/>
  <c r="S22" i="1"/>
  <c r="S2" i="12"/>
  <c r="S4" i="12" s="1"/>
  <c r="U27" i="23"/>
  <c r="U52" i="23" s="1"/>
  <c r="U45" i="23"/>
  <c r="S45" i="23"/>
  <c r="S27" i="23"/>
  <c r="S52" i="23" s="1"/>
  <c r="S22" i="23"/>
  <c r="R45" i="1"/>
  <c r="R4" i="4"/>
  <c r="R62" i="4" s="1"/>
  <c r="R27" i="1"/>
  <c r="R52" i="1" s="1"/>
  <c r="R27" i="23"/>
  <c r="R52" i="23" s="1"/>
  <c r="O59" i="23"/>
  <c r="C55" i="1"/>
  <c r="H55" i="1"/>
  <c r="F55" i="1"/>
  <c r="I55" i="1"/>
  <c r="L55" i="1"/>
  <c r="J55" i="1"/>
  <c r="D55" i="1"/>
  <c r="K55" i="1"/>
  <c r="E55" i="1"/>
  <c r="M55" i="1"/>
  <c r="P59" i="1"/>
  <c r="Q59" i="1"/>
  <c r="B65" i="1"/>
  <c r="B64" i="1"/>
  <c r="B55" i="1"/>
  <c r="T27" i="23"/>
  <c r="T52" i="23" s="1"/>
  <c r="T45" i="23"/>
  <c r="T22" i="23"/>
  <c r="J3" i="12"/>
  <c r="I3" i="12"/>
  <c r="T27" i="1"/>
  <c r="T52" i="1" s="1"/>
  <c r="T45" i="1"/>
  <c r="T4" i="4"/>
  <c r="T62" i="4" s="1"/>
  <c r="T22" i="1"/>
  <c r="R80" i="4" l="1"/>
  <c r="AA2" i="12"/>
  <c r="J80" i="4"/>
  <c r="H3" i="12"/>
  <c r="F3" i="12"/>
  <c r="B80" i="4"/>
  <c r="P75" i="4"/>
  <c r="B5" i="27" s="1"/>
  <c r="O81" i="4"/>
  <c r="AE2" i="12"/>
  <c r="U74" i="4"/>
  <c r="Y2" i="12" s="1"/>
  <c r="U62" i="4"/>
  <c r="B6" i="12"/>
  <c r="B6" i="27"/>
  <c r="U55" i="4"/>
  <c r="F3" i="27"/>
  <c r="V77" i="4"/>
  <c r="U77" i="4"/>
  <c r="O77" i="4"/>
  <c r="S77" i="4"/>
  <c r="Q77" i="4"/>
  <c r="R77" i="4"/>
  <c r="P81" i="4"/>
  <c r="Q81" i="4"/>
  <c r="B86" i="4"/>
  <c r="B87" i="4"/>
  <c r="B75" i="4"/>
  <c r="M61" i="23"/>
  <c r="I61" i="23"/>
  <c r="Q61" i="23"/>
  <c r="U61" i="23"/>
  <c r="P61" i="23"/>
  <c r="K61" i="23"/>
  <c r="J61" i="23"/>
  <c r="S61" i="23"/>
  <c r="T61" i="23"/>
  <c r="V61" i="23"/>
  <c r="L61" i="23"/>
  <c r="O3" i="12"/>
  <c r="R3" i="12"/>
  <c r="S3" i="12"/>
  <c r="N3" i="12"/>
  <c r="M3" i="12"/>
  <c r="L3" i="12"/>
  <c r="AC2" i="12"/>
  <c r="S55" i="4"/>
  <c r="S74" i="4"/>
  <c r="W2" i="12" s="1"/>
  <c r="AG2" i="12"/>
  <c r="R55" i="4"/>
  <c r="R74" i="4"/>
  <c r="P3" i="12"/>
  <c r="Q3" i="12"/>
  <c r="K2" i="12"/>
  <c r="K4" i="12" s="1"/>
  <c r="B4" i="27"/>
  <c r="B4" i="12"/>
  <c r="O61" i="1"/>
  <c r="Q61" i="1"/>
  <c r="P61" i="1"/>
  <c r="AB2" i="12"/>
  <c r="AB4" i="12" s="1"/>
  <c r="AF2" i="12"/>
  <c r="T55" i="4"/>
  <c r="T74" i="4"/>
  <c r="B5" i="12" l="1"/>
  <c r="AD4" i="12"/>
  <c r="P77" i="4"/>
  <c r="AE4" i="12"/>
  <c r="Z4" i="12"/>
  <c r="W4" i="12"/>
  <c r="AG4" i="12"/>
  <c r="AC4" i="12"/>
  <c r="AH4" i="12"/>
  <c r="AF4" i="12"/>
  <c r="Y4" i="12"/>
  <c r="AA4" i="12"/>
  <c r="I81" i="4"/>
  <c r="F81" i="4"/>
  <c r="G81" i="4"/>
  <c r="H81" i="4"/>
  <c r="D81" i="4"/>
  <c r="E81" i="4"/>
  <c r="C81" i="4"/>
  <c r="K77" i="4"/>
  <c r="J77" i="4"/>
  <c r="G77" i="4"/>
  <c r="F77" i="4"/>
  <c r="L77" i="4"/>
  <c r="B77" i="4"/>
  <c r="B2" i="27"/>
  <c r="G6" i="27" s="1"/>
  <c r="M77" i="4"/>
  <c r="I77" i="4"/>
  <c r="B2" i="12"/>
  <c r="E6" i="12" s="1"/>
  <c r="H77" i="4"/>
  <c r="D77" i="4"/>
  <c r="C77" i="4"/>
  <c r="E77" i="4"/>
  <c r="AG8" i="12"/>
  <c r="AG9" i="12" s="1"/>
  <c r="AG10" i="12" s="1"/>
  <c r="U8" i="12"/>
  <c r="U9" i="12" s="1"/>
  <c r="U10" i="12" s="1"/>
  <c r="AJ8" i="12"/>
  <c r="AJ9" i="12" s="1"/>
  <c r="AJ10" i="12" s="1"/>
  <c r="AB8" i="12"/>
  <c r="AB9" i="12" s="1"/>
  <c r="AB10" i="12" s="1"/>
  <c r="Z8" i="12"/>
  <c r="Z9" i="12" s="1"/>
  <c r="Z10" i="12" s="1"/>
  <c r="AC8" i="12"/>
  <c r="AC9" i="12" s="1"/>
  <c r="AC10" i="12" s="1"/>
  <c r="V8" i="12"/>
  <c r="V9" i="12" s="1"/>
  <c r="V10" i="12" s="1"/>
  <c r="X8" i="12"/>
  <c r="X9" i="12" s="1"/>
  <c r="X10" i="12" s="1"/>
  <c r="AH8" i="12"/>
  <c r="AH9" i="12" s="1"/>
  <c r="AH10" i="12" s="1"/>
  <c r="AD8" i="12"/>
  <c r="AD9" i="12" s="1"/>
  <c r="AD10" i="12" s="1"/>
  <c r="AI8" i="12"/>
  <c r="AI9" i="12" s="1"/>
  <c r="AI10" i="12" s="1"/>
  <c r="W8" i="12"/>
  <c r="W9" i="12" s="1"/>
  <c r="W10" i="12" s="1"/>
  <c r="Y8" i="12"/>
  <c r="Y9" i="12" s="1"/>
  <c r="Y10" i="12" s="1"/>
  <c r="AE8" i="12"/>
  <c r="AE9" i="12" s="1"/>
  <c r="AE10" i="12" s="1"/>
  <c r="AA8" i="12"/>
  <c r="AA9" i="12" s="1"/>
  <c r="AA10" i="12" s="1"/>
  <c r="AF8" i="12"/>
  <c r="AF9" i="12" s="1"/>
  <c r="AF10" i="12" s="1"/>
  <c r="H8" i="27"/>
  <c r="H9" i="27" s="1"/>
  <c r="H10" i="27" s="1"/>
  <c r="J8" i="27"/>
  <c r="J9" i="27" s="1"/>
  <c r="J10" i="27" s="1"/>
  <c r="I8" i="27"/>
  <c r="I9" i="27" s="1"/>
  <c r="I10" i="27" s="1"/>
  <c r="L83" i="4"/>
  <c r="Q5" i="12" s="1"/>
  <c r="V83" i="4"/>
  <c r="T83" i="4"/>
  <c r="M83" i="4"/>
  <c r="R5" i="12" s="1"/>
  <c r="P83" i="4"/>
  <c r="U83" i="4"/>
  <c r="S5" i="12"/>
  <c r="Q83" i="4"/>
  <c r="K83" i="4"/>
  <c r="P5" i="12" s="1"/>
  <c r="J83" i="4"/>
  <c r="R83" i="4"/>
  <c r="S83" i="4"/>
  <c r="O83" i="4"/>
  <c r="O61" i="23"/>
  <c r="AG3" i="12"/>
  <c r="AD3" i="12"/>
  <c r="AE3" i="12"/>
  <c r="AC3" i="12"/>
  <c r="W3" i="12"/>
  <c r="Y3" i="12"/>
  <c r="I2" i="27"/>
  <c r="I4" i="27" s="1"/>
  <c r="V2" i="12"/>
  <c r="V4" i="12" s="1"/>
  <c r="J2" i="28"/>
  <c r="K3" i="12"/>
  <c r="F2" i="28"/>
  <c r="J3" i="28"/>
  <c r="F3" i="28"/>
  <c r="Z3" i="12"/>
  <c r="AA3" i="12"/>
  <c r="AH3" i="12"/>
  <c r="I3" i="28"/>
  <c r="I2" i="28"/>
  <c r="E3" i="28"/>
  <c r="AH7" i="12"/>
  <c r="AD7" i="12"/>
  <c r="AC7" i="12"/>
  <c r="V7" i="12"/>
  <c r="AI7" i="12"/>
  <c r="AG7" i="12"/>
  <c r="W7" i="12"/>
  <c r="X7" i="12"/>
  <c r="Y7" i="12"/>
  <c r="U7" i="12"/>
  <c r="AA7" i="12"/>
  <c r="AE7" i="12"/>
  <c r="Z7" i="12"/>
  <c r="AF7" i="12"/>
  <c r="AB7" i="12"/>
  <c r="AJ7" i="12"/>
  <c r="I7" i="27"/>
  <c r="H7" i="27"/>
  <c r="J7" i="27"/>
  <c r="AF3" i="12"/>
  <c r="F15" i="28"/>
  <c r="E14" i="28"/>
  <c r="F8" i="28"/>
  <c r="AB3" i="12"/>
  <c r="F9" i="28"/>
  <c r="E10" i="28"/>
  <c r="F13" i="28"/>
  <c r="J13" i="28"/>
  <c r="E8" i="28"/>
  <c r="F5" i="28"/>
  <c r="I11" i="28"/>
  <c r="E4" i="28"/>
  <c r="F4" i="28"/>
  <c r="E5" i="28"/>
  <c r="J11" i="28"/>
  <c r="I6" i="28"/>
  <c r="J9" i="28"/>
  <c r="I8" i="28"/>
  <c r="F14" i="28"/>
  <c r="E7" i="28"/>
  <c r="F12" i="28"/>
  <c r="J6" i="28"/>
  <c r="J7" i="28"/>
  <c r="E12" i="28"/>
  <c r="I10" i="28"/>
  <c r="I13" i="28"/>
  <c r="E15" i="28"/>
  <c r="E11" i="28"/>
  <c r="F11" i="28"/>
  <c r="F6" i="28"/>
  <c r="E6" i="28"/>
  <c r="J14" i="28"/>
  <c r="I15" i="28"/>
  <c r="I9" i="28"/>
  <c r="J5" i="28"/>
  <c r="J8" i="28"/>
  <c r="F10" i="28"/>
  <c r="I5" i="28"/>
  <c r="I4" i="28"/>
  <c r="I7" i="28"/>
  <c r="E13" i="28"/>
  <c r="E9" i="28"/>
  <c r="J10" i="28"/>
  <c r="I14" i="28"/>
  <c r="J4" i="28"/>
  <c r="J12" i="28"/>
  <c r="I12" i="28"/>
  <c r="F7" i="28"/>
  <c r="J15" i="28"/>
  <c r="AI2" i="12"/>
  <c r="AI4" i="12" s="1"/>
  <c r="X2" i="12"/>
  <c r="X4" i="12" s="1"/>
  <c r="I83" i="4" l="1"/>
  <c r="E2" i="28"/>
  <c r="T6" i="12"/>
  <c r="R6" i="12"/>
  <c r="K6" i="12"/>
  <c r="I6" i="12"/>
  <c r="O6" i="12"/>
  <c r="Q6" i="12"/>
  <c r="F6" i="27"/>
  <c r="H6" i="12"/>
  <c r="F6" i="12"/>
  <c r="M6" i="12"/>
  <c r="G6" i="12"/>
  <c r="E6" i="27"/>
  <c r="S6" i="12"/>
  <c r="P6" i="12"/>
  <c r="L6" i="12"/>
  <c r="N6" i="12"/>
  <c r="J6" i="12"/>
  <c r="F49" i="22"/>
  <c r="F40" i="22"/>
  <c r="F44" i="22"/>
  <c r="F43" i="22"/>
  <c r="F47" i="22"/>
  <c r="AG5" i="12"/>
  <c r="AF5" i="12"/>
  <c r="Y5" i="12"/>
  <c r="F42" i="22"/>
  <c r="F37" i="22"/>
  <c r="F41" i="22"/>
  <c r="F48" i="22"/>
  <c r="AA5" i="12"/>
  <c r="Z5" i="12"/>
  <c r="AE5" i="12"/>
  <c r="F36" i="22"/>
  <c r="F35" i="22"/>
  <c r="F46" i="22"/>
  <c r="F34" i="22"/>
  <c r="F45" i="22"/>
  <c r="AH5" i="12"/>
  <c r="AB5" i="12"/>
  <c r="W5" i="12"/>
  <c r="F32" i="22"/>
  <c r="AC5" i="12"/>
  <c r="F33" i="22"/>
  <c r="F51" i="22"/>
  <c r="F39" i="22"/>
  <c r="F50" i="22"/>
  <c r="F38" i="22"/>
  <c r="AD5" i="12"/>
  <c r="O5" i="12"/>
  <c r="V3" i="12"/>
  <c r="V5" i="12"/>
  <c r="I3" i="27"/>
  <c r="I5" i="27"/>
  <c r="X3" i="12"/>
  <c r="X5" i="12"/>
  <c r="AI3" i="12"/>
  <c r="AI5" i="12"/>
  <c r="F26" i="22" l="1"/>
  <c r="G26" i="22" s="1"/>
  <c r="F7" i="22"/>
  <c r="G7" i="22" s="1"/>
  <c r="F19" i="22"/>
  <c r="G19" i="22" s="1"/>
  <c r="F23" i="22"/>
  <c r="G23" i="22" s="1"/>
  <c r="N5" i="12"/>
  <c r="M5" i="12"/>
  <c r="I5" i="12"/>
  <c r="F20" i="22"/>
  <c r="I20" i="22" s="1"/>
  <c r="F9" i="22"/>
  <c r="F12" i="22"/>
  <c r="K12" i="22" s="1"/>
  <c r="M12" i="22" s="1"/>
  <c r="F16" i="22"/>
  <c r="G16" i="22" s="1"/>
  <c r="F22" i="22"/>
  <c r="I22" i="22" s="1"/>
  <c r="J5" i="12"/>
  <c r="F15" i="22"/>
  <c r="I15" i="22" s="1"/>
  <c r="L5" i="12"/>
  <c r="F21" i="22"/>
  <c r="G21" i="22" s="1"/>
  <c r="F5" i="12"/>
  <c r="F24" i="22"/>
  <c r="G24" i="22" s="1"/>
  <c r="F10" i="22"/>
  <c r="F11" i="22"/>
  <c r="F13" i="22"/>
  <c r="I13" i="22" s="1"/>
  <c r="F14" i="22"/>
  <c r="G14" i="22" s="1"/>
  <c r="F18" i="22"/>
  <c r="G18" i="22" s="1"/>
  <c r="F8" i="22"/>
  <c r="G8" i="22" s="1"/>
  <c r="F5" i="27"/>
  <c r="F25" i="22"/>
  <c r="I25" i="22" s="1"/>
  <c r="G5" i="12"/>
  <c r="H5" i="12"/>
  <c r="F17" i="22"/>
  <c r="K17" i="22" s="1"/>
  <c r="M17" i="22" s="1"/>
  <c r="K5" i="12"/>
  <c r="G51" i="22"/>
  <c r="J51" i="22" s="1"/>
  <c r="I51" i="22"/>
  <c r="M51" i="22" s="1"/>
  <c r="K51" i="22"/>
  <c r="N51" i="22" s="1"/>
  <c r="G44" i="22"/>
  <c r="J44" i="22" s="1"/>
  <c r="I44" i="22"/>
  <c r="M44" i="22" s="1"/>
  <c r="K44" i="22"/>
  <c r="N44" i="22" s="1"/>
  <c r="G38" i="22"/>
  <c r="J38" i="22" s="1"/>
  <c r="I38" i="22"/>
  <c r="M38" i="22" s="1"/>
  <c r="K38" i="22"/>
  <c r="N38" i="22" s="1"/>
  <c r="G33" i="22"/>
  <c r="J33" i="22" s="1"/>
  <c r="G46" i="22"/>
  <c r="J46" i="22" s="1"/>
  <c r="I46" i="22"/>
  <c r="M46" i="22" s="1"/>
  <c r="K46" i="22"/>
  <c r="N46" i="22" s="1"/>
  <c r="G37" i="22"/>
  <c r="J37" i="22" s="1"/>
  <c r="I37" i="22"/>
  <c r="M37" i="22" s="1"/>
  <c r="K37" i="22"/>
  <c r="N37" i="22" s="1"/>
  <c r="G40" i="22"/>
  <c r="J40" i="22" s="1"/>
  <c r="I40" i="22"/>
  <c r="M40" i="22" s="1"/>
  <c r="K40" i="22"/>
  <c r="N40" i="22" s="1"/>
  <c r="G41" i="22"/>
  <c r="J41" i="22" s="1"/>
  <c r="I41" i="22"/>
  <c r="M41" i="22" s="1"/>
  <c r="K41" i="22"/>
  <c r="N41" i="22" s="1"/>
  <c r="G50" i="22"/>
  <c r="J50" i="22" s="1"/>
  <c r="I50" i="22"/>
  <c r="M50" i="22" s="1"/>
  <c r="K50" i="22"/>
  <c r="N50" i="22" s="1"/>
  <c r="G35" i="22"/>
  <c r="J35" i="22" s="1"/>
  <c r="G42" i="22"/>
  <c r="J42" i="22" s="1"/>
  <c r="I42" i="22"/>
  <c r="M42" i="22" s="1"/>
  <c r="K42" i="22"/>
  <c r="N42" i="22" s="1"/>
  <c r="G47" i="22"/>
  <c r="J47" i="22" s="1"/>
  <c r="I47" i="22"/>
  <c r="M47" i="22" s="1"/>
  <c r="K47" i="22"/>
  <c r="N47" i="22" s="1"/>
  <c r="G49" i="22"/>
  <c r="J49" i="22" s="1"/>
  <c r="I49" i="22"/>
  <c r="M49" i="22" s="1"/>
  <c r="K49" i="22"/>
  <c r="N49" i="22" s="1"/>
  <c r="G34" i="22"/>
  <c r="J34" i="22" s="1"/>
  <c r="G39" i="22"/>
  <c r="J39" i="22" s="1"/>
  <c r="I39" i="22"/>
  <c r="M39" i="22" s="1"/>
  <c r="K39" i="22"/>
  <c r="N39" i="22" s="1"/>
  <c r="G32" i="22"/>
  <c r="J32" i="22" s="1"/>
  <c r="I32" i="22"/>
  <c r="K32" i="22"/>
  <c r="G45" i="22"/>
  <c r="J45" i="22" s="1"/>
  <c r="I45" i="22"/>
  <c r="M45" i="22" s="1"/>
  <c r="K45" i="22"/>
  <c r="N45" i="22" s="1"/>
  <c r="G36" i="22"/>
  <c r="J36" i="22" s="1"/>
  <c r="G48" i="22"/>
  <c r="J48" i="22" s="1"/>
  <c r="I48" i="22"/>
  <c r="M48" i="22" s="1"/>
  <c r="K48" i="22"/>
  <c r="N48" i="22" s="1"/>
  <c r="G43" i="22"/>
  <c r="J43" i="22" s="1"/>
  <c r="I43" i="22"/>
  <c r="M43" i="22" s="1"/>
  <c r="K43" i="22"/>
  <c r="N43" i="22" s="1"/>
  <c r="L3" i="28"/>
  <c r="I36" i="22" l="1"/>
  <c r="I35" i="22"/>
  <c r="M32" i="22"/>
  <c r="I34" i="22"/>
  <c r="I33" i="22"/>
  <c r="G15" i="22"/>
  <c r="K26" i="22"/>
  <c r="M26" i="22" s="1"/>
  <c r="G12" i="22"/>
  <c r="K15" i="22"/>
  <c r="M15" i="22" s="1"/>
  <c r="I12" i="22"/>
  <c r="K7" i="22"/>
  <c r="M7" i="22" s="1"/>
  <c r="I19" i="22"/>
  <c r="K19" i="22"/>
  <c r="M19" i="22" s="1"/>
  <c r="K16" i="22"/>
  <c r="M16" i="22" s="1"/>
  <c r="I14" i="22"/>
  <c r="G25" i="22"/>
  <c r="K24" i="22"/>
  <c r="M24" i="22" s="1"/>
  <c r="K18" i="22"/>
  <c r="M18" i="22" s="1"/>
  <c r="G10" i="22"/>
  <c r="I10" i="22" s="1"/>
  <c r="K10" i="22" s="1"/>
  <c r="I18" i="22"/>
  <c r="G9" i="22"/>
  <c r="I9" i="22" s="1"/>
  <c r="K9" i="22" s="1"/>
  <c r="M9" i="22" s="1"/>
  <c r="I24" i="22"/>
  <c r="I7" i="22"/>
  <c r="G3" i="28" s="1"/>
  <c r="K14" i="22"/>
  <c r="M14" i="22" s="1"/>
  <c r="K25" i="22"/>
  <c r="M25" i="22" s="1"/>
  <c r="G13" i="22"/>
  <c r="G11" i="22"/>
  <c r="I11" i="22" s="1"/>
  <c r="K11" i="22" s="1"/>
  <c r="M11" i="22" s="1"/>
  <c r="G22" i="22"/>
  <c r="K21" i="22"/>
  <c r="M21" i="22" s="1"/>
  <c r="I17" i="22"/>
  <c r="I26" i="22"/>
  <c r="G17" i="22"/>
  <c r="K13" i="22"/>
  <c r="M13" i="22" s="1"/>
  <c r="I16" i="22"/>
  <c r="G20" i="22"/>
  <c r="K8" i="22"/>
  <c r="M8" i="22" s="1"/>
  <c r="K23" i="22"/>
  <c r="M23" i="22" s="1"/>
  <c r="I21" i="22"/>
  <c r="K22" i="22"/>
  <c r="M22" i="22" s="1"/>
  <c r="I8" i="22"/>
  <c r="I23" i="22"/>
  <c r="K20" i="22"/>
  <c r="M20" i="22" s="1"/>
  <c r="H3" i="28"/>
  <c r="N12" i="22"/>
  <c r="N17" i="22"/>
  <c r="L2" i="28"/>
  <c r="N32" i="22"/>
  <c r="K3" i="28"/>
  <c r="K2" i="28"/>
  <c r="G13" i="28"/>
  <c r="G14" i="28"/>
  <c r="G4" i="28"/>
  <c r="G8" i="28"/>
  <c r="G11" i="28"/>
  <c r="G12" i="28"/>
  <c r="G9" i="28"/>
  <c r="G6" i="28"/>
  <c r="G15" i="28"/>
  <c r="G7" i="28"/>
  <c r="G5" i="28"/>
  <c r="G10" i="28"/>
  <c r="H6" i="28"/>
  <c r="H15" i="28"/>
  <c r="H12" i="28"/>
  <c r="H9" i="28"/>
  <c r="H14" i="28"/>
  <c r="H10" i="28"/>
  <c r="H13" i="28"/>
  <c r="H11" i="28"/>
  <c r="H8" i="28"/>
  <c r="H5" i="28"/>
  <c r="H4" i="28"/>
  <c r="H7" i="28"/>
  <c r="N26" i="22" l="1"/>
  <c r="K36" i="22"/>
  <c r="N36" i="22" s="1"/>
  <c r="N15" i="22"/>
  <c r="K35" i="22"/>
  <c r="N35" i="22" s="1"/>
  <c r="K34" i="22"/>
  <c r="N34" i="22" s="1"/>
  <c r="K33" i="22"/>
  <c r="N33" i="22" s="1"/>
  <c r="M10" i="22"/>
  <c r="N10" i="22"/>
  <c r="H2" i="28"/>
  <c r="N7" i="22"/>
  <c r="N19" i="22"/>
  <c r="N18" i="22"/>
  <c r="N24" i="22"/>
  <c r="N14" i="22"/>
  <c r="G2" i="28"/>
  <c r="N16" i="22"/>
  <c r="N25" i="22"/>
  <c r="N13" i="22"/>
  <c r="N20" i="22"/>
  <c r="N21" i="22"/>
  <c r="N8" i="22"/>
  <c r="N11" i="22"/>
  <c r="N9" i="22"/>
  <c r="N23" i="22"/>
  <c r="N22" i="22"/>
  <c r="M35" i="22" l="1"/>
  <c r="M34" i="22"/>
  <c r="M36" i="22"/>
  <c r="M33"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68" authorId="0" shapeId="0" xr:uid="{00000000-0006-0000-0B00-000001000000}">
      <text>
        <r>
          <rPr>
            <b/>
            <sz val="9"/>
            <color indexed="81"/>
            <rFont val="Tahoma"/>
            <family val="2"/>
          </rPr>
          <t>A modifier si erreur dans le doc word - peut etre c'est Testo le témoin de référence</t>
        </r>
      </text>
    </comment>
    <comment ref="A69" authorId="0" shapeId="0" xr:uid="{00000000-0006-0000-0B00-000002000000}">
      <text>
        <r>
          <rPr>
            <b/>
            <sz val="9"/>
            <color indexed="81"/>
            <rFont val="Tahoma"/>
            <family val="2"/>
          </rPr>
          <t>A modifier si erreur dans le doc word - peut etre c'est Testo le témoin de référence</t>
        </r>
      </text>
    </comment>
  </commentList>
</comments>
</file>

<file path=xl/sharedStrings.xml><?xml version="1.0" encoding="utf-8"?>
<sst xmlns="http://schemas.openxmlformats.org/spreadsheetml/2006/main" count="7874" uniqueCount="4446">
  <si>
    <t>mean</t>
  </si>
  <si>
    <t>SD</t>
  </si>
  <si>
    <t>SEM</t>
  </si>
  <si>
    <t>avec testo</t>
  </si>
  <si>
    <t>Rep1</t>
  </si>
  <si>
    <t>Rep2</t>
  </si>
  <si>
    <t>Non dopé</t>
  </si>
  <si>
    <t>Code WF</t>
  </si>
  <si>
    <t>N°BDC :</t>
  </si>
  <si>
    <t>Etiquettes</t>
  </si>
  <si>
    <t>Moyenne</t>
  </si>
  <si>
    <t>STAT</t>
  </si>
  <si>
    <t>Témoin Evian</t>
  </si>
  <si>
    <t>Témoin Testo</t>
  </si>
  <si>
    <t>Zone rouge anti</t>
  </si>
  <si>
    <t>Zone verte</t>
  </si>
  <si>
    <t>Zone rouge pro</t>
  </si>
  <si>
    <t>R1</t>
  </si>
  <si>
    <t>R2</t>
  </si>
  <si>
    <t>Concentration</t>
  </si>
  <si>
    <t xml:space="preserve">Testo </t>
  </si>
  <si>
    <t>Date de réalisation :</t>
  </si>
  <si>
    <t>R3</t>
  </si>
  <si>
    <t>LOD</t>
  </si>
  <si>
    <t>LOQ</t>
  </si>
  <si>
    <t>ng/L EE2</t>
  </si>
  <si>
    <t>upper limit</t>
  </si>
  <si>
    <t>lower limit</t>
  </si>
  <si>
    <t>EE2 64ng/L</t>
  </si>
  <si>
    <t>Testosterone</t>
  </si>
  <si>
    <t>Testo+ Fad</t>
  </si>
  <si>
    <t>Testo+ EE2</t>
  </si>
  <si>
    <t>Mean</t>
  </si>
  <si>
    <t>Données brutes</t>
  </si>
  <si>
    <t>Données normalisées sur la moyenne du groupe "Testo"</t>
  </si>
  <si>
    <t>Nom sur le graphique</t>
  </si>
  <si>
    <t>1. Expérimentateur 1 : copier et coller le n° de prestation et renseigner la date de réalisation de chaque réplica ainsi que le visa de l'expérimentateur.</t>
  </si>
  <si>
    <t>2. Expérimentateur 1 : copier et coller la dilution appliquée et le nom donné pour chaque des échantillons par le client. Conserver la mise en forme de l'exemple en italique. Ne pas remplir la colonne "nom sur graphique".</t>
  </si>
  <si>
    <t>4. Expérimentateur 1 : réaliser les tests statistiques avec les données normalisées et renseigner les résultats ainsi que le test statistique utilisé dans le tableau violet.</t>
  </si>
  <si>
    <t>Eléments pour la mise en forme conditionnelles des résutats - calcul équivalent hormonal (eqH)</t>
  </si>
  <si>
    <t>3. Expérimentateur 1 : copier et coller les valeurs des intensités totales de fluorescences obtenues dans le fichier raw data lors du traitement des images.</t>
  </si>
  <si>
    <t>Noms des groupes</t>
  </si>
  <si>
    <t>EqH - testo</t>
  </si>
  <si>
    <t>6. Expérimentateur 2 : copier et coller les valeurs des intensités totales de fluorescences obtenues dans le fichier raw data lors du traitement des images. Ne pas supprimer les colonnes correspondant aux concentrations non lues.</t>
  </si>
  <si>
    <t>7. Expérimentateur 2 : réaliser les tests statistiques avec les données normalisées et renseigner les résultats ainsi que le test statistique utilisé dans le tableau violet.</t>
  </si>
  <si>
    <t>8. Expérimentateur 2 : se reporter à l'onglet "pooled normalised values".</t>
  </si>
  <si>
    <t>9. Expérimentateur 2 : vérifier que le nombre de valeurs est &gt; ou égale à 14. Vérifier que le nombre de valeurs est &gt; ou égale à 27 pour le groupe "Testo".</t>
  </si>
  <si>
    <t>Nom des groupes</t>
  </si>
  <si>
    <t>Moy.</t>
  </si>
  <si>
    <t>Nbre de valeurs</t>
  </si>
  <si>
    <t xml:space="preserve"> + Testostérone</t>
  </si>
  <si>
    <t>Nom de l'échantillon donné par le client</t>
  </si>
  <si>
    <t>5. Expérimentateur 1 : remplissage du suivi qualité (SQ) et transmission à l'expérimenteur 2.</t>
  </si>
  <si>
    <r>
      <t xml:space="preserve">11. Expérimentateur 2 : </t>
    </r>
    <r>
      <rPr>
        <b/>
        <sz val="20"/>
        <color rgb="FFFF0000"/>
        <rFont val="Calibri"/>
        <family val="2"/>
        <scheme val="minor"/>
      </rPr>
      <t>vérifier les valeurs des écarts type. En cas de valeur abbéantes ou incohérent, consulter le référent test.</t>
    </r>
  </si>
  <si>
    <t>12. Expérimentateur 2 : réaliser les tests statistiques avec les données du pool et renseigner les résultats ainsi que le test statistique utilisé dans le tableau violet.</t>
  </si>
  <si>
    <t xml:space="preserve">13. Expérimentateur 2 : masquer les colonnes de la feuille R1 et R2 correspondant au groupe des échantilons n'ayant été lu que sur le réplica 1.  </t>
  </si>
  <si>
    <r>
      <t xml:space="preserve">14. Expérimentateur 2 : vérifier la cohérence des deux réplicas et des réplicas avec le pool à l'aide des graphiques "Graph". En cas de divergences consulter </t>
    </r>
    <r>
      <rPr>
        <b/>
        <sz val="20"/>
        <color rgb="FFFF0000"/>
        <rFont val="Calibri"/>
        <family val="2"/>
        <scheme val="minor"/>
      </rPr>
      <t>le référent test.</t>
    </r>
  </si>
  <si>
    <r>
      <t xml:space="preserve">15. Expérimentateur 2 : réaliser le calcul de l'équivalent hormonal (eqh) à l'aide </t>
    </r>
    <r>
      <rPr>
        <b/>
        <sz val="20"/>
        <color rgb="FFFF0000"/>
        <rFont val="Calibri"/>
        <family val="2"/>
        <scheme val="minor"/>
      </rPr>
      <t>du logiciel et PRISM</t>
    </r>
    <r>
      <rPr>
        <b/>
        <sz val="20"/>
        <color theme="1"/>
        <rFont val="Calibri"/>
        <family val="2"/>
        <scheme val="minor"/>
      </rPr>
      <t>. Seules les moyennes des témoins, des échantillons non dopées apparraissant en vert et les moyennes des échantillons dopées étant statiquement différentes des témoins (*, **, ***) pourrons être calculées en eqh. Se reporter à l'onglet "summary results".</t>
    </r>
  </si>
  <si>
    <t>10. Expérimentateur 2 : vérifier que le calcul des ratio s'affiche en vert.</t>
  </si>
  <si>
    <t>Evian/EE2 488 ng /L &gt;=</t>
  </si>
  <si>
    <t>18. Expérimentateur 2 : transmission des résultats avec le SQ rempli au responsable du laboratoire.</t>
  </si>
  <si>
    <t>Ratio à atteindre</t>
  </si>
  <si>
    <t>Evian/Testo + EE2 64 ng/L &gt;=</t>
  </si>
  <si>
    <t>Evian/ Testo + FAD &lt;=</t>
  </si>
  <si>
    <t>Valeur fluo extrapolée</t>
  </si>
  <si>
    <t>Dilution</t>
  </si>
  <si>
    <t>EqH Extrapolation à 100%</t>
  </si>
  <si>
    <t xml:space="preserve">% atteinte du seuil </t>
  </si>
  <si>
    <t>Valeur échelle</t>
  </si>
  <si>
    <t>Etiquette</t>
  </si>
  <si>
    <t>Evian</t>
  </si>
  <si>
    <t>EE2 64ng/l</t>
  </si>
  <si>
    <t>Testostérone</t>
  </si>
  <si>
    <t>Testostérone+EE2</t>
  </si>
  <si>
    <t>Testostérone+FAD</t>
  </si>
  <si>
    <t>Unité</t>
  </si>
  <si>
    <t>Numéro ligne</t>
  </si>
  <si>
    <t>Valeur du seuil de référence</t>
  </si>
  <si>
    <t>Dopage (+Testostérone / + EE2, ….)</t>
  </si>
  <si>
    <t>% induction</t>
  </si>
  <si>
    <t>Résultat stat si NS</t>
  </si>
  <si>
    <t>Test de normalité : valeur du p</t>
  </si>
  <si>
    <t>Test statistique utilisé</t>
  </si>
  <si>
    <t>Test statistique : valeur du p</t>
  </si>
  <si>
    <t>Annotation</t>
  </si>
  <si>
    <t>Test de normalité : résultat normal?</t>
  </si>
  <si>
    <t>CHG-protocole</t>
  </si>
  <si>
    <t>CHG-dilution</t>
  </si>
  <si>
    <t>CHG-induction ND</t>
  </si>
  <si>
    <t>CHG-test ND</t>
  </si>
  <si>
    <t>CHG-EQH ND</t>
  </si>
  <si>
    <t>CHG-% atteinte du seuil ND</t>
  </si>
  <si>
    <t>CHG-induction D</t>
  </si>
  <si>
    <t>CHG-test D</t>
  </si>
  <si>
    <t>CHG-EQH D</t>
  </si>
  <si>
    <t>CHG-% atteinte seuil D</t>
  </si>
  <si>
    <t>CHG-Testo+EE2</t>
  </si>
  <si>
    <t>CHG-Testo+Fad</t>
  </si>
  <si>
    <t>Liste groupes dopés</t>
  </si>
  <si>
    <t>Liste groupes non dopés</t>
  </si>
  <si>
    <t>Étiquettes de lignes</t>
  </si>
  <si>
    <t>0-00 + Testostérone</t>
  </si>
  <si>
    <t>Nom ND</t>
  </si>
  <si>
    <t>Nom D</t>
  </si>
  <si>
    <t xml:space="preserve">16. Expérimentateur 2 : copier et coller les résultats obtenus dans prisme selon l'ordre défini. </t>
  </si>
  <si>
    <t xml:space="preserve">17. Expérimentateur 2: </t>
  </si>
  <si>
    <t>(vide)</t>
  </si>
  <si>
    <t>Nom groupe</t>
  </si>
  <si>
    <t>N° de valeur</t>
  </si>
  <si>
    <t>file name</t>
  </si>
  <si>
    <t xml:space="preserve"> total area </t>
  </si>
  <si>
    <t xml:space="preserve"> mean intensity </t>
  </si>
  <si>
    <t xml:space="preserve"> </t>
  </si>
  <si>
    <t xml:space="preserve"> total fluorescence</t>
  </si>
  <si>
    <t>Étiquettes de colonnes</t>
  </si>
  <si>
    <t>Numéro d'expérience :</t>
  </si>
  <si>
    <t>Rep3</t>
  </si>
  <si>
    <t xml:space="preserve">         </t>
  </si>
  <si>
    <t>nbre de larves</t>
  </si>
  <si>
    <t>(Tous)</t>
  </si>
  <si>
    <t>Filtre lignes : Enlever (vide) et Néant</t>
  </si>
  <si>
    <t>Filtre colonnes : Enlever (vide) et "    "</t>
  </si>
  <si>
    <t>Tous les groupes du gamme sont normale?</t>
  </si>
  <si>
    <t>Témoin</t>
  </si>
  <si>
    <t>ng/L</t>
  </si>
  <si>
    <t>Témoin solvant</t>
  </si>
  <si>
    <t>EE2</t>
  </si>
  <si>
    <t>µg/L</t>
  </si>
  <si>
    <t xml:space="preserve">Testo 30µg/L + EE2 </t>
  </si>
  <si>
    <t>Testo 30µg/L + FAD</t>
  </si>
  <si>
    <t>(Plusieurs éléments)</t>
  </si>
  <si>
    <t>Description</t>
  </si>
  <si>
    <t>Problème</t>
  </si>
  <si>
    <t>Diminution de fluo en non dopé</t>
  </si>
  <si>
    <t>Impossible de calculer un EQH et pas de seuil déterminé donc impossible d'évaluer si l'échantillon dépasse un seuil</t>
  </si>
  <si>
    <t>Non calculable</t>
  </si>
  <si>
    <t>% de variation de fluo</t>
  </si>
  <si>
    <t>% atteinte du seuil RAPPORT</t>
  </si>
  <si>
    <t>EqH RAPPORT</t>
  </si>
  <si>
    <t>Valeur échelle sur graphique RAPPORT</t>
  </si>
  <si>
    <t>EqH BASE DE DONNEES</t>
  </si>
  <si>
    <t>% BASE DE DONNEES</t>
  </si>
  <si>
    <t>Mettre le % de variation de fluo avec un renvoi: "*: variation de fluorescence non-calibrée"</t>
  </si>
  <si>
    <t xml:space="preserve">C:\Users\Olympus\Desktop\20190122\plaque1/@01 EE2 0/A1_1.tif </t>
  </si>
  <si>
    <t xml:space="preserve">C:\Users\Olympus\Desktop\20190122\plaque1/@01 EE2 0/A1_2.tif </t>
  </si>
  <si>
    <t xml:space="preserve">C:\Users\Olympus\Desktop\20190122\plaque1/@01 EE2 0/A1_3.tif </t>
  </si>
  <si>
    <t xml:space="preserve"> 4931.616 </t>
  </si>
  <si>
    <t xml:space="preserve"> 73.0526 </t>
  </si>
  <si>
    <t xml:space="preserve"> 5234.4345 </t>
  </si>
  <si>
    <t xml:space="preserve"> 71.1281 </t>
  </si>
  <si>
    <t xml:space="preserve"> 3547.3027 </t>
  </si>
  <si>
    <t xml:space="preserve"> 66.9878 </t>
  </si>
  <si>
    <t>01 EE2 0</t>
  </si>
  <si>
    <t>Moyenne de  total fluorescence</t>
  </si>
  <si>
    <t xml:space="preserve">C:\Users\Olympus\Desktop\20190122\plaque3/@01 EE2 0/A1_1.tif </t>
  </si>
  <si>
    <t xml:space="preserve"> 15984.4921 </t>
  </si>
  <si>
    <t xml:space="preserve"> 69.7767 </t>
  </si>
  <si>
    <t xml:space="preserve">C:\Users\Olympus\Desktop\20190122\plaque3/@01 EE2 0/A1_2.tif </t>
  </si>
  <si>
    <t xml:space="preserve"> 21586.6348 </t>
  </si>
  <si>
    <t xml:space="preserve"> 66.4108 </t>
  </si>
  <si>
    <t xml:space="preserve">C:\Users\Olympus\Desktop\20190122\plaque3/@01 EE2 0/A1_3.tif </t>
  </si>
  <si>
    <t xml:space="preserve"> 21456.8555 </t>
  </si>
  <si>
    <t xml:space="preserve"> 67.0655 </t>
  </si>
  <si>
    <t>A</t>
  </si>
  <si>
    <t>n'utilisez pas cette ligne SVP</t>
  </si>
  <si>
    <t xml:space="preserve">F:\images\20210212\plaque 1/@01 Evian + 0.2% DMSO/A1_01.tif </t>
  </si>
  <si>
    <t xml:space="preserve"> 2444.1781 </t>
  </si>
  <si>
    <t xml:space="preserve"> 64.5752 </t>
  </si>
  <si>
    <t xml:space="preserve">F:\images\20210212\plaque 1/@01 Evian + 0.2% DMSO/A1_02.tif </t>
  </si>
  <si>
    <t xml:space="preserve"> 3590.5625 </t>
  </si>
  <si>
    <t xml:space="preserve"> 68.1506 </t>
  </si>
  <si>
    <t xml:space="preserve">F:\images\20210212\plaque 1/@01 Evian + 0.2% DMSO/A1_03.tif </t>
  </si>
  <si>
    <t xml:space="preserve"> 4239.4593 </t>
  </si>
  <si>
    <t xml:space="preserve"> 66.051 </t>
  </si>
  <si>
    <t xml:space="preserve">F:\images\20210212\plaque 1/@01 Evian + 0.2% DMSO/B1_01.tif </t>
  </si>
  <si>
    <t xml:space="preserve"> 9473.8938 </t>
  </si>
  <si>
    <t xml:space="preserve"> 68.9018 </t>
  </si>
  <si>
    <t xml:space="preserve">F:\images\20210212\plaque 1/@01 Evian + 0.2% DMSO/B1_02.tif </t>
  </si>
  <si>
    <t xml:space="preserve"> 8803.3671 </t>
  </si>
  <si>
    <t xml:space="preserve"> 67.457 </t>
  </si>
  <si>
    <t xml:space="preserve">F:\images\20210212\plaque 1/@01 Evian + 0.2% DMSO/B1_03.tif </t>
  </si>
  <si>
    <t xml:space="preserve"> 4801.8366 </t>
  </si>
  <si>
    <t xml:space="preserve"> 67.7252 </t>
  </si>
  <si>
    <t xml:space="preserve">F:\images\20210212\plaque 1/@01 Evian + 0.2% DMSO/C1_01.tif </t>
  </si>
  <si>
    <t xml:space="preserve"> 865.1958 </t>
  </si>
  <si>
    <t xml:space="preserve"> 62.95 </t>
  </si>
  <si>
    <t xml:space="preserve">F:\images\20210212\plaque 1/@01 Evian + 0.2% DMSO/C1_02.tif </t>
  </si>
  <si>
    <t xml:space="preserve"> 1643.872 </t>
  </si>
  <si>
    <t xml:space="preserve"> 63.5658 </t>
  </si>
  <si>
    <t xml:space="preserve">F:\images\20210212\plaque 1/@01 Evian + 0.2% DMSO/C1_03.tif </t>
  </si>
  <si>
    <t xml:space="preserve"> 389.3381 </t>
  </si>
  <si>
    <t xml:space="preserve"> 62.2222 </t>
  </si>
  <si>
    <t xml:space="preserve">F:\images\20210212\plaque 1/@01 Evian + 0.2% DMSO/D1_01.tif </t>
  </si>
  <si>
    <t xml:space="preserve"> 2811.8863 </t>
  </si>
  <si>
    <t xml:space="preserve"> 65.0077 </t>
  </si>
  <si>
    <t xml:space="preserve">F:\images\20210212\plaque 1/@01 Evian + 0.2% DMSO/D1_02.tif </t>
  </si>
  <si>
    <t xml:space="preserve"> 1341.0535 </t>
  </si>
  <si>
    <t xml:space="preserve"> 63.6613 </t>
  </si>
  <si>
    <t xml:space="preserve">F:\images\20210212\plaque 1/@01 Evian + 0.2% DMSO/D1_03.tif </t>
  </si>
  <si>
    <t xml:space="preserve"> 2660.477 </t>
  </si>
  <si>
    <t xml:space="preserve">F:\images\20210212\plaque 1/@01 Evian + 0.2% DMSO/E1_01.tif </t>
  </si>
  <si>
    <t xml:space="preserve"> 367.7082 </t>
  </si>
  <si>
    <t xml:space="preserve"> 64.4118 </t>
  </si>
  <si>
    <t xml:space="preserve">F:\images\20210212\plaque 1/@01 Evian + 0.2% DMSO/E1_02.tif </t>
  </si>
  <si>
    <t xml:space="preserve"> 63.8 </t>
  </si>
  <si>
    <t xml:space="preserve">F:\images\20210212\plaque 1/@01 Evian + 0.2% DMSO/E1_03.tif </t>
  </si>
  <si>
    <t xml:space="preserve"> 63.75 </t>
  </si>
  <si>
    <t xml:space="preserve">F:\images\20210212\plaque 1/@01 Evian + 0.2% DMSO/F1_01.tif </t>
  </si>
  <si>
    <t xml:space="preserve"> 7635.3528 </t>
  </si>
  <si>
    <t xml:space="preserve"> 82.4958 </t>
  </si>
  <si>
    <t>F:\images\20210212\plaque 1/@01 Evian + 0.2% DMSO/F1_02- exclu.tif</t>
  </si>
  <si>
    <t xml:space="preserve">F:\images\20210212\plaque 1/@01 Evian + 0.2% DMSO/F1_03.tif </t>
  </si>
  <si>
    <t xml:space="preserve"> 4412.4985 </t>
  </si>
  <si>
    <t xml:space="preserve"> 70.6324 </t>
  </si>
  <si>
    <t xml:space="preserve">F:\images\20210212\plaque 1/@01 Evian + 0.2% DMSO/G1_01.tif </t>
  </si>
  <si>
    <t xml:space="preserve"> 562.3773 </t>
  </si>
  <si>
    <t xml:space="preserve"> 65.4231 </t>
  </si>
  <si>
    <t xml:space="preserve">F:\images\20210212\plaque 1/@01 Evian + 0.2% DMSO/G1_02.tif </t>
  </si>
  <si>
    <t xml:space="preserve"> 237.9288 </t>
  </si>
  <si>
    <t xml:space="preserve"> 63.0909 </t>
  </si>
  <si>
    <t xml:space="preserve">F:\images\20210212\plaque 1/@01 Evian + 0.2% DMSO/G1_03.tif </t>
  </si>
  <si>
    <t xml:space="preserve"> 259.5587 </t>
  </si>
  <si>
    <t xml:space="preserve"> 63.25 </t>
  </si>
  <si>
    <t xml:space="preserve">F:\images\20210212\plaque 1/@01 Evian + 0.2% DMSO/H1_01.tif </t>
  </si>
  <si>
    <t xml:space="preserve"> 3352.6337 </t>
  </si>
  <si>
    <t xml:space="preserve"> 64.9484 </t>
  </si>
  <si>
    <t xml:space="preserve">F:\images\20210212\plaque 1/@01 Evian + 0.2% DMSO/H1_02.tif </t>
  </si>
  <si>
    <t xml:space="preserve"> 410.968 </t>
  </si>
  <si>
    <t xml:space="preserve"> 63.7368 </t>
  </si>
  <si>
    <t xml:space="preserve">F:\images\20210212\plaque 1/@01 Evian + 0.2% DMSO/H1_03.tif </t>
  </si>
  <si>
    <t xml:space="preserve"> 2703.7368 </t>
  </si>
  <si>
    <t xml:space="preserve"> 66.496 </t>
  </si>
  <si>
    <t xml:space="preserve">group </t>
  </si>
  <si>
    <t xml:space="preserve"> mean of mean fluo </t>
  </si>
  <si>
    <t xml:space="preserve"> SD mean fluo </t>
  </si>
  <si>
    <t xml:space="preserve"> mean of total fluo </t>
  </si>
  <si>
    <t xml:space="preserve"> SD total fluo </t>
  </si>
  <si>
    <t xml:space="preserve"> n fluorescent </t>
  </si>
  <si>
    <t xml:space="preserve"> n total</t>
  </si>
  <si>
    <t xml:space="preserve">F:\images\20210212\plaque 1/@01 Evian + 0.2% DMSO/ </t>
  </si>
  <si>
    <t xml:space="preserve"> 65.9233 </t>
  </si>
  <si>
    <t xml:space="preserve"> 4.1147 </t>
  </si>
  <si>
    <t xml:space="preserve"> 186577.583 </t>
  </si>
  <si>
    <t xml:space="preserve"> 195816.431 </t>
  </si>
  <si>
    <t xml:space="preserve">file name </t>
  </si>
  <si>
    <t xml:space="preserve">F:\images\20210212\plaque 1/@02 EE2 33.8/A2_01.tif </t>
  </si>
  <si>
    <t xml:space="preserve"> 2076.4699 </t>
  </si>
  <si>
    <t xml:space="preserve"> 63.8646 </t>
  </si>
  <si>
    <t xml:space="preserve">F:\images\20210212\plaque 1/@02 EE2 33.8/A2_02.tif </t>
  </si>
  <si>
    <t xml:space="preserve"> 1514.0926 </t>
  </si>
  <si>
    <t xml:space="preserve"> 64.5143 </t>
  </si>
  <si>
    <t xml:space="preserve">F:\images\20210212\plaque 1/@02 EE2 33.8/A2_03.tif </t>
  </si>
  <si>
    <t xml:space="preserve"> 1059.8648 </t>
  </si>
  <si>
    <t xml:space="preserve"> 64.1837 </t>
  </si>
  <si>
    <t xml:space="preserve">F:\images\20210212\plaque 1/@02 EE2 33.8/B2_01.tif </t>
  </si>
  <si>
    <t xml:space="preserve"> 778.6762 </t>
  </si>
  <si>
    <t xml:space="preserve"> 63.8889 </t>
  </si>
  <si>
    <t xml:space="preserve">F:\images\20210212\plaque 1/@02 EE2 33.8/B2_02.tif </t>
  </si>
  <si>
    <t xml:space="preserve"> 843.5659 </t>
  </si>
  <si>
    <t xml:space="preserve"> 65.8462 </t>
  </si>
  <si>
    <t xml:space="preserve">F:\images\20210212\plaque 1/@02 EE2 33.8/B2_03.tif </t>
  </si>
  <si>
    <t xml:space="preserve"> 216.2989 </t>
  </si>
  <si>
    <t xml:space="preserve"> 63.2 </t>
  </si>
  <si>
    <t xml:space="preserve">F:\images\20210212\plaque 1/@02 EE2 33.8/C2_01.tif </t>
  </si>
  <si>
    <t xml:space="preserve"> 627.2669 </t>
  </si>
  <si>
    <t xml:space="preserve"> 65.1034 </t>
  </si>
  <si>
    <t xml:space="preserve">F:\images\20210212\plaque 1/@02 EE2 33.8/C2_02.tif </t>
  </si>
  <si>
    <t xml:space="preserve"> 5667.0324 </t>
  </si>
  <si>
    <t xml:space="preserve"> 67.3053 </t>
  </si>
  <si>
    <t xml:space="preserve">F:\images\20210212\plaque 1/@02 EE2 33.8/C2_03.tif </t>
  </si>
  <si>
    <t xml:space="preserve"> 454.2278 </t>
  </si>
  <si>
    <t xml:space="preserve">F:\images\20210212\plaque 1/@02 EE2 33.8/D2_01.tif </t>
  </si>
  <si>
    <t xml:space="preserve"> 1427.573 </t>
  </si>
  <si>
    <t xml:space="preserve"> 62.6515 </t>
  </si>
  <si>
    <t xml:space="preserve">F:\images\20210212\plaque 1/@02 EE2 33.8/D2_02.tif </t>
  </si>
  <si>
    <t xml:space="preserve"> 6272.6694 </t>
  </si>
  <si>
    <t xml:space="preserve"> 66.5241 </t>
  </si>
  <si>
    <t xml:space="preserve">F:\images\20210212\plaque 1/@02 EE2 33.8/D2_03.tif </t>
  </si>
  <si>
    <t xml:space="preserve"> 3460.7831 </t>
  </si>
  <si>
    <t xml:space="preserve"> 64.8312 </t>
  </si>
  <si>
    <t xml:space="preserve">F:\images\20210212\plaque 1/@02 EE2 33.8/E2_01.tif </t>
  </si>
  <si>
    <t xml:space="preserve"> 735.4164 </t>
  </si>
  <si>
    <t xml:space="preserve"> 62.9118 </t>
  </si>
  <si>
    <t xml:space="preserve">F:\images\20210212\plaque 1/@02 EE2 33.8/E2_02.tif </t>
  </si>
  <si>
    <t xml:space="preserve"> 2011.5802 </t>
  </si>
  <si>
    <t xml:space="preserve"> 62.9355 </t>
  </si>
  <si>
    <t xml:space="preserve">F:\images\20210212\plaque 1/@02 EE2 33.8/E2_03.tif </t>
  </si>
  <si>
    <t xml:space="preserve"> 5364.2139 </t>
  </si>
  <si>
    <t xml:space="preserve"> 68.996 </t>
  </si>
  <si>
    <t xml:space="preserve">F:\images\20210212\plaque 1/@02 EE2 33.8/F2_01.tif </t>
  </si>
  <si>
    <t xml:space="preserve"> 951.7154 </t>
  </si>
  <si>
    <t xml:space="preserve">F:\images\20210212\plaque 1/@02 EE2 33.8/F2_02.tif </t>
  </si>
  <si>
    <t xml:space="preserve"> 63.0476 </t>
  </si>
  <si>
    <t xml:space="preserve">F:\images\20210212\plaque 1/@02 EE2 33.8/F2_03.tif </t>
  </si>
  <si>
    <t xml:space="preserve"> 648.8968 </t>
  </si>
  <si>
    <t xml:space="preserve"> 63.0667 </t>
  </si>
  <si>
    <t xml:space="preserve">F:\images\20210212\plaque 1/@02 EE2 33.8/G2_01.tif </t>
  </si>
  <si>
    <t xml:space="preserve"> 151.4093 </t>
  </si>
  <si>
    <t xml:space="preserve"> 65.2857 </t>
  </si>
  <si>
    <t xml:space="preserve">F:\images\20210212\plaque 1/@02 EE2 33.8/G2_02.tif </t>
  </si>
  <si>
    <t xml:space="preserve"> 62.8182 </t>
  </si>
  <si>
    <t xml:space="preserve">F:\images\20210212\plaque 1/@02 EE2 33.8/G2_03.tif </t>
  </si>
  <si>
    <t xml:space="preserve"> 173.0392 </t>
  </si>
  <si>
    <t xml:space="preserve"> 62.75 </t>
  </si>
  <si>
    <t xml:space="preserve">F:\images\20210212\plaque 1/@02 EE2 33.8/H2_01.tif </t>
  </si>
  <si>
    <t xml:space="preserve"> 5818.4417 </t>
  </si>
  <si>
    <t xml:space="preserve"> 65.5279 </t>
  </si>
  <si>
    <t xml:space="preserve">F:\images\20210212\plaque 1/@02 EE2 33.8/H2_02.tif </t>
  </si>
  <si>
    <t xml:space="preserve"> 3915.0109 </t>
  </si>
  <si>
    <t xml:space="preserve"> 64.2707 </t>
  </si>
  <si>
    <t xml:space="preserve">F:\images\20210212\plaque 1/@02 EE2 33.8/H2_03.tif </t>
  </si>
  <si>
    <t xml:space="preserve"> 6510.5983 </t>
  </si>
  <si>
    <t xml:space="preserve"> 66.9435 </t>
  </si>
  <si>
    <t xml:space="preserve">F:\images\20210212\plaque 1/@02 EE2 33.8/ </t>
  </si>
  <si>
    <t xml:space="preserve"> 64.509 </t>
  </si>
  <si>
    <t xml:space="preserve"> 1.6679 </t>
  </si>
  <si>
    <t xml:space="preserve"> 140722.375 </t>
  </si>
  <si>
    <t xml:space="preserve"> 147898.189 </t>
  </si>
  <si>
    <t xml:space="preserve">F:\images\20210212\plaque 1/@03 EE2 50.6/A3_01.tif </t>
  </si>
  <si>
    <t xml:space="preserve"> 1773.6514 </t>
  </si>
  <si>
    <t xml:space="preserve"> 63.5976 </t>
  </si>
  <si>
    <t>F:\images\20210212\plaque 1/@03 EE2 50.6/A3_02- exclu.tif</t>
  </si>
  <si>
    <t xml:space="preserve">F:\images\20210212\plaque 1/@03 EE2 50.6/A3_03.tif </t>
  </si>
  <si>
    <t xml:space="preserve"> 13994.5418 </t>
  </si>
  <si>
    <t xml:space="preserve"> 82.8284 </t>
  </si>
  <si>
    <t xml:space="preserve">F:\images\20210212\plaque 1/@03 EE2 50.6/B3_01.tif </t>
  </si>
  <si>
    <t xml:space="preserve"> 66.1228 </t>
  </si>
  <si>
    <t xml:space="preserve">F:\images\20210212\plaque 1/@03 EE2 50.6/B3_02.tif </t>
  </si>
  <si>
    <t xml:space="preserve"> 2357.6585 </t>
  </si>
  <si>
    <t xml:space="preserve"> 64.1009 </t>
  </si>
  <si>
    <t xml:space="preserve">F:\images\20210212\plaque 1/@03 EE2 50.6/B3_03.tif </t>
  </si>
  <si>
    <t xml:space="preserve"> 4563.9078 </t>
  </si>
  <si>
    <t xml:space="preserve"> 67.1896 </t>
  </si>
  <si>
    <t xml:space="preserve">F:\images\20210212\plaque 1/@03 EE2 50.6/C3_01.tif </t>
  </si>
  <si>
    <t xml:space="preserve"> 4088.0501 </t>
  </si>
  <si>
    <t xml:space="preserve"> 65.9101 </t>
  </si>
  <si>
    <t xml:space="preserve">F:\images\20210212\plaque 1/@03 EE2 50.6/C3_02.tif </t>
  </si>
  <si>
    <t xml:space="preserve"> 1297.7937 </t>
  </si>
  <si>
    <t xml:space="preserve"> 63.4833 </t>
  </si>
  <si>
    <t xml:space="preserve">F:\images\20210212\plaque 1/@03 EE2 50.6/C3_03.tif </t>
  </si>
  <si>
    <t xml:space="preserve"> 63.8553 </t>
  </si>
  <si>
    <t xml:space="preserve">F:\images\20210212\plaque 1/@03 EE2 50.6/D3_01.tif </t>
  </si>
  <si>
    <t xml:space="preserve">F:\images\20210212\plaque 1/@03 EE2 50.6/D3_02.tif </t>
  </si>
  <si>
    <t xml:space="preserve"> 3958.2707 </t>
  </si>
  <si>
    <t xml:space="preserve"> 67.7049 </t>
  </si>
  <si>
    <t xml:space="preserve">F:\images\20210212\plaque 1/@03 EE2 50.6/D3_03.tif </t>
  </si>
  <si>
    <t xml:space="preserve"> 2509.0678 </t>
  </si>
  <si>
    <t xml:space="preserve"> 66.931 </t>
  </si>
  <si>
    <t xml:space="preserve">F:\images\20210212\plaque 1/@03 EE2 50.6/E3_01.tif </t>
  </si>
  <si>
    <t xml:space="preserve"> 63.475 </t>
  </si>
  <si>
    <t xml:space="preserve">F:\images\20210212\plaque 1/@03 EE2 50.6/E3_02.tif </t>
  </si>
  <si>
    <t xml:space="preserve"> 62.5 </t>
  </si>
  <si>
    <t xml:space="preserve">F:\images\20210212\plaque 1/@03 EE2 50.6/E3_03.tif </t>
  </si>
  <si>
    <t xml:space="preserve"> 1146.3844 </t>
  </si>
  <si>
    <t xml:space="preserve"> 65.4151 </t>
  </si>
  <si>
    <t xml:space="preserve">F:\images\20210212\plaque 1/@03 EE2 50.6/F3_01.tif </t>
  </si>
  <si>
    <t xml:space="preserve"> 1081.4947 </t>
  </si>
  <si>
    <t xml:space="preserve">F:\images\20210212\plaque 1/@03 EE2 50.6/F3_02.tif </t>
  </si>
  <si>
    <t xml:space="preserve"> 994.9752 </t>
  </si>
  <si>
    <t xml:space="preserve"> 65.6739 </t>
  </si>
  <si>
    <t xml:space="preserve">F:\images\20210212\plaque 1/@03 EE2 50.6/F3_03.tif </t>
  </si>
  <si>
    <t xml:space="preserve"> 2595.5874 </t>
  </si>
  <si>
    <t xml:space="preserve"> 65.55 </t>
  </si>
  <si>
    <t xml:space="preserve">F:\images\20210212\plaque 1/@03 EE2 50.6/G3_01.tif </t>
  </si>
  <si>
    <t xml:space="preserve"> 1232.904 </t>
  </si>
  <si>
    <t xml:space="preserve"> 62.7368 </t>
  </si>
  <si>
    <t xml:space="preserve">F:\images\20210212\plaque 1/@03 EE2 50.6/G3_02.tif </t>
  </si>
  <si>
    <t xml:space="preserve"> 3806.8615 </t>
  </si>
  <si>
    <t xml:space="preserve"> 67.8977 </t>
  </si>
  <si>
    <t xml:space="preserve">F:\images\20210212\plaque 1/@03 EE2 50.6/G3_03.tif </t>
  </si>
  <si>
    <t xml:space="preserve"> 63.3077 </t>
  </si>
  <si>
    <t xml:space="preserve">F:\images\20210212\plaque 1/@03 EE2 50.6/H3_01.tif </t>
  </si>
  <si>
    <t xml:space="preserve"> 62.2308 </t>
  </si>
  <si>
    <t xml:space="preserve">F:\images\20210212\plaque 1/@03 EE2 50.6/H3_02.tif </t>
  </si>
  <si>
    <t xml:space="preserve"> 497.4876 </t>
  </si>
  <si>
    <t xml:space="preserve"> 62.8261 </t>
  </si>
  <si>
    <t xml:space="preserve">F:\images\20210212\plaque 1/@03 EE2 50.6/H3_03.tif </t>
  </si>
  <si>
    <t xml:space="preserve"> 2292.7688 </t>
  </si>
  <si>
    <t xml:space="preserve"> 64.5377 </t>
  </si>
  <si>
    <t xml:space="preserve">F:\images\20210212\plaque 1/@03 EE2 50.6/ </t>
  </si>
  <si>
    <t xml:space="preserve"> 65.5871 </t>
  </si>
  <si>
    <t xml:space="preserve"> 4.0684 </t>
  </si>
  <si>
    <t xml:space="preserve"> 247143.208 </t>
  </si>
  <si>
    <t xml:space="preserve"> 383188.672 </t>
  </si>
  <si>
    <t xml:space="preserve">F:\images\20210212\plaque 1/@04 EE2 76/A4_01.tif </t>
  </si>
  <si>
    <t xml:space="preserve"> 7181.125 </t>
  </si>
  <si>
    <t xml:space="preserve"> 64.8133 </t>
  </si>
  <si>
    <t xml:space="preserve">F:\images\20210212\plaque 1/@04 EE2 76/A4_02.tif </t>
  </si>
  <si>
    <t xml:space="preserve"> 8911.5166 </t>
  </si>
  <si>
    <t xml:space="preserve"> 64.699 </t>
  </si>
  <si>
    <t xml:space="preserve">F:\images\20210212\plaque 1/@04 EE2 76/A4_03.tif </t>
  </si>
  <si>
    <t xml:space="preserve"> 8392.3991 </t>
  </si>
  <si>
    <t xml:space="preserve"> 64.1495 </t>
  </si>
  <si>
    <t xml:space="preserve">F:\images\20210212\plaque 1/@04 EE2 76/B4_01.tif </t>
  </si>
  <si>
    <t xml:space="preserve"> 65.776 </t>
  </si>
  <si>
    <t xml:space="preserve">F:\images\20210212\plaque 1/@04 EE2 76/B4_02.tif </t>
  </si>
  <si>
    <t xml:space="preserve"> 62.6667 </t>
  </si>
  <si>
    <t xml:space="preserve">F:\images\20210212\plaque 1/@04 EE2 76/B4_03.tif </t>
  </si>
  <si>
    <t xml:space="preserve"> 4434.1284 </t>
  </si>
  <si>
    <t xml:space="preserve"> 65.7854 </t>
  </si>
  <si>
    <t xml:space="preserve">F:\images\20210212\plaque 1/@04 EE2 76/C4_01.tif </t>
  </si>
  <si>
    <t xml:space="preserve"> 1795.2813 </t>
  </si>
  <si>
    <t xml:space="preserve"> 63.4458 </t>
  </si>
  <si>
    <t>F:\images\20210212\plaque 1/@04 EE2 76/C4_02- exclu.tif</t>
  </si>
  <si>
    <t xml:space="preserve">F:\images\20210212\plaque 1/@04 EE2 76/C4_03.tif </t>
  </si>
  <si>
    <t xml:space="preserve"> 821.936 </t>
  </si>
  <si>
    <t xml:space="preserve"> 62.5789 </t>
  </si>
  <si>
    <t xml:space="preserve">F:\images\20210212\plaque 1/@04 EE2 76/D4_01.tif </t>
  </si>
  <si>
    <t xml:space="preserve"> 8176.1002 </t>
  </si>
  <si>
    <t xml:space="preserve"> 63.8519 </t>
  </si>
  <si>
    <t xml:space="preserve">F:\images\20210212\plaque 1/@04 EE2 76/D4_02.tif </t>
  </si>
  <si>
    <t xml:space="preserve"> 7289.2745 </t>
  </si>
  <si>
    <t xml:space="preserve"> 63.9703 </t>
  </si>
  <si>
    <t xml:space="preserve">F:\images\20210212\plaque 1/@04 EE2 76/D4_03.tif </t>
  </si>
  <si>
    <t xml:space="preserve"> 7072.9755 </t>
  </si>
  <si>
    <t xml:space="preserve"> 63.315 </t>
  </si>
  <si>
    <t xml:space="preserve">F:\images\20210212\plaque 1/@04 EE2 76/E4_01.tif </t>
  </si>
  <si>
    <t xml:space="preserve"> 5948.221 </t>
  </si>
  <si>
    <t xml:space="preserve"> 64.4073 </t>
  </si>
  <si>
    <t xml:space="preserve">F:\images\20210212\plaque 1/@04 EE2 76/E4_02.tif </t>
  </si>
  <si>
    <t xml:space="preserve"> 5537.253 </t>
  </si>
  <si>
    <t xml:space="preserve"> 63.3906 </t>
  </si>
  <si>
    <t xml:space="preserve">F:\images\20210212\plaque 1/@04 EE2 76/E4_03.tif </t>
  </si>
  <si>
    <t xml:space="preserve"> 63.7268 </t>
  </si>
  <si>
    <t xml:space="preserve">F:\images\20210212\plaque 1/@04 EE2 76/F4_01.tif </t>
  </si>
  <si>
    <t xml:space="preserve"> 1968.3204 </t>
  </si>
  <si>
    <t xml:space="preserve"> 63.4615 </t>
  </si>
  <si>
    <t xml:space="preserve">F:\images\20210212\plaque 1/@04 EE2 76/F4_02.tif </t>
  </si>
  <si>
    <t xml:space="preserve"> 1038.2349 </t>
  </si>
  <si>
    <t xml:space="preserve"> 62.7292 </t>
  </si>
  <si>
    <t xml:space="preserve">F:\images\20210212\plaque 1/@04 EE2 76/F4_03.tif </t>
  </si>
  <si>
    <t xml:space="preserve"> 2400.9183 </t>
  </si>
  <si>
    <t xml:space="preserve"> 63.4955 </t>
  </si>
  <si>
    <t xml:space="preserve">F:\images\20210212\plaque 1/@04 EE2 76/G4_01.tif </t>
  </si>
  <si>
    <t xml:space="preserve"> 14254.1006 </t>
  </si>
  <si>
    <t xml:space="preserve"> 67.7451 </t>
  </si>
  <si>
    <t xml:space="preserve">F:\images\20210212\plaque 1/@04 EE2 76/G4_02.tif </t>
  </si>
  <si>
    <t xml:space="preserve"> 6207.7798 </t>
  </si>
  <si>
    <t xml:space="preserve"> 63.5192 </t>
  </si>
  <si>
    <t xml:space="preserve">F:\images\20210212\plaque 1/@04 EE2 76/G4_03.tif </t>
  </si>
  <si>
    <t xml:space="preserve"> 13280.7553 </t>
  </si>
  <si>
    <t xml:space="preserve"> 65.9479 </t>
  </si>
  <si>
    <t>F:\images\20210212\plaque 1/@04 EE2 76/H4_01- exclu.tif</t>
  </si>
  <si>
    <t>F:\images\20210212\plaque 1/@04 EE2 76/H4_02- exclu.tif</t>
  </si>
  <si>
    <t>F:\images\20210212\plaque 1/@04 EE2 76/H4_03- exclu.tif</t>
  </si>
  <si>
    <t xml:space="preserve">F:\images\20210212\plaque 1/@04 EE2 76/ </t>
  </si>
  <si>
    <t xml:space="preserve"> 64.1395 </t>
  </si>
  <si>
    <t xml:space="preserve"> 1.2302 </t>
  </si>
  <si>
    <t xml:space="preserve"> 315436.875 </t>
  </si>
  <si>
    <t xml:space="preserve"> 262327.194 </t>
  </si>
  <si>
    <t xml:space="preserve">F:\images\20210212\plaque 1/@05 EE2 114/A5_01.tif </t>
  </si>
  <si>
    <t xml:space="preserve"> 33612.8563 </t>
  </si>
  <si>
    <t xml:space="preserve"> 67.2831 </t>
  </si>
  <si>
    <t xml:space="preserve">F:\images\20210212\plaque 1/@05 EE2 114/A5_02.tif </t>
  </si>
  <si>
    <t xml:space="preserve"> 22300.4214 </t>
  </si>
  <si>
    <t xml:space="preserve"> 68.3986 </t>
  </si>
  <si>
    <t xml:space="preserve">F:\images\20210212\plaque 1/@05 EE2 114/A5_03.tif </t>
  </si>
  <si>
    <t xml:space="preserve"> 23857.7738 </t>
  </si>
  <si>
    <t xml:space="preserve"> 69.7797 </t>
  </si>
  <si>
    <t xml:space="preserve">F:\images\20210212\plaque 1/@05 EE2 114/B5_01.tif </t>
  </si>
  <si>
    <t xml:space="preserve"> 20267.2113 </t>
  </si>
  <si>
    <t xml:space="preserve"> 66.0192 </t>
  </si>
  <si>
    <t xml:space="preserve">F:\images\20210212\plaque 1/@05 EE2 114/B5_02.tif </t>
  </si>
  <si>
    <t xml:space="preserve"> 25977.5034 </t>
  </si>
  <si>
    <t xml:space="preserve"> 66.4704 </t>
  </si>
  <si>
    <t xml:space="preserve">F:\images\20210212\plaque 1/@05 EE2 114/B5_03.tif </t>
  </si>
  <si>
    <t xml:space="preserve"> 30346.7422 </t>
  </si>
  <si>
    <t xml:space="preserve"> 67.7776 </t>
  </si>
  <si>
    <t xml:space="preserve">F:\images\20210212\plaque 1/@05 EE2 114/C5_01.tif </t>
  </si>
  <si>
    <t xml:space="preserve"> 346.0783 </t>
  </si>
  <si>
    <t xml:space="preserve"> 62.375 </t>
  </si>
  <si>
    <t xml:space="preserve">F:\images\20210212\plaque 1/@05 EE2 114/C5_02.tif </t>
  </si>
  <si>
    <t xml:space="preserve"> 64.087 </t>
  </si>
  <si>
    <t xml:space="preserve">F:\images\20210212\plaque 1/@05 EE2 114/C5_03.tif </t>
  </si>
  <si>
    <t xml:space="preserve"> 63.5 </t>
  </si>
  <si>
    <t xml:space="preserve">F:\images\20210212\plaque 1/@05 EE2 114/D5_01.tif </t>
  </si>
  <si>
    <t xml:space="preserve"> 6164.52 </t>
  </si>
  <si>
    <t xml:space="preserve"> 64.9158 </t>
  </si>
  <si>
    <t xml:space="preserve">F:\images\20210212\plaque 1/@05 EE2 114/D5_02.tif </t>
  </si>
  <si>
    <t xml:space="preserve"> 16892.9477 </t>
  </si>
  <si>
    <t xml:space="preserve"> 66.2369 </t>
  </si>
  <si>
    <t xml:space="preserve">F:\images\20210212\plaque 1/@05 EE2 114/D5_03.tif </t>
  </si>
  <si>
    <t xml:space="preserve"> 15227.4458 </t>
  </si>
  <si>
    <t xml:space="preserve"> 64.7528 </t>
  </si>
  <si>
    <t xml:space="preserve">F:\images\20210212\plaque 1/@05 EE2 114/E5_01.tif </t>
  </si>
  <si>
    <t xml:space="preserve"> 12112.741 </t>
  </si>
  <si>
    <t xml:space="preserve"> 64.2732 </t>
  </si>
  <si>
    <t xml:space="preserve">F:\images\20210212\plaque 1/@05 EE2 114/E5_02.tif </t>
  </si>
  <si>
    <t xml:space="preserve"> 14059.4315 </t>
  </si>
  <si>
    <t xml:space="preserve"> 65.2938 </t>
  </si>
  <si>
    <t xml:space="preserve">F:\images\20210212\plaque 1/@05 EE2 114/E5_03.tif </t>
  </si>
  <si>
    <t xml:space="preserve"> 14859.7376 </t>
  </si>
  <si>
    <t xml:space="preserve"> 64.706 </t>
  </si>
  <si>
    <t xml:space="preserve">F:\images\20210212\plaque 1/@05 EE2 114/F5_01.tif </t>
  </si>
  <si>
    <t xml:space="preserve"> 45401.1488 </t>
  </si>
  <si>
    <t xml:space="preserve"> 68.2577 </t>
  </si>
  <si>
    <t xml:space="preserve">F:\images\20210212\plaque 1/@05 EE2 114/F5_02.tif </t>
  </si>
  <si>
    <t xml:space="preserve"> 46655.6827 </t>
  </si>
  <si>
    <t xml:space="preserve"> 68.1919 </t>
  </si>
  <si>
    <t xml:space="preserve">F:\images\20210212\plaque 1/@05 EE2 114/F5_03.tif </t>
  </si>
  <si>
    <t xml:space="preserve"> 35775.8457 </t>
  </si>
  <si>
    <t xml:space="preserve"> 68.0605 </t>
  </si>
  <si>
    <t xml:space="preserve">F:\images\20210212\plaque 1/@05 EE2 114/G5_01.tif </t>
  </si>
  <si>
    <t xml:space="preserve"> 28270.2723 </t>
  </si>
  <si>
    <t xml:space="preserve"> 66.8967 </t>
  </si>
  <si>
    <t xml:space="preserve">F:\images\20210212\plaque 1/@05 EE2 114/G5_02.tif </t>
  </si>
  <si>
    <t xml:space="preserve"> 20526.77 </t>
  </si>
  <si>
    <t xml:space="preserve"> 67.3425 </t>
  </si>
  <si>
    <t xml:space="preserve">F:\images\20210212\plaque 1/@05 EE2 114/G5_03.tif </t>
  </si>
  <si>
    <t xml:space="preserve"> 65.999 </t>
  </si>
  <si>
    <t xml:space="preserve">F:\images\20210212\plaque 1/@05 EE2 114/H5_01.tif </t>
  </si>
  <si>
    <t xml:space="preserve"> 7483.9435 </t>
  </si>
  <si>
    <t xml:space="preserve"> 69.4393 </t>
  </si>
  <si>
    <t xml:space="preserve">F:\images\20210212\plaque 1/@05 EE2 114/H5_02.tif </t>
  </si>
  <si>
    <t xml:space="preserve"> 4823.4665 </t>
  </si>
  <si>
    <t xml:space="preserve"> 64.1614 </t>
  </si>
  <si>
    <t xml:space="preserve">F:\images\20210212\plaque 1/@05 EE2 114/H5_03.tif </t>
  </si>
  <si>
    <t xml:space="preserve"> 5169.5448 </t>
  </si>
  <si>
    <t xml:space="preserve"> 64.3264 </t>
  </si>
  <si>
    <t xml:space="preserve">F:\images\20210212\plaque 1/@05 EE2 114/ </t>
  </si>
  <si>
    <t xml:space="preserve"> 66.1894 </t>
  </si>
  <si>
    <t xml:space="preserve"> 1.9777 </t>
  </si>
  <si>
    <t xml:space="preserve"> 1266249.17 </t>
  </si>
  <si>
    <t xml:space="preserve"> 912287.34 </t>
  </si>
  <si>
    <t xml:space="preserve">F:\images\20210212\plaque 1/@06 EE2 170.9/A6_01.tif </t>
  </si>
  <si>
    <t xml:space="preserve"> 29243.6175 </t>
  </si>
  <si>
    <t xml:space="preserve"> 68.3099 </t>
  </si>
  <si>
    <t>F:\images\20210212\plaque 1/@06 EE2 170.9/A6_02- exclu.tif</t>
  </si>
  <si>
    <t xml:space="preserve">F:\images\20210212\plaque 1/@06 EE2 170.9/A6_03.tif </t>
  </si>
  <si>
    <t xml:space="preserve"> 33158.6285 </t>
  </si>
  <si>
    <t xml:space="preserve"> 71.1885 </t>
  </si>
  <si>
    <t xml:space="preserve">F:\images\20210212\plaque 1/@06 EE2 170.9/B6_01.tif </t>
  </si>
  <si>
    <t xml:space="preserve"> 45768.857 </t>
  </si>
  <si>
    <t xml:space="preserve"> 77.9702 </t>
  </si>
  <si>
    <t xml:space="preserve">F:\images\20210212\plaque 1/@06 EE2 170.9/B6_02.tif </t>
  </si>
  <si>
    <t xml:space="preserve"> 46785.4621 </t>
  </si>
  <si>
    <t xml:space="preserve"> 79.1761 </t>
  </si>
  <si>
    <t xml:space="preserve">F:\images\20210212\plaque 1/@06 EE2 170.9/B6_03.tif </t>
  </si>
  <si>
    <t xml:space="preserve"> 46828.7219 </t>
  </si>
  <si>
    <t xml:space="preserve"> 76.3861 </t>
  </si>
  <si>
    <t xml:space="preserve">F:\images\20210212\plaque 1/@06 EE2 170.9/C6_01.tif </t>
  </si>
  <si>
    <t xml:space="preserve"> 38977.0701 </t>
  </si>
  <si>
    <t xml:space="preserve"> 76.6193 </t>
  </si>
  <si>
    <t xml:space="preserve">F:\images\20210212\plaque 1/@06 EE2 170.9/C6_02.tif </t>
  </si>
  <si>
    <t xml:space="preserve"> 46720.5724 </t>
  </si>
  <si>
    <t xml:space="preserve"> 77.8019 </t>
  </si>
  <si>
    <t xml:space="preserve">F:\images\20210212\plaque 1/@06 EE2 170.9/C6_03.tif </t>
  </si>
  <si>
    <t xml:space="preserve"> 48580.7433 </t>
  </si>
  <si>
    <t xml:space="preserve"> 76.6492 </t>
  </si>
  <si>
    <t xml:space="preserve">F:\images\20210212\plaque 1/@06 EE2 170.9/D6_01.tif </t>
  </si>
  <si>
    <t xml:space="preserve"> 54182.886 </t>
  </si>
  <si>
    <t xml:space="preserve"> 76.7661 </t>
  </si>
  <si>
    <t xml:space="preserve">F:\images\20210212\plaque 1/@06 EE2 170.9/D6_02.tif </t>
  </si>
  <si>
    <t xml:space="preserve"> 49835.2772 </t>
  </si>
  <si>
    <t xml:space="preserve"> 79.4523 </t>
  </si>
  <si>
    <t xml:space="preserve">F:\images\20210212\plaque 1/@06 EE2 170.9/D6_03.tif </t>
  </si>
  <si>
    <t xml:space="preserve"> 53014.8717 </t>
  </si>
  <si>
    <t xml:space="preserve"> 77.7336 </t>
  </si>
  <si>
    <t xml:space="preserve">F:\images\20210212\plaque 1/@06 EE2 170.9/E6_01.tif </t>
  </si>
  <si>
    <t xml:space="preserve"> 39669.2267 </t>
  </si>
  <si>
    <t xml:space="preserve"> 69.6908 </t>
  </si>
  <si>
    <t xml:space="preserve">F:\images\20210212\plaque 1/@06 EE2 170.9/E6_02.tif </t>
  </si>
  <si>
    <t xml:space="preserve"> 40707.4617 </t>
  </si>
  <si>
    <t xml:space="preserve"> 70.313 </t>
  </si>
  <si>
    <t xml:space="preserve">F:\images\20210212\plaque 1/@06 EE2 170.9/E6_03.tif </t>
  </si>
  <si>
    <t xml:space="preserve"> 43605.8676 </t>
  </si>
  <si>
    <t xml:space="preserve"> 69.3026 </t>
  </si>
  <si>
    <t xml:space="preserve">F:\images\20210212\plaque 1/@06 EE2 170.9/F6_01.tif </t>
  </si>
  <si>
    <t xml:space="preserve"> 25544.9056 </t>
  </si>
  <si>
    <t xml:space="preserve"> 72.1516 </t>
  </si>
  <si>
    <t xml:space="preserve">F:\images\20210212\plaque 1/@06 EE2 170.9/F6_02.tif </t>
  </si>
  <si>
    <t xml:space="preserve"> 25263.7169 </t>
  </si>
  <si>
    <t xml:space="preserve"> 72.7791 </t>
  </si>
  <si>
    <t xml:space="preserve">F:\images\20210212\plaque 1/@06 EE2 170.9/F6_03.tif </t>
  </si>
  <si>
    <t xml:space="preserve"> 32661.1409 </t>
  </si>
  <si>
    <t xml:space="preserve"> 70.4821 </t>
  </si>
  <si>
    <t xml:space="preserve">F:\images\20210212\plaque 1/@06 EE2 170.9/G6_01.tif </t>
  </si>
  <si>
    <t xml:space="preserve"> 32747.6605 </t>
  </si>
  <si>
    <t xml:space="preserve"> 71.6764 </t>
  </si>
  <si>
    <t>F:\images\20210212\plaque 1/@06 EE2 170.9/G6_02- exclu.tif</t>
  </si>
  <si>
    <t xml:space="preserve">F:\images\20210212\plaque 1/@06 EE2 170.9/G6_03.tif </t>
  </si>
  <si>
    <t xml:space="preserve"> 71.2617 </t>
  </si>
  <si>
    <t xml:space="preserve">F:\images\20210212\plaque 1/@06 EE2 170.9/H6_01.tif </t>
  </si>
  <si>
    <t xml:space="preserve"> 32769.2904 </t>
  </si>
  <si>
    <t xml:space="preserve"> 70.9531 </t>
  </si>
  <si>
    <t xml:space="preserve">F:\images\20210212\plaque 1/@06 EE2 170.9/H6_02.tif </t>
  </si>
  <si>
    <t xml:space="preserve"> 34369.9026 </t>
  </si>
  <si>
    <t xml:space="preserve"> 70.2177 </t>
  </si>
  <si>
    <t xml:space="preserve">F:\images\20210212\plaque 1/@06 EE2 170.9/H6_03.tif </t>
  </si>
  <si>
    <t xml:space="preserve"> 36078.6642 </t>
  </si>
  <si>
    <t xml:space="preserve"> 71.5869 </t>
  </si>
  <si>
    <t xml:space="preserve">F:\images\20210212\plaque 1/@06 EE2 170.9/ </t>
  </si>
  <si>
    <t xml:space="preserve"> 73.328 </t>
  </si>
  <si>
    <t xml:space="preserve"> 3.5967 </t>
  </si>
  <si>
    <t xml:space="preserve"> 2789040.62 </t>
  </si>
  <si>
    <t xml:space="preserve"> 860766.019 </t>
  </si>
  <si>
    <t xml:space="preserve">F:\images\20210212\plaque 1/@07 EE2 488/A7_01.tif </t>
  </si>
  <si>
    <t xml:space="preserve"> 19099.197 </t>
  </si>
  <si>
    <t xml:space="preserve"> 78.4723 </t>
  </si>
  <si>
    <t xml:space="preserve">F:\images\20210212\plaque 1/@07 EE2 488/A7_02.tif </t>
  </si>
  <si>
    <t xml:space="preserve"> 44124.985 </t>
  </si>
  <si>
    <t xml:space="preserve"> 88.2044 </t>
  </si>
  <si>
    <t xml:space="preserve">F:\images\20210212\plaque 1/@07 EE2 488/A7_03.tif </t>
  </si>
  <si>
    <t xml:space="preserve"> 22084.1224 </t>
  </si>
  <si>
    <t xml:space="preserve"> 79.5024 </t>
  </si>
  <si>
    <t xml:space="preserve">F:\images\20210212\plaque 1/@07 EE2 488/B7_01.tif </t>
  </si>
  <si>
    <t xml:space="preserve"> 83080.4253 </t>
  </si>
  <si>
    <t xml:space="preserve"> 93.982 </t>
  </si>
  <si>
    <t xml:space="preserve">F:\images\20210212\plaque 1/@07 EE2 488/B7_02.tif </t>
  </si>
  <si>
    <t xml:space="preserve"> 80484.8379 </t>
  </si>
  <si>
    <t xml:space="preserve"> 95.495 </t>
  </si>
  <si>
    <t xml:space="preserve">F:\images\20210212\plaque 1/@07 EE2 488/B7_03.tif </t>
  </si>
  <si>
    <t xml:space="preserve"> 64478.7159 </t>
  </si>
  <si>
    <t xml:space="preserve"> 106.5008 </t>
  </si>
  <si>
    <t xml:space="preserve">F:\images\20210212\plaque 1/@07 EE2 488/C7_01.tif </t>
  </si>
  <si>
    <t xml:space="preserve"> 64262.4169 </t>
  </si>
  <si>
    <t xml:space="preserve"> 83.7398 </t>
  </si>
  <si>
    <t xml:space="preserve">F:\images\20210212\plaque 1/@07 EE2 488/C7_02.tif </t>
  </si>
  <si>
    <t xml:space="preserve"> 80852.5461 </t>
  </si>
  <si>
    <t xml:space="preserve"> 82.1806 </t>
  </si>
  <si>
    <t xml:space="preserve">F:\images\20210212\plaque 1/@07 EE2 488/C7_03.tif </t>
  </si>
  <si>
    <t xml:space="preserve"> 61299.1214 </t>
  </si>
  <si>
    <t xml:space="preserve"> 85.0406 </t>
  </si>
  <si>
    <t xml:space="preserve">F:\images\20210212\plaque 1/@07 EE2 488/D7_01.tif </t>
  </si>
  <si>
    <t xml:space="preserve"> 62661.8047 </t>
  </si>
  <si>
    <t xml:space="preserve"> 91.4249 </t>
  </si>
  <si>
    <t xml:space="preserve">F:\images\20210212\plaque 1/@07 EE2 488/D7_02.tif </t>
  </si>
  <si>
    <t xml:space="preserve"> 66533.5559 </t>
  </si>
  <si>
    <t xml:space="preserve"> 90.0195 </t>
  </si>
  <si>
    <t xml:space="preserve">F:\images\20210212\plaque 1/@07 EE2 488/D7_03.tif </t>
  </si>
  <si>
    <t xml:space="preserve"> 61147.7121 </t>
  </si>
  <si>
    <t xml:space="preserve"> 92.826 </t>
  </si>
  <si>
    <t xml:space="preserve">F:\images\20210212\plaque 1/@07 EE2 488/E7_01.tif </t>
  </si>
  <si>
    <t xml:space="preserve"> 74125.6489 </t>
  </si>
  <si>
    <t xml:space="preserve"> 87.3989 </t>
  </si>
  <si>
    <t xml:space="preserve">F:\images\20210212\plaque 1/@07 EE2 488/E7_02.tif </t>
  </si>
  <si>
    <t xml:space="preserve"> 75466.7024 </t>
  </si>
  <si>
    <t xml:space="preserve"> 87.6621 </t>
  </si>
  <si>
    <t xml:space="preserve">F:\images\20210212\plaque 1/@07 EE2 488/E7_03.tif </t>
  </si>
  <si>
    <t xml:space="preserve"> 56345.8755 </t>
  </si>
  <si>
    <t xml:space="preserve"> 99.7635 </t>
  </si>
  <si>
    <t xml:space="preserve">F:\images\20210212\plaque 1/@07 EE2 488/F7_01.tif </t>
  </si>
  <si>
    <t xml:space="preserve"> 55112.9715 </t>
  </si>
  <si>
    <t xml:space="preserve"> 94.3246 </t>
  </si>
  <si>
    <t xml:space="preserve">F:\images\20210212\plaque 1/@07 EE2 488/F7_02.tif </t>
  </si>
  <si>
    <t xml:space="preserve"> 53101.3913 </t>
  </si>
  <si>
    <t xml:space="preserve"> 93.8741 </t>
  </si>
  <si>
    <t xml:space="preserve">F:\images\20210212\plaque 1/@07 EE2 488/F7_03.tif </t>
  </si>
  <si>
    <t xml:space="preserve"> 51197.9606 </t>
  </si>
  <si>
    <t xml:space="preserve"> 91.7892 </t>
  </si>
  <si>
    <t xml:space="preserve">F:\images\20210212\plaque 1/@07 EE2 488/G7_01.tif </t>
  </si>
  <si>
    <t xml:space="preserve"> 69194.0329 </t>
  </si>
  <si>
    <t xml:space="preserve"> 87.8256 </t>
  </si>
  <si>
    <t xml:space="preserve">F:\images\20210212\plaque 1/@07 EE2 488/G7_02.tif </t>
  </si>
  <si>
    <t xml:space="preserve"> 69085.8834 </t>
  </si>
  <si>
    <t xml:space="preserve"> 91.7489 </t>
  </si>
  <si>
    <t xml:space="preserve">F:\images\20210212\plaque 1/@07 EE2 488/G7_03.tif </t>
  </si>
  <si>
    <t xml:space="preserve"> 67766.4599 </t>
  </si>
  <si>
    <t xml:space="preserve"> 90.8618 </t>
  </si>
  <si>
    <t xml:space="preserve">F:\images\20210212\plaque 1/@07 EE2 488/H7_01.tif </t>
  </si>
  <si>
    <t xml:space="preserve"> 75726.2611 </t>
  </si>
  <si>
    <t xml:space="preserve"> 89.7701 </t>
  </si>
  <si>
    <t xml:space="preserve">F:\images\20210212\plaque 1/@07 EE2 488/H7_02.tif </t>
  </si>
  <si>
    <t xml:space="preserve"> 79273.5638 </t>
  </si>
  <si>
    <t xml:space="preserve"> 90.3462 </t>
  </si>
  <si>
    <t xml:space="preserve">F:\images\20210212\plaque 1/@07 EE2 488/H7_03.tif </t>
  </si>
  <si>
    <t xml:space="preserve"> 73952.6097 </t>
  </si>
  <si>
    <t xml:space="preserve"> 92.6364 </t>
  </si>
  <si>
    <t xml:space="preserve">F:\images\20210212\plaque 1/@07 EE2 488/ </t>
  </si>
  <si>
    <t xml:space="preserve"> 90.2246 </t>
  </si>
  <si>
    <t xml:space="preserve"> 6.1095 </t>
  </si>
  <si>
    <t xml:space="preserve"> 5713429.42 </t>
  </si>
  <si>
    <t xml:space="preserve"> 1562868.19 </t>
  </si>
  <si>
    <t xml:space="preserve">F:\images\20210212\plaque 1/@08 17b estradiol 34 ng_L/A8_01.tif </t>
  </si>
  <si>
    <t xml:space="preserve"> 63.2045 </t>
  </si>
  <si>
    <t xml:space="preserve">F:\images\20210212\plaque 1/@08 17b estradiol 34 ng_L/A8_02.tif </t>
  </si>
  <si>
    <t xml:space="preserve"> 6488.9684 </t>
  </si>
  <si>
    <t xml:space="preserve"> 71.9 </t>
  </si>
  <si>
    <t xml:space="preserve">F:\images\20210212\plaque 1/@08 17b estradiol 34 ng_L/A8_03.tif </t>
  </si>
  <si>
    <t xml:space="preserve"> 6878.3065 </t>
  </si>
  <si>
    <t xml:space="preserve"> 72.934 </t>
  </si>
  <si>
    <t xml:space="preserve">F:\images\20210212\plaque 1/@08 17b estradiol 34 ng_L/B8_01.tif </t>
  </si>
  <si>
    <t xml:space="preserve"> 281.1886 </t>
  </si>
  <si>
    <t xml:space="preserve"> 64.2308 </t>
  </si>
  <si>
    <t xml:space="preserve">F:\images\20210212\plaque 1/@08 17b estradiol 34 ng_L/B8_02.tif </t>
  </si>
  <si>
    <t xml:space="preserve"> 62.9 </t>
  </si>
  <si>
    <t>F:\images\20210212\plaque 1/@08 17b estradiol 34 ng_L/B8_03- exclu.tif</t>
  </si>
  <si>
    <t xml:space="preserve">F:\images\20210212\plaque 1/@08 17b estradiol 34 ng_L/C8_01.tif </t>
  </si>
  <si>
    <t xml:space="preserve"> 886.8257 </t>
  </si>
  <si>
    <t xml:space="preserve"> 63.561 </t>
  </si>
  <si>
    <t xml:space="preserve">F:\images\20210212\plaque 1/@08 17b estradiol 34 ng_L/C8_02.tif </t>
  </si>
  <si>
    <t xml:space="preserve"> 2530.6977 </t>
  </si>
  <si>
    <t xml:space="preserve"> 63.2051 </t>
  </si>
  <si>
    <t xml:space="preserve">F:\images\20210212\plaque 1/@08 17b estradiol 34 ng_L/C8_03.tif </t>
  </si>
  <si>
    <t xml:space="preserve"> 1665.5019 </t>
  </si>
  <si>
    <t xml:space="preserve"> 63.0649 </t>
  </si>
  <si>
    <t xml:space="preserve">F:\images\20210212\plaque 1/@08 17b estradiol 34 ng_L/D8_01.tif </t>
  </si>
  <si>
    <t xml:space="preserve"> 1103.1246 </t>
  </si>
  <si>
    <t xml:space="preserve"> 63.098 </t>
  </si>
  <si>
    <t xml:space="preserve">F:\images\20210212\plaque 1/@08 17b estradiol 34 ng_L/D8_02.tif </t>
  </si>
  <si>
    <t xml:space="preserve"> 2227.8791 </t>
  </si>
  <si>
    <t xml:space="preserve"> 64.2524 </t>
  </si>
  <si>
    <t xml:space="preserve">F:\images\20210212\plaque 1/@08 17b estradiol 34 ng_L/D8_03.tif </t>
  </si>
  <si>
    <t xml:space="preserve"> 1838.541 </t>
  </si>
  <si>
    <t xml:space="preserve"> 64.3647 </t>
  </si>
  <si>
    <t xml:space="preserve">F:\images\20210212\plaque 1/@08 17b estradiol 34 ng_L/E8_01.tif </t>
  </si>
  <si>
    <t xml:space="preserve"> 3677.0821 </t>
  </si>
  <si>
    <t xml:space="preserve"> 70.3647 </t>
  </si>
  <si>
    <t xml:space="preserve">F:\images\20210212\plaque 1/@08 17b estradiol 34 ng_L/E8_02.tif </t>
  </si>
  <si>
    <t xml:space="preserve"> 63.2941 </t>
  </si>
  <si>
    <t xml:space="preserve">F:\images\20210212\plaque 1/@08 17b estradiol 34 ng_L/E8_03.tif </t>
  </si>
  <si>
    <t xml:space="preserve"> 2184.6194 </t>
  </si>
  <si>
    <t xml:space="preserve"> 63.6139 </t>
  </si>
  <si>
    <t xml:space="preserve">F:\images\20210212\plaque 1/@08 17b estradiol 34 ng_L/F8_01.tif </t>
  </si>
  <si>
    <t xml:space="preserve"> 4369.2387 </t>
  </si>
  <si>
    <t xml:space="preserve"> 65.896 </t>
  </si>
  <si>
    <t xml:space="preserve">F:\images\20210212\plaque 1/@08 17b estradiol 34 ng_L/F8_02.tif </t>
  </si>
  <si>
    <t xml:space="preserve"> 4628.7975 </t>
  </si>
  <si>
    <t xml:space="preserve"> 66.7336 </t>
  </si>
  <si>
    <t xml:space="preserve">F:\images\20210212\plaque 1/@08 17b estradiol 34 ng_L/F8_03.tif </t>
  </si>
  <si>
    <t xml:space="preserve"> 2876.776 </t>
  </si>
  <si>
    <t xml:space="preserve"> 64.6165 </t>
  </si>
  <si>
    <t xml:space="preserve">F:\images\20210212\plaque 1/@08 17b estradiol 34 ng_L/G8_01.tif </t>
  </si>
  <si>
    <t xml:space="preserve"> 62.0526 </t>
  </si>
  <si>
    <t xml:space="preserve">F:\images\20210212\plaque 1/@08 17b estradiol 34 ng_L/G8_02.tif </t>
  </si>
  <si>
    <t xml:space="preserve"> 302.8185 </t>
  </si>
  <si>
    <t xml:space="preserve"> 63.0714 </t>
  </si>
  <si>
    <t xml:space="preserve">F:\images\20210212\plaque 1/@08 17b estradiol 34 ng_L/G8_03.tif </t>
  </si>
  <si>
    <t xml:space="preserve"> 61.4286 </t>
  </si>
  <si>
    <t xml:space="preserve">F:\images\20210212\plaque 1/@08 17b estradiol 34 ng_L/H8_01.tif </t>
  </si>
  <si>
    <t xml:space="preserve"> 65.2033 </t>
  </si>
  <si>
    <t xml:space="preserve">F:\images\20210212\plaque 1/@08 17b estradiol 34 ng_L/H8_02.tif </t>
  </si>
  <si>
    <t xml:space="preserve"> 4109.68 </t>
  </si>
  <si>
    <t xml:space="preserve"> 65.3789 </t>
  </si>
  <si>
    <t xml:space="preserve">F:\images\20210212\plaque 1/@08 17b estradiol 34 ng_L/H8_03.tif </t>
  </si>
  <si>
    <t xml:space="preserve"> 2487.4379 </t>
  </si>
  <si>
    <t xml:space="preserve"> 66.3217 </t>
  </si>
  <si>
    <t xml:space="preserve">F:\images\20210212\plaque 1/@08 17b estradiol 34 ng_L/ </t>
  </si>
  <si>
    <t xml:space="preserve"> 64.9267 </t>
  </si>
  <si>
    <t xml:space="preserve"> 2.9417 </t>
  </si>
  <si>
    <t xml:space="preserve"> 150582.958 </t>
  </si>
  <si>
    <t xml:space="preserve"> 138262.978 </t>
  </si>
  <si>
    <t xml:space="preserve">F:\images\20210212\plaque 1/@09 17b estradiol 68/A9_01.tif </t>
  </si>
  <si>
    <t xml:space="preserve"> 61.75 </t>
  </si>
  <si>
    <t xml:space="preserve">F:\images\20210212\plaque 1/@09 17b estradiol 68/A9_02.tif </t>
  </si>
  <si>
    <t xml:space="preserve"> 64.125 </t>
  </si>
  <si>
    <t xml:space="preserve">F:\images\20210212\plaque 1/@09 17b estradiol 68/A9_03.tif </t>
  </si>
  <si>
    <t xml:space="preserve"> 63.7222 </t>
  </si>
  <si>
    <t xml:space="preserve">F:\images\20210212\plaque 1/@09 17b estradiol 68/B9_01.tif </t>
  </si>
  <si>
    <t xml:space="preserve"> 6748.5271 </t>
  </si>
  <si>
    <t xml:space="preserve"> 74.7724 </t>
  </si>
  <si>
    <t xml:space="preserve">F:\images\20210212\plaque 1/@09 17b estradiol 68/B9_02.tif </t>
  </si>
  <si>
    <t xml:space="preserve"> 7656.9827 </t>
  </si>
  <si>
    <t xml:space="preserve"> 73.5819 </t>
  </si>
  <si>
    <t xml:space="preserve">F:\images\20210212\plaque 1/@09 17b estradiol 68/B9_03.tif </t>
  </si>
  <si>
    <t xml:space="preserve"> 7851.6518 </t>
  </si>
  <si>
    <t xml:space="preserve"> 74.5234 </t>
  </si>
  <si>
    <t xml:space="preserve">F:\images\20210212\plaque 1/@09 17b estradiol 68/C9_01.tif </t>
  </si>
  <si>
    <t xml:space="preserve"> 64.0806 </t>
  </si>
  <si>
    <t xml:space="preserve">F:\images\20210212\plaque 1/@09 17b estradiol 68/C9_02.tif </t>
  </si>
  <si>
    <t xml:space="preserve"> 62.8684 </t>
  </si>
  <si>
    <t xml:space="preserve">F:\images\20210212\plaque 1/@09 17b estradiol 68/C9_03.tif </t>
  </si>
  <si>
    <t xml:space="preserve"> 63.3 </t>
  </si>
  <si>
    <t xml:space="preserve">F:\images\20210212\plaque 1/@09 17b estradiol 68/D9_01.tif </t>
  </si>
  <si>
    <t xml:space="preserve"> 2206.2493 </t>
  </si>
  <si>
    <t xml:space="preserve"> 64.3333 </t>
  </si>
  <si>
    <t xml:space="preserve">F:\images\20210212\plaque 1/@09 17b estradiol 68/D9_02.tif </t>
  </si>
  <si>
    <t xml:space="preserve"> 692.1566 </t>
  </si>
  <si>
    <t xml:space="preserve"> 62.5938 </t>
  </si>
  <si>
    <t xml:space="preserve">F:\images\20210212\plaque 1/@09 17b estradiol 68/D9_03.tif </t>
  </si>
  <si>
    <t xml:space="preserve"> 1362.6834 </t>
  </si>
  <si>
    <t xml:space="preserve"> 63.2222 </t>
  </si>
  <si>
    <t xml:space="preserve">F:\images\20210212\plaque 1/@09 17b estradiol 68/E9_01.tif </t>
  </si>
  <si>
    <t xml:space="preserve"> 757.0463 </t>
  </si>
  <si>
    <t xml:space="preserve"> 63.1143 </t>
  </si>
  <si>
    <t xml:space="preserve">F:\images\20210212\plaque 1/@09 17b estradiol 68/E9_02.tif </t>
  </si>
  <si>
    <t xml:space="preserve"> 540.7474 </t>
  </si>
  <si>
    <t xml:space="preserve"> 61.8 </t>
  </si>
  <si>
    <t>F:\images\20210212\plaque 1/@09 17b estradiol 68/E9_03- exclu.tif</t>
  </si>
  <si>
    <t xml:space="preserve">F:\images\20210212\plaque 1/@09 17b estradiol 68/F9_01.tif </t>
  </si>
  <si>
    <t xml:space="preserve"> 1189.6442 </t>
  </si>
  <si>
    <t xml:space="preserve"> 63.2909 </t>
  </si>
  <si>
    <t xml:space="preserve">F:\images\20210212\plaque 1/@09 17b estradiol 68/F9_02.tif </t>
  </si>
  <si>
    <t xml:space="preserve"> 61.8462 </t>
  </si>
  <si>
    <t xml:space="preserve">F:\images\20210212\plaque 1/@09 17b estradiol 68/F9_03.tif </t>
  </si>
  <si>
    <t xml:space="preserve"> 62.4615 </t>
  </si>
  <si>
    <t xml:space="preserve">F:\images\20210212\plaque 1/@09 17b estradiol 68/G9_01.tif </t>
  </si>
  <si>
    <t xml:space="preserve"> 63.1944 </t>
  </si>
  <si>
    <t xml:space="preserve">F:\images\20210212\plaque 1/@09 17b estradiol 68/G9_02.tif </t>
  </si>
  <si>
    <t xml:space="preserve"> 1124.7545 </t>
  </si>
  <si>
    <t xml:space="preserve"> 62.5577 </t>
  </si>
  <si>
    <t xml:space="preserve">F:\images\20210212\plaque 1/@09 17b estradiol 68/G9_03.tif </t>
  </si>
  <si>
    <t xml:space="preserve"> 63.5962 </t>
  </si>
  <si>
    <t>F:\images\20210212\plaque 1/@09 17b estradiol 68/H9_01- exclu.tif</t>
  </si>
  <si>
    <t>F:\images\20210212\plaque 1/@09 17b estradiol 68/H9_02- exclu.tif</t>
  </si>
  <si>
    <t>F:\images\20210212\plaque 1/@09 17b estradiol 68/H9_03- exclu.tif</t>
  </si>
  <si>
    <t xml:space="preserve">F:\images\20210212\plaque 1/@09 17b estradiol 68/ </t>
  </si>
  <si>
    <t xml:space="preserve"> 64.7336 </t>
  </si>
  <si>
    <t xml:space="preserve"> 3.92 </t>
  </si>
  <si>
    <t xml:space="preserve"> 111744.458 </t>
  </si>
  <si>
    <t xml:space="preserve"> 172764.495 </t>
  </si>
  <si>
    <t xml:space="preserve">F:\images\20210212\plaque 1/@10 17b estradiol 135/A10_01.tif </t>
  </si>
  <si>
    <t xml:space="preserve"> 13237.4955 </t>
  </si>
  <si>
    <t xml:space="preserve"> 65.719 </t>
  </si>
  <si>
    <t xml:space="preserve">F:\images\20210212\plaque 1/@10 17b estradiol 135/A10_02.tif </t>
  </si>
  <si>
    <t xml:space="preserve"> 12069.4812 </t>
  </si>
  <si>
    <t xml:space="preserve"> 65.3208 </t>
  </si>
  <si>
    <t xml:space="preserve">F:\images\20210212\plaque 1/@10 17b estradiol 135/A10_03.tif </t>
  </si>
  <si>
    <t xml:space="preserve"> 12350.6698 </t>
  </si>
  <si>
    <t xml:space="preserve"> 64.9877 </t>
  </si>
  <si>
    <t xml:space="preserve">F:\images\20210212\plaque 1/@10 17b estradiol 135/B10_01.tif </t>
  </si>
  <si>
    <t xml:space="preserve"> 25069.0479 </t>
  </si>
  <si>
    <t xml:space="preserve"> 68.5919 </t>
  </si>
  <si>
    <t xml:space="preserve">F:\images\20210212\plaque 1/@10 17b estradiol 135/B10_02.tif </t>
  </si>
  <si>
    <t xml:space="preserve"> 19250.6062 </t>
  </si>
  <si>
    <t xml:space="preserve"> 65.0079 </t>
  </si>
  <si>
    <t xml:space="preserve">F:\images\20210212\plaque 1/@10 17b estradiol 135/B10_03.tif </t>
  </si>
  <si>
    <t xml:space="preserve"> 25285.3468 </t>
  </si>
  <si>
    <t xml:space="preserve"> 67.6647 </t>
  </si>
  <si>
    <t xml:space="preserve">F:\images\20210212\plaque 1/@10 17b estradiol 135/C10_01.tif </t>
  </si>
  <si>
    <t xml:space="preserve"> 7354.1642 </t>
  </si>
  <si>
    <t xml:space="preserve"> 64.3765 </t>
  </si>
  <si>
    <t xml:space="preserve">F:\images\20210212\plaque 1/@10 17b estradiol 135/C10_02.tif </t>
  </si>
  <si>
    <t xml:space="preserve"> 9214.3351 </t>
  </si>
  <si>
    <t xml:space="preserve"> 64.3239 </t>
  </si>
  <si>
    <t xml:space="preserve">F:\images\20210212\plaque 1/@10 17b estradiol 135/C10_03.tif </t>
  </si>
  <si>
    <t xml:space="preserve"> 6597.1179 </t>
  </si>
  <si>
    <t xml:space="preserve"> 64.1836 </t>
  </si>
  <si>
    <t xml:space="preserve">F:\images\20210212\plaque 1/@10 17b estradiol 135/D10_01.tif </t>
  </si>
  <si>
    <t xml:space="preserve"> 8760.1073 </t>
  </si>
  <si>
    <t xml:space="preserve"> 63.2272 </t>
  </si>
  <si>
    <t xml:space="preserve">F:\images\20210212\plaque 1/@10 17b estradiol 135/D10_02.tif </t>
  </si>
  <si>
    <t xml:space="preserve"> 14946.2572 </t>
  </si>
  <si>
    <t xml:space="preserve"> 64.1881 </t>
  </si>
  <si>
    <t xml:space="preserve">F:\images\20210212\plaque 1/@10 17b estradiol 135/D10_03.tif </t>
  </si>
  <si>
    <t xml:space="preserve"> 14967.8871 </t>
  </si>
  <si>
    <t xml:space="preserve"> 64.7587 </t>
  </si>
  <si>
    <t xml:space="preserve">F:\images\20210212\plaque 1/@10 17b estradiol 135/E10_01.tif </t>
  </si>
  <si>
    <t xml:space="preserve"> 62.6087 </t>
  </si>
  <si>
    <t xml:space="preserve">F:\images\20210212\plaque 1/@10 17b estradiol 135/E10_02.tif </t>
  </si>
  <si>
    <t xml:space="preserve"> 64.1429 </t>
  </si>
  <si>
    <t xml:space="preserve">F:\images\20210212\plaque 1/@10 17b estradiol 135/E10_03.tif </t>
  </si>
  <si>
    <t xml:space="preserve"> 1168.0143 </t>
  </si>
  <si>
    <t xml:space="preserve"> 64.5 </t>
  </si>
  <si>
    <t xml:space="preserve">F:\images\20210212\plaque 1/@10 17b estradiol 135/F10_01.tif </t>
  </si>
  <si>
    <t xml:space="preserve"> 8262.6197 </t>
  </si>
  <si>
    <t xml:space="preserve"> 66.7958 </t>
  </si>
  <si>
    <t xml:space="preserve">F:\images\20210212\plaque 1/@10 17b estradiol 135/F10_02.tif </t>
  </si>
  <si>
    <t xml:space="preserve"> 11161.0256 </t>
  </si>
  <si>
    <t xml:space="preserve"> 66.9826 </t>
  </si>
  <si>
    <t xml:space="preserve">F:\images\20210212\plaque 1/@10 17b estradiol 135/F10_03.tif </t>
  </si>
  <si>
    <t xml:space="preserve"> 6943.1962 </t>
  </si>
  <si>
    <t xml:space="preserve"> 64.2897 </t>
  </si>
  <si>
    <t xml:space="preserve">F:\images\20210212\plaque 1/@10 17b estradiol 135/G10_01.tif </t>
  </si>
  <si>
    <t xml:space="preserve"> 9300.8547 </t>
  </si>
  <si>
    <t xml:space="preserve"> 64.2535 </t>
  </si>
  <si>
    <t xml:space="preserve">F:\images\20210212\plaque 1/@10 17b estradiol 135/G10_02.tif </t>
  </si>
  <si>
    <t xml:space="preserve"> 18212.3713 </t>
  </si>
  <si>
    <t xml:space="preserve"> 65.3504 </t>
  </si>
  <si>
    <t xml:space="preserve">F:\images\20210212\plaque 1/@10 17b estradiol 135/G10_03.tif </t>
  </si>
  <si>
    <t xml:space="preserve"> 17779.7734 </t>
  </si>
  <si>
    <t xml:space="preserve"> 65.5268 </t>
  </si>
  <si>
    <t xml:space="preserve">F:\images\20210212\plaque 1/@10 17b estradiol 135/H10_01.tif </t>
  </si>
  <si>
    <t xml:space="preserve"> 16352.2003 </t>
  </si>
  <si>
    <t xml:space="preserve"> 68.4577 </t>
  </si>
  <si>
    <t xml:space="preserve">F:\images\20210212\plaque 1/@10 17b estradiol 135/H10_02.tif </t>
  </si>
  <si>
    <t xml:space="preserve"> 23014.2079 </t>
  </si>
  <si>
    <t xml:space="preserve"> 69.2321 </t>
  </si>
  <si>
    <t xml:space="preserve">F:\images\20210212\plaque 1/@10 17b estradiol 135/H10_03.tif </t>
  </si>
  <si>
    <t xml:space="preserve"> 19510.165 </t>
  </si>
  <si>
    <t xml:space="preserve"> 70.1086 </t>
  </si>
  <si>
    <t xml:space="preserve">F:\images\20210212\plaque 1/@10 17b estradiol 135/ </t>
  </si>
  <si>
    <t xml:space="preserve"> 65.6083 </t>
  </si>
  <si>
    <t xml:space="preserve"> 1.9605 </t>
  </si>
  <si>
    <t xml:space="preserve"> 837008.333 </t>
  </si>
  <si>
    <t xml:space="preserve"> 486829.058 </t>
  </si>
  <si>
    <t xml:space="preserve">F:\images\20210212\plaque 1/@11 17b estradiol 270/A11_01.tif </t>
  </si>
  <si>
    <t xml:space="preserve"> 62358.9862 </t>
  </si>
  <si>
    <t xml:space="preserve"> 79.2896 </t>
  </si>
  <si>
    <t xml:space="preserve">F:\images\20210212\plaque 1/@11 17b estradiol 270/A11_02.tif </t>
  </si>
  <si>
    <t xml:space="preserve"> 61969.6481 </t>
  </si>
  <si>
    <t xml:space="preserve"> 80.496 </t>
  </si>
  <si>
    <t xml:space="preserve">F:\images\20210212\plaque 1/@11 17b estradiol 270/A11_03.tif </t>
  </si>
  <si>
    <t xml:space="preserve"> 65430.4313 </t>
  </si>
  <si>
    <t xml:space="preserve"> 78.0321 </t>
  </si>
  <si>
    <t xml:space="preserve">F:\images\20210212\plaque 1/@11 17b estradiol 270/B11_01.tif </t>
  </si>
  <si>
    <t xml:space="preserve"> 44254.7644 </t>
  </si>
  <si>
    <t xml:space="preserve"> 84.9399 </t>
  </si>
  <si>
    <t xml:space="preserve">F:\images\20210212\plaque 1/@11 17b estradiol 270/B11_02.tif </t>
  </si>
  <si>
    <t xml:space="preserve"> 33958.9346 </t>
  </si>
  <si>
    <t xml:space="preserve"> 97.9363 </t>
  </si>
  <si>
    <t xml:space="preserve">F:\images\20210212\plaque 1/@11 17b estradiol 270/B11_03.tif </t>
  </si>
  <si>
    <t xml:space="preserve"> 42070.1451 </t>
  </si>
  <si>
    <t xml:space="preserve"> 88.7614 </t>
  </si>
  <si>
    <t xml:space="preserve">F:\images\20210212\plaque 1/@11 17b estradiol 270/C11_01.tif </t>
  </si>
  <si>
    <t xml:space="preserve"> 50851.8823 </t>
  </si>
  <si>
    <t xml:space="preserve"> 75.0753 </t>
  </si>
  <si>
    <t xml:space="preserve">F:\images\20210212\plaque 1/@11 17b estradiol 270/C11_02.tif </t>
  </si>
  <si>
    <t xml:space="preserve"> 49683.868 </t>
  </si>
  <si>
    <t xml:space="preserve"> 74.0139 </t>
  </si>
  <si>
    <t xml:space="preserve">F:\images\20210212\plaque 1/@11 17b estradiol 270/C11_03.tif </t>
  </si>
  <si>
    <t xml:space="preserve"> 51024.9214 </t>
  </si>
  <si>
    <t xml:space="preserve"> 73.6694 </t>
  </si>
  <si>
    <t xml:space="preserve">F:\images\20210212\plaque 1/@11 17b estradiol 270/D11_01.tif </t>
  </si>
  <si>
    <t xml:space="preserve"> 46071.6756 </t>
  </si>
  <si>
    <t xml:space="preserve"> 93.5343 </t>
  </si>
  <si>
    <t xml:space="preserve">F:\images\20210212\plaque 1/@11 17b estradiol 270/D11_02.tif </t>
  </si>
  <si>
    <t xml:space="preserve"> 50916.772 </t>
  </si>
  <si>
    <t xml:space="preserve"> 87.0544 </t>
  </si>
  <si>
    <t xml:space="preserve">F:\images\20210212\plaque 1/@11 17b estradiol 270/D11_03.tif </t>
  </si>
  <si>
    <t xml:space="preserve"> 52322.7151 </t>
  </si>
  <si>
    <t xml:space="preserve"> 86.8665 </t>
  </si>
  <si>
    <t xml:space="preserve">F:\images\20210212\plaque 1/@11 17b estradiol 270/E11_01.tif </t>
  </si>
  <si>
    <t xml:space="preserve"> 77.1207 </t>
  </si>
  <si>
    <t xml:space="preserve">F:\images\20210212\plaque 1/@11 17b estradiol 270/E11_02.tif </t>
  </si>
  <si>
    <t xml:space="preserve"> 38263.2836 </t>
  </si>
  <si>
    <t xml:space="preserve"> 80.3838 </t>
  </si>
  <si>
    <t xml:space="preserve">F:\images\20210212\plaque 1/@11 17b estradiol 270/E11_03.tif </t>
  </si>
  <si>
    <t xml:space="preserve"> 37506.2373 </t>
  </si>
  <si>
    <t xml:space="preserve"> 78.4487 </t>
  </si>
  <si>
    <t xml:space="preserve">F:\images\20210212\plaque 1/@11 17b estradiol 270/F11_01.tif </t>
  </si>
  <si>
    <t xml:space="preserve"> 76072.3394 </t>
  </si>
  <si>
    <t xml:space="preserve"> 77.9551 </t>
  </si>
  <si>
    <t xml:space="preserve">F:\images\20210212\plaque 1/@11 17b estradiol 270/F11_02.tif </t>
  </si>
  <si>
    <t xml:space="preserve"> 78970.7453 </t>
  </si>
  <si>
    <t xml:space="preserve"> 78.4799 </t>
  </si>
  <si>
    <t xml:space="preserve">F:\images\20210212\plaque 1/@11 17b estradiol 270/F11_03.tif </t>
  </si>
  <si>
    <t xml:space="preserve"> 76764.496 </t>
  </si>
  <si>
    <t xml:space="preserve"> 80.1832 </t>
  </si>
  <si>
    <t xml:space="preserve">F:\images\20210212\plaque 1/@11 17b estradiol 270/G11_01.tif </t>
  </si>
  <si>
    <t xml:space="preserve"> 40296.4937 </t>
  </si>
  <si>
    <t xml:space="preserve"> 70.5486 </t>
  </si>
  <si>
    <t xml:space="preserve">F:\images\20210212\plaque 1/@11 17b estradiol 270/G11_02.tif </t>
  </si>
  <si>
    <t xml:space="preserve"> 42567.6326 </t>
  </si>
  <si>
    <t xml:space="preserve"> 71.2002 </t>
  </si>
  <si>
    <t xml:space="preserve">F:\images\20210212\plaque 1/@11 17b estradiol 270/G11_03.tif </t>
  </si>
  <si>
    <t xml:space="preserve"> 42026.8853 </t>
  </si>
  <si>
    <t xml:space="preserve"> 71.6938 </t>
  </si>
  <si>
    <t xml:space="preserve">F:\images\20210212\plaque 1/@11 17b estradiol 270/H11_01.tif </t>
  </si>
  <si>
    <t xml:space="preserve"> 54702.0035 </t>
  </si>
  <si>
    <t xml:space="preserve"> 74.272 </t>
  </si>
  <si>
    <t xml:space="preserve">F:\images\20210212\plaque 1/@11 17b estradiol 270/H11_02.tif </t>
  </si>
  <si>
    <t xml:space="preserve"> 56735.2136 </t>
  </si>
  <si>
    <t xml:space="preserve"> 73.8765 </t>
  </si>
  <si>
    <t xml:space="preserve">F:\images\20210212\plaque 1/@11 17b estradiol 270/H11_03.tif </t>
  </si>
  <si>
    <t xml:space="preserve"> 51370.9997 </t>
  </si>
  <si>
    <t xml:space="preserve"> 76.5251 </t>
  </si>
  <si>
    <t xml:space="preserve">F:\images\20210212\plaque 1/@11 17b estradiol 270/ </t>
  </si>
  <si>
    <t xml:space="preserve"> 79.5982 </t>
  </si>
  <si>
    <t xml:space="preserve"> 7.0384 </t>
  </si>
  <si>
    <t xml:space="preserve"> 4132688.83 </t>
  </si>
  <si>
    <t xml:space="preserve"> 996573.415 </t>
  </si>
  <si>
    <t xml:space="preserve">F:\images\20210212\plaque 1/@12 17b estradiol 540/A12_01.tif </t>
  </si>
  <si>
    <t xml:space="preserve"> 68956.1041 </t>
  </si>
  <si>
    <t xml:space="preserve"> 90.5574 </t>
  </si>
  <si>
    <t>F:\images\20210212\plaque 1/@12 17b estradiol 540/A12_02- exclu.tif</t>
  </si>
  <si>
    <t xml:space="preserve">F:\images\20210212\plaque 1/@12 17b estradiol 540/A12_03.tif </t>
  </si>
  <si>
    <t xml:space="preserve"> 70729.7554 </t>
  </si>
  <si>
    <t xml:space="preserve"> 89.57 </t>
  </si>
  <si>
    <t xml:space="preserve">F:\images\20210212\plaque 1/@12 17b estradiol 540/B12_01.tif </t>
  </si>
  <si>
    <t xml:space="preserve"> 62640.1748 </t>
  </si>
  <si>
    <t xml:space="preserve"> 86.1878 </t>
  </si>
  <si>
    <t xml:space="preserve">F:\images\20210212\plaque 1/@12 17b estradiol 540/B12_02.tif </t>
  </si>
  <si>
    <t xml:space="preserve"> 57859.9681 </t>
  </si>
  <si>
    <t xml:space="preserve"> 88.6976 </t>
  </si>
  <si>
    <t xml:space="preserve">F:\images\20210212\plaque 1/@12 17b estradiol 540/B12_03.tif </t>
  </si>
  <si>
    <t xml:space="preserve"> 58811.6835 </t>
  </si>
  <si>
    <t xml:space="preserve"> 90.1317 </t>
  </si>
  <si>
    <t xml:space="preserve">F:\images\20210212\plaque 1/@12 17b estradiol 540/C12_01.tif </t>
  </si>
  <si>
    <t xml:space="preserve"> 77370.1331 </t>
  </si>
  <si>
    <t xml:space="preserve"> 94.1552 </t>
  </si>
  <si>
    <t xml:space="preserve">F:\images\20210212\plaque 1/@12 17b estradiol 540/C12_02.tif </t>
  </si>
  <si>
    <t xml:space="preserve"> 87557.8135 </t>
  </si>
  <si>
    <t xml:space="preserve"> 89.6186 </t>
  </si>
  <si>
    <t xml:space="preserve">F:\images\20210212\plaque 1/@12 17b estradiol 540/C12_03.tif </t>
  </si>
  <si>
    <t xml:space="preserve"> 79641.272 </t>
  </si>
  <si>
    <t xml:space="preserve"> 95.2423 </t>
  </si>
  <si>
    <t xml:space="preserve">F:\images\20210212\plaque 1/@12 17b estradiol 540/D12_01.tif </t>
  </si>
  <si>
    <t xml:space="preserve"> 45898.6364 </t>
  </si>
  <si>
    <t xml:space="preserve"> 92.0533 </t>
  </si>
  <si>
    <t xml:space="preserve">F:\images\20210212\plaque 1/@12 17b estradiol 540/D12_02.tif </t>
  </si>
  <si>
    <t xml:space="preserve"> 47845.3269 </t>
  </si>
  <si>
    <t xml:space="preserve"> 93.7541 </t>
  </si>
  <si>
    <t xml:space="preserve">F:\images\20210212\plaque 1/@12 17b estradiol 540/D12_03.tif </t>
  </si>
  <si>
    <t xml:space="preserve"> 59265.9113 </t>
  </si>
  <si>
    <t xml:space="preserve"> 84.4175 </t>
  </si>
  <si>
    <t xml:space="preserve">F:\images\20210212\plaque 1/@12 17b estradiol 540/E12_01.tif </t>
  </si>
  <si>
    <t xml:space="preserve"> 43346.3088 </t>
  </si>
  <si>
    <t xml:space="preserve"> 77.1612 </t>
  </si>
  <si>
    <t xml:space="preserve">F:\images\20210212\plaque 1/@12 17b estradiol 540/E12_02.tif </t>
  </si>
  <si>
    <t xml:space="preserve"> 43562.6078 </t>
  </si>
  <si>
    <t xml:space="preserve"> 78.6107 </t>
  </si>
  <si>
    <t xml:space="preserve">F:\images\20210212\plaque 1/@12 17b estradiol 540/E12_03.tif </t>
  </si>
  <si>
    <t xml:space="preserve"> 5904.9612 </t>
  </si>
  <si>
    <t xml:space="preserve"> 68.3407 </t>
  </si>
  <si>
    <t xml:space="preserve">F:\images\20210212\plaque 1/@12 17b estradiol 540/F12_01.tif </t>
  </si>
  <si>
    <t xml:space="preserve"> 65343.9117 </t>
  </si>
  <si>
    <t xml:space="preserve"> 91.7987 </t>
  </si>
  <si>
    <t xml:space="preserve">F:\images\20210212\plaque 1/@12 17b estradiol 540/F12_02.tif </t>
  </si>
  <si>
    <t xml:space="preserve"> 77305.2434 </t>
  </si>
  <si>
    <t xml:space="preserve"> 86.1676 </t>
  </si>
  <si>
    <t xml:space="preserve">F:\images\20210212\plaque 1/@12 17b estradiol 540/F12_03.tif </t>
  </si>
  <si>
    <t xml:space="preserve"> 72049.179 </t>
  </si>
  <si>
    <t xml:space="preserve"> 85.8808 </t>
  </si>
  <si>
    <t xml:space="preserve">F:\images\20210212\plaque 1/@12 17b estradiol 540/G12_01.tif </t>
  </si>
  <si>
    <t xml:space="preserve"> 14924.6273 </t>
  </si>
  <si>
    <t xml:space="preserve"> 71.2551 </t>
  </si>
  <si>
    <t xml:space="preserve">F:\images\20210212\plaque 1/@12 17b estradiol 540/G12_02.tif </t>
  </si>
  <si>
    <t xml:space="preserve"> 11939.7018 </t>
  </si>
  <si>
    <t xml:space="preserve"> 73.1902 </t>
  </si>
  <si>
    <t xml:space="preserve">F:\images\20210212\plaque 1/@12 17b estradiol 540/G12_03.tif </t>
  </si>
  <si>
    <t xml:space="preserve"> 17001.0972 </t>
  </si>
  <si>
    <t xml:space="preserve"> 70.8117 </t>
  </si>
  <si>
    <t xml:space="preserve">F:\images\20210212\plaque 1/@12 17b estradiol 540/H12_01.tif </t>
  </si>
  <si>
    <t xml:space="preserve"> 61450.5306 </t>
  </si>
  <si>
    <t xml:space="preserve"> 82.1024 </t>
  </si>
  <si>
    <t xml:space="preserve">F:\images\20210212\plaque 1/@12 17b estradiol 540/H12_02.tif </t>
  </si>
  <si>
    <t xml:space="preserve"> 58162.7867 </t>
  </si>
  <si>
    <t xml:space="preserve"> 84.5868 </t>
  </si>
  <si>
    <t xml:space="preserve">F:\images\20210212\plaque 1/@12 17b estradiol 540/H12_03.tif </t>
  </si>
  <si>
    <t xml:space="preserve"> 84.6299 </t>
  </si>
  <si>
    <t xml:space="preserve">F:\images\20210212\plaque 1/@12 17b estradiol 540/ </t>
  </si>
  <si>
    <t xml:space="preserve"> 84.992 </t>
  </si>
  <si>
    <t xml:space="preserve"> 7.8883 </t>
  </si>
  <si>
    <t xml:space="preserve"> 4678546.21 </t>
  </si>
  <si>
    <t xml:space="preserve"> 2108269.62 </t>
  </si>
  <si>
    <t xml:space="preserve">F:\images\20210212\plaque 2/@01 Testo 30/A1_01.tif </t>
  </si>
  <si>
    <t xml:space="preserve"> 61601.9399 </t>
  </si>
  <si>
    <t xml:space="preserve"> 75.6752 </t>
  </si>
  <si>
    <t xml:space="preserve">F:\images\20210212\plaque 2/@01 Testo 30/A1_02.tif </t>
  </si>
  <si>
    <t xml:space="preserve"> 56973.1425 </t>
  </si>
  <si>
    <t xml:space="preserve"> 73.8595 </t>
  </si>
  <si>
    <t xml:space="preserve">F:\images\20210212\plaque 2/@01 Testo 30/A1_03.tif </t>
  </si>
  <si>
    <t xml:space="preserve"> 46482.6436 </t>
  </si>
  <si>
    <t xml:space="preserve"> 75.8976 </t>
  </si>
  <si>
    <t xml:space="preserve">F:\images\20210212\plaque 2/@01 Testo 30/B1_01.tif </t>
  </si>
  <si>
    <t xml:space="preserve"> 33872.415 </t>
  </si>
  <si>
    <t xml:space="preserve"> 76.8812 </t>
  </si>
  <si>
    <t xml:space="preserve">F:\images\20210212\plaque 2/@01 Testo 30/B1_02.tif </t>
  </si>
  <si>
    <t xml:space="preserve"> 32920.6996 </t>
  </si>
  <si>
    <t xml:space="preserve"> 77.5289 </t>
  </si>
  <si>
    <t xml:space="preserve">F:\images\20210212\plaque 2/@01 Testo 30/B1_03.tif </t>
  </si>
  <si>
    <t xml:space="preserve"> 31774.3152 </t>
  </si>
  <si>
    <t xml:space="preserve"> 77.5058 </t>
  </si>
  <si>
    <t xml:space="preserve">F:\images\20210212\plaque 2/@01 Testo 30/C1_01.tif </t>
  </si>
  <si>
    <t xml:space="preserve"> 27015.7384 </t>
  </si>
  <si>
    <t xml:space="preserve"> 70.7206 </t>
  </si>
  <si>
    <t xml:space="preserve">F:\images\20210212\plaque 2/@01 Testo 30/C1_02.tif </t>
  </si>
  <si>
    <t xml:space="preserve"> 25004.1582 </t>
  </si>
  <si>
    <t xml:space="preserve"> 68.9862 </t>
  </si>
  <si>
    <t>F:\images\20210212\plaque 2/@01 Testo 30/C1_03- exclu.tif</t>
  </si>
  <si>
    <t xml:space="preserve">F:\images\20210212\plaque 2/@01 Testo 30/D1_01.tif </t>
  </si>
  <si>
    <t xml:space="preserve"> 32639.511 </t>
  </si>
  <si>
    <t xml:space="preserve"> 67.4997 </t>
  </si>
  <si>
    <t xml:space="preserve">F:\images\20210212\plaque 2/@01 Testo 30/D1_02.tif </t>
  </si>
  <si>
    <t xml:space="preserve"> 29265.2474 </t>
  </si>
  <si>
    <t xml:space="preserve"> 68.4205 </t>
  </si>
  <si>
    <t xml:space="preserve">F:\images\20210212\plaque 2/@01 Testo 30/D1_03.tif </t>
  </si>
  <si>
    <t xml:space="preserve"> 68.1796 </t>
  </si>
  <si>
    <t xml:space="preserve">F:\images\20210212\plaque 2/@01 Testo 30/E1_01.tif </t>
  </si>
  <si>
    <t xml:space="preserve"> 32358.3224 </t>
  </si>
  <si>
    <t xml:space="preserve"> 67.8189 </t>
  </si>
  <si>
    <t xml:space="preserve">F:\images\20210212\plaque 2/@01 Testo 30/E1_02.tif </t>
  </si>
  <si>
    <t xml:space="preserve"> 26626.4003 </t>
  </si>
  <si>
    <t xml:space="preserve"> 65.8075 </t>
  </si>
  <si>
    <t xml:space="preserve">F:\images\20210212\plaque 2/@01 Testo 30/E1_03.tif </t>
  </si>
  <si>
    <t xml:space="preserve"> 31060.5287 </t>
  </si>
  <si>
    <t xml:space="preserve"> 66.9986 </t>
  </si>
  <si>
    <t xml:space="preserve">F:\images\20210212\plaque 2/@01 Testo 30/F1_01.tif </t>
  </si>
  <si>
    <t xml:space="preserve"> 33699.3758 </t>
  </si>
  <si>
    <t xml:space="preserve"> 69.5847 </t>
  </si>
  <si>
    <t xml:space="preserve">F:\images\20210212\plaque 2/@01 Testo 30/F1_02.tif </t>
  </si>
  <si>
    <t xml:space="preserve"> 24506.6706 </t>
  </si>
  <si>
    <t xml:space="preserve"> 68.9162 </t>
  </si>
  <si>
    <t xml:space="preserve">F:\images\20210212\plaque 2/@01 Testo 30/F1_03.tif </t>
  </si>
  <si>
    <t xml:space="preserve"> 30087.1834 </t>
  </si>
  <si>
    <t xml:space="preserve"> 70.7153 </t>
  </si>
  <si>
    <t xml:space="preserve">F:\images\20210212\plaque 2/@01 Testo 30/G1_01.tif </t>
  </si>
  <si>
    <t xml:space="preserve"> 19575.0546 </t>
  </si>
  <si>
    <t xml:space="preserve"> 66.3138 </t>
  </si>
  <si>
    <t xml:space="preserve">F:\images\20210212\plaque 2/@01 Testo 30/G1_02.tif </t>
  </si>
  <si>
    <t xml:space="preserve"> 19942.7628 </t>
  </si>
  <si>
    <t xml:space="preserve"> 65.8427 </t>
  </si>
  <si>
    <t xml:space="preserve">F:\images\20210212\plaque 2/@01 Testo 30/G1_03.tif </t>
  </si>
  <si>
    <t xml:space="preserve"> 14816.4778 </t>
  </si>
  <si>
    <t xml:space="preserve"> 65.1679 </t>
  </si>
  <si>
    <t xml:space="preserve">F:\images\20210212\plaque 2/@01 Testo 30/H1_01.tif </t>
  </si>
  <si>
    <t xml:space="preserve"> 30519.7813 </t>
  </si>
  <si>
    <t xml:space="preserve"> 68.3274 </t>
  </si>
  <si>
    <t xml:space="preserve">F:\images\20210212\plaque 2/@01 Testo 30/H1_02.tif </t>
  </si>
  <si>
    <t xml:space="preserve"> 69.7085 </t>
  </si>
  <si>
    <t xml:space="preserve">F:\images\20210212\plaque 2/@01 Testo 30/H1_03.tif </t>
  </si>
  <si>
    <t xml:space="preserve"> 28140.4929 </t>
  </si>
  <si>
    <t xml:space="preserve"> 69.0899 </t>
  </si>
  <si>
    <t xml:space="preserve">F:\images\20210212\plaque 2/@01 Testo 30/ </t>
  </si>
  <si>
    <t xml:space="preserve"> 70.1366 </t>
  </si>
  <si>
    <t xml:space="preserve"> 3.9079 </t>
  </si>
  <si>
    <t xml:space="preserve"> 2221155.75 </t>
  </si>
  <si>
    <t xml:space="preserve"> 865479.074 </t>
  </si>
  <si>
    <t>F:\images\20210212\plaque 2/@02 Testo 30/A2_01- exclu.tif</t>
  </si>
  <si>
    <t xml:space="preserve">F:\images\20210212\plaque 2/@02 Testo 30/A2_02.tif </t>
  </si>
  <si>
    <t xml:space="preserve"> 9235.965 </t>
  </si>
  <si>
    <t xml:space="preserve"> 67.7424 </t>
  </si>
  <si>
    <t xml:space="preserve">F:\images\20210212\plaque 2/@02 Testo 30/A2_03.tif </t>
  </si>
  <si>
    <t xml:space="preserve"> 9949.7515 </t>
  </si>
  <si>
    <t xml:space="preserve"> 68.3109 </t>
  </si>
  <si>
    <t xml:space="preserve">F:\images\20210212\plaque 2/@02 Testo 30/B2_01.tif </t>
  </si>
  <si>
    <t xml:space="preserve"> 36294.9632 </t>
  </si>
  <si>
    <t xml:space="preserve"> 73.711 </t>
  </si>
  <si>
    <t xml:space="preserve">F:\images\20210212\plaque 2/@02 Testo 30/B2_02.tif </t>
  </si>
  <si>
    <t xml:space="preserve"> 33483.0769 </t>
  </si>
  <si>
    <t xml:space="preserve"> 69.4128 </t>
  </si>
  <si>
    <t xml:space="preserve">F:\images\20210212\plaque 2/@02 Testo 30/B2_03.tif </t>
  </si>
  <si>
    <t xml:space="preserve"> 37116.8992 </t>
  </si>
  <si>
    <t xml:space="preserve"> 69.7244 </t>
  </si>
  <si>
    <t xml:space="preserve">F:\images\20210212\plaque 2/@02 Testo 30/C2_01.tif </t>
  </si>
  <si>
    <t xml:space="preserve"> 50376.0246 </t>
  </si>
  <si>
    <t xml:space="preserve"> 73.8175 </t>
  </si>
  <si>
    <t xml:space="preserve">F:\images\20210212\plaque 2/@02 Testo 30/C2_02.tif </t>
  </si>
  <si>
    <t xml:space="preserve"> 48061.6259 </t>
  </si>
  <si>
    <t xml:space="preserve"> 73.3267 </t>
  </si>
  <si>
    <t xml:space="preserve">F:\images\20210212\plaque 2/@02 Testo 30/C2_03.tif </t>
  </si>
  <si>
    <t xml:space="preserve"> 47758.8073 </t>
  </si>
  <si>
    <t xml:space="preserve"> 74.0802 </t>
  </si>
  <si>
    <t xml:space="preserve">F:\images\20210212\plaque 2/@02 Testo 30/D2_01.tif </t>
  </si>
  <si>
    <t xml:space="preserve"> 37311.5682 </t>
  </si>
  <si>
    <t xml:space="preserve"> 70.5293 </t>
  </si>
  <si>
    <t xml:space="preserve">F:\images\20210212\plaque 2/@02 Testo 30/D2_02.tif </t>
  </si>
  <si>
    <t xml:space="preserve"> 69.1892 </t>
  </si>
  <si>
    <t xml:space="preserve">F:\images\20210212\plaque 2/@02 Testo 30/D2_03.tif </t>
  </si>
  <si>
    <t xml:space="preserve"> 37895.5754 </t>
  </si>
  <si>
    <t xml:space="preserve"> 68.9087 </t>
  </si>
  <si>
    <t xml:space="preserve">F:\images\20210212\plaque 2/@02 Testo 30/E2_01.tif </t>
  </si>
  <si>
    <t xml:space="preserve"> 27664.6352 </t>
  </si>
  <si>
    <t xml:space="preserve"> 68.8718 </t>
  </si>
  <si>
    <t xml:space="preserve">F:\images\20210212\plaque 2/@02 Testo 30/E2_02.tif </t>
  </si>
  <si>
    <t xml:space="preserve"> 21327.0761 </t>
  </si>
  <si>
    <t xml:space="preserve"> 67.9249 </t>
  </si>
  <si>
    <t xml:space="preserve">F:\images\20210212\plaque 2/@02 Testo 30/E2_03.tif </t>
  </si>
  <si>
    <t xml:space="preserve"> 21802.9338 </t>
  </si>
  <si>
    <t xml:space="preserve"> 69.2083 </t>
  </si>
  <si>
    <t xml:space="preserve">F:\images\20210212\plaque 2/@02 Testo 30/F2_01.tif </t>
  </si>
  <si>
    <t xml:space="preserve"> 36705.9312 </t>
  </si>
  <si>
    <t xml:space="preserve"> 72.4991 </t>
  </si>
  <si>
    <t xml:space="preserve">F:\images\20210212\plaque 2/@02 Testo 30/F2_02.tif </t>
  </si>
  <si>
    <t xml:space="preserve"> 32033.8739 </t>
  </si>
  <si>
    <t xml:space="preserve"> 76.8312 </t>
  </si>
  <si>
    <t xml:space="preserve">F:\images\20210212\plaque 2/@02 Testo 30/F2_03.tif </t>
  </si>
  <si>
    <t xml:space="preserve"> 33915.6748 </t>
  </si>
  <si>
    <t xml:space="preserve"> 71.3967 </t>
  </si>
  <si>
    <t xml:space="preserve">F:\images\20210212\plaque 2/@02 Testo 30/G2_01.tif </t>
  </si>
  <si>
    <t xml:space="preserve"> 34218.4933 </t>
  </si>
  <si>
    <t xml:space="preserve"> 70.366 </t>
  </si>
  <si>
    <t xml:space="preserve">F:\images\20210212\plaque 2/@02 Testo 30/G2_02.tif </t>
  </si>
  <si>
    <t xml:space="preserve"> 31384.9771 </t>
  </si>
  <si>
    <t xml:space="preserve"> 68.9524 </t>
  </si>
  <si>
    <t xml:space="preserve">F:\images\20210212\plaque 2/@02 Testo 30/G2_03.tif </t>
  </si>
  <si>
    <t xml:space="preserve"> 68.6137 </t>
  </si>
  <si>
    <t xml:space="preserve">F:\images\20210212\plaque 2/@02 Testo 30/H2_01.tif </t>
  </si>
  <si>
    <t xml:space="preserve"> 29395.0268 </t>
  </si>
  <si>
    <t xml:space="preserve"> 74.1788 </t>
  </si>
  <si>
    <t xml:space="preserve">F:\images\20210212\plaque 2/@02 Testo 30/H2_02.tif </t>
  </si>
  <si>
    <t xml:space="preserve"> 69.4143 </t>
  </si>
  <si>
    <t>F:\images\20210212\plaque 2/@02 Testo 30/H2_03- exclu.tif</t>
  </si>
  <si>
    <t xml:space="preserve">F:\images\20210212\plaque 2/@02 Testo 30/ </t>
  </si>
  <si>
    <t xml:space="preserve"> 70.2434 </t>
  </si>
  <si>
    <t xml:space="preserve"> 3.0304 </t>
  </si>
  <si>
    <t xml:space="preserve"> 2157420.75 </t>
  </si>
  <si>
    <t xml:space="preserve"> 924579.538 </t>
  </si>
  <si>
    <t xml:space="preserve">F:\images\20210212\plaque 2/@03 Testo+ EE2 64/A3_01.tif </t>
  </si>
  <si>
    <t xml:space="preserve"> 2833.5162 </t>
  </si>
  <si>
    <t xml:space="preserve"> 67.4656 </t>
  </si>
  <si>
    <t xml:space="preserve">F:\images\20210212\plaque 2/@03 Testo+ EE2 64/A3_02.tif </t>
  </si>
  <si>
    <t xml:space="preserve"> 6424.0787 </t>
  </si>
  <si>
    <t xml:space="preserve"> 71.835 </t>
  </si>
  <si>
    <t xml:space="preserve">F:\images\20210212\plaque 2/@03 Testo+ EE2 64/A3_03.tif </t>
  </si>
  <si>
    <t xml:space="preserve"> 64.0345 </t>
  </si>
  <si>
    <t xml:space="preserve">F:\images\20210212\plaque 2/@03 Testo+ EE2 64/B3_01.tif </t>
  </si>
  <si>
    <t xml:space="preserve"> 46850.3518 </t>
  </si>
  <si>
    <t xml:space="preserve"> 81.0416 </t>
  </si>
  <si>
    <t xml:space="preserve">F:\images\20210212\plaque 2/@03 Testo+ EE2 64/B3_02.tif </t>
  </si>
  <si>
    <t xml:space="preserve"> 46114.9353 </t>
  </si>
  <si>
    <t xml:space="preserve"> 78.4038 </t>
  </si>
  <si>
    <t xml:space="preserve">F:\images\20210212\plaque 2/@03 Testo+ EE2 64/B3_03.tif </t>
  </si>
  <si>
    <t xml:space="preserve"> 47672.2878 </t>
  </si>
  <si>
    <t xml:space="preserve"> 78.8221 </t>
  </si>
  <si>
    <t>F:\images\20210212\plaque 2/@03 Testo+ EE2 64/C3_01- exclu.tif</t>
  </si>
  <si>
    <t xml:space="preserve">F:\images\20210212\plaque 2/@03 Testo+ EE2 64/C3_02.tif </t>
  </si>
  <si>
    <t xml:space="preserve"> 51176.3307 </t>
  </si>
  <si>
    <t xml:space="preserve"> 79.5562 </t>
  </si>
  <si>
    <t xml:space="preserve">F:\images\20210212\plaque 2/@03 Testo+ EE2 64/C3_03.tif </t>
  </si>
  <si>
    <t xml:space="preserve"> 50181.3555 </t>
  </si>
  <si>
    <t xml:space="preserve"> 82.8078 </t>
  </si>
  <si>
    <t xml:space="preserve">F:\images\20210212\plaque 2/@03 Testo+ EE2 64/D3_01.tif </t>
  </si>
  <si>
    <t xml:space="preserve"> 67701.5702 </t>
  </si>
  <si>
    <t xml:space="preserve"> 73.1195 </t>
  </si>
  <si>
    <t xml:space="preserve">F:\images\20210212\plaque 2/@03 Testo+ EE2 64/D3_02.tif </t>
  </si>
  <si>
    <t xml:space="preserve"> 65668.3601 </t>
  </si>
  <si>
    <t xml:space="preserve"> 73.8732 </t>
  </si>
  <si>
    <t xml:space="preserve">F:\images\20210212\plaque 2/@03 Testo+ EE2 64/D3_03.tif </t>
  </si>
  <si>
    <t xml:space="preserve"> 60606.9648 </t>
  </si>
  <si>
    <t xml:space="preserve"> 71.3794 </t>
  </si>
  <si>
    <t xml:space="preserve">F:\images\20210212\plaque 2/@03 Testo+ EE2 64/E3_01.tif </t>
  </si>
  <si>
    <t xml:space="preserve"> 48883.5619 </t>
  </si>
  <si>
    <t xml:space="preserve"> 86.8624 </t>
  </si>
  <si>
    <t xml:space="preserve">F:\images\20210212\plaque 2/@03 Testo+ EE2 64/E3_02.tif </t>
  </si>
  <si>
    <t xml:space="preserve"> 39150.1093 </t>
  </si>
  <si>
    <t xml:space="preserve"> 92.9011 </t>
  </si>
  <si>
    <t xml:space="preserve">F:\images\20210212\plaque 2/@03 Testo+ EE2 64/E3_03.tif </t>
  </si>
  <si>
    <t xml:space="preserve"> 47045.0208 </t>
  </si>
  <si>
    <t xml:space="preserve"> 84.6593 </t>
  </si>
  <si>
    <t xml:space="preserve">F:\images\20210212\plaque 2/@03 Testo+ EE2 64/F3_01.tif </t>
  </si>
  <si>
    <t xml:space="preserve"> 57232.7012 </t>
  </si>
  <si>
    <t xml:space="preserve"> 82.9864 </t>
  </si>
  <si>
    <t xml:space="preserve">F:\images\20210212\plaque 2/@03 Testo+ EE2 64/F3_02.tif </t>
  </si>
  <si>
    <t xml:space="preserve"> 51868.4873 </t>
  </si>
  <si>
    <t xml:space="preserve"> 81.9921 </t>
  </si>
  <si>
    <t xml:space="preserve">F:\images\20210212\plaque 2/@03 Testo+ EE2 64/F3_03.tif </t>
  </si>
  <si>
    <t xml:space="preserve"> 56713.5837 </t>
  </si>
  <si>
    <t xml:space="preserve"> 81.2239 </t>
  </si>
  <si>
    <t xml:space="preserve">F:\images\20210212\plaque 2/@03 Testo+ EE2 64/G3_01.tif </t>
  </si>
  <si>
    <t xml:space="preserve"> 46028.4158 </t>
  </si>
  <si>
    <t xml:space="preserve"> 77.5583 </t>
  </si>
  <si>
    <t xml:space="preserve">F:\images\20210212\plaque 2/@03 Testo+ EE2 64/G3_02.tif </t>
  </si>
  <si>
    <t xml:space="preserve"> 41204.9493 </t>
  </si>
  <si>
    <t xml:space="preserve"> 78.4892 </t>
  </si>
  <si>
    <t xml:space="preserve">F:\images\20210212\plaque 2/@03 Testo+ EE2 64/G3_03.tif </t>
  </si>
  <si>
    <t xml:space="preserve"> 44427.8036 </t>
  </si>
  <si>
    <t xml:space="preserve"> 79.6957 </t>
  </si>
  <si>
    <t xml:space="preserve">F:\images\20210212\plaque 2/@03 Testo+ EE2 64/H3_01.tif </t>
  </si>
  <si>
    <t xml:space="preserve"> 19661.5742 </t>
  </si>
  <si>
    <t xml:space="preserve"> 65.6634 </t>
  </si>
  <si>
    <t xml:space="preserve">F:\images\20210212\plaque 2/@03 Testo+ EE2 64/H3_02.tif </t>
  </si>
  <si>
    <t xml:space="preserve"> 67.1649 </t>
  </si>
  <si>
    <t xml:space="preserve">F:\images\20210212\plaque 2/@03 Testo+ EE2 64/H3_03.tif </t>
  </si>
  <si>
    <t xml:space="preserve"> 22430.2007 </t>
  </si>
  <si>
    <t xml:space="preserve"> 68.7223 </t>
  </si>
  <si>
    <t xml:space="preserve">F:\images\20210212\plaque 2/@03 Testo+ EE2 64/ </t>
  </si>
  <si>
    <t xml:space="preserve"> 76.458 </t>
  </si>
  <si>
    <t xml:space="preserve"> 7.6281 </t>
  </si>
  <si>
    <t xml:space="preserve"> 3217878.5 </t>
  </si>
  <si>
    <t xml:space="preserve"> 1520096.34 </t>
  </si>
  <si>
    <t xml:space="preserve">F:\images\20210212\plaque 2/@04 Testo+ FAD/A4_01.tif </t>
  </si>
  <si>
    <t xml:space="preserve"> 65.8387 </t>
  </si>
  <si>
    <t xml:space="preserve">F:\images\20210212\plaque 2/@04 Testo+ FAD/A4_02.tif </t>
  </si>
  <si>
    <t xml:space="preserve"> 194.6691 </t>
  </si>
  <si>
    <t xml:space="preserve"> 62.8889 </t>
  </si>
  <si>
    <t xml:space="preserve">F:\images\20210212\plaque 2/@04 Testo+ FAD/A4_03.tif </t>
  </si>
  <si>
    <t xml:space="preserve"> 4325.9789 </t>
  </si>
  <si>
    <t xml:space="preserve"> 67.01 </t>
  </si>
  <si>
    <t xml:space="preserve">F:\images\20210212\plaque 2/@04 Testo+ FAD/B4_01.tif </t>
  </si>
  <si>
    <t xml:space="preserve"> 3071.445 </t>
  </si>
  <si>
    <t xml:space="preserve"> 63.993 </t>
  </si>
  <si>
    <t xml:space="preserve">F:\images\20210212\plaque 2/@04 Testo+ FAD/B4_02.tif </t>
  </si>
  <si>
    <t xml:space="preserve"> 4866.7263 </t>
  </si>
  <si>
    <t xml:space="preserve"> 68.3867 </t>
  </si>
  <si>
    <t xml:space="preserve">F:\images\20210212\plaque 2/@04 Testo+ FAD/B4_03.tif </t>
  </si>
  <si>
    <t xml:space="preserve"> 1254.5339 </t>
  </si>
  <si>
    <t xml:space="preserve"> 65.1724 </t>
  </si>
  <si>
    <t xml:space="preserve">F:\images\20210212\plaque 2/@04 Testo+ FAD/C4_01.tif </t>
  </si>
  <si>
    <t xml:space="preserve"> 6856.6766 </t>
  </si>
  <si>
    <t xml:space="preserve"> 75.8139 </t>
  </si>
  <si>
    <t xml:space="preserve">F:\images\20210212\plaque 2/@04 Testo+ FAD/C4_02.tif </t>
  </si>
  <si>
    <t xml:space="preserve">F:\images\20210212\plaque 2/@04 Testo+ FAD/C4_03.tif </t>
  </si>
  <si>
    <t xml:space="preserve"> 5472.3633 </t>
  </si>
  <si>
    <t xml:space="preserve"> 69.8103 </t>
  </si>
  <si>
    <t xml:space="preserve">F:\images\20210212\plaque 2/@04 Testo+ FAD/D4_01.tif </t>
  </si>
  <si>
    <t xml:space="preserve"> 2552.3276 </t>
  </si>
  <si>
    <t xml:space="preserve"> 68.7034 </t>
  </si>
  <si>
    <t xml:space="preserve">F:\images\20210212\plaque 2/@04 Testo+ FAD/D4_02.tif </t>
  </si>
  <si>
    <t xml:space="preserve"> 63.6538 </t>
  </si>
  <si>
    <t xml:space="preserve">F:\images\20210212\plaque 2/@04 Testo+ FAD/D4_03.tif </t>
  </si>
  <si>
    <t xml:space="preserve"> 61.8889 </t>
  </si>
  <si>
    <t xml:space="preserve">F:\images\20210212\plaque 2/@04 Testo+ FAD/E4_01.tif </t>
  </si>
  <si>
    <t xml:space="preserve"> 64.4762 </t>
  </si>
  <si>
    <t xml:space="preserve">F:\images\20210212\plaque 2/@04 Testo+ FAD/E4_02.tif </t>
  </si>
  <si>
    <t xml:space="preserve"> 65.313 </t>
  </si>
  <si>
    <t xml:space="preserve">F:\images\20210212\plaque 2/@04 Testo+ FAD/E4_03.tif </t>
  </si>
  <si>
    <t xml:space="preserve"> 2162.9895 </t>
  </si>
  <si>
    <t xml:space="preserve"> 64.75 </t>
  </si>
  <si>
    <t xml:space="preserve">F:\images\20210212\plaque 2/@04 Testo+ FAD/F4_01.tif </t>
  </si>
  <si>
    <t xml:space="preserve"> 3222.8543 </t>
  </si>
  <si>
    <t xml:space="preserve"> 64.0067 </t>
  </si>
  <si>
    <t xml:space="preserve">F:\images\20210212\plaque 2/@04 Testo+ FAD/F4_02.tif </t>
  </si>
  <si>
    <t xml:space="preserve"> 3525.6728 </t>
  </si>
  <si>
    <t xml:space="preserve"> 65.0184 </t>
  </si>
  <si>
    <t xml:space="preserve">F:\images\20210212\plaque 2/@04 Testo+ FAD/F4_03.tif </t>
  </si>
  <si>
    <t xml:space="preserve"> 63.9268 </t>
  </si>
  <si>
    <t>F:\images\20210212\plaque 2/@04 Testo+ FAD/G4_01- exclu.tif</t>
  </si>
  <si>
    <t xml:space="preserve">F:\images\20210212\plaque 2/@04 Testo+ FAD/G4_02.tif </t>
  </si>
  <si>
    <t xml:space="preserve"> 1276.1638 </t>
  </si>
  <si>
    <t xml:space="preserve"> 68.5085 </t>
  </si>
  <si>
    <t xml:space="preserve">F:\images\20210212\plaque 2/@04 Testo+ FAD/G4_03.tif </t>
  </si>
  <si>
    <t xml:space="preserve"> 65.8352 </t>
  </si>
  <si>
    <t xml:space="preserve">F:\images\20210212\plaque 2/@04 Testo+ FAD/H4_01.tif </t>
  </si>
  <si>
    <t xml:space="preserve"> 1989.9503 </t>
  </si>
  <si>
    <t xml:space="preserve"> 68.4783 </t>
  </si>
  <si>
    <t xml:space="preserve">F:\images\20210212\plaque 2/@04 Testo+ FAD/H4_02.tif </t>
  </si>
  <si>
    <t xml:space="preserve"> 973.3453 </t>
  </si>
  <si>
    <t xml:space="preserve"> 64.2889 </t>
  </si>
  <si>
    <t xml:space="preserve">F:\images\20210212\plaque 2/@04 Testo+ FAD/H4_03.tif </t>
  </si>
  <si>
    <t xml:space="preserve">F:\images\20210212\plaque 2/@04 Testo+ FAD/ </t>
  </si>
  <si>
    <t xml:space="preserve"> 65.825 </t>
  </si>
  <si>
    <t xml:space="preserve"> 2.9947 </t>
  </si>
  <si>
    <t xml:space="preserve"> 165903.125 </t>
  </si>
  <si>
    <t xml:space="preserve"> 126225.388 </t>
  </si>
  <si>
    <t xml:space="preserve">F:\images\20210212\plaque 2/@05 17b estradiol 34 dopé/A5_01.tif </t>
  </si>
  <si>
    <t xml:space="preserve"> 73.1173 </t>
  </si>
  <si>
    <t xml:space="preserve">F:\images\20210212\plaque 2/@05 17b estradiol 34 dopé/A5_02.tif </t>
  </si>
  <si>
    <t xml:space="preserve"> 42675.7821 </t>
  </si>
  <si>
    <t xml:space="preserve"> 72.1389 </t>
  </si>
  <si>
    <t xml:space="preserve">F:\images\20210212\plaque 2/@05 17b estradiol 34 dopé/A5_03.tif </t>
  </si>
  <si>
    <t xml:space="preserve"> 41659.1771 </t>
  </si>
  <si>
    <t xml:space="preserve"> 72.0042 </t>
  </si>
  <si>
    <t xml:space="preserve">F:\images\20210212\plaque 2/@05 17b estradiol 34 dopé/B5_01.tif </t>
  </si>
  <si>
    <t xml:space="preserve"> 37830.6857 </t>
  </si>
  <si>
    <t xml:space="preserve"> 73.3705 </t>
  </si>
  <si>
    <t xml:space="preserve">F:\images\20210212\plaque 2/@05 17b estradiol 34 dopé/B5_02.tif </t>
  </si>
  <si>
    <t xml:space="preserve"> 34845.7602 </t>
  </si>
  <si>
    <t xml:space="preserve"> 71.838 </t>
  </si>
  <si>
    <t xml:space="preserve">F:\images\20210212\plaque 2/@05 17b estradiol 34 dopé/B5_03.tif </t>
  </si>
  <si>
    <t xml:space="preserve"> 33374.9274 </t>
  </si>
  <si>
    <t xml:space="preserve"> 74.9203 </t>
  </si>
  <si>
    <t xml:space="preserve">F:\images\20210212\plaque 2/@05 17b estradiol 34 dopé/C5_01.tif </t>
  </si>
  <si>
    <t xml:space="preserve"> 42135.0347 </t>
  </si>
  <si>
    <t xml:space="preserve"> 72.1997 </t>
  </si>
  <si>
    <t xml:space="preserve">F:\images\20210212\plaque 2/@05 17b estradiol 34 dopé/C5_02.tif </t>
  </si>
  <si>
    <t xml:space="preserve"> 31968.9843 </t>
  </si>
  <si>
    <t xml:space="preserve"> 70.8241 </t>
  </si>
  <si>
    <t xml:space="preserve">F:\images\20210212\plaque 2/@05 17b estradiol 34 dopé/C5_03.tif </t>
  </si>
  <si>
    <t xml:space="preserve"> 37873.9455 </t>
  </si>
  <si>
    <t xml:space="preserve"> 70.0851 </t>
  </si>
  <si>
    <t xml:space="preserve">F:\images\20210212\plaque 2/@05 17b estradiol 34 dopé/D5_01.tif </t>
  </si>
  <si>
    <t xml:space="preserve"> 48515.8537 </t>
  </si>
  <si>
    <t xml:space="preserve"> 72.045 </t>
  </si>
  <si>
    <t xml:space="preserve">F:\images\20210212\plaque 2/@05 17b estradiol 34 dopé/D5_02.tif </t>
  </si>
  <si>
    <t xml:space="preserve"> 50700.473 </t>
  </si>
  <si>
    <t xml:space="preserve"> 73.0538 </t>
  </si>
  <si>
    <t xml:space="preserve">F:\images\20210212\plaque 2/@05 17b estradiol 34 dopé/D5_03.tif </t>
  </si>
  <si>
    <t xml:space="preserve"> 47477.6187 </t>
  </si>
  <si>
    <t xml:space="preserve"> 70.0032 </t>
  </si>
  <si>
    <t xml:space="preserve">F:\images\20210212\plaque 2/@05 17b estradiol 34 dopé/E5_01.tif </t>
  </si>
  <si>
    <t xml:space="preserve"> 24874.3788 </t>
  </si>
  <si>
    <t xml:space="preserve"> 68.3391 </t>
  </si>
  <si>
    <t xml:space="preserve">F:\images\20210212\plaque 2/@05 17b estradiol 34 dopé/E5_02.tif </t>
  </si>
  <si>
    <t xml:space="preserve"> 22343.6812 </t>
  </si>
  <si>
    <t xml:space="preserve"> 68.2914 </t>
  </si>
  <si>
    <t xml:space="preserve">F:\images\20210212\plaque 2/@05 17b estradiol 34 dopé/E5_03.tif </t>
  </si>
  <si>
    <t xml:space="preserve"> 24636.45 </t>
  </si>
  <si>
    <t xml:space="preserve"> 68.7788 </t>
  </si>
  <si>
    <t xml:space="preserve">F:\images\20210212\plaque 2/@05 17b estradiol 34 dopé/F5_01.tif </t>
  </si>
  <si>
    <t xml:space="preserve"> 41421.2482 </t>
  </si>
  <si>
    <t xml:space="preserve"> 69.4104 </t>
  </si>
  <si>
    <t xml:space="preserve">F:\images\20210212\plaque 2/@05 17b estradiol 34 dopé/F5_02.tif </t>
  </si>
  <si>
    <t xml:space="preserve"> 41313.0987 </t>
  </si>
  <si>
    <t xml:space="preserve"> 70.2005 </t>
  </si>
  <si>
    <t xml:space="preserve">F:\images\20210212\plaque 2/@05 17b estradiol 34 dopé/F5_03.tif </t>
  </si>
  <si>
    <t xml:space="preserve"> 44060.0954 </t>
  </si>
  <si>
    <t xml:space="preserve"> 71.0692 </t>
  </si>
  <si>
    <t xml:space="preserve">F:\images\20210212\plaque 2/@05 17b estradiol 34 dopé/G5_01.tif </t>
  </si>
  <si>
    <t xml:space="preserve"> 38198.3939 </t>
  </si>
  <si>
    <t xml:space="preserve"> 71.6993 </t>
  </si>
  <si>
    <t xml:space="preserve">F:\images\20210212\plaque 2/@05 17b estradiol 34 dopé/G5_02.tif </t>
  </si>
  <si>
    <t xml:space="preserve"> 44795.5118 </t>
  </si>
  <si>
    <t xml:space="preserve"> 72.6301 </t>
  </si>
  <si>
    <t xml:space="preserve">F:\images\20210212\plaque 2/@05 17b estradiol 34 dopé/G5_03.tif </t>
  </si>
  <si>
    <t xml:space="preserve"> 36424.7426 </t>
  </si>
  <si>
    <t xml:space="preserve"> 71.8937 </t>
  </si>
  <si>
    <t xml:space="preserve">F:\images\20210212\plaque 2/@05 17b estradiol 34 dopé/H5_01.tif </t>
  </si>
  <si>
    <t xml:space="preserve"> 32098.7636 </t>
  </si>
  <si>
    <t xml:space="preserve"> 71.0101 </t>
  </si>
  <si>
    <t xml:space="preserve">F:\images\20210212\plaque 2/@05 17b estradiol 34 dopé/H5_02.tif </t>
  </si>
  <si>
    <t xml:space="preserve"> 29373.3969 </t>
  </si>
  <si>
    <t xml:space="preserve"> 69.2018 </t>
  </si>
  <si>
    <t xml:space="preserve">F:\images\20210212\plaque 2/@05 17b estradiol 34 dopé/H5_03.tif </t>
  </si>
  <si>
    <t xml:space="preserve"> 27859.3043 </t>
  </si>
  <si>
    <t xml:space="preserve"> 69.1444 </t>
  </si>
  <si>
    <t xml:space="preserve">F:\images\20210212\plaque 2/@05 17b estradiol 34 dopé/ </t>
  </si>
  <si>
    <t xml:space="preserve"> 71.1362 </t>
  </si>
  <si>
    <t xml:space="preserve"> 1.7419 </t>
  </si>
  <si>
    <t xml:space="preserve"> 2685051.33 </t>
  </si>
  <si>
    <t xml:space="preserve"> 602759.507 </t>
  </si>
  <si>
    <t xml:space="preserve">F:\images\20210212\plaque 2/@06 17b estradiol 68 dopé/A6_01.tif </t>
  </si>
  <si>
    <t xml:space="preserve"> 61774.9791 </t>
  </si>
  <si>
    <t xml:space="preserve"> 75.4167 </t>
  </si>
  <si>
    <t xml:space="preserve">F:\images\20210212\plaque 2/@06 17b estradiol 68 dopé/A6_02.tif </t>
  </si>
  <si>
    <t xml:space="preserve"> 55091.3416 </t>
  </si>
  <si>
    <t xml:space="preserve"> 74.956 </t>
  </si>
  <si>
    <t xml:space="preserve">F:\images\20210212\plaque 2/@06 17b estradiol 68 dopé/A6_03.tif </t>
  </si>
  <si>
    <t xml:space="preserve"> 57427.3702 </t>
  </si>
  <si>
    <t xml:space="preserve"> 74.2478 </t>
  </si>
  <si>
    <t xml:space="preserve">F:\images\20210212\plaque 2/@06 17b estradiol 68 dopé/B6_01.tif </t>
  </si>
  <si>
    <t xml:space="preserve"> 54291.0355 </t>
  </si>
  <si>
    <t xml:space="preserve"> 78.0271 </t>
  </si>
  <si>
    <t xml:space="preserve">F:\images\20210212\plaque 2/@06 17b estradiol 68 dopé/B6_02.tif </t>
  </si>
  <si>
    <t xml:space="preserve"> 51998.2667 </t>
  </si>
  <si>
    <t xml:space="preserve"> 75.3777 </t>
  </si>
  <si>
    <t xml:space="preserve">F:\images\20210212\plaque 2/@06 17b estradiol 68 dopé/B6_03.tif </t>
  </si>
  <si>
    <t xml:space="preserve"> 50505.804 </t>
  </si>
  <si>
    <t xml:space="preserve"> 74.5555 </t>
  </si>
  <si>
    <t xml:space="preserve">F:\images\20210212\plaque 2/@06 17b estradiol 68 dopé/C6_01.tif </t>
  </si>
  <si>
    <t xml:space="preserve"> 32488.1017 </t>
  </si>
  <si>
    <t xml:space="preserve"> 72.5965 </t>
  </si>
  <si>
    <t>F:\images\20210212\plaque 2/@06 17b estradiol 68 dopé/C6_02- exclu.tif</t>
  </si>
  <si>
    <t xml:space="preserve">F:\images\20210212\plaque 2/@06 17b estradiol 68 dopé/C6_03.tif </t>
  </si>
  <si>
    <t xml:space="preserve"> 29330.1371 </t>
  </si>
  <si>
    <t xml:space="preserve"> 73.5007 </t>
  </si>
  <si>
    <t>F:\images\20210212\plaque 2/@06 17b estradiol 68 dopé/D6_01- exclu.tif</t>
  </si>
  <si>
    <t>F:\images\20210212\plaque 2/@06 17b estradiol 68 dopé/D6_02- exclu.tif</t>
  </si>
  <si>
    <t>F:\images\20210212\plaque 2/@06 17b estradiol 68 dopé/D6_03- exclu.tif</t>
  </si>
  <si>
    <t xml:space="preserve">F:\images\20210212\plaque 2/@06 17b estradiol 68 dopé/E6_01.tif </t>
  </si>
  <si>
    <t xml:space="preserve"> 19488.5351 </t>
  </si>
  <si>
    <t xml:space="preserve"> 66.8768 </t>
  </si>
  <si>
    <t xml:space="preserve">F:\images\20210212\plaque 2/@06 17b estradiol 68 dopé/E6_02.tif </t>
  </si>
  <si>
    <t xml:space="preserve"> 21543.3751 </t>
  </si>
  <si>
    <t xml:space="preserve"> 66.8293 </t>
  </si>
  <si>
    <t xml:space="preserve">F:\images\20210212\plaque 2/@06 17b estradiol 68 dopé/E6_03.tif </t>
  </si>
  <si>
    <t xml:space="preserve"> 28724.5001 </t>
  </si>
  <si>
    <t xml:space="preserve"> 68.5361 </t>
  </si>
  <si>
    <t>F:\images\20210212\plaque 2/@06 17b estradiol 68 dopé/F6_01- exclu.tif</t>
  </si>
  <si>
    <t>F:\images\20210212\plaque 2/@06 17b estradiol 68 dopé/F6_02- exclu.tif</t>
  </si>
  <si>
    <t>F:\images\20210212\plaque 2/@06 17b estradiol 68 dopé/F6_03- exclu.tif</t>
  </si>
  <si>
    <t xml:space="preserve">F:\images\20210212\plaque 2/@06 17b estradiol 68 dopé/G6_01.tif </t>
  </si>
  <si>
    <t xml:space="preserve"> 45639.0777 </t>
  </si>
  <si>
    <t xml:space="preserve"> 73.0066 </t>
  </si>
  <si>
    <t xml:space="preserve">F:\images\20210212\plaque 2/@06 17b estradiol 68 dopé/G6_02.tif </t>
  </si>
  <si>
    <t xml:space="preserve"> 42308.0739 </t>
  </si>
  <si>
    <t xml:space="preserve"> 73.4044 </t>
  </si>
  <si>
    <t xml:space="preserve">F:\images\20210212\plaque 2/@06 17b estradiol 68 dopé/G6_03.tif </t>
  </si>
  <si>
    <t xml:space="preserve"> 74.7543 </t>
  </si>
  <si>
    <t xml:space="preserve">F:\images\20210212\plaque 2/@06 17b estradiol 68 dopé/H6_01.tif </t>
  </si>
  <si>
    <t xml:space="preserve"> 605.637 </t>
  </si>
  <si>
    <t xml:space="preserve"> 62.1429 </t>
  </si>
  <si>
    <t xml:space="preserve">F:\images\20210212\plaque 2/@06 17b estradiol 68 dopé/H6_02.tif </t>
  </si>
  <si>
    <t xml:space="preserve"> 2033.2101 </t>
  </si>
  <si>
    <t xml:space="preserve"> 64.7234 </t>
  </si>
  <si>
    <t xml:space="preserve">F:\images\20210212\plaque 2/@06 17b estradiol 68 dopé/H6_03.tif </t>
  </si>
  <si>
    <t xml:space="preserve"> 3201.2244 </t>
  </si>
  <si>
    <t xml:space="preserve"> 67.0405 </t>
  </si>
  <si>
    <t xml:space="preserve">F:\images\20210212\plaque 2/@06 17b estradiol 68 dopé/ </t>
  </si>
  <si>
    <t xml:space="preserve"> 69.5075 </t>
  </si>
  <si>
    <t xml:space="preserve"> 5.073 </t>
  </si>
  <si>
    <t xml:space="preserve"> 1932632.88 </t>
  </si>
  <si>
    <t xml:space="preserve"> 1688926.46 </t>
  </si>
  <si>
    <t xml:space="preserve">F:\images\20210212\plaque 2/@07 17b estradiol 135 dopé/A7_01.tif </t>
  </si>
  <si>
    <t xml:space="preserve"> 57708.5589 </t>
  </si>
  <si>
    <t xml:space="preserve"> 79.9951 </t>
  </si>
  <si>
    <t xml:space="preserve">F:\images\20210212\plaque 2/@07 17b estradiol 135 dopé/A7_02.tif </t>
  </si>
  <si>
    <t xml:space="preserve"> 48559.1134 </t>
  </si>
  <si>
    <t xml:space="preserve"> 80.4503 </t>
  </si>
  <si>
    <t xml:space="preserve">F:\images\20210212\plaque 2/@07 17b estradiol 135 dopé/A7_03.tif </t>
  </si>
  <si>
    <t xml:space="preserve"> 53469.0995 </t>
  </si>
  <si>
    <t xml:space="preserve"> 77.9547 </t>
  </si>
  <si>
    <t xml:space="preserve">F:\images\20210212\plaque 2/@07 17b estradiol 135 dopé/B7_01.tif </t>
  </si>
  <si>
    <t xml:space="preserve"> 62012.9079 </t>
  </si>
  <si>
    <t xml:space="preserve"> 79.5706 </t>
  </si>
  <si>
    <t xml:space="preserve">F:\images\20210212\plaque 2/@07 17b estradiol 135 dopé/B7_02.tif </t>
  </si>
  <si>
    <t xml:space="preserve"> 79.7318 </t>
  </si>
  <si>
    <t xml:space="preserve">F:\images\20210212\plaque 2/@07 17b estradiol 135 dopé/B7_03.tif </t>
  </si>
  <si>
    <t xml:space="preserve"> 61558.6801 </t>
  </si>
  <si>
    <t xml:space="preserve"> 78.4923 </t>
  </si>
  <si>
    <t xml:space="preserve">F:\images\20210212\plaque 2/@07 17b estradiol 135 dopé/C7_01.tif </t>
  </si>
  <si>
    <t xml:space="preserve"> 42481.1131 </t>
  </si>
  <si>
    <t xml:space="preserve"> 69.8218 </t>
  </si>
  <si>
    <t xml:space="preserve">F:\images\20210212\plaque 2/@07 17b estradiol 135 dopé/C7_02.tif </t>
  </si>
  <si>
    <t xml:space="preserve"> 40988.6503 </t>
  </si>
  <si>
    <t xml:space="preserve"> 69.4797 </t>
  </si>
  <si>
    <t xml:space="preserve">F:\images\20210212\plaque 2/@07 17b estradiol 135 dopé/C7_03.tif </t>
  </si>
  <si>
    <t xml:space="preserve"> 46006.7859 </t>
  </si>
  <si>
    <t xml:space="preserve"> 68.8463 </t>
  </si>
  <si>
    <t xml:space="preserve">F:\images\20210212\plaque 2/@07 17b estradiol 135 dopé/D7_01.tif </t>
  </si>
  <si>
    <t xml:space="preserve"> 67506.9011 </t>
  </si>
  <si>
    <t xml:space="preserve"> 78.3335 </t>
  </si>
  <si>
    <t xml:space="preserve">F:\images\20210212\plaque 2/@07 17b estradiol 135 dopé/D7_02.tif </t>
  </si>
  <si>
    <t xml:space="preserve"> 68588.3959 </t>
  </si>
  <si>
    <t xml:space="preserve"> 77.2649 </t>
  </si>
  <si>
    <t xml:space="preserve">F:\images\20210212\plaque 2/@07 17b estradiol 135 dopé/D7_03.tif </t>
  </si>
  <si>
    <t xml:space="preserve"> 66209.1075 </t>
  </si>
  <si>
    <t xml:space="preserve"> 79.0503 </t>
  </si>
  <si>
    <t xml:space="preserve">F:\images\20210212\plaque 2/@07 17b estradiol 135 dopé/E7_01.tif </t>
  </si>
  <si>
    <t xml:space="preserve"> 72.6686 </t>
  </si>
  <si>
    <t xml:space="preserve">F:\images\20210212\plaque 2/@07 17b estradiol 135 dopé/E7_02.tif </t>
  </si>
  <si>
    <t xml:space="preserve"> 44319.6541 </t>
  </si>
  <si>
    <t xml:space="preserve"> 72.4934 </t>
  </si>
  <si>
    <t>F:\images\20210212\plaque 2/@07 17b estradiol 135 dopé/E7_03- exclu.tif</t>
  </si>
  <si>
    <t xml:space="preserve">F:\images\20210212\plaque 2/@07 17b estradiol 135 dopé/F7_01.tif </t>
  </si>
  <si>
    <t xml:space="preserve"> 59482.2102 </t>
  </si>
  <si>
    <t xml:space="preserve"> 77.8324 </t>
  </si>
  <si>
    <t xml:space="preserve">F:\images\20210212\plaque 2/@07 17b estradiol 135 dopé/F7_02.tif </t>
  </si>
  <si>
    <t xml:space="preserve"> 61839.8687 </t>
  </si>
  <si>
    <t xml:space="preserve"> 77.8027 </t>
  </si>
  <si>
    <t xml:space="preserve">F:\images\20210212\plaque 2/@07 17b estradiol 135 dopé/F7_03.tif </t>
  </si>
  <si>
    <t xml:space="preserve"> 59395.6907 </t>
  </si>
  <si>
    <t xml:space="preserve"> 77.0044 </t>
  </si>
  <si>
    <t xml:space="preserve">F:\images\20210212\plaque 2/@07 17b estradiol 135 dopé/G7_01.tif </t>
  </si>
  <si>
    <t xml:space="preserve"> 54420.8149 </t>
  </si>
  <si>
    <t xml:space="preserve"> 75.6041 </t>
  </si>
  <si>
    <t xml:space="preserve">F:\images\20210212\plaque 2/@07 17b estradiol 135 dopé/G7_02.tif </t>
  </si>
  <si>
    <t xml:space="preserve"> 54810.153 </t>
  </si>
  <si>
    <t xml:space="preserve"> 74.3761 </t>
  </si>
  <si>
    <t xml:space="preserve">F:\images\20210212\plaque 2/@07 17b estradiol 135 dopé/G7_03.tif </t>
  </si>
  <si>
    <t xml:space="preserve"> 58314.1959 </t>
  </si>
  <si>
    <t xml:space="preserve"> 75.3476 </t>
  </si>
  <si>
    <t xml:space="preserve">F:\images\20210212\plaque 2/@07 17b estradiol 135 dopé/H7_01.tif </t>
  </si>
  <si>
    <t xml:space="preserve"> 58227.6763 </t>
  </si>
  <si>
    <t xml:space="preserve"> 85.7537 </t>
  </si>
  <si>
    <t xml:space="preserve">F:\images\20210212\plaque 2/@07 17b estradiol 135 dopé/H7_02.tif </t>
  </si>
  <si>
    <t xml:space="preserve"> 61926.3883 </t>
  </si>
  <si>
    <t xml:space="preserve"> 86.2441 </t>
  </si>
  <si>
    <t xml:space="preserve">F:\images\20210212\plaque 2/@07 17b estradiol 135 dopé/H7_03.tif </t>
  </si>
  <si>
    <t xml:space="preserve"> 65279.022 </t>
  </si>
  <si>
    <t xml:space="preserve"> 81.2863 </t>
  </si>
  <si>
    <t xml:space="preserve">F:\images\20210212\plaque 2/@07 17b estradiol 135 dopé/ </t>
  </si>
  <si>
    <t xml:space="preserve"> 76.9442 </t>
  </si>
  <si>
    <t xml:space="preserve"> 4.5875 </t>
  </si>
  <si>
    <t xml:space="preserve"> 4329992.29 </t>
  </si>
  <si>
    <t xml:space="preserve"> 850334.282 </t>
  </si>
  <si>
    <t xml:space="preserve">F:\images\20210212\plaque 2/@08 17b estradiol 270 dopé/A8_01.tif </t>
  </si>
  <si>
    <t xml:space="preserve"> 78862.5958 </t>
  </si>
  <si>
    <t xml:space="preserve"> 88.0623 </t>
  </si>
  <si>
    <t xml:space="preserve">F:\images\20210212\plaque 2/@08 17b estradiol 270 dopé/A8_02.tif </t>
  </si>
  <si>
    <t xml:space="preserve"> 79533.1226 </t>
  </si>
  <si>
    <t xml:space="preserve"> 95.3753 </t>
  </si>
  <si>
    <t xml:space="preserve">F:\images\20210212\plaque 2/@08 17b estradiol 270 dopé/A8_03.tif </t>
  </si>
  <si>
    <t xml:space="preserve"> 71897.7697 </t>
  </si>
  <si>
    <t xml:space="preserve"> 95.0208 </t>
  </si>
  <si>
    <t xml:space="preserve">F:\images\20210212\plaque 2/@08 17b estradiol 270 dopé/B8_01.tif </t>
  </si>
  <si>
    <t xml:space="preserve"> 46223.0848 </t>
  </si>
  <si>
    <t xml:space="preserve"> 95.2653 </t>
  </si>
  <si>
    <t xml:space="preserve">F:\images\20210212\plaque 2/@08 17b estradiol 270 dopé/B8_02.tif </t>
  </si>
  <si>
    <t xml:space="preserve"> 47520.8785 </t>
  </si>
  <si>
    <t xml:space="preserve"> 95.1652 </t>
  </si>
  <si>
    <t xml:space="preserve">F:\images\20210212\plaque 2/@08 17b estradiol 270 dopé/B8_03.tif </t>
  </si>
  <si>
    <t xml:space="preserve"> 91.3004 </t>
  </si>
  <si>
    <t xml:space="preserve">F:\images\20210212\plaque 2/@08 17b estradiol 270 dopé/C8_01.tif </t>
  </si>
  <si>
    <t xml:space="preserve"> 55026.4519 </t>
  </si>
  <si>
    <t xml:space="preserve"> 89.9803 </t>
  </si>
  <si>
    <t xml:space="preserve">F:\images\20210212\plaque 2/@08 17b estradiol 270 dopé/C8_02.tif </t>
  </si>
  <si>
    <t xml:space="preserve"> 49900.1669 </t>
  </si>
  <si>
    <t xml:space="preserve"> 88.1959 </t>
  </si>
  <si>
    <t xml:space="preserve">F:\images\20210212\plaque 2/@08 17b estradiol 270 dopé/C8_03.tif </t>
  </si>
  <si>
    <t xml:space="preserve"> 56821.7332 </t>
  </si>
  <si>
    <t xml:space="preserve"> 87.8245 </t>
  </si>
  <si>
    <t xml:space="preserve">F:\images\20210212\plaque 2/@08 17b estradiol 270 dopé/D8_01.tif </t>
  </si>
  <si>
    <t xml:space="preserve"> 45292.9994 </t>
  </si>
  <si>
    <t xml:space="preserve"> 77.3219 </t>
  </si>
  <si>
    <t xml:space="preserve">F:\images\20210212\plaque 2/@08 17b estradiol 270 dopé/D8_02.tif </t>
  </si>
  <si>
    <t xml:space="preserve"> 43000.2305 </t>
  </si>
  <si>
    <t xml:space="preserve"> 76.1403 </t>
  </si>
  <si>
    <t xml:space="preserve">F:\images\20210212\plaque 2/@08 17b estradiol 270 dopé/D8_03.tif </t>
  </si>
  <si>
    <t xml:space="preserve"> 42632.5223 </t>
  </si>
  <si>
    <t xml:space="preserve"> 77.1502 </t>
  </si>
  <si>
    <t xml:space="preserve">F:\images\20210212\plaque 2/@08 17b estradiol 270 dopé/E8_01.tif </t>
  </si>
  <si>
    <t xml:space="preserve"> 86.5878 </t>
  </si>
  <si>
    <t xml:space="preserve">F:\images\20210212\plaque 2/@08 17b estradiol 270 dopé/E8_02.tif </t>
  </si>
  <si>
    <t xml:space="preserve"> 67031.0435 </t>
  </si>
  <si>
    <t xml:space="preserve"> 80.9035 </t>
  </si>
  <si>
    <t xml:space="preserve">F:\images\20210212\plaque 2/@08 17b estradiol 270 dopé/E8_03.tif </t>
  </si>
  <si>
    <t xml:space="preserve"> 58660.2742 </t>
  </si>
  <si>
    <t xml:space="preserve"> 84.2655 </t>
  </si>
  <si>
    <t>F:\images\20210212\plaque 2/@08 17b estradiol 270 dopé/F8_01- exclu.tif</t>
  </si>
  <si>
    <t>F:\images\20210212\plaque 2/@08 17b estradiol 270 dopé/F8_02- exclu.tif</t>
  </si>
  <si>
    <t>F:\images\20210212\plaque 2/@08 17b estradiol 270 dopé/F8_03- exclu.tif</t>
  </si>
  <si>
    <t xml:space="preserve">F:\images\20210212\plaque 2/@08 17b estradiol 270 dopé/G8_01.tif </t>
  </si>
  <si>
    <t xml:space="preserve"> 59590.3597 </t>
  </si>
  <si>
    <t xml:space="preserve"> 92.4113 </t>
  </si>
  <si>
    <t xml:space="preserve">F:\images\20210212\plaque 2/@08 17b estradiol 270 dopé/G8_02.tif </t>
  </si>
  <si>
    <t xml:space="preserve"> 56670.3239 </t>
  </si>
  <si>
    <t xml:space="preserve"> 93.9897 </t>
  </si>
  <si>
    <t xml:space="preserve">F:\images\20210212\plaque 2/@08 17b estradiol 270 dopé/G8_03.tif </t>
  </si>
  <si>
    <t xml:space="preserve"> 21608.2647 </t>
  </si>
  <si>
    <t xml:space="preserve"> 69.3473 </t>
  </si>
  <si>
    <t>F:\images\20210212\plaque 2/@08 17b estradiol 270 dopé/H8_01- exclu.tif</t>
  </si>
  <si>
    <t>F:\images\20210212\plaque 2/@08 17b estradiol 270 dopé/H8_02- exclu.tif</t>
  </si>
  <si>
    <t>F:\images\20210212\plaque 2/@08 17b estradiol 270 dopé/H8_03- exclu.tif</t>
  </si>
  <si>
    <t xml:space="preserve">F:\images\20210212\plaque 2/@08 17b estradiol 270 dopé/ </t>
  </si>
  <si>
    <t xml:space="preserve"> 82.0436 </t>
  </si>
  <si>
    <t xml:space="preserve"> 11.1255 </t>
  </si>
  <si>
    <t xml:space="preserve"> 3880677.04 </t>
  </si>
  <si>
    <t xml:space="preserve"> 2216932.13 </t>
  </si>
  <si>
    <t xml:space="preserve">F:\images\20210212\plaque 2/@09 17b estradiol 540 dopé/A9_01.tif </t>
  </si>
  <si>
    <t xml:space="preserve"> 72287.1078 </t>
  </si>
  <si>
    <t xml:space="preserve"> 101.3124 </t>
  </si>
  <si>
    <t xml:space="preserve">F:\images\20210212\plaque 2/@09 17b estradiol 540 dopé/A9_02.tif </t>
  </si>
  <si>
    <t xml:space="preserve"> 70210.638 </t>
  </si>
  <si>
    <t xml:space="preserve"> 102.1014 </t>
  </si>
  <si>
    <t xml:space="preserve">F:\images\20210212\plaque 2/@09 17b estradiol 540 dopé/A9_03.tif </t>
  </si>
  <si>
    <t xml:space="preserve"> 73022.5243 </t>
  </si>
  <si>
    <t xml:space="preserve"> 100.8243 </t>
  </si>
  <si>
    <t xml:space="preserve">F:\images\20210212\plaque 2/@09 17b estradiol 540 dopé/B9_01.tif </t>
  </si>
  <si>
    <t xml:space="preserve"> 59006.3525 </t>
  </si>
  <si>
    <t xml:space="preserve"> 86.9153 </t>
  </si>
  <si>
    <t xml:space="preserve">F:\images\20210212\plaque 2/@09 17b estradiol 540 dopé/B9_02.tif </t>
  </si>
  <si>
    <t xml:space="preserve"> 53079.7614 </t>
  </si>
  <si>
    <t xml:space="preserve"> 87.7653 </t>
  </si>
  <si>
    <t xml:space="preserve">F:\images\20210212\plaque 2/@09 17b estradiol 540 dopé/B9_03.tif </t>
  </si>
  <si>
    <t xml:space="preserve"> 57319.2208 </t>
  </si>
  <si>
    <t xml:space="preserve"> 88.5117 </t>
  </si>
  <si>
    <t xml:space="preserve">F:\images\20210212\plaque 2/@09 17b estradiol 540 dopé/C9_01.tif </t>
  </si>
  <si>
    <t xml:space="preserve"> 40858.871 </t>
  </si>
  <si>
    <t xml:space="preserve"> 87.6713 </t>
  </si>
  <si>
    <t xml:space="preserve">F:\images\20210212\plaque 2/@09 17b estradiol 540 dopé/C9_02.tif </t>
  </si>
  <si>
    <t xml:space="preserve"> 36446.3724 </t>
  </si>
  <si>
    <t xml:space="preserve"> 86.7175 </t>
  </si>
  <si>
    <t>F:\images\20210212\plaque 2/@09 17b estradiol 540 dopé/C9_03- exclu.tif</t>
  </si>
  <si>
    <t xml:space="preserve">F:\images\20210212\plaque 2/@09 17b estradiol 540 dopé/D9_01.tif </t>
  </si>
  <si>
    <t xml:space="preserve"> 51652.1884 </t>
  </si>
  <si>
    <t xml:space="preserve"> 89.2567 </t>
  </si>
  <si>
    <t xml:space="preserve">F:\images\20210212\plaque 2/@09 17b estradiol 540 dopé/D9_02.tif </t>
  </si>
  <si>
    <t xml:space="preserve"> 54312.6654 </t>
  </si>
  <si>
    <t xml:space="preserve"> 81.7853 </t>
  </si>
  <si>
    <t xml:space="preserve">F:\images\20210212\plaque 2/@09 17b estradiol 540 dopé/D9_03.tif </t>
  </si>
  <si>
    <t xml:space="preserve"> 47737.1774 </t>
  </si>
  <si>
    <t xml:space="preserve"> 92.2954 </t>
  </si>
  <si>
    <t xml:space="preserve">F:\images\20210212\plaque 2/@09 17b estradiol 540 dopé/E9_01.tif </t>
  </si>
  <si>
    <t xml:space="preserve"> 62748.3243 </t>
  </si>
  <si>
    <t xml:space="preserve"> 97.1813 </t>
  </si>
  <si>
    <t xml:space="preserve">F:\images\20210212\plaque 2/@09 17b estradiol 540 dopé/E9_02.tif </t>
  </si>
  <si>
    <t xml:space="preserve"> 60152.737 </t>
  </si>
  <si>
    <t xml:space="preserve"> 93.4721 </t>
  </si>
  <si>
    <t xml:space="preserve">F:\images\20210212\plaque 2/@09 17b estradiol 540 dopé/E9_03.tif </t>
  </si>
  <si>
    <t xml:space="preserve"> 55394.1601 </t>
  </si>
  <si>
    <t xml:space="preserve"> 94.7985 </t>
  </si>
  <si>
    <t xml:space="preserve">F:\images\20210212\plaque 2/@09 17b estradiol 540 dopé/F9_01.tif </t>
  </si>
  <si>
    <t xml:space="preserve"> 58617.0144 </t>
  </si>
  <si>
    <t xml:space="preserve"> 92.2775 </t>
  </si>
  <si>
    <t xml:space="preserve">F:\images\20210212\plaque 2/@09 17b estradiol 540 dopé/F9_02.tif </t>
  </si>
  <si>
    <t xml:space="preserve"> 60433.9256 </t>
  </si>
  <si>
    <t xml:space="preserve"> 92.0938 </t>
  </si>
  <si>
    <t>F:\images\20210212\plaque 2/@09 17b estradiol 540 dopé/F9_03- exclu.tif</t>
  </si>
  <si>
    <t xml:space="preserve">F:\images\20210212\plaque 2/@09 17b estradiol 540 dopé/G9_01.tif </t>
  </si>
  <si>
    <t xml:space="preserve"> 42264.8141 </t>
  </si>
  <si>
    <t xml:space="preserve"> 79.869 </t>
  </si>
  <si>
    <t xml:space="preserve">F:\images\20210212\plaque 2/@09 17b estradiol 540 dopé/G9_02.tif </t>
  </si>
  <si>
    <t xml:space="preserve"> 78.8309 </t>
  </si>
  <si>
    <t xml:space="preserve">F:\images\20210212\plaque 2/@09 17b estradiol 540 dopé/G9_03.tif </t>
  </si>
  <si>
    <t xml:space="preserve"> 77.2459 </t>
  </si>
  <si>
    <t xml:space="preserve">F:\images\20210212\plaque 2/@09 17b estradiol 540 dopé/H9_01.tif </t>
  </si>
  <si>
    <t xml:space="preserve"> 79489.8628 </t>
  </si>
  <si>
    <t xml:space="preserve"> 97.2226 </t>
  </si>
  <si>
    <t xml:space="preserve">F:\images\20210212\plaque 2/@09 17b estradiol 540 dopé/H9_02.tif </t>
  </si>
  <si>
    <t xml:space="preserve"> 66576.8157 </t>
  </si>
  <si>
    <t xml:space="preserve"> 103.7762 </t>
  </si>
  <si>
    <t xml:space="preserve">F:\images\20210212\plaque 2/@09 17b estradiol 540 dopé/H9_03.tif </t>
  </si>
  <si>
    <t xml:space="preserve"> 80636.2472 </t>
  </si>
  <si>
    <t xml:space="preserve"> 94.084 </t>
  </si>
  <si>
    <t xml:space="preserve">F:\images\20210212\plaque 2/@09 17b estradiol 540 dopé/ </t>
  </si>
  <si>
    <t xml:space="preserve"> 90.3175 </t>
  </si>
  <si>
    <t xml:space="preserve"> 8.7263 </t>
  </si>
  <si>
    <t xml:space="preserve"> 5015159.67 </t>
  </si>
  <si>
    <t xml:space="preserve"> 1852203.03 </t>
  </si>
  <si>
    <t>Colonne1</t>
  </si>
  <si>
    <t>01 Evian + 0.2% DMSO</t>
  </si>
  <si>
    <t>02 EE2 33.8</t>
  </si>
  <si>
    <t>03 EE2 50.6</t>
  </si>
  <si>
    <t>04 EE2 76</t>
  </si>
  <si>
    <t>05 EE2 114</t>
  </si>
  <si>
    <t>06 EE2 170.9</t>
  </si>
  <si>
    <t>07 EE2 488</t>
  </si>
  <si>
    <t>08 17b estradiol 34 ng_L</t>
  </si>
  <si>
    <t>09 17b estradiol 68</t>
  </si>
  <si>
    <t>10 17b estradiol 135</t>
  </si>
  <si>
    <t>11 17b estradiol 270</t>
  </si>
  <si>
    <t>12 17b estradiol 540</t>
  </si>
  <si>
    <t>01 Testo 30</t>
  </si>
  <si>
    <t>02 Testo 30</t>
  </si>
  <si>
    <t>03 Testo+ EE2 64</t>
  </si>
  <si>
    <t>04 Testo+ FAD</t>
  </si>
  <si>
    <t>05 17b estradiol 34 dopé</t>
  </si>
  <si>
    <t>06 17b estradiol 68 dopé</t>
  </si>
  <si>
    <t>07 17b estradiol 135 dopé</t>
  </si>
  <si>
    <t>08 17b estradiol 270 dopé</t>
  </si>
  <si>
    <t>09 17b estradiol 540 dopé</t>
  </si>
  <si>
    <t>B</t>
  </si>
  <si>
    <t>C</t>
  </si>
  <si>
    <t>D</t>
  </si>
  <si>
    <t>E</t>
  </si>
  <si>
    <t>F</t>
  </si>
  <si>
    <t>G</t>
  </si>
  <si>
    <t>H</t>
  </si>
  <si>
    <t xml:space="preserve">F:\images\20210219\plaque 1/@01 Evian + 0.2% DMSO/A1_01.tif </t>
  </si>
  <si>
    <t xml:space="preserve"> 10987.9865 </t>
  </si>
  <si>
    <t xml:space="preserve"> 76.2067 </t>
  </si>
  <si>
    <t>F:\images\20210219\plaque 1/@01 Evian + 0.2% DMSO/A1_02- exclu.tif</t>
  </si>
  <si>
    <t xml:space="preserve">F:\images\20210219\plaque 1/@01 Evian + 0.2% DMSO/A1_03.tif </t>
  </si>
  <si>
    <t xml:space="preserve"> 7094.6054 </t>
  </si>
  <si>
    <t xml:space="preserve"> 74.6829 </t>
  </si>
  <si>
    <t xml:space="preserve">F:\images\20210219\plaque 1/@01 Evian + 0.2% DMSO/B1_01.tif </t>
  </si>
  <si>
    <t xml:space="preserve"> 1319.4236 </t>
  </si>
  <si>
    <t xml:space="preserve"> 65.1967 </t>
  </si>
  <si>
    <t xml:space="preserve">F:\images\20210219\plaque 1/@01 Evian + 0.2% DMSO/B1_02.tif </t>
  </si>
  <si>
    <t xml:space="preserve"> 713.7865 </t>
  </si>
  <si>
    <t xml:space="preserve"> 63.4545 </t>
  </si>
  <si>
    <t xml:space="preserve">F:\images\20210219\plaque 1/@01 Evian + 0.2% DMSO/B1_03.tif </t>
  </si>
  <si>
    <t xml:space="preserve"> 63.1471 </t>
  </si>
  <si>
    <t xml:space="preserve">F:\images\20210219\plaque 1/@01 Evian + 0.2% DMSO/C1_01.tif </t>
  </si>
  <si>
    <t xml:space="preserve"> 908.4556 </t>
  </si>
  <si>
    <t xml:space="preserve"> 62.3571 </t>
  </si>
  <si>
    <t xml:space="preserve">F:\images\20210219\plaque 1/@01 Evian + 0.2% DMSO/C1_02.tif </t>
  </si>
  <si>
    <t xml:space="preserve"> 1730.3916 </t>
  </si>
  <si>
    <t xml:space="preserve"> 64.2 </t>
  </si>
  <si>
    <t xml:space="preserve">F:\images\20210219\plaque 1/@01 Evian + 0.2% DMSO/C1_03.tif </t>
  </si>
  <si>
    <t xml:space="preserve"> 62.9655 </t>
  </si>
  <si>
    <t xml:space="preserve">F:\images\20210219\plaque 1/@01 Evian + 0.2% DMSO/D1_01.tif </t>
  </si>
  <si>
    <t xml:space="preserve"> 324.4484 </t>
  </si>
  <si>
    <t xml:space="preserve"> 64.8 </t>
  </si>
  <si>
    <t xml:space="preserve">F:\images\20210219\plaque 1/@01 Evian + 0.2% DMSO/D1_02.tif </t>
  </si>
  <si>
    <t xml:space="preserve"> 2098.0998 </t>
  </si>
  <si>
    <t xml:space="preserve"> 65.2887 </t>
  </si>
  <si>
    <t xml:space="preserve">F:\images\20210219\plaque 1/@01 Evian + 0.2% DMSO/D1_03.tif </t>
  </si>
  <si>
    <t xml:space="preserve"> 2141.3596 </t>
  </si>
  <si>
    <t xml:space="preserve"> 64.101 </t>
  </si>
  <si>
    <t xml:space="preserve">F:\images\20210219\plaque 1/@01 Evian + 0.2% DMSO/E1_01.tif </t>
  </si>
  <si>
    <t xml:space="preserve"> 65.0204 </t>
  </si>
  <si>
    <t xml:space="preserve">F:\images\20210219\plaque 1/@01 Evian + 0.2% DMSO/E1_02.tif </t>
  </si>
  <si>
    <t xml:space="preserve"> 432.5979 </t>
  </si>
  <si>
    <t xml:space="preserve"> 62.85 </t>
  </si>
  <si>
    <t xml:space="preserve">F:\images\20210219\plaque 1/@01 Evian + 0.2% DMSO/E1_03.tif </t>
  </si>
  <si>
    <t xml:space="preserve">F:\images\20210219\plaque 1/@01 Evian + 0.2% DMSO/F1_01.tif </t>
  </si>
  <si>
    <t xml:space="preserve"> 475.8577 </t>
  </si>
  <si>
    <t xml:space="preserve"> 62.5909 </t>
  </si>
  <si>
    <t xml:space="preserve">F:\images\20210219\plaque 1/@01 Evian + 0.2% DMSO/F1_02.tif </t>
  </si>
  <si>
    <t xml:space="preserve"> 5104.6551 </t>
  </si>
  <si>
    <t xml:space="preserve"> 67.9534 </t>
  </si>
  <si>
    <t xml:space="preserve">F:\images\20210219\plaque 1/@01 Evian + 0.2% DMSO/F1_03.tif </t>
  </si>
  <si>
    <t xml:space="preserve"> 584.0072 </t>
  </si>
  <si>
    <t xml:space="preserve"> 64.4444 </t>
  </si>
  <si>
    <t xml:space="preserve">F:\images\20210219\plaque 1/@01 Evian + 0.2% DMSO/G1_01.tif </t>
  </si>
  <si>
    <t xml:space="preserve">F:\images\20210219\plaque 1/@01 Evian + 0.2% DMSO/G1_02.tif </t>
  </si>
  <si>
    <t xml:space="preserve"> 64.2353 </t>
  </si>
  <si>
    <t xml:space="preserve">F:\images\20210219\plaque 1/@01 Evian + 0.2% DMSO/G1_03.tif </t>
  </si>
  <si>
    <t>F:\images\20210219\plaque 1/@01 Evian + 0.2% DMSO/H1_01- exclu.tif</t>
  </si>
  <si>
    <t>F:\images\20210219\plaque 1/@01 Evian + 0.2% DMSO/H1_02- exclu.tif</t>
  </si>
  <si>
    <t>F:\images\20210219\plaque 1/@01 Evian + 0.2% DMSO/H1_03- exclu.tif</t>
  </si>
  <si>
    <t xml:space="preserve">F:\images\20210219\plaque 1/@01 Evian + 0.2% DMSO/ </t>
  </si>
  <si>
    <t xml:space="preserve"> 64.8518 </t>
  </si>
  <si>
    <t xml:space="preserve"> 3.5012 </t>
  </si>
  <si>
    <t xml:space="preserve"> 114385.167 </t>
  </si>
  <si>
    <t xml:space="preserve"> 194426.323 </t>
  </si>
  <si>
    <t xml:space="preserve">F:\images\20210219\plaque 1/@02 EE2 33.8/A2_01.tif </t>
  </si>
  <si>
    <t xml:space="preserve"> 6813.4168 </t>
  </si>
  <si>
    <t xml:space="preserve"> 73.7587 </t>
  </si>
  <si>
    <t xml:space="preserve">F:\images\20210219\plaque 1/@02 EE2 33.8/A2_02.tif </t>
  </si>
  <si>
    <t xml:space="preserve"> 66.9073 </t>
  </si>
  <si>
    <t xml:space="preserve">F:\images\20210219\plaque 1/@02 EE2 33.8/A2_03.tif </t>
  </si>
  <si>
    <t xml:space="preserve"> 4672.0572 </t>
  </si>
  <si>
    <t xml:space="preserve"> 67.0417 </t>
  </si>
  <si>
    <t xml:space="preserve">F:\images\20210219\plaque 1/@02 EE2 33.8/B2_01.tif </t>
  </si>
  <si>
    <t xml:space="preserve"> 5191.1747 </t>
  </si>
  <si>
    <t xml:space="preserve"> 65.5375 </t>
  </si>
  <si>
    <t xml:space="preserve">F:\images\20210219\plaque 1/@02 EE2 33.8/B2_02.tif </t>
  </si>
  <si>
    <t xml:space="preserve"> 65.2273 </t>
  </si>
  <si>
    <t xml:space="preserve">F:\images\20210219\plaque 1/@02 EE2 33.8/B2_03.tif </t>
  </si>
  <si>
    <t xml:space="preserve"> 70.1786 </t>
  </si>
  <si>
    <t xml:space="preserve">F:\images\20210219\plaque 1/@02 EE2 33.8/C2_01.tif </t>
  </si>
  <si>
    <t xml:space="preserve"> 3482.413 </t>
  </si>
  <si>
    <t xml:space="preserve"> 66.2484 </t>
  </si>
  <si>
    <t xml:space="preserve">F:\images\20210219\plaque 1/@02 EE2 33.8/C2_02.tif </t>
  </si>
  <si>
    <t xml:space="preserve"> 3287.744 </t>
  </si>
  <si>
    <t xml:space="preserve"> 65.9013 </t>
  </si>
  <si>
    <t xml:space="preserve">F:\images\20210219\plaque 1/@02 EE2 33.8/C2_03.tif </t>
  </si>
  <si>
    <t xml:space="preserve"> 3633.8223 </t>
  </si>
  <si>
    <t xml:space="preserve"> 65.8869 </t>
  </si>
  <si>
    <t xml:space="preserve">F:\images\20210219\plaque 1/@02 EE2 33.8/D2_01.tif </t>
  </si>
  <si>
    <t xml:space="preserve"> 6964.8261 </t>
  </si>
  <si>
    <t xml:space="preserve"> 70.177 </t>
  </si>
  <si>
    <t xml:space="preserve">F:\images\20210219\plaque 1/@02 EE2 33.8/D2_02.tif </t>
  </si>
  <si>
    <t xml:space="preserve"> 7419.0539 </t>
  </si>
  <si>
    <t xml:space="preserve"> 77.7697 </t>
  </si>
  <si>
    <t xml:space="preserve">F:\images\20210219\plaque 1/@02 EE2 33.8/D2_03.tif </t>
  </si>
  <si>
    <t xml:space="preserve"> 6013.1107 </t>
  </si>
  <si>
    <t xml:space="preserve"> 74.4317 </t>
  </si>
  <si>
    <t xml:space="preserve">F:\images\20210219\plaque 1/@02 EE2 33.8/E2_01.tif </t>
  </si>
  <si>
    <t xml:space="preserve"> 64.54 </t>
  </si>
  <si>
    <t xml:space="preserve">F:\images\20210219\plaque 1/@02 EE2 33.8/E2_02.tif </t>
  </si>
  <si>
    <t xml:space="preserve"> 6186.1499 </t>
  </si>
  <si>
    <t xml:space="preserve"> 68.1224 </t>
  </si>
  <si>
    <t xml:space="preserve">F:\images\20210219\plaque 1/@02 EE2 33.8/E2_03.tif </t>
  </si>
  <si>
    <t xml:space="preserve"> 4152.9398 </t>
  </si>
  <si>
    <t xml:space="preserve"> 67.6667 </t>
  </si>
  <si>
    <t xml:space="preserve">F:\images\20210219\plaque 1/@02 EE2 33.8/F2_01.tif </t>
  </si>
  <si>
    <t xml:space="preserve"> 63.2143 </t>
  </si>
  <si>
    <t xml:space="preserve">F:\images\20210219\plaque 1/@02 EE2 33.8/F2_02.tif </t>
  </si>
  <si>
    <t xml:space="preserve">F:\images\20210219\plaque 1/@02 EE2 33.8/F2_03.tif </t>
  </si>
  <si>
    <t xml:space="preserve"> 3244.4842 </t>
  </si>
  <si>
    <t xml:space="preserve"> 65.0933 </t>
  </si>
  <si>
    <t xml:space="preserve">F:\images\20210219\plaque 1/@02 EE2 33.8/G2_01.tif </t>
  </si>
  <si>
    <t xml:space="preserve"> 63.64 </t>
  </si>
  <si>
    <t xml:space="preserve">F:\images\20210219\plaque 1/@02 EE2 33.8/G2_02.tif </t>
  </si>
  <si>
    <t xml:space="preserve">F:\images\20210219\plaque 1/@02 EE2 33.8/G2_03.tif </t>
  </si>
  <si>
    <t xml:space="preserve">F:\images\20210219\plaque 1/@02 EE2 33.8/H2_01.tif </t>
  </si>
  <si>
    <t xml:space="preserve"> 7765.1322 </t>
  </si>
  <si>
    <t xml:space="preserve"> 72.8997 </t>
  </si>
  <si>
    <t xml:space="preserve">F:\images\20210219\plaque 1/@02 EE2 33.8/H2_02.tif </t>
  </si>
  <si>
    <t xml:space="preserve"> 8089.5806 </t>
  </si>
  <si>
    <t xml:space="preserve"> 70.254 </t>
  </si>
  <si>
    <t xml:space="preserve">F:\images\20210219\plaque 1/@02 EE2 33.8/H2_03.tif </t>
  </si>
  <si>
    <t xml:space="preserve"> 3504.0429 </t>
  </si>
  <si>
    <t xml:space="preserve"> 67.1481 </t>
  </si>
  <si>
    <t xml:space="preserve">F:\images\20210219\plaque 1/@02 EE2 33.8/ </t>
  </si>
  <si>
    <t xml:space="preserve"> 67.5352 </t>
  </si>
  <si>
    <t xml:space="preserve"> 3.9994 </t>
  </si>
  <si>
    <t xml:space="preserve"> 275354.875 </t>
  </si>
  <si>
    <t xml:space="preserve"> 184804.772 </t>
  </si>
  <si>
    <t xml:space="preserve">F:\images\20210219\plaque 1/@03 EE2 50.6/A3_01.tif </t>
  </si>
  <si>
    <t xml:space="preserve"> 5840.0715 </t>
  </si>
  <si>
    <t xml:space="preserve">F:\images\20210219\plaque 1/@03 EE2 50.6/A3_02.tif </t>
  </si>
  <si>
    <t xml:space="preserve"> 68.3108 </t>
  </si>
  <si>
    <t xml:space="preserve">F:\images\20210219\plaque 1/@03 EE2 50.6/A3_03.tif </t>
  </si>
  <si>
    <t xml:space="preserve"> 63.1136 </t>
  </si>
  <si>
    <t xml:space="preserve">F:\images\20210219\plaque 1/@03 EE2 50.6/B3_01.tif </t>
  </si>
  <si>
    <t xml:space="preserve"> 6121.2602 </t>
  </si>
  <si>
    <t xml:space="preserve"> 65.5124 </t>
  </si>
  <si>
    <t xml:space="preserve">F:\images\20210219\plaque 1/@03 EE2 50.6/B3_02.tif </t>
  </si>
  <si>
    <t xml:space="preserve"> 1687.1318 </t>
  </si>
  <si>
    <t xml:space="preserve"> 63.8846 </t>
  </si>
  <si>
    <t xml:space="preserve">F:\images\20210219\plaque 1/@03 EE2 50.6/B3_03.tif </t>
  </si>
  <si>
    <t xml:space="preserve"> 64.2303 </t>
  </si>
  <si>
    <t xml:space="preserve">F:\images\20210219\plaque 1/@03 EE2 50.6/C3_01.tif </t>
  </si>
  <si>
    <t xml:space="preserve"> 66.1905 </t>
  </si>
  <si>
    <t xml:space="preserve">F:\images\20210219\plaque 1/@03 EE2 50.6/C3_02.tif </t>
  </si>
  <si>
    <t xml:space="preserve">F:\images\20210219\plaque 1/@03 EE2 50.6/C3_03.tif </t>
  </si>
  <si>
    <t xml:space="preserve"> 64.2195 </t>
  </si>
  <si>
    <t xml:space="preserve">F:\images\20210219\plaque 1/@03 EE2 50.6/D3_01.tif </t>
  </si>
  <si>
    <t xml:space="preserve"> 67.1657 </t>
  </si>
  <si>
    <t xml:space="preserve">F:\images\20210219\plaque 1/@03 EE2 50.6/D3_02.tif </t>
  </si>
  <si>
    <t xml:space="preserve"> 2682.1069 </t>
  </si>
  <si>
    <t xml:space="preserve"> 64.9677 </t>
  </si>
  <si>
    <t xml:space="preserve">F:\images\20210219\plaque 1/@03 EE2 50.6/D3_03.tif </t>
  </si>
  <si>
    <t xml:space="preserve"> 66.7562 </t>
  </si>
  <si>
    <t xml:space="preserve">F:\images\20210219\plaque 1/@03 EE2 50.6/E3_01.tif </t>
  </si>
  <si>
    <t xml:space="preserve"> 4131.3099 </t>
  </si>
  <si>
    <t xml:space="preserve"> 64.6126 </t>
  </si>
  <si>
    <t xml:space="preserve">F:\images\20210219\plaque 1/@03 EE2 50.6/E3_02.tif </t>
  </si>
  <si>
    <t xml:space="preserve"> 62.6061 </t>
  </si>
  <si>
    <t xml:space="preserve">F:\images\20210219\plaque 1/@03 EE2 50.6/E3_03.tif </t>
  </si>
  <si>
    <t xml:space="preserve"> 5753.552 </t>
  </si>
  <si>
    <t xml:space="preserve"> 71.9098 </t>
  </si>
  <si>
    <t xml:space="preserve">F:\images\20210219\plaque 1/@03 EE2 50.6/F3_01.tif </t>
  </si>
  <si>
    <t xml:space="preserve"> 1600.6122 </t>
  </si>
  <si>
    <t xml:space="preserve"> 63.5405 </t>
  </si>
  <si>
    <t xml:space="preserve">F:\images\20210219\plaque 1/@03 EE2 50.6/F3_02.tif </t>
  </si>
  <si>
    <t xml:space="preserve"> 61.963 </t>
  </si>
  <si>
    <t xml:space="preserve">F:\images\20210219\plaque 1/@03 EE2 50.6/F3_03.tif </t>
  </si>
  <si>
    <t xml:space="preserve"> 61.7586 </t>
  </si>
  <si>
    <t>F:\images\20210219\plaque 1/@03 EE2 50.6/G3_01- exclu.tif</t>
  </si>
  <si>
    <t xml:space="preserve">F:\images\20210219\plaque 1/@03 EE2 50.6/G3_02.tif </t>
  </si>
  <si>
    <t xml:space="preserve"> 2465.808 </t>
  </si>
  <si>
    <t xml:space="preserve"> 63.2368 </t>
  </si>
  <si>
    <t xml:space="preserve">F:\images\20210219\plaque 1/@03 EE2 50.6/G3_03.tif </t>
  </si>
  <si>
    <t xml:space="preserve"> 3698.712 </t>
  </si>
  <si>
    <t xml:space="preserve"> 63.538 </t>
  </si>
  <si>
    <t xml:space="preserve">F:\images\20210219\plaque 1/@03 EE2 50.6/H3_01.tif </t>
  </si>
  <si>
    <t xml:space="preserve"> 62.7436 </t>
  </si>
  <si>
    <t xml:space="preserve">F:\images\20210219\plaque 1/@03 EE2 50.6/H3_02.tif </t>
  </si>
  <si>
    <t xml:space="preserve"> 63.4 </t>
  </si>
  <si>
    <t xml:space="preserve">F:\images\20210219\plaque 1/@03 EE2 50.6/H3_03.tif </t>
  </si>
  <si>
    <t xml:space="preserve"> 5061.3953 </t>
  </si>
  <si>
    <t xml:space="preserve"> 73.6752 </t>
  </si>
  <si>
    <t xml:space="preserve">F:\images\20210219\plaque 1/@03 EE2 50.6/ </t>
  </si>
  <si>
    <t xml:space="preserve"> 65.3055 </t>
  </si>
  <si>
    <t xml:space="preserve"> 2.9618 </t>
  </si>
  <si>
    <t xml:space="preserve"> 201003.958 </t>
  </si>
  <si>
    <t xml:space="preserve"> 150811.519 </t>
  </si>
  <si>
    <t>F:\images\20210219\plaque 1/@04 EE2 76/A4_01- exclu.tif</t>
  </si>
  <si>
    <t xml:space="preserve">F:\images\20210219\plaque 1/@04 EE2 76/A4_02.tif </t>
  </si>
  <si>
    <t xml:space="preserve"> 8695.2176 </t>
  </si>
  <si>
    <t xml:space="preserve"> 79.8383 </t>
  </si>
  <si>
    <t xml:space="preserve">F:\images\20210219\plaque 1/@04 EE2 76/A4_03.tif </t>
  </si>
  <si>
    <t xml:space="preserve"> 1903.4307 </t>
  </si>
  <si>
    <t xml:space="preserve">F:\images\20210219\plaque 1/@04 EE2 76/B4_01.tif </t>
  </si>
  <si>
    <t xml:space="preserve"> 6380.8189 </t>
  </si>
  <si>
    <t xml:space="preserve"> 71.8915 </t>
  </si>
  <si>
    <t xml:space="preserve">F:\images\20210219\plaque 1/@04 EE2 76/B4_02.tif </t>
  </si>
  <si>
    <t xml:space="preserve"> 5558.8829 </t>
  </si>
  <si>
    <t xml:space="preserve"> 66.5914 </t>
  </si>
  <si>
    <t xml:space="preserve">F:\images\20210219\plaque 1/@04 EE2 76/B4_03.tif </t>
  </si>
  <si>
    <t xml:space="preserve"> 70.477 </t>
  </si>
  <si>
    <t xml:space="preserve">F:\images\20210219\plaque 1/@04 EE2 76/C4_01.tif </t>
  </si>
  <si>
    <t xml:space="preserve"> 5969.8509 </t>
  </si>
  <si>
    <t xml:space="preserve"> 67.2935 </t>
  </si>
  <si>
    <t xml:space="preserve">F:\images\20210219\plaque 1/@04 EE2 76/C4_02.tif </t>
  </si>
  <si>
    <t xml:space="preserve"> 4477.3882 </t>
  </si>
  <si>
    <t xml:space="preserve"> 66.3237 </t>
  </si>
  <si>
    <t xml:space="preserve">F:\images\20210219\plaque 1/@04 EE2 76/C4_03.tif </t>
  </si>
  <si>
    <t xml:space="preserve"> 1578.9823 </t>
  </si>
  <si>
    <t xml:space="preserve"> 62.7671 </t>
  </si>
  <si>
    <t xml:space="preserve">F:\images\20210219\plaque 1/@04 EE2 76/D4_01.tif </t>
  </si>
  <si>
    <t xml:space="preserve"> 8889.8867 </t>
  </si>
  <si>
    <t xml:space="preserve"> 65.1411 </t>
  </si>
  <si>
    <t xml:space="preserve">F:\images\20210219\plaque 1/@04 EE2 76/D4_02.tif </t>
  </si>
  <si>
    <t xml:space="preserve"> 4607.1676 </t>
  </si>
  <si>
    <t xml:space="preserve"> 63.3333 </t>
  </si>
  <si>
    <t xml:space="preserve">F:\images\20210219\plaque 1/@04 EE2 76/D4_03.tif </t>
  </si>
  <si>
    <t xml:space="preserve"> 62.6989 </t>
  </si>
  <si>
    <t xml:space="preserve">F:\images\20210219\plaque 1/@04 EE2 76/E4_01.tif </t>
  </si>
  <si>
    <t xml:space="preserve"> 3374.2636 </t>
  </si>
  <si>
    <t xml:space="preserve"> 65.25 </t>
  </si>
  <si>
    <t xml:space="preserve">F:\images\20210219\plaque 1/@04 EE2 76/E4_02.tif </t>
  </si>
  <si>
    <t xml:space="preserve"> 66.7398 </t>
  </si>
  <si>
    <t xml:space="preserve">F:\images\20210219\plaque 1/@04 EE2 76/E4_03.tif </t>
  </si>
  <si>
    <t xml:space="preserve"> 1405.9432 </t>
  </si>
  <si>
    <t xml:space="preserve"> 63.9385 </t>
  </si>
  <si>
    <t xml:space="preserve">F:\images\20210219\plaque 1/@04 EE2 76/F4_01.tif </t>
  </si>
  <si>
    <t xml:space="preserve"> 11766.6627 </t>
  </si>
  <si>
    <t xml:space="preserve"> 77.1305 </t>
  </si>
  <si>
    <t xml:space="preserve">F:\images\20210219\plaque 1/@04 EE2 76/F4_02.tif </t>
  </si>
  <si>
    <t xml:space="preserve"> 12523.709 </t>
  </si>
  <si>
    <t xml:space="preserve"> 76.3299 </t>
  </si>
  <si>
    <t xml:space="preserve">F:\images\20210219\plaque 1/@04 EE2 76/F4_03.tif </t>
  </si>
  <si>
    <t xml:space="preserve"> 5710.2922 </t>
  </si>
  <si>
    <t xml:space="preserve"> 67.5379 </t>
  </si>
  <si>
    <t xml:space="preserve">F:\images\20210219\plaque 1/@04 EE2 76/G4_01.tif </t>
  </si>
  <si>
    <t xml:space="preserve"> 17952.8125 </t>
  </si>
  <si>
    <t xml:space="preserve"> 66.7422 </t>
  </si>
  <si>
    <t xml:space="preserve">F:\images\20210219\plaque 1/@04 EE2 76/G4_02.tif </t>
  </si>
  <si>
    <t xml:space="preserve"> 14427.1397 </t>
  </si>
  <si>
    <t xml:space="preserve"> 65.6912 </t>
  </si>
  <si>
    <t xml:space="preserve">F:\images\20210219\plaque 1/@04 EE2 76/G4_03.tif </t>
  </si>
  <si>
    <t xml:space="preserve"> 13799.8728 </t>
  </si>
  <si>
    <t xml:space="preserve"> 64.953 </t>
  </si>
  <si>
    <t xml:space="preserve">F:\images\20210219\plaque 1/@04 EE2 76/H4_01.tif </t>
  </si>
  <si>
    <t xml:space="preserve"> 20807.9586 </t>
  </si>
  <si>
    <t xml:space="preserve"> 66.9491 </t>
  </si>
  <si>
    <t xml:space="preserve">F:\images\20210219\plaque 1/@04 EE2 76/H4_02.tif </t>
  </si>
  <si>
    <t xml:space="preserve"> 17325.5456 </t>
  </si>
  <si>
    <t xml:space="preserve"> 66.0537 </t>
  </si>
  <si>
    <t xml:space="preserve">F:\images\20210219\plaque 1/@04 EE2 76/H4_03.tif </t>
  </si>
  <si>
    <t xml:space="preserve"> 16611.7591 </t>
  </si>
  <si>
    <t xml:space="preserve"> 65.5156 </t>
  </si>
  <si>
    <t xml:space="preserve">F:\images\20210219\plaque 1/@04 EE2 76/ </t>
  </si>
  <si>
    <t xml:space="preserve"> 68.7062 </t>
  </si>
  <si>
    <t xml:space="preserve"> 7.4251 </t>
  </si>
  <si>
    <t xml:space="preserve"> 620221.875 </t>
  </si>
  <si>
    <t xml:space="preserve"> 433613.937 </t>
  </si>
  <si>
    <t xml:space="preserve">F:\images\20210219\plaque 1/@05 EE2 114/A5_01.tif </t>
  </si>
  <si>
    <t xml:space="preserve"> 27318.5569 </t>
  </si>
  <si>
    <t xml:space="preserve"> 67.9525 </t>
  </si>
  <si>
    <t xml:space="preserve">F:\images\20210219\plaque 1/@05 EE2 114/A5_02.tif </t>
  </si>
  <si>
    <t xml:space="preserve"> 23252.1367 </t>
  </si>
  <si>
    <t xml:space="preserve"> 67.6921 </t>
  </si>
  <si>
    <t xml:space="preserve">F:\images\20210219\plaque 1/@05 EE2 114/A5_03.tif </t>
  </si>
  <si>
    <t xml:space="preserve"> 26474.991 </t>
  </si>
  <si>
    <t xml:space="preserve"> 67.6822 </t>
  </si>
  <si>
    <t xml:space="preserve">F:\images\20210219\plaque 1/@05 EE2 114/B5_01.tif </t>
  </si>
  <si>
    <t xml:space="preserve"> 12696.7481 </t>
  </si>
  <si>
    <t xml:space="preserve"> 66.0698 </t>
  </si>
  <si>
    <t xml:space="preserve">F:\images\20210219\plaque 1/@05 EE2 114/B5_02.tif </t>
  </si>
  <si>
    <t xml:space="preserve"> 11615.2534 </t>
  </si>
  <si>
    <t xml:space="preserve"> 65.5512 </t>
  </si>
  <si>
    <t xml:space="preserve">F:\images\20210219\plaque 1/@05 EE2 114/B5_03.tif </t>
  </si>
  <si>
    <t xml:space="preserve"> 11874.8122 </t>
  </si>
  <si>
    <t xml:space="preserve"> 67.1257 </t>
  </si>
  <si>
    <t xml:space="preserve">F:\images\20210219\plaque 1/@05 EE2 114/C5_01.tif </t>
  </si>
  <si>
    <t xml:space="preserve"> 11182.6555 </t>
  </si>
  <si>
    <t xml:space="preserve"> 65.2205 </t>
  </si>
  <si>
    <t xml:space="preserve">F:\images\20210219\plaque 1/@05 EE2 114/C5_02.tif </t>
  </si>
  <si>
    <t xml:space="preserve"> 11247.5452 </t>
  </si>
  <si>
    <t xml:space="preserve"> 65.0269 </t>
  </si>
  <si>
    <t xml:space="preserve">F:\images\20210219\plaque 1/@05 EE2 114/C5_03.tif </t>
  </si>
  <si>
    <t xml:space="preserve"> 12177.6307 </t>
  </si>
  <si>
    <t xml:space="preserve"> 65.2877 </t>
  </si>
  <si>
    <t xml:space="preserve">F:\images\20210219\plaque 1/@05 EE2 114/D5_01.tif </t>
  </si>
  <si>
    <t xml:space="preserve"> 28789.3898 </t>
  </si>
  <si>
    <t xml:space="preserve"> 67.0511 </t>
  </si>
  <si>
    <t xml:space="preserve">F:\images\20210219\plaque 1/@05 EE2 114/D5_02.tif </t>
  </si>
  <si>
    <t xml:space="preserve"> 23533.3254 </t>
  </si>
  <si>
    <t xml:space="preserve"> 66.1066 </t>
  </si>
  <si>
    <t xml:space="preserve">F:\images\20210219\plaque 1/@05 EE2 114/D5_03.tif </t>
  </si>
  <si>
    <t xml:space="preserve"> 66.5812 </t>
  </si>
  <si>
    <t xml:space="preserve">F:\images\20210219\plaque 1/@05 EE2 114/E5_01.tif </t>
  </si>
  <si>
    <t xml:space="preserve"> 7051.3456 </t>
  </si>
  <si>
    <t xml:space="preserve"> 63.8344 </t>
  </si>
  <si>
    <t xml:space="preserve">F:\images\20210219\plaque 1/@05 EE2 114/E5_02.tif </t>
  </si>
  <si>
    <t xml:space="preserve"> 10944.7267 </t>
  </si>
  <si>
    <t xml:space="preserve"> 65.8775 </t>
  </si>
  <si>
    <t xml:space="preserve">F:\images\20210219\plaque 1/@05 EE2 114/E5_03.tif </t>
  </si>
  <si>
    <t xml:space="preserve"> 7959.8012 </t>
  </si>
  <si>
    <t xml:space="preserve"> 66.6033 </t>
  </si>
  <si>
    <t xml:space="preserve">F:\images\20210219\plaque 1/@05 EE2 114/F5_01.tif </t>
  </si>
  <si>
    <t xml:space="preserve"> 29438.2866 </t>
  </si>
  <si>
    <t xml:space="preserve"> 70.4901 </t>
  </si>
  <si>
    <t xml:space="preserve">F:\images\20210219\plaque 1/@05 EE2 114/F5_02.tif </t>
  </si>
  <si>
    <t xml:space="preserve"> 24614.8201 </t>
  </si>
  <si>
    <t xml:space="preserve"> 65.8954 </t>
  </si>
  <si>
    <t xml:space="preserve">F:\images\20210219\plaque 1/@05 EE2 114/F5_03.tif </t>
  </si>
  <si>
    <t xml:space="preserve"> 30930.7493 </t>
  </si>
  <si>
    <t xml:space="preserve"> 67.1524 </t>
  </si>
  <si>
    <t xml:space="preserve">F:\images\20210219\plaque 1/@05 EE2 114/G5_01.tif </t>
  </si>
  <si>
    <t xml:space="preserve"> 37938.8352 </t>
  </si>
  <si>
    <t xml:space="preserve"> 67.9555 </t>
  </si>
  <si>
    <t xml:space="preserve">F:\images\20210219\plaque 1/@05 EE2 114/G5_02.tif </t>
  </si>
  <si>
    <t xml:space="preserve"> 25761.2045 </t>
  </si>
  <si>
    <t xml:space="preserve"> 67.3107 </t>
  </si>
  <si>
    <t xml:space="preserve">F:\images\20210219\plaque 1/@05 EE2 114/G5_03.tif </t>
  </si>
  <si>
    <t xml:space="preserve"> 29568.066 </t>
  </si>
  <si>
    <t xml:space="preserve"> 67.0505 </t>
  </si>
  <si>
    <t>F:\images\20210219\plaque 1/@05 EE2 114/H5_01- exclu.tif</t>
  </si>
  <si>
    <t>F:\images\20210219\plaque 1/@05 EE2 114/H5_02- exclu.tif</t>
  </si>
  <si>
    <t>F:\images\20210219\plaque 1/@05 EE2 114/H5_03- exclu.tif</t>
  </si>
  <si>
    <t xml:space="preserve">F:\images\20210219\plaque 1/@05 EE2 114/ </t>
  </si>
  <si>
    <t xml:space="preserve"> 66.3514 </t>
  </si>
  <si>
    <t xml:space="preserve"> 1.58 </t>
  </si>
  <si>
    <t xml:space="preserve"> 1200103.21 </t>
  </si>
  <si>
    <t xml:space="preserve"> 747826.176 </t>
  </si>
  <si>
    <t xml:space="preserve">F:\images\20210219\plaque 1/@06 EE2 170.9/A6_01.tif </t>
  </si>
  <si>
    <t xml:space="preserve"> 68.7604 </t>
  </si>
  <si>
    <t xml:space="preserve">F:\images\20210219\plaque 1/@06 EE2 170.9/A6_02.tif </t>
  </si>
  <si>
    <t xml:space="preserve"> 37441.3476 </t>
  </si>
  <si>
    <t xml:space="preserve"> 69.3091 </t>
  </si>
  <si>
    <t xml:space="preserve">F:\images\20210219\plaque 1/@06 EE2 170.9/A6_03.tif </t>
  </si>
  <si>
    <t xml:space="preserve"> 67.3711 </t>
  </si>
  <si>
    <t xml:space="preserve">F:\images\20210219\plaque 1/@06 EE2 170.9/B6_01.tif </t>
  </si>
  <si>
    <t xml:space="preserve"> 47996.7362 </t>
  </si>
  <si>
    <t xml:space="preserve"> 72.2799 </t>
  </si>
  <si>
    <t xml:space="preserve">F:\images\20210219\plaque 1/@06 EE2 170.9/B6_02.tif </t>
  </si>
  <si>
    <t xml:space="preserve"> 39647.5969 </t>
  </si>
  <si>
    <t xml:space="preserve"> 72.3077 </t>
  </si>
  <si>
    <t xml:space="preserve">F:\images\20210219\plaque 1/@06 EE2 170.9/B6_03.tif </t>
  </si>
  <si>
    <t xml:space="preserve"> 42113.4048 </t>
  </si>
  <si>
    <t xml:space="preserve"> 69.8716 </t>
  </si>
  <si>
    <t xml:space="preserve">F:\images\20210219\plaque 1/@06 EE2 170.9/C6_01.tif </t>
  </si>
  <si>
    <t xml:space="preserve"> 50873.5122 </t>
  </si>
  <si>
    <t xml:space="preserve"> 73.7313 </t>
  </si>
  <si>
    <t xml:space="preserve">F:\images\20210219\plaque 1/@06 EE2 170.9/C6_02.tif </t>
  </si>
  <si>
    <t xml:space="preserve"> 53944.9572 </t>
  </si>
  <si>
    <t xml:space="preserve"> 71.6913 </t>
  </si>
  <si>
    <t xml:space="preserve">F:\images\20210219\plaque 1/@06 EE2 170.9/C6_03.tif </t>
  </si>
  <si>
    <t xml:space="preserve"> 51306.1101 </t>
  </si>
  <si>
    <t xml:space="preserve"> 71.9865 </t>
  </si>
  <si>
    <t xml:space="preserve">F:\images\20210219\plaque 1/@06 EE2 170.9/D6_01.tif </t>
  </si>
  <si>
    <t xml:space="preserve"> 52214.5656 </t>
  </si>
  <si>
    <t xml:space="preserve"> 72.401 </t>
  </si>
  <si>
    <t>F:\images\20210219\plaque 1/@06 EE2 170.9/D6_02- exclu.tif</t>
  </si>
  <si>
    <t xml:space="preserve">F:\images\20210219\plaque 1/@06 EE2 170.9/D6_03.tif </t>
  </si>
  <si>
    <t xml:space="preserve"> 71.8715 </t>
  </si>
  <si>
    <t xml:space="preserve">F:\images\20210219\plaque 1/@06 EE2 170.9/E6_01.tif </t>
  </si>
  <si>
    <t xml:space="preserve"> 70.2394 </t>
  </si>
  <si>
    <t xml:space="preserve">F:\images\20210219\plaque 1/@06 EE2 170.9/E6_02.tif </t>
  </si>
  <si>
    <t xml:space="preserve"> 40491.1627 </t>
  </si>
  <si>
    <t xml:space="preserve"> 70.0502 </t>
  </si>
  <si>
    <t xml:space="preserve">F:\images\20210219\plaque 1/@06 EE2 170.9/E6_03.tif </t>
  </si>
  <si>
    <t xml:space="preserve"> 38111.8743 </t>
  </si>
  <si>
    <t xml:space="preserve"> 69.7798 </t>
  </si>
  <si>
    <t xml:space="preserve">F:\images\20210219\plaque 1/@06 EE2 170.9/F6_01.tif </t>
  </si>
  <si>
    <t xml:space="preserve"> 54096.3665 </t>
  </si>
  <si>
    <t xml:space="preserve"> 69.471 </t>
  </si>
  <si>
    <t xml:space="preserve">F:\images\20210219\plaque 1/@06 EE2 170.9/F6_02.tif </t>
  </si>
  <si>
    <t xml:space="preserve"> 45509.2983 </t>
  </si>
  <si>
    <t xml:space="preserve"> 68.7681 </t>
  </si>
  <si>
    <t xml:space="preserve">F:\images\20210219\plaque 1/@06 EE2 170.9/F6_03.tif </t>
  </si>
  <si>
    <t xml:space="preserve"> 50527.4339 </t>
  </si>
  <si>
    <t xml:space="preserve"> 72.2603 </t>
  </si>
  <si>
    <t xml:space="preserve">F:\images\20210219\plaque 1/@06 EE2 170.9/G6_01.tif </t>
  </si>
  <si>
    <t xml:space="preserve"> 71.3788 </t>
  </si>
  <si>
    <t xml:space="preserve">F:\images\20210219\plaque 1/@06 EE2 170.9/G6_02.tif </t>
  </si>
  <si>
    <t xml:space="preserve"> 55999.7972 </t>
  </si>
  <si>
    <t xml:space="preserve"> 70.0297 </t>
  </si>
  <si>
    <t xml:space="preserve">F:\images\20210219\plaque 1/@06 EE2 170.9/G6_03.tif </t>
  </si>
  <si>
    <t xml:space="preserve"> 60671.8544 </t>
  </si>
  <si>
    <t xml:space="preserve"> 73.2888 </t>
  </si>
  <si>
    <t xml:space="preserve">F:\images\20210219\plaque 1/@06 EE2 170.9/H6_01.tif </t>
  </si>
  <si>
    <t xml:space="preserve"> 41334.7286 </t>
  </si>
  <si>
    <t xml:space="preserve"> 68.9409 </t>
  </si>
  <si>
    <t xml:space="preserve">F:\images\20210219\plaque 1/@06 EE2 170.9/H6_02.tif </t>
  </si>
  <si>
    <t xml:space="preserve"> 39885.5257 </t>
  </si>
  <si>
    <t xml:space="preserve"> 69.8059 </t>
  </si>
  <si>
    <t xml:space="preserve">F:\images\20210219\plaque 1/@06 EE2 170.9/H6_03.tif </t>
  </si>
  <si>
    <t xml:space="preserve"> 42091.7749 </t>
  </si>
  <si>
    <t xml:space="preserve"> 70.0622 </t>
  </si>
  <si>
    <t xml:space="preserve">F:\images\20210219\plaque 1/@06 EE2 170.9/ </t>
  </si>
  <si>
    <t xml:space="preserve"> 70.4746 </t>
  </si>
  <si>
    <t xml:space="preserve"> 1.9013 </t>
  </si>
  <si>
    <t xml:space="preserve"> 3211262.42 </t>
  </si>
  <si>
    <t xml:space="preserve"> 788887.524 </t>
  </si>
  <si>
    <t xml:space="preserve">F:\images\20210219\plaque 1/@07 EE2 488/A7_01.tif </t>
  </si>
  <si>
    <t xml:space="preserve"> 24247.1119 </t>
  </si>
  <si>
    <t xml:space="preserve"> 86.7832 </t>
  </si>
  <si>
    <t xml:space="preserve">F:\images\20210219\plaque 1/@07 EE2 488/A7_02.tif </t>
  </si>
  <si>
    <t xml:space="preserve"> 25739.5746 </t>
  </si>
  <si>
    <t xml:space="preserve"> 83.5118 </t>
  </si>
  <si>
    <t xml:space="preserve">F:\images\20210219\plaque 1/@07 EE2 488/A7_03.tif </t>
  </si>
  <si>
    <t xml:space="preserve"> 24074.0727 </t>
  </si>
  <si>
    <t xml:space="preserve"> 83.0018 </t>
  </si>
  <si>
    <t xml:space="preserve">F:\images\20210219\plaque 1/@07 EE2 488/B7_01.tif </t>
  </si>
  <si>
    <t xml:space="preserve"> 58011.3774 </t>
  </si>
  <si>
    <t xml:space="preserve"> 97.0843 </t>
  </si>
  <si>
    <t xml:space="preserve">F:\images\20210219\plaque 1/@07 EE2 488/B7_02.tif </t>
  </si>
  <si>
    <t xml:space="preserve"> 53425.8397 </t>
  </si>
  <si>
    <t xml:space="preserve"> 98.5972 </t>
  </si>
  <si>
    <t xml:space="preserve">F:\images\20210219\plaque 1/@07 EE2 488/B7_03.tif </t>
  </si>
  <si>
    <t xml:space="preserve"> 51154.7008 </t>
  </si>
  <si>
    <t xml:space="preserve"> 96.1167 </t>
  </si>
  <si>
    <t xml:space="preserve">F:\images\20210219\plaque 1/@07 EE2 488/C7_01.tif </t>
  </si>
  <si>
    <t xml:space="preserve"> 55610.4591 </t>
  </si>
  <si>
    <t xml:space="preserve"> 100.0972 </t>
  </si>
  <si>
    <t xml:space="preserve">F:\images\20210219\plaque 1/@07 EE2 488/C7_02.tif </t>
  </si>
  <si>
    <t xml:space="preserve"> 64219.1572 </t>
  </si>
  <si>
    <t xml:space="preserve"> 95.2115 </t>
  </si>
  <si>
    <t xml:space="preserve">F:\images\20210219\plaque 1/@07 EE2 488/C7_03.tif </t>
  </si>
  <si>
    <t xml:space="preserve"> 62077.7976 </t>
  </si>
  <si>
    <t xml:space="preserve"> 97.7777 </t>
  </si>
  <si>
    <t xml:space="preserve">F:\images\20210219\plaque 1/@07 EE2 488/D7_01.tif </t>
  </si>
  <si>
    <t xml:space="preserve"> 80073.8699 </t>
  </si>
  <si>
    <t xml:space="preserve"> 92.0783 </t>
  </si>
  <si>
    <t xml:space="preserve">F:\images\20210219\plaque 1/@07 EE2 488/D7_02.tif </t>
  </si>
  <si>
    <t xml:space="preserve"> 89.8596 </t>
  </si>
  <si>
    <t xml:space="preserve">F:\images\20210219\plaque 1/@07 EE2 488/D7_03.tif </t>
  </si>
  <si>
    <t xml:space="preserve"> 77435.0228 </t>
  </si>
  <si>
    <t xml:space="preserve"> 93.0324 </t>
  </si>
  <si>
    <t xml:space="preserve">F:\images\20210219\plaque 1/@07 EE2 488/E7_01.tif </t>
  </si>
  <si>
    <t xml:space="preserve"> 59785.0288 </t>
  </si>
  <si>
    <t xml:space="preserve"> 86.309 </t>
  </si>
  <si>
    <t xml:space="preserve">F:\images\20210219\plaque 1/@07 EE2 488/E7_02.tif </t>
  </si>
  <si>
    <t xml:space="preserve"> 59309.1711 </t>
  </si>
  <si>
    <t xml:space="preserve"> 87.0908 </t>
  </si>
  <si>
    <t xml:space="preserve">F:\images\20210219\plaque 1/@07 EE2 488/E7_03.tif </t>
  </si>
  <si>
    <t xml:space="preserve"> 59806.6586 </t>
  </si>
  <si>
    <t xml:space="preserve"> 85.6033 </t>
  </si>
  <si>
    <t xml:space="preserve">F:\images\20210219\plaque 1/@07 EE2 488/F7_01.tif </t>
  </si>
  <si>
    <t xml:space="preserve"> 87.1287 </t>
  </si>
  <si>
    <t xml:space="preserve">F:\images\20210219\plaque 1/@07 EE2 488/F7_02.tif </t>
  </si>
  <si>
    <t xml:space="preserve"> 49770.3875 </t>
  </si>
  <si>
    <t xml:space="preserve"> 83.0152 </t>
  </si>
  <si>
    <t xml:space="preserve">F:\images\20210219\plaque 1/@07 EE2 488/F7_03.tif </t>
  </si>
  <si>
    <t xml:space="preserve"> 50246.2452 </t>
  </si>
  <si>
    <t xml:space="preserve"> 84.5906 </t>
  </si>
  <si>
    <t xml:space="preserve">F:\images\20210219\plaque 1/@07 EE2 488/G7_01.tif </t>
  </si>
  <si>
    <t xml:space="preserve"> 86865.6568 </t>
  </si>
  <si>
    <t xml:space="preserve"> 84.3723 </t>
  </si>
  <si>
    <t xml:space="preserve">F:\images\20210219\plaque 1/@07 EE2 488/G7_02.tif </t>
  </si>
  <si>
    <t xml:space="preserve"> 80917.4358 </t>
  </si>
  <si>
    <t xml:space="preserve"> 83.8867 </t>
  </si>
  <si>
    <t xml:space="preserve">F:\images\20210219\plaque 1/@07 EE2 488/G7_03.tif </t>
  </si>
  <si>
    <t xml:space="preserve"> 81652.8522 </t>
  </si>
  <si>
    <t xml:space="preserve"> 82.4895 </t>
  </si>
  <si>
    <t xml:space="preserve">F:\images\20210219\plaque 1/@07 EE2 488/H7_01.tif </t>
  </si>
  <si>
    <t xml:space="preserve"> 50419.2844 </t>
  </si>
  <si>
    <t xml:space="preserve"> 83.109 </t>
  </si>
  <si>
    <t xml:space="preserve">F:\images\20210219\plaque 1/@07 EE2 488/H7_02.tif </t>
  </si>
  <si>
    <t xml:space="preserve"> 45033.4406 </t>
  </si>
  <si>
    <t xml:space="preserve"> 85.8535 </t>
  </si>
  <si>
    <t xml:space="preserve">F:\images\20210219\plaque 1/@07 EE2 488/H7_03.tif </t>
  </si>
  <si>
    <t xml:space="preserve"> 85.9707 </t>
  </si>
  <si>
    <t xml:space="preserve">F:\images\20210219\plaque 1/@07 EE2 488/ </t>
  </si>
  <si>
    <t xml:space="preserve"> 88.8571 </t>
  </si>
  <si>
    <t xml:space="preserve"> 5.7815 </t>
  </si>
  <si>
    <t xml:space="preserve"> 5090941.79 </t>
  </si>
  <si>
    <t xml:space="preserve"> 1621105.08 </t>
  </si>
  <si>
    <t xml:space="preserve">F:\images\20210219\plaque 1/@08 17b estradiol 34 ng_L/A8_01.tif </t>
  </si>
  <si>
    <t xml:space="preserve"> 63.3182 </t>
  </si>
  <si>
    <t xml:space="preserve">F:\images\20210219\plaque 1/@08 17b estradiol 34 ng_L/A8_02.tif </t>
  </si>
  <si>
    <t xml:space="preserve"> 3893.381 </t>
  </si>
  <si>
    <t xml:space="preserve"> 68.4833 </t>
  </si>
  <si>
    <t xml:space="preserve">F:\images\20210219\plaque 1/@08 17b estradiol 34 ng_L/A8_03.tif </t>
  </si>
  <si>
    <t xml:space="preserve"> 62.7059 </t>
  </si>
  <si>
    <t>F:\images\20210219\plaque 1/@08 17b estradiol 34 ng_L/B8_01- exclu.tif</t>
  </si>
  <si>
    <t xml:space="preserve">F:\images\20210219\plaque 1/@08 17b estradiol 34 ng_L/B8_02.tif </t>
  </si>
  <si>
    <t xml:space="preserve"> 11377.3246 </t>
  </si>
  <si>
    <t xml:space="preserve"> 75.1483 </t>
  </si>
  <si>
    <t xml:space="preserve">F:\images\20210219\plaque 1/@08 17b estradiol 34 ng_L/B8_03.tif </t>
  </si>
  <si>
    <t xml:space="preserve"> 6467.3385 </t>
  </si>
  <si>
    <t xml:space="preserve"> 67.6321 </t>
  </si>
  <si>
    <t xml:space="preserve">F:\images\20210219\plaque 1/@08 17b estradiol 34 ng_L/C8_01.tif </t>
  </si>
  <si>
    <t xml:space="preserve"> 72.7095 </t>
  </si>
  <si>
    <t xml:space="preserve">F:\images\20210219\plaque 1/@08 17b estradiol 34 ng_L/C8_02.tif </t>
  </si>
  <si>
    <t xml:space="preserve"> 5861.7014 </t>
  </si>
  <si>
    <t xml:space="preserve"> 66.7122 </t>
  </si>
  <si>
    <t xml:space="preserve">F:\images\20210219\plaque 1/@08 17b estradiol 34 ng_L/C8_03.tif </t>
  </si>
  <si>
    <t xml:space="preserve"> 2920.0358 </t>
  </si>
  <si>
    <t xml:space="preserve"> 64.2148 </t>
  </si>
  <si>
    <t xml:space="preserve">F:\images\20210219\plaque 1/@08 17b estradiol 34 ng_L/D8_01.tif </t>
  </si>
  <si>
    <t xml:space="preserve"> 66.3026 </t>
  </si>
  <si>
    <t xml:space="preserve">F:\images\20210219\plaque 1/@08 17b estradiol 34 ng_L/D8_02.tif </t>
  </si>
  <si>
    <t xml:space="preserve"> 3395.8935 </t>
  </si>
  <si>
    <t xml:space="preserve"> 68.2357 </t>
  </si>
  <si>
    <t xml:space="preserve">F:\images\20210219\plaque 1/@08 17b estradiol 34 ng_L/D8_03.tif </t>
  </si>
  <si>
    <t xml:space="preserve"> 63.7551 </t>
  </si>
  <si>
    <t xml:space="preserve">F:\images\20210219\plaque 1/@08 17b estradiol 34 ng_L/E8_01.tif </t>
  </si>
  <si>
    <t xml:space="preserve"> 7397.424 </t>
  </si>
  <si>
    <t xml:space="preserve"> 77.2281 </t>
  </si>
  <si>
    <t xml:space="preserve">F:\images\20210219\plaque 1/@08 17b estradiol 34 ng_L/E8_02.tif </t>
  </si>
  <si>
    <t xml:space="preserve"> 71.8316 </t>
  </si>
  <si>
    <t xml:space="preserve">F:\images\20210219\plaque 1/@08 17b estradiol 34 ng_L/E8_03.tif </t>
  </si>
  <si>
    <t xml:space="preserve"> 5688.6623 </t>
  </si>
  <si>
    <t xml:space="preserve"> 79.7186 </t>
  </si>
  <si>
    <t xml:space="preserve">F:\images\20210219\plaque 1/@08 17b estradiol 34 ng_L/F8_01.tif </t>
  </si>
  <si>
    <t xml:space="preserve"> 66.0551 </t>
  </si>
  <si>
    <t xml:space="preserve">F:\images\20210219\plaque 1/@08 17b estradiol 34 ng_L/F8_02.tif </t>
  </si>
  <si>
    <t xml:space="preserve"> 7786.7621 </t>
  </si>
  <si>
    <t xml:space="preserve"> 72.2833 </t>
  </si>
  <si>
    <t xml:space="preserve">F:\images\20210219\plaque 1/@08 17b estradiol 34 ng_L/F8_03.tif </t>
  </si>
  <si>
    <t xml:space="preserve"> 5256.0644 </t>
  </si>
  <si>
    <t xml:space="preserve"> 68.893 </t>
  </si>
  <si>
    <t xml:space="preserve">F:\images\20210219\plaque 1/@08 17b estradiol 34 ng_L/G8_01.tif </t>
  </si>
  <si>
    <t xml:space="preserve"> 69.7311 </t>
  </si>
  <si>
    <t xml:space="preserve">F:\images\20210219\plaque 1/@08 17b estradiol 34 ng_L/G8_02.tif </t>
  </si>
  <si>
    <t xml:space="preserve"> 63.5052 </t>
  </si>
  <si>
    <t xml:space="preserve">F:\images\20210219\plaque 1/@08 17b estradiol 34 ng_L/G8_03.tif </t>
  </si>
  <si>
    <t xml:space="preserve"> 66.7273 </t>
  </si>
  <si>
    <t xml:space="preserve">F:\images\20210219\plaque 1/@08 17b estradiol 34 ng_L/H8_01.tif </t>
  </si>
  <si>
    <t xml:space="preserve"> 63.58 </t>
  </si>
  <si>
    <t xml:space="preserve">F:\images\20210219\plaque 1/@08 17b estradiol 34 ng_L/H8_02.tif </t>
  </si>
  <si>
    <t xml:space="preserve"> 63.587 </t>
  </si>
  <si>
    <t xml:space="preserve">F:\images\20210219\plaque 1/@08 17b estradiol 34 ng_L/H8_03.tif </t>
  </si>
  <si>
    <t xml:space="preserve"> 5039.7654 </t>
  </si>
  <si>
    <t xml:space="preserve"> 70.7082 </t>
  </si>
  <si>
    <t xml:space="preserve">F:\images\20210219\plaque 1/@08 17b estradiol 34 ng_L/ </t>
  </si>
  <si>
    <t xml:space="preserve"> 69.1503 </t>
  </si>
  <si>
    <t xml:space="preserve"> 5.9119 </t>
  </si>
  <si>
    <t xml:space="preserve"> 338670.958 </t>
  </si>
  <si>
    <t xml:space="preserve"> 276853.535 </t>
  </si>
  <si>
    <t xml:space="preserve">F:\images\20210219\plaque 1/@09 17b estradiol 68/A9_01.tif </t>
  </si>
  <si>
    <t xml:space="preserve"> 12653.4884 </t>
  </si>
  <si>
    <t xml:space="preserve"> 69.2154 </t>
  </si>
  <si>
    <t xml:space="preserve">F:\images\20210219\plaque 1/@09 17b estradiol 68/A9_02.tif </t>
  </si>
  <si>
    <t xml:space="preserve"> 9365.7444 </t>
  </si>
  <si>
    <t xml:space="preserve"> 68.8915 </t>
  </si>
  <si>
    <t xml:space="preserve">F:\images\20210219\plaque 1/@09 17b estradiol 68/A9_03.tif </t>
  </si>
  <si>
    <t xml:space="preserve"> 9819.9722 </t>
  </si>
  <si>
    <t xml:space="preserve"> 76.2555 </t>
  </si>
  <si>
    <t xml:space="preserve">F:\images\20210219\plaque 1/@09 17b estradiol 68/B9_01.tif </t>
  </si>
  <si>
    <t xml:space="preserve"> 5429.1036 </t>
  </si>
  <si>
    <t xml:space="preserve"> 71.3108 </t>
  </si>
  <si>
    <t xml:space="preserve">F:\images\20210219\plaque 1/@09 17b estradiol 68/B9_02.tif </t>
  </si>
  <si>
    <t xml:space="preserve"> 930.0855 </t>
  </si>
  <si>
    <t xml:space="preserve"> 65.5116 </t>
  </si>
  <si>
    <t xml:space="preserve">F:\images\20210219\plaque 1/@09 17b estradiol 68/B9_03.tif </t>
  </si>
  <si>
    <t xml:space="preserve"> 65.7945 </t>
  </si>
  <si>
    <t xml:space="preserve">F:\images\20210219\plaque 1/@09 17b estradiol 68/C9_01.tif </t>
  </si>
  <si>
    <t xml:space="preserve"> 63.1111 </t>
  </si>
  <si>
    <t xml:space="preserve">F:\images\20210219\plaque 1/@09 17b estradiol 68/C9_02.tif </t>
  </si>
  <si>
    <t xml:space="preserve"> 70.0387 </t>
  </si>
  <si>
    <t xml:space="preserve">F:\images\20210219\plaque 1/@09 17b estradiol 68/C9_03.tif </t>
  </si>
  <si>
    <t xml:space="preserve"> 63.0556 </t>
  </si>
  <si>
    <t>F:\images\20210219\plaque 1/@09 17b estradiol 68/D9_01- exclu.tif</t>
  </si>
  <si>
    <t>F:\images\20210219\plaque 1/@09 17b estradiol 68/D9_02- exclu.tif</t>
  </si>
  <si>
    <t xml:space="preserve">F:\images\20210219\plaque 1/@09 17b estradiol 68/D9_03.tif </t>
  </si>
  <si>
    <t xml:space="preserve"> 78.9348 </t>
  </si>
  <si>
    <t xml:space="preserve">F:\images\20210219\plaque 1/@09 17b estradiol 68/E9_01.tif </t>
  </si>
  <si>
    <t xml:space="preserve"> 4693.6871 </t>
  </si>
  <si>
    <t xml:space="preserve"> 63.6452 </t>
  </si>
  <si>
    <t xml:space="preserve">F:\images\20210219\plaque 1/@09 17b estradiol 68/E9_02.tif </t>
  </si>
  <si>
    <t xml:space="preserve"> 6791.7869 </t>
  </si>
  <si>
    <t xml:space="preserve"> 68.6178 </t>
  </si>
  <si>
    <t xml:space="preserve">F:\images\20210219\plaque 1/@09 17b estradiol 68/E9_03.tif </t>
  </si>
  <si>
    <t xml:space="preserve"> 4996.5057 </t>
  </si>
  <si>
    <t xml:space="preserve"> 67.2814 </t>
  </si>
  <si>
    <t xml:space="preserve">F:\images\20210219\plaque 1/@09 17b estradiol 68/F9_01.tif </t>
  </si>
  <si>
    <t xml:space="preserve"> 4542.2779 </t>
  </si>
  <si>
    <t xml:space="preserve"> 67.2714 </t>
  </si>
  <si>
    <t xml:space="preserve">F:\images\20210219\plaque 1/@09 17b estradiol 68/F9_02.tif </t>
  </si>
  <si>
    <t xml:space="preserve"> 64.9894 </t>
  </si>
  <si>
    <t xml:space="preserve">F:\images\20210219\plaque 1/@09 17b estradiol 68/F9_03.tif </t>
  </si>
  <si>
    <t xml:space="preserve"> 64.6467 </t>
  </si>
  <si>
    <t xml:space="preserve">F:\images\20210219\plaque 1/@09 17b estradiol 68/G9_01.tif </t>
  </si>
  <si>
    <t xml:space="preserve"> 5147.9149 </t>
  </si>
  <si>
    <t xml:space="preserve"> 68.8361 </t>
  </si>
  <si>
    <t xml:space="preserve">F:\images\20210219\plaque 1/@09 17b estradiol 68/G9_02.tif </t>
  </si>
  <si>
    <t xml:space="preserve"> 3439.1532 </t>
  </si>
  <si>
    <t xml:space="preserve"> 63.5849 </t>
  </si>
  <si>
    <t xml:space="preserve">F:\images\20210219\plaque 1/@09 17b estradiol 68/G9_03.tif </t>
  </si>
  <si>
    <t xml:space="preserve"> 65.12 </t>
  </si>
  <si>
    <t xml:space="preserve">F:\images\20210219\plaque 1/@09 17b estradiol 68/H9_01.tif </t>
  </si>
  <si>
    <t xml:space="preserve"> 65.8941 </t>
  </si>
  <si>
    <t xml:space="preserve">F:\images\20210219\plaque 1/@09 17b estradiol 68/H9_02.tif </t>
  </si>
  <si>
    <t xml:space="preserve"> 7202.7549 </t>
  </si>
  <si>
    <t xml:space="preserve"> 78.6156 </t>
  </si>
  <si>
    <t>F:\images\20210219\plaque 1/@09 17b estradiol 68/H9_03- exclu.tif</t>
  </si>
  <si>
    <t xml:space="preserve">F:\images\20210219\plaque 1/@09 17b estradiol 68/ </t>
  </si>
  <si>
    <t xml:space="preserve"> 67.4489 </t>
  </si>
  <si>
    <t xml:space="preserve"> 4.7929 </t>
  </si>
  <si>
    <t xml:space="preserve"> 309307.5 </t>
  </si>
  <si>
    <t xml:space="preserve"> 263992.876 </t>
  </si>
  <si>
    <t xml:space="preserve">F:\images\20210219\plaque 1/@10 17b estradiol 135/A10_01.tif </t>
  </si>
  <si>
    <t xml:space="preserve"> 64.0602 </t>
  </si>
  <si>
    <t xml:space="preserve">F:\images\20210219\plaque 1/@10 17b estradiol 135/A10_02.tif </t>
  </si>
  <si>
    <t xml:space="preserve"> 64.2477 </t>
  </si>
  <si>
    <t xml:space="preserve">F:\images\20210219\plaque 1/@10 17b estradiol 135/A10_03.tif </t>
  </si>
  <si>
    <t xml:space="preserve"> 6315.9292 </t>
  </si>
  <si>
    <t xml:space="preserve"> 67.5308 </t>
  </si>
  <si>
    <t xml:space="preserve">F:\images\20210219\plaque 1/@10 17b estradiol 135/B10_01.tif </t>
  </si>
  <si>
    <t xml:space="preserve"> 25674.6849 </t>
  </si>
  <si>
    <t xml:space="preserve"> 65.1735 </t>
  </si>
  <si>
    <t xml:space="preserve">F:\images\20210219\plaque 1/@10 17b estradiol 135/B10_02.tif </t>
  </si>
  <si>
    <t xml:space="preserve"> 26366.8416 </t>
  </si>
  <si>
    <t xml:space="preserve"> 67.4561 </t>
  </si>
  <si>
    <t xml:space="preserve">F:\images\20210219\plaque 1/@10 17b estradiol 135/B10_03.tif </t>
  </si>
  <si>
    <t xml:space="preserve"> 14318.9902 </t>
  </si>
  <si>
    <t xml:space="preserve"> 64.1828 </t>
  </si>
  <si>
    <t xml:space="preserve">F:\images\20210219\plaque 1/@10 17b estradiol 135/C10_01.tif </t>
  </si>
  <si>
    <t xml:space="preserve"> 63.2632 </t>
  </si>
  <si>
    <t xml:space="preserve">F:\images\20210219\plaque 1/@10 17b estradiol 135/C10_02.tif </t>
  </si>
  <si>
    <t xml:space="preserve"> 63.0917 </t>
  </si>
  <si>
    <t>F:\images\20210219\plaque 1/@10 17b estradiol 135/C10_03- exclu.tif</t>
  </si>
  <si>
    <t xml:space="preserve">F:\images\20210219\plaque 1/@10 17b estradiol 135/D10_01.tif </t>
  </si>
  <si>
    <t xml:space="preserve"> 25090.6778 </t>
  </si>
  <si>
    <t xml:space="preserve"> 68.7897 </t>
  </si>
  <si>
    <t xml:space="preserve">F:\images\20210219\plaque 1/@10 17b estradiol 135/D10_02.tif </t>
  </si>
  <si>
    <t xml:space="preserve"> 19531.7948 </t>
  </si>
  <si>
    <t xml:space="preserve"> 67.7575 </t>
  </si>
  <si>
    <t xml:space="preserve">F:\images\20210219\plaque 1/@10 17b estradiol 135/D10_03.tif </t>
  </si>
  <si>
    <t xml:space="preserve"> 67.961 </t>
  </si>
  <si>
    <t xml:space="preserve">F:\images\20210219\plaque 1/@10 17b estradiol 135/E10_01.tif </t>
  </si>
  <si>
    <t xml:space="preserve"> 7916.5414 </t>
  </si>
  <si>
    <t xml:space="preserve"> 75.3716 </t>
  </si>
  <si>
    <t xml:space="preserve">F:\images\20210219\plaque 1/@10 17b estradiol 135/E10_02.tif </t>
  </si>
  <si>
    <t xml:space="preserve"> 70.0489 </t>
  </si>
  <si>
    <t>F:\images\20210219\plaque 1/@10 17b estradiol 135/E10_03- exclu.tif</t>
  </si>
  <si>
    <t xml:space="preserve">F:\images\20210219\plaque 1/@10 17b estradiol 135/F10_01.tif </t>
  </si>
  <si>
    <t xml:space="preserve"> 44362.9139 </t>
  </si>
  <si>
    <t xml:space="preserve"> 68.0585 </t>
  </si>
  <si>
    <t xml:space="preserve">F:\images\20210219\plaque 1/@10 17b estradiol 135/F10_02.tif </t>
  </si>
  <si>
    <t xml:space="preserve"> 48753.7825 </t>
  </si>
  <si>
    <t xml:space="preserve"> 68.5945 </t>
  </si>
  <si>
    <t xml:space="preserve">F:\images\20210219\plaque 1/@10 17b estradiol 135/F10_03.tif </t>
  </si>
  <si>
    <t xml:space="preserve"> 40339.7535 </t>
  </si>
  <si>
    <t xml:space="preserve"> 68.1464 </t>
  </si>
  <si>
    <t xml:space="preserve">F:\images\20210219\plaque 1/@10 17b estradiol 135/G10_01.tif </t>
  </si>
  <si>
    <t xml:space="preserve"> 62.8041 </t>
  </si>
  <si>
    <t xml:space="preserve">F:\images\20210219\plaque 1/@10 17b estradiol 135/G10_02.tif </t>
  </si>
  <si>
    <t xml:space="preserve"> 6445.7086 </t>
  </si>
  <si>
    <t xml:space="preserve"> 64.2953 </t>
  </si>
  <si>
    <t xml:space="preserve">F:\images\20210219\plaque 1/@10 17b estradiol 135/G10_03.tif </t>
  </si>
  <si>
    <t xml:space="preserve"> 64.4467 </t>
  </si>
  <si>
    <t xml:space="preserve">F:\images\20210219\plaque 1/@10 17b estradiol 135/H10_01.tif </t>
  </si>
  <si>
    <t xml:space="preserve"> 9582.0433 </t>
  </si>
  <si>
    <t xml:space="preserve"> 66.5282 </t>
  </si>
  <si>
    <t xml:space="preserve">F:\images\20210219\plaque 1/@10 17b estradiol 135/H10_02.tif </t>
  </si>
  <si>
    <t xml:space="preserve"> 9279.2248 </t>
  </si>
  <si>
    <t xml:space="preserve"> 66.2471 </t>
  </si>
  <si>
    <t xml:space="preserve">F:\images\20210219\plaque 1/@10 17b estradiol 135/H10_03.tif </t>
  </si>
  <si>
    <t xml:space="preserve"> 12004.5915 </t>
  </si>
  <si>
    <t xml:space="preserve"> 65.1243 </t>
  </si>
  <si>
    <t xml:space="preserve">F:\images\20210219\plaque 1/@10 17b estradiol 135/ </t>
  </si>
  <si>
    <t xml:space="preserve"> 66.9474 </t>
  </si>
  <si>
    <t xml:space="preserve"> 4.0253 </t>
  </si>
  <si>
    <t xml:space="preserve"> 1003883.96 </t>
  </si>
  <si>
    <t xml:space="preserve"> 943927.671 </t>
  </si>
  <si>
    <t xml:space="preserve">F:\images\20210219\plaque 1/@11 17b estradiol 270/A11_01.tif </t>
  </si>
  <si>
    <t xml:space="preserve"> 72611.5563 </t>
  </si>
  <si>
    <t xml:space="preserve"> 74.6113 </t>
  </si>
  <si>
    <t xml:space="preserve">F:\images\20210219\plaque 1/@11 17b estradiol 270/A11_02.tif </t>
  </si>
  <si>
    <t xml:space="preserve"> 68263.9474 </t>
  </si>
  <si>
    <t xml:space="preserve"> 72.962 </t>
  </si>
  <si>
    <t xml:space="preserve">F:\images\20210219\plaque 1/@11 17b estradiol 270/A11_03.tif </t>
  </si>
  <si>
    <t xml:space="preserve"> 67615.0506 </t>
  </si>
  <si>
    <t xml:space="preserve"> 72.1817 </t>
  </si>
  <si>
    <t xml:space="preserve">F:\images\20210219\plaque 1/@11 17b estradiol 270/B11_01.tif </t>
  </si>
  <si>
    <t xml:space="preserve"> 72.6071 </t>
  </si>
  <si>
    <t xml:space="preserve">F:\images\20210219\plaque 1/@11 17b estradiol 270/B11_02.tif </t>
  </si>
  <si>
    <t xml:space="preserve"> 44514.3231 </t>
  </si>
  <si>
    <t xml:space="preserve"> 72.2468 </t>
  </si>
  <si>
    <t xml:space="preserve">F:\images\20210219\plaque 1/@11 17b estradiol 270/B11_03.tif </t>
  </si>
  <si>
    <t xml:space="preserve"> 53404.2098 </t>
  </si>
  <si>
    <t xml:space="preserve"> 71.9478 </t>
  </si>
  <si>
    <t xml:space="preserve">F:\images\20210219\plaque 1/@11 17b estradiol 270/C11_01.tif </t>
  </si>
  <si>
    <t xml:space="preserve"> 50765.3627 </t>
  </si>
  <si>
    <t xml:space="preserve"> 72.248 </t>
  </si>
  <si>
    <t xml:space="preserve">F:\images\20210219\plaque 1/@11 17b estradiol 270/C11_02.tif </t>
  </si>
  <si>
    <t xml:space="preserve"> 73.2604 </t>
  </si>
  <si>
    <t xml:space="preserve">F:\images\20210219\plaque 1/@11 17b estradiol 270/C11_03.tif </t>
  </si>
  <si>
    <t xml:space="preserve"> 46569.1631 </t>
  </si>
  <si>
    <t xml:space="preserve"> 71.7887 </t>
  </si>
  <si>
    <t xml:space="preserve">F:\images\20210219\plaque 1/@11 17b estradiol 270/D11_01.tif </t>
  </si>
  <si>
    <t xml:space="preserve"> 74752.9158 </t>
  </si>
  <si>
    <t xml:space="preserve"> 80.9711 </t>
  </si>
  <si>
    <t xml:space="preserve">F:\images\20210219\plaque 1/@11 17b estradiol 270/D11_02.tif </t>
  </si>
  <si>
    <t xml:space="preserve"> 70275.5276 </t>
  </si>
  <si>
    <t xml:space="preserve"> 82.3777 </t>
  </si>
  <si>
    <t xml:space="preserve">F:\images\20210219\plaque 1/@11 17b estradiol 270/D11_03.tif </t>
  </si>
  <si>
    <t xml:space="preserve"> 72092.4388 </t>
  </si>
  <si>
    <t xml:space="preserve"> 75.1095 </t>
  </si>
  <si>
    <t xml:space="preserve">F:\images\20210219\plaque 1/@11 17b estradiol 270/E11_01.tif </t>
  </si>
  <si>
    <t xml:space="preserve"> 69258.9226 </t>
  </si>
  <si>
    <t xml:space="preserve"> 80.7836 </t>
  </si>
  <si>
    <t xml:space="preserve">F:\images\20210219\plaque 1/@11 17b estradiol 270/E11_02.tif </t>
  </si>
  <si>
    <t xml:space="preserve"> 62921.3635 </t>
  </si>
  <si>
    <t xml:space="preserve"> 78.5328 </t>
  </si>
  <si>
    <t xml:space="preserve">F:\images\20210219\plaque 1/@11 17b estradiol 270/E11_03.tif </t>
  </si>
  <si>
    <t xml:space="preserve"> 63764.9294 </t>
  </si>
  <si>
    <t xml:space="preserve"> 77.2673 </t>
  </si>
  <si>
    <t xml:space="preserve">F:\images\20210219\plaque 1/@11 17b estradiol 270/F11_01.tif </t>
  </si>
  <si>
    <t xml:space="preserve"> 64565.2355 </t>
  </si>
  <si>
    <t xml:space="preserve"> 72.5816 </t>
  </si>
  <si>
    <t xml:space="preserve">F:\images\20210219\plaque 1/@11 17b estradiol 270/F11_02.tif </t>
  </si>
  <si>
    <t xml:space="preserve"> 65560.2106 </t>
  </si>
  <si>
    <t xml:space="preserve"> 74.2234 </t>
  </si>
  <si>
    <t xml:space="preserve">F:\images\20210219\plaque 1/@11 17b estradiol 270/F11_03.tif </t>
  </si>
  <si>
    <t xml:space="preserve"> 66663.3352 </t>
  </si>
  <si>
    <t xml:space="preserve"> 75.0811 </t>
  </si>
  <si>
    <t xml:space="preserve">F:\images\20210219\plaque 1/@11 17b estradiol 270/G11_01.tif </t>
  </si>
  <si>
    <t xml:space="preserve"> 46266.3446 </t>
  </si>
  <si>
    <t xml:space="preserve"> 78.5727 </t>
  </si>
  <si>
    <t xml:space="preserve">F:\images\20210219\plaque 1/@11 17b estradiol 270/G11_02.tif </t>
  </si>
  <si>
    <t xml:space="preserve"> 77.7388 </t>
  </si>
  <si>
    <t xml:space="preserve">F:\images\20210219\plaque 1/@11 17b estradiol 270/G11_03.tif </t>
  </si>
  <si>
    <t xml:space="preserve"> 51046.5513 </t>
  </si>
  <si>
    <t xml:space="preserve"> 77.3182 </t>
  </si>
  <si>
    <t xml:space="preserve">F:\images\20210219\plaque 1/@11 17b estradiol 270/H11_01.tif </t>
  </si>
  <si>
    <t xml:space="preserve"> 77.6437 </t>
  </si>
  <si>
    <t xml:space="preserve">F:\images\20210219\plaque 1/@11 17b estradiol 270/H11_02.tif </t>
  </si>
  <si>
    <t xml:space="preserve"> 82.2362 </t>
  </si>
  <si>
    <t xml:space="preserve">F:\images\20210219\plaque 1/@11 17b estradiol 270/H11_03.tif </t>
  </si>
  <si>
    <t xml:space="preserve"> 25934.2437 </t>
  </si>
  <si>
    <t xml:space="preserve"> 79.8148 </t>
  </si>
  <si>
    <t xml:space="preserve">F:\images\20210219\plaque 1/@11 17b estradiol 270/ </t>
  </si>
  <si>
    <t xml:space="preserve"> 76.0044 </t>
  </si>
  <si>
    <t xml:space="preserve"> 3.5347 </t>
  </si>
  <si>
    <t xml:space="preserve"> 4217330.21 </t>
  </si>
  <si>
    <t xml:space="preserve"> 1179581.09 </t>
  </si>
  <si>
    <t xml:space="preserve">F:\images\20210219\plaque 1/@12 17b estradiol 540/A12_01.tif </t>
  </si>
  <si>
    <t xml:space="preserve"> 55242.7509 </t>
  </si>
  <si>
    <t xml:space="preserve"> 88.1492 </t>
  </si>
  <si>
    <t xml:space="preserve">F:\images\20210219\plaque 1/@12 17b estradiol 540/A12_02.tif </t>
  </si>
  <si>
    <t xml:space="preserve"> 53923.3273 </t>
  </si>
  <si>
    <t xml:space="preserve"> 87.0181 </t>
  </si>
  <si>
    <t xml:space="preserve">F:\images\20210219\plaque 1/@12 17b estradiol 540/A12_03.tif </t>
  </si>
  <si>
    <t xml:space="preserve"> 50895.1421 </t>
  </si>
  <si>
    <t xml:space="preserve"> 87.3842 </t>
  </si>
  <si>
    <t xml:space="preserve">F:\images\20210219\plaque 1/@12 17b estradiol 540/B12_01.tif </t>
  </si>
  <si>
    <t xml:space="preserve"> 84507.9983 </t>
  </si>
  <si>
    <t xml:space="preserve"> 90.4159 </t>
  </si>
  <si>
    <t xml:space="preserve">F:\images\20210219\plaque 1/@12 17b estradiol 540/B12_02.tif </t>
  </si>
  <si>
    <t xml:space="preserve"> 82647.8274 </t>
  </si>
  <si>
    <t xml:space="preserve"> 92.1471 </t>
  </si>
  <si>
    <t xml:space="preserve">F:\images\20210219\plaque 1/@12 17b estradiol 540/B12_03.tif </t>
  </si>
  <si>
    <t xml:space="preserve"> 80874.176 </t>
  </si>
  <si>
    <t xml:space="preserve"> 94.2517 </t>
  </si>
  <si>
    <t>F:\images\20210219\plaque 1/@12 17b estradiol 540/C12_01- exclu.tif</t>
  </si>
  <si>
    <t xml:space="preserve">F:\images\20210219\plaque 1/@12 17b estradiol 540/C12_02.tif </t>
  </si>
  <si>
    <t xml:space="preserve"> 74882.6952 </t>
  </si>
  <si>
    <t xml:space="preserve"> 88.5575 </t>
  </si>
  <si>
    <t>F:\images\20210219\plaque 1/@12 17b estradiol 540/C12_03- exclu.tif</t>
  </si>
  <si>
    <t xml:space="preserve">F:\images\20210219\plaque 1/@12 17b estradiol 540/D12_01.tif </t>
  </si>
  <si>
    <t xml:space="preserve"> 87.4486 </t>
  </si>
  <si>
    <t xml:space="preserve">F:\images\20210219\plaque 1/@12 17b estradiol 540/D12_02.tif </t>
  </si>
  <si>
    <t xml:space="preserve"> 52625.5336 </t>
  </si>
  <si>
    <t xml:space="preserve"> 87.7004 </t>
  </si>
  <si>
    <t xml:space="preserve">F:\images\20210219\plaque 1/@12 17b estradiol 540/D12_03.tif </t>
  </si>
  <si>
    <t xml:space="preserve"> 53296.0604 </t>
  </si>
  <si>
    <t xml:space="preserve"> 84.2094 </t>
  </si>
  <si>
    <t xml:space="preserve">F:\images\20210219\plaque 1/@12 17b estradiol 540/E12_01.tif </t>
  </si>
  <si>
    <t xml:space="preserve"> 50202.9854 </t>
  </si>
  <si>
    <t xml:space="preserve"> 95.4688 </t>
  </si>
  <si>
    <t xml:space="preserve">F:\images\20210219\plaque 1/@12 17b estradiol 540/E12_02.tif </t>
  </si>
  <si>
    <t xml:space="preserve"> 54637.1138 </t>
  </si>
  <si>
    <t xml:space="preserve"> 95.1627 </t>
  </si>
  <si>
    <t xml:space="preserve">F:\images\20210219\plaque 1/@12 17b estradiol 540/E12_03.tif </t>
  </si>
  <si>
    <t xml:space="preserve"> 50073.2061 </t>
  </si>
  <si>
    <t xml:space="preserve"> 97.4333 </t>
  </si>
  <si>
    <t xml:space="preserve">F:\images\20210219\plaque 1/@12 17b estradiol 540/F12_01.tif </t>
  </si>
  <si>
    <t xml:space="preserve"> 59244.2814 </t>
  </si>
  <si>
    <t xml:space="preserve"> 99.4319 </t>
  </si>
  <si>
    <t xml:space="preserve">F:\images\20210219\plaque 1/@12 17b estradiol 540/F12_02.tif </t>
  </si>
  <si>
    <t xml:space="preserve"> 63375.5913 </t>
  </si>
  <si>
    <t xml:space="preserve"> 93.9164 </t>
  </si>
  <si>
    <t xml:space="preserve">F:\images\20210219\plaque 1/@12 17b estradiol 540/F12_03.tif </t>
  </si>
  <si>
    <t xml:space="preserve"> 96.2949 </t>
  </si>
  <si>
    <t xml:space="preserve">F:\images\20210219\plaque 1/@12 17b estradiol 540/G12_01.tif </t>
  </si>
  <si>
    <t xml:space="preserve"> 53901.6974 </t>
  </si>
  <si>
    <t xml:space="preserve"> 88.7259 </t>
  </si>
  <si>
    <t xml:space="preserve">F:\images\20210219\plaque 1/@12 17b estradiol 540/G12_02.tif </t>
  </si>
  <si>
    <t xml:space="preserve"> 55805.1281 </t>
  </si>
  <si>
    <t xml:space="preserve"> 87.762 </t>
  </si>
  <si>
    <t xml:space="preserve">F:\images\20210219\plaque 1/@12 17b estradiol 540/G12_03.tif </t>
  </si>
  <si>
    <t xml:space="preserve"> 53880.0675 </t>
  </si>
  <si>
    <t xml:space="preserve"> 87.2967 </t>
  </si>
  <si>
    <t xml:space="preserve">F:\images\20210219\plaque 1/@12 17b estradiol 540/H12_01.tif </t>
  </si>
  <si>
    <t xml:space="preserve"> 75618.1116 </t>
  </si>
  <si>
    <t xml:space="preserve"> 96.276 </t>
  </si>
  <si>
    <t xml:space="preserve">F:\images\20210219\plaque 1/@12 17b estradiol 540/H12_02.tif </t>
  </si>
  <si>
    <t xml:space="preserve"> 66641.7054 </t>
  </si>
  <si>
    <t xml:space="preserve"> 95.889 </t>
  </si>
  <si>
    <t xml:space="preserve">F:\images\20210219\plaque 1/@12 17b estradiol 540/H12_03.tif </t>
  </si>
  <si>
    <t xml:space="preserve"> 76267.0085 </t>
  </si>
  <si>
    <t xml:space="preserve"> 93.5 </t>
  </si>
  <si>
    <t xml:space="preserve">F:\images\20210219\plaque 1/@12 17b estradiol 540/ </t>
  </si>
  <si>
    <t xml:space="preserve"> 89.4405 </t>
  </si>
  <si>
    <t xml:space="preserve"> 8.2991 </t>
  </si>
  <si>
    <t xml:space="preserve"> 5234887.83 </t>
  </si>
  <si>
    <t xml:space="preserve"> 1843541.54 </t>
  </si>
  <si>
    <t xml:space="preserve">F:\images\20210219\plaque 2/@01 Testo 30/A1_01.tif </t>
  </si>
  <si>
    <t xml:space="preserve"> 70.9463 </t>
  </si>
  <si>
    <t>F:\images\20210219\plaque 2/@01 Testo 30/A1_02- exclu.tif</t>
  </si>
  <si>
    <t xml:space="preserve">F:\images\20210219\plaque 2/@01 Testo 30/A1_03.tif </t>
  </si>
  <si>
    <t xml:space="preserve"> 49013.3412 </t>
  </si>
  <si>
    <t xml:space="preserve"> 69.9978 </t>
  </si>
  <si>
    <t xml:space="preserve">F:\images\20210219\plaque 2/@01 Testo 30/B1_01.tif </t>
  </si>
  <si>
    <t xml:space="preserve"> 57968.1176 </t>
  </si>
  <si>
    <t xml:space="preserve"> 79.7429 </t>
  </si>
  <si>
    <t xml:space="preserve">F:\images\20210219\plaque 2/@01 Testo 30/B1_02.tif </t>
  </si>
  <si>
    <t xml:space="preserve"> 51435.8894 </t>
  </si>
  <si>
    <t xml:space="preserve"> 76.614 </t>
  </si>
  <si>
    <t xml:space="preserve">F:\images\20210219\plaque 2/@01 Testo 30/B1_03.tif </t>
  </si>
  <si>
    <t xml:space="preserve"> 55459.0498 </t>
  </si>
  <si>
    <t xml:space="preserve"> 79.1112 </t>
  </si>
  <si>
    <t xml:space="preserve">F:\images\20210219\plaque 2/@01 Testo 30/C1_01.tif </t>
  </si>
  <si>
    <t xml:space="preserve"> 27837.6744 </t>
  </si>
  <si>
    <t xml:space="preserve"> 67.3699 </t>
  </si>
  <si>
    <t xml:space="preserve">F:\images\20210219\plaque 2/@01 Testo 30/C1_02.tif </t>
  </si>
  <si>
    <t xml:space="preserve"> 17195.7662 </t>
  </si>
  <si>
    <t xml:space="preserve"> 66.5409 </t>
  </si>
  <si>
    <t xml:space="preserve">F:\images\20210219\plaque 2/@01 Testo 30/C1_03.tif </t>
  </si>
  <si>
    <t xml:space="preserve"> 64.6029 </t>
  </si>
  <si>
    <t xml:space="preserve">F:\images\20210219\plaque 2/@01 Testo 30/D1_01.tif </t>
  </si>
  <si>
    <t xml:space="preserve"> 42848.8213 </t>
  </si>
  <si>
    <t xml:space="preserve"> 71.3609 </t>
  </si>
  <si>
    <t xml:space="preserve">F:\images\20210219\plaque 2/@01 Testo 30/D1_02.tif </t>
  </si>
  <si>
    <t xml:space="preserve"> 20440.2504 </t>
  </si>
  <si>
    <t xml:space="preserve">F:\images\20210219\plaque 2/@01 Testo 30/D1_03.tif </t>
  </si>
  <si>
    <t xml:space="preserve"> 39171.7392 </t>
  </si>
  <si>
    <t xml:space="preserve"> 71.0878 </t>
  </si>
  <si>
    <t xml:space="preserve">F:\images\20210219\plaque 2/@01 Testo 30/E1_01.tif </t>
  </si>
  <si>
    <t xml:space="preserve"> 15789.8231 </t>
  </si>
  <si>
    <t xml:space="preserve"> 67.3534 </t>
  </si>
  <si>
    <t xml:space="preserve">F:\images\20210219\plaque 2/@01 Testo 30/E1_02.tif </t>
  </si>
  <si>
    <t xml:space="preserve"> 12199.2606 </t>
  </si>
  <si>
    <t xml:space="preserve"> 66.633 </t>
  </si>
  <si>
    <t xml:space="preserve">F:\images\20210219\plaque 2/@01 Testo 30/E1_03.tif </t>
  </si>
  <si>
    <t xml:space="preserve"> 16460.3498 </t>
  </si>
  <si>
    <t xml:space="preserve"> 67.77 </t>
  </si>
  <si>
    <t xml:space="preserve">F:\images\20210219\plaque 2/@01 Testo 30/F1_01.tif </t>
  </si>
  <si>
    <t xml:space="preserve"> 27556.4858 </t>
  </si>
  <si>
    <t xml:space="preserve"> 67.7261 </t>
  </si>
  <si>
    <t>F:\images\20210219\plaque 2/@01 Testo 30/F1_02- exclu.tif</t>
  </si>
  <si>
    <t xml:space="preserve">F:\images\20210219\plaque 2/@01 Testo 30/F1_03.tif </t>
  </si>
  <si>
    <t xml:space="preserve"> 27145.5178 </t>
  </si>
  <si>
    <t xml:space="preserve"> 69.9036 </t>
  </si>
  <si>
    <t xml:space="preserve">F:\images\20210219\plaque 2/@01 Testo 30/G1_01.tif </t>
  </si>
  <si>
    <t xml:space="preserve"> 31406.607 </t>
  </si>
  <si>
    <t xml:space="preserve"> 68.3519 </t>
  </si>
  <si>
    <t xml:space="preserve">F:\images\20210219\plaque 2/@01 Testo 30/G1_02.tif </t>
  </si>
  <si>
    <t xml:space="preserve"> 29632.9556 </t>
  </si>
  <si>
    <t xml:space="preserve"> 66.8533 </t>
  </si>
  <si>
    <t xml:space="preserve">F:\images\20210219\plaque 2/@01 Testo 30/G1_03.tif </t>
  </si>
  <si>
    <t xml:space="preserve"> 26453.3611 </t>
  </si>
  <si>
    <t xml:space="preserve"> 66.35 </t>
  </si>
  <si>
    <t>F:\images\20210219\plaque 2/@01 Testo 30/H1_01- exclu.tif</t>
  </si>
  <si>
    <t xml:space="preserve">F:\images\20210219\plaque 2/@01 Testo 30/H1_02.tif </t>
  </si>
  <si>
    <t xml:space="preserve"> 44341.284 </t>
  </si>
  <si>
    <t xml:space="preserve"> 71.2146 </t>
  </si>
  <si>
    <t xml:space="preserve">F:\images\20210219\plaque 2/@01 Testo 30/H1_03.tif </t>
  </si>
  <si>
    <t xml:space="preserve"> 45682.3375 </t>
  </si>
  <si>
    <t xml:space="preserve"> 70.4152 </t>
  </si>
  <si>
    <t xml:space="preserve">F:\images\20210219\plaque 2/@01 Testo 30/ </t>
  </si>
  <si>
    <t xml:space="preserve"> 69.0678 </t>
  </si>
  <si>
    <t xml:space="preserve"> 4.3741 </t>
  </si>
  <si>
    <t xml:space="preserve"> 2218235.79 </t>
  </si>
  <si>
    <t xml:space="preserve"> 1252045.12 </t>
  </si>
  <si>
    <t xml:space="preserve">F:\images\20210219\plaque 2/@02 Testo 30/A2_01.tif </t>
  </si>
  <si>
    <t xml:space="preserve"> 28875.9093 </t>
  </si>
  <si>
    <t xml:space="preserve"> 67.9993 </t>
  </si>
  <si>
    <t xml:space="preserve">F:\images\20210219\plaque 2/@02 Testo 30/A2_02.tif </t>
  </si>
  <si>
    <t xml:space="preserve"> 31125.4184 </t>
  </si>
  <si>
    <t xml:space="preserve"> 68.0584 </t>
  </si>
  <si>
    <t xml:space="preserve">F:\images\20210219\plaque 2/@02 Testo 30/A2_03.tif </t>
  </si>
  <si>
    <t xml:space="preserve"> 22495.0904 </t>
  </si>
  <si>
    <t xml:space="preserve"> 65.6375 </t>
  </si>
  <si>
    <t>F:\images\20210219\plaque 2/@02 Testo 30/B2_01- exclu.tif</t>
  </si>
  <si>
    <t>F:\images\20210219\plaque 2/@02 Testo 30/B2_02- exclu.tif</t>
  </si>
  <si>
    <t>F:\images\20210219\plaque 2/@02 Testo 30/B2_03- exclu.tif</t>
  </si>
  <si>
    <t>F:\images\20210219\plaque 2/@02 Testo 30/C2_01- exclu.tif</t>
  </si>
  <si>
    <t xml:space="preserve">F:\images\20210219\plaque 2/@02 Testo 30/C2_02.tif </t>
  </si>
  <si>
    <t xml:space="preserve"> 3136.3347 </t>
  </si>
  <si>
    <t xml:space="preserve"> 65.0345 </t>
  </si>
  <si>
    <t xml:space="preserve">F:\images\20210219\plaque 2/@02 Testo 30/C2_03.tif </t>
  </si>
  <si>
    <t xml:space="preserve"> 64.4189 </t>
  </si>
  <si>
    <t xml:space="preserve">F:\images\20210219\plaque 2/@02 Testo 30/D2_01.tif </t>
  </si>
  <si>
    <t xml:space="preserve"> 67.073 </t>
  </si>
  <si>
    <t>F:\images\20210219\plaque 2/@02 Testo 30/D2_02- exclu.tif</t>
  </si>
  <si>
    <t>F:\images\20210219\plaque 2/@02 Testo 30/D2_03- exclu.tif</t>
  </si>
  <si>
    <t xml:space="preserve">F:\images\20210219\plaque 2/@02 Testo 30/E2_01.tif </t>
  </si>
  <si>
    <t xml:space="preserve"> 78.3753 </t>
  </si>
  <si>
    <t xml:space="preserve">F:\images\20210219\plaque 2/@02 Testo 30/E2_02.tif </t>
  </si>
  <si>
    <t xml:space="preserve"> 51825.2275 </t>
  </si>
  <si>
    <t xml:space="preserve"> 76.3936 </t>
  </si>
  <si>
    <t xml:space="preserve">F:\images\20210219\plaque 2/@02 Testo 30/E2_03.tif </t>
  </si>
  <si>
    <t xml:space="preserve"> 52452.4945 </t>
  </si>
  <si>
    <t xml:space="preserve"> 75.6581 </t>
  </si>
  <si>
    <t xml:space="preserve">F:\images\20210219\plaque 2/@02 Testo 30/F2_01.tif </t>
  </si>
  <si>
    <t xml:space="preserve"> 35732.5859 </t>
  </si>
  <si>
    <t xml:space="preserve"> 68.2567 </t>
  </si>
  <si>
    <t xml:space="preserve">F:\images\20210219\plaque 2/@02 Testo 30/F2_02.tif </t>
  </si>
  <si>
    <t xml:space="preserve"> 36922.2301 </t>
  </si>
  <si>
    <t xml:space="preserve"> 68.4013 </t>
  </si>
  <si>
    <t xml:space="preserve">F:\images\20210219\plaque 2/@02 Testo 30/F2_03.tif </t>
  </si>
  <si>
    <t xml:space="preserve"> 69.2056 </t>
  </si>
  <si>
    <t xml:space="preserve">F:\images\20210219\plaque 2/@02 Testo 30/G2_01.tif </t>
  </si>
  <si>
    <t xml:space="preserve"> 65.0227 </t>
  </si>
  <si>
    <t xml:space="preserve">F:\images\20210219\plaque 2/@02 Testo 30/G2_02.tif </t>
  </si>
  <si>
    <t xml:space="preserve"> 67.2069 </t>
  </si>
  <si>
    <t xml:space="preserve">F:\images\20210219\plaque 2/@02 Testo 30/G2_03.tif </t>
  </si>
  <si>
    <t xml:space="preserve"> 68.3185 </t>
  </si>
  <si>
    <t xml:space="preserve">F:\images\20210219\plaque 2/@02 Testo 30/H2_01.tif </t>
  </si>
  <si>
    <t xml:space="preserve"> 56583.8043 </t>
  </si>
  <si>
    <t xml:space="preserve"> 71.8521 </t>
  </si>
  <si>
    <t xml:space="preserve">F:\images\20210219\plaque 2/@02 Testo 30/H2_02.tif </t>
  </si>
  <si>
    <t xml:space="preserve"> 71.7582 </t>
  </si>
  <si>
    <t xml:space="preserve">F:\images\20210219\plaque 2/@02 Testo 30/H2_03.tif </t>
  </si>
  <si>
    <t xml:space="preserve"> 70.6177 </t>
  </si>
  <si>
    <t xml:space="preserve">F:\images\20210219\plaque 2/@02 Testo 30/ </t>
  </si>
  <si>
    <t xml:space="preserve"> 71.2538 </t>
  </si>
  <si>
    <t xml:space="preserve"> 8.5242 </t>
  </si>
  <si>
    <t xml:space="preserve"> 1987914.25 </t>
  </si>
  <si>
    <t xml:space="preserve"> 1483042.37 </t>
  </si>
  <si>
    <t xml:space="preserve">F:\images\20210219\plaque 2/@03 Testo+ EE2 64/A3_01.tif </t>
  </si>
  <si>
    <t xml:space="preserve"> 42740.6718 </t>
  </si>
  <si>
    <t xml:space="preserve"> 75.9383 </t>
  </si>
  <si>
    <t xml:space="preserve">F:\images\20210219\plaque 2/@03 Testo+ EE2 64/A3_02.tif </t>
  </si>
  <si>
    <t xml:space="preserve"> 35667.6962 </t>
  </si>
  <si>
    <t xml:space="preserve"> 78.1158 </t>
  </si>
  <si>
    <t xml:space="preserve">F:\images\20210219\plaque 2/@03 Testo+ EE2 64/A3_03.tif </t>
  </si>
  <si>
    <t xml:space="preserve"> 36013.7746 </t>
  </si>
  <si>
    <t xml:space="preserve"> 77.5213 </t>
  </si>
  <si>
    <t xml:space="preserve">F:\images\20210219\plaque 2/@03 Testo+ EE2 64/B3_01.tif </t>
  </si>
  <si>
    <t xml:space="preserve"> 75769.5209 </t>
  </si>
  <si>
    <t xml:space="preserve"> 74.4747 </t>
  </si>
  <si>
    <t xml:space="preserve">F:\images\20210219\plaque 2/@03 Testo+ EE2 64/B3_02.tif </t>
  </si>
  <si>
    <t xml:space="preserve"> 69172.403 </t>
  </si>
  <si>
    <t xml:space="preserve"> 76.1654 </t>
  </si>
  <si>
    <t>F:\images\20210219\plaque 2/@03 Testo+ EE2 64/B3_03- exclu.tif</t>
  </si>
  <si>
    <t xml:space="preserve">F:\images\20210219\plaque 2/@03 Testo+ EE2 64/C3_01.tif </t>
  </si>
  <si>
    <t xml:space="preserve"> 76548.1971 </t>
  </si>
  <si>
    <t xml:space="preserve"> 78.6827 </t>
  </si>
  <si>
    <t xml:space="preserve">F:\images\20210219\plaque 2/@03 Testo+ EE2 64/C3_02.tif </t>
  </si>
  <si>
    <t xml:space="preserve"> 72676.446 </t>
  </si>
  <si>
    <t xml:space="preserve"> 80.1848 </t>
  </si>
  <si>
    <t xml:space="preserve">F:\images\20210219\plaque 2/@03 Testo+ EE2 64/C3_03.tif </t>
  </si>
  <si>
    <t xml:space="preserve"> 65473.691 </t>
  </si>
  <si>
    <t xml:space="preserve"> 81.2616 </t>
  </si>
  <si>
    <t xml:space="preserve">F:\images\20210219\plaque 2/@03 Testo+ EE2 64/D3_01.tif </t>
  </si>
  <si>
    <t xml:space="preserve"> 51457.5193 </t>
  </si>
  <si>
    <t xml:space="preserve"> 80.6196 </t>
  </si>
  <si>
    <t xml:space="preserve">F:\images\20210219\plaque 2/@03 Testo+ EE2 64/D3_02.tif </t>
  </si>
  <si>
    <t xml:space="preserve"> 53382.5799 </t>
  </si>
  <si>
    <t xml:space="preserve"> 79.889 </t>
  </si>
  <si>
    <t xml:space="preserve">F:\images\20210219\plaque 2/@03 Testo+ EE2 64/D3_03.tif </t>
  </si>
  <si>
    <t xml:space="preserve"> 53707.0284 </t>
  </si>
  <si>
    <t xml:space="preserve"> 79.9533 </t>
  </si>
  <si>
    <t>F:\images\20210219\plaque 2/@03 Testo+ EE2 64/E3_01- exclu.tif</t>
  </si>
  <si>
    <t>F:\images\20210219\plaque 2/@03 Testo+ EE2 64/E3_02- exclu.tif</t>
  </si>
  <si>
    <t>F:\images\20210219\plaque 2/@03 Testo+ EE2 64/E3_03- exclu.tif</t>
  </si>
  <si>
    <t xml:space="preserve">F:\images\20210219\plaque 2/@03 Testo+ EE2 64/F3_01.tif </t>
  </si>
  <si>
    <t xml:space="preserve"> 42199.9244 </t>
  </si>
  <si>
    <t xml:space="preserve"> 74.6074 </t>
  </si>
  <si>
    <t xml:space="preserve">F:\images\20210219\plaque 2/@03 Testo+ EE2 64/F3_02.tif </t>
  </si>
  <si>
    <t xml:space="preserve"> 41226.5792 </t>
  </si>
  <si>
    <t xml:space="preserve"> 73.6002 </t>
  </si>
  <si>
    <t xml:space="preserve">F:\images\20210219\plaque 2/@03 Testo+ EE2 64/F3_03.tif </t>
  </si>
  <si>
    <t xml:space="preserve"> 39258.2588 </t>
  </si>
  <si>
    <t xml:space="preserve"> 73.346 </t>
  </si>
  <si>
    <t xml:space="preserve">F:\images\20210219\plaque 2/@03 Testo+ EE2 64/G3_01.tif </t>
  </si>
  <si>
    <t xml:space="preserve"> 58530.4949 </t>
  </si>
  <si>
    <t xml:space="preserve"> 74.7901 </t>
  </si>
  <si>
    <t xml:space="preserve">F:\images\20210219\plaque 2/@03 Testo+ EE2 64/G3_02.tif </t>
  </si>
  <si>
    <t xml:space="preserve"> 57362.4806 </t>
  </si>
  <si>
    <t xml:space="preserve"> 76.31 </t>
  </si>
  <si>
    <t xml:space="preserve">F:\images\20210219\plaque 2/@03 Testo+ EE2 64/G3_03.tif </t>
  </si>
  <si>
    <t xml:space="preserve"> 56475.6549 </t>
  </si>
  <si>
    <t xml:space="preserve"> 75.4018 </t>
  </si>
  <si>
    <t xml:space="preserve">F:\images\20210219\plaque 2/@03 Testo+ EE2 64/H3_01.tif </t>
  </si>
  <si>
    <t xml:space="preserve"> 56086.3168 </t>
  </si>
  <si>
    <t xml:space="preserve"> 72.7462 </t>
  </si>
  <si>
    <t xml:space="preserve">F:\images\20210219\plaque 2/@03 Testo+ EE2 64/H3_02.tif </t>
  </si>
  <si>
    <t xml:space="preserve"> 61818.2388 </t>
  </si>
  <si>
    <t xml:space="preserve"> 73.6725 </t>
  </si>
  <si>
    <t xml:space="preserve">F:\images\20210219\plaque 2/@03 Testo+ EE2 64/H3_03.tif </t>
  </si>
  <si>
    <t xml:space="preserve"> 60369.0359 </t>
  </si>
  <si>
    <t xml:space="preserve"> 72.0193 </t>
  </si>
  <si>
    <t xml:space="preserve">F:\images\20210219\plaque 2/@03 Testo+ EE2 64/ </t>
  </si>
  <si>
    <t xml:space="preserve"> 74.6017 </t>
  </si>
  <si>
    <t xml:space="preserve"> 5.0403 </t>
  </si>
  <si>
    <t xml:space="preserve"> 3710306.5 </t>
  </si>
  <si>
    <t xml:space="preserve"> 1644601.16 </t>
  </si>
  <si>
    <t>F:\images\20210219\plaque 2/@04 Testo+ FAD/A4_01- exclu.tif</t>
  </si>
  <si>
    <t xml:space="preserve">F:\images\20210219\plaque 2/@04 Testo+ FAD/A4_02.tif </t>
  </si>
  <si>
    <t xml:space="preserve"> 3850.1212 </t>
  </si>
  <si>
    <t xml:space="preserve"> 64.9382 </t>
  </si>
  <si>
    <t>F:\images\20210219\plaque 2/@04 Testo+ FAD/A4_03- exclu.tif</t>
  </si>
  <si>
    <t xml:space="preserve">F:\images\20210219\plaque 2/@04 Testo+ FAD/B4_01.tif </t>
  </si>
  <si>
    <t xml:space="preserve"> 65.2519 </t>
  </si>
  <si>
    <t xml:space="preserve">F:\images\20210219\plaque 2/@04 Testo+ FAD/B4_02.tif </t>
  </si>
  <si>
    <t xml:space="preserve"> 64.0714 </t>
  </si>
  <si>
    <t xml:space="preserve">F:\images\20210219\plaque 2/@04 Testo+ FAD/B4_03.tif </t>
  </si>
  <si>
    <t xml:space="preserve"> 2314.3987 </t>
  </si>
  <si>
    <t xml:space="preserve"> 64.729 </t>
  </si>
  <si>
    <t xml:space="preserve">F:\images\20210219\plaque 2/@04 Testo+ FAD/C4_01.tif </t>
  </si>
  <si>
    <t xml:space="preserve"> 1492.4627 </t>
  </si>
  <si>
    <t xml:space="preserve"> 64.2899 </t>
  </si>
  <si>
    <t xml:space="preserve">F:\images\20210219\plaque 2/@04 Testo+ FAD/C4_02.tif </t>
  </si>
  <si>
    <t xml:space="preserve"> 64.3838 </t>
  </si>
  <si>
    <t xml:space="preserve">F:\images\20210219\plaque 2/@04 Testo+ FAD/C4_03.tif </t>
  </si>
  <si>
    <t xml:space="preserve"> 3331.0038 </t>
  </si>
  <si>
    <t xml:space="preserve"> 66.8506 </t>
  </si>
  <si>
    <t>F:\images\20210219\plaque 2/@04 Testo+ FAD/D4_01- exclu.tif</t>
  </si>
  <si>
    <t>F:\images\20210219\plaque 2/@04 Testo+ FAD/D4_02- exclu.tif</t>
  </si>
  <si>
    <t>F:\images\20210219\plaque 2/@04 Testo+ FAD/D4_03- exclu.tif</t>
  </si>
  <si>
    <t xml:space="preserve">F:\images\20210219\plaque 2/@04 Testo+ FAD/E4_01.tif </t>
  </si>
  <si>
    <t xml:space="preserve"> 6640.3777 </t>
  </si>
  <si>
    <t xml:space="preserve"> 70.5831 </t>
  </si>
  <si>
    <t xml:space="preserve">F:\images\20210219\plaque 2/@04 Testo+ FAD/E4_02.tif </t>
  </si>
  <si>
    <t xml:space="preserve"> 8478.9187 </t>
  </si>
  <si>
    <t xml:space="preserve"> 72.426 </t>
  </si>
  <si>
    <t xml:space="preserve">F:\images\20210219\plaque 2/@04 Testo+ FAD/E4_03.tif </t>
  </si>
  <si>
    <t xml:space="preserve"> 70.2145 </t>
  </si>
  <si>
    <t xml:space="preserve">F:\images\20210219\plaque 2/@04 Testo+ FAD/F4_01.tif </t>
  </si>
  <si>
    <t xml:space="preserve"> 63.7876 </t>
  </si>
  <si>
    <t xml:space="preserve">F:\images\20210219\plaque 2/@04 Testo+ FAD/F4_02.tif </t>
  </si>
  <si>
    <t xml:space="preserve"> 63.1296 </t>
  </si>
  <si>
    <t>F:\images\20210219\plaque 2/@04 Testo+ FAD/F4_03- exclu.tif</t>
  </si>
  <si>
    <t xml:space="preserve">F:\images\20210219\plaque 2/@04 Testo+ FAD/G4_01.tif </t>
  </si>
  <si>
    <t xml:space="preserve"> 670.5267 </t>
  </si>
  <si>
    <t xml:space="preserve"> 63.1935 </t>
  </si>
  <si>
    <t xml:space="preserve">F:\images\20210219\plaque 2/@04 Testo+ FAD/G4_02.tif </t>
  </si>
  <si>
    <t xml:space="preserve"> 3028.1852 </t>
  </si>
  <si>
    <t xml:space="preserve"> 65.9571 </t>
  </si>
  <si>
    <t xml:space="preserve">F:\images\20210219\plaque 2/@04 Testo+ FAD/G4_03.tif </t>
  </si>
  <si>
    <t xml:space="preserve"> 64.1042 </t>
  </si>
  <si>
    <t xml:space="preserve">F:\images\20210219\plaque 2/@04 Testo+ FAD/H4_01.tif </t>
  </si>
  <si>
    <t xml:space="preserve"> 62.4 </t>
  </si>
  <si>
    <t xml:space="preserve">F:\images\20210219\plaque 2/@04 Testo+ FAD/H4_02.tif </t>
  </si>
  <si>
    <t xml:space="preserve"> 64.4333 </t>
  </si>
  <si>
    <t xml:space="preserve">F:\images\20210219\plaque 2/@04 Testo+ FAD/H4_03.tif </t>
  </si>
  <si>
    <t xml:space="preserve"> 63.3462 </t>
  </si>
  <si>
    <t xml:space="preserve">F:\images\20210219\plaque 2/@04 Testo+ FAD/ </t>
  </si>
  <si>
    <t xml:space="preserve"> 66.6944 </t>
  </si>
  <si>
    <t xml:space="preserve"> 4.8337 </t>
  </si>
  <si>
    <t xml:space="preserve"> 251780.917 </t>
  </si>
  <si>
    <t xml:space="preserve"> 287379.449 </t>
  </si>
  <si>
    <t xml:space="preserve">F:\images\20210219\plaque 2/@05 17b estradiol 34 dopé/A5_01.tif </t>
  </si>
  <si>
    <t xml:space="preserve"> 52106.4162 </t>
  </si>
  <si>
    <t xml:space="preserve"> 73.9817 </t>
  </si>
  <si>
    <t xml:space="preserve">F:\images\20210219\plaque 2/@05 17b estradiol 34 dopé/A5_02.tif </t>
  </si>
  <si>
    <t xml:space="preserve"> 57751.8187 </t>
  </si>
  <si>
    <t xml:space="preserve"> 73.2464 </t>
  </si>
  <si>
    <t xml:space="preserve">F:\images\20210219\plaque 2/@05 17b estradiol 34 dopé/A5_03.tif </t>
  </si>
  <si>
    <t xml:space="preserve"> 57535.5197 </t>
  </si>
  <si>
    <t xml:space="preserve"> 74.3654 </t>
  </si>
  <si>
    <t xml:space="preserve">F:\images\20210219\plaque 2/@05 17b estradiol 34 dopé/B5_01.tif </t>
  </si>
  <si>
    <t xml:space="preserve"> 47109.9105 </t>
  </si>
  <si>
    <t xml:space="preserve"> 72.051 </t>
  </si>
  <si>
    <t xml:space="preserve">F:\images\20210219\plaque 2/@05 17b estradiol 34 dopé/B5_02.tif </t>
  </si>
  <si>
    <t xml:space="preserve"> 49316.1598 </t>
  </si>
  <si>
    <t xml:space="preserve"> 72.2825 </t>
  </si>
  <si>
    <t xml:space="preserve">F:\images\20210219\plaque 2/@05 17b estradiol 34 dopé/B5_03.tif </t>
  </si>
  <si>
    <t xml:space="preserve"> 44968.5509 </t>
  </si>
  <si>
    <t xml:space="preserve"> 73.5849 </t>
  </si>
  <si>
    <t xml:space="preserve">F:\images\20210219\plaque 2/@05 17b estradiol 34 dopé/C5_01.tif </t>
  </si>
  <si>
    <t xml:space="preserve"> 31622.9059 </t>
  </si>
  <si>
    <t xml:space="preserve"> 68.712 </t>
  </si>
  <si>
    <t xml:space="preserve">F:\images\20210219\plaque 2/@05 17b estradiol 34 dopé/C5_02.tif </t>
  </si>
  <si>
    <t xml:space="preserve"> 25112.3077 </t>
  </si>
  <si>
    <t xml:space="preserve"> 66.9888 </t>
  </si>
  <si>
    <t xml:space="preserve">F:\images\20210219\plaque 2/@05 17b estradiol 34 dopé/C5_03.tif </t>
  </si>
  <si>
    <t xml:space="preserve"> 28573.0908 </t>
  </si>
  <si>
    <t xml:space="preserve"> 68.3899 </t>
  </si>
  <si>
    <t xml:space="preserve">F:\images\20210219\plaque 2/@05 17b estradiol 34 dopé/D5_01.tif </t>
  </si>
  <si>
    <t xml:space="preserve"> 27707.895 </t>
  </si>
  <si>
    <t xml:space="preserve"> 67.829 </t>
  </si>
  <si>
    <t xml:space="preserve">F:\images\20210219\plaque 2/@05 17b estradiol 34 dopé/D5_02.tif </t>
  </si>
  <si>
    <t xml:space="preserve"> 34889.02 </t>
  </si>
  <si>
    <t xml:space="preserve"> 69.8841 </t>
  </si>
  <si>
    <t xml:space="preserve">F:\images\20210219\plaque 2/@05 17b estradiol 34 dopé/D5_03.tif </t>
  </si>
  <si>
    <t xml:space="preserve"> 36987.1198 </t>
  </si>
  <si>
    <t xml:space="preserve"> 70.4959 </t>
  </si>
  <si>
    <t xml:space="preserve">F:\images\20210219\plaque 2/@05 17b estradiol 34 dopé/E5_01.tif </t>
  </si>
  <si>
    <t xml:space="preserve"> 51479.1492 </t>
  </si>
  <si>
    <t xml:space="preserve"> 71.7622 </t>
  </si>
  <si>
    <t xml:space="preserve">F:\images\20210219\plaque 2/@05 17b estradiol 34 dopé/E5_02.tif </t>
  </si>
  <si>
    <t xml:space="preserve"> 50981.6616 </t>
  </si>
  <si>
    <t xml:space="preserve"> 73.095 </t>
  </si>
  <si>
    <t xml:space="preserve">F:\images\20210219\plaque 2/@05 17b estradiol 34 dopé/E5_03.tif </t>
  </si>
  <si>
    <t xml:space="preserve"> 49986.6865 </t>
  </si>
  <si>
    <t xml:space="preserve"> 73.1917 </t>
  </si>
  <si>
    <t xml:space="preserve">F:\images\20210219\plaque 2/@05 17b estradiol 34 dopé/F5_01.tif </t>
  </si>
  <si>
    <t xml:space="preserve"> 60715.1142 </t>
  </si>
  <si>
    <t xml:space="preserve"> 72.275 </t>
  </si>
  <si>
    <t xml:space="preserve">F:\images\20210219\plaque 2/@05 17b estradiol 34 dopé/F5_02.tif </t>
  </si>
  <si>
    <t xml:space="preserve"> 58400.7155 </t>
  </si>
  <si>
    <t xml:space="preserve"> 73.1811 </t>
  </si>
  <si>
    <t xml:space="preserve">F:\images\20210219\plaque 2/@05 17b estradiol 34 dopé/F5_03.tif </t>
  </si>
  <si>
    <t xml:space="preserve"> 55264.3808 </t>
  </si>
  <si>
    <t xml:space="preserve"> 72.4219 </t>
  </si>
  <si>
    <t xml:space="preserve">F:\images\20210219\plaque 2/@05 17b estradiol 34 dopé/G5_01.tif </t>
  </si>
  <si>
    <t xml:space="preserve"> 63029.5129 </t>
  </si>
  <si>
    <t xml:space="preserve"> 74.07 </t>
  </si>
  <si>
    <t xml:space="preserve">F:\images\20210219\plaque 2/@05 17b estradiol 34 dopé/G5_02.tif </t>
  </si>
  <si>
    <t xml:space="preserve"> 62423.8759 </t>
  </si>
  <si>
    <t xml:space="preserve"> 74.2793 </t>
  </si>
  <si>
    <t xml:space="preserve">F:\images\20210219\plaque 2/@05 17b estradiol 34 dopé/G5_03.tif </t>
  </si>
  <si>
    <t xml:space="preserve"> 75.2818 </t>
  </si>
  <si>
    <t xml:space="preserve">F:\images\20210219\plaque 2/@05 17b estradiol 34 dopé/H5_01.tif </t>
  </si>
  <si>
    <t xml:space="preserve"> 11982.9616 </t>
  </si>
  <si>
    <t xml:space="preserve"> 66.0397 </t>
  </si>
  <si>
    <t xml:space="preserve">F:\images\20210219\plaque 2/@05 17b estradiol 34 dopé/H5_02.tif </t>
  </si>
  <si>
    <t xml:space="preserve"> 10966.3566 </t>
  </si>
  <si>
    <t xml:space="preserve"> 66.069 </t>
  </si>
  <si>
    <t xml:space="preserve">F:\images\20210219\plaque 2/@05 17b estradiol 34 dopé/H5_03.tif </t>
  </si>
  <si>
    <t xml:space="preserve"> 63.9158 </t>
  </si>
  <si>
    <t xml:space="preserve">F:\images\20210219\plaque 2/@05 17b estradiol 34 dopé/ </t>
  </si>
  <si>
    <t xml:space="preserve"> 71.1414 </t>
  </si>
  <si>
    <t xml:space="preserve"> 3.1602 </t>
  </si>
  <si>
    <t xml:space="preserve"> 3137242.25 </t>
  </si>
  <si>
    <t xml:space="preserve"> 1325303.35 </t>
  </si>
  <si>
    <t xml:space="preserve">F:\images\20210219\plaque 2/@06 17b estradiol 68 dopé/A6_01.tif </t>
  </si>
  <si>
    <t xml:space="preserve"> 52063.1564 </t>
  </si>
  <si>
    <t xml:space="preserve"> 75.2767 </t>
  </si>
  <si>
    <t xml:space="preserve">F:\images\20210219\plaque 2/@06 17b estradiol 68 dopé/A6_02.tif </t>
  </si>
  <si>
    <t xml:space="preserve"> 55048.0818 </t>
  </si>
  <si>
    <t xml:space="preserve"> 74.569 </t>
  </si>
  <si>
    <t xml:space="preserve">F:\images\20210219\plaque 2/@06 17b estradiol 68 dopé/A6_03.tif </t>
  </si>
  <si>
    <t xml:space="preserve"> 75.097 </t>
  </si>
  <si>
    <t xml:space="preserve">F:\images\20210219\plaque 2/@06 17b estradiol 68 dopé/B6_01.tif </t>
  </si>
  <si>
    <t xml:space="preserve"> 79922.4607 </t>
  </si>
  <si>
    <t xml:space="preserve"> 80.3637 </t>
  </si>
  <si>
    <t xml:space="preserve">F:\images\20210219\plaque 2/@06 17b estradiol 68 dopé/B6_02.tif </t>
  </si>
  <si>
    <t xml:space="preserve"> 70708.1255 </t>
  </si>
  <si>
    <t xml:space="preserve"> 78.9358 </t>
  </si>
  <si>
    <t xml:space="preserve">F:\images\20210219\plaque 2/@06 17b estradiol 68 dopé/B6_03.tif </t>
  </si>
  <si>
    <t xml:space="preserve"> 74471.7272 </t>
  </si>
  <si>
    <t xml:space="preserve"> 78.2707 </t>
  </si>
  <si>
    <t xml:space="preserve">F:\images\20210219\plaque 2/@06 17b estradiol 68 dopé/C6_01.tif </t>
  </si>
  <si>
    <t xml:space="preserve"> 60066.2174 </t>
  </si>
  <si>
    <t xml:space="preserve"> 75.6986 </t>
  </si>
  <si>
    <t xml:space="preserve">F:\images\20210219\plaque 2/@06 17b estradiol 68 dopé/C6_02.tif </t>
  </si>
  <si>
    <t xml:space="preserve"> 51284.4802 </t>
  </si>
  <si>
    <t xml:space="preserve"> 75.6301 </t>
  </si>
  <si>
    <t xml:space="preserve">F:\images\20210219\plaque 2/@06 17b estradiol 68 dopé/C6_03.tif </t>
  </si>
  <si>
    <t xml:space="preserve"> 57275.961 </t>
  </si>
  <si>
    <t xml:space="preserve"> 75.8765 </t>
  </si>
  <si>
    <t xml:space="preserve">F:\images\20210219\plaque 2/@06 17b estradiol 68 dopé/D6_01.tif </t>
  </si>
  <si>
    <t xml:space="preserve"> 42610.8924 </t>
  </si>
  <si>
    <t xml:space="preserve"> 76.5574 </t>
  </si>
  <si>
    <t xml:space="preserve">F:\images\20210219\plaque 2/@06 17b estradiol 68 dopé/D6_02.tif </t>
  </si>
  <si>
    <t xml:space="preserve"> 42719.0419 </t>
  </si>
  <si>
    <t xml:space="preserve"> 74.3291 </t>
  </si>
  <si>
    <t xml:space="preserve">F:\images\20210219\plaque 2/@06 17b estradiol 68 dopé/D6_03.tif </t>
  </si>
  <si>
    <t xml:space="preserve"> 40945.3905 </t>
  </si>
  <si>
    <t xml:space="preserve"> 75.8679 </t>
  </si>
  <si>
    <t xml:space="preserve">F:\images\20210219\plaque 2/@06 17b estradiol 68 dopé/E6_01.tif </t>
  </si>
  <si>
    <t xml:space="preserve"> 71.7899 </t>
  </si>
  <si>
    <t xml:space="preserve">F:\images\20210219\plaque 2/@06 17b estradiol 68 dopé/E6_02.tif </t>
  </si>
  <si>
    <t xml:space="preserve"> 62099.4275 </t>
  </si>
  <si>
    <t xml:space="preserve"> 71.7541 </t>
  </si>
  <si>
    <t xml:space="preserve">F:\images\20210219\plaque 2/@06 17b estradiol 68 dopé/E6_03.tif </t>
  </si>
  <si>
    <t xml:space="preserve"> 58422.3454 </t>
  </si>
  <si>
    <t xml:space="preserve"> 72.7867 </t>
  </si>
  <si>
    <t xml:space="preserve">F:\images\20210219\plaque 2/@06 17b estradiol 68 dopé/F6_01.tif </t>
  </si>
  <si>
    <t xml:space="preserve"> 75.1501 </t>
  </si>
  <si>
    <t xml:space="preserve">F:\images\20210219\plaque 2/@06 17b estradiol 68 dopé/F6_02.tif </t>
  </si>
  <si>
    <t xml:space="preserve"> 58270.9361 </t>
  </si>
  <si>
    <t xml:space="preserve"> 73.605 </t>
  </si>
  <si>
    <t xml:space="preserve">F:\images\20210219\plaque 2/@06 17b estradiol 68 dopé/F6_03.tif </t>
  </si>
  <si>
    <t xml:space="preserve"> 74.3211 </t>
  </si>
  <si>
    <t xml:space="preserve">F:\images\20210219\plaque 2/@06 17b estradiol 68 dopé/G6_01.tif </t>
  </si>
  <si>
    <t xml:space="preserve"> 72.0075 </t>
  </si>
  <si>
    <t xml:space="preserve">F:\images\20210219\plaque 2/@06 17b estradiol 68 dopé/G6_02.tif </t>
  </si>
  <si>
    <t xml:space="preserve"> 71.5447 </t>
  </si>
  <si>
    <t xml:space="preserve">F:\images\20210219\plaque 2/@06 17b estradiol 68 dopé/G6_03.tif </t>
  </si>
  <si>
    <t xml:space="preserve"> 46547.5332 </t>
  </si>
  <si>
    <t xml:space="preserve"> 69.7677 </t>
  </si>
  <si>
    <t xml:space="preserve">F:\images\20210219\plaque 2/@06 17b estradiol 68 dopé/H6_01.tif </t>
  </si>
  <si>
    <t xml:space="preserve"> 51133.0709 </t>
  </si>
  <si>
    <t xml:space="preserve"> 72.3997 </t>
  </si>
  <si>
    <t xml:space="preserve">F:\images\20210219\plaque 2/@06 17b estradiol 68 dopé/H6_02.tif </t>
  </si>
  <si>
    <t xml:space="preserve"> 71.6743 </t>
  </si>
  <si>
    <t xml:space="preserve">F:\images\20210219\plaque 2/@06 17b estradiol 68 dopé/H6_03.tif </t>
  </si>
  <si>
    <t xml:space="preserve"> 50808.6225 </t>
  </si>
  <si>
    <t xml:space="preserve"> 72.1481 </t>
  </si>
  <si>
    <t xml:space="preserve">F:\images\20210219\plaque 2/@06 17b estradiol 68 dopé/ </t>
  </si>
  <si>
    <t xml:space="preserve"> 74.3926 </t>
  </si>
  <si>
    <t xml:space="preserve"> 2.588 </t>
  </si>
  <si>
    <t xml:space="preserve"> 4109167.96 </t>
  </si>
  <si>
    <t xml:space="preserve"> 848195.908 </t>
  </si>
  <si>
    <t xml:space="preserve">F:\images\20210219\plaque 2/@07 17b estradiol 135 dopé/A7_01.tif </t>
  </si>
  <si>
    <t xml:space="preserve"> 1708.7617 </t>
  </si>
  <si>
    <t xml:space="preserve"> 64.0759 </t>
  </si>
  <si>
    <t xml:space="preserve">F:\images\20210219\plaque 2/@07 17b estradiol 135 dopé/A7_02.tif </t>
  </si>
  <si>
    <t xml:space="preserve"> 64.5152 </t>
  </si>
  <si>
    <t xml:space="preserve">F:\images\20210219\plaque 2/@07 17b estradiol 135 dopé/A7_03.tif </t>
  </si>
  <si>
    <t xml:space="preserve"> 63.7711 </t>
  </si>
  <si>
    <t xml:space="preserve">F:\images\20210219\plaque 2/@07 17b estradiol 135 dopé/B7_01.tif </t>
  </si>
  <si>
    <t xml:space="preserve"> 61407.2709 </t>
  </si>
  <si>
    <t xml:space="preserve"> 78.1786 </t>
  </si>
  <si>
    <t xml:space="preserve">F:\images\20210219\plaque 2/@07 17b estradiol 135 dopé/B7_02.tif </t>
  </si>
  <si>
    <t xml:space="preserve"> 54031.4768 </t>
  </si>
  <si>
    <t xml:space="preserve"> 74.6041 </t>
  </si>
  <si>
    <t xml:space="preserve">F:\images\20210219\plaque 2/@07 17b estradiol 135 dopé/B7_03.tif </t>
  </si>
  <si>
    <t xml:space="preserve"> 76.0414 </t>
  </si>
  <si>
    <t xml:space="preserve">F:\images\20210219\plaque 2/@07 17b estradiol 135 dopé/C7_01.tif </t>
  </si>
  <si>
    <t xml:space="preserve"> 60131.1071 </t>
  </si>
  <si>
    <t xml:space="preserve"> 80.1018 </t>
  </si>
  <si>
    <t>F:\images\20210219\plaque 2/@07 17b estradiol 135 dopé/C7_02- exclu.tif</t>
  </si>
  <si>
    <t>F:\images\20210219\plaque 2/@07 17b estradiol 135 dopé/C7_03- exclu.tif</t>
  </si>
  <si>
    <t xml:space="preserve">F:\images\20210219\plaque 2/@07 17b estradiol 135 dopé/D7_01.tif </t>
  </si>
  <si>
    <t xml:space="preserve"> 63202.5521 </t>
  </si>
  <si>
    <t xml:space="preserve"> 75.8094 </t>
  </si>
  <si>
    <t xml:space="preserve">F:\images\20210219\plaque 2/@07 17b estradiol 135 dopé/D7_02.tif </t>
  </si>
  <si>
    <t xml:space="preserve"> 56627.0641 </t>
  </si>
  <si>
    <t xml:space="preserve"> 77.7914 </t>
  </si>
  <si>
    <t xml:space="preserve">F:\images\20210219\plaque 2/@07 17b estradiol 135 dopé/D7_03.tif </t>
  </si>
  <si>
    <t xml:space="preserve"> 58919.833 </t>
  </si>
  <si>
    <t xml:space="preserve"> 79.5033 </t>
  </si>
  <si>
    <t xml:space="preserve">F:\images\20210219\plaque 2/@07 17b estradiol 135 dopé/E7_01.tif </t>
  </si>
  <si>
    <t xml:space="preserve"> 66382.1466 </t>
  </si>
  <si>
    <t xml:space="preserve"> 78.143 </t>
  </si>
  <si>
    <t xml:space="preserve">F:\images\20210219\plaque 2/@07 17b estradiol 135 dopé/E7_02.tif </t>
  </si>
  <si>
    <t xml:space="preserve"> 65516.9508 </t>
  </si>
  <si>
    <t xml:space="preserve"> 78.245 </t>
  </si>
  <si>
    <t xml:space="preserve">F:\images\20210219\plaque 2/@07 17b estradiol 135 dopé/E7_03.tif </t>
  </si>
  <si>
    <t xml:space="preserve"> 78.3197 </t>
  </si>
  <si>
    <t xml:space="preserve">F:\images\20210219\plaque 2/@07 17b estradiol 135 dopé/F7_01.tif </t>
  </si>
  <si>
    <t xml:space="preserve"> 73563.2716 </t>
  </si>
  <si>
    <t xml:space="preserve"> 74.7242 </t>
  </si>
  <si>
    <t xml:space="preserve">F:\images\20210219\plaque 2/@07 17b estradiol 135 dopé/F7_02.tif </t>
  </si>
  <si>
    <t xml:space="preserve"> 70989.3142 </t>
  </si>
  <si>
    <t xml:space="preserve"> 77.5698 </t>
  </si>
  <si>
    <t xml:space="preserve">F:\images\20210219\plaque 2/@07 17b estradiol 135 dopé/F7_03.tif </t>
  </si>
  <si>
    <t xml:space="preserve"> 70037.5988 </t>
  </si>
  <si>
    <t xml:space="preserve"> 75.8762 </t>
  </si>
  <si>
    <t xml:space="preserve">F:\images\20210219\plaque 2/@07 17b estradiol 135 dopé/G7_01.tif </t>
  </si>
  <si>
    <t xml:space="preserve"> 56454.025 </t>
  </si>
  <si>
    <t xml:space="preserve"> 82.5069 </t>
  </si>
  <si>
    <t xml:space="preserve">F:\images\20210219\plaque 2/@07 17b estradiol 135 dopé/G7_02.tif </t>
  </si>
  <si>
    <t xml:space="preserve"> 55350.9004 </t>
  </si>
  <si>
    <t xml:space="preserve"> 82.8714 </t>
  </si>
  <si>
    <t xml:space="preserve">F:\images\20210219\plaque 2/@07 17b estradiol 135 dopé/G7_03.tif </t>
  </si>
  <si>
    <t xml:space="preserve"> 82.5053 </t>
  </si>
  <si>
    <t xml:space="preserve">F:\images\20210219\plaque 2/@07 17b estradiol 135 dopé/H7_01.tif </t>
  </si>
  <si>
    <t xml:space="preserve"> 58379.0856 </t>
  </si>
  <si>
    <t xml:space="preserve"> 72.1375 </t>
  </si>
  <si>
    <t xml:space="preserve">F:\images\20210219\plaque 2/@07 17b estradiol 135 dopé/H7_02.tif </t>
  </si>
  <si>
    <t xml:space="preserve"> 71.5535 </t>
  </si>
  <si>
    <t xml:space="preserve">F:\images\20210219\plaque 2/@07 17b estradiol 135 dopé/H7_03.tif </t>
  </si>
  <si>
    <t xml:space="preserve"> 56864.993 </t>
  </si>
  <si>
    <t xml:space="preserve"> 71.1932 </t>
  </si>
  <si>
    <t xml:space="preserve">F:\images\20210219\plaque 2/@07 17b estradiol 135 dopé/ </t>
  </si>
  <si>
    <t xml:space="preserve"> 75.9974 </t>
  </si>
  <si>
    <t xml:space="preserve"> 5.681 </t>
  </si>
  <si>
    <t xml:space="preserve"> 4037698.38 </t>
  </si>
  <si>
    <t xml:space="preserve"> 1629838.83 </t>
  </si>
  <si>
    <t xml:space="preserve">F:\images\20210219\plaque 2/@08 17b estradiol 270 dopé/A8_01.tif </t>
  </si>
  <si>
    <t xml:space="preserve"> 62380.6161 </t>
  </si>
  <si>
    <t xml:space="preserve"> 81.5146 </t>
  </si>
  <si>
    <t xml:space="preserve">F:\images\20210219\plaque 2/@08 17b estradiol 270 dopé/A8_02.tif </t>
  </si>
  <si>
    <t xml:space="preserve"> 65711.6199 </t>
  </si>
  <si>
    <t xml:space="preserve"> 81.1192 </t>
  </si>
  <si>
    <t xml:space="preserve">F:\images\20210219\plaque 2/@08 17b estradiol 270 dopé/A8_03.tif </t>
  </si>
  <si>
    <t xml:space="preserve"> 85.6221 </t>
  </si>
  <si>
    <t xml:space="preserve">F:\images\20210219\plaque 2/@08 17b estradiol 270 dopé/B8_01.tif </t>
  </si>
  <si>
    <t xml:space="preserve"> 56280.9858 </t>
  </si>
  <si>
    <t xml:space="preserve"> 85.1249 </t>
  </si>
  <si>
    <t xml:space="preserve">F:\images\20210219\plaque 2/@08 17b estradiol 270 dopé/B8_02.tif </t>
  </si>
  <si>
    <t xml:space="preserve"> 84.6579 </t>
  </si>
  <si>
    <t xml:space="preserve">F:\images\20210219\plaque 2/@08 17b estradiol 270 dopé/B8_03.tif </t>
  </si>
  <si>
    <t xml:space="preserve"> 53620.5088 </t>
  </si>
  <si>
    <t xml:space="preserve"> 81.9512 </t>
  </si>
  <si>
    <t xml:space="preserve">F:\images\20210219\plaque 2/@08 17b estradiol 270 dopé/C8_01.tif </t>
  </si>
  <si>
    <t xml:space="preserve"> 88076.9309 </t>
  </si>
  <si>
    <t xml:space="preserve"> 84.1596 </t>
  </si>
  <si>
    <t xml:space="preserve">F:\images\20210219\plaque 2/@08 17b estradiol 270 dopé/C8_02.tif </t>
  </si>
  <si>
    <t xml:space="preserve"> 81609.5924 </t>
  </si>
  <si>
    <t xml:space="preserve"> 80.8908 </t>
  </si>
  <si>
    <t xml:space="preserve">F:\images\20210219\plaque 2/@08 17b estradiol 270 dopé/C8_03.tif </t>
  </si>
  <si>
    <t xml:space="preserve"> 83015.5356 </t>
  </si>
  <si>
    <t xml:space="preserve"> 84.0808 </t>
  </si>
  <si>
    <t xml:space="preserve">F:\images\20210219\plaque 2/@08 17b estradiol 270 dopé/D8_01.tif </t>
  </si>
  <si>
    <t xml:space="preserve"> 71530.0615 </t>
  </si>
  <si>
    <t xml:space="preserve"> 85.1863 </t>
  </si>
  <si>
    <t xml:space="preserve">F:\images\20210219\plaque 2/@08 17b estradiol 270 dopé/D8_02.tif </t>
  </si>
  <si>
    <t xml:space="preserve"> 69215.6628 </t>
  </si>
  <si>
    <t xml:space="preserve"> 85.0647 </t>
  </si>
  <si>
    <t xml:space="preserve">F:\images\20210219\plaque 2/@08 17b estradiol 270 dopé/D8_03.tif </t>
  </si>
  <si>
    <t xml:space="preserve"> 70080.8586 </t>
  </si>
  <si>
    <t xml:space="preserve"> 85.7096 </t>
  </si>
  <si>
    <t xml:space="preserve">F:\images\20210219\plaque 2/@08 17b estradiol 270 dopé/E8_01.tif </t>
  </si>
  <si>
    <t xml:space="preserve"> 77002.4249 </t>
  </si>
  <si>
    <t xml:space="preserve"> 85.5098 </t>
  </si>
  <si>
    <t xml:space="preserve">F:\images\20210219\plaque 2/@08 17b estradiol 270 dopé/E8_02.tif </t>
  </si>
  <si>
    <t xml:space="preserve"> 72503.4068 </t>
  </si>
  <si>
    <t xml:space="preserve"> 83.9836 </t>
  </si>
  <si>
    <t xml:space="preserve">F:\images\20210219\plaque 2/@08 17b estradiol 270 dopé/E8_03.tif </t>
  </si>
  <si>
    <t xml:space="preserve"> 71248.8729 </t>
  </si>
  <si>
    <t xml:space="preserve"> 84.6958 </t>
  </si>
  <si>
    <t xml:space="preserve">F:\images\20210219\plaque 2/@08 17b estradiol 270 dopé/F8_01.tif </t>
  </si>
  <si>
    <t xml:space="preserve"> 79511.4927 </t>
  </si>
  <si>
    <t xml:space="preserve"> 88.1423 </t>
  </si>
  <si>
    <t xml:space="preserve">F:\images\20210219\plaque 2/@08 17b estradiol 270 dopé/F8_02.tif </t>
  </si>
  <si>
    <t xml:space="preserve"> 82258.4893 </t>
  </si>
  <si>
    <t xml:space="preserve"> 87.7917 </t>
  </si>
  <si>
    <t xml:space="preserve">F:\images\20210219\plaque 2/@08 17b estradiol 270 dopé/F8_03.tif </t>
  </si>
  <si>
    <t xml:space="preserve"> 74601.5066 </t>
  </si>
  <si>
    <t xml:space="preserve"> 88.4836 </t>
  </si>
  <si>
    <t xml:space="preserve">F:\images\20210219\plaque 2/@08 17b estradiol 270 dopé/G8_01.tif </t>
  </si>
  <si>
    <t xml:space="preserve"> 49099.8608 </t>
  </si>
  <si>
    <t xml:space="preserve"> 88.3189 </t>
  </si>
  <si>
    <t xml:space="preserve">F:\images\20210219\plaque 2/@08 17b estradiol 270 dopé/G8_02.tif </t>
  </si>
  <si>
    <t xml:space="preserve"> 86.8669 </t>
  </si>
  <si>
    <t xml:space="preserve">F:\images\20210219\plaque 2/@08 17b estradiol 270 dopé/G8_03.tif </t>
  </si>
  <si>
    <t xml:space="preserve"> 44665.7324 </t>
  </si>
  <si>
    <t xml:space="preserve"> 86.6383 </t>
  </si>
  <si>
    <t xml:space="preserve">F:\images\20210219\plaque 2/@08 17b estradiol 270 dopé/H8_01.tif </t>
  </si>
  <si>
    <t xml:space="preserve"> 20851.2184 </t>
  </si>
  <si>
    <t xml:space="preserve"> 75.4668 </t>
  </si>
  <si>
    <t xml:space="preserve">F:\images\20210219\plaque 2/@08 17b estradiol 270 dopé/H8_02.tif </t>
  </si>
  <si>
    <t xml:space="preserve"> 17887.9229 </t>
  </si>
  <si>
    <t xml:space="preserve"> 75.1729 </t>
  </si>
  <si>
    <t xml:space="preserve">F:\images\20210219\plaque 2/@08 17b estradiol 270 dopé/H8_03.tif </t>
  </si>
  <si>
    <t xml:space="preserve"> 77.3542 </t>
  </si>
  <si>
    <t xml:space="preserve">F:\images\20210219\plaque 2/@08 17b estradiol 270 dopé/ </t>
  </si>
  <si>
    <t xml:space="preserve"> 83.8961 </t>
  </si>
  <si>
    <t xml:space="preserve"> 3.7361 </t>
  </si>
  <si>
    <t xml:space="preserve"> 5169704.38 </t>
  </si>
  <si>
    <t xml:space="preserve"> 1797532.26 </t>
  </si>
  <si>
    <t xml:space="preserve">F:\images\20210219\plaque 2/@09 17b estradiol 540 dopé/A9_01.tif </t>
  </si>
  <si>
    <t xml:space="preserve"> 72308.7377 </t>
  </si>
  <si>
    <t xml:space="preserve"> 90.2504 </t>
  </si>
  <si>
    <t xml:space="preserve">F:\images\20210219\plaque 2/@09 17b estradiol 540 dopé/A9_02.tif </t>
  </si>
  <si>
    <t xml:space="preserve"> 75120.624 </t>
  </si>
  <si>
    <t xml:space="preserve"> 92.1301 </t>
  </si>
  <si>
    <t xml:space="preserve">F:\images\20210219\plaque 2/@09 17b estradiol 540 dopé/A9_03.tif </t>
  </si>
  <si>
    <t xml:space="preserve"> 10057.901 </t>
  </si>
  <si>
    <t xml:space="preserve"> 64.8839 </t>
  </si>
  <si>
    <t xml:space="preserve">F:\images\20210219\plaque 2/@09 17b estradiol 540 dopé/B9_01.tif </t>
  </si>
  <si>
    <t xml:space="preserve"> 64781.5344 </t>
  </si>
  <si>
    <t xml:space="preserve"> 91.3319 </t>
  </si>
  <si>
    <t xml:space="preserve">F:\images\20210219\plaque 2/@09 17b estradiol 540 dopé/B9_02.tif </t>
  </si>
  <si>
    <t xml:space="preserve"> 66447.0363 </t>
  </si>
  <si>
    <t xml:space="preserve"> 92.5101 </t>
  </si>
  <si>
    <t xml:space="preserve">F:\images\20210219\plaque 2/@09 17b estradiol 540 dopé/B9_03.tif </t>
  </si>
  <si>
    <t xml:space="preserve"> 90.2203 </t>
  </si>
  <si>
    <t>F:\images\20210219\plaque 2/@09 17b estradiol 540 dopé/C9_01- exclu.tif</t>
  </si>
  <si>
    <t xml:space="preserve">F:\images\20210219\plaque 2/@09 17b estradiol 540 dopé/C9_02.tif </t>
  </si>
  <si>
    <t xml:space="preserve"> 35970.5148 </t>
  </si>
  <si>
    <t xml:space="preserve"> 83.4023 </t>
  </si>
  <si>
    <t xml:space="preserve">F:\images\20210219\plaque 2/@09 17b estradiol 540 dopé/C9_03.tif </t>
  </si>
  <si>
    <t xml:space="preserve"> 81.1423 </t>
  </si>
  <si>
    <t xml:space="preserve">F:\images\20210219\plaque 2/@09 17b estradiol 540 dopé/D9_01.tif </t>
  </si>
  <si>
    <t xml:space="preserve"> 36338.223 </t>
  </si>
  <si>
    <t xml:space="preserve"> 81.7054 </t>
  </si>
  <si>
    <t xml:space="preserve">F:\images\20210219\plaque 2/@09 17b estradiol 540 dopé/D9_02.tif </t>
  </si>
  <si>
    <t xml:space="preserve"> 42502.7429 </t>
  </si>
  <si>
    <t xml:space="preserve"> 80.4015 </t>
  </si>
  <si>
    <t xml:space="preserve">F:\images\20210219\plaque 2/@09 17b estradiol 540 dopé/D9_03.tif </t>
  </si>
  <si>
    <t xml:space="preserve"> 35343.2478 </t>
  </si>
  <si>
    <t xml:space="preserve"> 83.0282 </t>
  </si>
  <si>
    <t xml:space="preserve">F:\images\20210219\plaque 2/@09 17b estradiol 540 dopé/E9_01.tif </t>
  </si>
  <si>
    <t xml:space="preserve"> 94.4912 </t>
  </si>
  <si>
    <t xml:space="preserve">F:\images\20210219\plaque 2/@09 17b estradiol 540 dopé/E9_02.tif </t>
  </si>
  <si>
    <t xml:space="preserve"> 92.5238 </t>
  </si>
  <si>
    <t xml:space="preserve">F:\images\20210219\plaque 2/@09 17b estradiol 540 dopé/E9_03.tif </t>
  </si>
  <si>
    <t xml:space="preserve"> 94.4601 </t>
  </si>
  <si>
    <t xml:space="preserve">F:\images\20210219\plaque 2/@09 17b estradiol 540 dopé/F9_01.tif </t>
  </si>
  <si>
    <t xml:space="preserve"> 47001.761 </t>
  </si>
  <si>
    <t xml:space="preserve"> 85.6572 </t>
  </si>
  <si>
    <t xml:space="preserve">F:\images\20210219\plaque 2/@09 17b estradiol 540 dopé/F9_02.tif </t>
  </si>
  <si>
    <t xml:space="preserve"> 45379.5189 </t>
  </si>
  <si>
    <t xml:space="preserve"> 88.0172 </t>
  </si>
  <si>
    <t xml:space="preserve">F:\images\20210219\plaque 2/@09 17b estradiol 540 dopé/F9_03.tif </t>
  </si>
  <si>
    <t xml:space="preserve"> 88.0515 </t>
  </si>
  <si>
    <t xml:space="preserve">F:\images\20210219\plaque 2/@09 17b estradiol 540 dopé/G9_01.tif </t>
  </si>
  <si>
    <t xml:space="preserve"> 42892.081 </t>
  </si>
  <si>
    <t xml:space="preserve"> 89.1004 </t>
  </si>
  <si>
    <t xml:space="preserve">F:\images\20210219\plaque 2/@09 17b estradiol 540 dopé/G9_02.tif </t>
  </si>
  <si>
    <t xml:space="preserve"> 41031.9101 </t>
  </si>
  <si>
    <t xml:space="preserve"> 84.7907 </t>
  </si>
  <si>
    <t>F:\images\20210219\plaque 2/@09 17b estradiol 540 dopé/G9_03- exclu.tif</t>
  </si>
  <si>
    <t xml:space="preserve">F:\images\20210219\plaque 2/@09 17b estradiol 540 dopé/H9_01.tif </t>
  </si>
  <si>
    <t xml:space="preserve"> 77413.3929 </t>
  </si>
  <si>
    <t xml:space="preserve"> 89.0419 </t>
  </si>
  <si>
    <t xml:space="preserve">F:\images\20210219\plaque 2/@09 17b estradiol 540 dopé/H9_02.tif </t>
  </si>
  <si>
    <t xml:space="preserve"> 73887.7201 </t>
  </si>
  <si>
    <t xml:space="preserve"> 88.8566 </t>
  </si>
  <si>
    <t xml:space="preserve">F:\images\20210219\plaque 2/@09 17b estradiol 540 dopé/H9_03.tif </t>
  </si>
  <si>
    <t xml:space="preserve"> 76115.5992 </t>
  </si>
  <si>
    <t xml:space="preserve"> 88.7914 </t>
  </si>
  <si>
    <t xml:space="preserve">F:\images\20210219\plaque 2/@09 17b estradiol 540 dopé/ </t>
  </si>
  <si>
    <t xml:space="preserve"> 86.5893 </t>
  </si>
  <si>
    <t xml:space="preserve"> 6.3962 </t>
  </si>
  <si>
    <t xml:space="preserve"> 4597149.21 </t>
  </si>
  <si>
    <t xml:space="preserve"> 1667367.88 </t>
  </si>
  <si>
    <t xml:space="preserve">  </t>
  </si>
  <si>
    <t xml:space="preserve">F:\images\20210303\plaque 1/@01 Evian + 0.2% DMSO/A1_01.tif </t>
  </si>
  <si>
    <t xml:space="preserve"> 71.1004 </t>
  </si>
  <si>
    <t xml:space="preserve">F:\images\20210303\plaque 1/@01 Evian + 0.2% DMSO/A1_02.tif </t>
  </si>
  <si>
    <t xml:space="preserve"> 4650.4273 </t>
  </si>
  <si>
    <t xml:space="preserve"> 69.4372 </t>
  </si>
  <si>
    <t xml:space="preserve">F:\images\20210303\plaque 1/@01 Evian + 0.2% DMSO/A1_03.tif </t>
  </si>
  <si>
    <t xml:space="preserve"> 6034.7406 </t>
  </si>
  <si>
    <t xml:space="preserve"> 68.5376 </t>
  </si>
  <si>
    <t xml:space="preserve">F:\images\20210303\plaque 1/@01 Evian + 0.2% DMSO/B1_01.tif </t>
  </si>
  <si>
    <t xml:space="preserve"> 72.3193 </t>
  </si>
  <si>
    <t xml:space="preserve">F:\images\20210303\plaque 1/@01 Evian + 0.2% DMSO/B1_02.tif </t>
  </si>
  <si>
    <t xml:space="preserve"> 519.1175 </t>
  </si>
  <si>
    <t xml:space="preserve"> 64.375 </t>
  </si>
  <si>
    <t xml:space="preserve">F:\images\20210303\plaque 1/@01 Evian + 0.2% DMSO/B1_03.tif </t>
  </si>
  <si>
    <t xml:space="preserve"> 2379.2884 </t>
  </si>
  <si>
    <t xml:space="preserve"> 65.0091 </t>
  </si>
  <si>
    <t xml:space="preserve">F:\images\20210303\plaque 1/@01 Evian + 0.2% DMSO/C1_01.tif </t>
  </si>
  <si>
    <t xml:space="preserve"> 62.7714 </t>
  </si>
  <si>
    <t>F:\images\20210303\plaque 1/@01 Evian + 0.2% DMSO/C1_02- exclu.tif</t>
  </si>
  <si>
    <t xml:space="preserve">F:\images\20210303\plaque 1/@01 Evian + 0.2% DMSO/C1_03.tif </t>
  </si>
  <si>
    <t xml:space="preserve"> 62.3636 </t>
  </si>
  <si>
    <t xml:space="preserve">F:\images\20210303\plaque 1/@01 Evian + 0.2% DMSO/D1_01.tif </t>
  </si>
  <si>
    <t xml:space="preserve"> 1752.0215 </t>
  </si>
  <si>
    <t xml:space="preserve"> 63.8272 </t>
  </si>
  <si>
    <t xml:space="preserve">F:\images\20210303\plaque 1/@01 Evian + 0.2% DMSO/D1_02.tif </t>
  </si>
  <si>
    <t xml:space="preserve"> 63.4536 </t>
  </si>
  <si>
    <t xml:space="preserve">F:\images\20210303\plaque 1/@01 Evian + 0.2% DMSO/D1_03.tif </t>
  </si>
  <si>
    <t xml:space="preserve"> 62.9714 </t>
  </si>
  <si>
    <t xml:space="preserve">F:\images\20210303\plaque 1/@01 Evian + 0.2% DMSO/E1_01.tif </t>
  </si>
  <si>
    <t xml:space="preserve"> 65.4444 </t>
  </si>
  <si>
    <t xml:space="preserve">F:\images\20210303\plaque 1/@01 Evian + 0.2% DMSO/E1_02.tif </t>
  </si>
  <si>
    <t xml:space="preserve"> 64.4286 </t>
  </si>
  <si>
    <t xml:space="preserve">F:\images\20210303\plaque 1/@01 Evian + 0.2% DMSO/E1_03.tif </t>
  </si>
  <si>
    <t xml:space="preserve"> 67.6207 </t>
  </si>
  <si>
    <t xml:space="preserve">F:\images\20210303\plaque 1/@01 Evian + 0.2% DMSO/F1_01.tif </t>
  </si>
  <si>
    <t xml:space="preserve"> 66.5507 </t>
  </si>
  <si>
    <t xml:space="preserve">F:\images\20210303\plaque 1/@01 Evian + 0.2% DMSO/F1_02.tif </t>
  </si>
  <si>
    <t xml:space="preserve"> 62.4444 </t>
  </si>
  <si>
    <t xml:space="preserve">F:\images\20210303\plaque 1/@01 Evian + 0.2% DMSO/F1_03.tif </t>
  </si>
  <si>
    <t xml:space="preserve"> 63.0833 </t>
  </si>
  <si>
    <t xml:space="preserve">F:\images\20210303\plaque 1/@01 Evian + 0.2% DMSO/G1_01.tif </t>
  </si>
  <si>
    <t xml:space="preserve"> 63.7636 </t>
  </si>
  <si>
    <t xml:space="preserve">F:\images\20210303\plaque 1/@01 Evian + 0.2% DMSO/G1_02.tif </t>
  </si>
  <si>
    <t xml:space="preserve"> 64.1111 </t>
  </si>
  <si>
    <t xml:space="preserve">F:\images\20210303\plaque 1/@01 Evian + 0.2% DMSO/G1_03.tif </t>
  </si>
  <si>
    <t xml:space="preserve"> 62.2 </t>
  </si>
  <si>
    <t xml:space="preserve">F:\images\20210303\plaque 1/@01 Evian + 0.2% DMSO/H1_01.tif </t>
  </si>
  <si>
    <t xml:space="preserve"> 7981.4311 </t>
  </si>
  <si>
    <t xml:space="preserve"> 70.1816 </t>
  </si>
  <si>
    <t xml:space="preserve">F:\images\20210303\plaque 1/@01 Evian + 0.2% DMSO/H1_02.tif </t>
  </si>
  <si>
    <t xml:space="preserve"> 800.3061 </t>
  </si>
  <si>
    <t xml:space="preserve"> 63.2432 </t>
  </si>
  <si>
    <t xml:space="preserve">F:\images\20210303\plaque 1/@01 Evian + 0.2% DMSO/H1_03.tif </t>
  </si>
  <si>
    <t xml:space="preserve"> 1816.9111 </t>
  </si>
  <si>
    <t xml:space="preserve">F:\images\20210303\plaque 1/@01 Evian + 0.2% DMSO/ </t>
  </si>
  <si>
    <t xml:space="preserve"> 65.3867 </t>
  </si>
  <si>
    <t xml:space="preserve"> 2.9476 </t>
  </si>
  <si>
    <t xml:space="preserve"> 137581.417 </t>
  </si>
  <si>
    <t xml:space="preserve"> 158622.918 </t>
  </si>
  <si>
    <t xml:space="preserve">F:\images\20210303\plaque 1/@02 EE2 33.8/A2_01.tif </t>
  </si>
  <si>
    <t xml:space="preserve"> 68.4791 </t>
  </si>
  <si>
    <t xml:space="preserve">F:\images\20210303\plaque 1/@02 EE2 33.8/A2_02.tif </t>
  </si>
  <si>
    <t xml:space="preserve"> 68.2222 </t>
  </si>
  <si>
    <t xml:space="preserve">F:\images\20210303\plaque 1/@02 EE2 33.8/A2_03.tif </t>
  </si>
  <si>
    <t xml:space="preserve"> 4066.4202 </t>
  </si>
  <si>
    <t xml:space="preserve"> 65.7447 </t>
  </si>
  <si>
    <t xml:space="preserve">F:\images\20210303\plaque 1/@02 EE2 33.8/B2_01.tif </t>
  </si>
  <si>
    <t xml:space="preserve"> 66.3777 </t>
  </si>
  <si>
    <t xml:space="preserve">F:\images\20210303\plaque 1/@02 EE2 33.8/B2_02.tif </t>
  </si>
  <si>
    <t xml:space="preserve"> 63.6167 </t>
  </si>
  <si>
    <t xml:space="preserve">F:\images\20210303\plaque 1/@02 EE2 33.8/B2_03.tif </t>
  </si>
  <si>
    <t xml:space="preserve"> 73.44 </t>
  </si>
  <si>
    <t xml:space="preserve">F:\images\20210303\plaque 1/@02 EE2 33.8/C2_01.tif </t>
  </si>
  <si>
    <t xml:space="preserve"> 64.95 </t>
  </si>
  <si>
    <t xml:space="preserve">F:\images\20210303\plaque 1/@02 EE2 33.8/C2_02.tif </t>
  </si>
  <si>
    <t xml:space="preserve"> 3309.3739 </t>
  </si>
  <si>
    <t xml:space="preserve"> 66.1895 </t>
  </si>
  <si>
    <t xml:space="preserve">F:\images\20210303\plaque 1/@02 EE2 33.8/C2_03.tif </t>
  </si>
  <si>
    <t xml:space="preserve"> 65.7619 </t>
  </si>
  <si>
    <t xml:space="preserve">F:\images\20210303\plaque 1/@02 EE2 33.8/D2_01.tif </t>
  </si>
  <si>
    <t xml:space="preserve"> 63.8548 </t>
  </si>
  <si>
    <t xml:space="preserve">F:\images\20210303\plaque 1/@02 EE2 33.8/D2_02.tif </t>
  </si>
  <si>
    <t xml:space="preserve"> 67.4699 </t>
  </si>
  <si>
    <t xml:space="preserve">F:\images\20210303\plaque 1/@02 EE2 33.8/D2_03.tif </t>
  </si>
  <si>
    <t xml:space="preserve"> 1535.7225 </t>
  </si>
  <si>
    <t xml:space="preserve"> 64.8451 </t>
  </si>
  <si>
    <t xml:space="preserve">F:\images\20210303\plaque 1/@02 EE2 33.8/E2_01.tif </t>
  </si>
  <si>
    <t xml:space="preserve"> 64.6545 </t>
  </si>
  <si>
    <t xml:space="preserve">F:\images\20210303\plaque 1/@02 EE2 33.8/E2_02.tif </t>
  </si>
  <si>
    <t xml:space="preserve"> 62.8235 </t>
  </si>
  <si>
    <t xml:space="preserve">F:\images\20210303\plaque 1/@02 EE2 33.8/E2_03.tif </t>
  </si>
  <si>
    <t xml:space="preserve"> 63.6562 </t>
  </si>
  <si>
    <t>F:\images\20210303\plaque 1/@02 EE2 33.8/F2_01- exclu.tif</t>
  </si>
  <si>
    <t>F:\images\20210303\plaque 1/@02 EE2 33.8/F2_02- exclu.tif</t>
  </si>
  <si>
    <t xml:space="preserve">F:\images\20210303\plaque 1/@02 EE2 33.8/F2_03.tif </t>
  </si>
  <si>
    <t xml:space="preserve"> 2898.4059 </t>
  </si>
  <si>
    <t xml:space="preserve"> 66.1866 </t>
  </si>
  <si>
    <t xml:space="preserve">F:\images\20210303\plaque 1/@02 EE2 33.8/G2_01.tif </t>
  </si>
  <si>
    <t xml:space="preserve"> 65.8293 </t>
  </si>
  <si>
    <t xml:space="preserve">F:\images\20210303\plaque 1/@02 EE2 33.8/G2_02.tif </t>
  </si>
  <si>
    <t xml:space="preserve"> 64.7619 </t>
  </si>
  <si>
    <t xml:space="preserve">F:\images\20210303\plaque 1/@02 EE2 33.8/G2_03.tif </t>
  </si>
  <si>
    <t xml:space="preserve"> 61.7 </t>
  </si>
  <si>
    <t xml:space="preserve">F:\images\20210303\plaque 1/@02 EE2 33.8/H2_01.tif </t>
  </si>
  <si>
    <t xml:space="preserve"> 65.3443 </t>
  </si>
  <si>
    <t xml:space="preserve">F:\images\20210303\plaque 1/@02 EE2 33.8/H2_02.tif </t>
  </si>
  <si>
    <t xml:space="preserve"> 62.3333 </t>
  </si>
  <si>
    <t xml:space="preserve">F:\images\20210303\plaque 1/@02 EE2 33.8/H2_03.tif </t>
  </si>
  <si>
    <t xml:space="preserve"> 63.8919 </t>
  </si>
  <si>
    <t xml:space="preserve">F:\images\20210303\plaque 1/@02 EE2 33.8/ </t>
  </si>
  <si>
    <t xml:space="preserve"> 65.4123 </t>
  </si>
  <si>
    <t xml:space="preserve"> 2.4049 </t>
  </si>
  <si>
    <t xml:space="preserve"> 142096.667 </t>
  </si>
  <si>
    <t xml:space="preserve"> 132721.154 </t>
  </si>
  <si>
    <t xml:space="preserve">F:\images\20210303\plaque 1/@03 EE2 50.6/A3_01.tif </t>
  </si>
  <si>
    <t xml:space="preserve"> 9798.3423 </t>
  </si>
  <si>
    <t xml:space="preserve"> 69.0066 </t>
  </si>
  <si>
    <t xml:space="preserve">F:\images\20210303\plaque 1/@03 EE2 50.6/A3_02.tif </t>
  </si>
  <si>
    <t xml:space="preserve"> 77.8735 </t>
  </si>
  <si>
    <t xml:space="preserve">F:\images\20210303\plaque 1/@03 EE2 50.6/A3_03.tif </t>
  </si>
  <si>
    <t xml:space="preserve"> 10858.2071 </t>
  </si>
  <si>
    <t xml:space="preserve"> 79.6594 </t>
  </si>
  <si>
    <t xml:space="preserve">F:\images\20210303\plaque 1/@03 EE2 50.6/B3_01.tif </t>
  </si>
  <si>
    <t xml:space="preserve"> 63.8571 </t>
  </si>
  <si>
    <t xml:space="preserve">F:\images\20210303\plaque 1/@03 EE2 50.6/B3_02.tif </t>
  </si>
  <si>
    <t xml:space="preserve">F:\images\20210303\plaque 1/@03 EE2 50.6/B3_03.tif </t>
  </si>
  <si>
    <t xml:space="preserve"> 64.9615 </t>
  </si>
  <si>
    <t xml:space="preserve">F:\images\20210303\plaque 1/@03 EE2 50.6/C3_01.tif </t>
  </si>
  <si>
    <t xml:space="preserve"> 66.3492 </t>
  </si>
  <si>
    <t xml:space="preserve">F:\images\20210303\plaque 1/@03 EE2 50.6/C3_02.tif </t>
  </si>
  <si>
    <t xml:space="preserve"> 62.6364 </t>
  </si>
  <si>
    <t xml:space="preserve">F:\images\20210303\plaque 1/@03 EE2 50.6/C3_03.tif </t>
  </si>
  <si>
    <t xml:space="preserve"> 62.5714 </t>
  </si>
  <si>
    <t xml:space="preserve">F:\images\20210303\plaque 1/@03 EE2 50.6/D3_01.tif </t>
  </si>
  <si>
    <t xml:space="preserve"> 62.1579 </t>
  </si>
  <si>
    <t xml:space="preserve">F:\images\20210303\plaque 1/@03 EE2 50.6/D3_02.tif </t>
  </si>
  <si>
    <t xml:space="preserve"> 4174.5697 </t>
  </si>
  <si>
    <t xml:space="preserve"> 67.0984 </t>
  </si>
  <si>
    <t xml:space="preserve">F:\images\20210303\plaque 1/@03 EE2 50.6/D3_03.tif </t>
  </si>
  <si>
    <t xml:space="preserve"> 62.6429 </t>
  </si>
  <si>
    <t xml:space="preserve">F:\images\20210303\plaque 1/@03 EE2 50.6/E3_01.tif </t>
  </si>
  <si>
    <t xml:space="preserve"> 64.6 </t>
  </si>
  <si>
    <t>F:\images\20210303\plaque 1/@03 EE2 50.6/E3_02- exclu.tif</t>
  </si>
  <si>
    <t xml:space="preserve">F:\images\20210303\plaque 1/@03 EE2 50.6/E3_03.tif </t>
  </si>
  <si>
    <t xml:space="preserve"> 63.697 </t>
  </si>
  <si>
    <t xml:space="preserve">F:\images\20210303\plaque 1/@03 EE2 50.6/F3_01.tif </t>
  </si>
  <si>
    <t xml:space="preserve"> 7267.6446 </t>
  </si>
  <si>
    <t xml:space="preserve"> 73.628 </t>
  </si>
  <si>
    <t xml:space="preserve">F:\images\20210303\plaque 1/@03 EE2 50.6/F3_02.tif </t>
  </si>
  <si>
    <t xml:space="preserve"> 8327.5094 </t>
  </si>
  <si>
    <t xml:space="preserve"> 73.2545 </t>
  </si>
  <si>
    <t xml:space="preserve">F:\images\20210303\plaque 1/@03 EE2 50.6/F3_03.tif </t>
  </si>
  <si>
    <t xml:space="preserve"> 65.0667 </t>
  </si>
  <si>
    <t xml:space="preserve">F:\images\20210303\plaque 1/@03 EE2 50.6/G3_01.tif </t>
  </si>
  <si>
    <t xml:space="preserve"> 9928.1216 </t>
  </si>
  <si>
    <t xml:space="preserve"> 73.6688 </t>
  </si>
  <si>
    <t xml:space="preserve">F:\images\20210303\plaque 1/@03 EE2 50.6/G3_02.tif </t>
  </si>
  <si>
    <t xml:space="preserve"> 69.6497 </t>
  </si>
  <si>
    <t xml:space="preserve">F:\images\20210303\plaque 1/@03 EE2 50.6/G3_03.tif </t>
  </si>
  <si>
    <t xml:space="preserve"> 6229.4097 </t>
  </si>
  <si>
    <t xml:space="preserve"> 69.7118 </t>
  </si>
  <si>
    <t xml:space="preserve">F:\images\20210303\plaque 1/@03 EE2 50.6/H3_01.tif </t>
  </si>
  <si>
    <t xml:space="preserve">F:\images\20210303\plaque 1/@03 EE2 50.6/H3_02.tif </t>
  </si>
  <si>
    <t xml:space="preserve">F:\images\20210303\plaque 1/@03 EE2 50.6/H3_03.tif </t>
  </si>
  <si>
    <t xml:space="preserve"> 65.2143 </t>
  </si>
  <si>
    <t xml:space="preserve">F:\images\20210303\plaque 1/@03 EE2 50.6/ </t>
  </si>
  <si>
    <t xml:space="preserve"> 67.0825 </t>
  </si>
  <si>
    <t xml:space="preserve"> 5.127 </t>
  </si>
  <si>
    <t xml:space="preserve"> 255793.375 </t>
  </si>
  <si>
    <t xml:space="preserve"> 306094.498 </t>
  </si>
  <si>
    <t xml:space="preserve">F:\images\20210303\plaque 1/@04 EE2 76/A4_01.tif </t>
  </si>
  <si>
    <t xml:space="preserve"> 5883.3313 </t>
  </si>
  <si>
    <t xml:space="preserve"> 68.4706 </t>
  </si>
  <si>
    <t xml:space="preserve">F:\images\20210303\plaque 1/@04 EE2 76/A4_02.tif </t>
  </si>
  <si>
    <t xml:space="preserve"> 66.6667 </t>
  </si>
  <si>
    <t xml:space="preserve">F:\images\20210303\plaque 1/@04 EE2 76/A4_03.tif </t>
  </si>
  <si>
    <t xml:space="preserve"> 65.227 </t>
  </si>
  <si>
    <t>F:\images\20210303\plaque 1/@04 EE2 76/B4_01- exclu.tif</t>
  </si>
  <si>
    <t xml:space="preserve">F:\images\20210303\plaque 1/@04 EE2 76/B4_02.tif </t>
  </si>
  <si>
    <t xml:space="preserve"> 63.7619 </t>
  </si>
  <si>
    <t xml:space="preserve">F:\images\20210303\plaque 1/@04 EE2 76/B4_03.tif </t>
  </si>
  <si>
    <t xml:space="preserve"> 64.3578 </t>
  </si>
  <si>
    <t xml:space="preserve">F:\images\20210303\plaque 1/@04 EE2 76/C4_01.tif </t>
  </si>
  <si>
    <t xml:space="preserve"> 62.7128 </t>
  </si>
  <si>
    <t xml:space="preserve">F:\images\20210303\plaque 1/@04 EE2 76/C4_02.tif </t>
  </si>
  <si>
    <t xml:space="preserve"> 2984.9255 </t>
  </si>
  <si>
    <t xml:space="preserve"> 64.7174 </t>
  </si>
  <si>
    <t xml:space="preserve">F:\images\20210303\plaque 1/@04 EE2 76/C4_03.tif </t>
  </si>
  <si>
    <t xml:space="preserve"> 64.8187 </t>
  </si>
  <si>
    <t xml:space="preserve">F:\images\20210303\plaque 1/@04 EE2 76/D4_01.tif </t>
  </si>
  <si>
    <t xml:space="preserve"> 72806.2253 </t>
  </si>
  <si>
    <t xml:space="preserve"> 80.243 </t>
  </si>
  <si>
    <t xml:space="preserve">F:\images\20210303\plaque 1/@04 EE2 76/D4_02.tif </t>
  </si>
  <si>
    <t xml:space="preserve"> 65776.5096 </t>
  </si>
  <si>
    <t xml:space="preserve"> 81.5873 </t>
  </si>
  <si>
    <t xml:space="preserve">F:\images\20210303\plaque 1/@04 EE2 76/D4_03.tif </t>
  </si>
  <si>
    <t xml:space="preserve"> 64435.4561 </t>
  </si>
  <si>
    <t xml:space="preserve"> 79.7902 </t>
  </si>
  <si>
    <t xml:space="preserve">F:\images\20210303\plaque 1/@04 EE2 76/E4_01.tif </t>
  </si>
  <si>
    <t xml:space="preserve"> 64.4273 </t>
  </si>
  <si>
    <t xml:space="preserve">F:\images\20210303\plaque 1/@04 EE2 76/E4_02.tif </t>
  </si>
  <si>
    <t xml:space="preserve"> 63.9279 </t>
  </si>
  <si>
    <t xml:space="preserve">F:\images\20210303\plaque 1/@04 EE2 76/E4_03.tif </t>
  </si>
  <si>
    <t xml:space="preserve"> 2119.7297 </t>
  </si>
  <si>
    <t>F:\images\20210303\plaque 1/@04 EE2 76/F4_01- exclu.tif</t>
  </si>
  <si>
    <t>F:\images\20210303\plaque 1/@04 EE2 76/F4_02- exclu.tif</t>
  </si>
  <si>
    <t>F:\images\20210303\plaque 1/@04 EE2 76/F4_03- exclu.tif</t>
  </si>
  <si>
    <t xml:space="preserve">F:\images\20210303\plaque 1/@04 EE2 76/G4_01.tif </t>
  </si>
  <si>
    <t xml:space="preserve"> 64.5347 </t>
  </si>
  <si>
    <t xml:space="preserve">F:\images\20210303\plaque 1/@04 EE2 76/G4_02.tif </t>
  </si>
  <si>
    <t xml:space="preserve"> 65.4508 </t>
  </si>
  <si>
    <t xml:space="preserve">F:\images\20210303\plaque 1/@04 EE2 76/G4_03.tif </t>
  </si>
  <si>
    <t xml:space="preserve"> 63.6 </t>
  </si>
  <si>
    <t xml:space="preserve">F:\images\20210303\plaque 1/@04 EE2 76/H4_01.tif </t>
  </si>
  <si>
    <t xml:space="preserve"> 11312.4349 </t>
  </si>
  <si>
    <t xml:space="preserve"> 65.2467 </t>
  </si>
  <si>
    <t xml:space="preserve">F:\images\20210303\plaque 1/@04 EE2 76/H4_02.tif </t>
  </si>
  <si>
    <t xml:space="preserve"> 64.0847 </t>
  </si>
  <si>
    <t xml:space="preserve">F:\images\20210303\plaque 1/@04 EE2 76/H4_03.tif </t>
  </si>
  <si>
    <t xml:space="preserve"> 65.5035 </t>
  </si>
  <si>
    <t xml:space="preserve">F:\images\20210303\plaque 1/@04 EE2 76/ </t>
  </si>
  <si>
    <t xml:space="preserve"> 67.78 </t>
  </si>
  <si>
    <t xml:space="preserve"> 6.2645 </t>
  </si>
  <si>
    <t xml:space="preserve"> 970868.708 </t>
  </si>
  <si>
    <t xml:space="preserve"> 1754610.92 </t>
  </si>
  <si>
    <t xml:space="preserve">F:\images\20210303\plaque 1/@05 EE2 114/A5_01.tif </t>
  </si>
  <si>
    <t xml:space="preserve"> 15292.3355 </t>
  </si>
  <si>
    <t xml:space="preserve"> 67.3338 </t>
  </si>
  <si>
    <t xml:space="preserve">F:\images\20210303\plaque 1/@05 EE2 114/A5_02.tif </t>
  </si>
  <si>
    <t xml:space="preserve"> 10403.9793 </t>
  </si>
  <si>
    <t xml:space="preserve"> 70.8108 </t>
  </si>
  <si>
    <t xml:space="preserve">F:\images\20210303\plaque 1/@05 EE2 114/A5_03.tif </t>
  </si>
  <si>
    <t xml:space="preserve"> 11420.5844 </t>
  </si>
  <si>
    <t xml:space="preserve"> 65.8163 </t>
  </si>
  <si>
    <t xml:space="preserve">F:\images\20210303\plaque 1/@05 EE2 114/B5_01.tif </t>
  </si>
  <si>
    <t xml:space="preserve"> 65.0962 </t>
  </si>
  <si>
    <t xml:space="preserve">F:\images\20210303\plaque 1/@05 EE2 114/B5_02.tif </t>
  </si>
  <si>
    <t xml:space="preserve"> 63.3951 </t>
  </si>
  <si>
    <t xml:space="preserve">F:\images\20210303\plaque 1/@05 EE2 114/B5_03.tif </t>
  </si>
  <si>
    <t xml:space="preserve"> 62.6176 </t>
  </si>
  <si>
    <t xml:space="preserve">F:\images\20210303\plaque 1/@05 EE2 114/C5_01.tif </t>
  </si>
  <si>
    <t xml:space="preserve"> 21521.7452 </t>
  </si>
  <si>
    <t xml:space="preserve"> 67.9457 </t>
  </si>
  <si>
    <t>F:\images\20210303\plaque 1/@05 EE2 114/C5_02- exclu.tif</t>
  </si>
  <si>
    <t xml:space="preserve">F:\images\20210303\plaque 1/@05 EE2 114/C5_03.tif </t>
  </si>
  <si>
    <t xml:space="preserve"> 20721.4391 </t>
  </si>
  <si>
    <t xml:space="preserve"> 66.2296 </t>
  </si>
  <si>
    <t xml:space="preserve">F:\images\20210303\plaque 1/@05 EE2 114/D5_01.tif </t>
  </si>
  <si>
    <t xml:space="preserve"> 39344.7783 </t>
  </si>
  <si>
    <t xml:space="preserve"> 71.8296 </t>
  </si>
  <si>
    <t xml:space="preserve">F:\images\20210303\plaque 1/@05 EE2 114/D5_02.tif </t>
  </si>
  <si>
    <t xml:space="preserve"> 43194.8996 </t>
  </si>
  <si>
    <t xml:space="preserve"> 70.7922 </t>
  </si>
  <si>
    <t xml:space="preserve">F:\images\20210303\plaque 1/@05 EE2 114/D5_03.tif </t>
  </si>
  <si>
    <t xml:space="preserve"> 67.028 </t>
  </si>
  <si>
    <t xml:space="preserve">F:\images\20210303\plaque 1/@05 EE2 114/E5_01.tif </t>
  </si>
  <si>
    <t xml:space="preserve"> 21867.8235 </t>
  </si>
  <si>
    <t xml:space="preserve"> 69.2235 </t>
  </si>
  <si>
    <t xml:space="preserve">F:\images\20210303\plaque 1/@05 EE2 114/E5_02.tif </t>
  </si>
  <si>
    <t xml:space="preserve"> 18709.8589 </t>
  </si>
  <si>
    <t xml:space="preserve"> 67.9514 </t>
  </si>
  <si>
    <t xml:space="preserve">F:\images\20210303\plaque 1/@05 EE2 114/E5_03.tif </t>
  </si>
  <si>
    <t xml:space="preserve"> 16590.1292 </t>
  </si>
  <si>
    <t xml:space="preserve"> 68.6832 </t>
  </si>
  <si>
    <t xml:space="preserve">F:\images\20210303\plaque 1/@05 EE2 114/F5_01.tif </t>
  </si>
  <si>
    <t xml:space="preserve"> 12826.5275 </t>
  </si>
  <si>
    <t xml:space="preserve"> 64.8735 </t>
  </si>
  <si>
    <t xml:space="preserve">F:\images\20210303\plaque 1/@05 EE2 114/F5_02.tif </t>
  </si>
  <si>
    <t xml:space="preserve"> 12480.4492 </t>
  </si>
  <si>
    <t xml:space="preserve"> 64.9965 </t>
  </si>
  <si>
    <t>F:\images\20210303\plaque 1/@05 EE2 114/F5_03- exclu.tif</t>
  </si>
  <si>
    <t xml:space="preserve">F:\images\20210303\plaque 1/@05 EE2 114/G5_01.tif </t>
  </si>
  <si>
    <t xml:space="preserve"> 67.4341 </t>
  </si>
  <si>
    <t xml:space="preserve">F:\images\20210303\plaque 1/@05 EE2 114/G5_02.tif </t>
  </si>
  <si>
    <t xml:space="preserve"> 22322.0513 </t>
  </si>
  <si>
    <t xml:space="preserve"> 66.2829 </t>
  </si>
  <si>
    <t xml:space="preserve">F:\images\20210303\plaque 1/@05 EE2 114/G5_03.tif </t>
  </si>
  <si>
    <t xml:space="preserve"> 18558.4496 </t>
  </si>
  <si>
    <t xml:space="preserve"> 66.3823 </t>
  </si>
  <si>
    <t>F:\images\20210303\plaque 1/@05 EE2 114/H5_01- exclu.tif</t>
  </si>
  <si>
    <t xml:space="preserve">F:\images\20210303\plaque 1/@05 EE2 114/H5_02.tif </t>
  </si>
  <si>
    <t xml:space="preserve"> 28162.1228 </t>
  </si>
  <si>
    <t xml:space="preserve"> 68.1736 </t>
  </si>
  <si>
    <t xml:space="preserve">F:\images\20210303\plaque 1/@05 EE2 114/H5_03.tif </t>
  </si>
  <si>
    <t xml:space="preserve"> 35429.7674 </t>
  </si>
  <si>
    <t xml:space="preserve"> 67.5476 </t>
  </si>
  <si>
    <t xml:space="preserve">F:\images\20210303\plaque 1/@05 EE2 114/ </t>
  </si>
  <si>
    <t xml:space="preserve"> 66.9527 </t>
  </si>
  <si>
    <t xml:space="preserve"> 2.3479 </t>
  </si>
  <si>
    <t xml:space="preserve"> 1237054.21 </t>
  </si>
  <si>
    <t xml:space="preserve"> 819949.897 </t>
  </si>
  <si>
    <t xml:space="preserve">F:\images\20210303\plaque 1/@06 EE2 170.9/A6_01.tif </t>
  </si>
  <si>
    <t xml:space="preserve"> 77.0918 </t>
  </si>
  <si>
    <t xml:space="preserve">F:\images\20210303\plaque 1/@06 EE2 170.9/A6_02.tif </t>
  </si>
  <si>
    <t xml:space="preserve"> 75.0874 </t>
  </si>
  <si>
    <t xml:space="preserve">F:\images\20210303\plaque 1/@06 EE2 170.9/A6_03.tif </t>
  </si>
  <si>
    <t xml:space="preserve"> 46461.0137 </t>
  </si>
  <si>
    <t xml:space="preserve"> 74.926 </t>
  </si>
  <si>
    <t xml:space="preserve">F:\images\20210303\plaque 1/@06 EE2 170.9/B6_01.tif </t>
  </si>
  <si>
    <t xml:space="preserve"> 30800.97 </t>
  </si>
  <si>
    <t xml:space="preserve"> 72.2247 </t>
  </si>
  <si>
    <t xml:space="preserve">F:\images\20210303\plaque 1/@06 EE2 170.9/B6_02.tif </t>
  </si>
  <si>
    <t xml:space="preserve"> 32228.543 </t>
  </si>
  <si>
    <t xml:space="preserve"> 72.2114 </t>
  </si>
  <si>
    <t xml:space="preserve">F:\images\20210303\plaque 1/@06 EE2 170.9/B6_03.tif </t>
  </si>
  <si>
    <t xml:space="preserve"> 32617.8811 </t>
  </si>
  <si>
    <t xml:space="preserve"> 72.0405 </t>
  </si>
  <si>
    <t xml:space="preserve">F:\images\20210303\plaque 1/@06 EE2 170.9/C6_01.tif </t>
  </si>
  <si>
    <t xml:space="preserve"> 59568.7298 </t>
  </si>
  <si>
    <t xml:space="preserve"> 80.6042 </t>
  </si>
  <si>
    <t xml:space="preserve">F:\images\20210303\plaque 1/@06 EE2 170.9/C6_02.tif </t>
  </si>
  <si>
    <t xml:space="preserve"> 60239.2565 </t>
  </si>
  <si>
    <t xml:space="preserve"> 79.1838 </t>
  </si>
  <si>
    <t xml:space="preserve">F:\images\20210303\plaque 1/@06 EE2 170.9/C6_03.tif </t>
  </si>
  <si>
    <t xml:space="preserve"> 79.4883 </t>
  </si>
  <si>
    <t xml:space="preserve">F:\images\20210303\plaque 1/@06 EE2 170.9/D6_01.tif </t>
  </si>
  <si>
    <t xml:space="preserve"> 19986.0226 </t>
  </si>
  <si>
    <t xml:space="preserve"> 65.6234 </t>
  </si>
  <si>
    <t xml:space="preserve">F:\images\20210303\plaque 1/@06 EE2 170.9/D6_02.tif </t>
  </si>
  <si>
    <t xml:space="preserve"> 21024.2576 </t>
  </si>
  <si>
    <t xml:space="preserve"> 67.0237 </t>
  </si>
  <si>
    <t xml:space="preserve">F:\images\20210303\plaque 1/@06 EE2 170.9/D6_03.tif </t>
  </si>
  <si>
    <t xml:space="preserve"> 20505.1401 </t>
  </si>
  <si>
    <t xml:space="preserve"> 66.577 </t>
  </si>
  <si>
    <t xml:space="preserve">F:\images\20210303\plaque 1/@06 EE2 170.9/E6_01.tif </t>
  </si>
  <si>
    <t xml:space="preserve"> 44406.1737 </t>
  </si>
  <si>
    <t xml:space="preserve"> 72.132 </t>
  </si>
  <si>
    <t xml:space="preserve">F:\images\20210303\plaque 1/@06 EE2 170.9/E6_02.tif </t>
  </si>
  <si>
    <t xml:space="preserve"> 32055.5038 </t>
  </si>
  <si>
    <t xml:space="preserve"> 71.085 </t>
  </si>
  <si>
    <t xml:space="preserve">F:\images\20210303\plaque 1/@06 EE2 170.9/E6_03.tif </t>
  </si>
  <si>
    <t xml:space="preserve"> 32271.8028 </t>
  </si>
  <si>
    <t xml:space="preserve"> 71.2125 </t>
  </si>
  <si>
    <t xml:space="preserve">F:\images\20210303\plaque 1/@06 EE2 170.9/F6_01.tif </t>
  </si>
  <si>
    <t xml:space="preserve"> 4845.0964 </t>
  </si>
  <si>
    <t xml:space="preserve"> 66.2991 </t>
  </si>
  <si>
    <t xml:space="preserve">F:\images\20210303\plaque 1/@06 EE2 170.9/F6_02.tif </t>
  </si>
  <si>
    <t xml:space="preserve"> 64.6382 </t>
  </si>
  <si>
    <t xml:space="preserve">F:\images\20210303\plaque 1/@06 EE2 170.9/F6_03.tif </t>
  </si>
  <si>
    <t xml:space="preserve"> 66.0045 </t>
  </si>
  <si>
    <t xml:space="preserve">F:\images\20210303\plaque 1/@06 EE2 170.9/G6_01.tif </t>
  </si>
  <si>
    <t xml:space="preserve"> 21370.3359 </t>
  </si>
  <si>
    <t xml:space="preserve"> 67.333 </t>
  </si>
  <si>
    <t xml:space="preserve">F:\images\20210303\plaque 1/@06 EE2 170.9/G6_02.tif </t>
  </si>
  <si>
    <t xml:space="preserve"> 18882.898 </t>
  </si>
  <si>
    <t xml:space="preserve"> 67.0985 </t>
  </si>
  <si>
    <t xml:space="preserve">F:\images\20210303\plaque 1/@06 EE2 170.9/G6_03.tif </t>
  </si>
  <si>
    <t xml:space="preserve"> 18926.1578 </t>
  </si>
  <si>
    <t xml:space="preserve"> 66.2766 </t>
  </si>
  <si>
    <t xml:space="preserve">F:\images\20210303\plaque 1/@06 EE2 170.9/H6_01.tif </t>
  </si>
  <si>
    <t xml:space="preserve"> 40642.572 </t>
  </si>
  <si>
    <t xml:space="preserve"> 70.2725 </t>
  </si>
  <si>
    <t xml:space="preserve">F:\images\20210303\plaque 1/@06 EE2 170.9/H6_02.tif </t>
  </si>
  <si>
    <t xml:space="preserve"> 43324.6789 </t>
  </si>
  <si>
    <t xml:space="preserve"> 70.2766 </t>
  </si>
  <si>
    <t xml:space="preserve">F:\images\20210303\plaque 1/@06 EE2 170.9/H6_03.tif </t>
  </si>
  <si>
    <t xml:space="preserve"> 44233.1345 </t>
  </si>
  <si>
    <t xml:space="preserve"> 69.8616 </t>
  </si>
  <si>
    <t xml:space="preserve">F:\images\20210303\plaque 1/@06 EE2 170.9/ </t>
  </si>
  <si>
    <t xml:space="preserve"> 71.0238 </t>
  </si>
  <si>
    <t xml:space="preserve"> 4.7136 </t>
  </si>
  <si>
    <t xml:space="preserve"> 2385264.62 </t>
  </si>
  <si>
    <t xml:space="preserve"> 1348323.51 </t>
  </si>
  <si>
    <t>F:\images\20210303\plaque 1/@07 EE2 488/A7_01- exclu.tif</t>
  </si>
  <si>
    <t xml:space="preserve">F:\images\20210303\plaque 1/@07 EE2 488/A7_02.tif </t>
  </si>
  <si>
    <t xml:space="preserve"> 95.5418 </t>
  </si>
  <si>
    <t xml:space="preserve">F:\images\20210303\plaque 1/@07 EE2 488/A7_03.tif </t>
  </si>
  <si>
    <t xml:space="preserve"> 51241.2204 </t>
  </si>
  <si>
    <t xml:space="preserve"> 96.8185 </t>
  </si>
  <si>
    <t xml:space="preserve">F:\images\20210303\plaque 1/@07 EE2 488/B7_01.tif </t>
  </si>
  <si>
    <t xml:space="preserve"> 88.5728 </t>
  </si>
  <si>
    <t xml:space="preserve">F:\images\20210303\plaque 1/@07 EE2 488/B7_02.tif </t>
  </si>
  <si>
    <t xml:space="preserve"> 63397.2212 </t>
  </si>
  <si>
    <t xml:space="preserve"> 87.1122 </t>
  </si>
  <si>
    <t xml:space="preserve">F:\images\20210303\plaque 1/@07 EE2 488/B7_03.tif </t>
  </si>
  <si>
    <t xml:space="preserve"> 69107.5133 </t>
  </si>
  <si>
    <t xml:space="preserve"> 88.5321 </t>
  </si>
  <si>
    <t xml:space="preserve">F:\images\20210303\plaque 1/@07 EE2 488/C7_01.tif </t>
  </si>
  <si>
    <t xml:space="preserve"> 61104.4523 </t>
  </si>
  <si>
    <t xml:space="preserve"> 77.5759 </t>
  </si>
  <si>
    <t xml:space="preserve">F:\images\20210303\plaque 1/@07 EE2 488/C7_02.tif </t>
  </si>
  <si>
    <t xml:space="preserve"> 64413.8262 </t>
  </si>
  <si>
    <t xml:space="preserve"> 74.8167 </t>
  </si>
  <si>
    <t xml:space="preserve">F:\images\20210303\plaque 1/@07 EE2 488/C7_03.tif </t>
  </si>
  <si>
    <t xml:space="preserve"> 60844.8936 </t>
  </si>
  <si>
    <t xml:space="preserve"> 77.043 </t>
  </si>
  <si>
    <t xml:space="preserve">F:\images\20210303\plaque 1/@07 EE2 488/D7_01.tif </t>
  </si>
  <si>
    <t xml:space="preserve"> 52344.345 </t>
  </si>
  <si>
    <t xml:space="preserve"> 82.8388 </t>
  </si>
  <si>
    <t xml:space="preserve">F:\images\20210303\plaque 1/@07 EE2 488/D7_02.tif </t>
  </si>
  <si>
    <t xml:space="preserve"> 81.8796 </t>
  </si>
  <si>
    <t xml:space="preserve">F:\images\20210303\plaque 1/@07 EE2 488/D7_03.tif </t>
  </si>
  <si>
    <t xml:space="preserve"> 49424.3092 </t>
  </si>
  <si>
    <t xml:space="preserve"> 82.2565 </t>
  </si>
  <si>
    <t xml:space="preserve">F:\images\20210303\plaque 1/@07 EE2 488/E7_01.tif </t>
  </si>
  <si>
    <t xml:space="preserve"> 63527.0005 </t>
  </si>
  <si>
    <t xml:space="preserve"> 93.6592 </t>
  </si>
  <si>
    <t xml:space="preserve">F:\images\20210303\plaque 1/@07 EE2 488/E7_02.tif </t>
  </si>
  <si>
    <t xml:space="preserve"> 59828.2885 </t>
  </si>
  <si>
    <t xml:space="preserve"> 92.9443 </t>
  </si>
  <si>
    <t xml:space="preserve">F:\images\20210303\plaque 1/@07 EE2 488/E7_03.tif </t>
  </si>
  <si>
    <t xml:space="preserve"> 59958.0679 </t>
  </si>
  <si>
    <t xml:space="preserve"> 90.018 </t>
  </si>
  <si>
    <t xml:space="preserve">F:\images\20210303\plaque 1/@07 EE2 488/F7_01.tif </t>
  </si>
  <si>
    <t xml:space="preserve"> 77110.5744 </t>
  </si>
  <si>
    <t xml:space="preserve"> 96.0457 </t>
  </si>
  <si>
    <t xml:space="preserve">F:\images\20210303\plaque 1/@07 EE2 488/F7_02.tif </t>
  </si>
  <si>
    <t xml:space="preserve"> 96.3536 </t>
  </si>
  <si>
    <t xml:space="preserve">F:\images\20210303\plaque 1/@07 EE2 488/F7_03.tif </t>
  </si>
  <si>
    <t xml:space="preserve"> 72762.9655 </t>
  </si>
  <si>
    <t xml:space="preserve"> 94.363 </t>
  </si>
  <si>
    <t xml:space="preserve">F:\images\20210303\plaque 1/@07 EE2 488/G7_01.tif </t>
  </si>
  <si>
    <t xml:space="preserve"> 55437.4199 </t>
  </si>
  <si>
    <t xml:space="preserve"> 92.2076 </t>
  </si>
  <si>
    <t xml:space="preserve">F:\images\20210303\plaque 1/@07 EE2 488/G7_02.tif </t>
  </si>
  <si>
    <t xml:space="preserve"> 90.6318 </t>
  </si>
  <si>
    <t xml:space="preserve">F:\images\20210303\plaque 1/@07 EE2 488/G7_03.tif </t>
  </si>
  <si>
    <t xml:space="preserve"> 56540.5446 </t>
  </si>
  <si>
    <t xml:space="preserve"> 93.4208 </t>
  </si>
  <si>
    <t xml:space="preserve">F:\images\20210303\plaque 1/@07 EE2 488/H7_01.tif </t>
  </si>
  <si>
    <t xml:space="preserve"> 63570.2603 </t>
  </si>
  <si>
    <t xml:space="preserve"> 98.8714 </t>
  </si>
  <si>
    <t xml:space="preserve">F:\images\20210303\plaque 1/@07 EE2 488/H7_02.tif </t>
  </si>
  <si>
    <t xml:space="preserve"> 64111.0077 </t>
  </si>
  <si>
    <t xml:space="preserve"> 98.2456 </t>
  </si>
  <si>
    <t xml:space="preserve">F:\images\20210303\plaque 1/@07 EE2 488/H7_03.tif </t>
  </si>
  <si>
    <t xml:space="preserve"> 68891.2144 </t>
  </si>
  <si>
    <t xml:space="preserve"> 93.2656 </t>
  </si>
  <si>
    <t xml:space="preserve">F:\images\20210303\plaque 1/@07 EE2 488/ </t>
  </si>
  <si>
    <t xml:space="preserve"> 89.917 </t>
  </si>
  <si>
    <t xml:space="preserve"> 7.0304 </t>
  </si>
  <si>
    <t xml:space="preserve"> 5548013.96 </t>
  </si>
  <si>
    <t xml:space="preserve"> 870301.469 </t>
  </si>
  <si>
    <t xml:space="preserve">F:\images\20210303\plaque 1/@08 17b estradiol 34 ng_L/A8_01.tif </t>
  </si>
  <si>
    <t xml:space="preserve"> 6986.456 </t>
  </si>
  <si>
    <t xml:space="preserve"> 72.2415 </t>
  </si>
  <si>
    <t xml:space="preserve">F:\images\20210303\plaque 1/@08 17b estradiol 34 ng_L/A8_02.tif </t>
  </si>
  <si>
    <t xml:space="preserve"> 64.5926 </t>
  </si>
  <si>
    <t xml:space="preserve">F:\images\20210303\plaque 1/@08 17b estradiol 34 ng_L/A8_03.tif </t>
  </si>
  <si>
    <t xml:space="preserve"> 64.9815 </t>
  </si>
  <si>
    <t xml:space="preserve">F:\images\20210303\plaque 1/@08 17b estradiol 34 ng_L/B8_01.tif </t>
  </si>
  <si>
    <t xml:space="preserve"> 3828.4913 </t>
  </si>
  <si>
    <t xml:space="preserve"> 65.678 </t>
  </si>
  <si>
    <t xml:space="preserve">F:\images\20210303\plaque 1/@08 17b estradiol 34 ng_L/B8_02.tif </t>
  </si>
  <si>
    <t xml:space="preserve"> 65.9798 </t>
  </si>
  <si>
    <t xml:space="preserve">F:\images\20210303\plaque 1/@08 17b estradiol 34 ng_L/B8_03.tif </t>
  </si>
  <si>
    <t xml:space="preserve"> 67.3168 </t>
  </si>
  <si>
    <t xml:space="preserve">F:\images\20210303\plaque 1/@08 17b estradiol 34 ng_L/C8_01.tif </t>
  </si>
  <si>
    <t xml:space="preserve"> 3093.0749 </t>
  </si>
  <si>
    <t xml:space="preserve"> 69.0559 </t>
  </si>
  <si>
    <t xml:space="preserve">F:\images\20210303\plaque 1/@08 17b estradiol 34 ng_L/C8_02.tif </t>
  </si>
  <si>
    <t xml:space="preserve"> 68.3697 </t>
  </si>
  <si>
    <t xml:space="preserve">F:\images\20210303\plaque 1/@08 17b estradiol 34 ng_L/C8_03.tif </t>
  </si>
  <si>
    <t xml:space="preserve"> 65.1429 </t>
  </si>
  <si>
    <t xml:space="preserve">F:\images\20210303\plaque 1/@08 17b estradiol 34 ng_L/D8_01.tif </t>
  </si>
  <si>
    <t xml:space="preserve"> 66.7241 </t>
  </si>
  <si>
    <t xml:space="preserve">F:\images\20210303\plaque 1/@08 17b estradiol 34 ng_L/D8_02.tif </t>
  </si>
  <si>
    <t xml:space="preserve"> 4888.3562 </t>
  </si>
  <si>
    <t xml:space="preserve"> 69.5664 </t>
  </si>
  <si>
    <t xml:space="preserve">F:\images\20210303\plaque 1/@08 17b estradiol 34 ng_L/D8_03.tif </t>
  </si>
  <si>
    <t xml:space="preserve"> 68.0201 </t>
  </si>
  <si>
    <t xml:space="preserve">F:\images\20210303\plaque 1/@08 17b estradiol 34 ng_L/E8_01.tif </t>
  </si>
  <si>
    <t xml:space="preserve"> 63.9583 </t>
  </si>
  <si>
    <t xml:space="preserve">F:\images\20210303\plaque 1/@08 17b estradiol 34 ng_L/E8_02.tif </t>
  </si>
  <si>
    <t xml:space="preserve"> 66.7835 </t>
  </si>
  <si>
    <t xml:space="preserve">F:\images\20210303\plaque 1/@08 17b estradiol 34 ng_L/E8_03.tif </t>
  </si>
  <si>
    <t xml:space="preserve"> 7938.1713 </t>
  </si>
  <si>
    <t xml:space="preserve"> 72.4169 </t>
  </si>
  <si>
    <t xml:space="preserve">F:\images\20210303\plaque 1/@08 17b estradiol 34 ng_L/F8_01.tif </t>
  </si>
  <si>
    <t xml:space="preserve"> 65.5638 </t>
  </si>
  <si>
    <t xml:space="preserve">F:\images\20210303\plaque 1/@08 17b estradiol 34 ng_L/F8_02.tif </t>
  </si>
  <si>
    <t xml:space="preserve">F:\images\20210303\plaque 1/@08 17b estradiol 34 ng_L/F8_03.tif </t>
  </si>
  <si>
    <t xml:space="preserve"> 68.0656 </t>
  </si>
  <si>
    <t xml:space="preserve">F:\images\20210303\plaque 1/@08 17b estradiol 34 ng_L/G8_01.tif </t>
  </si>
  <si>
    <t xml:space="preserve"> 2963.2956 </t>
  </si>
  <si>
    <t xml:space="preserve"> 66.1679 </t>
  </si>
  <si>
    <t xml:space="preserve">F:\images\20210303\plaque 1/@08 17b estradiol 34 ng_L/G8_02.tif </t>
  </si>
  <si>
    <t xml:space="preserve"> 63.5455 </t>
  </si>
  <si>
    <t xml:space="preserve">F:\images\20210303\plaque 1/@08 17b estradiol 34 ng_L/G8_03.tif </t>
  </si>
  <si>
    <t xml:space="preserve"> 63.9032 </t>
  </si>
  <si>
    <t xml:space="preserve">F:\images\20210303\plaque 1/@08 17b estradiol 34 ng_L/H8_01.tif </t>
  </si>
  <si>
    <t xml:space="preserve"> 65.7317 </t>
  </si>
  <si>
    <t xml:space="preserve">F:\images\20210303\plaque 1/@08 17b estradiol 34 ng_L/H8_02.tif </t>
  </si>
  <si>
    <t xml:space="preserve"> 64.1864 </t>
  </si>
  <si>
    <t xml:space="preserve">F:\images\20210303\plaque 1/@08 17b estradiol 34 ng_L/H8_03.tif </t>
  </si>
  <si>
    <t xml:space="preserve"> 63.24 </t>
  </si>
  <si>
    <t xml:space="preserve">F:\images\20210303\plaque 1/@08 17b estradiol 34 ng_L/ </t>
  </si>
  <si>
    <t xml:space="preserve"> 66.6522 </t>
  </si>
  <si>
    <t xml:space="preserve"> 2.505 </t>
  </si>
  <si>
    <t xml:space="preserve"> 202654.083 </t>
  </si>
  <si>
    <t xml:space="preserve"> 144584.221 </t>
  </si>
  <si>
    <t>F:\images\20210303\plaque 1/@09 17b estradiol 68/A9_01- exclu.tif</t>
  </si>
  <si>
    <t xml:space="preserve">F:\images\20210303\plaque 1/@09 17b estradiol 68/A9_02.tif </t>
  </si>
  <si>
    <t xml:space="preserve">F:\images\20210303\plaque 1/@09 17b estradiol 68/A9_03.tif </t>
  </si>
  <si>
    <t xml:space="preserve"> 64.6316 </t>
  </si>
  <si>
    <t>F:\images\20210303\plaque 1/@09 17b estradiol 68/B9_01- exclu.tif</t>
  </si>
  <si>
    <t>F:\images\20210303\plaque 1/@09 17b estradiol 68/B9_02- exclu.tif</t>
  </si>
  <si>
    <t>F:\images\20210303\plaque 1/@09 17b estradiol 68/B9_03- exclu.tif</t>
  </si>
  <si>
    <t xml:space="preserve">F:\images\20210303\plaque 1/@09 17b estradiol 68/C9_01.tif </t>
  </si>
  <si>
    <t xml:space="preserve"> 67.0312 </t>
  </si>
  <si>
    <t xml:space="preserve">F:\images\20210303\plaque 1/@09 17b estradiol 68/C9_02.tif </t>
  </si>
  <si>
    <t xml:space="preserve">F:\images\20210303\plaque 1/@09 17b estradiol 68/C9_03.tif </t>
  </si>
  <si>
    <t xml:space="preserve"> 63.3636 </t>
  </si>
  <si>
    <t xml:space="preserve">F:\images\20210303\plaque 1/@09 17b estradiol 68/D9_01.tif </t>
  </si>
  <si>
    <t xml:space="preserve"> 3157.9646 </t>
  </si>
  <si>
    <t xml:space="preserve"> 67.4863 </t>
  </si>
  <si>
    <t xml:space="preserve">F:\images\20210303\plaque 1/@09 17b estradiol 68/D9_02.tif </t>
  </si>
  <si>
    <t xml:space="preserve"> 63.381 </t>
  </si>
  <si>
    <t xml:space="preserve">F:\images\20210303\plaque 1/@09 17b estradiol 68/D9_03.tif </t>
  </si>
  <si>
    <t xml:space="preserve"> 66.3271 </t>
  </si>
  <si>
    <t xml:space="preserve">F:\images\20210303\plaque 1/@09 17b estradiol 68/E9_01.tif </t>
  </si>
  <si>
    <t xml:space="preserve"> 65.5366 </t>
  </si>
  <si>
    <t xml:space="preserve">F:\images\20210303\plaque 1/@09 17b estradiol 68/E9_02.tif </t>
  </si>
  <si>
    <t xml:space="preserve"> 2249.509 </t>
  </si>
  <si>
    <t xml:space="preserve"> 63.5385 </t>
  </si>
  <si>
    <t xml:space="preserve">F:\images\20210303\plaque 1/@09 17b estradiol 68/E9_03.tif </t>
  </si>
  <si>
    <t xml:space="preserve"> 1016.605 </t>
  </si>
  <si>
    <t xml:space="preserve"> 63.234 </t>
  </si>
  <si>
    <t xml:space="preserve">F:\images\20210303\plaque 1/@09 17b estradiol 68/F9_01.tif </t>
  </si>
  <si>
    <t xml:space="preserve"> 30130.4432 </t>
  </si>
  <si>
    <t xml:space="preserve"> 67.4314 </t>
  </si>
  <si>
    <t xml:space="preserve">F:\images\20210303\plaque 1/@09 17b estradiol 68/F9_02.tif </t>
  </si>
  <si>
    <t xml:space="preserve"> 42589.2625 </t>
  </si>
  <si>
    <t xml:space="preserve"> 69.0071 </t>
  </si>
  <si>
    <t xml:space="preserve">F:\images\20210303\plaque 1/@09 17b estradiol 68/F9_03.tif </t>
  </si>
  <si>
    <t xml:space="preserve"> 67.0782 </t>
  </si>
  <si>
    <t xml:space="preserve">F:\images\20210303\plaque 1/@09 17b estradiol 68/G9_01.tif </t>
  </si>
  <si>
    <t xml:space="preserve"> 2422.5482 </t>
  </si>
  <si>
    <t xml:space="preserve"> 65.1518 </t>
  </si>
  <si>
    <t xml:space="preserve">F:\images\20210303\plaque 1/@09 17b estradiol 68/G9_02.tif </t>
  </si>
  <si>
    <t xml:space="preserve"> 63.1163 </t>
  </si>
  <si>
    <t xml:space="preserve">F:\images\20210303\plaque 1/@09 17b estradiol 68/G9_03.tif </t>
  </si>
  <si>
    <t xml:space="preserve"> 66.033 </t>
  </si>
  <si>
    <t xml:space="preserve">F:\images\20210303\plaque 1/@09 17b estradiol 68/H9_01.tif </t>
  </si>
  <si>
    <t xml:space="preserve"> 70.0692 </t>
  </si>
  <si>
    <t xml:space="preserve">F:\images\20210303\plaque 1/@09 17b estradiol 68/H9_02.tif </t>
  </si>
  <si>
    <t xml:space="preserve">F:\images\20210303\plaque 1/@09 17b estradiol 68/H9_03.tif </t>
  </si>
  <si>
    <t xml:space="preserve"> 64.1818 </t>
  </si>
  <si>
    <t xml:space="preserve">F:\images\20210303\plaque 1/@09 17b estradiol 68/ </t>
  </si>
  <si>
    <t xml:space="preserve"> 66.4576 </t>
  </si>
  <si>
    <t xml:space="preserve"> 5.5732 </t>
  </si>
  <si>
    <t xml:space="preserve"> 415983.333 </t>
  </si>
  <si>
    <t xml:space="preserve"> 786912.748 </t>
  </si>
  <si>
    <t xml:space="preserve">F:\images\20210303\plaque 1/@10 17b estradiol 135/A10_01.tif </t>
  </si>
  <si>
    <t xml:space="preserve"> 13086.0863 </t>
  </si>
  <si>
    <t xml:space="preserve"> 64.6975 </t>
  </si>
  <si>
    <t xml:space="preserve">F:\images\20210303\plaque 1/@10 17b estradiol 135/A10_02.tif </t>
  </si>
  <si>
    <t xml:space="preserve"> 10490.4989 </t>
  </si>
  <si>
    <t xml:space="preserve"> 65.0804 </t>
  </si>
  <si>
    <t xml:space="preserve">F:\images\20210303\plaque 1/@10 17b estradiol 135/A10_03.tif </t>
  </si>
  <si>
    <t xml:space="preserve"> 65.2348 </t>
  </si>
  <si>
    <t xml:space="preserve">F:\images\20210303\plaque 1/@10 17b estradiol 135/B10_01.tif </t>
  </si>
  <si>
    <t xml:space="preserve"> 17044.357 </t>
  </si>
  <si>
    <t xml:space="preserve"> 65.5723 </t>
  </si>
  <si>
    <t xml:space="preserve">F:\images\20210303\plaque 1/@10 17b estradiol 135/B10_02.tif </t>
  </si>
  <si>
    <t xml:space="preserve"> 15768.1932 </t>
  </si>
  <si>
    <t xml:space="preserve"> 67.4513 </t>
  </si>
  <si>
    <t xml:space="preserve">F:\images\20210303\plaque 1/@10 17b estradiol 135/B10_03.tif </t>
  </si>
  <si>
    <t xml:space="preserve"> 66.792 </t>
  </si>
  <si>
    <t xml:space="preserve">F:\images\20210303\plaque 1/@10 17b estradiol 135/C10_01.tif </t>
  </si>
  <si>
    <t xml:space="preserve"> 17541.8445 </t>
  </si>
  <si>
    <t xml:space="preserve"> 65.9075 </t>
  </si>
  <si>
    <t xml:space="preserve">F:\images\20210303\plaque 1/@10 17b estradiol 135/C10_02.tif </t>
  </si>
  <si>
    <t xml:space="preserve"> 66.9514 </t>
  </si>
  <si>
    <t xml:space="preserve">F:\images\20210303\plaque 1/@10 17b estradiol 135/C10_03.tif </t>
  </si>
  <si>
    <t xml:space="preserve"> 67.2617 </t>
  </si>
  <si>
    <t xml:space="preserve">F:\images\20210303\plaque 1/@10 17b estradiol 135/D10_01.tif </t>
  </si>
  <si>
    <t xml:space="preserve"> 66.6832 </t>
  </si>
  <si>
    <t xml:space="preserve">F:\images\20210303\plaque 1/@10 17b estradiol 135/D10_02.tif </t>
  </si>
  <si>
    <t xml:space="preserve"> 61.9286 </t>
  </si>
  <si>
    <t xml:space="preserve">F:\images\20210303\plaque 1/@10 17b estradiol 135/D10_03.tif </t>
  </si>
  <si>
    <t xml:space="preserve"> 68.954 </t>
  </si>
  <si>
    <t xml:space="preserve">F:\images\20210303\plaque 1/@10 17b estradiol 135/E10_01.tif </t>
  </si>
  <si>
    <t xml:space="preserve"> 38804.031 </t>
  </si>
  <si>
    <t xml:space="preserve"> 72.4615 </t>
  </si>
  <si>
    <t xml:space="preserve">F:\images\20210303\plaque 1/@10 17b estradiol 135/E10_02.tif </t>
  </si>
  <si>
    <t xml:space="preserve"> 28746.13 </t>
  </si>
  <si>
    <t xml:space="preserve"> 69.3115 </t>
  </si>
  <si>
    <t xml:space="preserve">F:\images\20210303\plaque 1/@10 17b estradiol 135/E10_03.tif </t>
  </si>
  <si>
    <t xml:space="preserve"> 37354.828 </t>
  </si>
  <si>
    <t xml:space="preserve"> 71.8726 </t>
  </si>
  <si>
    <t xml:space="preserve">F:\images\20210303\plaque 1/@10 17b estradiol 135/F10_01.tif </t>
  </si>
  <si>
    <t xml:space="preserve"> 5991.4808 </t>
  </si>
  <si>
    <t xml:space="preserve"> 64.8989 </t>
  </si>
  <si>
    <t xml:space="preserve">F:\images\20210303\plaque 1/@10 17b estradiol 135/F10_02.tif </t>
  </si>
  <si>
    <t xml:space="preserve"> 65.1618 </t>
  </si>
  <si>
    <t xml:space="preserve">F:\images\20210303\plaque 1/@10 17b estradiol 135/F10_03.tif </t>
  </si>
  <si>
    <t xml:space="preserve"> 6359.189 </t>
  </si>
  <si>
    <t xml:space="preserve"> 64.7891 </t>
  </si>
  <si>
    <t xml:space="preserve">F:\images\20210303\plaque 1/@10 17b estradiol 135/G10_01.tif </t>
  </si>
  <si>
    <t xml:space="preserve"> 65.8929 </t>
  </si>
  <si>
    <t xml:space="preserve">F:\images\20210303\plaque 1/@10 17b estradiol 135/G10_02.tif </t>
  </si>
  <si>
    <t xml:space="preserve"> 65.193 </t>
  </si>
  <si>
    <t xml:space="preserve">F:\images\20210303\plaque 1/@10 17b estradiol 135/G10_03.tif </t>
  </si>
  <si>
    <t xml:space="preserve"> 63.1667 </t>
  </si>
  <si>
    <t xml:space="preserve">F:\images\20210303\plaque 1/@10 17b estradiol 135/H10_01.tif </t>
  </si>
  <si>
    <t xml:space="preserve"> 63.6729 </t>
  </si>
  <si>
    <t xml:space="preserve">F:\images\20210303\plaque 1/@10 17b estradiol 135/H10_02.tif </t>
  </si>
  <si>
    <t xml:space="preserve"> 6402.4488 </t>
  </si>
  <si>
    <t xml:space="preserve"> 63.7365 </t>
  </si>
  <si>
    <t>F:\images\20210303\plaque 1/@10 17b estradiol 135/H10_03- exclu.tif</t>
  </si>
  <si>
    <t xml:space="preserve">F:\images\20210303\plaque 1/@10 17b estradiol 135/ </t>
  </si>
  <si>
    <t xml:space="preserve"> 66.1092 </t>
  </si>
  <si>
    <t xml:space="preserve"> 2.5372 </t>
  </si>
  <si>
    <t xml:space="preserve"> 805432.25 </t>
  </si>
  <si>
    <t xml:space="preserve"> 772965.954 </t>
  </si>
  <si>
    <t xml:space="preserve">F:\images\20210303\plaque 1/@11 17b estradiol 270/A11_01.tif </t>
  </si>
  <si>
    <t xml:space="preserve"> 41810.5863 </t>
  </si>
  <si>
    <t xml:space="preserve"> 72.7605 </t>
  </si>
  <si>
    <t xml:space="preserve">F:\images\20210303\plaque 1/@11 17b estradiol 270/A11_02.tif </t>
  </si>
  <si>
    <t xml:space="preserve"> 35386.5076 </t>
  </si>
  <si>
    <t xml:space="preserve"> 74.5324 </t>
  </si>
  <si>
    <t xml:space="preserve">F:\images\20210303\plaque 1/@11 17b estradiol 270/A11_03.tif </t>
  </si>
  <si>
    <t xml:space="preserve"> 33850.7851 </t>
  </si>
  <si>
    <t xml:space="preserve"> 72.3067 </t>
  </si>
  <si>
    <t xml:space="preserve">F:\images\20210303\plaque 1/@11 17b estradiol 270/B11_01.tif </t>
  </si>
  <si>
    <t xml:space="preserve"> 65.3428 </t>
  </si>
  <si>
    <t xml:space="preserve">F:\images\20210303\plaque 1/@11 17b estradiol 270/B11_02.tif </t>
  </si>
  <si>
    <t xml:space="preserve"> 9863.232 </t>
  </si>
  <si>
    <t xml:space="preserve"> 65.5526 </t>
  </si>
  <si>
    <t xml:space="preserve">F:\images\20210303\plaque 1/@11 17b estradiol 270/B11_03.tif </t>
  </si>
  <si>
    <t xml:space="preserve"> 64.6574 </t>
  </si>
  <si>
    <t xml:space="preserve">F:\images\20210303\plaque 1/@11 17b estradiol 270/C11_01.tif </t>
  </si>
  <si>
    <t xml:space="preserve"> 66706.595 </t>
  </si>
  <si>
    <t xml:space="preserve"> 75.9627 </t>
  </si>
  <si>
    <t xml:space="preserve">F:\images\20210303\plaque 1/@11 17b estradiol 270/C11_02.tif </t>
  </si>
  <si>
    <t xml:space="preserve"> 63332.3315 </t>
  </si>
  <si>
    <t xml:space="preserve"> 75.8439 </t>
  </si>
  <si>
    <t xml:space="preserve">F:\images\20210303\plaque 1/@11 17b estradiol 270/C11_03.tif </t>
  </si>
  <si>
    <t xml:space="preserve"> 63894.7087 </t>
  </si>
  <si>
    <t xml:space="preserve"> 78.8399 </t>
  </si>
  <si>
    <t xml:space="preserve">F:\images\20210303\plaque 1/@11 17b estradiol 270/D11_01.tif </t>
  </si>
  <si>
    <t xml:space="preserve"> 52820.2027 </t>
  </si>
  <si>
    <t xml:space="preserve"> 79.2609 </t>
  </si>
  <si>
    <t xml:space="preserve">F:\images\20210303\plaque 1/@11 17b estradiol 270/D11_02.tif </t>
  </si>
  <si>
    <t xml:space="preserve"> 54334.2953 </t>
  </si>
  <si>
    <t xml:space="preserve"> 73.6031 </t>
  </si>
  <si>
    <t xml:space="preserve">F:\images\20210303\plaque 1/@11 17b estradiol 270/D11_03.tif </t>
  </si>
  <si>
    <t xml:space="preserve"> 48732.1526 </t>
  </si>
  <si>
    <t xml:space="preserve"> 73.6454 </t>
  </si>
  <si>
    <t xml:space="preserve">F:\images\20210303\plaque 1/@11 17b estradiol 270/E11_01.tif </t>
  </si>
  <si>
    <t xml:space="preserve"> 54355.9252 </t>
  </si>
  <si>
    <t xml:space="preserve"> 76.7923 </t>
  </si>
  <si>
    <t xml:space="preserve">F:\images\20210303\plaque 1/@11 17b estradiol 270/E11_02.tif </t>
  </si>
  <si>
    <t xml:space="preserve"> 48537.4835 </t>
  </si>
  <si>
    <t xml:space="preserve"> 78.9389 </t>
  </si>
  <si>
    <t xml:space="preserve">F:\images\20210303\plaque 1/@11 17b estradiol 270/E11_03.tif </t>
  </si>
  <si>
    <t xml:space="preserve"> 49208.0103 </t>
  </si>
  <si>
    <t xml:space="preserve"> 79.4567 </t>
  </si>
  <si>
    <t xml:space="preserve">F:\images\20210303\plaque 1/@11 17b estradiol 270/F11_01.tif </t>
  </si>
  <si>
    <t xml:space="preserve"> 29827.6247 </t>
  </si>
  <si>
    <t xml:space="preserve"> 72.7078 </t>
  </si>
  <si>
    <t xml:space="preserve">F:\images\20210303\plaque 1/@11 17b estradiol 270/F11_02.tif </t>
  </si>
  <si>
    <t xml:space="preserve"> 35754.2158 </t>
  </si>
  <si>
    <t xml:space="preserve"> 72.8609 </t>
  </si>
  <si>
    <t xml:space="preserve">F:\images\20210303\plaque 1/@11 17b estradiol 270/F11_03.tif </t>
  </si>
  <si>
    <t xml:space="preserve"> 31558.0163 </t>
  </si>
  <si>
    <t xml:space="preserve"> 71.3454 </t>
  </si>
  <si>
    <t xml:space="preserve">F:\images\20210303\plaque 1/@11 17b estradiol 270/G11_01.tif </t>
  </si>
  <si>
    <t xml:space="preserve"> 85135.2653 </t>
  </si>
  <si>
    <t xml:space="preserve"> 79.6895 </t>
  </si>
  <si>
    <t xml:space="preserve">F:\images\20210303\plaque 1/@11 17b estradiol 270/G11_02.tif </t>
  </si>
  <si>
    <t xml:space="preserve"> 75856.0405 </t>
  </si>
  <si>
    <t xml:space="preserve"> 81.3188 </t>
  </si>
  <si>
    <t xml:space="preserve">F:\images\20210303\plaque 1/@11 17b estradiol 270/G11_03.tif </t>
  </si>
  <si>
    <t xml:space="preserve"> 77586.432 </t>
  </si>
  <si>
    <t xml:space="preserve"> 82.9033 </t>
  </si>
  <si>
    <t xml:space="preserve">F:\images\20210303\plaque 1/@11 17b estradiol 270/H11_01.tif </t>
  </si>
  <si>
    <t xml:space="preserve"> 68674.9154 </t>
  </si>
  <si>
    <t xml:space="preserve"> 82.2709 </t>
  </si>
  <si>
    <t xml:space="preserve">F:\images\20210303\plaque 1/@11 17b estradiol 270/H11_02.tif </t>
  </si>
  <si>
    <t xml:space="preserve"> 67420.3816 </t>
  </si>
  <si>
    <t xml:space="preserve"> 85.6118 </t>
  </si>
  <si>
    <t xml:space="preserve">F:\images\20210303\plaque 1/@11 17b estradiol 270/H11_03.tif </t>
  </si>
  <si>
    <t xml:space="preserve"> 70405.307 </t>
  </si>
  <si>
    <t xml:space="preserve"> 74.9429 </t>
  </si>
  <si>
    <t xml:space="preserve">F:\images\20210303\plaque 1/@11 17b estradiol 270/ </t>
  </si>
  <si>
    <t xml:space="preserve"> 75.4645 </t>
  </si>
  <si>
    <t xml:space="preserve"> 5.4643 </t>
  </si>
  <si>
    <t xml:space="preserve"> 3801320.58 </t>
  </si>
  <si>
    <t xml:space="preserve"> 1854573.66 </t>
  </si>
  <si>
    <t xml:space="preserve">F:\images\20210303\plaque 1/@12 17b estradiol 540/A12_01.tif </t>
  </si>
  <si>
    <t xml:space="preserve"> 58876.5732 </t>
  </si>
  <si>
    <t xml:space="preserve"> 84.676 </t>
  </si>
  <si>
    <t xml:space="preserve">F:\images\20210303\plaque 1/@12 17b estradiol 540/A12_02.tif </t>
  </si>
  <si>
    <t xml:space="preserve"> 56216.0961 </t>
  </si>
  <si>
    <t xml:space="preserve"> 85.127 </t>
  </si>
  <si>
    <t xml:space="preserve">F:\images\20210303\plaque 1/@12 17b estradiol 540/A12_03.tif </t>
  </si>
  <si>
    <t xml:space="preserve"> 66511.926 </t>
  </si>
  <si>
    <t xml:space="preserve"> 84.0559 </t>
  </si>
  <si>
    <t xml:space="preserve">F:\images\20210303\plaque 1/@12 17b estradiol 540/B12_01.tif </t>
  </si>
  <si>
    <t xml:space="preserve"> 70426.9369 </t>
  </si>
  <si>
    <t xml:space="preserve"> 93.039 </t>
  </si>
  <si>
    <t xml:space="preserve">F:\images\20210303\plaque 1/@12 17b estradiol 540/B12_02.tif </t>
  </si>
  <si>
    <t xml:space="preserve"> 62164.3172 </t>
  </si>
  <si>
    <t xml:space="preserve"> 91.603 </t>
  </si>
  <si>
    <t xml:space="preserve">F:\images\20210303\plaque 1/@12 17b estradiol 540/B12_03.tif </t>
  </si>
  <si>
    <t xml:space="preserve"> 64695.0148 </t>
  </si>
  <si>
    <t xml:space="preserve"> 92.7248 </t>
  </si>
  <si>
    <t xml:space="preserve">F:\images\20210303\plaque 1/@12 17b estradiol 540/C12_01.tif </t>
  </si>
  <si>
    <t xml:space="preserve"> 99.878 </t>
  </si>
  <si>
    <t xml:space="preserve">F:\images\20210303\plaque 1/@12 17b estradiol 540/C12_02.tif </t>
  </si>
  <si>
    <t xml:space="preserve"> 68653.2856 </t>
  </si>
  <si>
    <t xml:space="preserve"> 97.8904 </t>
  </si>
  <si>
    <t xml:space="preserve">F:\images\20210303\plaque 1/@12 17b estradiol 540/C12_03.tif </t>
  </si>
  <si>
    <t xml:space="preserve"> 97.3808 </t>
  </si>
  <si>
    <t xml:space="preserve">F:\images\20210303\plaque 1/@12 17b estradiol 540/D12_01.tif </t>
  </si>
  <si>
    <t xml:space="preserve"> 89980.3617 </t>
  </si>
  <si>
    <t xml:space="preserve"> 91.3596 </t>
  </si>
  <si>
    <t xml:space="preserve">F:\images\20210303\plaque 1/@12 17b estradiol 540/D12_02.tif </t>
  </si>
  <si>
    <t xml:space="preserve"> 90542.7389 </t>
  </si>
  <si>
    <t xml:space="preserve"> 87.9436 </t>
  </si>
  <si>
    <t xml:space="preserve">F:\images\20210303\plaque 1/@12 17b estradiol 540/D12_03.tif </t>
  </si>
  <si>
    <t xml:space="preserve"> 88963.7566 </t>
  </si>
  <si>
    <t xml:space="preserve"> 90.3129 </t>
  </si>
  <si>
    <t xml:space="preserve">F:\images\20210303\plaque 1/@12 17b estradiol 540/E12_01.tif </t>
  </si>
  <si>
    <t xml:space="preserve"> 50138.0957 </t>
  </si>
  <si>
    <t xml:space="preserve"> 82.3093 </t>
  </si>
  <si>
    <t xml:space="preserve">F:\images\20210303\plaque 1/@12 17b estradiol 540/E12_02.tif </t>
  </si>
  <si>
    <t xml:space="preserve"> 48970.0814 </t>
  </si>
  <si>
    <t xml:space="preserve"> 81.8304 </t>
  </si>
  <si>
    <t xml:space="preserve">F:\images\20210303\plaque 1/@12 17b estradiol 540/E12_03.tif </t>
  </si>
  <si>
    <t xml:space="preserve"> 45444.4086 </t>
  </si>
  <si>
    <t xml:space="preserve"> 85.0252 </t>
  </si>
  <si>
    <t>F:\images\20210303\plaque 1/@12 17b estradiol 540/F12_01- exclu.tif</t>
  </si>
  <si>
    <t xml:space="preserve">F:\images\20210303\plaque 1/@12 17b estradiol 540/F12_02.tif </t>
  </si>
  <si>
    <t xml:space="preserve"> 72157.3285 </t>
  </si>
  <si>
    <t xml:space="preserve"> 90.1094 </t>
  </si>
  <si>
    <t xml:space="preserve">F:\images\20210303\plaque 1/@12 17b estradiol 540/F12_03.tif </t>
  </si>
  <si>
    <t xml:space="preserve"> 69907.8194 </t>
  </si>
  <si>
    <t xml:space="preserve"> 91.3741 </t>
  </si>
  <si>
    <t xml:space="preserve">F:\images\20210303\plaque 1/@12 17b estradiol 540/G12_01.tif </t>
  </si>
  <si>
    <t xml:space="preserve"> 106.5253 </t>
  </si>
  <si>
    <t xml:space="preserve">F:\images\20210303\plaque 1/@12 17b estradiol 540/G12_02.tif </t>
  </si>
  <si>
    <t xml:space="preserve"> 61039.5626 </t>
  </si>
  <si>
    <t xml:space="preserve"> 111.871 </t>
  </si>
  <si>
    <t xml:space="preserve">F:\images\20210303\plaque 1/@12 17b estradiol 540/G12_03.tif </t>
  </si>
  <si>
    <t xml:space="preserve"> 74082.3891 </t>
  </si>
  <si>
    <t xml:space="preserve"> 103.1918 </t>
  </si>
  <si>
    <t xml:space="preserve">F:\images\20210303\plaque 1/@12 17b estradiol 540/H12_01.tif </t>
  </si>
  <si>
    <t xml:space="preserve"> 56259.3559 </t>
  </si>
  <si>
    <t xml:space="preserve"> 76.5144 </t>
  </si>
  <si>
    <t xml:space="preserve">F:\images\20210303\plaque 1/@12 17b estradiol 540/H12_02.tif </t>
  </si>
  <si>
    <t xml:space="preserve"> 51068.1812 </t>
  </si>
  <si>
    <t xml:space="preserve"> 75.673 </t>
  </si>
  <si>
    <t xml:space="preserve">F:\images\20210303\plaque 1/@12 17b estradiol 540/H12_03.tif </t>
  </si>
  <si>
    <t xml:space="preserve"> 47823.697 </t>
  </si>
  <si>
    <t xml:space="preserve"> 76.8779 </t>
  </si>
  <si>
    <t xml:space="preserve">F:\images\20210303\plaque 1/@12 17b estradiol 540/ </t>
  </si>
  <si>
    <t xml:space="preserve"> 90.1962 </t>
  </si>
  <si>
    <t xml:space="preserve"> 9.2553 </t>
  </si>
  <si>
    <t xml:space="preserve"> 5853090.88 </t>
  </si>
  <si>
    <t xml:space="preserve"> 1478854.47 </t>
  </si>
  <si>
    <t xml:space="preserve">F:\images\20210303\plaque 2/@01 Testo 30/A1_01.tif </t>
  </si>
  <si>
    <t xml:space="preserve"> 20634.9195 </t>
  </si>
  <si>
    <t xml:space="preserve"> 68.8994 </t>
  </si>
  <si>
    <t xml:space="preserve">F:\images\20210303\plaque 2/@01 Testo 30/A1_02.tif </t>
  </si>
  <si>
    <t xml:space="preserve"> 66.5139 </t>
  </si>
  <si>
    <t xml:space="preserve">F:\images\20210303\plaque 2/@01 Testo 30/A1_03.tif </t>
  </si>
  <si>
    <t xml:space="preserve"> 20613.2896 </t>
  </si>
  <si>
    <t xml:space="preserve"> 66.9748 </t>
  </si>
  <si>
    <t xml:space="preserve">F:\images\20210303\plaque 2/@01 Testo 30/B1_01.tif </t>
  </si>
  <si>
    <t xml:space="preserve"> 39734.1164 </t>
  </si>
  <si>
    <t xml:space="preserve"> 77.9107 </t>
  </si>
  <si>
    <t xml:space="preserve">F:\images\20210303\plaque 2/@01 Testo 30/B1_02.tif </t>
  </si>
  <si>
    <t xml:space="preserve"> 80.4281 </t>
  </si>
  <si>
    <t xml:space="preserve">F:\images\20210303\plaque 2/@01 Testo 30/B1_03.tif </t>
  </si>
  <si>
    <t xml:space="preserve"> 32423.212 </t>
  </si>
  <si>
    <t xml:space="preserve"> 81.2615 </t>
  </si>
  <si>
    <t xml:space="preserve">F:\images\20210303\plaque 2/@01 Testo 30/C1_01.tif </t>
  </si>
  <si>
    <t xml:space="preserve"> 43908.6861 </t>
  </si>
  <si>
    <t xml:space="preserve"> 73.4842 </t>
  </si>
  <si>
    <t xml:space="preserve">F:\images\20210303\plaque 2/@01 Testo 30/C1_02.tif </t>
  </si>
  <si>
    <t xml:space="preserve"> 45184.8499 </t>
  </si>
  <si>
    <t xml:space="preserve"> 74.1431 </t>
  </si>
  <si>
    <t xml:space="preserve">F:\images\20210303\plaque 2/@01 Testo 30/C1_03.tif </t>
  </si>
  <si>
    <t xml:space="preserve"> 40253.2339 </t>
  </si>
  <si>
    <t xml:space="preserve"> 71.6534 </t>
  </si>
  <si>
    <t xml:space="preserve">F:\images\20210303\plaque 2/@01 Testo 30/D1_01.tif </t>
  </si>
  <si>
    <t xml:space="preserve"> 26431.7312 </t>
  </si>
  <si>
    <t xml:space="preserve"> 69.3552 </t>
  </si>
  <si>
    <t xml:space="preserve">F:\images\20210303\plaque 2/@01 Testo 30/D1_02.tif </t>
  </si>
  <si>
    <t xml:space="preserve"> 20050.9123 </t>
  </si>
  <si>
    <t xml:space="preserve"> 68.5955 </t>
  </si>
  <si>
    <t xml:space="preserve">F:\images\20210303\plaque 2/@01 Testo 30/D1_03.tif </t>
  </si>
  <si>
    <t xml:space="preserve"> 24009.183 </t>
  </si>
  <si>
    <t xml:space="preserve"> 68.7775 </t>
  </si>
  <si>
    <t xml:space="preserve">F:\images\20210303\plaque 2/@01 Testo 30/E1_01.tif </t>
  </si>
  <si>
    <t xml:space="preserve"> 8305.8795 </t>
  </si>
  <si>
    <t xml:space="preserve"> 63.3177 </t>
  </si>
  <si>
    <t xml:space="preserve">F:\images\20210303\plaque 2/@01 Testo 30/E1_02.tif </t>
  </si>
  <si>
    <t xml:space="preserve"> 11485.474 </t>
  </si>
  <si>
    <t xml:space="preserve"> 64.7608 </t>
  </si>
  <si>
    <t xml:space="preserve">F:\images\20210303\plaque 2/@01 Testo 30/E1_03.tif </t>
  </si>
  <si>
    <t xml:space="preserve"> 19618.3144 </t>
  </si>
  <si>
    <t xml:space="preserve"> 67.0882 </t>
  </si>
  <si>
    <t xml:space="preserve">F:\images\20210303\plaque 2/@01 Testo 30/F1_01.tif </t>
  </si>
  <si>
    <t xml:space="preserve"> 25826.0942 </t>
  </si>
  <si>
    <t xml:space="preserve"> 70.2848 </t>
  </si>
  <si>
    <t xml:space="preserve">F:\images\20210303\plaque 2/@01 Testo 30/F1_02.tif </t>
  </si>
  <si>
    <t xml:space="preserve"> 21846.1936 </t>
  </si>
  <si>
    <t xml:space="preserve"> 68.4782 </t>
  </si>
  <si>
    <t xml:space="preserve">F:\images\20210303\plaque 2/@01 Testo 30/F1_03.tif </t>
  </si>
  <si>
    <t xml:space="preserve"> 25912.6138 </t>
  </si>
  <si>
    <t xml:space="preserve"> 70.2871 </t>
  </si>
  <si>
    <t xml:space="preserve">F:\images\20210303\plaque 2/@01 Testo 30/G1_01.tif </t>
  </si>
  <si>
    <t xml:space="preserve"> 22149.0121 </t>
  </si>
  <si>
    <t xml:space="preserve"> 73.7432 </t>
  </si>
  <si>
    <t xml:space="preserve">F:\images\20210303\plaque 2/@01 Testo 30/G1_02.tif </t>
  </si>
  <si>
    <t xml:space="preserve"> 18450.3001 </t>
  </si>
  <si>
    <t xml:space="preserve"> 72.8781 </t>
  </si>
  <si>
    <t xml:space="preserve">F:\images\20210303\plaque 2/@01 Testo 30/G1_03.tif </t>
  </si>
  <si>
    <t xml:space="preserve"> 20396.9906 </t>
  </si>
  <si>
    <t xml:space="preserve"> 74.3128 </t>
  </si>
  <si>
    <t xml:space="preserve">F:\images\20210303\plaque 2/@01 Testo 30/H1_01.tif </t>
  </si>
  <si>
    <t xml:space="preserve"> 63.6818 </t>
  </si>
  <si>
    <t xml:space="preserve">F:\images\20210303\plaque 2/@01 Testo 30/H1_02.tif </t>
  </si>
  <si>
    <t xml:space="preserve"> 64.1935 </t>
  </si>
  <si>
    <t xml:space="preserve">F:\images\20210303\plaque 2/@01 Testo 30/H1_03.tif </t>
  </si>
  <si>
    <t xml:space="preserve"> 62.9565 </t>
  </si>
  <si>
    <t xml:space="preserve">F:\images\20210303\plaque 2/@01 Testo 30/ </t>
  </si>
  <si>
    <t xml:space="preserve"> 70.1658 </t>
  </si>
  <si>
    <t xml:space="preserve"> 5.1208 </t>
  </si>
  <si>
    <t xml:space="preserve"> 1650450.12 </t>
  </si>
  <si>
    <t xml:space="preserve"> 975607.95 </t>
  </si>
  <si>
    <t xml:space="preserve">F:\images\20210303\plaque 2/@02 Testo 30/A2_01.tif </t>
  </si>
  <si>
    <t xml:space="preserve"> 13864.7625 </t>
  </si>
  <si>
    <t xml:space="preserve"> 67.092 </t>
  </si>
  <si>
    <t>F:\images\20210303\plaque 2/@02 Testo 30/A2_02- exclu.tif</t>
  </si>
  <si>
    <t xml:space="preserve">F:\images\20210303\plaque 2/@02 Testo 30/A2_03.tif </t>
  </si>
  <si>
    <t xml:space="preserve"> 16957.8374 </t>
  </si>
  <si>
    <t xml:space="preserve"> 67.1684 </t>
  </si>
  <si>
    <t xml:space="preserve">F:\images\20210303\plaque 2/@02 Testo 30/B2_01.tif </t>
  </si>
  <si>
    <t xml:space="preserve"> 46136.5652 </t>
  </si>
  <si>
    <t xml:space="preserve"> 73.8134 </t>
  </si>
  <si>
    <t xml:space="preserve">F:\images\20210303\plaque 2/@02 Testo 30/B2_02.tif </t>
  </si>
  <si>
    <t xml:space="preserve"> 38371.4331 </t>
  </si>
  <si>
    <t xml:space="preserve"> 71.553 </t>
  </si>
  <si>
    <t xml:space="preserve">F:\images\20210303\plaque 2/@02 Testo 30/B2_03.tif </t>
  </si>
  <si>
    <t xml:space="preserve"> 47650.6579 </t>
  </si>
  <si>
    <t xml:space="preserve"> 73.3286 </t>
  </si>
  <si>
    <t xml:space="preserve">F:\images\20210303\plaque 2/@02 Testo 30/C2_01.tif </t>
  </si>
  <si>
    <t xml:space="preserve"> 33526.3367 </t>
  </si>
  <si>
    <t xml:space="preserve"> 69.9697 </t>
  </si>
  <si>
    <t xml:space="preserve">F:\images\20210303\plaque 2/@02 Testo 30/C2_02.tif </t>
  </si>
  <si>
    <t xml:space="preserve"> 22819.5388 </t>
  </si>
  <si>
    <t xml:space="preserve"> 72.4047 </t>
  </si>
  <si>
    <t xml:space="preserve">F:\images\20210303\plaque 2/@02 Testo 30/C2_03.tif </t>
  </si>
  <si>
    <t xml:space="preserve"> 18623.3393 </t>
  </si>
  <si>
    <t xml:space="preserve"> 70.3368 </t>
  </si>
  <si>
    <t xml:space="preserve">F:\images\20210303\plaque 2/@02 Testo 30/D2_01.tif </t>
  </si>
  <si>
    <t xml:space="preserve"> 36878.9703 </t>
  </si>
  <si>
    <t xml:space="preserve"> 69.8827 </t>
  </si>
  <si>
    <t xml:space="preserve">F:\images\20210303\plaque 2/@02 Testo 30/D2_02.tif </t>
  </si>
  <si>
    <t xml:space="preserve"> 16114.2715 </t>
  </si>
  <si>
    <t xml:space="preserve"> 65.7812 </t>
  </si>
  <si>
    <t xml:space="preserve">F:\images\20210303\plaque 2/@02 Testo 30/D2_03.tif </t>
  </si>
  <si>
    <t xml:space="preserve"> 34802.5005 </t>
  </si>
  <si>
    <t xml:space="preserve"> 69.4326 </t>
  </si>
  <si>
    <t xml:space="preserve">F:\images\20210303\plaque 2/@02 Testo 30/E2_01.tif </t>
  </si>
  <si>
    <t xml:space="preserve">F:\images\20210303\plaque 2/@02 Testo 30/E2_02.tif </t>
  </si>
  <si>
    <t xml:space="preserve">F:\images\20210303\plaque 2/@02 Testo 30/E2_03.tif </t>
  </si>
  <si>
    <t xml:space="preserve"> 63.9 </t>
  </si>
  <si>
    <t xml:space="preserve">F:\images\20210303\plaque 2/@02 Testo 30/F2_01.tif </t>
  </si>
  <si>
    <t xml:space="preserve"> 70.4781 </t>
  </si>
  <si>
    <t xml:space="preserve">F:\images\20210303\plaque 2/@02 Testo 30/F2_02.tif </t>
  </si>
  <si>
    <t xml:space="preserve"> 71.9375 </t>
  </si>
  <si>
    <t xml:space="preserve">F:\images\20210303\plaque 2/@02 Testo 30/F2_03.tif </t>
  </si>
  <si>
    <t xml:space="preserve"> 27989.0836 </t>
  </si>
  <si>
    <t xml:space="preserve"> 70.7875 </t>
  </si>
  <si>
    <t>F:\images\20210303\plaque 2/@02 Testo 30/G2_01- exclu.tif</t>
  </si>
  <si>
    <t>F:\images\20210303\plaque 2/@02 Testo 30/G2_02- exclu.tif</t>
  </si>
  <si>
    <t>F:\images\20210303\plaque 2/@02 Testo 30/G2_03- exclu.tif</t>
  </si>
  <si>
    <t xml:space="preserve">F:\images\20210303\plaque 2/@02 Testo 30/H2_01.tif </t>
  </si>
  <si>
    <t xml:space="preserve"> 30281.8525 </t>
  </si>
  <si>
    <t xml:space="preserve"> 70.0279 </t>
  </si>
  <si>
    <t xml:space="preserve">F:\images\20210303\plaque 2/@02 Testo 30/H2_02.tif </t>
  </si>
  <si>
    <t xml:space="preserve"> 28248.6424 </t>
  </si>
  <si>
    <t xml:space="preserve"> 67.9188 </t>
  </si>
  <si>
    <t xml:space="preserve">F:\images\20210303\plaque 2/@02 Testo 30/H2_03.tif </t>
  </si>
  <si>
    <t xml:space="preserve"> 26237.0622 </t>
  </si>
  <si>
    <t xml:space="preserve"> 68.2968 </t>
  </si>
  <si>
    <t xml:space="preserve">F:\images\20210303\plaque 2/@02 Testo 30/ </t>
  </si>
  <si>
    <t xml:space="preserve"> 68.9023 </t>
  </si>
  <si>
    <t xml:space="preserve"> 3.1366 </t>
  </si>
  <si>
    <t xml:space="preserve"> 1568841.5 </t>
  </si>
  <si>
    <t xml:space="preserve"> 1046200.07 </t>
  </si>
  <si>
    <t xml:space="preserve">F:\images\20210303\plaque 2/@03 Testo+ EE2 64/A3_01.tif </t>
  </si>
  <si>
    <t xml:space="preserve"> 56410.7652 </t>
  </si>
  <si>
    <t xml:space="preserve"> 78.1189 </t>
  </si>
  <si>
    <t xml:space="preserve">F:\images\20210303\plaque 2/@03 Testo+ EE2 64/A3_02.tif </t>
  </si>
  <si>
    <t xml:space="preserve"> 64284.0468 </t>
  </si>
  <si>
    <t xml:space="preserve"> 78.0081 </t>
  </si>
  <si>
    <t xml:space="preserve">F:\images\20210303\plaque 2/@03 Testo+ EE2 64/A3_03.tif </t>
  </si>
  <si>
    <t xml:space="preserve"> 55199.4911 </t>
  </si>
  <si>
    <t xml:space="preserve"> 77.6752 </t>
  </si>
  <si>
    <t xml:space="preserve">F:\images\20210303\plaque 2/@03 Testo+ EE2 64/B3_01.tif </t>
  </si>
  <si>
    <t xml:space="preserve"> 44103.3551 </t>
  </si>
  <si>
    <t xml:space="preserve"> 81.2884 </t>
  </si>
  <si>
    <t xml:space="preserve">F:\images\20210303\plaque 2/@03 Testo+ EE2 64/B3_02.tif </t>
  </si>
  <si>
    <t xml:space="preserve"> 45530.9282 </t>
  </si>
  <si>
    <t xml:space="preserve"> 80.0242 </t>
  </si>
  <si>
    <t xml:space="preserve">F:\images\20210303\plaque 2/@03 Testo+ EE2 64/B3_03.tif </t>
  </si>
  <si>
    <t xml:space="preserve"> 78.913 </t>
  </si>
  <si>
    <t xml:space="preserve">F:\images\20210303\plaque 2/@03 Testo+ EE2 64/C3_01.tif </t>
  </si>
  <si>
    <t xml:space="preserve"> 55329.2705 </t>
  </si>
  <si>
    <t xml:space="preserve"> 79.0977 </t>
  </si>
  <si>
    <t xml:space="preserve">F:\images\20210303\plaque 2/@03 Testo+ EE2 64/C3_02.tif </t>
  </si>
  <si>
    <t xml:space="preserve"> 50289.505 </t>
  </si>
  <si>
    <t xml:space="preserve"> 79.0034 </t>
  </si>
  <si>
    <t xml:space="preserve">F:\images\20210303\plaque 2/@03 Testo+ EE2 64/C3_03.tif </t>
  </si>
  <si>
    <t xml:space="preserve"> 48213.0351 </t>
  </si>
  <si>
    <t xml:space="preserve"> 73.6335 </t>
  </si>
  <si>
    <t xml:space="preserve">F:\images\20210303\plaque 2/@03 Testo+ EE2 64/D3_01.tif </t>
  </si>
  <si>
    <t xml:space="preserve"> 34045.4541 </t>
  </si>
  <si>
    <t xml:space="preserve"> 72.6633 </t>
  </si>
  <si>
    <t xml:space="preserve">F:\images\20210303\plaque 2/@03 Testo+ EE2 64/D3_02.tif </t>
  </si>
  <si>
    <t xml:space="preserve"> 33937.3047 </t>
  </si>
  <si>
    <t xml:space="preserve"> 71.2008 </t>
  </si>
  <si>
    <t xml:space="preserve">F:\images\20210303\plaque 2/@03 Testo+ EE2 64/D3_03.tif </t>
  </si>
  <si>
    <t xml:space="preserve"> 30498.1514 </t>
  </si>
  <si>
    <t xml:space="preserve"> 70.9184 </t>
  </si>
  <si>
    <t xml:space="preserve">F:\images\20210303\plaque 2/@03 Testo+ EE2 64/E3_01.tif </t>
  </si>
  <si>
    <t xml:space="preserve"> 43173.2697 </t>
  </si>
  <si>
    <t xml:space="preserve"> 77.273 </t>
  </si>
  <si>
    <t xml:space="preserve">F:\images\20210303\plaque 2/@03 Testo+ EE2 64/E3_02.tif </t>
  </si>
  <si>
    <t xml:space="preserve"> 39950.4154 </t>
  </si>
  <si>
    <t xml:space="preserve"> 75.5977 </t>
  </si>
  <si>
    <t xml:space="preserve">F:\images\20210303\plaque 2/@03 Testo+ EE2 64/E3_03.tif </t>
  </si>
  <si>
    <t xml:space="preserve"> 40620.9421 </t>
  </si>
  <si>
    <t xml:space="preserve"> 76.7125 </t>
  </si>
  <si>
    <t xml:space="preserve">F:\images\20210303\plaque 2/@03 Testo+ EE2 64/F3_01.tif </t>
  </si>
  <si>
    <t xml:space="preserve"> 48818.6722 </t>
  </si>
  <si>
    <t xml:space="preserve"> 75.848 </t>
  </si>
  <si>
    <t xml:space="preserve">F:\images\20210303\plaque 2/@03 Testo+ EE2 64/F3_02.tif </t>
  </si>
  <si>
    <t xml:space="preserve"> 48256.2949 </t>
  </si>
  <si>
    <t xml:space="preserve"> 76.2013 </t>
  </si>
  <si>
    <t xml:space="preserve">F:\images\20210303\plaque 2/@03 Testo+ EE2 64/F3_03.tif </t>
  </si>
  <si>
    <t xml:space="preserve"> 48472.5939 </t>
  </si>
  <si>
    <t xml:space="preserve"> 77.149 </t>
  </si>
  <si>
    <t xml:space="preserve">F:\images\20210303\plaque 2/@03 Testo+ EE2 64/G3_01.tif </t>
  </si>
  <si>
    <t xml:space="preserve"> 48494.2238 </t>
  </si>
  <si>
    <t xml:space="preserve"> 77.9086 </t>
  </si>
  <si>
    <t xml:space="preserve">F:\images\20210303\plaque 2/@03 Testo+ EE2 64/G3_02.tif </t>
  </si>
  <si>
    <t xml:space="preserve"> 47369.4692 </t>
  </si>
  <si>
    <t xml:space="preserve"> 78.1196 </t>
  </si>
  <si>
    <t xml:space="preserve">F:\images\20210303\plaque 2/@03 Testo+ EE2 64/G3_03.tif </t>
  </si>
  <si>
    <t xml:space="preserve"> 45877.0065 </t>
  </si>
  <si>
    <t xml:space="preserve"> 78.8449 </t>
  </si>
  <si>
    <t xml:space="preserve">F:\images\20210303\plaque 2/@03 Testo+ EE2 64/H3_01.tif </t>
  </si>
  <si>
    <t xml:space="preserve"> 53771.918 </t>
  </si>
  <si>
    <t xml:space="preserve"> 79.21 </t>
  </si>
  <si>
    <t xml:space="preserve">F:\images\20210303\plaque 2/@03 Testo+ EE2 64/H3_02.tif </t>
  </si>
  <si>
    <t xml:space="preserve"> 48299.5547 </t>
  </si>
  <si>
    <t xml:space="preserve">F:\images\20210303\plaque 2/@03 Testo+ EE2 64/H3_03.tif </t>
  </si>
  <si>
    <t xml:space="preserve"> 52668.7934 </t>
  </si>
  <si>
    <t xml:space="preserve"> 78.1203 </t>
  </si>
  <si>
    <t xml:space="preserve">F:\images\20210303\plaque 2/@03 Testo+ EE2 64/ </t>
  </si>
  <si>
    <t xml:space="preserve"> 77.006 </t>
  </si>
  <si>
    <t xml:space="preserve"> 2.629 </t>
  </si>
  <si>
    <t xml:space="preserve"> 3637640.79 </t>
  </si>
  <si>
    <t xml:space="preserve"> 659454.104 </t>
  </si>
  <si>
    <t xml:space="preserve">F:\images\20210303\plaque 2/@04 Testo+ FAD/A4_01.tif </t>
  </si>
  <si>
    <t xml:space="preserve"> 65.4355 </t>
  </si>
  <si>
    <t xml:space="preserve">F:\images\20210303\plaque 2/@04 Testo+ FAD/A4_02.tif </t>
  </si>
  <si>
    <t xml:space="preserve"> 3871.7511 </t>
  </si>
  <si>
    <t xml:space="preserve"> 66.4134 </t>
  </si>
  <si>
    <t xml:space="preserve">F:\images\20210303\plaque 2/@04 Testo+ FAD/A4_03.tif </t>
  </si>
  <si>
    <t xml:space="preserve"> 63.9242 </t>
  </si>
  <si>
    <t xml:space="preserve">F:\images\20210303\plaque 2/@04 Testo+ FAD/B4_01.tif </t>
  </si>
  <si>
    <t xml:space="preserve">F:\images\20210303\plaque 2/@04 Testo+ FAD/B4_02.tif </t>
  </si>
  <si>
    <t xml:space="preserve"> 64.5797 </t>
  </si>
  <si>
    <t xml:space="preserve">F:\images\20210303\plaque 2/@04 Testo+ FAD/B4_03.tif </t>
  </si>
  <si>
    <t xml:space="preserve"> 67.4579 </t>
  </si>
  <si>
    <t xml:space="preserve">F:\images\20210303\plaque 2/@04 Testo+ FAD/C4_01.tif </t>
  </si>
  <si>
    <t xml:space="preserve"> 8651.9579 </t>
  </si>
  <si>
    <t xml:space="preserve"> 69.045 </t>
  </si>
  <si>
    <t xml:space="preserve">F:\images\20210303\plaque 2/@04 Testo+ FAD/C4_02.tif </t>
  </si>
  <si>
    <t xml:space="preserve"> 63.1818 </t>
  </si>
  <si>
    <t xml:space="preserve">F:\images\20210303\plaque 2/@04 Testo+ FAD/C4_03.tif </t>
  </si>
  <si>
    <t xml:space="preserve"> 9171.0753 </t>
  </si>
  <si>
    <t xml:space="preserve"> 72.592 </t>
  </si>
  <si>
    <t xml:space="preserve">F:\images\20210303\plaque 2/@04 Testo+ FAD/D4_01.tif </t>
  </si>
  <si>
    <t xml:space="preserve"> 64.5818 </t>
  </si>
  <si>
    <t xml:space="preserve">F:\images\20210303\plaque 2/@04 Testo+ FAD/D4_02.tif </t>
  </si>
  <si>
    <t xml:space="preserve">F:\images\20210303\plaque 2/@04 Testo+ FAD/D4_03.tif </t>
  </si>
  <si>
    <t xml:space="preserve"> 64.15 </t>
  </si>
  <si>
    <t xml:space="preserve">F:\images\20210303\plaque 2/@04 Testo+ FAD/E4_01.tif </t>
  </si>
  <si>
    <t xml:space="preserve"> 68.5725 </t>
  </si>
  <si>
    <t xml:space="preserve">F:\images\20210303\plaque 2/@04 Testo+ FAD/E4_02.tif </t>
  </si>
  <si>
    <t xml:space="preserve"> 67.2929 </t>
  </si>
  <si>
    <t xml:space="preserve">F:\images\20210303\plaque 2/@04 Testo+ FAD/E4_03.tif </t>
  </si>
  <si>
    <t xml:space="preserve"> 3720.3419 </t>
  </si>
  <si>
    <t xml:space="preserve"> 68.0349 </t>
  </si>
  <si>
    <t xml:space="preserve">F:\images\20210303\plaque 2/@04 Testo+ FAD/F4_01.tif </t>
  </si>
  <si>
    <t xml:space="preserve"> 65.0506 </t>
  </si>
  <si>
    <t xml:space="preserve">F:\images\20210303\plaque 2/@04 Testo+ FAD/F4_02.tif </t>
  </si>
  <si>
    <t xml:space="preserve"> 65.9483 </t>
  </si>
  <si>
    <t xml:space="preserve">F:\images\20210303\plaque 2/@04 Testo+ FAD/F4_03.tif </t>
  </si>
  <si>
    <t xml:space="preserve"> 68.5763 </t>
  </si>
  <si>
    <t xml:space="preserve">F:\images\20210303\plaque 2/@04 Testo+ FAD/G4_01.tif </t>
  </si>
  <si>
    <t xml:space="preserve"> 67.0597 </t>
  </si>
  <si>
    <t xml:space="preserve">F:\images\20210303\plaque 2/@04 Testo+ FAD/G4_02.tif </t>
  </si>
  <si>
    <t xml:space="preserve"> 64.8333 </t>
  </si>
  <si>
    <t xml:space="preserve">F:\images\20210303\plaque 2/@04 Testo+ FAD/G4_03.tif </t>
  </si>
  <si>
    <t xml:space="preserve"> 64.6286 </t>
  </si>
  <si>
    <t xml:space="preserve">F:\images\20210303\plaque 2/@04 Testo+ FAD/H4_01.tif </t>
  </si>
  <si>
    <t xml:space="preserve"> 2768.6265 </t>
  </si>
  <si>
    <t xml:space="preserve"> 64.8203 </t>
  </si>
  <si>
    <t xml:space="preserve">F:\images\20210303\plaque 2/@04 Testo+ FAD/H4_02.tif </t>
  </si>
  <si>
    <t xml:space="preserve"> 6294.2993 </t>
  </si>
  <si>
    <t xml:space="preserve"> 70.0928 </t>
  </si>
  <si>
    <t xml:space="preserve">F:\images\20210303\plaque 2/@04 Testo+ FAD/H4_03.tif </t>
  </si>
  <si>
    <t xml:space="preserve"> 64.84 </t>
  </si>
  <si>
    <t xml:space="preserve">F:\images\20210303\plaque 2/@04 Testo+ FAD/ </t>
  </si>
  <si>
    <t xml:space="preserve"> 66.2999 </t>
  </si>
  <si>
    <t xml:space="preserve"> 2.3027 </t>
  </si>
  <si>
    <t xml:space="preserve"> 187965.542 </t>
  </si>
  <si>
    <t xml:space="preserve"> 166318.217 </t>
  </si>
  <si>
    <t xml:space="preserve">F:\images\20210303\plaque 2/@05 17b estradiol 34 dopé/A5_01.tif </t>
  </si>
  <si>
    <t xml:space="preserve"> 38046.9847 </t>
  </si>
  <si>
    <t xml:space="preserve"> 74.108 </t>
  </si>
  <si>
    <t xml:space="preserve">F:\images\20210303\plaque 2/@05 17b estradiol 34 dopé/A5_02.tif </t>
  </si>
  <si>
    <t xml:space="preserve"> 72.6407 </t>
  </si>
  <si>
    <t xml:space="preserve">F:\images\20210303\plaque 2/@05 17b estradiol 34 dopé/A5_03.tif </t>
  </si>
  <si>
    <t xml:space="preserve"> 72.4027 </t>
  </si>
  <si>
    <t xml:space="preserve">F:\images\20210303\plaque 2/@05 17b estradiol 34 dopé/B5_01.tif </t>
  </si>
  <si>
    <t xml:space="preserve"> 51544.0389 </t>
  </si>
  <si>
    <t xml:space="preserve"> 76.4255 </t>
  </si>
  <si>
    <t>F:\images\20210303\plaque 2/@05 17b estradiol 34 dopé/B5_02- exclu.tif</t>
  </si>
  <si>
    <t xml:space="preserve">F:\images\20210303\plaque 2/@05 17b estradiol 34 dopé/B5_03.tif </t>
  </si>
  <si>
    <t xml:space="preserve"> 79.6388 </t>
  </si>
  <si>
    <t>F:\images\20210303\plaque 2/@05 17b estradiol 34 dopé/C5_01- exclu.tif</t>
  </si>
  <si>
    <t xml:space="preserve">F:\images\20210303\plaque 2/@05 17b estradiol 34 dopé/C5_02.tif </t>
  </si>
  <si>
    <t xml:space="preserve"> 40209.9741 </t>
  </si>
  <si>
    <t xml:space="preserve"> 72.7881 </t>
  </si>
  <si>
    <t xml:space="preserve">F:\images\20210303\plaque 2/@05 17b estradiol 34 dopé/C5_03.tif </t>
  </si>
  <si>
    <t xml:space="preserve"> 73.2542 </t>
  </si>
  <si>
    <t xml:space="preserve">F:\images\20210303\plaque 2/@05 17b estradiol 34 dopé/D5_01.tif </t>
  </si>
  <si>
    <t xml:space="preserve"> 71.813 </t>
  </si>
  <si>
    <t xml:space="preserve">F:\images\20210303\plaque 2/@05 17b estradiol 34 dopé/D5_02.tif </t>
  </si>
  <si>
    <t xml:space="preserve"> 75.1615 </t>
  </si>
  <si>
    <t>F:\images\20210303\plaque 2/@05 17b estradiol 34 dopé/D5_03- exclu.tif</t>
  </si>
  <si>
    <t xml:space="preserve">F:\images\20210303\plaque 2/@05 17b estradiol 34 dopé/E5_01.tif </t>
  </si>
  <si>
    <t xml:space="preserve"> 25717.9447 </t>
  </si>
  <si>
    <t xml:space="preserve"> 67.0589 </t>
  </si>
  <si>
    <t xml:space="preserve">F:\images\20210303\plaque 2/@05 17b estradiol 34 dopé/E5_02.tif </t>
  </si>
  <si>
    <t xml:space="preserve"> 19877.8732 </t>
  </si>
  <si>
    <t xml:space="preserve"> 65.6834 </t>
  </si>
  <si>
    <t>F:\images\20210303\plaque 2/@05 17b estradiol 34 dopé/E5_03- exclu.tif</t>
  </si>
  <si>
    <t xml:space="preserve">F:\images\20210303\plaque 2/@05 17b estradiol 34 dopé/F5_01.tif </t>
  </si>
  <si>
    <t xml:space="preserve"> 68.2842 </t>
  </si>
  <si>
    <t>F:\images\20210303\plaque 2/@05 17b estradiol 34 dopé/F5_02- exclu.tif</t>
  </si>
  <si>
    <t xml:space="preserve">F:\images\20210303\plaque 2/@05 17b estradiol 34 dopé/F5_03.tif </t>
  </si>
  <si>
    <t xml:space="preserve"> 18731.4887 </t>
  </si>
  <si>
    <t xml:space="preserve"> 67.627 </t>
  </si>
  <si>
    <t xml:space="preserve">F:\images\20210303\plaque 2/@05 17b estradiol 34 dopé/G5_01.tif </t>
  </si>
  <si>
    <t xml:space="preserve"> 41940.3657 </t>
  </si>
  <si>
    <t xml:space="preserve"> 69.3378 </t>
  </si>
  <si>
    <t xml:space="preserve">F:\images\20210303\plaque 2/@05 17b estradiol 34 dopé/G5_02.tif </t>
  </si>
  <si>
    <t xml:space="preserve"> 70.2975 </t>
  </si>
  <si>
    <t xml:space="preserve">F:\images\20210303\plaque 2/@05 17b estradiol 34 dopé/G5_03.tif </t>
  </si>
  <si>
    <t xml:space="preserve"> 40101.8246 </t>
  </si>
  <si>
    <t xml:space="preserve"> 69.6667 </t>
  </si>
  <si>
    <t xml:space="preserve">F:\images\20210303\plaque 2/@05 17b estradiol 34 dopé/H5_01.tif </t>
  </si>
  <si>
    <t xml:space="preserve"> 33331.6676 </t>
  </si>
  <si>
    <t xml:space="preserve"> 70.1525 </t>
  </si>
  <si>
    <t xml:space="preserve">F:\images\20210303\plaque 2/@05 17b estradiol 34 dopé/H5_02.tif </t>
  </si>
  <si>
    <t xml:space="preserve"> 27448.3363 </t>
  </si>
  <si>
    <t xml:space="preserve"> 68.4949 </t>
  </si>
  <si>
    <t xml:space="preserve">F:\images\20210303\plaque 2/@05 17b estradiol 34 dopé/H5_03.tif </t>
  </si>
  <si>
    <t xml:space="preserve"> 26107.2828 </t>
  </si>
  <si>
    <t xml:space="preserve"> 69.2775 </t>
  </si>
  <si>
    <t xml:space="preserve">F:\images\20210303\plaque 2/@05 17b estradiol 34 dopé/ </t>
  </si>
  <si>
    <t xml:space="preserve"> 69.9574 </t>
  </si>
  <si>
    <t xml:space="preserve"> 4.1376 </t>
  </si>
  <si>
    <t xml:space="preserve"> 1978817.17 </t>
  </si>
  <si>
    <t xml:space="preserve"> 1125510.49 </t>
  </si>
  <si>
    <t xml:space="preserve">F:\images\20210303\plaque 2/@06 17b estradiol 68 dopé/A6_01.tif </t>
  </si>
  <si>
    <t xml:space="preserve"> 67723.2001 </t>
  </si>
  <si>
    <t xml:space="preserve"> 94.2852 </t>
  </si>
  <si>
    <t xml:space="preserve">F:\images\20210303\plaque 2/@06 17b estradiol 68 dopé/A6_02.tif </t>
  </si>
  <si>
    <t xml:space="preserve"> 94.0204 </t>
  </si>
  <si>
    <t xml:space="preserve">F:\images\20210303\plaque 2/@06 17b estradiol 68 dopé/A6_03.tif </t>
  </si>
  <si>
    <t xml:space="preserve"> 64759.9045 </t>
  </si>
  <si>
    <t xml:space="preserve"> 93.8113 </t>
  </si>
  <si>
    <t xml:space="preserve">F:\images\20210303\plaque 2/@06 17b estradiol 68 dopé/B6_01.tif </t>
  </si>
  <si>
    <t xml:space="preserve"> 64.2218 </t>
  </si>
  <si>
    <t xml:space="preserve">F:\images\20210303\plaque 2/@06 17b estradiol 68 dopé/B6_02.tif </t>
  </si>
  <si>
    <t xml:space="preserve"> 64.6779 </t>
  </si>
  <si>
    <t xml:space="preserve">F:\images\20210303\plaque 2/@06 17b estradiol 68 dopé/B6_03.tif </t>
  </si>
  <si>
    <t xml:space="preserve"> 3979.9006 </t>
  </si>
  <si>
    <t xml:space="preserve"> 63.7065 </t>
  </si>
  <si>
    <t xml:space="preserve">F:\images\20210303\plaque 2/@06 17b estradiol 68 dopé/C6_01.tif </t>
  </si>
  <si>
    <t xml:space="preserve"> 57773.4486 </t>
  </si>
  <si>
    <t xml:space="preserve"> 78.4998 </t>
  </si>
  <si>
    <t xml:space="preserve">F:\images\20210303\plaque 2/@06 17b estradiol 68 dopé/C6_02.tif </t>
  </si>
  <si>
    <t xml:space="preserve"> 60585.3349 </t>
  </si>
  <si>
    <t xml:space="preserve"> 78.523 </t>
  </si>
  <si>
    <t xml:space="preserve">F:\images\20210303\plaque 2/@06 17b estradiol 68 dopé/C6_03.tif </t>
  </si>
  <si>
    <t xml:space="preserve"> 53166.281 </t>
  </si>
  <si>
    <t xml:space="preserve"> 79.8511 </t>
  </si>
  <si>
    <t xml:space="preserve">F:\images\20210303\plaque 2/@06 17b estradiol 68 dopé/D6_01.tif </t>
  </si>
  <si>
    <t xml:space="preserve"> 15811.453 </t>
  </si>
  <si>
    <t xml:space="preserve"> 66.6416 </t>
  </si>
  <si>
    <t>F:\images\20210303\plaque 2/@06 17b estradiol 68 dopé/D6_02- exclu.tif</t>
  </si>
  <si>
    <t xml:space="preserve">F:\images\20210303\plaque 2/@06 17b estradiol 68 dopé/D6_03.tif </t>
  </si>
  <si>
    <t xml:space="preserve"> 37073.6394 </t>
  </si>
  <si>
    <t xml:space="preserve"> 74.8751 </t>
  </si>
  <si>
    <t xml:space="preserve">F:\images\20210303\plaque 2/@06 17b estradiol 68 dopé/E6_01.tif </t>
  </si>
  <si>
    <t xml:space="preserve"> 52712.0532 </t>
  </si>
  <si>
    <t xml:space="preserve"> 80.6225 </t>
  </si>
  <si>
    <t xml:space="preserve">F:\images\20210303\plaque 2/@06 17b estradiol 68 dopé/E6_02.tif </t>
  </si>
  <si>
    <t xml:space="preserve"> 54226.1458 </t>
  </si>
  <si>
    <t xml:space="preserve"> 79.6538 </t>
  </si>
  <si>
    <t xml:space="preserve">F:\images\20210303\plaque 2/@06 17b estradiol 68 dopé/E6_03.tif </t>
  </si>
  <si>
    <t xml:space="preserve"> 53750.2882 </t>
  </si>
  <si>
    <t xml:space="preserve"> 79.4563 </t>
  </si>
  <si>
    <t xml:space="preserve">F:\images\20210303\plaque 2/@06 17b estradiol 68 dopé/F6_01.tif </t>
  </si>
  <si>
    <t xml:space="preserve"> 31168.6782 </t>
  </si>
  <si>
    <t xml:space="preserve"> 77.1679 </t>
  </si>
  <si>
    <t xml:space="preserve">F:\images\20210303\plaque 2/@06 17b estradiol 68 dopé/F6_02.tif </t>
  </si>
  <si>
    <t xml:space="preserve"> 33180.2584 </t>
  </si>
  <si>
    <t xml:space="preserve"> 78.6115 </t>
  </si>
  <si>
    <t xml:space="preserve">F:\images\20210303\plaque 2/@06 17b estradiol 68 dopé/F6_03.tif </t>
  </si>
  <si>
    <t xml:space="preserve"> 31882.4647 </t>
  </si>
  <si>
    <t xml:space="preserve"> 77.0821 </t>
  </si>
  <si>
    <t xml:space="preserve">F:\images\20210303\plaque 2/@06 17b estradiol 68 dopé/G6_01.tif </t>
  </si>
  <si>
    <t xml:space="preserve"> 58941.4629 </t>
  </si>
  <si>
    <t xml:space="preserve"> 74.1328 </t>
  </si>
  <si>
    <t>F:\images\20210303\plaque 2/@06 17b estradiol 68 dopé/G6_02- exclu.tif</t>
  </si>
  <si>
    <t xml:space="preserve">F:\images\20210303\plaque 2/@06 17b estradiol 68 dopé/G6_03.tif </t>
  </si>
  <si>
    <t xml:space="preserve"> 51089.8111 </t>
  </si>
  <si>
    <t xml:space="preserve"> 75.6503 </t>
  </si>
  <si>
    <t xml:space="preserve">F:\images\20210303\plaque 2/@06 17b estradiol 68 dopé/H6_01.tif </t>
  </si>
  <si>
    <t xml:space="preserve"> 71.28 </t>
  </si>
  <si>
    <t xml:space="preserve">F:\images\20210303\plaque 2/@06 17b estradiol 68 dopé/H6_02.tif </t>
  </si>
  <si>
    <t xml:space="preserve"> 27469.9662 </t>
  </si>
  <si>
    <t xml:space="preserve"> 69.4016 </t>
  </si>
  <si>
    <t xml:space="preserve">F:\images\20210303\plaque 2/@06 17b estradiol 68 dopé/H6_03.tif </t>
  </si>
  <si>
    <t xml:space="preserve"> 38176.764 </t>
  </si>
  <si>
    <t xml:space="preserve"> 72.1365 </t>
  </si>
  <si>
    <t xml:space="preserve">F:\images\20210303\plaque 2/@06 17b estradiol 68 dopé/ </t>
  </si>
  <si>
    <t xml:space="preserve"> 76.2203 </t>
  </si>
  <si>
    <t xml:space="preserve"> 8.7155 </t>
  </si>
  <si>
    <t xml:space="preserve"> 3233217.71 </t>
  </si>
  <si>
    <t xml:space="preserve"> 1830252.18 </t>
  </si>
  <si>
    <t>F:\images\20210303\plaque 2/@07 17b estradiol 135 dopé/A7_01- exclu.tif</t>
  </si>
  <si>
    <t>F:\images\20210303\plaque 2/@07 17b estradiol 135 dopé/A7_02- exclu.tif</t>
  </si>
  <si>
    <t>F:\images\20210303\plaque 2/@07 17b estradiol 135 dopé/A7_03- exclu.tif</t>
  </si>
  <si>
    <t xml:space="preserve">F:\images\20210303\plaque 2/@07 17b estradiol 135 dopé/B7_01.tif </t>
  </si>
  <si>
    <t xml:space="preserve"> 75034.1045 </t>
  </si>
  <si>
    <t xml:space="preserve"> 84.5601 </t>
  </si>
  <si>
    <t xml:space="preserve">F:\images\20210303\plaque 2/@07 17b estradiol 135 dopé/B7_02.tif </t>
  </si>
  <si>
    <t xml:space="preserve"> 81.0676 </t>
  </si>
  <si>
    <t xml:space="preserve">F:\images\20210303\plaque 2/@07 17b estradiol 135 dopé/B7_03.tif </t>
  </si>
  <si>
    <t xml:space="preserve"> 72395.2573 </t>
  </si>
  <si>
    <t xml:space="preserve"> 81.7308 </t>
  </si>
  <si>
    <t xml:space="preserve">F:\images\20210303\plaque 2/@07 17b estradiol 135 dopé/C7_01.tif </t>
  </si>
  <si>
    <t xml:space="preserve"> 84.2121 </t>
  </si>
  <si>
    <t xml:space="preserve">F:\images\20210303\plaque 2/@07 17b estradiol 135 dopé/C7_02.tif </t>
  </si>
  <si>
    <t xml:space="preserve"> 62532.0254 </t>
  </si>
  <si>
    <t xml:space="preserve"> 84.4625 </t>
  </si>
  <si>
    <t xml:space="preserve">F:\images\20210303\plaque 2/@07 17b estradiol 135 dopé/C7_03.tif </t>
  </si>
  <si>
    <t xml:space="preserve"> 56605.4342 </t>
  </si>
  <si>
    <t xml:space="preserve"> 85.6439 </t>
  </si>
  <si>
    <t xml:space="preserve">F:\images\20210303\plaque 2/@07 17b estradiol 135 dopé/D7_01.tif </t>
  </si>
  <si>
    <t xml:space="preserve"> 47455.9888 </t>
  </si>
  <si>
    <t xml:space="preserve"> 80.1851 </t>
  </si>
  <si>
    <t xml:space="preserve">F:\images\20210303\plaque 2/@07 17b estradiol 135 dopé/D7_02.tif </t>
  </si>
  <si>
    <t xml:space="preserve"> 41853.8461 </t>
  </si>
  <si>
    <t xml:space="preserve"> 82.1959 </t>
  </si>
  <si>
    <t xml:space="preserve">F:\images\20210303\plaque 2/@07 17b estradiol 135 dopé/D7_03.tif </t>
  </si>
  <si>
    <t xml:space="preserve"> 84.135 </t>
  </si>
  <si>
    <t xml:space="preserve">F:\images\20210303\plaque 2/@07 17b estradiol 135 dopé/E7_01.tif </t>
  </si>
  <si>
    <t xml:space="preserve"> 79.4396 </t>
  </si>
  <si>
    <t xml:space="preserve">F:\images\20210303\plaque 2/@07 17b estradiol 135 dopé/E7_02.tif </t>
  </si>
  <si>
    <t xml:space="preserve"> 56908.2528 </t>
  </si>
  <si>
    <t xml:space="preserve"> 81.4892 </t>
  </si>
  <si>
    <t xml:space="preserve">F:\images\20210303\plaque 2/@07 17b estradiol 135 dopé/E7_03.tif </t>
  </si>
  <si>
    <t xml:space="preserve"> 57167.8115 </t>
  </si>
  <si>
    <t xml:space="preserve"> 80.2694 </t>
  </si>
  <si>
    <t xml:space="preserve">F:\images\20210303\plaque 2/@07 17b estradiol 135 dopé/F7_01.tif </t>
  </si>
  <si>
    <t xml:space="preserve"> 21824.5637 </t>
  </si>
  <si>
    <t xml:space="preserve"> 70.2914 </t>
  </si>
  <si>
    <t xml:space="preserve">F:\images\20210303\plaque 2/@07 17b estradiol 135 dopé/F7_02.tif </t>
  </si>
  <si>
    <t xml:space="preserve"> 25198.8272 </t>
  </si>
  <si>
    <t xml:space="preserve"> 72.4506 </t>
  </si>
  <si>
    <t xml:space="preserve">F:\images\20210303\plaque 2/@07 17b estradiol 135 dopé/F7_03.tif </t>
  </si>
  <si>
    <t xml:space="preserve"> 16222.421 </t>
  </si>
  <si>
    <t xml:space="preserve"> 73.516 </t>
  </si>
  <si>
    <t xml:space="preserve">F:\images\20210303\plaque 2/@07 17b estradiol 135 dopé/G7_01.tif </t>
  </si>
  <si>
    <t xml:space="preserve"> 62618.545 </t>
  </si>
  <si>
    <t xml:space="preserve"> 77.8052 </t>
  </si>
  <si>
    <t xml:space="preserve">F:\images\20210303\plaque 2/@07 17b estradiol 135 dopé/G7_02.tif </t>
  </si>
  <si>
    <t xml:space="preserve"> 60195.9968 </t>
  </si>
  <si>
    <t xml:space="preserve"> 76.5613 </t>
  </si>
  <si>
    <t xml:space="preserve">F:\images\20210303\plaque 2/@07 17b estradiol 135 dopé/G7_03.tif </t>
  </si>
  <si>
    <t xml:space="preserve"> 60736.7441 </t>
  </si>
  <si>
    <t xml:space="preserve"> 76.4516 </t>
  </si>
  <si>
    <t xml:space="preserve">F:\images\20210303\plaque 2/@07 17b estradiol 135 dopé/H7_01.tif </t>
  </si>
  <si>
    <t xml:space="preserve"> 36792.4508 </t>
  </si>
  <si>
    <t xml:space="preserve"> 71.348 </t>
  </si>
  <si>
    <t xml:space="preserve">F:\images\20210303\plaque 2/@07 17b estradiol 135 dopé/H7_02.tif </t>
  </si>
  <si>
    <t xml:space="preserve"> 34867.3901 </t>
  </si>
  <si>
    <t xml:space="preserve"> 70.2146 </t>
  </si>
  <si>
    <t xml:space="preserve">F:\images\20210303\plaque 2/@07 17b estradiol 135 dopé/H7_03.tif </t>
  </si>
  <si>
    <t xml:space="preserve"> 36576.1518 </t>
  </si>
  <si>
    <t xml:space="preserve"> 71.5517 </t>
  </si>
  <si>
    <t xml:space="preserve">F:\images\20210303\plaque 2/@07 17b estradiol 135 dopé/ </t>
  </si>
  <si>
    <t xml:space="preserve"> 76.7927 </t>
  </si>
  <si>
    <t xml:space="preserve"> 6.7862 </t>
  </si>
  <si>
    <t xml:space="preserve"> 1942863.07 </t>
  </si>
  <si>
    <t xml:space="preserve">F:\images\20210303\plaque 2/@08 17b estradiol 270 dopé/A8_01.tif </t>
  </si>
  <si>
    <t xml:space="preserve"> 81.5121 </t>
  </si>
  <si>
    <t xml:space="preserve">F:\images\20210303\plaque 2/@08 17b estradiol 270 dopé/A8_02.tif </t>
  </si>
  <si>
    <t xml:space="preserve"> 80.5913 </t>
  </si>
  <si>
    <t xml:space="preserve">F:\images\20210303\plaque 2/@08 17b estradiol 270 dopé/A8_03.tif </t>
  </si>
  <si>
    <t xml:space="preserve"> 55177.8612 </t>
  </si>
  <si>
    <t xml:space="preserve"> 79.3226 </t>
  </si>
  <si>
    <t xml:space="preserve">F:\images\20210303\plaque 2/@08 17b estradiol 270 dopé/B8_01.tif </t>
  </si>
  <si>
    <t xml:space="preserve"> 25393.4963 </t>
  </si>
  <si>
    <t xml:space="preserve"> 75.1968 </t>
  </si>
  <si>
    <t xml:space="preserve">F:\images\20210303\plaque 2/@08 17b estradiol 270 dopé/B8_02.tif </t>
  </si>
  <si>
    <t xml:space="preserve"> 26561.5106 </t>
  </si>
  <si>
    <t xml:space="preserve"> 75.3233 </t>
  </si>
  <si>
    <t xml:space="preserve">F:\images\20210303\plaque 2/@08 17b estradiol 270 dopé/B8_03.tif </t>
  </si>
  <si>
    <t xml:space="preserve"> 25847.7241 </t>
  </si>
  <si>
    <t xml:space="preserve"> 75.5665 </t>
  </si>
  <si>
    <t xml:space="preserve">F:\images\20210303\plaque 2/@08 17b estradiol 270 dopé/C8_01.tif </t>
  </si>
  <si>
    <t xml:space="preserve"> 47607.3981 </t>
  </si>
  <si>
    <t xml:space="preserve"> 81.8224 </t>
  </si>
  <si>
    <t xml:space="preserve">F:\images\20210303\plaque 2/@08 17b estradiol 270 dopé/C8_02.tif </t>
  </si>
  <si>
    <t xml:space="preserve"> 47780.4372 </t>
  </si>
  <si>
    <t xml:space="preserve"> 81.1784 </t>
  </si>
  <si>
    <t xml:space="preserve">F:\images\20210303\plaque 2/@08 17b estradiol 270 dopé/C8_03.tif </t>
  </si>
  <si>
    <t xml:space="preserve"> 42416.2234 </t>
  </si>
  <si>
    <t xml:space="preserve"> 79.5293 </t>
  </si>
  <si>
    <t>F:\images\20210303\plaque 2/@08 17b estradiol 270 dopé/D8_01- exclu.tif</t>
  </si>
  <si>
    <t xml:space="preserve">F:\images\20210303\plaque 2/@08 17b estradiol 270 dopé/D8_02.tif </t>
  </si>
  <si>
    <t xml:space="preserve"> 37744.1661 </t>
  </si>
  <si>
    <t xml:space="preserve"> 84.3158 </t>
  </si>
  <si>
    <t xml:space="preserve">F:\images\20210303\plaque 2/@08 17b estradiol 270 dopé/D8_03.tif </t>
  </si>
  <si>
    <t xml:space="preserve"> 39517.8175 </t>
  </si>
  <si>
    <t xml:space="preserve"> 85.1565 </t>
  </si>
  <si>
    <t xml:space="preserve">F:\images\20210303\plaque 2/@08 17b estradiol 270 dopé/E8_01.tif </t>
  </si>
  <si>
    <t xml:space="preserve"> 32985.5893 </t>
  </si>
  <si>
    <t xml:space="preserve"> 83.1554 </t>
  </si>
  <si>
    <t xml:space="preserve">F:\images\20210303\plaque 2/@08 17b estradiol 270 dopé/E8_02.tif </t>
  </si>
  <si>
    <t xml:space="preserve"> 30260.2226 </t>
  </si>
  <si>
    <t xml:space="preserve"> 80.5754 </t>
  </si>
  <si>
    <t xml:space="preserve">F:\images\20210303\plaque 2/@08 17b estradiol 270 dopé/E8_03.tif </t>
  </si>
  <si>
    <t xml:space="preserve"> 33807.5253 </t>
  </si>
  <si>
    <t xml:space="preserve"> 82.0166 </t>
  </si>
  <si>
    <t xml:space="preserve">F:\images\20210303\plaque 2/@08 17b estradiol 270 dopé/F8_01.tif </t>
  </si>
  <si>
    <t xml:space="preserve"> 38998.7 </t>
  </si>
  <si>
    <t xml:space="preserve"> 83.1453 </t>
  </si>
  <si>
    <t xml:space="preserve">F:\images\20210303\plaque 2/@08 17b estradiol 270 dopé/F8_02.tif </t>
  </si>
  <si>
    <t xml:space="preserve"> 37982.095 </t>
  </si>
  <si>
    <t xml:space="preserve"> 84.1036 </t>
  </si>
  <si>
    <t xml:space="preserve">F:\images\20210303\plaque 2/@08 17b estradiol 270 dopé/F8_03.tif </t>
  </si>
  <si>
    <t xml:space="preserve"> 34759.2407 </t>
  </si>
  <si>
    <t xml:space="preserve"> 83.8942 </t>
  </si>
  <si>
    <t xml:space="preserve">F:\images\20210303\plaque 2/@08 17b estradiol 270 dopé/G8_01.tif </t>
  </si>
  <si>
    <t xml:space="preserve"> 47866.9568 </t>
  </si>
  <si>
    <t xml:space="preserve"> 89.2671 </t>
  </si>
  <si>
    <t xml:space="preserve">F:\images\20210303\plaque 2/@08 17b estradiol 270 dopé/G8_02.tif </t>
  </si>
  <si>
    <t xml:space="preserve"> 49662.2381 </t>
  </si>
  <si>
    <t xml:space="preserve"> 89.1511 </t>
  </si>
  <si>
    <t xml:space="preserve">F:\images\20210303\plaque 2/@08 17b estradiol 270 dopé/G8_03.tif </t>
  </si>
  <si>
    <t xml:space="preserve"> 49965.0566 </t>
  </si>
  <si>
    <t xml:space="preserve"> 87.1636 </t>
  </si>
  <si>
    <t xml:space="preserve">F:\images\20210303\plaque 2/@08 17b estradiol 270 dopé/H8_01.tif </t>
  </si>
  <si>
    <t xml:space="preserve"> 84.228 </t>
  </si>
  <si>
    <t xml:space="preserve">F:\images\20210303\plaque 2/@08 17b estradiol 270 dopé/H8_02.tif </t>
  </si>
  <si>
    <t xml:space="preserve"> 52128.0461 </t>
  </si>
  <si>
    <t xml:space="preserve"> 85.8589 </t>
  </si>
  <si>
    <t xml:space="preserve">F:\images\20210303\plaque 2/@08 17b estradiol 270 dopé/H8_03.tif </t>
  </si>
  <si>
    <t xml:space="preserve"> 83.202 </t>
  </si>
  <si>
    <t xml:space="preserve">F:\images\20210303\plaque 2/@08 17b estradiol 270 dopé/ </t>
  </si>
  <si>
    <t xml:space="preserve"> 82.3995 </t>
  </si>
  <si>
    <t xml:space="preserve"> 3.757 </t>
  </si>
  <si>
    <t xml:space="preserve"> 3483554.88 </t>
  </si>
  <si>
    <t xml:space="preserve"> 914161.275 </t>
  </si>
  <si>
    <t>F:\images\20210303\plaque 2/@09 17b estradiol 540 dopé/A9_01- exclu.tif</t>
  </si>
  <si>
    <t>F:\images\20210303\plaque 2/@09 17b estradiol 540 dopé/A9_02- exclu.tif</t>
  </si>
  <si>
    <t>F:\images\20210303\plaque 2/@09 17b estradiol 540 dopé/A9_03- exclu.tif</t>
  </si>
  <si>
    <t xml:space="preserve">F:\images\20210303\plaque 2/@09 17b estradiol 540 dopé/B9_01.tif </t>
  </si>
  <si>
    <t xml:space="preserve"> 57038.0321 </t>
  </si>
  <si>
    <t xml:space="preserve"> 93.7649 </t>
  </si>
  <si>
    <t xml:space="preserve">F:\images\20210303\plaque 2/@09 17b estradiol 540 dopé/B9_02.tif </t>
  </si>
  <si>
    <t xml:space="preserve"> 58487.2351 </t>
  </si>
  <si>
    <t xml:space="preserve"> 90.534 </t>
  </si>
  <si>
    <t xml:space="preserve">F:\images\20210303\plaque 2/@09 17b estradiol 540 dopé/B9_03.tif </t>
  </si>
  <si>
    <t xml:space="preserve"> 56518.9147 </t>
  </si>
  <si>
    <t xml:space="preserve"> 92.7754 </t>
  </si>
  <si>
    <t xml:space="preserve">F:\images\20210303\plaque 2/@09 17b estradiol 540 dopé/C9_01.tif </t>
  </si>
  <si>
    <t xml:space="preserve"> 41983.6255 </t>
  </si>
  <si>
    <t xml:space="preserve"> 79.7687 </t>
  </si>
  <si>
    <t xml:space="preserve">F:\images\20210303\plaque 2/@09 17b estradiol 540 dopé/C9_02.tif </t>
  </si>
  <si>
    <t xml:space="preserve"> 78.5896 </t>
  </si>
  <si>
    <t xml:space="preserve">F:\images\20210303\plaque 2/@09 17b estradiol 540 dopé/C9_03.tif </t>
  </si>
  <si>
    <t xml:space="preserve"> 42956.9707 </t>
  </si>
  <si>
    <t xml:space="preserve"> 81.4602 </t>
  </si>
  <si>
    <t xml:space="preserve">F:\images\20210303\plaque 2/@09 17b estradiol 540 dopé/D9_01.tif </t>
  </si>
  <si>
    <t xml:space="preserve"> 90.5042 </t>
  </si>
  <si>
    <t xml:space="preserve">F:\images\20210303\plaque 2/@09 17b estradiol 540 dopé/D9_02.tif </t>
  </si>
  <si>
    <t xml:space="preserve"> 53533.9892 </t>
  </si>
  <si>
    <t xml:space="preserve"> 90.6642 </t>
  </si>
  <si>
    <t xml:space="preserve">F:\images\20210303\plaque 2/@09 17b estradiol 540 dopé/D9_03.tif </t>
  </si>
  <si>
    <t xml:space="preserve"> 48840.3021 </t>
  </si>
  <si>
    <t xml:space="preserve"> 92.4446 </t>
  </si>
  <si>
    <t xml:space="preserve">F:\images\20210303\plaque 2/@09 17b estradiol 540 dopé/E9_01.tif </t>
  </si>
  <si>
    <t xml:space="preserve"> 69367.0721 </t>
  </si>
  <si>
    <t xml:space="preserve"> 89.9819 </t>
  </si>
  <si>
    <t xml:space="preserve">F:\images\20210303\plaque 2/@09 17b estradiol 540 dopé/E9_02.tif </t>
  </si>
  <si>
    <t xml:space="preserve"> 67160.8228 </t>
  </si>
  <si>
    <t xml:space="preserve"> 93.0969 </t>
  </si>
  <si>
    <t xml:space="preserve">F:\images\20210303\plaque 2/@09 17b estradiol 540 dopé/E9_03.tif </t>
  </si>
  <si>
    <t xml:space="preserve"> 72957.6346 </t>
  </si>
  <si>
    <t xml:space="preserve"> 89.6822 </t>
  </si>
  <si>
    <t xml:space="preserve">F:\images\20210303\plaque 2/@09 17b estradiol 540 dopé/F9_01.tif </t>
  </si>
  <si>
    <t xml:space="preserve"> 71119.0935 </t>
  </si>
  <si>
    <t xml:space="preserve"> 88.7354 </t>
  </si>
  <si>
    <t xml:space="preserve">F:\images\20210303\plaque 2/@09 17b estradiol 540 dopé/F9_02.tif </t>
  </si>
  <si>
    <t xml:space="preserve"> 73260.4531 </t>
  </si>
  <si>
    <t xml:space="preserve"> 92.3472 </t>
  </si>
  <si>
    <t xml:space="preserve">F:\images\20210303\plaque 2/@09 17b estradiol 540 dopé/F9_03.tif </t>
  </si>
  <si>
    <t xml:space="preserve"> 92.3224 </t>
  </si>
  <si>
    <t xml:space="preserve">F:\images\20210303\plaque 2/@09 17b estradiol 540 dopé/G9_01.tif </t>
  </si>
  <si>
    <t xml:space="preserve"> 63310.7016 </t>
  </si>
  <si>
    <t xml:space="preserve"> 85.9163 </t>
  </si>
  <si>
    <t xml:space="preserve">F:\images\20210303\plaque 2/@09 17b estradiol 540 dopé/G9_02.tif </t>
  </si>
  <si>
    <t xml:space="preserve"> 52776.9429 </t>
  </si>
  <si>
    <t xml:space="preserve"> 86.3033 </t>
  </si>
  <si>
    <t xml:space="preserve">F:\images\20210303\plaque 2/@09 17b estradiol 540 dopé/G9_03.tif </t>
  </si>
  <si>
    <t xml:space="preserve"> 83.7627 </t>
  </si>
  <si>
    <t xml:space="preserve">F:\images\20210303\plaque 2/@09 17b estradiol 540 dopé/H9_01.tif </t>
  </si>
  <si>
    <t xml:space="preserve"> 100.3778 </t>
  </si>
  <si>
    <t xml:space="preserve">F:\images\20210303\plaque 2/@09 17b estradiol 540 dopé/H9_02.tif </t>
  </si>
  <si>
    <t xml:space="preserve"> 68847.9546 </t>
  </si>
  <si>
    <t xml:space="preserve"> 99.9079 </t>
  </si>
  <si>
    <t xml:space="preserve">F:\images\20210303\plaque 2/@09 17b estradiol 540 dopé/H9_03.tif </t>
  </si>
  <si>
    <t xml:space="preserve"> 66122.5879 </t>
  </si>
  <si>
    <t xml:space="preserve"> 102.4917 </t>
  </si>
  <si>
    <t xml:space="preserve">F:\images\20210303\plaque 2/@09 17b estradiol 540 dopé/ </t>
  </si>
  <si>
    <t xml:space="preserve"> 86.9914 </t>
  </si>
  <si>
    <t xml:space="preserve"> 10.5971 </t>
  </si>
  <si>
    <t xml:space="preserve"> 4789701.33 </t>
  </si>
  <si>
    <t xml:space="preserve"> 2034708.16 </t>
  </si>
  <si>
    <t>Kruskal-Wallis</t>
  </si>
  <si>
    <t>ANOVA</t>
  </si>
  <si>
    <t>estradiol</t>
  </si>
  <si>
    <t>estradiol-135ng/L + Testosterone</t>
  </si>
  <si>
    <t>estradiol-270ng/L + Testosterone</t>
  </si>
  <si>
    <t>estradiol-540ng/L + Testosterone</t>
  </si>
  <si>
    <t>estradiol-68ng/L + Testosterone</t>
  </si>
  <si>
    <t>estradiol-34ng/L + Testosterone</t>
  </si>
  <si>
    <t>estradiol 34ng/L</t>
  </si>
  <si>
    <t>estradiol 68ng/L</t>
  </si>
  <si>
    <t>estradiol 135ng/L</t>
  </si>
  <si>
    <t>estradiol 270ng/L</t>
  </si>
  <si>
    <t>estradiol 540ng/L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</si>
</sst>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9" x14ac:knownFonts="1">
    <font>
      <sz val="11"/>
      <color theme="1"/>
      <name val="Calibri"/>
      <family val="2"/>
      <scheme val="minor"/>
    </font>
    <font>
      <b/>
      <sz val="11"/>
      <color theme="1"/>
      <name val="Calibri"/>
      <family val="2"/>
      <scheme val="minor"/>
    </font>
    <font>
      <sz val="13"/>
      <name val="Arial"/>
      <family val="2"/>
    </font>
    <font>
      <sz val="16"/>
      <color theme="1"/>
      <name val="Calibri"/>
      <family val="2"/>
      <scheme val="minor"/>
    </font>
    <font>
      <sz val="10"/>
      <name val="Arial"/>
      <family val="2"/>
    </font>
    <font>
      <b/>
      <sz val="16"/>
      <color theme="1"/>
      <name val="Calibri"/>
      <family val="2"/>
      <scheme val="minor"/>
    </font>
    <font>
      <sz val="11"/>
      <name val="Calibri"/>
      <family val="2"/>
      <scheme val="minor"/>
    </font>
    <font>
      <b/>
      <sz val="20"/>
      <color theme="1"/>
      <name val="Calibri"/>
      <family val="2"/>
      <scheme val="minor"/>
    </font>
    <font>
      <sz val="12"/>
      <color theme="1"/>
      <name val="Calibri"/>
      <family val="2"/>
      <scheme val="minor"/>
    </font>
    <font>
      <b/>
      <sz val="20"/>
      <color rgb="FFFF0000"/>
      <name val="Calibri"/>
      <family val="2"/>
      <scheme val="minor"/>
    </font>
    <font>
      <b/>
      <sz val="9"/>
      <color indexed="81"/>
      <name val="Tahoma"/>
      <family val="2"/>
    </font>
    <font>
      <sz val="11"/>
      <color theme="1"/>
      <name val="Calibri"/>
      <family val="2"/>
      <scheme val="minor"/>
    </font>
    <font>
      <b/>
      <sz val="12"/>
      <color theme="1"/>
      <name val="Calibri"/>
      <family val="2"/>
      <scheme val="minor"/>
    </font>
    <font>
      <sz val="12"/>
      <name val="Calibri"/>
      <family val="2"/>
      <scheme val="minor"/>
    </font>
    <font>
      <sz val="12"/>
      <name val="Arial"/>
      <family val="2"/>
    </font>
    <font>
      <b/>
      <sz val="12"/>
      <name val="Calibri"/>
      <family val="2"/>
      <scheme val="minor"/>
    </font>
    <font>
      <b/>
      <sz val="11"/>
      <name val="Calibri"/>
      <family val="2"/>
      <scheme val="minor"/>
    </font>
    <font>
      <sz val="11"/>
      <color rgb="FFFF0000"/>
      <name val="Calibri"/>
      <family val="2"/>
      <scheme val="minor"/>
    </font>
    <font>
      <b/>
      <sz val="11"/>
      <color rgb="FFFF0000"/>
      <name val="Calibri"/>
      <family val="2"/>
      <scheme val="minor"/>
    </font>
  </fonts>
  <fills count="21">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C000"/>
        <bgColor indexed="64"/>
      </patternFill>
    </fill>
    <fill>
      <patternFill patternType="solid">
        <fgColor theme="0" tint="-0.14999847407452621"/>
        <bgColor theme="0" tint="-0.14999847407452621"/>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thin">
        <color auto="1"/>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style="thin">
        <color indexed="64"/>
      </left>
      <right style="thin">
        <color indexed="64"/>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thin">
        <color theme="1"/>
      </right>
      <top style="thin">
        <color theme="1"/>
      </top>
      <bottom style="thin">
        <color theme="1"/>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1"/>
      </left>
      <right style="thin">
        <color theme="1"/>
      </right>
      <top/>
      <bottom/>
      <diagonal/>
    </border>
    <border>
      <left/>
      <right style="thin">
        <color theme="1"/>
      </right>
      <top style="thin">
        <color theme="1"/>
      </top>
      <bottom style="medium">
        <color theme="1"/>
      </bottom>
      <diagonal/>
    </border>
    <border>
      <left/>
      <right style="thin">
        <color theme="1"/>
      </right>
      <top style="thin">
        <color theme="1"/>
      </top>
      <bottom style="thin">
        <color theme="1"/>
      </bottom>
      <diagonal/>
    </border>
    <border>
      <left style="thin">
        <color theme="1"/>
      </left>
      <right/>
      <top/>
      <bottom/>
      <diagonal/>
    </border>
    <border>
      <left/>
      <right style="thin">
        <color indexed="64"/>
      </right>
      <top style="medium">
        <color indexed="64"/>
      </top>
      <bottom/>
      <diagonal/>
    </border>
  </borders>
  <cellStyleXfs count="8">
    <xf numFmtId="0" fontId="0" fillId="0" borderId="0"/>
    <xf numFmtId="0" fontId="4" fillId="0" borderId="0"/>
    <xf numFmtId="0" fontId="8" fillId="0" borderId="0"/>
    <xf numFmtId="0" fontId="4" fillId="0" borderId="0"/>
    <xf numFmtId="0" fontId="8" fillId="0" borderId="0"/>
    <xf numFmtId="0" fontId="4" fillId="0" borderId="0"/>
    <xf numFmtId="0" fontId="8" fillId="0" borderId="0"/>
    <xf numFmtId="9" fontId="11" fillId="0" borderId="0" applyFont="0" applyFill="0" applyBorder="0" applyAlignment="0" applyProtection="0"/>
  </cellStyleXfs>
  <cellXfs count="237">
    <xf numFmtId="0" fontId="0" fillId="0" borderId="0" xfId="0"/>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1" fontId="0" fillId="0" borderId="0" xfId="0" applyNumberFormat="1" applyAlignment="1">
      <alignment horizontal="center"/>
    </xf>
    <xf numFmtId="0" fontId="0" fillId="0" borderId="2" xfId="0" applyBorder="1" applyAlignment="1">
      <alignment horizontal="center"/>
    </xf>
    <xf numFmtId="0" fontId="0" fillId="0" borderId="0" xfId="0" applyBorder="1" applyAlignment="1">
      <alignment horizontal="center"/>
    </xf>
    <xf numFmtId="164" fontId="0" fillId="0" borderId="0" xfId="0" applyNumberFormat="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164" fontId="0" fillId="0" borderId="1" xfId="0" applyNumberFormat="1" applyBorder="1" applyAlignment="1">
      <alignment horizontal="center"/>
    </xf>
    <xf numFmtId="0" fontId="2" fillId="0" borderId="0" xfId="0" applyFont="1"/>
    <xf numFmtId="0" fontId="0" fillId="0" borderId="1" xfId="0" applyBorder="1"/>
    <xf numFmtId="0" fontId="2" fillId="0" borderId="1" xfId="0" applyFont="1" applyBorder="1"/>
    <xf numFmtId="0" fontId="0" fillId="0" borderId="0" xfId="0" applyFont="1" applyAlignment="1">
      <alignment horizontal="center"/>
    </xf>
    <xf numFmtId="0" fontId="0" fillId="0" borderId="1" xfId="0" applyBorder="1" applyAlignment="1">
      <alignment horizontal="center"/>
    </xf>
    <xf numFmtId="0" fontId="4" fillId="0" borderId="0" xfId="1"/>
    <xf numFmtId="0" fontId="4" fillId="6" borderId="0" xfId="1" applyFill="1"/>
    <xf numFmtId="0" fontId="4" fillId="2" borderId="0" xfId="1" applyFill="1"/>
    <xf numFmtId="0" fontId="4" fillId="7" borderId="0" xfId="1" applyFill="1"/>
    <xf numFmtId="0" fontId="4" fillId="0" borderId="0" xfId="1" applyFill="1" applyBorder="1"/>
    <xf numFmtId="0" fontId="4" fillId="6" borderId="0" xfId="1" applyFill="1" applyBorder="1"/>
    <xf numFmtId="0" fontId="4" fillId="0" borderId="0" xfId="1" applyFont="1"/>
    <xf numFmtId="0" fontId="4" fillId="6" borderId="0" xfId="1" applyNumberFormat="1" applyFill="1" applyBorder="1"/>
    <xf numFmtId="0" fontId="4" fillId="7" borderId="0" xfId="1" applyNumberFormat="1" applyFill="1"/>
    <xf numFmtId="0" fontId="4" fillId="0" borderId="0" xfId="1" applyFill="1"/>
    <xf numFmtId="0" fontId="4" fillId="6" borderId="0" xfId="1" applyNumberFormat="1" applyFill="1"/>
    <xf numFmtId="0" fontId="4" fillId="0" borderId="0" xfId="1" applyFont="1" applyFill="1" applyBorder="1"/>
    <xf numFmtId="0" fontId="4" fillId="6" borderId="0" xfId="1" applyNumberFormat="1" applyFont="1" applyFill="1" applyBorder="1"/>
    <xf numFmtId="14" fontId="4" fillId="0" borderId="0" xfId="1" applyNumberFormat="1" applyFont="1"/>
    <xf numFmtId="14" fontId="4" fillId="0" borderId="0" xfId="1" applyNumberFormat="1"/>
    <xf numFmtId="0" fontId="0" fillId="0" borderId="1" xfId="0" applyBorder="1" applyAlignment="1">
      <alignment horizontal="center"/>
    </xf>
    <xf numFmtId="0" fontId="0" fillId="0" borderId="0" xfId="0" applyBorder="1"/>
    <xf numFmtId="0" fontId="0" fillId="9" borderId="1" xfId="0" applyFill="1" applyBorder="1" applyAlignment="1">
      <alignment horizontal="center"/>
    </xf>
    <xf numFmtId="0" fontId="0" fillId="9" borderId="12" xfId="0" applyFill="1" applyBorder="1" applyAlignment="1">
      <alignment horizontal="center"/>
    </xf>
    <xf numFmtId="0" fontId="0" fillId="11" borderId="12" xfId="0" applyFill="1" applyBorder="1" applyAlignment="1">
      <alignment horizontal="center"/>
    </xf>
    <xf numFmtId="0" fontId="5" fillId="0" borderId="7" xfId="0" applyFont="1" applyBorder="1" applyAlignment="1">
      <alignment vertical="center"/>
    </xf>
    <xf numFmtId="0" fontId="5" fillId="0" borderId="6" xfId="0" applyFont="1" applyBorder="1" applyAlignment="1">
      <alignment vertical="center" wrapText="1"/>
    </xf>
    <xf numFmtId="0" fontId="1" fillId="4" borderId="3" xfId="0" applyFont="1" applyFill="1" applyBorder="1" applyAlignment="1">
      <alignment horizontal="center"/>
    </xf>
    <xf numFmtId="0" fontId="3" fillId="0" borderId="15" xfId="0" applyFont="1" applyBorder="1" applyAlignment="1">
      <alignment vertical="center"/>
    </xf>
    <xf numFmtId="0" fontId="0" fillId="0" borderId="0" xfId="0" applyFont="1"/>
    <xf numFmtId="0" fontId="3" fillId="0" borderId="9" xfId="0" applyNumberFormat="1" applyFont="1" applyBorder="1" applyAlignment="1">
      <alignment vertical="center"/>
    </xf>
    <xf numFmtId="0" fontId="3" fillId="0" borderId="1" xfId="0" applyNumberFormat="1" applyFont="1" applyBorder="1" applyAlignment="1">
      <alignment vertical="center"/>
    </xf>
    <xf numFmtId="0" fontId="0" fillId="0" borderId="0" xfId="0" applyNumberFormat="1"/>
    <xf numFmtId="0" fontId="0" fillId="7" borderId="8" xfId="0" applyFill="1" applyBorder="1" applyAlignment="1">
      <alignment horizontal="center"/>
    </xf>
    <xf numFmtId="0" fontId="0" fillId="7" borderId="9" xfId="0" applyFill="1" applyBorder="1" applyAlignment="1">
      <alignment horizontal="center"/>
    </xf>
    <xf numFmtId="0" fontId="0" fillId="7" borderId="23" xfId="0" applyFill="1" applyBorder="1"/>
    <xf numFmtId="0" fontId="0" fillId="0" borderId="0" xfId="0" applyAlignment="1">
      <alignment vertical="center"/>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0" fontId="1" fillId="0" borderId="0" xfId="0" applyFont="1" applyAlignment="1">
      <alignment horizontal="center"/>
    </xf>
    <xf numFmtId="0" fontId="3" fillId="14" borderId="26" xfId="0" applyFont="1" applyFill="1" applyBorder="1" applyAlignment="1">
      <alignment vertic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5" fillId="0" borderId="6" xfId="0" applyFont="1" applyBorder="1" applyAlignment="1">
      <alignment vertical="center"/>
    </xf>
    <xf numFmtId="0" fontId="5" fillId="0" borderId="6" xfId="0" applyFont="1" applyBorder="1" applyAlignment="1">
      <alignment horizontal="center" vertical="center"/>
    </xf>
    <xf numFmtId="0" fontId="0" fillId="0" borderId="6" xfId="0" applyBorder="1"/>
    <xf numFmtId="49" fontId="0" fillId="0" borderId="0" xfId="0" applyNumberFormat="1" applyFill="1" applyBorder="1" applyAlignment="1">
      <alignment horizontal="center"/>
    </xf>
    <xf numFmtId="164" fontId="0" fillId="0" borderId="0" xfId="0" applyNumberFormat="1" applyFill="1" applyBorder="1" applyAlignment="1">
      <alignment horizontal="center"/>
    </xf>
    <xf numFmtId="0" fontId="0" fillId="0" borderId="0" xfId="0" applyFill="1"/>
    <xf numFmtId="164" fontId="0" fillId="7" borderId="10" xfId="0" applyNumberFormat="1" applyFill="1" applyBorder="1" applyAlignment="1">
      <alignment horizontal="center"/>
    </xf>
    <xf numFmtId="164" fontId="0" fillId="7" borderId="18" xfId="0" applyNumberFormat="1" applyFill="1" applyBorder="1" applyAlignment="1">
      <alignment horizontal="center"/>
    </xf>
    <xf numFmtId="2" fontId="4" fillId="0" borderId="0" xfId="1" applyNumberFormat="1" applyFill="1"/>
    <xf numFmtId="0" fontId="3" fillId="8" borderId="2" xfId="0" applyNumberFormat="1" applyFont="1" applyFill="1" applyBorder="1" applyAlignment="1">
      <alignment horizontal="center" vertical="center" wrapText="1"/>
    </xf>
    <xf numFmtId="0" fontId="3" fillId="0" borderId="3" xfId="0" applyFont="1" applyBorder="1" applyAlignment="1">
      <alignment vertical="center"/>
    </xf>
    <xf numFmtId="0" fontId="1" fillId="0" borderId="0" xfId="0" applyFont="1" applyBorder="1" applyAlignment="1">
      <alignment horizontal="center" vertical="center"/>
    </xf>
    <xf numFmtId="0" fontId="2" fillId="0" borderId="0" xfId="0" applyFont="1" applyBorder="1"/>
    <xf numFmtId="0" fontId="6" fillId="0" borderId="0" xfId="0" applyFont="1" applyAlignment="1">
      <alignment horizontal="center"/>
    </xf>
    <xf numFmtId="0" fontId="6" fillId="0" borderId="0" xfId="0" applyFont="1"/>
    <xf numFmtId="0" fontId="6" fillId="0" borderId="0" xfId="0" applyFont="1" applyBorder="1" applyAlignment="1">
      <alignment horizontal="center"/>
    </xf>
    <xf numFmtId="0" fontId="1" fillId="3" borderId="1" xfId="0" applyFont="1" applyFill="1" applyBorder="1" applyAlignment="1">
      <alignment horizontal="center"/>
    </xf>
    <xf numFmtId="0" fontId="1" fillId="10" borderId="0" xfId="0" applyFont="1" applyFill="1" applyBorder="1" applyAlignment="1">
      <alignment vertical="center"/>
    </xf>
    <xf numFmtId="0" fontId="3" fillId="0" borderId="4" xfId="0" applyFont="1" applyBorder="1" applyAlignment="1">
      <alignment vertical="center"/>
    </xf>
    <xf numFmtId="0" fontId="3" fillId="14" borderId="3" xfId="0" applyFont="1" applyFill="1" applyBorder="1" applyAlignment="1">
      <alignment vertical="center"/>
    </xf>
    <xf numFmtId="2" fontId="3" fillId="8" borderId="2" xfId="0" applyNumberFormat="1" applyFont="1" applyFill="1" applyBorder="1" applyAlignment="1">
      <alignment horizontal="center" vertical="center" wrapText="1"/>
    </xf>
    <xf numFmtId="0" fontId="8" fillId="0" borderId="0" xfId="0" applyFont="1"/>
    <xf numFmtId="0" fontId="8" fillId="0" borderId="0" xfId="0" applyFont="1" applyAlignment="1">
      <alignment horizontal="center"/>
    </xf>
    <xf numFmtId="0" fontId="8" fillId="0" borderId="0" xfId="0" applyFont="1" applyFill="1"/>
    <xf numFmtId="0" fontId="13" fillId="0" borderId="1" xfId="0" applyFont="1" applyFill="1" applyBorder="1"/>
    <xf numFmtId="0" fontId="12" fillId="0" borderId="1" xfId="0" applyFont="1" applyFill="1" applyBorder="1" applyAlignment="1">
      <alignment horizontal="center"/>
    </xf>
    <xf numFmtId="0" fontId="8" fillId="15" borderId="1" xfId="0" applyFont="1" applyFill="1" applyBorder="1"/>
    <xf numFmtId="0" fontId="8" fillId="0" borderId="1" xfId="0" applyFont="1" applyFill="1" applyBorder="1" applyAlignment="1">
      <alignment horizontal="center"/>
    </xf>
    <xf numFmtId="2" fontId="13" fillId="0" borderId="1" xfId="0" applyNumberFormat="1" applyFont="1" applyFill="1" applyBorder="1" applyAlignment="1">
      <alignment horizontal="left"/>
    </xf>
    <xf numFmtId="0" fontId="14" fillId="0" borderId="1" xfId="0" applyFont="1" applyFill="1" applyBorder="1"/>
    <xf numFmtId="2" fontId="8" fillId="0" borderId="1" xfId="0" applyNumberFormat="1" applyFont="1" applyFill="1" applyBorder="1"/>
    <xf numFmtId="0" fontId="8" fillId="0" borderId="1" xfId="0" applyFont="1" applyFill="1" applyBorder="1"/>
    <xf numFmtId="0" fontId="12" fillId="0" borderId="1" xfId="0" applyFont="1" applyFill="1" applyBorder="1" applyAlignment="1">
      <alignment horizontal="center" vertical="center" wrapText="1"/>
    </xf>
    <xf numFmtId="0" fontId="12" fillId="0" borderId="1" xfId="0" applyFont="1" applyFill="1" applyBorder="1" applyAlignment="1">
      <alignment vertical="center" wrapText="1"/>
    </xf>
    <xf numFmtId="0" fontId="8" fillId="0" borderId="1" xfId="0" applyFont="1" applyBorder="1" applyAlignment="1">
      <alignment horizontal="center" vertical="center"/>
    </xf>
    <xf numFmtId="0" fontId="13" fillId="15" borderId="1" xfId="0" applyFont="1" applyFill="1" applyBorder="1"/>
    <xf numFmtId="0" fontId="8" fillId="15" borderId="32" xfId="0" applyFont="1" applyFill="1" applyBorder="1"/>
    <xf numFmtId="0" fontId="8" fillId="9" borderId="32" xfId="0" applyFont="1" applyFill="1" applyBorder="1"/>
    <xf numFmtId="0" fontId="13" fillId="17" borderId="1" xfId="0" applyFont="1" applyFill="1" applyBorder="1"/>
    <xf numFmtId="0" fontId="12" fillId="0" borderId="1" xfId="0" applyFont="1" applyBorder="1" applyAlignment="1">
      <alignment horizontal="center" vertical="center" wrapText="1"/>
    </xf>
    <xf numFmtId="0" fontId="12" fillId="0" borderId="30" xfId="0" applyFont="1" applyBorder="1" applyAlignment="1">
      <alignment horizontal="center" vertical="center" wrapText="1"/>
    </xf>
    <xf numFmtId="0" fontId="12" fillId="0" borderId="31" xfId="0" applyFont="1" applyBorder="1" applyAlignment="1">
      <alignment horizontal="center" vertical="center" wrapText="1"/>
    </xf>
    <xf numFmtId="0" fontId="13" fillId="16" borderId="1" xfId="0" applyFont="1" applyFill="1" applyBorder="1" applyAlignment="1">
      <alignment horizontal="center"/>
    </xf>
    <xf numFmtId="0" fontId="8" fillId="0" borderId="1" xfId="0" applyNumberFormat="1" applyFont="1" applyFill="1" applyBorder="1" applyAlignment="1">
      <alignment horizontal="center"/>
    </xf>
    <xf numFmtId="0" fontId="13" fillId="0" borderId="1" xfId="0" applyNumberFormat="1" applyFont="1" applyFill="1" applyBorder="1" applyAlignment="1">
      <alignment horizontal="center"/>
    </xf>
    <xf numFmtId="2" fontId="3" fillId="8" borderId="21" xfId="0" applyNumberFormat="1" applyFont="1" applyFill="1" applyBorder="1" applyAlignment="1">
      <alignment horizontal="center" vertical="center" wrapText="1"/>
    </xf>
    <xf numFmtId="0" fontId="3" fillId="0" borderId="25" xfId="0" applyFont="1" applyBorder="1" applyAlignment="1">
      <alignment vertical="center"/>
    </xf>
    <xf numFmtId="0" fontId="3" fillId="14" borderId="13" xfId="0" applyFont="1" applyFill="1" applyBorder="1" applyAlignment="1">
      <alignment vertical="center"/>
    </xf>
    <xf numFmtId="0" fontId="3" fillId="14" borderId="15" xfId="0" applyFont="1" applyFill="1" applyBorder="1" applyAlignment="1">
      <alignment vertical="center"/>
    </xf>
    <xf numFmtId="0" fontId="3" fillId="14" borderId="4" xfId="0" applyFont="1" applyFill="1" applyBorder="1" applyAlignment="1">
      <alignment vertical="center"/>
    </xf>
    <xf numFmtId="0" fontId="3" fillId="0" borderId="1" xfId="0" applyNumberFormat="1" applyFont="1" applyBorder="1" applyAlignment="1">
      <alignment horizontal="center" vertical="center"/>
    </xf>
    <xf numFmtId="0" fontId="3" fillId="14" borderId="9" xfId="0" applyNumberFormat="1" applyFont="1" applyFill="1" applyBorder="1" applyAlignment="1">
      <alignment horizontal="center" vertical="center"/>
    </xf>
    <xf numFmtId="0" fontId="3" fillId="14" borderId="1" xfId="0" applyNumberFormat="1" applyFont="1" applyFill="1" applyBorder="1" applyAlignment="1">
      <alignment horizontal="center" vertical="center"/>
    </xf>
    <xf numFmtId="0" fontId="3" fillId="8" borderId="0" xfId="0" applyFont="1" applyFill="1" applyBorder="1" applyAlignment="1">
      <alignment horizontal="center" vertical="center"/>
    </xf>
    <xf numFmtId="0" fontId="3" fillId="0" borderId="0" xfId="0" applyFont="1"/>
    <xf numFmtId="0" fontId="3" fillId="0" borderId="0" xfId="0" applyFont="1" applyFill="1" applyBorder="1" applyAlignment="1">
      <alignment vertical="center"/>
    </xf>
    <xf numFmtId="0" fontId="3" fillId="0" borderId="0" xfId="0" applyFont="1" applyAlignment="1">
      <alignment vertical="center"/>
    </xf>
    <xf numFmtId="0" fontId="3" fillId="14" borderId="23" xfId="0" applyFont="1" applyFill="1" applyBorder="1" applyAlignment="1">
      <alignment vertical="center"/>
    </xf>
    <xf numFmtId="0" fontId="3" fillId="14" borderId="0" xfId="0" applyFont="1" applyFill="1" applyBorder="1" applyAlignment="1">
      <alignment vertical="center"/>
    </xf>
    <xf numFmtId="0" fontId="3" fillId="0" borderId="3"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14" borderId="26" xfId="0" applyNumberFormat="1" applyFont="1" applyFill="1" applyBorder="1" applyAlignment="1">
      <alignment horizontal="center" vertical="center"/>
    </xf>
    <xf numFmtId="0" fontId="3" fillId="14" borderId="3" xfId="0" applyNumberFormat="1" applyFont="1" applyFill="1" applyBorder="1" applyAlignment="1">
      <alignment horizontal="center" vertical="center"/>
    </xf>
    <xf numFmtId="0" fontId="0" fillId="0" borderId="0" xfId="0" pivotButton="1"/>
    <xf numFmtId="2" fontId="8" fillId="16" borderId="1" xfId="0" applyNumberFormat="1" applyFont="1" applyFill="1" applyBorder="1" applyAlignment="1">
      <alignment horizontal="center"/>
    </xf>
    <xf numFmtId="2" fontId="8" fillId="15" borderId="1" xfId="0" applyNumberFormat="1" applyFont="1" applyFill="1" applyBorder="1" applyAlignment="1">
      <alignment horizontal="center"/>
    </xf>
    <xf numFmtId="2" fontId="8" fillId="15" borderId="32" xfId="0" applyNumberFormat="1" applyFont="1" applyFill="1" applyBorder="1" applyAlignment="1">
      <alignment horizontal="center"/>
    </xf>
    <xf numFmtId="2" fontId="8" fillId="15" borderId="32" xfId="7" applyNumberFormat="1" applyFont="1" applyFill="1" applyBorder="1" applyAlignment="1">
      <alignment horizontal="center"/>
    </xf>
    <xf numFmtId="2" fontId="8" fillId="17" borderId="1" xfId="0" applyNumberFormat="1" applyFont="1" applyFill="1" applyBorder="1" applyAlignment="1">
      <alignment horizontal="center"/>
    </xf>
    <xf numFmtId="1" fontId="8" fillId="15" borderId="32" xfId="0" applyNumberFormat="1" applyFont="1" applyFill="1" applyBorder="1" applyAlignment="1">
      <alignment horizontal="center"/>
    </xf>
    <xf numFmtId="1" fontId="8" fillId="9" borderId="32" xfId="0" applyNumberFormat="1" applyFont="1" applyFill="1" applyBorder="1" applyAlignment="1">
      <alignment horizontal="center"/>
    </xf>
    <xf numFmtId="0" fontId="15" fillId="0" borderId="1" xfId="0" applyFont="1" applyBorder="1" applyAlignment="1">
      <alignment horizontal="center" vertical="center" wrapText="1"/>
    </xf>
    <xf numFmtId="0" fontId="13" fillId="0" borderId="1" xfId="0" applyFont="1" applyFill="1" applyBorder="1" applyAlignment="1">
      <alignment horizontal="left"/>
    </xf>
    <xf numFmtId="0" fontId="8" fillId="16" borderId="1" xfId="0" applyNumberFormat="1" applyFont="1" applyFill="1" applyBorder="1" applyAlignment="1">
      <alignment horizontal="center"/>
    </xf>
    <xf numFmtId="0" fontId="8" fillId="16" borderId="32" xfId="0" applyNumberFormat="1" applyFont="1" applyFill="1" applyBorder="1" applyAlignment="1">
      <alignment horizontal="center"/>
    </xf>
    <xf numFmtId="0" fontId="8" fillId="16" borderId="32" xfId="7" applyNumberFormat="1" applyFont="1" applyFill="1" applyBorder="1" applyAlignment="1">
      <alignment horizontal="center"/>
    </xf>
    <xf numFmtId="0" fontId="8" fillId="9" borderId="32" xfId="7" applyNumberFormat="1" applyFont="1" applyFill="1" applyBorder="1" applyAlignment="1">
      <alignment horizontal="center"/>
    </xf>
    <xf numFmtId="0" fontId="8" fillId="17" borderId="1" xfId="0" applyNumberFormat="1" applyFont="1" applyFill="1" applyBorder="1" applyAlignment="1">
      <alignment horizontal="center"/>
    </xf>
    <xf numFmtId="0" fontId="8" fillId="15" borderId="1" xfId="0" applyNumberFormat="1" applyFont="1" applyFill="1" applyBorder="1" applyAlignment="1">
      <alignment horizontal="center"/>
    </xf>
    <xf numFmtId="0" fontId="8" fillId="15" borderId="32" xfId="0" applyNumberFormat="1" applyFont="1" applyFill="1" applyBorder="1" applyAlignment="1">
      <alignment horizontal="center"/>
    </xf>
    <xf numFmtId="0" fontId="8" fillId="15" borderId="32" xfId="7" applyNumberFormat="1" applyFont="1" applyFill="1" applyBorder="1" applyAlignment="1">
      <alignment horizontal="center"/>
    </xf>
    <xf numFmtId="0" fontId="8" fillId="15" borderId="32" xfId="0" applyNumberFormat="1" applyFont="1" applyFill="1" applyBorder="1"/>
    <xf numFmtId="0" fontId="8" fillId="17" borderId="32" xfId="0" applyNumberFormat="1" applyFont="1" applyFill="1" applyBorder="1" applyAlignment="1">
      <alignment horizontal="center"/>
    </xf>
    <xf numFmtId="0" fontId="8" fillId="17" borderId="32" xfId="7" applyNumberFormat="1" applyFont="1" applyFill="1" applyBorder="1" applyAlignment="1">
      <alignment horizontal="center"/>
    </xf>
    <xf numFmtId="0" fontId="8" fillId="9" borderId="32" xfId="0" applyNumberFormat="1" applyFont="1" applyFill="1" applyBorder="1" applyAlignment="1">
      <alignment horizontal="center"/>
    </xf>
    <xf numFmtId="0" fontId="8" fillId="9" borderId="32" xfId="0" applyNumberFormat="1" applyFont="1" applyFill="1" applyBorder="1"/>
    <xf numFmtId="164" fontId="0" fillId="7" borderId="1" xfId="0" applyNumberFormat="1" applyFill="1" applyBorder="1" applyAlignment="1">
      <alignment horizontal="center"/>
    </xf>
    <xf numFmtId="0" fontId="0" fillId="7" borderId="11" xfId="0" applyFill="1" applyBorder="1" applyAlignment="1">
      <alignment horizontal="center"/>
    </xf>
    <xf numFmtId="0" fontId="16" fillId="18" borderId="31" xfId="0" applyFont="1" applyFill="1" applyBorder="1" applyAlignment="1">
      <alignment horizontal="center" vertical="center" wrapText="1"/>
    </xf>
    <xf numFmtId="13" fontId="16" fillId="18" borderId="31" xfId="0" applyNumberFormat="1" applyFont="1" applyFill="1" applyBorder="1" applyAlignment="1">
      <alignment horizontal="center" vertical="center" wrapText="1"/>
    </xf>
    <xf numFmtId="0" fontId="0" fillId="0" borderId="0" xfId="0" applyAlignment="1">
      <alignment horizontal="left"/>
    </xf>
    <xf numFmtId="0" fontId="0" fillId="18" borderId="0" xfId="0" applyFill="1" applyAlignment="1">
      <alignment horizontal="center" vertical="center" wrapText="1"/>
    </xf>
    <xf numFmtId="0" fontId="0" fillId="0" borderId="0" xfId="0" applyNumberFormat="1" applyAlignment="1">
      <alignment wrapText="1"/>
    </xf>
    <xf numFmtId="164" fontId="0" fillId="7" borderId="0" xfId="0" applyNumberFormat="1" applyFill="1" applyBorder="1" applyAlignment="1">
      <alignment horizontal="center"/>
    </xf>
    <xf numFmtId="164" fontId="0" fillId="7" borderId="15" xfId="0" applyNumberFormat="1" applyFill="1" applyBorder="1" applyAlignment="1">
      <alignment horizontal="center"/>
    </xf>
    <xf numFmtId="0" fontId="0" fillId="7" borderId="1" xfId="0" applyFill="1" applyBorder="1" applyAlignment="1">
      <alignment horizontal="center"/>
    </xf>
    <xf numFmtId="0" fontId="0" fillId="7" borderId="22" xfId="0" applyFill="1" applyBorder="1" applyAlignment="1">
      <alignment horizontal="center"/>
    </xf>
    <xf numFmtId="0" fontId="1" fillId="0" borderId="0" xfId="0" applyFont="1" applyAlignment="1">
      <alignment horizontal="center"/>
    </xf>
    <xf numFmtId="0" fontId="1" fillId="19" borderId="3" xfId="0" applyFont="1" applyFill="1" applyBorder="1" applyAlignment="1">
      <alignment horizontal="center"/>
    </xf>
    <xf numFmtId="164" fontId="0" fillId="19" borderId="1" xfId="0" applyNumberFormat="1" applyFill="1" applyBorder="1" applyAlignment="1">
      <alignment horizontal="center"/>
    </xf>
    <xf numFmtId="0" fontId="17" fillId="2" borderId="0" xfId="0" applyFont="1" applyFill="1"/>
    <xf numFmtId="2" fontId="3" fillId="8" borderId="2" xfId="0" applyNumberFormat="1" applyFont="1" applyFill="1" applyBorder="1" applyAlignment="1">
      <alignment horizontal="center" vertical="center"/>
    </xf>
    <xf numFmtId="0" fontId="3" fillId="14" borderId="26" xfId="0" applyFont="1" applyFill="1" applyBorder="1" applyAlignment="1">
      <alignment horizontal="center" vertical="center"/>
    </xf>
    <xf numFmtId="0" fontId="3" fillId="14" borderId="3" xfId="0" applyFont="1" applyFill="1" applyBorder="1" applyAlignment="1">
      <alignment horizontal="center" vertical="center"/>
    </xf>
    <xf numFmtId="0" fontId="0" fillId="0" borderId="0" xfId="0" applyAlignment="1"/>
    <xf numFmtId="0" fontId="3" fillId="0" borderId="3" xfId="0" applyNumberFormat="1" applyFont="1" applyFill="1" applyBorder="1" applyAlignment="1">
      <alignment vertical="center"/>
    </xf>
    <xf numFmtId="2" fontId="3" fillId="0" borderId="15"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2" fontId="3" fillId="0" borderId="3" xfId="0" applyNumberFormat="1" applyFont="1" applyFill="1" applyBorder="1" applyAlignment="1">
      <alignment horizontal="center" vertical="center"/>
    </xf>
    <xf numFmtId="0" fontId="3" fillId="0" borderId="0" xfId="0" applyFont="1" applyFill="1"/>
    <xf numFmtId="0" fontId="3" fillId="0" borderId="21" xfId="0" applyFont="1" applyBorder="1" applyAlignment="1">
      <alignment vertical="center"/>
    </xf>
    <xf numFmtId="0" fontId="3" fillId="0" borderId="22" xfId="0" applyNumberFormat="1" applyFont="1" applyBorder="1" applyAlignment="1">
      <alignment horizontal="center" vertical="center"/>
    </xf>
    <xf numFmtId="0" fontId="3" fillId="14" borderId="34" xfId="0" applyNumberFormat="1" applyFont="1" applyFill="1" applyBorder="1" applyAlignment="1">
      <alignment vertical="center"/>
    </xf>
    <xf numFmtId="0" fontId="3" fillId="14" borderId="29" xfId="0" applyFont="1" applyFill="1" applyBorder="1" applyAlignment="1">
      <alignment vertical="center"/>
    </xf>
    <xf numFmtId="0" fontId="3" fillId="14" borderId="35" xfId="0" applyNumberFormat="1" applyFont="1" applyFill="1" applyBorder="1" applyAlignment="1">
      <alignment vertical="center"/>
    </xf>
    <xf numFmtId="0" fontId="3" fillId="14" borderId="24" xfId="0" applyFont="1" applyFill="1" applyBorder="1" applyAlignment="1">
      <alignment vertical="center"/>
    </xf>
    <xf numFmtId="0" fontId="3" fillId="14" borderId="36" xfId="0" applyNumberFormat="1" applyFont="1" applyFill="1" applyBorder="1" applyAlignment="1">
      <alignment vertical="center"/>
    </xf>
    <xf numFmtId="0" fontId="3" fillId="14" borderId="37" xfId="0" applyFont="1" applyFill="1" applyBorder="1" applyAlignment="1">
      <alignment vertical="center"/>
    </xf>
    <xf numFmtId="0" fontId="3" fillId="14" borderId="11" xfId="0" applyNumberFormat="1" applyFont="1" applyFill="1" applyBorder="1" applyAlignment="1">
      <alignment horizontal="center" vertical="center"/>
    </xf>
    <xf numFmtId="0" fontId="3" fillId="14" borderId="38" xfId="0" applyNumberFormat="1" applyFont="1" applyFill="1" applyBorder="1" applyAlignment="1">
      <alignment horizontal="center" vertical="center"/>
    </xf>
    <xf numFmtId="0" fontId="3" fillId="14" borderId="38" xfId="0" applyFont="1" applyFill="1" applyBorder="1" applyAlignment="1">
      <alignment horizontal="center" vertical="center"/>
    </xf>
    <xf numFmtId="0" fontId="3" fillId="14" borderId="33" xfId="0" applyFont="1" applyFill="1" applyBorder="1" applyAlignment="1">
      <alignment vertical="center"/>
    </xf>
    <xf numFmtId="0" fontId="3" fillId="0" borderId="11" xfId="0" applyNumberFormat="1" applyFont="1" applyBorder="1" applyAlignment="1">
      <alignment vertical="center"/>
    </xf>
    <xf numFmtId="0" fontId="0" fillId="0" borderId="0" xfId="0" applyAlignment="1">
      <alignment wrapText="1"/>
    </xf>
    <xf numFmtId="0" fontId="0" fillId="20" borderId="44" xfId="0" applyFont="1" applyFill="1" applyBorder="1" applyAlignment="1">
      <alignment horizontal="left" vertical="top" wrapText="1"/>
    </xf>
    <xf numFmtId="0" fontId="0" fillId="20" borderId="32" xfId="0" applyFont="1" applyFill="1" applyBorder="1" applyAlignment="1">
      <alignment horizontal="left" vertical="top" wrapText="1"/>
    </xf>
    <xf numFmtId="0" fontId="0" fillId="20" borderId="42" xfId="0" applyFont="1" applyFill="1" applyBorder="1" applyAlignment="1">
      <alignment horizontal="left" vertical="top" wrapText="1"/>
    </xf>
    <xf numFmtId="0" fontId="0" fillId="20" borderId="45" xfId="0" applyFont="1" applyFill="1" applyBorder="1" applyAlignment="1">
      <alignment horizontal="left" vertical="top" wrapText="1"/>
    </xf>
    <xf numFmtId="0" fontId="1" fillId="0" borderId="43"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42" xfId="0" applyFont="1" applyFill="1" applyBorder="1" applyAlignment="1">
      <alignment horizontal="center" vertical="center" wrapText="1"/>
    </xf>
    <xf numFmtId="0" fontId="1" fillId="0" borderId="45" xfId="0" applyFont="1" applyFill="1" applyBorder="1" applyAlignment="1">
      <alignment horizontal="center" vertical="center" wrapText="1"/>
    </xf>
    <xf numFmtId="0" fontId="3" fillId="9" borderId="8" xfId="0" applyFont="1" applyFill="1" applyBorder="1" applyAlignment="1">
      <alignment horizontal="center"/>
    </xf>
    <xf numFmtId="0" fontId="3" fillId="9" borderId="10" xfId="0" applyFont="1" applyFill="1" applyBorder="1" applyAlignment="1">
      <alignment horizontal="center"/>
    </xf>
    <xf numFmtId="0" fontId="3" fillId="9" borderId="18" xfId="0" applyFont="1" applyFill="1" applyBorder="1" applyAlignment="1">
      <alignment horizontal="center"/>
    </xf>
    <xf numFmtId="0" fontId="3" fillId="14" borderId="46" xfId="0" applyNumberFormat="1" applyFont="1" applyFill="1" applyBorder="1" applyAlignment="1">
      <alignment vertical="center"/>
    </xf>
    <xf numFmtId="0" fontId="3" fillId="14" borderId="25" xfId="0" applyNumberFormat="1" applyFont="1" applyFill="1" applyBorder="1" applyAlignment="1">
      <alignment vertical="center"/>
    </xf>
    <xf numFmtId="0" fontId="3" fillId="14" borderId="1" xfId="0" applyNumberFormat="1" applyFont="1" applyFill="1" applyBorder="1" applyAlignment="1">
      <alignment vertical="center"/>
    </xf>
    <xf numFmtId="0" fontId="18" fillId="9" borderId="12" xfId="0" applyFont="1" applyFill="1" applyBorder="1" applyAlignment="1">
      <alignment horizontal="left"/>
    </xf>
    <xf numFmtId="0" fontId="0" fillId="0" borderId="0" xfId="0" applyNumberFormat="1" applyFont="1"/>
    <xf numFmtId="0" fontId="14" fillId="0" borderId="0" xfId="0" applyFont="1"/>
    <xf numFmtId="0" fontId="3" fillId="14" borderId="46" xfId="0" applyNumberFormat="1" applyFont="1" applyFill="1" applyBorder="1" applyAlignment="1">
      <alignment horizontal="center" vertical="center"/>
    </xf>
    <xf numFmtId="2" fontId="3" fillId="14" borderId="46" xfId="0" applyNumberFormat="1" applyFont="1" applyFill="1" applyBorder="1" applyAlignment="1">
      <alignment horizontal="center" vertical="center"/>
    </xf>
    <xf numFmtId="2" fontId="3" fillId="14" borderId="1" xfId="0" applyNumberFormat="1" applyFont="1" applyFill="1" applyBorder="1" applyAlignment="1">
      <alignment horizontal="center" vertical="center"/>
    </xf>
    <xf numFmtId="0" fontId="7" fillId="13" borderId="7" xfId="0" applyFont="1" applyFill="1" applyBorder="1" applyAlignment="1">
      <alignment horizontal="center" vertical="center" wrapText="1"/>
    </xf>
    <xf numFmtId="0" fontId="7" fillId="13" borderId="6" xfId="0" applyFont="1" applyFill="1" applyBorder="1" applyAlignment="1">
      <alignment horizontal="center" vertical="center" wrapText="1"/>
    </xf>
    <xf numFmtId="0" fontId="7" fillId="13" borderId="5" xfId="0" applyFont="1" applyFill="1" applyBorder="1" applyAlignment="1">
      <alignment horizontal="center" vertical="center" wrapText="1"/>
    </xf>
    <xf numFmtId="14" fontId="3" fillId="0" borderId="9" xfId="0" applyNumberFormat="1" applyFont="1" applyBorder="1" applyAlignment="1">
      <alignment horizontal="center" vertical="center"/>
    </xf>
    <xf numFmtId="0" fontId="3" fillId="0" borderId="16"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7" xfId="0" applyFont="1" applyBorder="1" applyAlignment="1">
      <alignment horizontal="center" vertical="center"/>
    </xf>
    <xf numFmtId="14" fontId="3" fillId="0" borderId="11" xfId="0" applyNumberFormat="1" applyFont="1" applyBorder="1" applyAlignment="1">
      <alignment horizontal="center" vertical="center"/>
    </xf>
    <xf numFmtId="0" fontId="3" fillId="0" borderId="39" xfId="0" applyFont="1" applyBorder="1" applyAlignment="1">
      <alignment horizontal="center" vertical="center"/>
    </xf>
    <xf numFmtId="0" fontId="3" fillId="0" borderId="38" xfId="0" applyFont="1" applyBorder="1" applyAlignment="1">
      <alignment horizontal="left" vertical="center"/>
    </xf>
    <xf numFmtId="0" fontId="3" fillId="0" borderId="40" xfId="0" applyFont="1" applyBorder="1" applyAlignment="1">
      <alignment horizontal="left" vertical="center"/>
    </xf>
    <xf numFmtId="0" fontId="3" fillId="0" borderId="41" xfId="0" applyFont="1" applyBorder="1" applyAlignment="1">
      <alignment horizontal="left" vertical="center"/>
    </xf>
    <xf numFmtId="0" fontId="3" fillId="0" borderId="3" xfId="0" applyFont="1" applyBorder="1" applyAlignment="1">
      <alignment horizontal="left" vertical="center"/>
    </xf>
    <xf numFmtId="0" fontId="3" fillId="0" borderId="14" xfId="0" applyFont="1" applyBorder="1" applyAlignment="1">
      <alignment horizontal="left" vertical="center"/>
    </xf>
    <xf numFmtId="0" fontId="3" fillId="0" borderId="20"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3" fillId="0" borderId="28" xfId="0" applyFont="1" applyBorder="1" applyAlignment="1">
      <alignment horizontal="left" vertical="center"/>
    </xf>
    <xf numFmtId="0" fontId="7" fillId="12" borderId="7" xfId="0" applyFont="1" applyFill="1" applyBorder="1" applyAlignment="1">
      <alignment horizontal="left"/>
    </xf>
    <xf numFmtId="0" fontId="7" fillId="12" borderId="6" xfId="0" applyFont="1" applyFill="1" applyBorder="1" applyAlignment="1">
      <alignment horizontal="left"/>
    </xf>
    <xf numFmtId="164" fontId="7" fillId="12" borderId="7" xfId="0" applyNumberFormat="1" applyFont="1" applyFill="1" applyBorder="1" applyAlignment="1">
      <alignment horizontal="left"/>
    </xf>
    <xf numFmtId="164" fontId="7" fillId="12" borderId="6" xfId="0" applyNumberFormat="1" applyFont="1" applyFill="1" applyBorder="1" applyAlignment="1">
      <alignment horizontal="left"/>
    </xf>
    <xf numFmtId="0" fontId="1" fillId="0" borderId="19"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wrapText="1"/>
    </xf>
    <xf numFmtId="0" fontId="1" fillId="0" borderId="2" xfId="0" applyFont="1" applyBorder="1" applyAlignment="1">
      <alignment horizontal="center" vertical="center"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5" xfId="0" applyFont="1" applyBorder="1" applyAlignment="1">
      <alignment horizontal="center" vertical="center" wrapText="1"/>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164" fontId="7" fillId="12" borderId="5" xfId="0" applyNumberFormat="1" applyFont="1" applyFill="1" applyBorder="1" applyAlignment="1">
      <alignment horizontal="left" vertical="center"/>
    </xf>
    <xf numFmtId="0" fontId="16" fillId="18" borderId="0" xfId="0" applyFont="1" applyFill="1" applyBorder="1" applyAlignment="1">
      <alignment horizontal="center" vertical="center" wrapText="1"/>
    </xf>
  </cellXfs>
  <cellStyles count="8">
    <cellStyle name="Normal" xfId="0" builtinId="0"/>
    <cellStyle name="Normal 2" xfId="1" xr:uid="{00000000-0005-0000-0000-000001000000}"/>
    <cellStyle name="Normal 2 2" xfId="5" xr:uid="{00000000-0005-0000-0000-000002000000}"/>
    <cellStyle name="Normal 2 2 2" xfId="3" xr:uid="{00000000-0005-0000-0000-000003000000}"/>
    <cellStyle name="Normal 3" xfId="2" xr:uid="{00000000-0005-0000-0000-000004000000}"/>
    <cellStyle name="Normal 3 2" xfId="4" xr:uid="{00000000-0005-0000-0000-000005000000}"/>
    <cellStyle name="Normal 4" xfId="6" xr:uid="{00000000-0005-0000-0000-000006000000}"/>
    <cellStyle name="Percent" xfId="7" builtinId="5"/>
  </cellStyles>
  <dxfs count="4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auto="1"/>
        <name val="Calibri"/>
        <scheme val="minor"/>
      </font>
      <fill>
        <patternFill patternType="solid">
          <fgColor indexed="64"/>
          <bgColor theme="4" tint="0.59999389629810485"/>
        </patternFill>
      </fill>
      <alignment horizontal="center" vertical="center"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right style="thin">
          <color theme="1"/>
        </right>
        <top style="thin">
          <color theme="1"/>
        </top>
        <bottom style="thin">
          <color theme="1"/>
        </bottom>
      </border>
    </dxf>
    <dxf>
      <border outline="0">
        <left style="thin">
          <color theme="1"/>
        </left>
        <right style="thin">
          <color theme="1"/>
        </right>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outline="0">
        <left style="thin">
          <color theme="1"/>
        </left>
        <right style="thin">
          <color theme="1"/>
        </right>
        <top/>
        <bottom/>
      </border>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font>
        <strike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6"/>
        <color theme="1"/>
        <name val="Calibri"/>
        <scheme val="minor"/>
      </font>
      <numFmt numFmtId="165" formatCode="#,000"/>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numFmt numFmtId="2" formatCode="0.00"/>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Medium9"/>
  <colors>
    <mruColors>
      <color rgb="FF5F5F5F"/>
      <color rgb="FFBA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2.xml"/><Relationship Id="rId13" Type="http://schemas.openxmlformats.org/officeDocument/2006/relationships/chartsheet" Target="chartsheets/sheet4.xml"/><Relationship Id="rId18" Type="http://schemas.openxmlformats.org/officeDocument/2006/relationships/worksheet" Target="worksheets/sheet1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6.xml"/><Relationship Id="rId12" Type="http://schemas.openxmlformats.org/officeDocument/2006/relationships/worksheet" Target="worksheets/sheet9.xml"/><Relationship Id="rId17" Type="http://schemas.openxmlformats.org/officeDocument/2006/relationships/worksheet" Target="worksheets/sheet1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2.xml"/><Relationship Id="rId20" Type="http://schemas.openxmlformats.org/officeDocument/2006/relationships/pivotCacheDefinition" Target="pivotCache/pivotCacheDefinition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chartsheet" Target="chartsheets/sheet3.xml"/><Relationship Id="rId24" Type="http://schemas.openxmlformats.org/officeDocument/2006/relationships/theme" Target="theme/theme1.xml"/><Relationship Id="rId5" Type="http://schemas.openxmlformats.org/officeDocument/2006/relationships/chartsheet" Target="chartsheets/sheet1.xml"/><Relationship Id="rId15" Type="http://schemas.openxmlformats.org/officeDocument/2006/relationships/worksheet" Target="worksheets/sheet11.xml"/><Relationship Id="rId23" Type="http://schemas.openxmlformats.org/officeDocument/2006/relationships/pivotCacheDefinition" Target="pivotCache/pivotCacheDefinition4.xml"/><Relationship Id="rId28" Type="http://schemas.openxmlformats.org/officeDocument/2006/relationships/customXml" Target="../customXml/item1.xml"/><Relationship Id="rId10" Type="http://schemas.openxmlformats.org/officeDocument/2006/relationships/worksheet" Target="worksheets/sheet8.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7.xml"/><Relationship Id="rId14" Type="http://schemas.openxmlformats.org/officeDocument/2006/relationships/worksheet" Target="worksheets/sheet10.xml"/><Relationship Id="rId22" Type="http://schemas.openxmlformats.org/officeDocument/2006/relationships/pivotCacheDefinition" Target="pivotCache/pivotCacheDefinition3.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661954963560215E-2"/>
          <c:y val="0.14661966108751268"/>
          <c:w val="0.9002738512986157"/>
          <c:h val="0.63968468033016779"/>
        </c:manualLayout>
      </c:layout>
      <c:barChart>
        <c:barDir val="col"/>
        <c:grouping val="clustered"/>
        <c:varyColors val="0"/>
        <c:ser>
          <c:idx val="0"/>
          <c:order val="0"/>
          <c:tx>
            <c:v>R1</c:v>
          </c:tx>
          <c:spPr>
            <a:solidFill>
              <a:srgbClr val="00B050"/>
            </a:solidFill>
          </c:spPr>
          <c:invertIfNegative val="0"/>
          <c:dPt>
            <c:idx val="0"/>
            <c:invertIfNegative val="0"/>
            <c:bubble3D val="0"/>
            <c:spPr>
              <a:solidFill>
                <a:schemeClr val="tx1"/>
              </a:solidFill>
            </c:spPr>
            <c:extLst>
              <c:ext xmlns:c16="http://schemas.microsoft.com/office/drawing/2014/chart" uri="{C3380CC4-5D6E-409C-BE32-E72D297353CC}">
                <c16:uniqueId val="{00000001-7AAE-4A56-9849-73D6D6A5B3D1}"/>
              </c:ext>
            </c:extLst>
          </c:dPt>
          <c:dPt>
            <c:idx val="1"/>
            <c:invertIfNegative val="0"/>
            <c:bubble3D val="0"/>
            <c:spPr>
              <a:solidFill>
                <a:srgbClr val="FF0000"/>
              </a:solidFill>
            </c:spPr>
            <c:extLst>
              <c:ext xmlns:c16="http://schemas.microsoft.com/office/drawing/2014/chart" uri="{C3380CC4-5D6E-409C-BE32-E72D297353CC}">
                <c16:uniqueId val="{00000002-7AAE-4A56-9849-73D6D6A5B3D1}"/>
              </c:ext>
            </c:extLst>
          </c:dPt>
          <c:dPt>
            <c:idx val="2"/>
            <c:invertIfNegative val="0"/>
            <c:bubble3D val="0"/>
            <c:spPr>
              <a:solidFill>
                <a:srgbClr val="FF0000"/>
              </a:solidFill>
            </c:spPr>
            <c:extLst>
              <c:ext xmlns:c16="http://schemas.microsoft.com/office/drawing/2014/chart" uri="{C3380CC4-5D6E-409C-BE32-E72D297353CC}">
                <c16:uniqueId val="{00000003-7AAE-4A56-9849-73D6D6A5B3D1}"/>
              </c:ext>
            </c:extLst>
          </c:dPt>
          <c:dPt>
            <c:idx val="3"/>
            <c:invertIfNegative val="0"/>
            <c:bubble3D val="0"/>
            <c:spPr>
              <a:solidFill>
                <a:srgbClr val="FF0000"/>
              </a:solidFill>
            </c:spPr>
            <c:extLst>
              <c:ext xmlns:c16="http://schemas.microsoft.com/office/drawing/2014/chart" uri="{C3380CC4-5D6E-409C-BE32-E72D297353CC}">
                <c16:uniqueId val="{00000004-7AAE-4A56-9849-73D6D6A5B3D1}"/>
              </c:ext>
            </c:extLst>
          </c:dPt>
          <c:dPt>
            <c:idx val="4"/>
            <c:invertIfNegative val="0"/>
            <c:bubble3D val="0"/>
            <c:spPr>
              <a:solidFill>
                <a:srgbClr val="FF0000"/>
              </a:solidFill>
            </c:spPr>
            <c:extLst>
              <c:ext xmlns:c16="http://schemas.microsoft.com/office/drawing/2014/chart" uri="{C3380CC4-5D6E-409C-BE32-E72D297353CC}">
                <c16:uniqueId val="{00000005-7AAE-4A56-9849-73D6D6A5B3D1}"/>
              </c:ext>
            </c:extLst>
          </c:dPt>
          <c:dPt>
            <c:idx val="5"/>
            <c:invertIfNegative val="0"/>
            <c:bubble3D val="0"/>
            <c:spPr>
              <a:solidFill>
                <a:srgbClr val="FF0000"/>
              </a:solidFill>
            </c:spPr>
            <c:extLst>
              <c:ext xmlns:c16="http://schemas.microsoft.com/office/drawing/2014/chart" uri="{C3380CC4-5D6E-409C-BE32-E72D297353CC}">
                <c16:uniqueId val="{00000006-7AAE-4A56-9849-73D6D6A5B3D1}"/>
              </c:ext>
            </c:extLst>
          </c:dPt>
          <c:dPt>
            <c:idx val="6"/>
            <c:invertIfNegative val="0"/>
            <c:bubble3D val="0"/>
            <c:spPr>
              <a:solidFill>
                <a:srgbClr val="FF0000"/>
              </a:solidFill>
            </c:spPr>
            <c:extLst>
              <c:ext xmlns:c16="http://schemas.microsoft.com/office/drawing/2014/chart" uri="{C3380CC4-5D6E-409C-BE32-E72D297353CC}">
                <c16:uniqueId val="{00000007-7AAE-4A56-9849-73D6D6A5B3D1}"/>
              </c:ext>
            </c:extLst>
          </c:dPt>
          <c:dPt>
            <c:idx val="7"/>
            <c:invertIfNegative val="0"/>
            <c:bubble3D val="0"/>
            <c:spPr>
              <a:solidFill>
                <a:schemeClr val="bg1">
                  <a:lumMod val="65000"/>
                </a:schemeClr>
              </a:solidFill>
            </c:spPr>
            <c:extLst>
              <c:ext xmlns:c16="http://schemas.microsoft.com/office/drawing/2014/chart" uri="{C3380CC4-5D6E-409C-BE32-E72D297353CC}">
                <c16:uniqueId val="{00000008-7AAE-4A56-9849-73D6D6A5B3D1}"/>
              </c:ext>
            </c:extLst>
          </c:dPt>
          <c:dPt>
            <c:idx val="8"/>
            <c:invertIfNegative val="0"/>
            <c:bubble3D val="0"/>
            <c:spPr>
              <a:solidFill>
                <a:schemeClr val="bg1">
                  <a:lumMod val="65000"/>
                </a:schemeClr>
              </a:solidFill>
            </c:spPr>
            <c:extLst>
              <c:ext xmlns:c16="http://schemas.microsoft.com/office/drawing/2014/chart" uri="{C3380CC4-5D6E-409C-BE32-E72D297353CC}">
                <c16:uniqueId val="{0000000A-7AAE-4A56-9849-73D6D6A5B3D1}"/>
              </c:ext>
            </c:extLst>
          </c:dPt>
          <c:dPt>
            <c:idx val="9"/>
            <c:invertIfNegative val="0"/>
            <c:bubble3D val="0"/>
            <c:spPr>
              <a:solidFill>
                <a:schemeClr val="bg1">
                  <a:lumMod val="65000"/>
                </a:schemeClr>
              </a:solidFill>
            </c:spPr>
            <c:extLst>
              <c:ext xmlns:c16="http://schemas.microsoft.com/office/drawing/2014/chart" uri="{C3380CC4-5D6E-409C-BE32-E72D297353CC}">
                <c16:uniqueId val="{00000009-7AAE-4A56-9849-73D6D6A5B3D1}"/>
              </c:ext>
            </c:extLst>
          </c:dPt>
          <c:dPt>
            <c:idx val="10"/>
            <c:invertIfNegative val="0"/>
            <c:bubble3D val="0"/>
            <c:spPr>
              <a:solidFill>
                <a:schemeClr val="bg1">
                  <a:lumMod val="65000"/>
                </a:schemeClr>
              </a:solidFill>
            </c:spPr>
            <c:extLst>
              <c:ext xmlns:c16="http://schemas.microsoft.com/office/drawing/2014/chart" uri="{C3380CC4-5D6E-409C-BE32-E72D297353CC}">
                <c16:uniqueId val="{0000000B-7AAE-4A56-9849-73D6D6A5B3D1}"/>
              </c:ext>
            </c:extLst>
          </c:dPt>
          <c:dPt>
            <c:idx val="11"/>
            <c:invertIfNegative val="0"/>
            <c:bubble3D val="0"/>
            <c:spPr>
              <a:solidFill>
                <a:schemeClr val="bg1">
                  <a:lumMod val="65000"/>
                </a:schemeClr>
              </a:solidFill>
            </c:spPr>
            <c:extLst>
              <c:ext xmlns:c16="http://schemas.microsoft.com/office/drawing/2014/chart" uri="{C3380CC4-5D6E-409C-BE32-E72D297353CC}">
                <c16:uniqueId val="{0000000C-7AAE-4A56-9849-73D6D6A5B3D1}"/>
              </c:ext>
            </c:extLst>
          </c:dPt>
          <c:dPt>
            <c:idx val="14"/>
            <c:invertIfNegative val="0"/>
            <c:bubble3D val="0"/>
            <c:spPr>
              <a:solidFill>
                <a:srgbClr val="92D050"/>
              </a:solidFill>
            </c:spPr>
            <c:extLst>
              <c:ext xmlns:c16="http://schemas.microsoft.com/office/drawing/2014/chart" uri="{C3380CC4-5D6E-409C-BE32-E72D297353CC}">
                <c16:uniqueId val="{0000000D-7AAE-4A56-9849-73D6D6A5B3D1}"/>
              </c:ext>
            </c:extLst>
          </c:dPt>
          <c:dPt>
            <c:idx val="15"/>
            <c:invertIfNegative val="0"/>
            <c:bubble3D val="0"/>
            <c:spPr>
              <a:solidFill>
                <a:srgbClr val="92D050"/>
              </a:solidFill>
            </c:spPr>
            <c:extLst>
              <c:ext xmlns:c16="http://schemas.microsoft.com/office/drawing/2014/chart" uri="{C3380CC4-5D6E-409C-BE32-E72D297353CC}">
                <c16:uniqueId val="{0000000E-7AAE-4A56-9849-73D6D6A5B3D1}"/>
              </c:ext>
            </c:extLst>
          </c:dPt>
          <c:dPt>
            <c:idx val="16"/>
            <c:invertIfNegative val="0"/>
            <c:bubble3D val="0"/>
            <c:spPr>
              <a:solidFill>
                <a:schemeClr val="accent3">
                  <a:lumMod val="40000"/>
                  <a:lumOff val="60000"/>
                </a:schemeClr>
              </a:solidFill>
            </c:spPr>
            <c:extLst>
              <c:ext xmlns:c16="http://schemas.microsoft.com/office/drawing/2014/chart" uri="{C3380CC4-5D6E-409C-BE32-E72D297353CC}">
                <c16:uniqueId val="{0000000F-7AAE-4A56-9849-73D6D6A5B3D1}"/>
              </c:ext>
            </c:extLst>
          </c:dPt>
          <c:dPt>
            <c:idx val="17"/>
            <c:invertIfNegative val="0"/>
            <c:bubble3D val="0"/>
            <c:spPr>
              <a:solidFill>
                <a:schemeClr val="accent3">
                  <a:lumMod val="40000"/>
                  <a:lumOff val="60000"/>
                </a:schemeClr>
              </a:solidFill>
            </c:spPr>
            <c:extLst>
              <c:ext xmlns:c16="http://schemas.microsoft.com/office/drawing/2014/chart" uri="{C3380CC4-5D6E-409C-BE32-E72D297353CC}">
                <c16:uniqueId val="{00000010-7AAE-4A56-9849-73D6D6A5B3D1}"/>
              </c:ext>
            </c:extLst>
          </c:dPt>
          <c:dPt>
            <c:idx val="18"/>
            <c:invertIfNegative val="0"/>
            <c:bubble3D val="0"/>
            <c:spPr>
              <a:solidFill>
                <a:schemeClr val="accent3">
                  <a:lumMod val="40000"/>
                  <a:lumOff val="60000"/>
                </a:schemeClr>
              </a:solidFill>
            </c:spPr>
            <c:extLst>
              <c:ext xmlns:c16="http://schemas.microsoft.com/office/drawing/2014/chart" uri="{C3380CC4-5D6E-409C-BE32-E72D297353CC}">
                <c16:uniqueId val="{00000011-7AAE-4A56-9849-73D6D6A5B3D1}"/>
              </c:ext>
            </c:extLst>
          </c:dPt>
          <c:dPt>
            <c:idx val="19"/>
            <c:invertIfNegative val="0"/>
            <c:bubble3D val="0"/>
            <c:spPr>
              <a:solidFill>
                <a:schemeClr val="accent3">
                  <a:lumMod val="40000"/>
                  <a:lumOff val="60000"/>
                </a:schemeClr>
              </a:solidFill>
            </c:spPr>
            <c:extLst>
              <c:ext xmlns:c16="http://schemas.microsoft.com/office/drawing/2014/chart" uri="{C3380CC4-5D6E-409C-BE32-E72D297353CC}">
                <c16:uniqueId val="{00000012-7AAE-4A56-9849-73D6D6A5B3D1}"/>
              </c:ext>
            </c:extLst>
          </c:dPt>
          <c:dPt>
            <c:idx val="20"/>
            <c:invertIfNegative val="0"/>
            <c:bubble3D val="0"/>
            <c:spPr>
              <a:solidFill>
                <a:schemeClr val="accent3">
                  <a:lumMod val="40000"/>
                  <a:lumOff val="60000"/>
                </a:schemeClr>
              </a:solidFill>
            </c:spPr>
            <c:extLst>
              <c:ext xmlns:c16="http://schemas.microsoft.com/office/drawing/2014/chart" uri="{C3380CC4-5D6E-409C-BE32-E72D297353CC}">
                <c16:uniqueId val="{00000013-7AAE-4A56-9849-73D6D6A5B3D1}"/>
              </c:ext>
            </c:extLst>
          </c:dPt>
          <c:dLbls>
            <c:dLbl>
              <c:idx val="0"/>
              <c:tx>
                <c:rich>
                  <a:bodyPr/>
                  <a:lstStyle/>
                  <a:p>
                    <a:fld id="{0A0D471A-D30B-40C6-848E-D8443066D14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7AAE-4A56-9849-73D6D6A5B3D1}"/>
                </c:ext>
              </c:extLst>
            </c:dLbl>
            <c:dLbl>
              <c:idx val="1"/>
              <c:tx>
                <c:rich>
                  <a:bodyPr/>
                  <a:lstStyle/>
                  <a:p>
                    <a:fld id="{6A7C1E99-8EF3-4A98-989A-11D562C05B9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7AAE-4A56-9849-73D6D6A5B3D1}"/>
                </c:ext>
              </c:extLst>
            </c:dLbl>
            <c:dLbl>
              <c:idx val="2"/>
              <c:tx>
                <c:rich>
                  <a:bodyPr/>
                  <a:lstStyle/>
                  <a:p>
                    <a:fld id="{C27DBD46-4DF5-49D6-B052-1896EBC1966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AAE-4A56-9849-73D6D6A5B3D1}"/>
                </c:ext>
              </c:extLst>
            </c:dLbl>
            <c:dLbl>
              <c:idx val="3"/>
              <c:tx>
                <c:rich>
                  <a:bodyPr/>
                  <a:lstStyle/>
                  <a:p>
                    <a:fld id="{E30A9255-A6D8-4AC5-B2E9-8DA55B80D32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AAE-4A56-9849-73D6D6A5B3D1}"/>
                </c:ext>
              </c:extLst>
            </c:dLbl>
            <c:dLbl>
              <c:idx val="4"/>
              <c:tx>
                <c:rich>
                  <a:bodyPr/>
                  <a:lstStyle/>
                  <a:p>
                    <a:fld id="{30EE5D93-4960-403F-8CE3-4BEF6B977C7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AAE-4A56-9849-73D6D6A5B3D1}"/>
                </c:ext>
              </c:extLst>
            </c:dLbl>
            <c:dLbl>
              <c:idx val="5"/>
              <c:tx>
                <c:rich>
                  <a:bodyPr/>
                  <a:lstStyle/>
                  <a:p>
                    <a:fld id="{8A91D5E5-CAF0-43FD-B1A9-FFA289A8F87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7AAE-4A56-9849-73D6D6A5B3D1}"/>
                </c:ext>
              </c:extLst>
            </c:dLbl>
            <c:dLbl>
              <c:idx val="6"/>
              <c:tx>
                <c:rich>
                  <a:bodyPr/>
                  <a:lstStyle/>
                  <a:p>
                    <a:fld id="{4541E5EA-4E0F-4BCA-A744-17F26B9077B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7AAE-4A56-9849-73D6D6A5B3D1}"/>
                </c:ext>
              </c:extLst>
            </c:dLbl>
            <c:dLbl>
              <c:idx val="7"/>
              <c:tx>
                <c:rich>
                  <a:bodyPr/>
                  <a:lstStyle/>
                  <a:p>
                    <a:fld id="{24BE1CBE-E5D7-46F6-99BB-D884F0FD70E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7AAE-4A56-9849-73D6D6A5B3D1}"/>
                </c:ext>
              </c:extLst>
            </c:dLbl>
            <c:dLbl>
              <c:idx val="8"/>
              <c:tx>
                <c:rich>
                  <a:bodyPr/>
                  <a:lstStyle/>
                  <a:p>
                    <a:fld id="{860D9B72-9897-404F-A991-A4C41C0DB5B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7AAE-4A56-9849-73D6D6A5B3D1}"/>
                </c:ext>
              </c:extLst>
            </c:dLbl>
            <c:dLbl>
              <c:idx val="9"/>
              <c:tx>
                <c:rich>
                  <a:bodyPr/>
                  <a:lstStyle/>
                  <a:p>
                    <a:fld id="{23A0991E-B3DC-44E7-B359-335FD4D9C89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7AAE-4A56-9849-73D6D6A5B3D1}"/>
                </c:ext>
              </c:extLst>
            </c:dLbl>
            <c:dLbl>
              <c:idx val="10"/>
              <c:tx>
                <c:rich>
                  <a:bodyPr/>
                  <a:lstStyle/>
                  <a:p>
                    <a:fld id="{B9E54464-43EA-418F-872F-E8666310B99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7AAE-4A56-9849-73D6D6A5B3D1}"/>
                </c:ext>
              </c:extLst>
            </c:dLbl>
            <c:dLbl>
              <c:idx val="11"/>
              <c:tx>
                <c:rich>
                  <a:bodyPr/>
                  <a:lstStyle/>
                  <a:p>
                    <a:fld id="{1557F22A-DE5C-490F-AABD-85EAC564E50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7AAE-4A56-9849-73D6D6A5B3D1}"/>
                </c:ext>
              </c:extLst>
            </c:dLbl>
            <c:dLbl>
              <c:idx val="1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7AAE-4A56-9849-73D6D6A5B3D1}"/>
                </c:ext>
              </c:extLst>
            </c:dLbl>
            <c:dLbl>
              <c:idx val="13"/>
              <c:tx>
                <c:rich>
                  <a:bodyPr/>
                  <a:lstStyle/>
                  <a:p>
                    <a:fld id="{ADC15203-E591-4A06-A1DC-E8A4D9412DF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7AAE-4A56-9849-73D6D6A5B3D1}"/>
                </c:ext>
              </c:extLst>
            </c:dLbl>
            <c:dLbl>
              <c:idx val="14"/>
              <c:tx>
                <c:rich>
                  <a:bodyPr/>
                  <a:lstStyle/>
                  <a:p>
                    <a:fld id="{4E0D390C-447A-40E8-A277-6D8470AC0CB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7AAE-4A56-9849-73D6D6A5B3D1}"/>
                </c:ext>
              </c:extLst>
            </c:dLbl>
            <c:dLbl>
              <c:idx val="15"/>
              <c:tx>
                <c:rich>
                  <a:bodyPr/>
                  <a:lstStyle/>
                  <a:p>
                    <a:fld id="{58AA8A44-36DC-466C-B318-88B9B825B7F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7AAE-4A56-9849-73D6D6A5B3D1}"/>
                </c:ext>
              </c:extLst>
            </c:dLbl>
            <c:dLbl>
              <c:idx val="16"/>
              <c:tx>
                <c:rich>
                  <a:bodyPr/>
                  <a:lstStyle/>
                  <a:p>
                    <a:fld id="{C7ABE15B-FFD0-4968-BE60-CE68D377861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7AAE-4A56-9849-73D6D6A5B3D1}"/>
                </c:ext>
              </c:extLst>
            </c:dLbl>
            <c:dLbl>
              <c:idx val="17"/>
              <c:tx>
                <c:rich>
                  <a:bodyPr/>
                  <a:lstStyle/>
                  <a:p>
                    <a:fld id="{20DB8642-FD49-4F87-BAD1-F4BCBB41420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7AAE-4A56-9849-73D6D6A5B3D1}"/>
                </c:ext>
              </c:extLst>
            </c:dLbl>
            <c:dLbl>
              <c:idx val="18"/>
              <c:tx>
                <c:rich>
                  <a:bodyPr/>
                  <a:lstStyle/>
                  <a:p>
                    <a:fld id="{6F5C010E-1769-4F2C-B599-4ED7230FE8A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7AAE-4A56-9849-73D6D6A5B3D1}"/>
                </c:ext>
              </c:extLst>
            </c:dLbl>
            <c:dLbl>
              <c:idx val="19"/>
              <c:tx>
                <c:rich>
                  <a:bodyPr/>
                  <a:lstStyle/>
                  <a:p>
                    <a:fld id="{1FA31D99-CBE3-4EBF-B180-DCE329B0502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7AAE-4A56-9849-73D6D6A5B3D1}"/>
                </c:ext>
              </c:extLst>
            </c:dLbl>
            <c:dLbl>
              <c:idx val="20"/>
              <c:tx>
                <c:rich>
                  <a:bodyPr/>
                  <a:lstStyle/>
                  <a:p>
                    <a:fld id="{563719B6-2DD8-42C8-873D-9938223A3D8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7AAE-4A56-9849-73D6D6A5B3D1}"/>
                </c:ext>
              </c:extLst>
            </c:dLbl>
            <c:spPr>
              <a:noFill/>
              <a:ln>
                <a:noFill/>
              </a:ln>
              <a:effectLst/>
            </c:sp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plus"/>
            <c:errValType val="cust"/>
            <c:noEndCap val="0"/>
            <c:plus>
              <c:numRef>
                <c:f>'R1'!$B$54:$V$54</c:f>
                <c:numCache>
                  <c:formatCode>General</c:formatCode>
                  <c:ptCount val="21"/>
                  <c:pt idx="0">
                    <c:v>3.0421082234999824E-2</c:v>
                  </c:pt>
                  <c:pt idx="1">
                    <c:v>1.8563727644351907E-2</c:v>
                  </c:pt>
                  <c:pt idx="2">
                    <c:v>2.9974986869585999E-2</c:v>
                  </c:pt>
                  <c:pt idx="3">
                    <c:v>4.080575574178727E-2</c:v>
                  </c:pt>
                  <c:pt idx="4">
                    <c:v>0.1451486932141626</c:v>
                  </c:pt>
                  <c:pt idx="5">
                    <c:v>0.12313473924413275</c:v>
                  </c:pt>
                  <c:pt idx="6">
                    <c:v>0.24389306288163437</c:v>
                  </c:pt>
                  <c:pt idx="7">
                    <c:v>1.7937671149189975E-2</c:v>
                  </c:pt>
                  <c:pt idx="8">
                    <c:v>3.1723704585837405E-2</c:v>
                  </c:pt>
                  <c:pt idx="9">
                    <c:v>7.5418595163039795E-2</c:v>
                  </c:pt>
                  <c:pt idx="10">
                    <c:v>0.16328938997048686</c:v>
                  </c:pt>
                  <c:pt idx="11">
                    <c:v>0.339034036818603</c:v>
                  </c:pt>
                  <c:pt idx="13">
                    <c:v>9.1978834037640317E-2</c:v>
                  </c:pt>
                  <c:pt idx="14">
                    <c:v>0.2508364278953405</c:v>
                  </c:pt>
                  <c:pt idx="15">
                    <c:v>1.2588604705715585E-2</c:v>
                  </c:pt>
                  <c:pt idx="16">
                    <c:v>9.4216897032318614E-2</c:v>
                  </c:pt>
                  <c:pt idx="17">
                    <c:v>0.28902781013072071</c:v>
                  </c:pt>
                  <c:pt idx="18">
                    <c:v>0.13126944133963719</c:v>
                  </c:pt>
                  <c:pt idx="19">
                    <c:v>0.23367959809576525</c:v>
                  </c:pt>
                  <c:pt idx="20">
                    <c:v>0.25618728152300801</c:v>
                  </c:pt>
                </c:numCache>
              </c:numRef>
            </c:plus>
            <c:minus>
              <c:numRef>
                <c:f>'R1'!$N$48:$V$48</c:f>
                <c:numCache>
                  <c:formatCode>General</c:formatCode>
                  <c:ptCount val="9"/>
                  <c:pt idx="0">
                    <c:v>0</c:v>
                  </c:pt>
                  <c:pt idx="1">
                    <c:v>9.1978834037640317E-2</c:v>
                  </c:pt>
                  <c:pt idx="2">
                    <c:v>0.2508364278953405</c:v>
                  </c:pt>
                  <c:pt idx="3">
                    <c:v>1.2588604705715585E-2</c:v>
                  </c:pt>
                  <c:pt idx="4">
                    <c:v>9.4216897032318614E-2</c:v>
                  </c:pt>
                  <c:pt idx="5">
                    <c:v>0.28902781013072071</c:v>
                  </c:pt>
                  <c:pt idx="6">
                    <c:v>0.13126944133963719</c:v>
                  </c:pt>
                  <c:pt idx="7">
                    <c:v>0.23367959809576525</c:v>
                  </c:pt>
                  <c:pt idx="8">
                    <c:v>0.25618728152300801</c:v>
                  </c:pt>
                </c:numCache>
              </c:numRef>
            </c:minus>
          </c:errBars>
          <c:cat>
            <c:strRef>
              <c:f>'R1'!$B$52:$V$52</c:f>
              <c:strCache>
                <c:ptCount val="21"/>
                <c:pt idx="0">
                  <c:v>Témoin solvant</c:v>
                </c:pt>
                <c:pt idx="1">
                  <c:v>EE2-33.8ng/L</c:v>
                </c:pt>
                <c:pt idx="2">
                  <c:v>EE2-50.6ng/L</c:v>
                </c:pt>
                <c:pt idx="3">
                  <c:v>EE2-76ng/L</c:v>
                </c:pt>
                <c:pt idx="4">
                  <c:v>EE2-114ng/L</c:v>
                </c:pt>
                <c:pt idx="5">
                  <c:v>EE2-170.9ng/L</c:v>
                </c:pt>
                <c:pt idx="6">
                  <c:v>EE2-488ng/L</c:v>
                </c:pt>
                <c:pt idx="7">
                  <c:v>estradiol 34ng/L</c:v>
                </c:pt>
                <c:pt idx="8">
                  <c:v>estradiol 68ng/L</c:v>
                </c:pt>
                <c:pt idx="9">
                  <c:v>estradiol 135ng/L</c:v>
                </c:pt>
                <c:pt idx="10">
                  <c:v>estradiol 270ng/L</c:v>
                </c:pt>
                <c:pt idx="11">
                  <c:v>estradiol 540ng/L</c:v>
                </c:pt>
                <c:pt idx="13">
                  <c:v>Testo -30µg/L</c:v>
                </c:pt>
                <c:pt idx="14">
                  <c:v>Testo 30µg/L + EE2 -64ng/L</c:v>
                </c:pt>
                <c:pt idx="15">
                  <c:v>Testo 30µg/L + FAD-10µg/L</c:v>
                </c:pt>
                <c:pt idx="16">
                  <c:v>estradiol-34ng/L + Testosterone</c:v>
                </c:pt>
                <c:pt idx="17">
                  <c:v>estradiol-68ng/L + Testosterone</c:v>
                </c:pt>
                <c:pt idx="18">
                  <c:v>estradiol-135ng/L + Testosterone</c:v>
                </c:pt>
                <c:pt idx="19">
                  <c:v>estradiol-270ng/L + Testosterone</c:v>
                </c:pt>
                <c:pt idx="20">
                  <c:v>estradiol-540ng/L + Testosterone</c:v>
                </c:pt>
              </c:strCache>
            </c:strRef>
          </c:cat>
          <c:val>
            <c:numRef>
              <c:f>'R1'!$B$53:$V$53</c:f>
              <c:numCache>
                <c:formatCode>0.0000</c:formatCode>
                <c:ptCount val="21"/>
                <c:pt idx="0">
                  <c:v>9.1547375191493433E-2</c:v>
                </c:pt>
                <c:pt idx="1">
                  <c:v>6.2847471469069244E-2</c:v>
                </c:pt>
                <c:pt idx="2">
                  <c:v>9.0732160880972232E-2</c:v>
                </c:pt>
                <c:pt idx="3">
                  <c:v>0.15926512741582724</c:v>
                </c:pt>
                <c:pt idx="4">
                  <c:v>0.56551460544079091</c:v>
                </c:pt>
                <c:pt idx="5">
                  <c:v>1.2741069286382392</c:v>
                </c:pt>
                <c:pt idx="6">
                  <c:v>2.5516524451388718</c:v>
                </c:pt>
                <c:pt idx="7">
                  <c:v>6.703431063945206E-2</c:v>
                </c:pt>
                <c:pt idx="8">
                  <c:v>5.6960631485291749E-2</c:v>
                </c:pt>
                <c:pt idx="9">
                  <c:v>0.37381302972281316</c:v>
                </c:pt>
                <c:pt idx="10">
                  <c:v>1.8456840537509238</c:v>
                </c:pt>
                <c:pt idx="11">
                  <c:v>2.137080225794183</c:v>
                </c:pt>
                <c:pt idx="13">
                  <c:v>1.0000000000000002</c:v>
                </c:pt>
                <c:pt idx="14">
                  <c:v>1.4604109160412675</c:v>
                </c:pt>
                <c:pt idx="15">
                  <c:v>7.4819259789555781E-2</c:v>
                </c:pt>
                <c:pt idx="16">
                  <c:v>1.199160311675048</c:v>
                </c:pt>
                <c:pt idx="17">
                  <c:v>1.1502129899395137</c:v>
                </c:pt>
                <c:pt idx="18">
                  <c:v>1.9453024665185106</c:v>
                </c:pt>
                <c:pt idx="19">
                  <c:v>2.1708472138083628</c:v>
                </c:pt>
                <c:pt idx="20">
                  <c:v>2.3230487375796929</c:v>
                </c:pt>
              </c:numCache>
            </c:numRef>
          </c:val>
          <c:extLst>
            <c:ext xmlns:c15="http://schemas.microsoft.com/office/drawing/2012/chart" uri="{02D57815-91ED-43cb-92C2-25804820EDAC}">
              <c15:datalabelsRange>
                <c15:f>'R1'!$B$61:$V$61</c15:f>
                <c15:dlblRangeCache>
                  <c:ptCount val="21"/>
                  <c:pt idx="1">
                    <c:v>NS</c:v>
                  </c:pt>
                  <c:pt idx="2">
                    <c:v>NS</c:v>
                  </c:pt>
                  <c:pt idx="3">
                    <c:v>NS</c:v>
                  </c:pt>
                  <c:pt idx="4">
                    <c:v>NS</c:v>
                  </c:pt>
                  <c:pt idx="5">
                    <c:v>**</c:v>
                  </c:pt>
                  <c:pt idx="6">
                    <c:v>***</c:v>
                  </c:pt>
                  <c:pt idx="7">
                    <c:v>NS</c:v>
                  </c:pt>
                  <c:pt idx="8">
                    <c:v>NS</c:v>
                  </c:pt>
                  <c:pt idx="9">
                    <c:v>NS</c:v>
                  </c:pt>
                  <c:pt idx="10">
                    <c:v>**</c:v>
                  </c:pt>
                  <c:pt idx="11">
                    <c:v>***</c:v>
                  </c:pt>
                  <c:pt idx="13">
                    <c:v>***</c:v>
                  </c:pt>
                  <c:pt idx="14">
                    <c:v>NS</c:v>
                  </c:pt>
                  <c:pt idx="15">
                    <c:v>***</c:v>
                  </c:pt>
                  <c:pt idx="16">
                    <c:v>NS</c:v>
                  </c:pt>
                  <c:pt idx="17">
                    <c:v>NS</c:v>
                  </c:pt>
                  <c:pt idx="18">
                    <c:v>***</c:v>
                  </c:pt>
                  <c:pt idx="19">
                    <c:v>***</c:v>
                  </c:pt>
                  <c:pt idx="20">
                    <c:v>***</c:v>
                  </c:pt>
                </c15:dlblRangeCache>
              </c15:datalabelsRange>
            </c:ext>
            <c:ext xmlns:c16="http://schemas.microsoft.com/office/drawing/2014/chart" uri="{C3380CC4-5D6E-409C-BE32-E72D297353CC}">
              <c16:uniqueId val="{00000000-4E48-433F-93CE-959A7E8575BB}"/>
            </c:ext>
          </c:extLst>
        </c:ser>
        <c:dLbls>
          <c:showLegendKey val="0"/>
          <c:showVal val="1"/>
          <c:showCatName val="0"/>
          <c:showSerName val="0"/>
          <c:showPercent val="0"/>
          <c:showBubbleSize val="0"/>
        </c:dLbls>
        <c:gapWidth val="150"/>
        <c:axId val="324817512"/>
        <c:axId val="324817904"/>
      </c:barChart>
      <c:catAx>
        <c:axId val="324817512"/>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324817904"/>
        <c:crosses val="autoZero"/>
        <c:auto val="1"/>
        <c:lblAlgn val="ctr"/>
        <c:lblOffset val="100"/>
        <c:noMultiLvlLbl val="0"/>
      </c:catAx>
      <c:valAx>
        <c:axId val="324817904"/>
        <c:scaling>
          <c:orientation val="minMax"/>
          <c:max val="3.9"/>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324817512"/>
        <c:crosses val="autoZero"/>
        <c:crossBetween val="between"/>
        <c:majorUnit val="0.2"/>
        <c:minorUnit val="0.1"/>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0"/>
            <c:invertIfNegative val="0"/>
            <c:bubble3D val="0"/>
            <c:spPr>
              <a:solidFill>
                <a:schemeClr val="tx1"/>
              </a:solidFill>
            </c:spPr>
            <c:extLst>
              <c:ext xmlns:c16="http://schemas.microsoft.com/office/drawing/2014/chart" uri="{C3380CC4-5D6E-409C-BE32-E72D297353CC}">
                <c16:uniqueId val="{00000017-FA8E-4CC9-A457-8917BCEBE0B8}"/>
              </c:ext>
            </c:extLst>
          </c:dPt>
          <c:dPt>
            <c:idx val="1"/>
            <c:invertIfNegative val="0"/>
            <c:bubble3D val="0"/>
            <c:spPr>
              <a:solidFill>
                <a:srgbClr val="FF0000"/>
              </a:solidFill>
            </c:spPr>
            <c:extLst>
              <c:ext xmlns:c16="http://schemas.microsoft.com/office/drawing/2014/chart" uri="{C3380CC4-5D6E-409C-BE32-E72D297353CC}">
                <c16:uniqueId val="{00000018-FA8E-4CC9-A457-8917BCEBE0B8}"/>
              </c:ext>
            </c:extLst>
          </c:dPt>
          <c:dPt>
            <c:idx val="2"/>
            <c:invertIfNegative val="0"/>
            <c:bubble3D val="0"/>
            <c:spPr>
              <a:solidFill>
                <a:srgbClr val="FF0000"/>
              </a:solidFill>
            </c:spPr>
            <c:extLst>
              <c:ext xmlns:c16="http://schemas.microsoft.com/office/drawing/2014/chart" uri="{C3380CC4-5D6E-409C-BE32-E72D297353CC}">
                <c16:uniqueId val="{00000019-FA8E-4CC9-A457-8917BCEBE0B8}"/>
              </c:ext>
            </c:extLst>
          </c:dPt>
          <c:dPt>
            <c:idx val="3"/>
            <c:invertIfNegative val="0"/>
            <c:bubble3D val="0"/>
            <c:spPr>
              <a:solidFill>
                <a:srgbClr val="FF0000"/>
              </a:solidFill>
            </c:spPr>
            <c:extLst>
              <c:ext xmlns:c16="http://schemas.microsoft.com/office/drawing/2014/chart" uri="{C3380CC4-5D6E-409C-BE32-E72D297353CC}">
                <c16:uniqueId val="{0000001A-FA8E-4CC9-A457-8917BCEBE0B8}"/>
              </c:ext>
            </c:extLst>
          </c:dPt>
          <c:dPt>
            <c:idx val="4"/>
            <c:invertIfNegative val="0"/>
            <c:bubble3D val="0"/>
            <c:spPr>
              <a:solidFill>
                <a:srgbClr val="FF0000"/>
              </a:solidFill>
            </c:spPr>
            <c:extLst>
              <c:ext xmlns:c16="http://schemas.microsoft.com/office/drawing/2014/chart" uri="{C3380CC4-5D6E-409C-BE32-E72D297353CC}">
                <c16:uniqueId val="{0000001B-FA8E-4CC9-A457-8917BCEBE0B8}"/>
              </c:ext>
            </c:extLst>
          </c:dPt>
          <c:dPt>
            <c:idx val="5"/>
            <c:invertIfNegative val="0"/>
            <c:bubble3D val="0"/>
            <c:spPr>
              <a:solidFill>
                <a:srgbClr val="FF0000"/>
              </a:solidFill>
            </c:spPr>
            <c:extLst>
              <c:ext xmlns:c16="http://schemas.microsoft.com/office/drawing/2014/chart" uri="{C3380CC4-5D6E-409C-BE32-E72D297353CC}">
                <c16:uniqueId val="{0000001C-FA8E-4CC9-A457-8917BCEBE0B8}"/>
              </c:ext>
            </c:extLst>
          </c:dPt>
          <c:dPt>
            <c:idx val="6"/>
            <c:invertIfNegative val="0"/>
            <c:bubble3D val="0"/>
            <c:spPr>
              <a:solidFill>
                <a:srgbClr val="FF0000"/>
              </a:solidFill>
            </c:spPr>
            <c:extLst>
              <c:ext xmlns:c16="http://schemas.microsoft.com/office/drawing/2014/chart" uri="{C3380CC4-5D6E-409C-BE32-E72D297353CC}">
                <c16:uniqueId val="{0000001D-FA8E-4CC9-A457-8917BCEBE0B8}"/>
              </c:ext>
            </c:extLst>
          </c:dPt>
          <c:dPt>
            <c:idx val="7"/>
            <c:invertIfNegative val="0"/>
            <c:bubble3D val="0"/>
            <c:spPr>
              <a:solidFill>
                <a:schemeClr val="bg1">
                  <a:lumMod val="65000"/>
                </a:schemeClr>
              </a:solidFill>
            </c:spPr>
            <c:extLst>
              <c:ext xmlns:c16="http://schemas.microsoft.com/office/drawing/2014/chart" uri="{C3380CC4-5D6E-409C-BE32-E72D297353CC}">
                <c16:uniqueId val="{0000001E-FA8E-4CC9-A457-8917BCEBE0B8}"/>
              </c:ext>
            </c:extLst>
          </c:dPt>
          <c:dPt>
            <c:idx val="8"/>
            <c:invertIfNegative val="0"/>
            <c:bubble3D val="0"/>
            <c:spPr>
              <a:solidFill>
                <a:schemeClr val="bg1">
                  <a:lumMod val="65000"/>
                </a:schemeClr>
              </a:solidFill>
            </c:spPr>
            <c:extLst>
              <c:ext xmlns:c16="http://schemas.microsoft.com/office/drawing/2014/chart" uri="{C3380CC4-5D6E-409C-BE32-E72D297353CC}">
                <c16:uniqueId val="{0000001F-FA8E-4CC9-A457-8917BCEBE0B8}"/>
              </c:ext>
            </c:extLst>
          </c:dPt>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0"/>
            <c:invertIfNegative val="0"/>
            <c:bubble3D val="0"/>
            <c:spPr>
              <a:solidFill>
                <a:schemeClr val="bg1">
                  <a:lumMod val="65000"/>
                </a:schemeClr>
              </a:solidFill>
            </c:spPr>
            <c:extLst>
              <c:ext xmlns:c16="http://schemas.microsoft.com/office/drawing/2014/chart" uri="{C3380CC4-5D6E-409C-BE32-E72D297353CC}">
                <c16:uniqueId val="{00000020-FA8E-4CC9-A457-8917BCEBE0B8}"/>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rgbClr val="00B050"/>
              </a:solidFill>
            </c:spPr>
            <c:extLst>
              <c:ext xmlns:c16="http://schemas.microsoft.com/office/drawing/2014/chart" uri="{C3380CC4-5D6E-409C-BE32-E72D297353CC}">
                <c16:uniqueId val="{00000005-EED2-4ACE-91AA-7F8713196E92}"/>
              </c:ext>
            </c:extLst>
          </c:dPt>
          <c:dPt>
            <c:idx val="14"/>
            <c:invertIfNegative val="0"/>
            <c:bubble3D val="0"/>
            <c:spPr>
              <a:solidFill>
                <a:srgbClr val="92D050"/>
              </a:solidFill>
            </c:spPr>
            <c:extLst>
              <c:ext xmlns:c16="http://schemas.microsoft.com/office/drawing/2014/chart" uri="{C3380CC4-5D6E-409C-BE32-E72D297353CC}">
                <c16:uniqueId val="{00000021-FA8E-4CC9-A457-8917BCEBE0B8}"/>
              </c:ext>
            </c:extLst>
          </c:dPt>
          <c:dPt>
            <c:idx val="15"/>
            <c:invertIfNegative val="0"/>
            <c:bubble3D val="0"/>
            <c:spPr>
              <a:solidFill>
                <a:srgbClr val="92D050"/>
              </a:solidFill>
            </c:spPr>
            <c:extLst>
              <c:ext xmlns:c16="http://schemas.microsoft.com/office/drawing/2014/chart" uri="{C3380CC4-5D6E-409C-BE32-E72D297353CC}">
                <c16:uniqueId val="{00000007-EED2-4ACE-91AA-7F8713196E92}"/>
              </c:ext>
            </c:extLst>
          </c:dPt>
          <c:dPt>
            <c:idx val="16"/>
            <c:invertIfNegative val="0"/>
            <c:bubble3D val="0"/>
            <c:spPr>
              <a:solidFill>
                <a:schemeClr val="accent3">
                  <a:lumMod val="40000"/>
                  <a:lumOff val="60000"/>
                </a:schemeClr>
              </a:solidFill>
            </c:spPr>
            <c:extLst>
              <c:ext xmlns:c16="http://schemas.microsoft.com/office/drawing/2014/chart" uri="{C3380CC4-5D6E-409C-BE32-E72D297353CC}">
                <c16:uniqueId val="{00000022-FA8E-4CC9-A457-8917BCEBE0B8}"/>
              </c:ext>
            </c:extLst>
          </c:dPt>
          <c:dPt>
            <c:idx val="17"/>
            <c:invertIfNegative val="0"/>
            <c:bubble3D val="0"/>
            <c:spPr>
              <a:solidFill>
                <a:schemeClr val="accent3">
                  <a:lumMod val="40000"/>
                  <a:lumOff val="60000"/>
                </a:schemeClr>
              </a:solidFill>
            </c:spPr>
            <c:extLst>
              <c:ext xmlns:c16="http://schemas.microsoft.com/office/drawing/2014/chart" uri="{C3380CC4-5D6E-409C-BE32-E72D297353CC}">
                <c16:uniqueId val="{00000023-FA8E-4CC9-A457-8917BCEBE0B8}"/>
              </c:ext>
            </c:extLst>
          </c:dPt>
          <c:dPt>
            <c:idx val="18"/>
            <c:invertIfNegative val="0"/>
            <c:bubble3D val="0"/>
            <c:spPr>
              <a:solidFill>
                <a:schemeClr val="accent3">
                  <a:lumMod val="40000"/>
                  <a:lumOff val="60000"/>
                </a:schemeClr>
              </a:solidFill>
            </c:spPr>
            <c:extLst>
              <c:ext xmlns:c16="http://schemas.microsoft.com/office/drawing/2014/chart" uri="{C3380CC4-5D6E-409C-BE32-E72D297353CC}">
                <c16:uniqueId val="{00000024-FA8E-4CC9-A457-8917BCEBE0B8}"/>
              </c:ext>
            </c:extLst>
          </c:dPt>
          <c:dPt>
            <c:idx val="19"/>
            <c:invertIfNegative val="0"/>
            <c:bubble3D val="0"/>
            <c:spPr>
              <a:solidFill>
                <a:schemeClr val="accent3">
                  <a:lumMod val="40000"/>
                  <a:lumOff val="60000"/>
                </a:schemeClr>
              </a:solidFill>
            </c:spPr>
            <c:extLst>
              <c:ext xmlns:c16="http://schemas.microsoft.com/office/drawing/2014/chart" uri="{C3380CC4-5D6E-409C-BE32-E72D297353CC}">
                <c16:uniqueId val="{00000025-FA8E-4CC9-A457-8917BCEBE0B8}"/>
              </c:ext>
            </c:extLst>
          </c:dPt>
          <c:dPt>
            <c:idx val="20"/>
            <c:invertIfNegative val="0"/>
            <c:bubble3D val="0"/>
            <c:spPr>
              <a:solidFill>
                <a:schemeClr val="accent3">
                  <a:lumMod val="40000"/>
                  <a:lumOff val="60000"/>
                </a:schemeClr>
              </a:solidFill>
            </c:spPr>
            <c:extLst>
              <c:ext xmlns:c16="http://schemas.microsoft.com/office/drawing/2014/chart" uri="{C3380CC4-5D6E-409C-BE32-E72D297353CC}">
                <c16:uniqueId val="{00000026-FA8E-4CC9-A457-8917BCEBE0B8}"/>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dLbls>
            <c:dLbl>
              <c:idx val="0"/>
              <c:tx>
                <c:rich>
                  <a:bodyPr/>
                  <a:lstStyle/>
                  <a:p>
                    <a:fld id="{CB08A969-5A9F-44D9-A44B-73FEE500F9A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FA8E-4CC9-A457-8917BCEBE0B8}"/>
                </c:ext>
              </c:extLst>
            </c:dLbl>
            <c:dLbl>
              <c:idx val="1"/>
              <c:tx>
                <c:rich>
                  <a:bodyPr/>
                  <a:lstStyle/>
                  <a:p>
                    <a:fld id="{03D34116-98CA-4555-B176-50E3DAEB9C8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FA8E-4CC9-A457-8917BCEBE0B8}"/>
                </c:ext>
              </c:extLst>
            </c:dLbl>
            <c:dLbl>
              <c:idx val="2"/>
              <c:tx>
                <c:rich>
                  <a:bodyPr/>
                  <a:lstStyle/>
                  <a:p>
                    <a:fld id="{50009F74-58EA-4966-8F7A-9837E2AD483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FA8E-4CC9-A457-8917BCEBE0B8}"/>
                </c:ext>
              </c:extLst>
            </c:dLbl>
            <c:dLbl>
              <c:idx val="3"/>
              <c:tx>
                <c:rich>
                  <a:bodyPr/>
                  <a:lstStyle/>
                  <a:p>
                    <a:fld id="{D14E499E-2CCA-4DC0-9604-20307C3BD30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FA8E-4CC9-A457-8917BCEBE0B8}"/>
                </c:ext>
              </c:extLst>
            </c:dLbl>
            <c:dLbl>
              <c:idx val="4"/>
              <c:tx>
                <c:rich>
                  <a:bodyPr/>
                  <a:lstStyle/>
                  <a:p>
                    <a:fld id="{81072219-C370-4B1C-8E85-855B22B7D14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FA8E-4CC9-A457-8917BCEBE0B8}"/>
                </c:ext>
              </c:extLst>
            </c:dLbl>
            <c:dLbl>
              <c:idx val="5"/>
              <c:tx>
                <c:rich>
                  <a:bodyPr/>
                  <a:lstStyle/>
                  <a:p>
                    <a:fld id="{1F7E6291-62E2-4D44-8086-58C8EC94980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FA8E-4CC9-A457-8917BCEBE0B8}"/>
                </c:ext>
              </c:extLst>
            </c:dLbl>
            <c:dLbl>
              <c:idx val="6"/>
              <c:tx>
                <c:rich>
                  <a:bodyPr/>
                  <a:lstStyle/>
                  <a:p>
                    <a:fld id="{0AA6D210-ABF4-44E6-BA49-CE8AC4C34C9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FA8E-4CC9-A457-8917BCEBE0B8}"/>
                </c:ext>
              </c:extLst>
            </c:dLbl>
            <c:dLbl>
              <c:idx val="7"/>
              <c:tx>
                <c:rich>
                  <a:bodyPr/>
                  <a:lstStyle/>
                  <a:p>
                    <a:fld id="{E1DA893F-3CEE-41BA-B91A-F3FE1548CD1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FA8E-4CC9-A457-8917BCEBE0B8}"/>
                </c:ext>
              </c:extLst>
            </c:dLbl>
            <c:dLbl>
              <c:idx val="8"/>
              <c:tx>
                <c:rich>
                  <a:bodyPr/>
                  <a:lstStyle/>
                  <a:p>
                    <a:fld id="{88D510E8-39A1-4127-A617-CF2EDB5E86A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FA8E-4CC9-A457-8917BCEBE0B8}"/>
                </c:ext>
              </c:extLst>
            </c:dLbl>
            <c:dLbl>
              <c:idx val="9"/>
              <c:tx>
                <c:rich>
                  <a:bodyPr/>
                  <a:lstStyle/>
                  <a:p>
                    <a:fld id="{57880BFB-1429-47B5-82E8-EF8E7A3C9C1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ED2-4ACE-91AA-7F8713196E92}"/>
                </c:ext>
              </c:extLst>
            </c:dLbl>
            <c:dLbl>
              <c:idx val="10"/>
              <c:tx>
                <c:rich>
                  <a:bodyPr/>
                  <a:lstStyle/>
                  <a:p>
                    <a:fld id="{834DD73F-5AFA-4CA1-A6EF-6D42AFBA311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FA8E-4CC9-A457-8917BCEBE0B8}"/>
                </c:ext>
              </c:extLst>
            </c:dLbl>
            <c:dLbl>
              <c:idx val="11"/>
              <c:tx>
                <c:rich>
                  <a:bodyPr/>
                  <a:lstStyle/>
                  <a:p>
                    <a:fld id="{E2222FA6-629B-45F9-AF37-2B64A91AE9F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ED2-4ACE-91AA-7F8713196E92}"/>
                </c:ext>
              </c:extLst>
            </c:dLbl>
            <c:dLbl>
              <c:idx val="1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FA8E-4CC9-A457-8917BCEBE0B8}"/>
                </c:ext>
              </c:extLst>
            </c:dLbl>
            <c:dLbl>
              <c:idx val="13"/>
              <c:tx>
                <c:rich>
                  <a:bodyPr/>
                  <a:lstStyle/>
                  <a:p>
                    <a:fld id="{5763798A-CA75-48CE-A072-4F179952969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ED2-4ACE-91AA-7F8713196E92}"/>
                </c:ext>
              </c:extLst>
            </c:dLbl>
            <c:dLbl>
              <c:idx val="14"/>
              <c:tx>
                <c:rich>
                  <a:bodyPr/>
                  <a:lstStyle/>
                  <a:p>
                    <a:fld id="{88DDDCDF-0EE7-4191-BFA5-A7D4D7D2CAB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FA8E-4CC9-A457-8917BCEBE0B8}"/>
                </c:ext>
              </c:extLst>
            </c:dLbl>
            <c:dLbl>
              <c:idx val="15"/>
              <c:tx>
                <c:rich>
                  <a:bodyPr/>
                  <a:lstStyle/>
                  <a:p>
                    <a:fld id="{1C8E2AE7-D989-40B5-9A93-FB359BFDAE8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ED2-4ACE-91AA-7F8713196E92}"/>
                </c:ext>
              </c:extLst>
            </c:dLbl>
            <c:dLbl>
              <c:idx val="16"/>
              <c:tx>
                <c:rich>
                  <a:bodyPr/>
                  <a:lstStyle/>
                  <a:p>
                    <a:fld id="{447D8C04-CFF7-43A7-8069-65DCC3EFB20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FA8E-4CC9-A457-8917BCEBE0B8}"/>
                </c:ext>
              </c:extLst>
            </c:dLbl>
            <c:dLbl>
              <c:idx val="17"/>
              <c:tx>
                <c:rich>
                  <a:bodyPr/>
                  <a:lstStyle/>
                  <a:p>
                    <a:fld id="{045F771B-70E4-4EB6-A4FE-DF217E2781C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FA8E-4CC9-A457-8917BCEBE0B8}"/>
                </c:ext>
              </c:extLst>
            </c:dLbl>
            <c:dLbl>
              <c:idx val="18"/>
              <c:tx>
                <c:rich>
                  <a:bodyPr/>
                  <a:lstStyle/>
                  <a:p>
                    <a:fld id="{AEA23FA4-5BDF-4729-80D9-D5A3D73D980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FA8E-4CC9-A457-8917BCEBE0B8}"/>
                </c:ext>
              </c:extLst>
            </c:dLbl>
            <c:dLbl>
              <c:idx val="19"/>
              <c:tx>
                <c:rich>
                  <a:bodyPr/>
                  <a:lstStyle/>
                  <a:p>
                    <a:fld id="{B4FDDAD7-1DB7-44AF-B5DF-744AE6716BB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FA8E-4CC9-A457-8917BCEBE0B8}"/>
                </c:ext>
              </c:extLst>
            </c:dLbl>
            <c:dLbl>
              <c:idx val="20"/>
              <c:tx>
                <c:rich>
                  <a:bodyPr/>
                  <a:lstStyle/>
                  <a:p>
                    <a:fld id="{4898E380-C802-4B19-B7A8-3DBD4494D0D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FA8E-4CC9-A457-8917BCEBE0B8}"/>
                </c:ext>
              </c:extLst>
            </c:dLbl>
            <c:spPr>
              <a:noFill/>
              <a:ln>
                <a:noFill/>
              </a:ln>
              <a:effectLst/>
            </c:sp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plus"/>
            <c:errValType val="cust"/>
            <c:noEndCap val="0"/>
            <c:plus>
              <c:numRef>
                <c:f>'R2'!$B$54:$V$54</c:f>
                <c:numCache>
                  <c:formatCode>General</c:formatCode>
                  <c:ptCount val="21"/>
                  <c:pt idx="0">
                    <c:v>3.9163557213295314E-2</c:v>
                  </c:pt>
                  <c:pt idx="1">
                    <c:v>2.6103397823390523E-2</c:v>
                  </c:pt>
                  <c:pt idx="2">
                    <c:v>9.9651493343737765E-3</c:v>
                  </c:pt>
                  <c:pt idx="3">
                    <c:v>5.8893412409131762E-2</c:v>
                  </c:pt>
                  <c:pt idx="4">
                    <c:v>0.10711806299623497</c:v>
                  </c:pt>
                  <c:pt idx="5">
                    <c:v>8.2146701597214003E-2</c:v>
                  </c:pt>
                  <c:pt idx="6">
                    <c:v>0.26463401181301921</c:v>
                  </c:pt>
                  <c:pt idx="7">
                    <c:v>2.9046845953649439E-2</c:v>
                  </c:pt>
                  <c:pt idx="8">
                    <c:v>4.2732068812232613E-2</c:v>
                  </c:pt>
                  <c:pt idx="9">
                    <c:v>0.15201594928264658</c:v>
                  </c:pt>
                  <c:pt idx="10">
                    <c:v>0.19068529793382896</c:v>
                  </c:pt>
                  <c:pt idx="11">
                    <c:v>0.18533846892126707</c:v>
                  </c:pt>
                  <c:pt idx="13">
                    <c:v>0.14900274373678496</c:v>
                  </c:pt>
                  <c:pt idx="14">
                    <c:v>0.17938980322297615</c:v>
                  </c:pt>
                  <c:pt idx="15">
                    <c:v>2.7289894067181318E-2</c:v>
                  </c:pt>
                  <c:pt idx="16">
                    <c:v>0.21589443680212142</c:v>
                  </c:pt>
                  <c:pt idx="17">
                    <c:v>0.13626600726792956</c:v>
                  </c:pt>
                  <c:pt idx="18">
                    <c:v>0.264372233830793</c:v>
                  </c:pt>
                  <c:pt idx="19">
                    <c:v>0.29272907785801439</c:v>
                  </c:pt>
                  <c:pt idx="20">
                    <c:v>0.21637138200416794</c:v>
                  </c:pt>
                </c:numCache>
              </c:numRef>
            </c:plus>
            <c:minus>
              <c:numRef>
                <c:f>'R1'!$N$48:$V$48</c:f>
                <c:numCache>
                  <c:formatCode>General</c:formatCode>
                  <c:ptCount val="9"/>
                  <c:pt idx="0">
                    <c:v>0</c:v>
                  </c:pt>
                  <c:pt idx="1">
                    <c:v>9.1978834037640317E-2</c:v>
                  </c:pt>
                  <c:pt idx="2">
                    <c:v>0.2508364278953405</c:v>
                  </c:pt>
                  <c:pt idx="3">
                    <c:v>1.2588604705715585E-2</c:v>
                  </c:pt>
                  <c:pt idx="4">
                    <c:v>9.4216897032318614E-2</c:v>
                  </c:pt>
                  <c:pt idx="5">
                    <c:v>0.28902781013072071</c:v>
                  </c:pt>
                  <c:pt idx="6">
                    <c:v>0.13126944133963719</c:v>
                  </c:pt>
                  <c:pt idx="7">
                    <c:v>0.23367959809576525</c:v>
                  </c:pt>
                  <c:pt idx="8">
                    <c:v>0.25618728152300801</c:v>
                  </c:pt>
                </c:numCache>
              </c:numRef>
            </c:minus>
          </c:errBars>
          <c:cat>
            <c:strRef>
              <c:f>'R2'!$B$52:$V$52</c:f>
              <c:strCache>
                <c:ptCount val="21"/>
                <c:pt idx="0">
                  <c:v>Témoin solvant</c:v>
                </c:pt>
                <c:pt idx="1">
                  <c:v>EE2-33.8ng/L</c:v>
                </c:pt>
                <c:pt idx="2">
                  <c:v>EE2-50.6ng/L</c:v>
                </c:pt>
                <c:pt idx="3">
                  <c:v>EE2-76ng/L</c:v>
                </c:pt>
                <c:pt idx="4">
                  <c:v>EE2-114ng/L</c:v>
                </c:pt>
                <c:pt idx="5">
                  <c:v>EE2-170.9ng/L</c:v>
                </c:pt>
                <c:pt idx="6">
                  <c:v>EE2-488ng/L</c:v>
                </c:pt>
                <c:pt idx="7">
                  <c:v>estradiol 34ng/L</c:v>
                </c:pt>
                <c:pt idx="8">
                  <c:v>estradiol 68ng/L</c:v>
                </c:pt>
                <c:pt idx="9">
                  <c:v>estradiol 135ng/L</c:v>
                </c:pt>
                <c:pt idx="10">
                  <c:v>estradiol 270ng/L</c:v>
                </c:pt>
                <c:pt idx="11">
                  <c:v>estradiol 540ng/L</c:v>
                </c:pt>
                <c:pt idx="13">
                  <c:v>Testo -30µg/L</c:v>
                </c:pt>
                <c:pt idx="14">
                  <c:v>Testo 30µg/L + EE2 -64ng/L</c:v>
                </c:pt>
                <c:pt idx="15">
                  <c:v>Testo 30µg/L + FAD-10µg/L</c:v>
                </c:pt>
                <c:pt idx="16">
                  <c:v>estradiol-34ng/L + Testosterone</c:v>
                </c:pt>
                <c:pt idx="17">
                  <c:v>estradiol-68ng/L + Testosterone</c:v>
                </c:pt>
                <c:pt idx="18">
                  <c:v>estradiol-135ng/L + Testosterone</c:v>
                </c:pt>
                <c:pt idx="19">
                  <c:v>estradiol-270ng/L + Testosterone</c:v>
                </c:pt>
                <c:pt idx="20">
                  <c:v>estradiol-540ng/L + Testosterone</c:v>
                </c:pt>
              </c:strCache>
            </c:strRef>
          </c:cat>
          <c:val>
            <c:numRef>
              <c:f>'R2'!$B$53:$V$53</c:f>
              <c:numCache>
                <c:formatCode>0.0000</c:formatCode>
                <c:ptCount val="21"/>
                <c:pt idx="0">
                  <c:v>7.1367690019317295E-2</c:v>
                </c:pt>
                <c:pt idx="1">
                  <c:v>0.12230114626887062</c:v>
                </c:pt>
                <c:pt idx="2">
                  <c:v>8.1917729969239086E-2</c:v>
                </c:pt>
                <c:pt idx="3">
                  <c:v>0.25529956699009781</c:v>
                </c:pt>
                <c:pt idx="4">
                  <c:v>0.60853822795188273</c:v>
                </c:pt>
                <c:pt idx="5">
                  <c:v>1.4821239989227684</c:v>
                </c:pt>
                <c:pt idx="6">
                  <c:v>2.2611839238689031</c:v>
                </c:pt>
                <c:pt idx="7">
                  <c:v>0.13989932634514446</c:v>
                </c:pt>
                <c:pt idx="8">
                  <c:v>0.17410982168673844</c:v>
                </c:pt>
                <c:pt idx="9">
                  <c:v>0.44354383745939108</c:v>
                </c:pt>
                <c:pt idx="10">
                  <c:v>1.8731621100716001</c:v>
                </c:pt>
                <c:pt idx="11">
                  <c:v>2.5536663859092861</c:v>
                </c:pt>
                <c:pt idx="13">
                  <c:v>1.0000000000000002</c:v>
                </c:pt>
                <c:pt idx="14">
                  <c:v>1.9062135902576038</c:v>
                </c:pt>
                <c:pt idx="15">
                  <c:v>8.182977473370967E-2</c:v>
                </c:pt>
                <c:pt idx="16">
                  <c:v>1.3934321057440178</c:v>
                </c:pt>
                <c:pt idx="17">
                  <c:v>1.8251209517008973</c:v>
                </c:pt>
                <c:pt idx="18">
                  <c:v>1.8501498812098698</c:v>
                </c:pt>
                <c:pt idx="19">
                  <c:v>2.296166977009924</c:v>
                </c:pt>
                <c:pt idx="20">
                  <c:v>2.023962042826037</c:v>
                </c:pt>
              </c:numCache>
            </c:numRef>
          </c:val>
          <c:extLst>
            <c:ext xmlns:c15="http://schemas.microsoft.com/office/drawing/2012/chart" uri="{02D57815-91ED-43cb-92C2-25804820EDAC}">
              <c15:datalabelsRange>
                <c15:f>'R2'!$B$61:$V$61</c15:f>
                <c15:dlblRangeCache>
                  <c:ptCount val="21"/>
                  <c:pt idx="1">
                    <c:v>NS</c:v>
                  </c:pt>
                  <c:pt idx="2">
                    <c:v>NS</c:v>
                  </c:pt>
                  <c:pt idx="3">
                    <c:v>NS</c:v>
                  </c:pt>
                  <c:pt idx="4">
                    <c:v>*</c:v>
                  </c:pt>
                  <c:pt idx="5">
                    <c:v>***</c:v>
                  </c:pt>
                  <c:pt idx="6">
                    <c:v>***</c:v>
                  </c:pt>
                  <c:pt idx="7">
                    <c:v>NS</c:v>
                  </c:pt>
                  <c:pt idx="8">
                    <c:v>NS</c:v>
                  </c:pt>
                  <c:pt idx="9">
                    <c:v>NS</c:v>
                  </c:pt>
                  <c:pt idx="10">
                    <c:v>***</c:v>
                  </c:pt>
                  <c:pt idx="11">
                    <c:v>***</c:v>
                  </c:pt>
                  <c:pt idx="13">
                    <c:v>***</c:v>
                  </c:pt>
                  <c:pt idx="14">
                    <c:v>**</c:v>
                  </c:pt>
                  <c:pt idx="15">
                    <c:v>***</c:v>
                  </c:pt>
                  <c:pt idx="16">
                    <c:v>NS</c:v>
                  </c:pt>
                  <c:pt idx="17">
                    <c:v>NS</c:v>
                  </c:pt>
                  <c:pt idx="18">
                    <c:v>**</c:v>
                  </c:pt>
                  <c:pt idx="19">
                    <c:v>***</c:v>
                  </c:pt>
                  <c:pt idx="20">
                    <c:v>*</c:v>
                  </c:pt>
                </c15:dlblRangeCache>
              </c15:datalabelsRange>
            </c:ext>
            <c:ext xmlns:c16="http://schemas.microsoft.com/office/drawing/2014/chart" uri="{C3380CC4-5D6E-409C-BE32-E72D297353CC}">
              <c16:uniqueId val="{00000016-EED2-4ACE-91AA-7F8713196E92}"/>
            </c:ext>
          </c:extLst>
        </c:ser>
        <c:dLbls>
          <c:showLegendKey val="0"/>
          <c:showVal val="1"/>
          <c:showCatName val="0"/>
          <c:showSerName val="0"/>
          <c:showPercent val="0"/>
          <c:showBubbleSize val="0"/>
        </c:dLbls>
        <c:gapWidth val="150"/>
        <c:axId val="324818296"/>
        <c:axId val="324818688"/>
      </c:barChart>
      <c:catAx>
        <c:axId val="324818296"/>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324818688"/>
        <c:crosses val="autoZero"/>
        <c:auto val="1"/>
        <c:lblAlgn val="ctr"/>
        <c:lblOffset val="100"/>
        <c:noMultiLvlLbl val="0"/>
      </c:catAx>
      <c:valAx>
        <c:axId val="324818688"/>
        <c:scaling>
          <c:orientation val="minMax"/>
          <c:max val="3.9"/>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324818296"/>
        <c:crosses val="autoZero"/>
        <c:crossBetween val="between"/>
        <c:majorUnit val="0.2"/>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0"/>
            <c:invertIfNegative val="0"/>
            <c:bubble3D val="0"/>
            <c:spPr>
              <a:solidFill>
                <a:schemeClr val="tx1"/>
              </a:solidFill>
            </c:spPr>
            <c:extLst>
              <c:ext xmlns:c16="http://schemas.microsoft.com/office/drawing/2014/chart" uri="{C3380CC4-5D6E-409C-BE32-E72D297353CC}">
                <c16:uniqueId val="{00000017-3663-471F-BC09-04F642F41C8F}"/>
              </c:ext>
            </c:extLst>
          </c:dPt>
          <c:dPt>
            <c:idx val="1"/>
            <c:invertIfNegative val="0"/>
            <c:bubble3D val="0"/>
            <c:spPr>
              <a:solidFill>
                <a:srgbClr val="FF0000"/>
              </a:solidFill>
            </c:spPr>
            <c:extLst>
              <c:ext xmlns:c16="http://schemas.microsoft.com/office/drawing/2014/chart" uri="{C3380CC4-5D6E-409C-BE32-E72D297353CC}">
                <c16:uniqueId val="{00000018-3663-471F-BC09-04F642F41C8F}"/>
              </c:ext>
            </c:extLst>
          </c:dPt>
          <c:dPt>
            <c:idx val="2"/>
            <c:invertIfNegative val="0"/>
            <c:bubble3D val="0"/>
            <c:spPr>
              <a:solidFill>
                <a:srgbClr val="FF0000"/>
              </a:solidFill>
            </c:spPr>
            <c:extLst>
              <c:ext xmlns:c16="http://schemas.microsoft.com/office/drawing/2014/chart" uri="{C3380CC4-5D6E-409C-BE32-E72D297353CC}">
                <c16:uniqueId val="{00000019-3663-471F-BC09-04F642F41C8F}"/>
              </c:ext>
            </c:extLst>
          </c:dPt>
          <c:dPt>
            <c:idx val="3"/>
            <c:invertIfNegative val="0"/>
            <c:bubble3D val="0"/>
            <c:spPr>
              <a:solidFill>
                <a:srgbClr val="FF0000"/>
              </a:solidFill>
            </c:spPr>
            <c:extLst>
              <c:ext xmlns:c16="http://schemas.microsoft.com/office/drawing/2014/chart" uri="{C3380CC4-5D6E-409C-BE32-E72D297353CC}">
                <c16:uniqueId val="{0000001A-3663-471F-BC09-04F642F41C8F}"/>
              </c:ext>
            </c:extLst>
          </c:dPt>
          <c:dPt>
            <c:idx val="4"/>
            <c:invertIfNegative val="0"/>
            <c:bubble3D val="0"/>
            <c:spPr>
              <a:solidFill>
                <a:srgbClr val="FF0000"/>
              </a:solidFill>
            </c:spPr>
            <c:extLst>
              <c:ext xmlns:c16="http://schemas.microsoft.com/office/drawing/2014/chart" uri="{C3380CC4-5D6E-409C-BE32-E72D297353CC}">
                <c16:uniqueId val="{0000001B-3663-471F-BC09-04F642F41C8F}"/>
              </c:ext>
            </c:extLst>
          </c:dPt>
          <c:dPt>
            <c:idx val="5"/>
            <c:invertIfNegative val="0"/>
            <c:bubble3D val="0"/>
            <c:spPr>
              <a:solidFill>
                <a:srgbClr val="FF0000"/>
              </a:solidFill>
            </c:spPr>
            <c:extLst>
              <c:ext xmlns:c16="http://schemas.microsoft.com/office/drawing/2014/chart" uri="{C3380CC4-5D6E-409C-BE32-E72D297353CC}">
                <c16:uniqueId val="{0000001C-3663-471F-BC09-04F642F41C8F}"/>
              </c:ext>
            </c:extLst>
          </c:dPt>
          <c:dPt>
            <c:idx val="6"/>
            <c:invertIfNegative val="0"/>
            <c:bubble3D val="0"/>
            <c:spPr>
              <a:solidFill>
                <a:srgbClr val="FF0000"/>
              </a:solidFill>
            </c:spPr>
            <c:extLst>
              <c:ext xmlns:c16="http://schemas.microsoft.com/office/drawing/2014/chart" uri="{C3380CC4-5D6E-409C-BE32-E72D297353CC}">
                <c16:uniqueId val="{0000001D-3663-471F-BC09-04F642F41C8F}"/>
              </c:ext>
            </c:extLst>
          </c:dPt>
          <c:dPt>
            <c:idx val="7"/>
            <c:invertIfNegative val="0"/>
            <c:bubble3D val="0"/>
            <c:spPr>
              <a:solidFill>
                <a:schemeClr val="bg1">
                  <a:lumMod val="65000"/>
                </a:schemeClr>
              </a:solidFill>
            </c:spPr>
            <c:extLst>
              <c:ext xmlns:c16="http://schemas.microsoft.com/office/drawing/2014/chart" uri="{C3380CC4-5D6E-409C-BE32-E72D297353CC}">
                <c16:uniqueId val="{0000001E-3663-471F-BC09-04F642F41C8F}"/>
              </c:ext>
            </c:extLst>
          </c:dPt>
          <c:dPt>
            <c:idx val="8"/>
            <c:invertIfNegative val="0"/>
            <c:bubble3D val="0"/>
            <c:spPr>
              <a:solidFill>
                <a:schemeClr val="bg1">
                  <a:lumMod val="65000"/>
                </a:schemeClr>
              </a:solidFill>
            </c:spPr>
            <c:extLst>
              <c:ext xmlns:c16="http://schemas.microsoft.com/office/drawing/2014/chart" uri="{C3380CC4-5D6E-409C-BE32-E72D297353CC}">
                <c16:uniqueId val="{0000001F-3663-471F-BC09-04F642F41C8F}"/>
              </c:ext>
            </c:extLst>
          </c:dPt>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0"/>
            <c:invertIfNegative val="0"/>
            <c:bubble3D val="0"/>
            <c:spPr>
              <a:solidFill>
                <a:schemeClr val="bg1">
                  <a:lumMod val="65000"/>
                </a:schemeClr>
              </a:solidFill>
            </c:spPr>
            <c:extLst>
              <c:ext xmlns:c16="http://schemas.microsoft.com/office/drawing/2014/chart" uri="{C3380CC4-5D6E-409C-BE32-E72D297353CC}">
                <c16:uniqueId val="{00000020-3663-471F-BC09-04F642F41C8F}"/>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rgbClr val="00B050"/>
              </a:solidFill>
            </c:spPr>
            <c:extLst>
              <c:ext xmlns:c16="http://schemas.microsoft.com/office/drawing/2014/chart" uri="{C3380CC4-5D6E-409C-BE32-E72D297353CC}">
                <c16:uniqueId val="{00000005-EED2-4ACE-91AA-7F8713196E92}"/>
              </c:ext>
            </c:extLst>
          </c:dPt>
          <c:dPt>
            <c:idx val="14"/>
            <c:invertIfNegative val="0"/>
            <c:bubble3D val="0"/>
            <c:spPr>
              <a:solidFill>
                <a:srgbClr val="92D050"/>
              </a:solidFill>
            </c:spPr>
            <c:extLst>
              <c:ext xmlns:c16="http://schemas.microsoft.com/office/drawing/2014/chart" uri="{C3380CC4-5D6E-409C-BE32-E72D297353CC}">
                <c16:uniqueId val="{00000021-3663-471F-BC09-04F642F41C8F}"/>
              </c:ext>
            </c:extLst>
          </c:dPt>
          <c:dPt>
            <c:idx val="15"/>
            <c:invertIfNegative val="0"/>
            <c:bubble3D val="0"/>
            <c:spPr>
              <a:solidFill>
                <a:srgbClr val="92D050"/>
              </a:solidFill>
            </c:spPr>
            <c:extLst>
              <c:ext xmlns:c16="http://schemas.microsoft.com/office/drawing/2014/chart" uri="{C3380CC4-5D6E-409C-BE32-E72D297353CC}">
                <c16:uniqueId val="{00000007-EED2-4ACE-91AA-7F8713196E92}"/>
              </c:ext>
            </c:extLst>
          </c:dPt>
          <c:dPt>
            <c:idx val="16"/>
            <c:invertIfNegative val="0"/>
            <c:bubble3D val="0"/>
            <c:spPr>
              <a:solidFill>
                <a:schemeClr val="accent3">
                  <a:lumMod val="40000"/>
                  <a:lumOff val="60000"/>
                </a:schemeClr>
              </a:solidFill>
            </c:spPr>
            <c:extLst>
              <c:ext xmlns:c16="http://schemas.microsoft.com/office/drawing/2014/chart" uri="{C3380CC4-5D6E-409C-BE32-E72D297353CC}">
                <c16:uniqueId val="{00000022-3663-471F-BC09-04F642F41C8F}"/>
              </c:ext>
            </c:extLst>
          </c:dPt>
          <c:dPt>
            <c:idx val="17"/>
            <c:invertIfNegative val="0"/>
            <c:bubble3D val="0"/>
            <c:spPr>
              <a:solidFill>
                <a:schemeClr val="accent3">
                  <a:lumMod val="40000"/>
                  <a:lumOff val="60000"/>
                </a:schemeClr>
              </a:solidFill>
            </c:spPr>
            <c:extLst>
              <c:ext xmlns:c16="http://schemas.microsoft.com/office/drawing/2014/chart" uri="{C3380CC4-5D6E-409C-BE32-E72D297353CC}">
                <c16:uniqueId val="{00000023-3663-471F-BC09-04F642F41C8F}"/>
              </c:ext>
            </c:extLst>
          </c:dPt>
          <c:dPt>
            <c:idx val="18"/>
            <c:invertIfNegative val="0"/>
            <c:bubble3D val="0"/>
            <c:spPr>
              <a:solidFill>
                <a:schemeClr val="accent3">
                  <a:lumMod val="40000"/>
                  <a:lumOff val="60000"/>
                </a:schemeClr>
              </a:solidFill>
            </c:spPr>
            <c:extLst>
              <c:ext xmlns:c16="http://schemas.microsoft.com/office/drawing/2014/chart" uri="{C3380CC4-5D6E-409C-BE32-E72D297353CC}">
                <c16:uniqueId val="{00000024-3663-471F-BC09-04F642F41C8F}"/>
              </c:ext>
            </c:extLst>
          </c:dPt>
          <c:dPt>
            <c:idx val="19"/>
            <c:invertIfNegative val="0"/>
            <c:bubble3D val="0"/>
            <c:spPr>
              <a:solidFill>
                <a:schemeClr val="accent3">
                  <a:lumMod val="40000"/>
                  <a:lumOff val="60000"/>
                </a:schemeClr>
              </a:solidFill>
            </c:spPr>
            <c:extLst>
              <c:ext xmlns:c16="http://schemas.microsoft.com/office/drawing/2014/chart" uri="{C3380CC4-5D6E-409C-BE32-E72D297353CC}">
                <c16:uniqueId val="{00000025-3663-471F-BC09-04F642F41C8F}"/>
              </c:ext>
            </c:extLst>
          </c:dPt>
          <c:dPt>
            <c:idx val="20"/>
            <c:invertIfNegative val="0"/>
            <c:bubble3D val="0"/>
            <c:spPr>
              <a:solidFill>
                <a:schemeClr val="accent3">
                  <a:lumMod val="40000"/>
                  <a:lumOff val="60000"/>
                </a:schemeClr>
              </a:solidFill>
            </c:spPr>
            <c:extLst>
              <c:ext xmlns:c16="http://schemas.microsoft.com/office/drawing/2014/chart" uri="{C3380CC4-5D6E-409C-BE32-E72D297353CC}">
                <c16:uniqueId val="{00000026-3663-471F-BC09-04F642F41C8F}"/>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dLbls>
            <c:dLbl>
              <c:idx val="0"/>
              <c:tx>
                <c:rich>
                  <a:bodyPr/>
                  <a:lstStyle/>
                  <a:p>
                    <a:fld id="{8CFE4997-2F64-4D7A-8774-1C0C0D923B2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3663-471F-BC09-04F642F41C8F}"/>
                </c:ext>
              </c:extLst>
            </c:dLbl>
            <c:dLbl>
              <c:idx val="1"/>
              <c:tx>
                <c:rich>
                  <a:bodyPr/>
                  <a:lstStyle/>
                  <a:p>
                    <a:fld id="{559AA03B-8FA5-4EE0-A8EB-1567B2F6C9F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3663-471F-BC09-04F642F41C8F}"/>
                </c:ext>
              </c:extLst>
            </c:dLbl>
            <c:dLbl>
              <c:idx val="2"/>
              <c:tx>
                <c:rich>
                  <a:bodyPr/>
                  <a:lstStyle/>
                  <a:p>
                    <a:fld id="{8499EDCB-6ACB-463E-AECA-8E36E45EA68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3663-471F-BC09-04F642F41C8F}"/>
                </c:ext>
              </c:extLst>
            </c:dLbl>
            <c:dLbl>
              <c:idx val="3"/>
              <c:tx>
                <c:rich>
                  <a:bodyPr/>
                  <a:lstStyle/>
                  <a:p>
                    <a:fld id="{A60BAA18-0CEE-461A-859A-C97FC40B6CD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3663-471F-BC09-04F642F41C8F}"/>
                </c:ext>
              </c:extLst>
            </c:dLbl>
            <c:dLbl>
              <c:idx val="4"/>
              <c:tx>
                <c:rich>
                  <a:bodyPr/>
                  <a:lstStyle/>
                  <a:p>
                    <a:fld id="{32EA6B7B-9B11-4DB8-84CF-5C4A75EC59B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3663-471F-BC09-04F642F41C8F}"/>
                </c:ext>
              </c:extLst>
            </c:dLbl>
            <c:dLbl>
              <c:idx val="5"/>
              <c:tx>
                <c:rich>
                  <a:bodyPr/>
                  <a:lstStyle/>
                  <a:p>
                    <a:fld id="{278CCBAE-7D43-4241-B7D9-E6910386675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3663-471F-BC09-04F642F41C8F}"/>
                </c:ext>
              </c:extLst>
            </c:dLbl>
            <c:dLbl>
              <c:idx val="6"/>
              <c:tx>
                <c:rich>
                  <a:bodyPr/>
                  <a:lstStyle/>
                  <a:p>
                    <a:fld id="{21399F00-ECE3-4343-A603-A5611E7F1C6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3663-471F-BC09-04F642F41C8F}"/>
                </c:ext>
              </c:extLst>
            </c:dLbl>
            <c:dLbl>
              <c:idx val="7"/>
              <c:tx>
                <c:rich>
                  <a:bodyPr/>
                  <a:lstStyle/>
                  <a:p>
                    <a:fld id="{0C81866F-19E6-466B-BA02-157134FE8D7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3663-471F-BC09-04F642F41C8F}"/>
                </c:ext>
              </c:extLst>
            </c:dLbl>
            <c:dLbl>
              <c:idx val="8"/>
              <c:tx>
                <c:rich>
                  <a:bodyPr/>
                  <a:lstStyle/>
                  <a:p>
                    <a:fld id="{531B3AA4-1EB6-4FD5-93C0-F12E8250B46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3663-471F-BC09-04F642F41C8F}"/>
                </c:ext>
              </c:extLst>
            </c:dLbl>
            <c:dLbl>
              <c:idx val="9"/>
              <c:tx>
                <c:rich>
                  <a:bodyPr/>
                  <a:lstStyle/>
                  <a:p>
                    <a:fld id="{C81031B6-9FBB-49F9-BB1F-F4FF8E43C44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ED2-4ACE-91AA-7F8713196E92}"/>
                </c:ext>
              </c:extLst>
            </c:dLbl>
            <c:dLbl>
              <c:idx val="10"/>
              <c:tx>
                <c:rich>
                  <a:bodyPr/>
                  <a:lstStyle/>
                  <a:p>
                    <a:fld id="{30EA12AF-2A59-4916-BBE8-0E7047D07A2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3663-471F-BC09-04F642F41C8F}"/>
                </c:ext>
              </c:extLst>
            </c:dLbl>
            <c:dLbl>
              <c:idx val="11"/>
              <c:tx>
                <c:rich>
                  <a:bodyPr/>
                  <a:lstStyle/>
                  <a:p>
                    <a:fld id="{4A583238-CC80-4985-8A7B-DD02F72B931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ED2-4ACE-91AA-7F8713196E92}"/>
                </c:ext>
              </c:extLst>
            </c:dLbl>
            <c:dLbl>
              <c:idx val="1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3663-471F-BC09-04F642F41C8F}"/>
                </c:ext>
              </c:extLst>
            </c:dLbl>
            <c:dLbl>
              <c:idx val="13"/>
              <c:tx>
                <c:rich>
                  <a:bodyPr/>
                  <a:lstStyle/>
                  <a:p>
                    <a:fld id="{062866DA-5DB3-4185-B251-5DA91D8DA7D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ED2-4ACE-91AA-7F8713196E92}"/>
                </c:ext>
              </c:extLst>
            </c:dLbl>
            <c:dLbl>
              <c:idx val="14"/>
              <c:tx>
                <c:rich>
                  <a:bodyPr/>
                  <a:lstStyle/>
                  <a:p>
                    <a:fld id="{D27C8357-2E34-4536-8162-32C64E78937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3663-471F-BC09-04F642F41C8F}"/>
                </c:ext>
              </c:extLst>
            </c:dLbl>
            <c:dLbl>
              <c:idx val="15"/>
              <c:tx>
                <c:rich>
                  <a:bodyPr/>
                  <a:lstStyle/>
                  <a:p>
                    <a:fld id="{29D1E69E-85FF-4BF6-B6CF-57B015AD535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ED2-4ACE-91AA-7F8713196E92}"/>
                </c:ext>
              </c:extLst>
            </c:dLbl>
            <c:dLbl>
              <c:idx val="16"/>
              <c:tx>
                <c:rich>
                  <a:bodyPr/>
                  <a:lstStyle/>
                  <a:p>
                    <a:fld id="{8046EB3B-8E40-4EA9-A336-8E14FFF03DF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3663-471F-BC09-04F642F41C8F}"/>
                </c:ext>
              </c:extLst>
            </c:dLbl>
            <c:dLbl>
              <c:idx val="17"/>
              <c:tx>
                <c:rich>
                  <a:bodyPr/>
                  <a:lstStyle/>
                  <a:p>
                    <a:fld id="{DA5C550B-706E-495B-B6DC-B5622785E4D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3663-471F-BC09-04F642F41C8F}"/>
                </c:ext>
              </c:extLst>
            </c:dLbl>
            <c:dLbl>
              <c:idx val="18"/>
              <c:tx>
                <c:rich>
                  <a:bodyPr/>
                  <a:lstStyle/>
                  <a:p>
                    <a:fld id="{542A5CF3-605C-419E-904D-B78D7EA86A6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3663-471F-BC09-04F642F41C8F}"/>
                </c:ext>
              </c:extLst>
            </c:dLbl>
            <c:dLbl>
              <c:idx val="19"/>
              <c:tx>
                <c:rich>
                  <a:bodyPr/>
                  <a:lstStyle/>
                  <a:p>
                    <a:fld id="{6212142F-4A39-40ED-8E78-3B9176C02D1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3663-471F-BC09-04F642F41C8F}"/>
                </c:ext>
              </c:extLst>
            </c:dLbl>
            <c:dLbl>
              <c:idx val="20"/>
              <c:tx>
                <c:rich>
                  <a:bodyPr/>
                  <a:lstStyle/>
                  <a:p>
                    <a:fld id="{DE4FDEDC-E5A2-48FB-BD55-D63492A9EA1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3663-471F-BC09-04F642F41C8F}"/>
                </c:ext>
              </c:extLst>
            </c:dLbl>
            <c:spPr>
              <a:noFill/>
              <a:ln>
                <a:noFill/>
              </a:ln>
              <a:effectLst/>
            </c:sp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plus"/>
            <c:errValType val="cust"/>
            <c:noEndCap val="0"/>
            <c:plus>
              <c:numRef>
                <c:f>'R3'!$B$54:$V$54</c:f>
                <c:numCache>
                  <c:formatCode>General</c:formatCode>
                  <c:ptCount val="21"/>
                  <c:pt idx="0">
                    <c:v>2.6138868118035421E-2</c:v>
                  </c:pt>
                  <c:pt idx="1">
                    <c:v>2.4675625377871345E-2</c:v>
                  </c:pt>
                  <c:pt idx="2">
                    <c:v>6.344382160524796E-2</c:v>
                  </c:pt>
                  <c:pt idx="3">
                    <c:v>0.43991997944851052</c:v>
                  </c:pt>
                  <c:pt idx="4">
                    <c:v>0.16293475383677949</c:v>
                  </c:pt>
                  <c:pt idx="5">
                    <c:v>0.29282693024317524</c:v>
                  </c:pt>
                  <c:pt idx="6">
                    <c:v>0.18363426869952071</c:v>
                  </c:pt>
                  <c:pt idx="7">
                    <c:v>1.6806282328970645E-2</c:v>
                  </c:pt>
                  <c:pt idx="8">
                    <c:v>0.19350241769980239</c:v>
                  </c:pt>
                  <c:pt idx="9">
                    <c:v>0.16523956088698039</c:v>
                  </c:pt>
                  <c:pt idx="10">
                    <c:v>0.40385685693713397</c:v>
                  </c:pt>
                  <c:pt idx="11">
                    <c:v>0.30945585539846954</c:v>
                  </c:pt>
                  <c:pt idx="13">
                    <c:v>0.14721459252240238</c:v>
                  </c:pt>
                  <c:pt idx="14">
                    <c:v>0.1375371945409615</c:v>
                  </c:pt>
                  <c:pt idx="15">
                    <c:v>2.4819798794041972E-2</c:v>
                  </c:pt>
                  <c:pt idx="16">
                    <c:v>0.2335424319631319</c:v>
                  </c:pt>
                  <c:pt idx="17">
                    <c:v>0.39072612013537922</c:v>
                  </c:pt>
                  <c:pt idx="18">
                    <c:v>0.35143020197942731</c:v>
                  </c:pt>
                  <c:pt idx="19">
                    <c:v>0.19427531687892463</c:v>
                  </c:pt>
                  <c:pt idx="20">
                    <c:v>0.26819927658232556</c:v>
                  </c:pt>
                </c:numCache>
              </c:numRef>
            </c:plus>
            <c:minus>
              <c:numRef>
                <c:f>'R1'!$N$48:$V$48</c:f>
                <c:numCache>
                  <c:formatCode>General</c:formatCode>
                  <c:ptCount val="9"/>
                  <c:pt idx="0">
                    <c:v>0</c:v>
                  </c:pt>
                  <c:pt idx="1">
                    <c:v>9.1978834037640317E-2</c:v>
                  </c:pt>
                  <c:pt idx="2">
                    <c:v>0.2508364278953405</c:v>
                  </c:pt>
                  <c:pt idx="3">
                    <c:v>1.2588604705715585E-2</c:v>
                  </c:pt>
                  <c:pt idx="4">
                    <c:v>9.4216897032318614E-2</c:v>
                  </c:pt>
                  <c:pt idx="5">
                    <c:v>0.28902781013072071</c:v>
                  </c:pt>
                  <c:pt idx="6">
                    <c:v>0.13126944133963719</c:v>
                  </c:pt>
                  <c:pt idx="7">
                    <c:v>0.23367959809576525</c:v>
                  </c:pt>
                  <c:pt idx="8">
                    <c:v>0.25618728152300801</c:v>
                  </c:pt>
                </c:numCache>
              </c:numRef>
            </c:minus>
          </c:errBars>
          <c:cat>
            <c:strRef>
              <c:f>'R3'!$B$52:$V$52</c:f>
              <c:strCache>
                <c:ptCount val="21"/>
                <c:pt idx="0">
                  <c:v>Témoin solvant</c:v>
                </c:pt>
                <c:pt idx="1">
                  <c:v>EE2-33.8ng/L</c:v>
                </c:pt>
                <c:pt idx="2">
                  <c:v>EE2-50.6ng/L</c:v>
                </c:pt>
                <c:pt idx="3">
                  <c:v>EE2-76ng/L</c:v>
                </c:pt>
                <c:pt idx="4">
                  <c:v>EE2-114ng/L</c:v>
                </c:pt>
                <c:pt idx="5">
                  <c:v>EE2-170.9ng/L</c:v>
                </c:pt>
                <c:pt idx="6">
                  <c:v>EE2-488ng/L</c:v>
                </c:pt>
                <c:pt idx="7">
                  <c:v>estradiol 34ng/L</c:v>
                </c:pt>
                <c:pt idx="8">
                  <c:v>estradiol 68ng/L</c:v>
                </c:pt>
                <c:pt idx="9">
                  <c:v>estradiol 135ng/L</c:v>
                </c:pt>
                <c:pt idx="10">
                  <c:v>estradiol 270ng/L</c:v>
                </c:pt>
                <c:pt idx="11">
                  <c:v>estradiol 540ng/L</c:v>
                </c:pt>
                <c:pt idx="13">
                  <c:v>Testo -30µg/L</c:v>
                </c:pt>
                <c:pt idx="14">
                  <c:v>Testo 30µg/L + EE2 -64ng/L</c:v>
                </c:pt>
                <c:pt idx="15">
                  <c:v>Testo 30µg/L + FAD-10µg/L</c:v>
                </c:pt>
                <c:pt idx="16">
                  <c:v>estradiol-34ng/L + Testosterone</c:v>
                </c:pt>
                <c:pt idx="17">
                  <c:v>estradiol-68ng/L + Testosterone</c:v>
                </c:pt>
                <c:pt idx="18">
                  <c:v>estradiol-135ng/L + Testosterone</c:v>
                </c:pt>
                <c:pt idx="19">
                  <c:v>estradiol-270ng/L + Testosterone</c:v>
                </c:pt>
                <c:pt idx="20">
                  <c:v>estradiol-540ng/L + Testosterone</c:v>
                </c:pt>
              </c:strCache>
            </c:strRef>
          </c:cat>
          <c:val>
            <c:numRef>
              <c:f>'R3'!$B$53:$V$53</c:f>
              <c:numCache>
                <c:formatCode>0.0000</c:formatCode>
                <c:ptCount val="21"/>
                <c:pt idx="0">
                  <c:v>8.0215661227922452E-2</c:v>
                </c:pt>
                <c:pt idx="1">
                  <c:v>9.2643886959958704E-2</c:v>
                </c:pt>
                <c:pt idx="2">
                  <c:v>0.15179376250380164</c:v>
                </c:pt>
                <c:pt idx="3">
                  <c:v>0.59774124252479999</c:v>
                </c:pt>
                <c:pt idx="4">
                  <c:v>0.79822895261586568</c:v>
                </c:pt>
                <c:pt idx="5">
                  <c:v>1.4124088126111187</c:v>
                </c:pt>
                <c:pt idx="6">
                  <c:v>3.2859418369574174</c:v>
                </c:pt>
                <c:pt idx="7">
                  <c:v>0.11999943746770991</c:v>
                </c:pt>
                <c:pt idx="8">
                  <c:v>0.24935408298930314</c:v>
                </c:pt>
                <c:pt idx="9">
                  <c:v>0.48140949620298923</c:v>
                </c:pt>
                <c:pt idx="10">
                  <c:v>2.2509111296026698</c:v>
                </c:pt>
                <c:pt idx="11">
                  <c:v>3.5216654541518913</c:v>
                </c:pt>
                <c:pt idx="13">
                  <c:v>1</c:v>
                </c:pt>
                <c:pt idx="14">
                  <c:v>2.1539899000781459</c:v>
                </c:pt>
                <c:pt idx="15">
                  <c:v>0.11130177538151448</c:v>
                </c:pt>
                <c:pt idx="16">
                  <c:v>1.3236270429009824</c:v>
                </c:pt>
                <c:pt idx="17">
                  <c:v>1.9386203788671421</c:v>
                </c:pt>
                <c:pt idx="18">
                  <c:v>2.3780677260210217</c:v>
                </c:pt>
                <c:pt idx="19">
                  <c:v>2.0753477748969473</c:v>
                </c:pt>
                <c:pt idx="20">
                  <c:v>3.2143723851441943</c:v>
                </c:pt>
              </c:numCache>
            </c:numRef>
          </c:val>
          <c:extLst>
            <c:ext xmlns:c15="http://schemas.microsoft.com/office/drawing/2012/chart" uri="{02D57815-91ED-43cb-92C2-25804820EDAC}">
              <c15:datalabelsRange>
                <c15:f>'R3'!$B$61:$V$61</c15:f>
                <c15:dlblRangeCache>
                  <c:ptCount val="21"/>
                  <c:pt idx="1">
                    <c:v>NS</c:v>
                  </c:pt>
                  <c:pt idx="2">
                    <c:v>NS</c:v>
                  </c:pt>
                  <c:pt idx="3">
                    <c:v>NS</c:v>
                  </c:pt>
                  <c:pt idx="4">
                    <c:v>*</c:v>
                  </c:pt>
                  <c:pt idx="5">
                    <c:v>**</c:v>
                  </c:pt>
                  <c:pt idx="6">
                    <c:v>***</c:v>
                  </c:pt>
                  <c:pt idx="7">
                    <c:v>NS</c:v>
                  </c:pt>
                  <c:pt idx="8">
                    <c:v>NS</c:v>
                  </c:pt>
                  <c:pt idx="9">
                    <c:v>NS</c:v>
                  </c:pt>
                  <c:pt idx="10">
                    <c:v>**</c:v>
                  </c:pt>
                  <c:pt idx="11">
                    <c:v>***</c:v>
                  </c:pt>
                  <c:pt idx="13">
                    <c:v>***</c:v>
                  </c:pt>
                  <c:pt idx="14">
                    <c:v>***</c:v>
                  </c:pt>
                  <c:pt idx="15">
                    <c:v>***</c:v>
                  </c:pt>
                  <c:pt idx="16">
                    <c:v>NS</c:v>
                  </c:pt>
                  <c:pt idx="17">
                    <c:v>*</c:v>
                  </c:pt>
                  <c:pt idx="18">
                    <c:v>***</c:v>
                  </c:pt>
                  <c:pt idx="19">
                    <c:v>**</c:v>
                  </c:pt>
                  <c:pt idx="20">
                    <c:v>***</c:v>
                  </c:pt>
                </c15:dlblRangeCache>
              </c15:datalabelsRange>
            </c:ext>
            <c:ext xmlns:c16="http://schemas.microsoft.com/office/drawing/2014/chart" uri="{C3380CC4-5D6E-409C-BE32-E72D297353CC}">
              <c16:uniqueId val="{00000016-EED2-4ACE-91AA-7F8713196E92}"/>
            </c:ext>
          </c:extLst>
        </c:ser>
        <c:dLbls>
          <c:showLegendKey val="0"/>
          <c:showVal val="1"/>
          <c:showCatName val="0"/>
          <c:showSerName val="0"/>
          <c:showPercent val="0"/>
          <c:showBubbleSize val="0"/>
        </c:dLbls>
        <c:gapWidth val="150"/>
        <c:axId val="434373488"/>
        <c:axId val="434373880"/>
      </c:barChart>
      <c:catAx>
        <c:axId val="434373488"/>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434373880"/>
        <c:crosses val="autoZero"/>
        <c:auto val="1"/>
        <c:lblAlgn val="ctr"/>
        <c:lblOffset val="100"/>
        <c:noMultiLvlLbl val="0"/>
      </c:catAx>
      <c:valAx>
        <c:axId val="434373880"/>
        <c:scaling>
          <c:orientation val="minMax"/>
          <c:max val="3.9"/>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434373488"/>
        <c:crosses val="autoZero"/>
        <c:crossBetween val="between"/>
        <c:majorUnit val="0.2"/>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fr-FR"/>
              <a:t>17 b estradiol Pool</a:t>
            </a:r>
          </a:p>
        </c:rich>
      </c:tx>
      <c:overlay val="0"/>
    </c:title>
    <c:autoTitleDeleted val="0"/>
    <c:plotArea>
      <c:layout>
        <c:manualLayout>
          <c:layoutTarget val="inner"/>
          <c:xMode val="edge"/>
          <c:yMode val="edge"/>
          <c:x val="6.8086563142153819E-2"/>
          <c:y val="0.10694631110669023"/>
          <c:w val="0.91688911122572669"/>
          <c:h val="0.69895377069250364"/>
        </c:manualLayout>
      </c:layout>
      <c:barChart>
        <c:barDir val="col"/>
        <c:grouping val="clustered"/>
        <c:varyColors val="0"/>
        <c:ser>
          <c:idx val="0"/>
          <c:order val="0"/>
          <c:tx>
            <c:v>Pool</c:v>
          </c:tx>
          <c:spPr>
            <a:solidFill>
              <a:srgbClr val="00B050"/>
            </a:solidFill>
          </c:spPr>
          <c:invertIfNegative val="0"/>
          <c:dPt>
            <c:idx val="0"/>
            <c:invertIfNegative val="0"/>
            <c:bubble3D val="0"/>
            <c:spPr>
              <a:solidFill>
                <a:schemeClr val="tx1"/>
              </a:solidFill>
            </c:spPr>
            <c:extLst>
              <c:ext xmlns:c16="http://schemas.microsoft.com/office/drawing/2014/chart" uri="{C3380CC4-5D6E-409C-BE32-E72D297353CC}">
                <c16:uniqueId val="{0000002C-033C-4530-84A9-991A3866ABD4}"/>
              </c:ext>
            </c:extLst>
          </c:dPt>
          <c:dPt>
            <c:idx val="1"/>
            <c:invertIfNegative val="0"/>
            <c:bubble3D val="0"/>
            <c:spPr>
              <a:solidFill>
                <a:srgbClr val="FF0000"/>
              </a:solidFill>
            </c:spPr>
            <c:extLst>
              <c:ext xmlns:c16="http://schemas.microsoft.com/office/drawing/2014/chart" uri="{C3380CC4-5D6E-409C-BE32-E72D297353CC}">
                <c16:uniqueId val="{00000001-033C-4530-84A9-991A3866ABD4}"/>
              </c:ext>
            </c:extLst>
          </c:dPt>
          <c:dPt>
            <c:idx val="2"/>
            <c:invertIfNegative val="0"/>
            <c:bubble3D val="0"/>
            <c:spPr>
              <a:solidFill>
                <a:srgbClr val="FF0000"/>
              </a:solidFill>
            </c:spPr>
            <c:extLst>
              <c:ext xmlns:c16="http://schemas.microsoft.com/office/drawing/2014/chart" uri="{C3380CC4-5D6E-409C-BE32-E72D297353CC}">
                <c16:uniqueId val="{00000003-033C-4530-84A9-991A3866ABD4}"/>
              </c:ext>
            </c:extLst>
          </c:dPt>
          <c:dPt>
            <c:idx val="3"/>
            <c:invertIfNegative val="0"/>
            <c:bubble3D val="0"/>
            <c:spPr>
              <a:solidFill>
                <a:srgbClr val="FF0000"/>
              </a:solidFill>
            </c:spPr>
            <c:extLst>
              <c:ext xmlns:c16="http://schemas.microsoft.com/office/drawing/2014/chart" uri="{C3380CC4-5D6E-409C-BE32-E72D297353CC}">
                <c16:uniqueId val="{00000005-033C-4530-84A9-991A3866ABD4}"/>
              </c:ext>
            </c:extLst>
          </c:dPt>
          <c:dPt>
            <c:idx val="4"/>
            <c:invertIfNegative val="0"/>
            <c:bubble3D val="0"/>
            <c:spPr>
              <a:solidFill>
                <a:srgbClr val="FF0000"/>
              </a:solidFill>
            </c:spPr>
            <c:extLst>
              <c:ext xmlns:c16="http://schemas.microsoft.com/office/drawing/2014/chart" uri="{C3380CC4-5D6E-409C-BE32-E72D297353CC}">
                <c16:uniqueId val="{00000007-033C-4530-84A9-991A3866ABD4}"/>
              </c:ext>
            </c:extLst>
          </c:dPt>
          <c:dPt>
            <c:idx val="5"/>
            <c:invertIfNegative val="0"/>
            <c:bubble3D val="0"/>
            <c:spPr>
              <a:solidFill>
                <a:srgbClr val="FF0000"/>
              </a:solidFill>
            </c:spPr>
            <c:extLst>
              <c:ext xmlns:c16="http://schemas.microsoft.com/office/drawing/2014/chart" uri="{C3380CC4-5D6E-409C-BE32-E72D297353CC}">
                <c16:uniqueId val="{00000009-033C-4530-84A9-991A3866ABD4}"/>
              </c:ext>
            </c:extLst>
          </c:dPt>
          <c:dPt>
            <c:idx val="6"/>
            <c:invertIfNegative val="0"/>
            <c:bubble3D val="0"/>
            <c:spPr>
              <a:solidFill>
                <a:srgbClr val="FF0000"/>
              </a:solidFill>
            </c:spPr>
            <c:extLst>
              <c:ext xmlns:c16="http://schemas.microsoft.com/office/drawing/2014/chart" uri="{C3380CC4-5D6E-409C-BE32-E72D297353CC}">
                <c16:uniqueId val="{0000000B-033C-4530-84A9-991A3866ABD4}"/>
              </c:ext>
            </c:extLst>
          </c:dPt>
          <c:dPt>
            <c:idx val="7"/>
            <c:invertIfNegative val="0"/>
            <c:bubble3D val="0"/>
            <c:spPr>
              <a:solidFill>
                <a:schemeClr val="bg1">
                  <a:lumMod val="65000"/>
                </a:schemeClr>
              </a:solidFill>
            </c:spPr>
            <c:extLst>
              <c:ext xmlns:c16="http://schemas.microsoft.com/office/drawing/2014/chart" uri="{C3380CC4-5D6E-409C-BE32-E72D297353CC}">
                <c16:uniqueId val="{0000000D-033C-4530-84A9-991A3866ABD4}"/>
              </c:ext>
            </c:extLst>
          </c:dPt>
          <c:dPt>
            <c:idx val="8"/>
            <c:invertIfNegative val="0"/>
            <c:bubble3D val="0"/>
            <c:spPr>
              <a:solidFill>
                <a:schemeClr val="bg1">
                  <a:lumMod val="65000"/>
                </a:schemeClr>
              </a:solidFill>
            </c:spPr>
            <c:extLst>
              <c:ext xmlns:c16="http://schemas.microsoft.com/office/drawing/2014/chart" uri="{C3380CC4-5D6E-409C-BE32-E72D297353CC}">
                <c16:uniqueId val="{0000000F-033C-4530-84A9-991A3866ABD4}"/>
              </c:ext>
            </c:extLst>
          </c:dPt>
          <c:dPt>
            <c:idx val="9"/>
            <c:invertIfNegative val="0"/>
            <c:bubble3D val="0"/>
            <c:spPr>
              <a:solidFill>
                <a:schemeClr val="bg1">
                  <a:lumMod val="65000"/>
                </a:schemeClr>
              </a:solidFill>
            </c:spPr>
            <c:extLst>
              <c:ext xmlns:c16="http://schemas.microsoft.com/office/drawing/2014/chart" uri="{C3380CC4-5D6E-409C-BE32-E72D297353CC}">
                <c16:uniqueId val="{00000011-033C-4530-84A9-991A3866ABD4}"/>
              </c:ext>
            </c:extLst>
          </c:dPt>
          <c:dPt>
            <c:idx val="10"/>
            <c:invertIfNegative val="0"/>
            <c:bubble3D val="0"/>
            <c:spPr>
              <a:solidFill>
                <a:schemeClr val="bg1">
                  <a:lumMod val="65000"/>
                </a:schemeClr>
              </a:solidFill>
            </c:spPr>
            <c:extLst>
              <c:ext xmlns:c16="http://schemas.microsoft.com/office/drawing/2014/chart" uri="{C3380CC4-5D6E-409C-BE32-E72D297353CC}">
                <c16:uniqueId val="{00000013-033C-4530-84A9-991A3866ABD4}"/>
              </c:ext>
            </c:extLst>
          </c:dPt>
          <c:dPt>
            <c:idx val="11"/>
            <c:invertIfNegative val="0"/>
            <c:bubble3D val="0"/>
            <c:spPr>
              <a:solidFill>
                <a:schemeClr val="bg1">
                  <a:lumMod val="65000"/>
                </a:schemeClr>
              </a:solidFill>
            </c:spPr>
            <c:extLst>
              <c:ext xmlns:c16="http://schemas.microsoft.com/office/drawing/2014/chart" uri="{C3380CC4-5D6E-409C-BE32-E72D297353CC}">
                <c16:uniqueId val="{00000015-033C-4530-84A9-991A3866ABD4}"/>
              </c:ext>
            </c:extLst>
          </c:dPt>
          <c:dPt>
            <c:idx val="12"/>
            <c:invertIfNegative val="0"/>
            <c:bubble3D val="0"/>
            <c:spPr>
              <a:solidFill>
                <a:schemeClr val="tx2">
                  <a:lumMod val="40000"/>
                  <a:lumOff val="60000"/>
                </a:schemeClr>
              </a:solidFill>
            </c:spPr>
            <c:extLst>
              <c:ext xmlns:c16="http://schemas.microsoft.com/office/drawing/2014/chart" uri="{C3380CC4-5D6E-409C-BE32-E72D297353CC}">
                <c16:uniqueId val="{00000017-033C-4530-84A9-991A3866ABD4}"/>
              </c:ext>
            </c:extLst>
          </c:dPt>
          <c:dPt>
            <c:idx val="13"/>
            <c:invertIfNegative val="0"/>
            <c:bubble3D val="0"/>
            <c:extLst>
              <c:ext xmlns:c16="http://schemas.microsoft.com/office/drawing/2014/chart" uri="{C3380CC4-5D6E-409C-BE32-E72D297353CC}">
                <c16:uniqueId val="{00000019-033C-4530-84A9-991A3866ABD4}"/>
              </c:ext>
            </c:extLst>
          </c:dPt>
          <c:dPt>
            <c:idx val="14"/>
            <c:invertIfNegative val="0"/>
            <c:bubble3D val="0"/>
            <c:spPr>
              <a:solidFill>
                <a:srgbClr val="92D050"/>
              </a:solidFill>
            </c:spPr>
            <c:extLst>
              <c:ext xmlns:c16="http://schemas.microsoft.com/office/drawing/2014/chart" uri="{C3380CC4-5D6E-409C-BE32-E72D297353CC}">
                <c16:uniqueId val="{0000001B-033C-4530-84A9-991A3866ABD4}"/>
              </c:ext>
            </c:extLst>
          </c:dPt>
          <c:dPt>
            <c:idx val="15"/>
            <c:invertIfNegative val="0"/>
            <c:bubble3D val="0"/>
            <c:spPr>
              <a:solidFill>
                <a:srgbClr val="92D050"/>
              </a:solidFill>
            </c:spPr>
            <c:extLst>
              <c:ext xmlns:c16="http://schemas.microsoft.com/office/drawing/2014/chart" uri="{C3380CC4-5D6E-409C-BE32-E72D297353CC}">
                <c16:uniqueId val="{0000001D-033C-4530-84A9-991A3866ABD4}"/>
              </c:ext>
            </c:extLst>
          </c:dPt>
          <c:dPt>
            <c:idx val="16"/>
            <c:invertIfNegative val="0"/>
            <c:bubble3D val="0"/>
            <c:spPr>
              <a:solidFill>
                <a:schemeClr val="accent3">
                  <a:lumMod val="40000"/>
                  <a:lumOff val="60000"/>
                </a:schemeClr>
              </a:solidFill>
            </c:spPr>
            <c:extLst>
              <c:ext xmlns:c16="http://schemas.microsoft.com/office/drawing/2014/chart" uri="{C3380CC4-5D6E-409C-BE32-E72D297353CC}">
                <c16:uniqueId val="{0000001F-033C-4530-84A9-991A3866ABD4}"/>
              </c:ext>
            </c:extLst>
          </c:dPt>
          <c:dPt>
            <c:idx val="17"/>
            <c:invertIfNegative val="0"/>
            <c:bubble3D val="0"/>
            <c:spPr>
              <a:solidFill>
                <a:schemeClr val="accent3">
                  <a:lumMod val="40000"/>
                  <a:lumOff val="60000"/>
                </a:schemeClr>
              </a:solidFill>
            </c:spPr>
            <c:extLst>
              <c:ext xmlns:c16="http://schemas.microsoft.com/office/drawing/2014/chart" uri="{C3380CC4-5D6E-409C-BE32-E72D297353CC}">
                <c16:uniqueId val="{00000021-033C-4530-84A9-991A3866ABD4}"/>
              </c:ext>
            </c:extLst>
          </c:dPt>
          <c:dPt>
            <c:idx val="18"/>
            <c:invertIfNegative val="0"/>
            <c:bubble3D val="0"/>
            <c:spPr>
              <a:solidFill>
                <a:schemeClr val="accent3">
                  <a:lumMod val="40000"/>
                  <a:lumOff val="60000"/>
                </a:schemeClr>
              </a:solidFill>
            </c:spPr>
            <c:extLst>
              <c:ext xmlns:c16="http://schemas.microsoft.com/office/drawing/2014/chart" uri="{C3380CC4-5D6E-409C-BE32-E72D297353CC}">
                <c16:uniqueId val="{00000023-033C-4530-84A9-991A3866ABD4}"/>
              </c:ext>
            </c:extLst>
          </c:dPt>
          <c:dPt>
            <c:idx val="19"/>
            <c:invertIfNegative val="0"/>
            <c:bubble3D val="0"/>
            <c:spPr>
              <a:solidFill>
                <a:schemeClr val="accent3">
                  <a:lumMod val="40000"/>
                  <a:lumOff val="60000"/>
                </a:schemeClr>
              </a:solidFill>
            </c:spPr>
            <c:extLst>
              <c:ext xmlns:c16="http://schemas.microsoft.com/office/drawing/2014/chart" uri="{C3380CC4-5D6E-409C-BE32-E72D297353CC}">
                <c16:uniqueId val="{00000025-033C-4530-84A9-991A3866ABD4}"/>
              </c:ext>
            </c:extLst>
          </c:dPt>
          <c:dPt>
            <c:idx val="20"/>
            <c:invertIfNegative val="0"/>
            <c:bubble3D val="0"/>
            <c:spPr>
              <a:solidFill>
                <a:schemeClr val="accent3">
                  <a:lumMod val="40000"/>
                  <a:lumOff val="60000"/>
                </a:schemeClr>
              </a:solidFill>
            </c:spPr>
            <c:extLst>
              <c:ext xmlns:c16="http://schemas.microsoft.com/office/drawing/2014/chart" uri="{C3380CC4-5D6E-409C-BE32-E72D297353CC}">
                <c16:uniqueId val="{00000027-033C-4530-84A9-991A3866ABD4}"/>
              </c:ext>
            </c:extLst>
          </c:dPt>
          <c:dPt>
            <c:idx val="21"/>
            <c:invertIfNegative val="0"/>
            <c:bubble3D val="0"/>
            <c:spPr>
              <a:solidFill>
                <a:schemeClr val="bg1">
                  <a:lumMod val="65000"/>
                </a:schemeClr>
              </a:solidFill>
            </c:spPr>
            <c:extLst>
              <c:ext xmlns:c16="http://schemas.microsoft.com/office/drawing/2014/chart" uri="{C3380CC4-5D6E-409C-BE32-E72D297353CC}">
                <c16:uniqueId val="{00000029-033C-4530-84A9-991A3866ABD4}"/>
              </c:ext>
            </c:extLst>
          </c:dPt>
          <c:dPt>
            <c:idx val="22"/>
            <c:invertIfNegative val="0"/>
            <c:bubble3D val="0"/>
            <c:spPr>
              <a:solidFill>
                <a:schemeClr val="bg1">
                  <a:lumMod val="65000"/>
                </a:schemeClr>
              </a:solidFill>
            </c:spPr>
            <c:extLst>
              <c:ext xmlns:c16="http://schemas.microsoft.com/office/drawing/2014/chart" uri="{C3380CC4-5D6E-409C-BE32-E72D297353CC}">
                <c16:uniqueId val="{0000002B-033C-4530-84A9-991A3866ABD4}"/>
              </c:ext>
            </c:extLst>
          </c:dPt>
          <c:dLbls>
            <c:dLbl>
              <c:idx val="0"/>
              <c:tx>
                <c:rich>
                  <a:bodyPr/>
                  <a:lstStyle/>
                  <a:p>
                    <a:fld id="{B4D07229-9684-43B8-80C0-6117D36ECE2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033C-4530-84A9-991A3866ABD4}"/>
                </c:ext>
              </c:extLst>
            </c:dLbl>
            <c:dLbl>
              <c:idx val="1"/>
              <c:tx>
                <c:rich>
                  <a:bodyPr/>
                  <a:lstStyle/>
                  <a:p>
                    <a:fld id="{AA14C562-046D-4129-A1DC-5C14C8D879B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33C-4530-84A9-991A3866ABD4}"/>
                </c:ext>
              </c:extLst>
            </c:dLbl>
            <c:dLbl>
              <c:idx val="2"/>
              <c:tx>
                <c:rich>
                  <a:bodyPr/>
                  <a:lstStyle/>
                  <a:p>
                    <a:fld id="{A5EDDE4E-4E54-4D05-A32D-67990DDD7B0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33C-4530-84A9-991A3866ABD4}"/>
                </c:ext>
              </c:extLst>
            </c:dLbl>
            <c:dLbl>
              <c:idx val="3"/>
              <c:tx>
                <c:rich>
                  <a:bodyPr/>
                  <a:lstStyle/>
                  <a:p>
                    <a:fld id="{9B1D2EF7-D926-41C6-9126-5CB8EC465B1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33C-4530-84A9-991A3866ABD4}"/>
                </c:ext>
              </c:extLst>
            </c:dLbl>
            <c:dLbl>
              <c:idx val="4"/>
              <c:tx>
                <c:rich>
                  <a:bodyPr/>
                  <a:lstStyle/>
                  <a:p>
                    <a:fld id="{A67D00D4-227D-4D82-87BC-47DF0ED28CC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33C-4530-84A9-991A3866ABD4}"/>
                </c:ext>
              </c:extLst>
            </c:dLbl>
            <c:dLbl>
              <c:idx val="5"/>
              <c:tx>
                <c:rich>
                  <a:bodyPr/>
                  <a:lstStyle/>
                  <a:p>
                    <a:fld id="{3A46C992-207D-4A54-8565-1D7E52D58A8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33C-4530-84A9-991A3866ABD4}"/>
                </c:ext>
              </c:extLst>
            </c:dLbl>
            <c:dLbl>
              <c:idx val="6"/>
              <c:tx>
                <c:rich>
                  <a:bodyPr/>
                  <a:lstStyle/>
                  <a:p>
                    <a:fld id="{F0BD75FB-0C30-4E59-AB13-86FAA662676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33C-4530-84A9-991A3866ABD4}"/>
                </c:ext>
              </c:extLst>
            </c:dLbl>
            <c:dLbl>
              <c:idx val="7"/>
              <c:tx>
                <c:rich>
                  <a:bodyPr/>
                  <a:lstStyle/>
                  <a:p>
                    <a:fld id="{3A462DBB-4FEB-443B-977A-C10DE1D228A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33C-4530-84A9-991A3866ABD4}"/>
                </c:ext>
              </c:extLst>
            </c:dLbl>
            <c:dLbl>
              <c:idx val="8"/>
              <c:tx>
                <c:rich>
                  <a:bodyPr/>
                  <a:lstStyle/>
                  <a:p>
                    <a:fld id="{743F2650-F6AE-4368-B291-FF5C03427FA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33C-4530-84A9-991A3866ABD4}"/>
                </c:ext>
              </c:extLst>
            </c:dLbl>
            <c:dLbl>
              <c:idx val="9"/>
              <c:tx>
                <c:rich>
                  <a:bodyPr/>
                  <a:lstStyle/>
                  <a:p>
                    <a:fld id="{50550CB5-0EEE-4336-894C-FAD8C8E0A3E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33C-4530-84A9-991A3866ABD4}"/>
                </c:ext>
              </c:extLst>
            </c:dLbl>
            <c:dLbl>
              <c:idx val="10"/>
              <c:tx>
                <c:rich>
                  <a:bodyPr/>
                  <a:lstStyle/>
                  <a:p>
                    <a:fld id="{1C17B7AD-BD5A-4F99-A02F-1BF8F73BC5F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33C-4530-84A9-991A3866ABD4}"/>
                </c:ext>
              </c:extLst>
            </c:dLbl>
            <c:dLbl>
              <c:idx val="11"/>
              <c:tx>
                <c:rich>
                  <a:bodyPr/>
                  <a:lstStyle/>
                  <a:p>
                    <a:fld id="{10AE2AFF-3B9D-4FFB-9047-F92195E50A5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33C-4530-84A9-991A3866ABD4}"/>
                </c:ext>
              </c:extLst>
            </c:dLbl>
            <c:dLbl>
              <c:idx val="12"/>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033C-4530-84A9-991A3866ABD4}"/>
                </c:ext>
              </c:extLst>
            </c:dLbl>
            <c:dLbl>
              <c:idx val="13"/>
              <c:tx>
                <c:rich>
                  <a:bodyPr/>
                  <a:lstStyle/>
                  <a:p>
                    <a:fld id="{E6D9A93E-9516-4E45-9374-54FB9163A80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33C-4530-84A9-991A3866ABD4}"/>
                </c:ext>
              </c:extLst>
            </c:dLbl>
            <c:dLbl>
              <c:idx val="14"/>
              <c:tx>
                <c:rich>
                  <a:bodyPr/>
                  <a:lstStyle/>
                  <a:p>
                    <a:fld id="{09A110A5-0465-4FB6-88FC-9521D4B6349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33C-4530-84A9-991A3866ABD4}"/>
                </c:ext>
              </c:extLst>
            </c:dLbl>
            <c:dLbl>
              <c:idx val="15"/>
              <c:tx>
                <c:rich>
                  <a:bodyPr/>
                  <a:lstStyle/>
                  <a:p>
                    <a:fld id="{335DD591-351C-4282-BCE0-D4665A0D5A6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33C-4530-84A9-991A3866ABD4}"/>
                </c:ext>
              </c:extLst>
            </c:dLbl>
            <c:dLbl>
              <c:idx val="16"/>
              <c:tx>
                <c:rich>
                  <a:bodyPr/>
                  <a:lstStyle/>
                  <a:p>
                    <a:fld id="{3EF82F1F-4C61-4420-9EAC-34A1CCB563D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033C-4530-84A9-991A3866ABD4}"/>
                </c:ext>
              </c:extLst>
            </c:dLbl>
            <c:dLbl>
              <c:idx val="17"/>
              <c:tx>
                <c:rich>
                  <a:bodyPr/>
                  <a:lstStyle/>
                  <a:p>
                    <a:fld id="{2953F102-5C05-43DD-A12D-9D9A686EED2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033C-4530-84A9-991A3866ABD4}"/>
                </c:ext>
              </c:extLst>
            </c:dLbl>
            <c:dLbl>
              <c:idx val="18"/>
              <c:tx>
                <c:rich>
                  <a:bodyPr/>
                  <a:lstStyle/>
                  <a:p>
                    <a:fld id="{C30A8614-D5B3-4071-9BC2-D5F3B0EDA94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033C-4530-84A9-991A3866ABD4}"/>
                </c:ext>
              </c:extLst>
            </c:dLbl>
            <c:dLbl>
              <c:idx val="19"/>
              <c:tx>
                <c:rich>
                  <a:bodyPr/>
                  <a:lstStyle/>
                  <a:p>
                    <a:fld id="{2DFF8958-6438-49D2-A9CD-E0637E82D71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033C-4530-84A9-991A3866ABD4}"/>
                </c:ext>
              </c:extLst>
            </c:dLbl>
            <c:dLbl>
              <c:idx val="20"/>
              <c:tx>
                <c:rich>
                  <a:bodyPr/>
                  <a:lstStyle/>
                  <a:p>
                    <a:fld id="{507192B9-DE7D-46A1-8850-C868D7C5E66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033C-4530-84A9-991A3866ABD4}"/>
                </c:ext>
              </c:extLst>
            </c:dLbl>
            <c:dLbl>
              <c:idx val="29"/>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33C-4530-84A9-991A3866ABD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plus"/>
            <c:errValType val="cust"/>
            <c:noEndCap val="0"/>
            <c:plus>
              <c:numRef>
                <c:f>'pooled normalised values'!$B$76:$V$76</c:f>
                <c:numCache>
                  <c:formatCode>General</c:formatCode>
                  <c:ptCount val="21"/>
                  <c:pt idx="0">
                    <c:v>1.7560993499604199E-2</c:v>
                  </c:pt>
                  <c:pt idx="1">
                    <c:v>1.3837343874400282E-2</c:v>
                  </c:pt>
                  <c:pt idx="2">
                    <c:v>2.3485039602911425E-2</c:v>
                  </c:pt>
                  <c:pt idx="3">
                    <c:v>0.14067400959748821</c:v>
                  </c:pt>
                  <c:pt idx="4">
                    <c:v>8.1865844184360256E-2</c:v>
                  </c:pt>
                  <c:pt idx="5">
                    <c:v>0.10605061431431008</c:v>
                  </c:pt>
                  <c:pt idx="6">
                    <c:v>0.15698931936363555</c:v>
                  </c:pt>
                  <c:pt idx="7">
                    <c:v>1.3711513519409933E-2</c:v>
                  </c:pt>
                  <c:pt idx="8">
                    <c:v>6.3261435567210381E-2</c:v>
                  </c:pt>
                  <c:pt idx="9">
                    <c:v>7.6011460976960113E-2</c:v>
                  </c:pt>
                  <c:pt idx="10">
                    <c:v>0.15628965412739751</c:v>
                  </c:pt>
                  <c:pt idx="11">
                    <c:v>0.19871382190837028</c:v>
                  </c:pt>
                  <c:pt idx="13">
                    <c:v>7.3701171459018222E-2</c:v>
                  </c:pt>
                  <c:pt idx="14">
                    <c:v>0.12500053789293875</c:v>
                  </c:pt>
                  <c:pt idx="15">
                    <c:v>1.2620082707266986E-2</c:v>
                  </c:pt>
                  <c:pt idx="16">
                    <c:v>0.10697242238235621</c:v>
                  </c:pt>
                  <c:pt idx="17">
                    <c:v>0.17705364998431691</c:v>
                  </c:pt>
                  <c:pt idx="18">
                    <c:v>0.14894794605285452</c:v>
                  </c:pt>
                  <c:pt idx="19">
                    <c:v>0.13759262184734503</c:v>
                  </c:pt>
                  <c:pt idx="20">
                    <c:v>0.17189785786660167</c:v>
                  </c:pt>
                </c:numCache>
              </c:numRef>
            </c:plus>
            <c:minus>
              <c:numRef>
                <c:f>'pooled normalised values'!$B$76:$V$76</c:f>
                <c:numCache>
                  <c:formatCode>General</c:formatCode>
                  <c:ptCount val="21"/>
                  <c:pt idx="0">
                    <c:v>1.7560993499604199E-2</c:v>
                  </c:pt>
                  <c:pt idx="1">
                    <c:v>1.3837343874400282E-2</c:v>
                  </c:pt>
                  <c:pt idx="2">
                    <c:v>2.3485039602911425E-2</c:v>
                  </c:pt>
                  <c:pt idx="3">
                    <c:v>0.14067400959748821</c:v>
                  </c:pt>
                  <c:pt idx="4">
                    <c:v>8.1865844184360256E-2</c:v>
                  </c:pt>
                  <c:pt idx="5">
                    <c:v>0.10605061431431008</c:v>
                  </c:pt>
                  <c:pt idx="6">
                    <c:v>0.15698931936363555</c:v>
                  </c:pt>
                  <c:pt idx="7">
                    <c:v>1.3711513519409933E-2</c:v>
                  </c:pt>
                  <c:pt idx="8">
                    <c:v>6.3261435567210381E-2</c:v>
                  </c:pt>
                  <c:pt idx="9">
                    <c:v>7.6011460976960113E-2</c:v>
                  </c:pt>
                  <c:pt idx="10">
                    <c:v>0.15628965412739751</c:v>
                  </c:pt>
                  <c:pt idx="11">
                    <c:v>0.19871382190837028</c:v>
                  </c:pt>
                  <c:pt idx="13">
                    <c:v>7.3701171459018222E-2</c:v>
                  </c:pt>
                  <c:pt idx="14">
                    <c:v>0.12500053789293875</c:v>
                  </c:pt>
                  <c:pt idx="15">
                    <c:v>1.2620082707266986E-2</c:v>
                  </c:pt>
                  <c:pt idx="16">
                    <c:v>0.10697242238235621</c:v>
                  </c:pt>
                  <c:pt idx="17">
                    <c:v>0.17705364998431691</c:v>
                  </c:pt>
                  <c:pt idx="18">
                    <c:v>0.14894794605285452</c:v>
                  </c:pt>
                  <c:pt idx="19">
                    <c:v>0.13759262184734503</c:v>
                  </c:pt>
                  <c:pt idx="20">
                    <c:v>0.17189785786660167</c:v>
                  </c:pt>
                </c:numCache>
              </c:numRef>
            </c:minus>
          </c:errBars>
          <c:cat>
            <c:strRef>
              <c:f>'pooled normalised values'!$B$74:$V$74</c:f>
              <c:strCache>
                <c:ptCount val="21"/>
                <c:pt idx="0">
                  <c:v>Témoin solvant</c:v>
                </c:pt>
                <c:pt idx="1">
                  <c:v>EE2-33.8ng/L</c:v>
                </c:pt>
                <c:pt idx="2">
                  <c:v>EE2-50.6ng/L</c:v>
                </c:pt>
                <c:pt idx="3">
                  <c:v>EE2-76ng/L</c:v>
                </c:pt>
                <c:pt idx="4">
                  <c:v>EE2-114ng/L</c:v>
                </c:pt>
                <c:pt idx="5">
                  <c:v>EE2-170.9ng/L</c:v>
                </c:pt>
                <c:pt idx="6">
                  <c:v>EE2-488ng/L</c:v>
                </c:pt>
                <c:pt idx="7">
                  <c:v>estradiol 34ng/L</c:v>
                </c:pt>
                <c:pt idx="8">
                  <c:v>estradiol 68ng/L</c:v>
                </c:pt>
                <c:pt idx="9">
                  <c:v>estradiol 135ng/L</c:v>
                </c:pt>
                <c:pt idx="10">
                  <c:v>estradiol 270ng/L</c:v>
                </c:pt>
                <c:pt idx="11">
                  <c:v>estradiol 540ng/L</c:v>
                </c:pt>
                <c:pt idx="13">
                  <c:v>Testo -30µg/L</c:v>
                </c:pt>
                <c:pt idx="14">
                  <c:v>Testo 30µg/L + EE2 -64ng/L</c:v>
                </c:pt>
                <c:pt idx="15">
                  <c:v>Testo 30µg/L + FAD-10µg/L</c:v>
                </c:pt>
                <c:pt idx="16">
                  <c:v>estradiol-34ng/L + Testosterone</c:v>
                </c:pt>
                <c:pt idx="17">
                  <c:v>estradiol-68ng/L + Testosterone</c:v>
                </c:pt>
                <c:pt idx="18">
                  <c:v>estradiol-135ng/L + Testosterone</c:v>
                </c:pt>
                <c:pt idx="19">
                  <c:v>estradiol-270ng/L + Testosterone</c:v>
                </c:pt>
                <c:pt idx="20">
                  <c:v>estradiol-540ng/L + Testosterone</c:v>
                </c:pt>
              </c:strCache>
            </c:strRef>
          </c:cat>
          <c:val>
            <c:numRef>
              <c:f>'pooled normalised values'!$B$75:$V$75</c:f>
              <c:numCache>
                <c:formatCode>0.0000</c:formatCode>
                <c:ptCount val="21"/>
                <c:pt idx="0">
                  <c:v>8.1464266151762957E-2</c:v>
                </c:pt>
                <c:pt idx="1">
                  <c:v>9.2597501565966203E-2</c:v>
                </c:pt>
                <c:pt idx="2">
                  <c:v>0.10814788445133766</c:v>
                </c:pt>
                <c:pt idx="3">
                  <c:v>0.33370186934114421</c:v>
                </c:pt>
                <c:pt idx="4">
                  <c:v>0.65955287217897529</c:v>
                </c:pt>
                <c:pt idx="5">
                  <c:v>1.3895465800573756</c:v>
                </c:pt>
                <c:pt idx="6">
                  <c:v>2.6995927353217302</c:v>
                </c:pt>
                <c:pt idx="7">
                  <c:v>0.10897769148410213</c:v>
                </c:pt>
                <c:pt idx="8">
                  <c:v>0.16077643521891233</c:v>
                </c:pt>
                <c:pt idx="9">
                  <c:v>0.43292212112839784</c:v>
                </c:pt>
                <c:pt idx="10">
                  <c:v>1.989919097808398</c:v>
                </c:pt>
                <c:pt idx="11">
                  <c:v>2.737470688618453</c:v>
                </c:pt>
                <c:pt idx="13">
                  <c:v>0.99999999999999967</c:v>
                </c:pt>
                <c:pt idx="14">
                  <c:v>1.8373348548155883</c:v>
                </c:pt>
                <c:pt idx="15">
                  <c:v>8.9642465413240446E-2</c:v>
                </c:pt>
                <c:pt idx="16">
                  <c:v>1.305406486773349</c:v>
                </c:pt>
                <c:pt idx="17">
                  <c:v>1.6823276629173358</c:v>
                </c:pt>
                <c:pt idx="18">
                  <c:v>2.0439170810423555</c:v>
                </c:pt>
                <c:pt idx="19">
                  <c:v>2.1816909680956886</c:v>
                </c:pt>
                <c:pt idx="20">
                  <c:v>2.4902909973589216</c:v>
                </c:pt>
              </c:numCache>
            </c:numRef>
          </c:val>
          <c:extLst>
            <c:ext xmlns:c15="http://schemas.microsoft.com/office/drawing/2012/chart" uri="{02D57815-91ED-43cb-92C2-25804820EDAC}">
              <c15:datalabelsRange>
                <c15:f>'pooled normalised values'!$B$83:$V$83</c15:f>
                <c15:dlblRangeCache>
                  <c:ptCount val="21"/>
                  <c:pt idx="1">
                    <c:v>NS</c:v>
                  </c:pt>
                  <c:pt idx="2">
                    <c:v>NS</c:v>
                  </c:pt>
                  <c:pt idx="3">
                    <c:v>NS</c:v>
                  </c:pt>
                  <c:pt idx="4">
                    <c:v>***</c:v>
                  </c:pt>
                  <c:pt idx="5">
                    <c:v>***</c:v>
                  </c:pt>
                  <c:pt idx="6">
                    <c:v>***</c:v>
                  </c:pt>
                  <c:pt idx="7">
                    <c:v>NS</c:v>
                  </c:pt>
                  <c:pt idx="8">
                    <c:v>NS</c:v>
                  </c:pt>
                  <c:pt idx="9">
                    <c:v>**</c:v>
                  </c:pt>
                  <c:pt idx="10">
                    <c:v>***</c:v>
                  </c:pt>
                  <c:pt idx="11">
                    <c:v>***</c:v>
                  </c:pt>
                  <c:pt idx="13">
                    <c:v>***</c:v>
                  </c:pt>
                  <c:pt idx="14">
                    <c:v>***</c:v>
                  </c:pt>
                  <c:pt idx="15">
                    <c:v>***</c:v>
                  </c:pt>
                  <c:pt idx="16">
                    <c:v>NS</c:v>
                  </c:pt>
                  <c:pt idx="17">
                    <c:v>***</c:v>
                  </c:pt>
                  <c:pt idx="18">
                    <c:v>***</c:v>
                  </c:pt>
                  <c:pt idx="19">
                    <c:v>***</c:v>
                  </c:pt>
                  <c:pt idx="20">
                    <c:v>***</c:v>
                  </c:pt>
                </c15:dlblRangeCache>
              </c15:datalabelsRange>
            </c:ext>
            <c:ext xmlns:c16="http://schemas.microsoft.com/office/drawing/2014/chart" uri="{C3380CC4-5D6E-409C-BE32-E72D297353CC}">
              <c16:uniqueId val="{0000004B-033C-4530-84A9-991A3866ABD4}"/>
            </c:ext>
          </c:extLst>
        </c:ser>
        <c:dLbls>
          <c:showLegendKey val="0"/>
          <c:showVal val="0"/>
          <c:showCatName val="0"/>
          <c:showSerName val="0"/>
          <c:showPercent val="0"/>
          <c:showBubbleSize val="0"/>
        </c:dLbls>
        <c:gapWidth val="150"/>
        <c:axId val="434374272"/>
        <c:axId val="434374664"/>
      </c:barChart>
      <c:catAx>
        <c:axId val="434374272"/>
        <c:scaling>
          <c:orientation val="minMax"/>
        </c:scaling>
        <c:delete val="0"/>
        <c:axPos val="b"/>
        <c:numFmt formatCode="General" sourceLinked="0"/>
        <c:majorTickMark val="out"/>
        <c:minorTickMark val="none"/>
        <c:tickLblPos val="nextTo"/>
        <c:txPr>
          <a:bodyPr rot="-2700000"/>
          <a:lstStyle/>
          <a:p>
            <a:pPr>
              <a:defRPr lang="en-GB" sz="1000"/>
            </a:pPr>
            <a:endParaRPr lang="en-US"/>
          </a:p>
        </c:txPr>
        <c:crossAx val="434374664"/>
        <c:crosses val="autoZero"/>
        <c:auto val="1"/>
        <c:lblAlgn val="ctr"/>
        <c:lblOffset val="100"/>
        <c:noMultiLvlLbl val="0"/>
      </c:catAx>
      <c:valAx>
        <c:axId val="434374664"/>
        <c:scaling>
          <c:orientation val="minMax"/>
          <c:min val="0"/>
        </c:scaling>
        <c:delete val="0"/>
        <c:axPos val="l"/>
        <c:majorGridlines/>
        <c:title>
          <c:tx>
            <c:rich>
              <a:bodyPr rot="-5400000" vert="horz"/>
              <a:lstStyle/>
              <a:p>
                <a:pPr>
                  <a:defRPr lang="en-GB" sz="1400"/>
                </a:pPr>
                <a:r>
                  <a:rPr lang="en-US" sz="1400"/>
                  <a:t>fluorescence totale (unités arbitraires)</a:t>
                </a:r>
              </a:p>
            </c:rich>
          </c:tx>
          <c:overlay val="0"/>
        </c:title>
        <c:numFmt formatCode="0.0" sourceLinked="0"/>
        <c:majorTickMark val="out"/>
        <c:minorTickMark val="none"/>
        <c:tickLblPos val="nextTo"/>
        <c:txPr>
          <a:bodyPr/>
          <a:lstStyle/>
          <a:p>
            <a:pPr>
              <a:defRPr lang="en-GB"/>
            </a:pPr>
            <a:endParaRPr lang="en-US"/>
          </a:p>
        </c:txPr>
        <c:crossAx val="434374272"/>
        <c:crosses val="autoZero"/>
        <c:crossBetween val="between"/>
      </c:valAx>
    </c:plotArea>
    <c:plotVisOnly val="1"/>
    <c:dispBlanksAs val="gap"/>
    <c:showDLblsOverMax val="0"/>
  </c:char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5E88AC78-30D4-42FF-910A-07E69F69A112}"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estradiol-34ng/L : 0%</c:v>
                  </c:pt>
                  <c:pt idx="1">
                    <c:v>estradiol-68ng/L : 0%</c:v>
                  </c:pt>
                  <c:pt idx="2">
                    <c:v>#NUM!</c:v>
                  </c:pt>
                  <c:pt idx="3">
                    <c:v>#NUM!</c:v>
                  </c:pt>
                  <c:pt idx="4">
                    <c:v>#NUM!</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5448"/>
        <c:axId val="434375840"/>
      </c:scatterChart>
      <c:valAx>
        <c:axId val="434375448"/>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5840"/>
        <c:crosses val="autoZero"/>
        <c:crossBetween val="midCat"/>
        <c:majorUnit val="25"/>
      </c:valAx>
      <c:valAx>
        <c:axId val="434375840"/>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US"/>
          </a:p>
        </c:txPr>
        <c:crossAx val="434375448"/>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D28F3100-2D37-41F9-B47C-EC62E74CA322}"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estradiol-34ng/L : 0%</c:v>
                  </c:pt>
                  <c:pt idx="1">
                    <c:v>#NUM!</c:v>
                  </c:pt>
                  <c:pt idx="2">
                    <c:v>#NUM!</c:v>
                  </c:pt>
                  <c:pt idx="3">
                    <c:v>#NUM!</c:v>
                  </c:pt>
                  <c:pt idx="4">
                    <c:v>#NUM!</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6624"/>
        <c:axId val="434377016"/>
      </c:scatterChart>
      <c:valAx>
        <c:axId val="43437662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7016"/>
        <c:crosses val="autoZero"/>
        <c:crossBetween val="midCat"/>
        <c:majorUnit val="25"/>
      </c:valAx>
      <c:valAx>
        <c:axId val="43437701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US"/>
          </a:p>
        </c:txPr>
        <c:crossAx val="43437662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CC82EA90-4D89-4CBA-A749-D2FF52953C47}"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estradiol-34ng/L : 0%</c:v>
                  </c:pt>
                  <c:pt idx="1">
                    <c:v>estradiol-68ng/L : 0%</c:v>
                  </c:pt>
                  <c:pt idx="2">
                    <c:v>#NUM!</c:v>
                  </c:pt>
                  <c:pt idx="3">
                    <c:v>#NUM!</c:v>
                  </c:pt>
                  <c:pt idx="4">
                    <c:v>#NUM!</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7800"/>
        <c:axId val="434378192"/>
      </c:scatterChart>
      <c:valAx>
        <c:axId val="434377800"/>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192"/>
        <c:crosses val="autoZero"/>
        <c:crossBetween val="midCat"/>
        <c:majorUnit val="25"/>
      </c:valAx>
      <c:valAx>
        <c:axId val="434378192"/>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US"/>
          </a:p>
        </c:txPr>
        <c:crossAx val="434377800"/>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3948C0F4-E854-46A9-9773-E80AB9A367F4}"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estradiol-34ng/L : 0%</c:v>
                  </c:pt>
                  <c:pt idx="1">
                    <c:v>#NUM!</c:v>
                  </c:pt>
                  <c:pt idx="2">
                    <c:v>#NUM!</c:v>
                  </c:pt>
                  <c:pt idx="3">
                    <c:v>#NUM!</c:v>
                  </c:pt>
                  <c:pt idx="4">
                    <c:v>#NUM!</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2704"/>
        <c:axId val="434378976"/>
      </c:scatterChart>
      <c:valAx>
        <c:axId val="43437270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976"/>
        <c:crosses val="autoZero"/>
        <c:crossBetween val="midCat"/>
        <c:majorUnit val="25"/>
      </c:valAx>
      <c:valAx>
        <c:axId val="43437897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US"/>
          </a:p>
        </c:txPr>
        <c:crossAx val="43437270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estradiol 68ng/L</c:v>
                </c:pt>
                <c:pt idx="2">
                  <c:v>estradiol 135ng/L</c:v>
                </c:pt>
                <c:pt idx="3">
                  <c:v>estradiol 270ng/L</c:v>
                </c:pt>
                <c:pt idx="4">
                  <c:v>estradiol 540ng/L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estradiol 68ng/L</c:v>
                </c:pt>
                <c:pt idx="2">
                  <c:v>estradiol 135ng/L</c:v>
                </c:pt>
                <c:pt idx="3">
                  <c:v>estradiol 270ng/L</c:v>
                </c:pt>
                <c:pt idx="4">
                  <c:v>estradiol 540ng/L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estradiol 68ng/L</c:v>
                </c:pt>
                <c:pt idx="2">
                  <c:v>estradiol 135ng/L</c:v>
                </c:pt>
                <c:pt idx="3">
                  <c:v>estradiol 270ng/L</c:v>
                </c:pt>
                <c:pt idx="4">
                  <c:v>estradiol 540ng/L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79760"/>
        <c:axId val="434380152"/>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DD060253-1522-4DCD-8DA0-842E2BE4B45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A7B8B926-9626-411A-AE6E-DBB8031AF57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8B5-430B-9986-9EC2C1992644}"/>
                </c:ext>
              </c:extLst>
            </c:dLbl>
            <c:dLbl>
              <c:idx val="2"/>
              <c:tx>
                <c:rich>
                  <a:bodyPr/>
                  <a:lstStyle/>
                  <a:p>
                    <a:fld id="{152C2502-CFB9-4975-9986-22E22095E1F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8B5-430B-9986-9EC2C1992644}"/>
                </c:ext>
              </c:extLst>
            </c:dLbl>
            <c:dLbl>
              <c:idx val="3"/>
              <c:tx>
                <c:rich>
                  <a:bodyPr/>
                  <a:lstStyle/>
                  <a:p>
                    <a:fld id="{0543E9C4-D0C4-441C-90AA-83E2581D7A6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8B5-430B-9986-9EC2C1992644}"/>
                </c:ext>
              </c:extLst>
            </c:dLbl>
            <c:dLbl>
              <c:idx val="4"/>
              <c:tx>
                <c:rich>
                  <a:bodyPr/>
                  <a:lstStyle/>
                  <a:p>
                    <a:fld id="{D8C1FF27-FEF5-46FB-B13C-76F5DD21FAA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8B5-430B-9986-9EC2C1992644}"/>
                </c:ext>
              </c:extLst>
            </c:dLbl>
            <c:dLbl>
              <c:idx val="5"/>
              <c:tx>
                <c:rich>
                  <a:bodyPr/>
                  <a:lstStyle/>
                  <a:p>
                    <a:fld id="{7DDF3B63-FCF3-4E41-A489-007CCEC633B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8B5-430B-9986-9EC2C1992644}"/>
                </c:ext>
              </c:extLst>
            </c:dLbl>
            <c:dLbl>
              <c:idx val="6"/>
              <c:tx>
                <c:rich>
                  <a:bodyPr/>
                  <a:lstStyle/>
                  <a:p>
                    <a:fld id="{8F1F9E0A-D280-4B6A-AB4E-9422716DB5A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8B5-430B-9986-9EC2C1992644}"/>
                </c:ext>
              </c:extLst>
            </c:dLbl>
            <c:dLbl>
              <c:idx val="7"/>
              <c:tx>
                <c:rich>
                  <a:bodyPr/>
                  <a:lstStyle/>
                  <a:p>
                    <a:fld id="{90BB90C4-5653-49D4-8843-85717C8209A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8B5-430B-9986-9EC2C1992644}"/>
                </c:ext>
              </c:extLst>
            </c:dLbl>
            <c:dLbl>
              <c:idx val="8"/>
              <c:tx>
                <c:rich>
                  <a:bodyPr/>
                  <a:lstStyle/>
                  <a:p>
                    <a:fld id="{4E58C9B5-613D-4CE9-AAF7-B848860C2DC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8B5-430B-9986-9EC2C1992644}"/>
                </c:ext>
              </c:extLst>
            </c:dLbl>
            <c:dLbl>
              <c:idx val="9"/>
              <c:tx>
                <c:rich>
                  <a:bodyPr/>
                  <a:lstStyle/>
                  <a:p>
                    <a:fld id="{1C5F670F-4043-496C-AC94-3F04A19154B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8B5-430B-9986-9EC2C1992644}"/>
                </c:ext>
              </c:extLst>
            </c:dLbl>
            <c:dLbl>
              <c:idx val="10"/>
              <c:tx>
                <c:rich>
                  <a:bodyPr/>
                  <a:lstStyle/>
                  <a:p>
                    <a:fld id="{F03E44E6-29B7-408C-92E7-8264DACA48A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8B5-430B-9986-9EC2C1992644}"/>
                </c:ext>
              </c:extLst>
            </c:dLbl>
            <c:dLbl>
              <c:idx val="11"/>
              <c:tx>
                <c:rich>
                  <a:bodyPr/>
                  <a:lstStyle/>
                  <a:p>
                    <a:fld id="{0B8629CB-109D-4604-97FE-3801273547E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8B5-430B-9986-9EC2C1992644}"/>
                </c:ext>
              </c:extLst>
            </c:dLbl>
            <c:dLbl>
              <c:idx val="12"/>
              <c:tx>
                <c:rich>
                  <a:bodyPr/>
                  <a:lstStyle/>
                  <a:p>
                    <a:fld id="{D1502EB3-714A-4253-AA67-9634609BB82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8B5-430B-9986-9EC2C1992644}"/>
                </c:ext>
              </c:extLst>
            </c:dLbl>
            <c:dLbl>
              <c:idx val="13"/>
              <c:tx>
                <c:rich>
                  <a:bodyPr/>
                  <a:lstStyle/>
                  <a:p>
                    <a:fld id="{4673494E-F4C4-44F6-A910-6CA7723EC57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8B5-430B-9986-9EC2C1992644}"/>
                </c:ext>
              </c:extLst>
            </c:dLbl>
            <c:dLbl>
              <c:idx val="14"/>
              <c:tx>
                <c:rich>
                  <a:bodyPr/>
                  <a:lstStyle/>
                  <a:p>
                    <a:fld id="{2AC8CA36-E7BD-4408-8D39-12F7D364A49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8B5-430B-9986-9EC2C1992644}"/>
                </c:ext>
              </c:extLst>
            </c:dLbl>
            <c:dLbl>
              <c:idx val="15"/>
              <c:tx>
                <c:rich>
                  <a:bodyPr/>
                  <a:lstStyle/>
                  <a:p>
                    <a:fld id="{40AAC0A9-2014-42B1-A68E-0EDC5965A9D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08B5-430B-9986-9EC2C199264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6.3261435567210381E-2</c:v>
                  </c:pt>
                  <c:pt idx="2">
                    <c:v>7.6011460976960113E-2</c:v>
                  </c:pt>
                  <c:pt idx="3">
                    <c:v>0.15628965412739751</c:v>
                  </c:pt>
                  <c:pt idx="4">
                    <c:v>0.19871382190837028</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6.3261435567210381E-2</c:v>
                  </c:pt>
                  <c:pt idx="2">
                    <c:v>7.6011460976960113E-2</c:v>
                  </c:pt>
                  <c:pt idx="3">
                    <c:v>0.15628965412739751</c:v>
                  </c:pt>
                  <c:pt idx="4">
                    <c:v>0.19871382190837028</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estradiol 68ng/L</c:v>
                </c:pt>
                <c:pt idx="2">
                  <c:v>estradiol 135ng/L</c:v>
                </c:pt>
                <c:pt idx="3">
                  <c:v>estradiol 270ng/L</c:v>
                </c:pt>
                <c:pt idx="4">
                  <c:v>estradiol 540ng/L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0.16077643521891233</c:v>
                </c:pt>
                <c:pt idx="2">
                  <c:v>0.43292212112839784</c:v>
                </c:pt>
                <c:pt idx="3">
                  <c:v>1.989919097808398</c:v>
                </c:pt>
                <c:pt idx="4">
                  <c:v>2.737470688618453</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c:v>
                  </c:pt>
                  <c:pt idx="3">
                    <c:v>***</c:v>
                  </c:pt>
                  <c:pt idx="4">
                    <c:v>***</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79760"/>
        <c:axId val="434380152"/>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8.1464266151762957E-2</c:v>
                </c:pt>
                <c:pt idx="1">
                  <c:v>8.1464266151762957E-2</c:v>
                </c:pt>
                <c:pt idx="2">
                  <c:v>8.1464266151762957E-2</c:v>
                </c:pt>
                <c:pt idx="3">
                  <c:v>8.1464266151762957E-2</c:v>
                </c:pt>
                <c:pt idx="4">
                  <c:v>8.1464266151762957E-2</c:v>
                </c:pt>
                <c:pt idx="5">
                  <c:v>8.1464266151762957E-2</c:v>
                </c:pt>
                <c:pt idx="6">
                  <c:v>8.1464266151762957E-2</c:v>
                </c:pt>
                <c:pt idx="7">
                  <c:v>8.1464266151762957E-2</c:v>
                </c:pt>
                <c:pt idx="8">
                  <c:v>8.1464266151762957E-2</c:v>
                </c:pt>
                <c:pt idx="9">
                  <c:v>8.1464266151762957E-2</c:v>
                </c:pt>
                <c:pt idx="10">
                  <c:v>8.1464266151762957E-2</c:v>
                </c:pt>
                <c:pt idx="11">
                  <c:v>8.1464266151762957E-2</c:v>
                </c:pt>
                <c:pt idx="12">
                  <c:v>8.1464266151762957E-2</c:v>
                </c:pt>
                <c:pt idx="13">
                  <c:v>8.1464266151762957E-2</c:v>
                </c:pt>
                <c:pt idx="14">
                  <c:v>8.1464266151762957E-2</c:v>
                </c:pt>
                <c:pt idx="15">
                  <c:v>8.1464266151762957E-2</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79760"/>
        <c:axId val="434380152"/>
      </c:lineChart>
      <c:dateAx>
        <c:axId val="43437976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0152"/>
        <c:crosses val="autoZero"/>
        <c:auto val="0"/>
        <c:lblOffset val="100"/>
        <c:baseTimeUnit val="days"/>
      </c:dateAx>
      <c:valAx>
        <c:axId val="434380152"/>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US"/>
          </a:p>
        </c:txPr>
        <c:crossAx val="434379760"/>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estradiol-34ng/L + Testosterone</c:v>
                </c:pt>
                <c:pt idx="2">
                  <c:v>estradiol-68ng/L + Testosterone</c:v>
                </c:pt>
                <c:pt idx="3">
                  <c:v>estradiol-135ng/L + Testosterone</c:v>
                </c:pt>
                <c:pt idx="4">
                  <c:v>estradiol-270ng/L + Testosterone</c:v>
                </c:pt>
                <c:pt idx="5">
                  <c:v>estradiol-540ng/L + Testosterone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8.9642465413240446E-2</c:v>
                </c:pt>
                <c:pt idx="1">
                  <c:v>8.9642465413240446E-2</c:v>
                </c:pt>
                <c:pt idx="2">
                  <c:v>8.9642465413240446E-2</c:v>
                </c:pt>
                <c:pt idx="3">
                  <c:v>8.9642465413240446E-2</c:v>
                </c:pt>
                <c:pt idx="4">
                  <c:v>8.9642465413240446E-2</c:v>
                </c:pt>
                <c:pt idx="5">
                  <c:v>8.9642465413240446E-2</c:v>
                </c:pt>
                <c:pt idx="6">
                  <c:v>8.9642465413240446E-2</c:v>
                </c:pt>
                <c:pt idx="7">
                  <c:v>8.9642465413240446E-2</c:v>
                </c:pt>
                <c:pt idx="8">
                  <c:v>8.9642465413240446E-2</c:v>
                </c:pt>
                <c:pt idx="9">
                  <c:v>8.9642465413240446E-2</c:v>
                </c:pt>
                <c:pt idx="10">
                  <c:v>8.9642465413240446E-2</c:v>
                </c:pt>
                <c:pt idx="11">
                  <c:v>8.9642465413240446E-2</c:v>
                </c:pt>
                <c:pt idx="12">
                  <c:v>8.9642465413240446E-2</c:v>
                </c:pt>
                <c:pt idx="13">
                  <c:v>8.9642465413240446E-2</c:v>
                </c:pt>
                <c:pt idx="14">
                  <c:v>8.9642465413240446E-2</c:v>
                </c:pt>
                <c:pt idx="15">
                  <c:v>8.9642465413240446E-2</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estradiol-34ng/L + Testosterone</c:v>
                </c:pt>
                <c:pt idx="2">
                  <c:v>estradiol-68ng/L + Testosterone</c:v>
                </c:pt>
                <c:pt idx="3">
                  <c:v>estradiol-135ng/L + Testosterone</c:v>
                </c:pt>
                <c:pt idx="4">
                  <c:v>estradiol-270ng/L + Testosterone</c:v>
                </c:pt>
                <c:pt idx="5">
                  <c:v>estradiol-540ng/L + Testosterone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1.7476923894023479</c:v>
                </c:pt>
                <c:pt idx="1">
                  <c:v>1.7476923894023479</c:v>
                </c:pt>
                <c:pt idx="2">
                  <c:v>1.7476923894023479</c:v>
                </c:pt>
                <c:pt idx="3">
                  <c:v>1.7476923894023479</c:v>
                </c:pt>
                <c:pt idx="4">
                  <c:v>1.7476923894023479</c:v>
                </c:pt>
                <c:pt idx="5">
                  <c:v>1.7476923894023479</c:v>
                </c:pt>
                <c:pt idx="6">
                  <c:v>1.7476923894023479</c:v>
                </c:pt>
                <c:pt idx="7">
                  <c:v>1.7476923894023479</c:v>
                </c:pt>
                <c:pt idx="8">
                  <c:v>1.7476923894023479</c:v>
                </c:pt>
                <c:pt idx="9">
                  <c:v>1.7476923894023479</c:v>
                </c:pt>
                <c:pt idx="10">
                  <c:v>1.7476923894023479</c:v>
                </c:pt>
                <c:pt idx="11">
                  <c:v>1.7476923894023479</c:v>
                </c:pt>
                <c:pt idx="12">
                  <c:v>1.7476923894023479</c:v>
                </c:pt>
                <c:pt idx="13">
                  <c:v>1.7476923894023479</c:v>
                </c:pt>
                <c:pt idx="14">
                  <c:v>1.7476923894023479</c:v>
                </c:pt>
                <c:pt idx="15">
                  <c:v>1.7476923894023479</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estradiol-34ng/L + Testosterone</c:v>
                </c:pt>
                <c:pt idx="2">
                  <c:v>estradiol-68ng/L + Testosterone</c:v>
                </c:pt>
                <c:pt idx="3">
                  <c:v>estradiol-135ng/L + Testosterone</c:v>
                </c:pt>
                <c:pt idx="4">
                  <c:v>estradiol-270ng/L + Testosterone</c:v>
                </c:pt>
                <c:pt idx="5">
                  <c:v>estradiol-540ng/L + Testosterone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0.75230761059765205</c:v>
                </c:pt>
                <c:pt idx="1">
                  <c:v>0.75230761059765205</c:v>
                </c:pt>
                <c:pt idx="2">
                  <c:v>0.75230761059765205</c:v>
                </c:pt>
                <c:pt idx="3">
                  <c:v>0.75230761059765205</c:v>
                </c:pt>
                <c:pt idx="4">
                  <c:v>0.75230761059765205</c:v>
                </c:pt>
                <c:pt idx="5">
                  <c:v>0.75230761059765205</c:v>
                </c:pt>
                <c:pt idx="6">
                  <c:v>0.75230761059765205</c:v>
                </c:pt>
                <c:pt idx="7">
                  <c:v>0.75230761059765205</c:v>
                </c:pt>
                <c:pt idx="8">
                  <c:v>0.75230761059765205</c:v>
                </c:pt>
                <c:pt idx="9">
                  <c:v>0.75230761059765205</c:v>
                </c:pt>
                <c:pt idx="10">
                  <c:v>0.75230761059765205</c:v>
                </c:pt>
                <c:pt idx="11">
                  <c:v>0.75230761059765205</c:v>
                </c:pt>
                <c:pt idx="12">
                  <c:v>0.75230761059765205</c:v>
                </c:pt>
                <c:pt idx="13">
                  <c:v>0.75230761059765205</c:v>
                </c:pt>
                <c:pt idx="14">
                  <c:v>0.75230761059765205</c:v>
                </c:pt>
                <c:pt idx="15">
                  <c:v>0.75230761059765205</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0936"/>
        <c:axId val="434381328"/>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91D5FE-68FC-4D2B-92D2-B5C9629D3D4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F475609E-13C0-4DB7-8C6A-7A02C53E7E6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E32-4216-8FED-9A7B81C1A779}"/>
                </c:ext>
              </c:extLst>
            </c:dLbl>
            <c:dLbl>
              <c:idx val="2"/>
              <c:tx>
                <c:rich>
                  <a:bodyPr/>
                  <a:lstStyle/>
                  <a:p>
                    <a:fld id="{952BEF02-9E6E-42BC-8E54-44DE6AAE8DA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E32-4216-8FED-9A7B81C1A779}"/>
                </c:ext>
              </c:extLst>
            </c:dLbl>
            <c:dLbl>
              <c:idx val="3"/>
              <c:tx>
                <c:rich>
                  <a:bodyPr/>
                  <a:lstStyle/>
                  <a:p>
                    <a:fld id="{36404280-301B-498E-BE03-97D4A283AB2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E32-4216-8FED-9A7B81C1A779}"/>
                </c:ext>
              </c:extLst>
            </c:dLbl>
            <c:dLbl>
              <c:idx val="4"/>
              <c:tx>
                <c:rich>
                  <a:bodyPr/>
                  <a:lstStyle/>
                  <a:p>
                    <a:fld id="{25F91355-2CBC-4CBB-AEF8-15D3AA8A84E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E32-4216-8FED-9A7B81C1A779}"/>
                </c:ext>
              </c:extLst>
            </c:dLbl>
            <c:dLbl>
              <c:idx val="5"/>
              <c:tx>
                <c:rich>
                  <a:bodyPr/>
                  <a:lstStyle/>
                  <a:p>
                    <a:fld id="{5B852DBA-A1BC-495D-9B4F-5CE310D0B6D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E32-4216-8FED-9A7B81C1A779}"/>
                </c:ext>
              </c:extLst>
            </c:dLbl>
            <c:dLbl>
              <c:idx val="6"/>
              <c:tx>
                <c:rich>
                  <a:bodyPr/>
                  <a:lstStyle/>
                  <a:p>
                    <a:fld id="{C7D18336-975E-4DEE-828B-666E100F7BE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E32-4216-8FED-9A7B81C1A779}"/>
                </c:ext>
              </c:extLst>
            </c:dLbl>
            <c:dLbl>
              <c:idx val="7"/>
              <c:tx>
                <c:rich>
                  <a:bodyPr/>
                  <a:lstStyle/>
                  <a:p>
                    <a:fld id="{52E3762F-F480-4EFC-B0E6-CD8BE07BE4E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E32-4216-8FED-9A7B81C1A779}"/>
                </c:ext>
              </c:extLst>
            </c:dLbl>
            <c:dLbl>
              <c:idx val="8"/>
              <c:tx>
                <c:rich>
                  <a:bodyPr/>
                  <a:lstStyle/>
                  <a:p>
                    <a:fld id="{A995CC9A-CB44-4700-B3E7-17D0D994EC3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E32-4216-8FED-9A7B81C1A779}"/>
                </c:ext>
              </c:extLst>
            </c:dLbl>
            <c:dLbl>
              <c:idx val="9"/>
              <c:tx>
                <c:rich>
                  <a:bodyPr/>
                  <a:lstStyle/>
                  <a:p>
                    <a:fld id="{CE4A2D2B-BD35-4B5C-9192-49A904B661A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E32-4216-8FED-9A7B81C1A779}"/>
                </c:ext>
              </c:extLst>
            </c:dLbl>
            <c:dLbl>
              <c:idx val="10"/>
              <c:tx>
                <c:rich>
                  <a:bodyPr/>
                  <a:lstStyle/>
                  <a:p>
                    <a:fld id="{15A52935-216D-45B2-B66C-0235513E236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E32-4216-8FED-9A7B81C1A779}"/>
                </c:ext>
              </c:extLst>
            </c:dLbl>
            <c:dLbl>
              <c:idx val="11"/>
              <c:tx>
                <c:rich>
                  <a:bodyPr/>
                  <a:lstStyle/>
                  <a:p>
                    <a:fld id="{79B81FE0-77F4-4891-9993-C84EAFB768B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E32-4216-8FED-9A7B81C1A779}"/>
                </c:ext>
              </c:extLst>
            </c:dLbl>
            <c:dLbl>
              <c:idx val="12"/>
              <c:tx>
                <c:rich>
                  <a:bodyPr/>
                  <a:lstStyle/>
                  <a:p>
                    <a:fld id="{30F60C03-058C-4876-A641-EA21B138C06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E32-4216-8FED-9A7B81C1A779}"/>
                </c:ext>
              </c:extLst>
            </c:dLbl>
            <c:dLbl>
              <c:idx val="13"/>
              <c:tx>
                <c:rich>
                  <a:bodyPr/>
                  <a:lstStyle/>
                  <a:p>
                    <a:fld id="{899F9890-44FD-448E-98DA-2B41783C1E2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E32-4216-8FED-9A7B81C1A779}"/>
                </c:ext>
              </c:extLst>
            </c:dLbl>
            <c:dLbl>
              <c:idx val="14"/>
              <c:tx>
                <c:rich>
                  <a:bodyPr/>
                  <a:lstStyle/>
                  <a:p>
                    <a:fld id="{2B8CF735-53C3-4FB3-A2DA-58DB2939556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E32-4216-8FED-9A7B81C1A779}"/>
                </c:ext>
              </c:extLst>
            </c:dLbl>
            <c:dLbl>
              <c:idx val="15"/>
              <c:tx>
                <c:rich>
                  <a:bodyPr/>
                  <a:lstStyle/>
                  <a:p>
                    <a:fld id="{F3A91565-504F-4F2A-AB2B-DE6EF5D5368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E32-4216-8FED-9A7B81C1A779}"/>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0.10697242238235621</c:v>
                  </c:pt>
                  <c:pt idx="2">
                    <c:v>0.17705364998431691</c:v>
                  </c:pt>
                  <c:pt idx="3">
                    <c:v>0.14894794605285452</c:v>
                  </c:pt>
                  <c:pt idx="4">
                    <c:v>0.13759262184734503</c:v>
                  </c:pt>
                  <c:pt idx="5">
                    <c:v>0.17189785786660167</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0.10697242238235621</c:v>
                  </c:pt>
                  <c:pt idx="2">
                    <c:v>0.17705364998431691</c:v>
                  </c:pt>
                  <c:pt idx="3">
                    <c:v>0.14894794605285452</c:v>
                  </c:pt>
                  <c:pt idx="4">
                    <c:v>0.13759262184734503</c:v>
                  </c:pt>
                  <c:pt idx="5">
                    <c:v>0.17189785786660167</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estradiol-34ng/L + Testosterone</c:v>
                </c:pt>
                <c:pt idx="2">
                  <c:v>estradiol-68ng/L + Testosterone</c:v>
                </c:pt>
                <c:pt idx="3">
                  <c:v>estradiol-135ng/L + Testosterone</c:v>
                </c:pt>
                <c:pt idx="4">
                  <c:v>estradiol-270ng/L + Testosterone</c:v>
                </c:pt>
                <c:pt idx="5">
                  <c:v>estradiol-540ng/L + Testosterone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1.305406486773349</c:v>
                </c:pt>
                <c:pt idx="2">
                  <c:v>1.6823276629173358</c:v>
                </c:pt>
                <c:pt idx="3">
                  <c:v>2.0439170810423555</c:v>
                </c:pt>
                <c:pt idx="4">
                  <c:v>2.1816909680956886</c:v>
                </c:pt>
                <c:pt idx="5">
                  <c:v>2.4902909973589216</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c:v>
                  </c:pt>
                  <c:pt idx="3">
                    <c:v>***</c:v>
                  </c:pt>
                  <c:pt idx="4">
                    <c:v>***</c:v>
                  </c:pt>
                  <c:pt idx="5">
                    <c:v>***</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0936"/>
        <c:axId val="434381328"/>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estradiol-34ng/L + Testosterone</c:v>
                </c:pt>
                <c:pt idx="2">
                  <c:v>estradiol-68ng/L + Testosterone</c:v>
                </c:pt>
                <c:pt idx="3">
                  <c:v>estradiol-135ng/L + Testosterone</c:v>
                </c:pt>
                <c:pt idx="4">
                  <c:v>estradiol-270ng/L + Testosterone</c:v>
                </c:pt>
                <c:pt idx="5">
                  <c:v>estradiol-540ng/L + Testosterone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0.99999999999999967</c:v>
                </c:pt>
                <c:pt idx="1">
                  <c:v>0.99999999999999967</c:v>
                </c:pt>
                <c:pt idx="2">
                  <c:v>0.99999999999999967</c:v>
                </c:pt>
                <c:pt idx="3">
                  <c:v>0.99999999999999967</c:v>
                </c:pt>
                <c:pt idx="4">
                  <c:v>0.99999999999999967</c:v>
                </c:pt>
                <c:pt idx="5">
                  <c:v>0.99999999999999967</c:v>
                </c:pt>
                <c:pt idx="6">
                  <c:v>0.99999999999999967</c:v>
                </c:pt>
                <c:pt idx="7">
                  <c:v>0.99999999999999967</c:v>
                </c:pt>
                <c:pt idx="8">
                  <c:v>0.99999999999999967</c:v>
                </c:pt>
                <c:pt idx="9">
                  <c:v>0.99999999999999967</c:v>
                </c:pt>
                <c:pt idx="10">
                  <c:v>0.99999999999999967</c:v>
                </c:pt>
                <c:pt idx="11">
                  <c:v>0.99999999999999967</c:v>
                </c:pt>
                <c:pt idx="12">
                  <c:v>0.99999999999999967</c:v>
                </c:pt>
                <c:pt idx="13">
                  <c:v>0.99999999999999967</c:v>
                </c:pt>
                <c:pt idx="14">
                  <c:v>0.99999999999999967</c:v>
                </c:pt>
                <c:pt idx="15">
                  <c:v>0.99999999999999967</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0936"/>
        <c:axId val="434381328"/>
      </c:lineChart>
      <c:dateAx>
        <c:axId val="43438093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1328"/>
        <c:crosses val="autoZero"/>
        <c:auto val="0"/>
        <c:lblOffset val="100"/>
        <c:baseTimeUnit val="days"/>
      </c:dateAx>
      <c:valAx>
        <c:axId val="434381328"/>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US"/>
          </a:p>
        </c:txPr>
        <c:crossAx val="434380936"/>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estradiol 68ng/L</c:v>
                </c:pt>
                <c:pt idx="2">
                  <c:v>estradiol 135ng/L</c:v>
                </c:pt>
                <c:pt idx="3">
                  <c:v>estradiol 270ng/L</c:v>
                </c:pt>
                <c:pt idx="4">
                  <c:v>estradiol 540ng/L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estradiol 68ng/L</c:v>
                </c:pt>
                <c:pt idx="2">
                  <c:v>estradiol 135ng/L</c:v>
                </c:pt>
                <c:pt idx="3">
                  <c:v>estradiol 270ng/L</c:v>
                </c:pt>
                <c:pt idx="4">
                  <c:v>estradiol 540ng/L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estradiol 68ng/L</c:v>
                </c:pt>
                <c:pt idx="2">
                  <c:v>estradiol 135ng/L</c:v>
                </c:pt>
                <c:pt idx="3">
                  <c:v>estradiol 270ng/L</c:v>
                </c:pt>
                <c:pt idx="4">
                  <c:v>estradiol 540ng/L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82112"/>
        <c:axId val="434382504"/>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BDF2FC-0662-42F7-88AA-6E891B8B546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1CF3ED1B-2FC7-456C-9D80-57652DA40DA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C6E-4AE4-BE8A-896B67024C51}"/>
                </c:ext>
              </c:extLst>
            </c:dLbl>
            <c:dLbl>
              <c:idx val="2"/>
              <c:tx>
                <c:rich>
                  <a:bodyPr/>
                  <a:lstStyle/>
                  <a:p>
                    <a:fld id="{56F8F445-9010-42BE-9582-07FAEBC9209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C6E-4AE4-BE8A-896B67024C51}"/>
                </c:ext>
              </c:extLst>
            </c:dLbl>
            <c:dLbl>
              <c:idx val="3"/>
              <c:tx>
                <c:rich>
                  <a:bodyPr/>
                  <a:lstStyle/>
                  <a:p>
                    <a:fld id="{EE2BDB5E-BED2-43B6-AE2B-C6520578CFD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C6E-4AE4-BE8A-896B67024C51}"/>
                </c:ext>
              </c:extLst>
            </c:dLbl>
            <c:dLbl>
              <c:idx val="4"/>
              <c:tx>
                <c:rich>
                  <a:bodyPr/>
                  <a:lstStyle/>
                  <a:p>
                    <a:fld id="{D5746E87-1655-4285-B8BF-223EF02A58C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C6E-4AE4-BE8A-896B67024C51}"/>
                </c:ext>
              </c:extLst>
            </c:dLbl>
            <c:dLbl>
              <c:idx val="5"/>
              <c:tx>
                <c:rich>
                  <a:bodyPr/>
                  <a:lstStyle/>
                  <a:p>
                    <a:fld id="{F3418B2C-118D-49A6-A581-BC43618C7D8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C6E-4AE4-BE8A-896B67024C51}"/>
                </c:ext>
              </c:extLst>
            </c:dLbl>
            <c:dLbl>
              <c:idx val="6"/>
              <c:tx>
                <c:rich>
                  <a:bodyPr/>
                  <a:lstStyle/>
                  <a:p>
                    <a:fld id="{8437194A-12F8-4B25-99D1-41FA7013C61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C6E-4AE4-BE8A-896B67024C51}"/>
                </c:ext>
              </c:extLst>
            </c:dLbl>
            <c:dLbl>
              <c:idx val="7"/>
              <c:tx>
                <c:rich>
                  <a:bodyPr/>
                  <a:lstStyle/>
                  <a:p>
                    <a:fld id="{8448BDF5-E2B0-4D42-8138-8E21333C297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C6E-4AE4-BE8A-896B67024C51}"/>
                </c:ext>
              </c:extLst>
            </c:dLbl>
            <c:dLbl>
              <c:idx val="8"/>
              <c:tx>
                <c:rich>
                  <a:bodyPr/>
                  <a:lstStyle/>
                  <a:p>
                    <a:fld id="{8501BC70-60F2-442E-A638-20E9189B3C8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C6E-4AE4-BE8A-896B67024C51}"/>
                </c:ext>
              </c:extLst>
            </c:dLbl>
            <c:dLbl>
              <c:idx val="9"/>
              <c:tx>
                <c:rich>
                  <a:bodyPr/>
                  <a:lstStyle/>
                  <a:p>
                    <a:fld id="{E7FF9D6B-01E9-4589-88BF-1B3799776F4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C6E-4AE4-BE8A-896B67024C51}"/>
                </c:ext>
              </c:extLst>
            </c:dLbl>
            <c:dLbl>
              <c:idx val="10"/>
              <c:tx>
                <c:rich>
                  <a:bodyPr/>
                  <a:lstStyle/>
                  <a:p>
                    <a:fld id="{9838A854-C5F2-4900-B57C-E59CFD9C3E0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C6E-4AE4-BE8A-896B67024C51}"/>
                </c:ext>
              </c:extLst>
            </c:dLbl>
            <c:dLbl>
              <c:idx val="11"/>
              <c:tx>
                <c:rich>
                  <a:bodyPr/>
                  <a:lstStyle/>
                  <a:p>
                    <a:fld id="{DCF7BDCF-27E0-43EA-83DA-9E90BC4278B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C6E-4AE4-BE8A-896B67024C51}"/>
                </c:ext>
              </c:extLst>
            </c:dLbl>
            <c:dLbl>
              <c:idx val="12"/>
              <c:tx>
                <c:rich>
                  <a:bodyPr/>
                  <a:lstStyle/>
                  <a:p>
                    <a:fld id="{3CE3AC99-3AC2-4C5B-BE9A-66EEF9222D6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C6E-4AE4-BE8A-896B67024C51}"/>
                </c:ext>
              </c:extLst>
            </c:dLbl>
            <c:dLbl>
              <c:idx val="13"/>
              <c:tx>
                <c:rich>
                  <a:bodyPr/>
                  <a:lstStyle/>
                  <a:p>
                    <a:fld id="{7B23F0D4-4169-4061-83CC-987C2BBEA7D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C6E-4AE4-BE8A-896B67024C51}"/>
                </c:ext>
              </c:extLst>
            </c:dLbl>
            <c:dLbl>
              <c:idx val="14"/>
              <c:tx>
                <c:rich>
                  <a:bodyPr/>
                  <a:lstStyle/>
                  <a:p>
                    <a:fld id="{6A6FDD37-DFE3-4BB3-9B6D-C9075A40DE9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C6E-4AE4-BE8A-896B67024C51}"/>
                </c:ext>
              </c:extLst>
            </c:dLbl>
            <c:dLbl>
              <c:idx val="15"/>
              <c:tx>
                <c:rich>
                  <a:bodyPr/>
                  <a:lstStyle/>
                  <a:p>
                    <a:fld id="{FA396178-FD07-4ED1-A3AE-F891322054E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C6E-4AE4-BE8A-896B67024C51}"/>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6.3261435567210381E-2</c:v>
                  </c:pt>
                  <c:pt idx="2">
                    <c:v>7.6011460976960113E-2</c:v>
                  </c:pt>
                  <c:pt idx="3">
                    <c:v>0.15628965412739751</c:v>
                  </c:pt>
                  <c:pt idx="4">
                    <c:v>0.19871382190837028</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6.3261435567210381E-2</c:v>
                  </c:pt>
                  <c:pt idx="2">
                    <c:v>7.6011460976960113E-2</c:v>
                  </c:pt>
                  <c:pt idx="3">
                    <c:v>0.15628965412739751</c:v>
                  </c:pt>
                  <c:pt idx="4">
                    <c:v>0.19871382190837028</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estradiol 68ng/L</c:v>
                </c:pt>
                <c:pt idx="2">
                  <c:v>estradiol 135ng/L</c:v>
                </c:pt>
                <c:pt idx="3">
                  <c:v>estradiol 270ng/L</c:v>
                </c:pt>
                <c:pt idx="4">
                  <c:v>estradiol 540ng/L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0.16077643521891233</c:v>
                </c:pt>
                <c:pt idx="2">
                  <c:v>0.43292212112839784</c:v>
                </c:pt>
                <c:pt idx="3">
                  <c:v>1.989919097808398</c:v>
                </c:pt>
                <c:pt idx="4">
                  <c:v>2.737470688618453</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c:v>
                  </c:pt>
                  <c:pt idx="3">
                    <c:v>***</c:v>
                  </c:pt>
                  <c:pt idx="4">
                    <c:v>***</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82112"/>
        <c:axId val="434382504"/>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8.1464266151762957E-2</c:v>
                </c:pt>
                <c:pt idx="1">
                  <c:v>8.1464266151762957E-2</c:v>
                </c:pt>
                <c:pt idx="2">
                  <c:v>8.1464266151762957E-2</c:v>
                </c:pt>
                <c:pt idx="3">
                  <c:v>8.1464266151762957E-2</c:v>
                </c:pt>
                <c:pt idx="4">
                  <c:v>8.1464266151762957E-2</c:v>
                </c:pt>
                <c:pt idx="5">
                  <c:v>8.1464266151762957E-2</c:v>
                </c:pt>
                <c:pt idx="6">
                  <c:v>8.1464266151762957E-2</c:v>
                </c:pt>
                <c:pt idx="7">
                  <c:v>8.1464266151762957E-2</c:v>
                </c:pt>
                <c:pt idx="8">
                  <c:v>8.1464266151762957E-2</c:v>
                </c:pt>
                <c:pt idx="9">
                  <c:v>8.1464266151762957E-2</c:v>
                </c:pt>
                <c:pt idx="10">
                  <c:v>8.1464266151762957E-2</c:v>
                </c:pt>
                <c:pt idx="11">
                  <c:v>8.1464266151762957E-2</c:v>
                </c:pt>
                <c:pt idx="12">
                  <c:v>8.1464266151762957E-2</c:v>
                </c:pt>
                <c:pt idx="13">
                  <c:v>8.1464266151762957E-2</c:v>
                </c:pt>
                <c:pt idx="14">
                  <c:v>8.1464266151762957E-2</c:v>
                </c:pt>
                <c:pt idx="15">
                  <c:v>8.1464266151762957E-2</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82112"/>
        <c:axId val="434382504"/>
      </c:lineChart>
      <c:dateAx>
        <c:axId val="43438211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2504"/>
        <c:crosses val="autoZero"/>
        <c:auto val="0"/>
        <c:lblOffset val="100"/>
        <c:baseTimeUnit val="days"/>
      </c:dateAx>
      <c:valAx>
        <c:axId val="434382504"/>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US"/>
          </a:p>
        </c:txPr>
        <c:crossAx val="434382112"/>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estradiol-34ng/L + Testosterone</c:v>
                </c:pt>
                <c:pt idx="2">
                  <c:v>estradiol-68ng/L + Testosterone</c:v>
                </c:pt>
                <c:pt idx="3">
                  <c:v>estradiol-135ng/L + Testosterone</c:v>
                </c:pt>
                <c:pt idx="4">
                  <c:v>estradiol-270ng/L + Testosterone</c:v>
                </c:pt>
                <c:pt idx="5">
                  <c:v>estradiol-540ng/L + Testosterone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8.9642465413240446E-2</c:v>
                </c:pt>
                <c:pt idx="1">
                  <c:v>8.9642465413240446E-2</c:v>
                </c:pt>
                <c:pt idx="2">
                  <c:v>8.9642465413240446E-2</c:v>
                </c:pt>
                <c:pt idx="3">
                  <c:v>8.9642465413240446E-2</c:v>
                </c:pt>
                <c:pt idx="4">
                  <c:v>8.9642465413240446E-2</c:v>
                </c:pt>
                <c:pt idx="5">
                  <c:v>8.9642465413240446E-2</c:v>
                </c:pt>
                <c:pt idx="6">
                  <c:v>8.9642465413240446E-2</c:v>
                </c:pt>
                <c:pt idx="7">
                  <c:v>8.9642465413240446E-2</c:v>
                </c:pt>
                <c:pt idx="8">
                  <c:v>8.9642465413240446E-2</c:v>
                </c:pt>
                <c:pt idx="9">
                  <c:v>8.9642465413240446E-2</c:v>
                </c:pt>
                <c:pt idx="10">
                  <c:v>8.9642465413240446E-2</c:v>
                </c:pt>
                <c:pt idx="11">
                  <c:v>8.9642465413240446E-2</c:v>
                </c:pt>
                <c:pt idx="12">
                  <c:v>8.9642465413240446E-2</c:v>
                </c:pt>
                <c:pt idx="13">
                  <c:v>8.9642465413240446E-2</c:v>
                </c:pt>
                <c:pt idx="14">
                  <c:v>8.9642465413240446E-2</c:v>
                </c:pt>
                <c:pt idx="15">
                  <c:v>8.9642465413240446E-2</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estradiol-34ng/L + Testosterone</c:v>
                </c:pt>
                <c:pt idx="2">
                  <c:v>estradiol-68ng/L + Testosterone</c:v>
                </c:pt>
                <c:pt idx="3">
                  <c:v>estradiol-135ng/L + Testosterone</c:v>
                </c:pt>
                <c:pt idx="4">
                  <c:v>estradiol-270ng/L + Testosterone</c:v>
                </c:pt>
                <c:pt idx="5">
                  <c:v>estradiol-540ng/L + Testosterone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1.7476923894023479</c:v>
                </c:pt>
                <c:pt idx="1">
                  <c:v>1.7476923894023479</c:v>
                </c:pt>
                <c:pt idx="2">
                  <c:v>1.7476923894023479</c:v>
                </c:pt>
                <c:pt idx="3">
                  <c:v>1.7476923894023479</c:v>
                </c:pt>
                <c:pt idx="4">
                  <c:v>1.7476923894023479</c:v>
                </c:pt>
                <c:pt idx="5">
                  <c:v>1.7476923894023479</c:v>
                </c:pt>
                <c:pt idx="6">
                  <c:v>1.7476923894023479</c:v>
                </c:pt>
                <c:pt idx="7">
                  <c:v>1.7476923894023479</c:v>
                </c:pt>
                <c:pt idx="8">
                  <c:v>1.7476923894023479</c:v>
                </c:pt>
                <c:pt idx="9">
                  <c:v>1.7476923894023479</c:v>
                </c:pt>
                <c:pt idx="10">
                  <c:v>1.7476923894023479</c:v>
                </c:pt>
                <c:pt idx="11">
                  <c:v>1.7476923894023479</c:v>
                </c:pt>
                <c:pt idx="12">
                  <c:v>1.7476923894023479</c:v>
                </c:pt>
                <c:pt idx="13">
                  <c:v>1.7476923894023479</c:v>
                </c:pt>
                <c:pt idx="14">
                  <c:v>1.7476923894023479</c:v>
                </c:pt>
                <c:pt idx="15">
                  <c:v>1.7476923894023479</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estradiol-34ng/L + Testosterone</c:v>
                </c:pt>
                <c:pt idx="2">
                  <c:v>estradiol-68ng/L + Testosterone</c:v>
                </c:pt>
                <c:pt idx="3">
                  <c:v>estradiol-135ng/L + Testosterone</c:v>
                </c:pt>
                <c:pt idx="4">
                  <c:v>estradiol-270ng/L + Testosterone</c:v>
                </c:pt>
                <c:pt idx="5">
                  <c:v>estradiol-540ng/L + Testosterone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0.75230761059765205</c:v>
                </c:pt>
                <c:pt idx="1">
                  <c:v>0.75230761059765205</c:v>
                </c:pt>
                <c:pt idx="2">
                  <c:v>0.75230761059765205</c:v>
                </c:pt>
                <c:pt idx="3">
                  <c:v>0.75230761059765205</c:v>
                </c:pt>
                <c:pt idx="4">
                  <c:v>0.75230761059765205</c:v>
                </c:pt>
                <c:pt idx="5">
                  <c:v>0.75230761059765205</c:v>
                </c:pt>
                <c:pt idx="6">
                  <c:v>0.75230761059765205</c:v>
                </c:pt>
                <c:pt idx="7">
                  <c:v>0.75230761059765205</c:v>
                </c:pt>
                <c:pt idx="8">
                  <c:v>0.75230761059765205</c:v>
                </c:pt>
                <c:pt idx="9">
                  <c:v>0.75230761059765205</c:v>
                </c:pt>
                <c:pt idx="10">
                  <c:v>0.75230761059765205</c:v>
                </c:pt>
                <c:pt idx="11">
                  <c:v>0.75230761059765205</c:v>
                </c:pt>
                <c:pt idx="12">
                  <c:v>0.75230761059765205</c:v>
                </c:pt>
                <c:pt idx="13">
                  <c:v>0.75230761059765205</c:v>
                </c:pt>
                <c:pt idx="14">
                  <c:v>0.75230761059765205</c:v>
                </c:pt>
                <c:pt idx="15">
                  <c:v>0.75230761059765205</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3288"/>
        <c:axId val="434383680"/>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2DD39B6B-870F-4D26-80E9-D139EFD93F0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40D4857B-4276-4D4B-811C-B31573DF607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A8E-4D40-9992-A189D0F7FB1C}"/>
                </c:ext>
              </c:extLst>
            </c:dLbl>
            <c:dLbl>
              <c:idx val="2"/>
              <c:tx>
                <c:rich>
                  <a:bodyPr/>
                  <a:lstStyle/>
                  <a:p>
                    <a:fld id="{45C578F4-E0CD-432D-A5D1-5F3DF94105C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A8E-4D40-9992-A189D0F7FB1C}"/>
                </c:ext>
              </c:extLst>
            </c:dLbl>
            <c:dLbl>
              <c:idx val="3"/>
              <c:tx>
                <c:rich>
                  <a:bodyPr/>
                  <a:lstStyle/>
                  <a:p>
                    <a:fld id="{0F211602-689C-43CD-8EEF-809EC5FDC7A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A8E-4D40-9992-A189D0F7FB1C}"/>
                </c:ext>
              </c:extLst>
            </c:dLbl>
            <c:dLbl>
              <c:idx val="4"/>
              <c:tx>
                <c:rich>
                  <a:bodyPr/>
                  <a:lstStyle/>
                  <a:p>
                    <a:fld id="{E51F0268-BD8A-47B3-A7C6-B2A331E8A27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A8E-4D40-9992-A189D0F7FB1C}"/>
                </c:ext>
              </c:extLst>
            </c:dLbl>
            <c:dLbl>
              <c:idx val="5"/>
              <c:tx>
                <c:rich>
                  <a:bodyPr/>
                  <a:lstStyle/>
                  <a:p>
                    <a:fld id="{8A38D172-0D0D-4997-9965-C0D9AE08278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A8E-4D40-9992-A189D0F7FB1C}"/>
                </c:ext>
              </c:extLst>
            </c:dLbl>
            <c:dLbl>
              <c:idx val="6"/>
              <c:tx>
                <c:rich>
                  <a:bodyPr/>
                  <a:lstStyle/>
                  <a:p>
                    <a:fld id="{987CEC42-65BF-4206-A1B9-FFB41270A92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A8E-4D40-9992-A189D0F7FB1C}"/>
                </c:ext>
              </c:extLst>
            </c:dLbl>
            <c:dLbl>
              <c:idx val="7"/>
              <c:tx>
                <c:rich>
                  <a:bodyPr/>
                  <a:lstStyle/>
                  <a:p>
                    <a:fld id="{434C9AA9-AAD5-4424-ACC7-813C9109BD1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A8E-4D40-9992-A189D0F7FB1C}"/>
                </c:ext>
              </c:extLst>
            </c:dLbl>
            <c:dLbl>
              <c:idx val="8"/>
              <c:tx>
                <c:rich>
                  <a:bodyPr/>
                  <a:lstStyle/>
                  <a:p>
                    <a:fld id="{A6862592-C91D-429B-A17D-B49959F8CA1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A8E-4D40-9992-A189D0F7FB1C}"/>
                </c:ext>
              </c:extLst>
            </c:dLbl>
            <c:dLbl>
              <c:idx val="9"/>
              <c:tx>
                <c:rich>
                  <a:bodyPr/>
                  <a:lstStyle/>
                  <a:p>
                    <a:fld id="{6E81CAE9-A38A-44C1-B2FF-402D8F7D4AA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A8E-4D40-9992-A189D0F7FB1C}"/>
                </c:ext>
              </c:extLst>
            </c:dLbl>
            <c:dLbl>
              <c:idx val="10"/>
              <c:tx>
                <c:rich>
                  <a:bodyPr/>
                  <a:lstStyle/>
                  <a:p>
                    <a:fld id="{E1078178-2B0B-4542-8F51-1E6DA07F080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A8E-4D40-9992-A189D0F7FB1C}"/>
                </c:ext>
              </c:extLst>
            </c:dLbl>
            <c:dLbl>
              <c:idx val="11"/>
              <c:tx>
                <c:rich>
                  <a:bodyPr/>
                  <a:lstStyle/>
                  <a:p>
                    <a:fld id="{81B9E67F-32BE-44C5-B1A9-4E024EFD0B3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A8E-4D40-9992-A189D0F7FB1C}"/>
                </c:ext>
              </c:extLst>
            </c:dLbl>
            <c:dLbl>
              <c:idx val="12"/>
              <c:tx>
                <c:rich>
                  <a:bodyPr/>
                  <a:lstStyle/>
                  <a:p>
                    <a:fld id="{67DFC1B8-0891-40A1-8812-521D25C172A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A8E-4D40-9992-A189D0F7FB1C}"/>
                </c:ext>
              </c:extLst>
            </c:dLbl>
            <c:dLbl>
              <c:idx val="13"/>
              <c:tx>
                <c:rich>
                  <a:bodyPr/>
                  <a:lstStyle/>
                  <a:p>
                    <a:fld id="{A66B44BD-B360-425A-9263-E509A775E89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A8E-4D40-9992-A189D0F7FB1C}"/>
                </c:ext>
              </c:extLst>
            </c:dLbl>
            <c:dLbl>
              <c:idx val="14"/>
              <c:tx>
                <c:rich>
                  <a:bodyPr/>
                  <a:lstStyle/>
                  <a:p>
                    <a:fld id="{581B5091-8098-4BF8-88A9-F246A749EE4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A8E-4D40-9992-A189D0F7FB1C}"/>
                </c:ext>
              </c:extLst>
            </c:dLbl>
            <c:dLbl>
              <c:idx val="15"/>
              <c:tx>
                <c:rich>
                  <a:bodyPr/>
                  <a:lstStyle/>
                  <a:p>
                    <a:fld id="{51219230-4898-46E6-B947-7A154379731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A8E-4D40-9992-A189D0F7FB1C}"/>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0.10697242238235621</c:v>
                  </c:pt>
                  <c:pt idx="2">
                    <c:v>0.17705364998431691</c:v>
                  </c:pt>
                  <c:pt idx="3">
                    <c:v>0.14894794605285452</c:v>
                  </c:pt>
                  <c:pt idx="4">
                    <c:v>0.13759262184734503</c:v>
                  </c:pt>
                  <c:pt idx="5">
                    <c:v>0.17189785786660167</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0.10697242238235621</c:v>
                  </c:pt>
                  <c:pt idx="2">
                    <c:v>0.17705364998431691</c:v>
                  </c:pt>
                  <c:pt idx="3">
                    <c:v>0.14894794605285452</c:v>
                  </c:pt>
                  <c:pt idx="4">
                    <c:v>0.13759262184734503</c:v>
                  </c:pt>
                  <c:pt idx="5">
                    <c:v>0.17189785786660167</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estradiol-34ng/L + Testosterone</c:v>
                </c:pt>
                <c:pt idx="2">
                  <c:v>estradiol-68ng/L + Testosterone</c:v>
                </c:pt>
                <c:pt idx="3">
                  <c:v>estradiol-135ng/L + Testosterone</c:v>
                </c:pt>
                <c:pt idx="4">
                  <c:v>estradiol-270ng/L + Testosterone</c:v>
                </c:pt>
                <c:pt idx="5">
                  <c:v>estradiol-540ng/L + Testosterone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1.305406486773349</c:v>
                </c:pt>
                <c:pt idx="2">
                  <c:v>1.6823276629173358</c:v>
                </c:pt>
                <c:pt idx="3">
                  <c:v>2.0439170810423555</c:v>
                </c:pt>
                <c:pt idx="4">
                  <c:v>2.1816909680956886</c:v>
                </c:pt>
                <c:pt idx="5">
                  <c:v>2.4902909973589216</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c:v>
                  </c:pt>
                  <c:pt idx="3">
                    <c:v>***</c:v>
                  </c:pt>
                  <c:pt idx="4">
                    <c:v>***</c:v>
                  </c:pt>
                  <c:pt idx="5">
                    <c:v>***</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3288"/>
        <c:axId val="434383680"/>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estradiol-34ng/L + Testosterone</c:v>
                </c:pt>
                <c:pt idx="2">
                  <c:v>estradiol-68ng/L + Testosterone</c:v>
                </c:pt>
                <c:pt idx="3">
                  <c:v>estradiol-135ng/L + Testosterone</c:v>
                </c:pt>
                <c:pt idx="4">
                  <c:v>estradiol-270ng/L + Testosterone</c:v>
                </c:pt>
                <c:pt idx="5">
                  <c:v>estradiol-540ng/L + Testosterone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0.99999999999999967</c:v>
                </c:pt>
                <c:pt idx="1">
                  <c:v>0.99999999999999967</c:v>
                </c:pt>
                <c:pt idx="2">
                  <c:v>0.99999999999999967</c:v>
                </c:pt>
                <c:pt idx="3">
                  <c:v>0.99999999999999967</c:v>
                </c:pt>
                <c:pt idx="4">
                  <c:v>0.99999999999999967</c:v>
                </c:pt>
                <c:pt idx="5">
                  <c:v>0.99999999999999967</c:v>
                </c:pt>
                <c:pt idx="6">
                  <c:v>0.99999999999999967</c:v>
                </c:pt>
                <c:pt idx="7">
                  <c:v>0.99999999999999967</c:v>
                </c:pt>
                <c:pt idx="8">
                  <c:v>0.99999999999999967</c:v>
                </c:pt>
                <c:pt idx="9">
                  <c:v>0.99999999999999967</c:v>
                </c:pt>
                <c:pt idx="10">
                  <c:v>0.99999999999999967</c:v>
                </c:pt>
                <c:pt idx="11">
                  <c:v>0.99999999999999967</c:v>
                </c:pt>
                <c:pt idx="12">
                  <c:v>0.99999999999999967</c:v>
                </c:pt>
                <c:pt idx="13">
                  <c:v>0.99999999999999967</c:v>
                </c:pt>
                <c:pt idx="14">
                  <c:v>0.99999999999999967</c:v>
                </c:pt>
                <c:pt idx="15">
                  <c:v>0.99999999999999967</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3288"/>
        <c:axId val="434383680"/>
      </c:lineChart>
      <c:dateAx>
        <c:axId val="434383288"/>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3680"/>
        <c:crosses val="autoZero"/>
        <c:auto val="0"/>
        <c:lblOffset val="100"/>
        <c:baseTimeUnit val="days"/>
      </c:dateAx>
      <c:valAx>
        <c:axId val="434383680"/>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US"/>
          </a:p>
        </c:txPr>
        <c:crossAx val="434383288"/>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estradiol 68ng/L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estradiol 68ng/L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estradiol 68ng/L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4464"/>
        <c:axId val="434384856"/>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7131CB77-F3B6-429D-8A59-6D0621DDFA2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48634E2E-82F9-4C17-B47A-54926BA4B8C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076-4183-9788-B9390BF1596B}"/>
                </c:ext>
              </c:extLst>
            </c:dLbl>
            <c:dLbl>
              <c:idx val="2"/>
              <c:tx>
                <c:rich>
                  <a:bodyPr/>
                  <a:lstStyle/>
                  <a:p>
                    <a:fld id="{6BA80EB7-540B-4D24-A08A-28D16C1336C7}" type="CELLRANGE">
                      <a:rPr lang="fr-FR"/>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4076-4183-9788-B9390BF1596B}"/>
                </c:ext>
              </c:extLst>
            </c:dLbl>
            <c:dLbl>
              <c:idx val="15"/>
              <c:tx>
                <c:rich>
                  <a:bodyPr/>
                  <a:lstStyle/>
                  <a:p>
                    <a:fld id="{D6BEB6DA-8213-4180-910B-2E965FB4A6C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6.3261435567210381E-2</c:v>
                  </c:pt>
                </c:numCache>
              </c:numRef>
            </c:plus>
            <c:minus>
              <c:numRef>
                <c:f>'Graph format rapport CHG 1éch'!$E$4:$G$4</c:f>
                <c:numCache>
                  <c:formatCode>General</c:formatCode>
                  <c:ptCount val="3"/>
                  <c:pt idx="1">
                    <c:v>6.3261435567210381E-2</c:v>
                  </c:pt>
                </c:numCache>
              </c:numRef>
            </c:minus>
          </c:errBars>
          <c:cat>
            <c:strRef>
              <c:f>'Graph format rapport CHG 1éch'!$E$2:$G$2</c:f>
              <c:strCache>
                <c:ptCount val="2"/>
                <c:pt idx="1">
                  <c:v>estradiol 68ng/L</c:v>
                </c:pt>
              </c:strCache>
            </c:strRef>
          </c:cat>
          <c:val>
            <c:numRef>
              <c:f>'Graph format rapport CHG 1éch'!$E$3:$G$3</c:f>
              <c:numCache>
                <c:formatCode>General</c:formatCode>
                <c:ptCount val="3"/>
                <c:pt idx="1">
                  <c:v>0.16077643521891233</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4464"/>
        <c:axId val="434384856"/>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8.1464266151762957E-2</c:v>
                </c:pt>
                <c:pt idx="1">
                  <c:v>8.1464266151762957E-2</c:v>
                </c:pt>
                <c:pt idx="2">
                  <c:v>8.1464266151762957E-2</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4464"/>
        <c:axId val="434384856"/>
      </c:lineChart>
      <c:dateAx>
        <c:axId val="434384464"/>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4856"/>
        <c:crosses val="autoZero"/>
        <c:auto val="0"/>
        <c:lblOffset val="100"/>
        <c:baseTimeUnit val="days"/>
      </c:dateAx>
      <c:valAx>
        <c:axId val="434384856"/>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US"/>
          </a:p>
        </c:txPr>
        <c:crossAx val="434384464"/>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7480830233223"/>
          <c:y val="4.909851894799426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estradiol-34ng/L + Testosterone</c:v>
                </c:pt>
              </c:strCache>
            </c:strRef>
          </c:cat>
          <c:val>
            <c:numRef>
              <c:f>'Graph format rapport CHG 1éch'!$H$8:$J$8</c:f>
              <c:numCache>
                <c:formatCode>General</c:formatCode>
                <c:ptCount val="3"/>
                <c:pt idx="0">
                  <c:v>8.9642465413240446E-2</c:v>
                </c:pt>
                <c:pt idx="1">
                  <c:v>8.9642465413240446E-2</c:v>
                </c:pt>
                <c:pt idx="2">
                  <c:v>8.9642465413240446E-2</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estradiol-34ng/L + Testosterone</c:v>
                </c:pt>
              </c:strCache>
            </c:strRef>
          </c:cat>
          <c:val>
            <c:numRef>
              <c:f>'Graph format rapport CHG 1éch'!$H$9:$J$9</c:f>
              <c:numCache>
                <c:formatCode>General</c:formatCode>
                <c:ptCount val="3"/>
                <c:pt idx="0">
                  <c:v>1.7476923894023479</c:v>
                </c:pt>
                <c:pt idx="1">
                  <c:v>1.7476923894023479</c:v>
                </c:pt>
                <c:pt idx="2">
                  <c:v>1.7476923894023479</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estradiol-34ng/L + Testosterone</c:v>
                </c:pt>
              </c:strCache>
            </c:strRef>
          </c:cat>
          <c:val>
            <c:numRef>
              <c:f>'Graph format rapport CHG 1éch'!$H$10:$J$10</c:f>
              <c:numCache>
                <c:formatCode>General</c:formatCode>
                <c:ptCount val="3"/>
                <c:pt idx="0">
                  <c:v>0.75230761059765205</c:v>
                </c:pt>
                <c:pt idx="1">
                  <c:v>0.75230761059765205</c:v>
                </c:pt>
                <c:pt idx="2">
                  <c:v>0.75230761059765205</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5640"/>
        <c:axId val="434386032"/>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6219D0BD-57F1-4CF5-9AE9-9ED666E0CD1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A72D7AC5-F8A6-4142-9E2F-6086AC0A397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EE9-4347-837C-FBA7D320B8CC}"/>
                </c:ext>
              </c:extLst>
            </c:dLbl>
            <c:dLbl>
              <c:idx val="2"/>
              <c:tx>
                <c:rich>
                  <a:bodyPr/>
                  <a:lstStyle/>
                  <a:p>
                    <a:fld id="{91B1FCC0-63AF-4731-852C-0CDC9F6EE78C}" type="CELLRANGE">
                      <a:rPr lang="fr-FR"/>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AEE9-4347-837C-FBA7D320B8CC}"/>
                </c:ext>
              </c:extLst>
            </c:dLbl>
            <c:dLbl>
              <c:idx val="15"/>
              <c:tx>
                <c:rich>
                  <a:bodyPr/>
                  <a:lstStyle/>
                  <a:p>
                    <a:fld id="{9F88FD52-D771-43D0-B1AB-DADC933A6E6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0.10697242238235621</c:v>
                  </c:pt>
                </c:numCache>
              </c:numRef>
            </c:plus>
            <c:minus>
              <c:numRef>
                <c:f>'Graph format rapport CHG 1éch'!$H$4:$J$4</c:f>
                <c:numCache>
                  <c:formatCode>General</c:formatCode>
                  <c:ptCount val="3"/>
                  <c:pt idx="1">
                    <c:v>0.10697242238235621</c:v>
                  </c:pt>
                </c:numCache>
              </c:numRef>
            </c:minus>
          </c:errBars>
          <c:cat>
            <c:strRef>
              <c:f>'Graph format rapport CHG 1éch'!$H$2:$J$2</c:f>
              <c:strCache>
                <c:ptCount val="2"/>
                <c:pt idx="1">
                  <c:v>estradiol-34ng/L + Testosterone</c:v>
                </c:pt>
              </c:strCache>
            </c:strRef>
          </c:cat>
          <c:val>
            <c:numRef>
              <c:f>'Graph format rapport CHG 1éch'!$H$3:$J$3</c:f>
              <c:numCache>
                <c:formatCode>General</c:formatCode>
                <c:ptCount val="3"/>
                <c:pt idx="1">
                  <c:v>1.305406486773349</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5640"/>
        <c:axId val="434386032"/>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estradiol-34ng/L + Testosterone</c:v>
                </c:pt>
              </c:strCache>
            </c:strRef>
          </c:cat>
          <c:val>
            <c:numRef>
              <c:f>'Graph format rapport CHG 1éch'!$H$7:$J$7</c:f>
              <c:numCache>
                <c:formatCode>General</c:formatCode>
                <c:ptCount val="3"/>
                <c:pt idx="0">
                  <c:v>0.99999999999999967</c:v>
                </c:pt>
                <c:pt idx="1">
                  <c:v>0.99999999999999967</c:v>
                </c:pt>
                <c:pt idx="2">
                  <c:v>0.99999999999999967</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5640"/>
        <c:axId val="434386032"/>
      </c:lineChart>
      <c:dateAx>
        <c:axId val="43438564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6032"/>
        <c:crosses val="autoZero"/>
        <c:auto val="0"/>
        <c:lblOffset val="100"/>
        <c:baseTimeUnit val="days"/>
      </c:dateAx>
      <c:valAx>
        <c:axId val="434386032"/>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US"/>
          </a:p>
        </c:txPr>
        <c:crossAx val="434385640"/>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estradiol 68ng/L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estradiol 68ng/L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estradiol 68ng/L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6816"/>
        <c:axId val="434387208"/>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C813BDFE-50E8-46BA-BE99-0F1EE3E9E6B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898F5C20-92D1-4C5E-AE1A-F667CC02897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931-4034-B613-D94F9BFA86BA}"/>
                </c:ext>
              </c:extLst>
            </c:dLbl>
            <c:dLbl>
              <c:idx val="2"/>
              <c:tx>
                <c:rich>
                  <a:bodyPr/>
                  <a:lstStyle/>
                  <a:p>
                    <a:fld id="{455C8B20-E9C7-4B49-BC81-AB000C2F9B79}" type="CELLRANGE">
                      <a:rPr lang="fr-FR"/>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3931-4034-B613-D94F9BFA86BA}"/>
                </c:ext>
              </c:extLst>
            </c:dLbl>
            <c:dLbl>
              <c:idx val="15"/>
              <c:tx>
                <c:rich>
                  <a:bodyPr/>
                  <a:lstStyle/>
                  <a:p>
                    <a:fld id="{D6BEB6DA-8213-4180-910B-2E965FB4A6C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6.3261435567210381E-2</c:v>
                  </c:pt>
                </c:numCache>
              </c:numRef>
            </c:plus>
            <c:minus>
              <c:numRef>
                <c:f>'Graph format rapport CHG 1éch'!$E$4:$G$4</c:f>
                <c:numCache>
                  <c:formatCode>General</c:formatCode>
                  <c:ptCount val="3"/>
                  <c:pt idx="1">
                    <c:v>6.3261435567210381E-2</c:v>
                  </c:pt>
                </c:numCache>
              </c:numRef>
            </c:minus>
          </c:errBars>
          <c:cat>
            <c:strRef>
              <c:f>'Graph format rapport CHG 1éch'!$E$2:$G$2</c:f>
              <c:strCache>
                <c:ptCount val="2"/>
                <c:pt idx="1">
                  <c:v>estradiol 68ng/L</c:v>
                </c:pt>
              </c:strCache>
            </c:strRef>
          </c:cat>
          <c:val>
            <c:numRef>
              <c:f>'Graph format rapport CHG 1éch'!$E$3:$G$3</c:f>
              <c:numCache>
                <c:formatCode>General</c:formatCode>
                <c:ptCount val="3"/>
                <c:pt idx="1">
                  <c:v>0.16077643521891233</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6816"/>
        <c:axId val="434387208"/>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8.1464266151762957E-2</c:v>
                </c:pt>
                <c:pt idx="1">
                  <c:v>8.1464266151762957E-2</c:v>
                </c:pt>
                <c:pt idx="2">
                  <c:v>8.1464266151762957E-2</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6816"/>
        <c:axId val="434387208"/>
      </c:lineChart>
      <c:dateAx>
        <c:axId val="43438681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7208"/>
        <c:crosses val="autoZero"/>
        <c:auto val="0"/>
        <c:lblOffset val="100"/>
        <c:baseTimeUnit val="days"/>
      </c:dateAx>
      <c:valAx>
        <c:axId val="434387208"/>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US"/>
          </a:p>
        </c:txPr>
        <c:crossAx val="434386816"/>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estradiol-34ng/L + Testosterone</c:v>
                </c:pt>
              </c:strCache>
            </c:strRef>
          </c:cat>
          <c:val>
            <c:numRef>
              <c:f>'Graph format rapport CHG 1éch'!$H$8:$J$8</c:f>
              <c:numCache>
                <c:formatCode>General</c:formatCode>
                <c:ptCount val="3"/>
                <c:pt idx="0">
                  <c:v>8.9642465413240446E-2</c:v>
                </c:pt>
                <c:pt idx="1">
                  <c:v>8.9642465413240446E-2</c:v>
                </c:pt>
                <c:pt idx="2">
                  <c:v>8.9642465413240446E-2</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estradiol-34ng/L + Testosterone</c:v>
                </c:pt>
              </c:strCache>
            </c:strRef>
          </c:cat>
          <c:val>
            <c:numRef>
              <c:f>'Graph format rapport CHG 1éch'!$H$9:$J$9</c:f>
              <c:numCache>
                <c:formatCode>General</c:formatCode>
                <c:ptCount val="3"/>
                <c:pt idx="0">
                  <c:v>1.7476923894023479</c:v>
                </c:pt>
                <c:pt idx="1">
                  <c:v>1.7476923894023479</c:v>
                </c:pt>
                <c:pt idx="2">
                  <c:v>1.7476923894023479</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estradiol-34ng/L + Testosterone</c:v>
                </c:pt>
              </c:strCache>
            </c:strRef>
          </c:cat>
          <c:val>
            <c:numRef>
              <c:f>'Graph format rapport CHG 1éch'!$H$10:$J$10</c:f>
              <c:numCache>
                <c:formatCode>General</c:formatCode>
                <c:ptCount val="3"/>
                <c:pt idx="0">
                  <c:v>0.75230761059765205</c:v>
                </c:pt>
                <c:pt idx="1">
                  <c:v>0.75230761059765205</c:v>
                </c:pt>
                <c:pt idx="2">
                  <c:v>0.75230761059765205</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7992"/>
        <c:axId val="434388384"/>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9C4BAC22-3730-4BF5-BD9E-6C5BBDED390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BC97AE69-1882-46D3-B443-7445801CD6A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EBF-4732-9D62-4A2CE2E5DD11}"/>
                </c:ext>
              </c:extLst>
            </c:dLbl>
            <c:dLbl>
              <c:idx val="2"/>
              <c:tx>
                <c:rich>
                  <a:bodyPr/>
                  <a:lstStyle/>
                  <a:p>
                    <a:fld id="{8A9E17A3-B3FF-4121-B1E0-11A2B7D0DE15}" type="CELLRANGE">
                      <a:rPr lang="fr-FR"/>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5EBF-4732-9D62-4A2CE2E5DD11}"/>
                </c:ext>
              </c:extLst>
            </c:dLbl>
            <c:dLbl>
              <c:idx val="15"/>
              <c:tx>
                <c:rich>
                  <a:bodyPr/>
                  <a:lstStyle/>
                  <a:p>
                    <a:fld id="{9F88FD52-D771-43D0-B1AB-DADC933A6E6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0.10697242238235621</c:v>
                  </c:pt>
                </c:numCache>
              </c:numRef>
            </c:plus>
            <c:minus>
              <c:numRef>
                <c:f>'Graph format rapport CHG 1éch'!$H$4:$J$4</c:f>
                <c:numCache>
                  <c:formatCode>General</c:formatCode>
                  <c:ptCount val="3"/>
                  <c:pt idx="1">
                    <c:v>0.10697242238235621</c:v>
                  </c:pt>
                </c:numCache>
              </c:numRef>
            </c:minus>
          </c:errBars>
          <c:cat>
            <c:strRef>
              <c:f>'Graph format rapport CHG 1éch'!$H$2:$J$2</c:f>
              <c:strCache>
                <c:ptCount val="2"/>
                <c:pt idx="1">
                  <c:v>estradiol-34ng/L + Testosterone</c:v>
                </c:pt>
              </c:strCache>
            </c:strRef>
          </c:cat>
          <c:val>
            <c:numRef>
              <c:f>'Graph format rapport CHG 1éch'!$H$3:$J$3</c:f>
              <c:numCache>
                <c:formatCode>General</c:formatCode>
                <c:ptCount val="3"/>
                <c:pt idx="1">
                  <c:v>1.305406486773349</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7992"/>
        <c:axId val="434388384"/>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estradiol-34ng/L + Testosterone</c:v>
                </c:pt>
              </c:strCache>
            </c:strRef>
          </c:cat>
          <c:val>
            <c:numRef>
              <c:f>'Graph format rapport CHG 1éch'!$H$7:$J$7</c:f>
              <c:numCache>
                <c:formatCode>General</c:formatCode>
                <c:ptCount val="3"/>
                <c:pt idx="0">
                  <c:v>0.99999999999999967</c:v>
                </c:pt>
                <c:pt idx="1">
                  <c:v>0.99999999999999967</c:v>
                </c:pt>
                <c:pt idx="2">
                  <c:v>0.99999999999999967</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7992"/>
        <c:axId val="434388384"/>
      </c:lineChart>
      <c:dateAx>
        <c:axId val="43438799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8384"/>
        <c:crosses val="autoZero"/>
        <c:auto val="0"/>
        <c:lblOffset val="100"/>
        <c:baseTimeUnit val="days"/>
      </c:dateAx>
      <c:valAx>
        <c:axId val="434388384"/>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US"/>
          </a:p>
        </c:txPr>
        <c:crossAx val="434387992"/>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116"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116"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116"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zoomScale="116" workbookViewId="0" zoomToFit="1"/>
  </sheetViews>
  <pageMargins left="0.7" right="0.7" top="0.75" bottom="0.75" header="0.3" footer="0.3"/>
  <pageSetup paperSize="9" orientation="landscape" r:id="rId1"/>
  <headerFooter>
    <oddFooter>&amp;C&amp;1#&amp;"Arial"&amp;10&amp;K000000Internal</oddFooter>
  </headerFooter>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chart" Target="../charts/chart8.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7.xml"/><Relationship Id="rId5" Type="http://schemas.openxmlformats.org/officeDocument/2006/relationships/image" Target="../media/image3.png"/><Relationship Id="rId4" Type="http://schemas.openxmlformats.org/officeDocument/2006/relationships/image" Target="../media/image2.png"/></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absoluteAnchor>
    <xdr:pos x="0" y="0"/>
    <xdr:ext cx="9286875" cy="6051659"/>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0.42494</cdr:x>
      <cdr:y>0.01696</cdr:y>
    </cdr:from>
    <cdr:to>
      <cdr:x>0.59244</cdr:x>
      <cdr:y>0.06852</cdr:y>
    </cdr:to>
    <cdr:sp macro="" textlink="">
      <cdr:nvSpPr>
        <cdr:cNvPr id="2" name="ZoneTexte 1"/>
        <cdr:cNvSpPr txBox="1"/>
      </cdr:nvSpPr>
      <cdr:spPr>
        <a:xfrm xmlns:a="http://schemas.openxmlformats.org/drawingml/2006/main">
          <a:off x="3946365" y="102453"/>
          <a:ext cx="1555576"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17 b estradiol R1</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286875" cy="6051659"/>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0.37494</cdr:x>
      <cdr:y>0.01504</cdr:y>
    </cdr:from>
    <cdr:to>
      <cdr:x>0.5575</cdr:x>
      <cdr:y>0.10273</cdr:y>
    </cdr:to>
    <cdr:sp macro="" textlink="">
      <cdr:nvSpPr>
        <cdr:cNvPr id="2" name="ZoneTexte 1"/>
        <cdr:cNvSpPr txBox="1"/>
      </cdr:nvSpPr>
      <cdr:spPr>
        <a:xfrm xmlns:a="http://schemas.openxmlformats.org/drawingml/2006/main">
          <a:off x="3482021" y="91017"/>
          <a:ext cx="1695412" cy="530658"/>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17b</a:t>
          </a:r>
          <a:r>
            <a:rPr lang="fr-FR" sz="1400" b="1" baseline="0"/>
            <a:t> estradiol R2</a:t>
          </a:r>
        </a:p>
        <a:p xmlns:a="http://schemas.openxmlformats.org/drawingml/2006/main">
          <a:pPr algn="ctr"/>
          <a:endParaRPr lang="fr-FR" sz="1400" b="1"/>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286875" cy="6051659"/>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0.37494</cdr:x>
      <cdr:y>0.01504</cdr:y>
    </cdr:from>
    <cdr:to>
      <cdr:x>0.5575</cdr:x>
      <cdr:y>0.10273</cdr:y>
    </cdr:to>
    <cdr:sp macro="" textlink="">
      <cdr:nvSpPr>
        <cdr:cNvPr id="2" name="ZoneTexte 1"/>
        <cdr:cNvSpPr txBox="1"/>
      </cdr:nvSpPr>
      <cdr:spPr>
        <a:xfrm xmlns:a="http://schemas.openxmlformats.org/drawingml/2006/main">
          <a:off x="3482021" y="91017"/>
          <a:ext cx="1695412" cy="530658"/>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17b</a:t>
          </a:r>
          <a:r>
            <a:rPr lang="fr-FR" sz="1400" b="1" baseline="0"/>
            <a:t> etsradiol R3</a:t>
          </a:r>
        </a:p>
        <a:p xmlns:a="http://schemas.openxmlformats.org/drawingml/2006/main">
          <a:pPr algn="ctr"/>
          <a:endParaRPr lang="fr-FR" sz="1400" b="1"/>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286875" cy="6051659"/>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twoCellAnchor editAs="absolute">
    <xdr:from>
      <xdr:col>15</xdr:col>
      <xdr:colOff>384711</xdr:colOff>
      <xdr:row>4</xdr:row>
      <xdr:rowOff>197921</xdr:rowOff>
    </xdr:from>
    <xdr:to>
      <xdr:col>28</xdr:col>
      <xdr:colOff>573972</xdr:colOff>
      <xdr:row>17</xdr:row>
      <xdr:rowOff>43528</xdr:rowOff>
    </xdr:to>
    <xdr:graphicFrame macro="">
      <xdr:nvGraphicFramePr>
        <xdr:cNvPr id="2" name="Graphique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207819</xdr:colOff>
      <xdr:row>33</xdr:row>
      <xdr:rowOff>40820</xdr:rowOff>
    </xdr:from>
    <xdr:to>
      <xdr:col>28</xdr:col>
      <xdr:colOff>397080</xdr:colOff>
      <xdr:row>47</xdr:row>
      <xdr:rowOff>63320</xdr:rowOff>
    </xdr:to>
    <xdr:graphicFrame macro="">
      <xdr:nvGraphicFramePr>
        <xdr:cNvPr id="56" name="Graphique 55">
          <a:extLst>
            <a:ext uri="{FF2B5EF4-FFF2-40B4-BE49-F238E27FC236}">
              <a16:creationId xmlns:a16="http://schemas.microsoft.com/office/drawing/2014/main" id="{00000000-0008-0000-0D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15</xdr:col>
      <xdr:colOff>289462</xdr:colOff>
      <xdr:row>46</xdr:row>
      <xdr:rowOff>29696</xdr:rowOff>
    </xdr:from>
    <xdr:to>
      <xdr:col>28</xdr:col>
      <xdr:colOff>342269</xdr:colOff>
      <xdr:row>51</xdr:row>
      <xdr:rowOff>106544</xdr:rowOff>
    </xdr:to>
    <xdr:grpSp>
      <xdr:nvGrpSpPr>
        <xdr:cNvPr id="57" name="Groupe 56">
          <a:extLst>
            <a:ext uri="{FF2B5EF4-FFF2-40B4-BE49-F238E27FC236}">
              <a16:creationId xmlns:a16="http://schemas.microsoft.com/office/drawing/2014/main" id="{00000000-0008-0000-0D00-000039000000}"/>
            </a:ext>
          </a:extLst>
        </xdr:cNvPr>
        <xdr:cNvGrpSpPr/>
      </xdr:nvGrpSpPr>
      <xdr:grpSpPr>
        <a:xfrm>
          <a:off x="19448319" y="10275875"/>
          <a:ext cx="8012986" cy="1097383"/>
          <a:chOff x="367064" y="1542965"/>
          <a:chExt cx="7932581" cy="1097383"/>
        </a:xfrm>
      </xdr:grpSpPr>
      <xdr:sp macro="" textlink="">
        <xdr:nvSpPr>
          <xdr:cNvPr id="58" name="Shape 6">
            <a:extLst>
              <a:ext uri="{FF2B5EF4-FFF2-40B4-BE49-F238E27FC236}">
                <a16:creationId xmlns:a16="http://schemas.microsoft.com/office/drawing/2014/main" id="{00000000-0008-0000-0D00-00003A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59" name="Shape 322">
            <a:extLst>
              <a:ext uri="{FF2B5EF4-FFF2-40B4-BE49-F238E27FC236}">
                <a16:creationId xmlns:a16="http://schemas.microsoft.com/office/drawing/2014/main" id="{00000000-0008-0000-0D00-00003B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0" name="Shape 323">
            <a:extLst>
              <a:ext uri="{FF2B5EF4-FFF2-40B4-BE49-F238E27FC236}">
                <a16:creationId xmlns:a16="http://schemas.microsoft.com/office/drawing/2014/main" id="{00000000-0008-0000-0D00-00003C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1" name="Shape 324">
            <a:extLst>
              <a:ext uri="{FF2B5EF4-FFF2-40B4-BE49-F238E27FC236}">
                <a16:creationId xmlns:a16="http://schemas.microsoft.com/office/drawing/2014/main" id="{00000000-0008-0000-0D00-00003D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2" name="Shape 325">
            <a:extLst>
              <a:ext uri="{FF2B5EF4-FFF2-40B4-BE49-F238E27FC236}">
                <a16:creationId xmlns:a16="http://schemas.microsoft.com/office/drawing/2014/main" id="{00000000-0008-0000-0D00-00003E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3" name="Shape 326">
            <a:extLst>
              <a:ext uri="{FF2B5EF4-FFF2-40B4-BE49-F238E27FC236}">
                <a16:creationId xmlns:a16="http://schemas.microsoft.com/office/drawing/2014/main" id="{00000000-0008-0000-0D00-00003F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4" name="Shape 12">
            <a:extLst>
              <a:ext uri="{FF2B5EF4-FFF2-40B4-BE49-F238E27FC236}">
                <a16:creationId xmlns:a16="http://schemas.microsoft.com/office/drawing/2014/main" id="{00000000-0008-0000-0D00-000040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5" name="Shape 327">
            <a:extLst>
              <a:ext uri="{FF2B5EF4-FFF2-40B4-BE49-F238E27FC236}">
                <a16:creationId xmlns:a16="http://schemas.microsoft.com/office/drawing/2014/main" id="{00000000-0008-0000-0D00-000041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6" name="Shape 328">
            <a:extLst>
              <a:ext uri="{FF2B5EF4-FFF2-40B4-BE49-F238E27FC236}">
                <a16:creationId xmlns:a16="http://schemas.microsoft.com/office/drawing/2014/main" id="{00000000-0008-0000-0D00-000042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7" name="Shape 329">
            <a:extLst>
              <a:ext uri="{FF2B5EF4-FFF2-40B4-BE49-F238E27FC236}">
                <a16:creationId xmlns:a16="http://schemas.microsoft.com/office/drawing/2014/main" id="{00000000-0008-0000-0D00-000043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8" name="Shape 330">
            <a:extLst>
              <a:ext uri="{FF2B5EF4-FFF2-40B4-BE49-F238E27FC236}">
                <a16:creationId xmlns:a16="http://schemas.microsoft.com/office/drawing/2014/main" id="{00000000-0008-0000-0D00-000044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9" name="Shape 331">
            <a:extLst>
              <a:ext uri="{FF2B5EF4-FFF2-40B4-BE49-F238E27FC236}">
                <a16:creationId xmlns:a16="http://schemas.microsoft.com/office/drawing/2014/main" id="{00000000-0008-0000-0D00-000045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0" name="Shape 332">
            <a:extLst>
              <a:ext uri="{FF2B5EF4-FFF2-40B4-BE49-F238E27FC236}">
                <a16:creationId xmlns:a16="http://schemas.microsoft.com/office/drawing/2014/main" id="{00000000-0008-0000-0D00-000046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71" name="Picture 308">
            <a:extLst>
              <a:ext uri="{FF2B5EF4-FFF2-40B4-BE49-F238E27FC236}">
                <a16:creationId xmlns:a16="http://schemas.microsoft.com/office/drawing/2014/main" id="{00000000-0008-0000-0D00-000047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72" name="Shape 20">
            <a:extLst>
              <a:ext uri="{FF2B5EF4-FFF2-40B4-BE49-F238E27FC236}">
                <a16:creationId xmlns:a16="http://schemas.microsoft.com/office/drawing/2014/main" id="{00000000-0008-0000-0D00-000048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3" name="Shape 333">
            <a:extLst>
              <a:ext uri="{FF2B5EF4-FFF2-40B4-BE49-F238E27FC236}">
                <a16:creationId xmlns:a16="http://schemas.microsoft.com/office/drawing/2014/main" id="{00000000-0008-0000-0D00-000049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4" name="Rectangle 73">
            <a:extLst>
              <a:ext uri="{FF2B5EF4-FFF2-40B4-BE49-F238E27FC236}">
                <a16:creationId xmlns:a16="http://schemas.microsoft.com/office/drawing/2014/main" id="{00000000-0008-0000-0D00-00004A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75" name="Rectangle 74">
            <a:extLst>
              <a:ext uri="{FF2B5EF4-FFF2-40B4-BE49-F238E27FC236}">
                <a16:creationId xmlns:a16="http://schemas.microsoft.com/office/drawing/2014/main" id="{00000000-0008-0000-0D00-00004B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6" name="Picture 309">
            <a:extLst>
              <a:ext uri="{FF2B5EF4-FFF2-40B4-BE49-F238E27FC236}">
                <a16:creationId xmlns:a16="http://schemas.microsoft.com/office/drawing/2014/main" id="{00000000-0008-0000-0D00-00004C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77" name="Shape 334">
            <a:extLst>
              <a:ext uri="{FF2B5EF4-FFF2-40B4-BE49-F238E27FC236}">
                <a16:creationId xmlns:a16="http://schemas.microsoft.com/office/drawing/2014/main" id="{00000000-0008-0000-0D00-00004D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8" name="Rectangle 77">
            <a:extLst>
              <a:ext uri="{FF2B5EF4-FFF2-40B4-BE49-F238E27FC236}">
                <a16:creationId xmlns:a16="http://schemas.microsoft.com/office/drawing/2014/main" id="{00000000-0008-0000-0D00-00004E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9" name="Picture 311">
            <a:extLst>
              <a:ext uri="{FF2B5EF4-FFF2-40B4-BE49-F238E27FC236}">
                <a16:creationId xmlns:a16="http://schemas.microsoft.com/office/drawing/2014/main" id="{00000000-0008-0000-0D00-00004F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80" name="Shape 30">
            <a:extLst>
              <a:ext uri="{FF2B5EF4-FFF2-40B4-BE49-F238E27FC236}">
                <a16:creationId xmlns:a16="http://schemas.microsoft.com/office/drawing/2014/main" id="{00000000-0008-0000-0D00-000050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1" name="Shape 335">
            <a:extLst>
              <a:ext uri="{FF2B5EF4-FFF2-40B4-BE49-F238E27FC236}">
                <a16:creationId xmlns:a16="http://schemas.microsoft.com/office/drawing/2014/main" id="{00000000-0008-0000-0D00-000051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2" name="Rectangle 81">
            <a:extLst>
              <a:ext uri="{FF2B5EF4-FFF2-40B4-BE49-F238E27FC236}">
                <a16:creationId xmlns:a16="http://schemas.microsoft.com/office/drawing/2014/main" id="{00000000-0008-0000-0D00-000052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83" name="Picture 310">
            <a:extLst>
              <a:ext uri="{FF2B5EF4-FFF2-40B4-BE49-F238E27FC236}">
                <a16:creationId xmlns:a16="http://schemas.microsoft.com/office/drawing/2014/main" id="{00000000-0008-0000-0D00-000053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84" name="Shape 336">
            <a:extLst>
              <a:ext uri="{FF2B5EF4-FFF2-40B4-BE49-F238E27FC236}">
                <a16:creationId xmlns:a16="http://schemas.microsoft.com/office/drawing/2014/main" id="{00000000-0008-0000-0D00-000054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5" name="Rectangle 84">
            <a:extLst>
              <a:ext uri="{FF2B5EF4-FFF2-40B4-BE49-F238E27FC236}">
                <a16:creationId xmlns:a16="http://schemas.microsoft.com/office/drawing/2014/main" id="{00000000-0008-0000-0D00-000055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86" name="Picture 312">
            <a:extLst>
              <a:ext uri="{FF2B5EF4-FFF2-40B4-BE49-F238E27FC236}">
                <a16:creationId xmlns:a16="http://schemas.microsoft.com/office/drawing/2014/main" id="{00000000-0008-0000-0D00-000056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87" name="Shape 337">
            <a:extLst>
              <a:ext uri="{FF2B5EF4-FFF2-40B4-BE49-F238E27FC236}">
                <a16:creationId xmlns:a16="http://schemas.microsoft.com/office/drawing/2014/main" id="{00000000-0008-0000-0D00-000057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8" name="Rectangle 87">
            <a:extLst>
              <a:ext uri="{FF2B5EF4-FFF2-40B4-BE49-F238E27FC236}">
                <a16:creationId xmlns:a16="http://schemas.microsoft.com/office/drawing/2014/main" id="{00000000-0008-0000-0D00-000058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89" name="Rectangle 88">
            <a:extLst>
              <a:ext uri="{FF2B5EF4-FFF2-40B4-BE49-F238E27FC236}">
                <a16:creationId xmlns:a16="http://schemas.microsoft.com/office/drawing/2014/main" id="{00000000-0008-0000-0D00-000059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90" name="Shape 59">
            <a:extLst>
              <a:ext uri="{FF2B5EF4-FFF2-40B4-BE49-F238E27FC236}">
                <a16:creationId xmlns:a16="http://schemas.microsoft.com/office/drawing/2014/main" id="{00000000-0008-0000-0D00-00005A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91" name="Shape 62">
            <a:extLst>
              <a:ext uri="{FF2B5EF4-FFF2-40B4-BE49-F238E27FC236}">
                <a16:creationId xmlns:a16="http://schemas.microsoft.com/office/drawing/2014/main" id="{00000000-0008-0000-0D00-00005B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2" name="Shape 63">
            <a:extLst>
              <a:ext uri="{FF2B5EF4-FFF2-40B4-BE49-F238E27FC236}">
                <a16:creationId xmlns:a16="http://schemas.microsoft.com/office/drawing/2014/main" id="{00000000-0008-0000-0D00-00005C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3" name="Shape 64">
            <a:extLst>
              <a:ext uri="{FF2B5EF4-FFF2-40B4-BE49-F238E27FC236}">
                <a16:creationId xmlns:a16="http://schemas.microsoft.com/office/drawing/2014/main" id="{00000000-0008-0000-0D00-00005D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4" name="Shape 65">
            <a:extLst>
              <a:ext uri="{FF2B5EF4-FFF2-40B4-BE49-F238E27FC236}">
                <a16:creationId xmlns:a16="http://schemas.microsoft.com/office/drawing/2014/main" id="{00000000-0008-0000-0D00-00005E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5" name="Shape 66">
            <a:extLst>
              <a:ext uri="{FF2B5EF4-FFF2-40B4-BE49-F238E27FC236}">
                <a16:creationId xmlns:a16="http://schemas.microsoft.com/office/drawing/2014/main" id="{00000000-0008-0000-0D00-00005F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6" name="Shape 67">
            <a:extLst>
              <a:ext uri="{FF2B5EF4-FFF2-40B4-BE49-F238E27FC236}">
                <a16:creationId xmlns:a16="http://schemas.microsoft.com/office/drawing/2014/main" id="{00000000-0008-0000-0D00-000060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7" name="Shape 68">
            <a:extLst>
              <a:ext uri="{FF2B5EF4-FFF2-40B4-BE49-F238E27FC236}">
                <a16:creationId xmlns:a16="http://schemas.microsoft.com/office/drawing/2014/main" id="{00000000-0008-0000-0D00-000061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8" name="Shape 69">
            <a:extLst>
              <a:ext uri="{FF2B5EF4-FFF2-40B4-BE49-F238E27FC236}">
                <a16:creationId xmlns:a16="http://schemas.microsoft.com/office/drawing/2014/main" id="{00000000-0008-0000-0D00-000062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9" name="Shape 70">
            <a:extLst>
              <a:ext uri="{FF2B5EF4-FFF2-40B4-BE49-F238E27FC236}">
                <a16:creationId xmlns:a16="http://schemas.microsoft.com/office/drawing/2014/main" id="{00000000-0008-0000-0D00-000063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0" name="Shape 71">
            <a:extLst>
              <a:ext uri="{FF2B5EF4-FFF2-40B4-BE49-F238E27FC236}">
                <a16:creationId xmlns:a16="http://schemas.microsoft.com/office/drawing/2014/main" id="{00000000-0008-0000-0D00-000064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1" name="Shape 72">
            <a:extLst>
              <a:ext uri="{FF2B5EF4-FFF2-40B4-BE49-F238E27FC236}">
                <a16:creationId xmlns:a16="http://schemas.microsoft.com/office/drawing/2014/main" id="{00000000-0008-0000-0D00-000065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2" name="Shape 73">
            <a:extLst>
              <a:ext uri="{FF2B5EF4-FFF2-40B4-BE49-F238E27FC236}">
                <a16:creationId xmlns:a16="http://schemas.microsoft.com/office/drawing/2014/main" id="{00000000-0008-0000-0D00-000066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3" name="Shape 74">
            <a:extLst>
              <a:ext uri="{FF2B5EF4-FFF2-40B4-BE49-F238E27FC236}">
                <a16:creationId xmlns:a16="http://schemas.microsoft.com/office/drawing/2014/main" id="{00000000-0008-0000-0D00-000067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4" name="Shape 75">
            <a:extLst>
              <a:ext uri="{FF2B5EF4-FFF2-40B4-BE49-F238E27FC236}">
                <a16:creationId xmlns:a16="http://schemas.microsoft.com/office/drawing/2014/main" id="{00000000-0008-0000-0D00-000068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5" name="Shape 76">
            <a:extLst>
              <a:ext uri="{FF2B5EF4-FFF2-40B4-BE49-F238E27FC236}">
                <a16:creationId xmlns:a16="http://schemas.microsoft.com/office/drawing/2014/main" id="{00000000-0008-0000-0D00-000069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6" name="Shape 77">
            <a:extLst>
              <a:ext uri="{FF2B5EF4-FFF2-40B4-BE49-F238E27FC236}">
                <a16:creationId xmlns:a16="http://schemas.microsoft.com/office/drawing/2014/main" id="{00000000-0008-0000-0D00-00006A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7" name="Rectangle 106">
            <a:extLst>
              <a:ext uri="{FF2B5EF4-FFF2-40B4-BE49-F238E27FC236}">
                <a16:creationId xmlns:a16="http://schemas.microsoft.com/office/drawing/2014/main" id="{00000000-0008-0000-0D00-00006B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08" name="ZoneTexte 55">
            <a:extLst>
              <a:ext uri="{FF2B5EF4-FFF2-40B4-BE49-F238E27FC236}">
                <a16:creationId xmlns:a16="http://schemas.microsoft.com/office/drawing/2014/main" id="{00000000-0008-0000-0D00-00006C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09" name="ZoneTexte 56">
            <a:extLst>
              <a:ext uri="{FF2B5EF4-FFF2-40B4-BE49-F238E27FC236}">
                <a16:creationId xmlns:a16="http://schemas.microsoft.com/office/drawing/2014/main" id="{00000000-0008-0000-0D00-00006D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15</xdr:col>
      <xdr:colOff>452938</xdr:colOff>
      <xdr:row>15</xdr:row>
      <xdr:rowOff>189512</xdr:rowOff>
    </xdr:from>
    <xdr:to>
      <xdr:col>28</xdr:col>
      <xdr:colOff>505745</xdr:colOff>
      <xdr:row>21</xdr:row>
      <xdr:rowOff>62252</xdr:rowOff>
    </xdr:to>
    <xdr:grpSp>
      <xdr:nvGrpSpPr>
        <xdr:cNvPr id="110" name="Groupe 109">
          <a:extLst>
            <a:ext uri="{FF2B5EF4-FFF2-40B4-BE49-F238E27FC236}">
              <a16:creationId xmlns:a16="http://schemas.microsoft.com/office/drawing/2014/main" id="{00000000-0008-0000-0D00-00006E000000}"/>
            </a:ext>
          </a:extLst>
        </xdr:cNvPr>
        <xdr:cNvGrpSpPr/>
      </xdr:nvGrpSpPr>
      <xdr:grpSpPr>
        <a:xfrm>
          <a:off x="19611795" y="3904262"/>
          <a:ext cx="8012986" cy="1097383"/>
          <a:chOff x="367064" y="1542965"/>
          <a:chExt cx="7932581" cy="1097383"/>
        </a:xfrm>
      </xdr:grpSpPr>
      <xdr:sp macro="" textlink="">
        <xdr:nvSpPr>
          <xdr:cNvPr id="111" name="Shape 6">
            <a:extLst>
              <a:ext uri="{FF2B5EF4-FFF2-40B4-BE49-F238E27FC236}">
                <a16:creationId xmlns:a16="http://schemas.microsoft.com/office/drawing/2014/main" id="{00000000-0008-0000-0D00-00006F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2" name="Shape 322">
            <a:extLst>
              <a:ext uri="{FF2B5EF4-FFF2-40B4-BE49-F238E27FC236}">
                <a16:creationId xmlns:a16="http://schemas.microsoft.com/office/drawing/2014/main" id="{00000000-0008-0000-0D00-000070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3" name="Shape 323">
            <a:extLst>
              <a:ext uri="{FF2B5EF4-FFF2-40B4-BE49-F238E27FC236}">
                <a16:creationId xmlns:a16="http://schemas.microsoft.com/office/drawing/2014/main" id="{00000000-0008-0000-0D00-000071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4" name="Shape 324">
            <a:extLst>
              <a:ext uri="{FF2B5EF4-FFF2-40B4-BE49-F238E27FC236}">
                <a16:creationId xmlns:a16="http://schemas.microsoft.com/office/drawing/2014/main" id="{00000000-0008-0000-0D00-000072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5" name="Shape 325">
            <a:extLst>
              <a:ext uri="{FF2B5EF4-FFF2-40B4-BE49-F238E27FC236}">
                <a16:creationId xmlns:a16="http://schemas.microsoft.com/office/drawing/2014/main" id="{00000000-0008-0000-0D00-000073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6" name="Shape 326">
            <a:extLst>
              <a:ext uri="{FF2B5EF4-FFF2-40B4-BE49-F238E27FC236}">
                <a16:creationId xmlns:a16="http://schemas.microsoft.com/office/drawing/2014/main" id="{00000000-0008-0000-0D00-000074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7" name="Shape 12">
            <a:extLst>
              <a:ext uri="{FF2B5EF4-FFF2-40B4-BE49-F238E27FC236}">
                <a16:creationId xmlns:a16="http://schemas.microsoft.com/office/drawing/2014/main" id="{00000000-0008-0000-0D00-000075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8" name="Shape 327">
            <a:extLst>
              <a:ext uri="{FF2B5EF4-FFF2-40B4-BE49-F238E27FC236}">
                <a16:creationId xmlns:a16="http://schemas.microsoft.com/office/drawing/2014/main" id="{00000000-0008-0000-0D00-000076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9" name="Shape 328">
            <a:extLst>
              <a:ext uri="{FF2B5EF4-FFF2-40B4-BE49-F238E27FC236}">
                <a16:creationId xmlns:a16="http://schemas.microsoft.com/office/drawing/2014/main" id="{00000000-0008-0000-0D00-000077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0" name="Shape 329">
            <a:extLst>
              <a:ext uri="{FF2B5EF4-FFF2-40B4-BE49-F238E27FC236}">
                <a16:creationId xmlns:a16="http://schemas.microsoft.com/office/drawing/2014/main" id="{00000000-0008-0000-0D00-000078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1" name="Shape 330">
            <a:extLst>
              <a:ext uri="{FF2B5EF4-FFF2-40B4-BE49-F238E27FC236}">
                <a16:creationId xmlns:a16="http://schemas.microsoft.com/office/drawing/2014/main" id="{00000000-0008-0000-0D00-000079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2" name="Shape 331">
            <a:extLst>
              <a:ext uri="{FF2B5EF4-FFF2-40B4-BE49-F238E27FC236}">
                <a16:creationId xmlns:a16="http://schemas.microsoft.com/office/drawing/2014/main" id="{00000000-0008-0000-0D00-00007A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3" name="Shape 332">
            <a:extLst>
              <a:ext uri="{FF2B5EF4-FFF2-40B4-BE49-F238E27FC236}">
                <a16:creationId xmlns:a16="http://schemas.microsoft.com/office/drawing/2014/main" id="{00000000-0008-0000-0D00-00007B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24" name="Picture 308">
            <a:extLst>
              <a:ext uri="{FF2B5EF4-FFF2-40B4-BE49-F238E27FC236}">
                <a16:creationId xmlns:a16="http://schemas.microsoft.com/office/drawing/2014/main" id="{00000000-0008-0000-0D00-00007C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25" name="Shape 20">
            <a:extLst>
              <a:ext uri="{FF2B5EF4-FFF2-40B4-BE49-F238E27FC236}">
                <a16:creationId xmlns:a16="http://schemas.microsoft.com/office/drawing/2014/main" id="{00000000-0008-0000-0D00-00007D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6" name="Shape 333">
            <a:extLst>
              <a:ext uri="{FF2B5EF4-FFF2-40B4-BE49-F238E27FC236}">
                <a16:creationId xmlns:a16="http://schemas.microsoft.com/office/drawing/2014/main" id="{00000000-0008-0000-0D00-00007E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7" name="Rectangle 126">
            <a:extLst>
              <a:ext uri="{FF2B5EF4-FFF2-40B4-BE49-F238E27FC236}">
                <a16:creationId xmlns:a16="http://schemas.microsoft.com/office/drawing/2014/main" id="{00000000-0008-0000-0D00-00007F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28" name="Rectangle 127">
            <a:extLst>
              <a:ext uri="{FF2B5EF4-FFF2-40B4-BE49-F238E27FC236}">
                <a16:creationId xmlns:a16="http://schemas.microsoft.com/office/drawing/2014/main" id="{00000000-0008-0000-0D00-000080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29" name="Picture 309">
            <a:extLst>
              <a:ext uri="{FF2B5EF4-FFF2-40B4-BE49-F238E27FC236}">
                <a16:creationId xmlns:a16="http://schemas.microsoft.com/office/drawing/2014/main" id="{00000000-0008-0000-0D00-000081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30" name="Shape 334">
            <a:extLst>
              <a:ext uri="{FF2B5EF4-FFF2-40B4-BE49-F238E27FC236}">
                <a16:creationId xmlns:a16="http://schemas.microsoft.com/office/drawing/2014/main" id="{00000000-0008-0000-0D00-000082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1" name="Rectangle 130">
            <a:extLst>
              <a:ext uri="{FF2B5EF4-FFF2-40B4-BE49-F238E27FC236}">
                <a16:creationId xmlns:a16="http://schemas.microsoft.com/office/drawing/2014/main" id="{00000000-0008-0000-0D00-000083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2" name="Picture 311">
            <a:extLst>
              <a:ext uri="{FF2B5EF4-FFF2-40B4-BE49-F238E27FC236}">
                <a16:creationId xmlns:a16="http://schemas.microsoft.com/office/drawing/2014/main" id="{00000000-0008-0000-0D00-000084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33" name="Shape 30">
            <a:extLst>
              <a:ext uri="{FF2B5EF4-FFF2-40B4-BE49-F238E27FC236}">
                <a16:creationId xmlns:a16="http://schemas.microsoft.com/office/drawing/2014/main" id="{00000000-0008-0000-0D00-000085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4" name="Shape 335">
            <a:extLst>
              <a:ext uri="{FF2B5EF4-FFF2-40B4-BE49-F238E27FC236}">
                <a16:creationId xmlns:a16="http://schemas.microsoft.com/office/drawing/2014/main" id="{00000000-0008-0000-0D00-000086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5" name="Rectangle 134">
            <a:extLst>
              <a:ext uri="{FF2B5EF4-FFF2-40B4-BE49-F238E27FC236}">
                <a16:creationId xmlns:a16="http://schemas.microsoft.com/office/drawing/2014/main" id="{00000000-0008-0000-0D00-000087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6" name="Picture 310">
            <a:extLst>
              <a:ext uri="{FF2B5EF4-FFF2-40B4-BE49-F238E27FC236}">
                <a16:creationId xmlns:a16="http://schemas.microsoft.com/office/drawing/2014/main" id="{00000000-0008-0000-0D00-000088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37" name="Shape 336">
            <a:extLst>
              <a:ext uri="{FF2B5EF4-FFF2-40B4-BE49-F238E27FC236}">
                <a16:creationId xmlns:a16="http://schemas.microsoft.com/office/drawing/2014/main" id="{00000000-0008-0000-0D00-000089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8" name="Rectangle 137">
            <a:extLst>
              <a:ext uri="{FF2B5EF4-FFF2-40B4-BE49-F238E27FC236}">
                <a16:creationId xmlns:a16="http://schemas.microsoft.com/office/drawing/2014/main" id="{00000000-0008-0000-0D00-00008A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39" name="Picture 312">
            <a:extLst>
              <a:ext uri="{FF2B5EF4-FFF2-40B4-BE49-F238E27FC236}">
                <a16:creationId xmlns:a16="http://schemas.microsoft.com/office/drawing/2014/main" id="{00000000-0008-0000-0D00-00008B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40" name="Shape 337">
            <a:extLst>
              <a:ext uri="{FF2B5EF4-FFF2-40B4-BE49-F238E27FC236}">
                <a16:creationId xmlns:a16="http://schemas.microsoft.com/office/drawing/2014/main" id="{00000000-0008-0000-0D00-00008C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1" name="Rectangle 140">
            <a:extLst>
              <a:ext uri="{FF2B5EF4-FFF2-40B4-BE49-F238E27FC236}">
                <a16:creationId xmlns:a16="http://schemas.microsoft.com/office/drawing/2014/main" id="{00000000-0008-0000-0D00-00008D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42" name="Rectangle 141">
            <a:extLst>
              <a:ext uri="{FF2B5EF4-FFF2-40B4-BE49-F238E27FC236}">
                <a16:creationId xmlns:a16="http://schemas.microsoft.com/office/drawing/2014/main" id="{00000000-0008-0000-0D00-00008E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143" name="Shape 59">
            <a:extLst>
              <a:ext uri="{FF2B5EF4-FFF2-40B4-BE49-F238E27FC236}">
                <a16:creationId xmlns:a16="http://schemas.microsoft.com/office/drawing/2014/main" id="{00000000-0008-0000-0D00-00008F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44" name="Shape 62">
            <a:extLst>
              <a:ext uri="{FF2B5EF4-FFF2-40B4-BE49-F238E27FC236}">
                <a16:creationId xmlns:a16="http://schemas.microsoft.com/office/drawing/2014/main" id="{00000000-0008-0000-0D00-000090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5" name="Shape 63">
            <a:extLst>
              <a:ext uri="{FF2B5EF4-FFF2-40B4-BE49-F238E27FC236}">
                <a16:creationId xmlns:a16="http://schemas.microsoft.com/office/drawing/2014/main" id="{00000000-0008-0000-0D00-000091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6" name="Shape 64">
            <a:extLst>
              <a:ext uri="{FF2B5EF4-FFF2-40B4-BE49-F238E27FC236}">
                <a16:creationId xmlns:a16="http://schemas.microsoft.com/office/drawing/2014/main" id="{00000000-0008-0000-0D00-000092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7" name="Shape 65">
            <a:extLst>
              <a:ext uri="{FF2B5EF4-FFF2-40B4-BE49-F238E27FC236}">
                <a16:creationId xmlns:a16="http://schemas.microsoft.com/office/drawing/2014/main" id="{00000000-0008-0000-0D00-000093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8" name="Shape 66">
            <a:extLst>
              <a:ext uri="{FF2B5EF4-FFF2-40B4-BE49-F238E27FC236}">
                <a16:creationId xmlns:a16="http://schemas.microsoft.com/office/drawing/2014/main" id="{00000000-0008-0000-0D00-000094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9" name="Shape 67">
            <a:extLst>
              <a:ext uri="{FF2B5EF4-FFF2-40B4-BE49-F238E27FC236}">
                <a16:creationId xmlns:a16="http://schemas.microsoft.com/office/drawing/2014/main" id="{00000000-0008-0000-0D00-000095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0" name="Shape 68">
            <a:extLst>
              <a:ext uri="{FF2B5EF4-FFF2-40B4-BE49-F238E27FC236}">
                <a16:creationId xmlns:a16="http://schemas.microsoft.com/office/drawing/2014/main" id="{00000000-0008-0000-0D00-000096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1" name="Shape 69">
            <a:extLst>
              <a:ext uri="{FF2B5EF4-FFF2-40B4-BE49-F238E27FC236}">
                <a16:creationId xmlns:a16="http://schemas.microsoft.com/office/drawing/2014/main" id="{00000000-0008-0000-0D00-000097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2" name="Shape 70">
            <a:extLst>
              <a:ext uri="{FF2B5EF4-FFF2-40B4-BE49-F238E27FC236}">
                <a16:creationId xmlns:a16="http://schemas.microsoft.com/office/drawing/2014/main" id="{00000000-0008-0000-0D00-000098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3" name="Shape 71">
            <a:extLst>
              <a:ext uri="{FF2B5EF4-FFF2-40B4-BE49-F238E27FC236}">
                <a16:creationId xmlns:a16="http://schemas.microsoft.com/office/drawing/2014/main" id="{00000000-0008-0000-0D00-000099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4" name="Shape 72">
            <a:extLst>
              <a:ext uri="{FF2B5EF4-FFF2-40B4-BE49-F238E27FC236}">
                <a16:creationId xmlns:a16="http://schemas.microsoft.com/office/drawing/2014/main" id="{00000000-0008-0000-0D00-00009A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5" name="Shape 73">
            <a:extLst>
              <a:ext uri="{FF2B5EF4-FFF2-40B4-BE49-F238E27FC236}">
                <a16:creationId xmlns:a16="http://schemas.microsoft.com/office/drawing/2014/main" id="{00000000-0008-0000-0D00-00009B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6" name="Shape 74">
            <a:extLst>
              <a:ext uri="{FF2B5EF4-FFF2-40B4-BE49-F238E27FC236}">
                <a16:creationId xmlns:a16="http://schemas.microsoft.com/office/drawing/2014/main" id="{00000000-0008-0000-0D00-00009C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7" name="Shape 75">
            <a:extLst>
              <a:ext uri="{FF2B5EF4-FFF2-40B4-BE49-F238E27FC236}">
                <a16:creationId xmlns:a16="http://schemas.microsoft.com/office/drawing/2014/main" id="{00000000-0008-0000-0D00-00009D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8" name="Shape 76">
            <a:extLst>
              <a:ext uri="{FF2B5EF4-FFF2-40B4-BE49-F238E27FC236}">
                <a16:creationId xmlns:a16="http://schemas.microsoft.com/office/drawing/2014/main" id="{00000000-0008-0000-0D00-00009E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9" name="Shape 77">
            <a:extLst>
              <a:ext uri="{FF2B5EF4-FFF2-40B4-BE49-F238E27FC236}">
                <a16:creationId xmlns:a16="http://schemas.microsoft.com/office/drawing/2014/main" id="{00000000-0008-0000-0D00-00009F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0" name="Rectangle 159">
            <a:extLst>
              <a:ext uri="{FF2B5EF4-FFF2-40B4-BE49-F238E27FC236}">
                <a16:creationId xmlns:a16="http://schemas.microsoft.com/office/drawing/2014/main" id="{00000000-0008-0000-0D00-0000A0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61" name="ZoneTexte 55">
            <a:extLst>
              <a:ext uri="{FF2B5EF4-FFF2-40B4-BE49-F238E27FC236}">
                <a16:creationId xmlns:a16="http://schemas.microsoft.com/office/drawing/2014/main" id="{00000000-0008-0000-0D00-0000A1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62" name="ZoneTexte 56">
            <a:extLst>
              <a:ext uri="{FF2B5EF4-FFF2-40B4-BE49-F238E27FC236}">
                <a16:creationId xmlns:a16="http://schemas.microsoft.com/office/drawing/2014/main" id="{00000000-0008-0000-0D00-0000A2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30</xdr:col>
      <xdr:colOff>95250</xdr:colOff>
      <xdr:row>4</xdr:row>
      <xdr:rowOff>197921</xdr:rowOff>
    </xdr:from>
    <xdr:to>
      <xdr:col>43</xdr:col>
      <xdr:colOff>284512</xdr:colOff>
      <xdr:row>17</xdr:row>
      <xdr:rowOff>43528</xdr:rowOff>
    </xdr:to>
    <xdr:graphicFrame macro="">
      <xdr:nvGraphicFramePr>
        <xdr:cNvPr id="163" name="Graphique 162">
          <a:extLst>
            <a:ext uri="{FF2B5EF4-FFF2-40B4-BE49-F238E27FC236}">
              <a16:creationId xmlns:a16="http://schemas.microsoft.com/office/drawing/2014/main" id="{00000000-0008-0000-0D00-0000A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29</xdr:col>
      <xdr:colOff>530680</xdr:colOff>
      <xdr:row>33</xdr:row>
      <xdr:rowOff>40820</xdr:rowOff>
    </xdr:from>
    <xdr:to>
      <xdr:col>43</xdr:col>
      <xdr:colOff>107620</xdr:colOff>
      <xdr:row>47</xdr:row>
      <xdr:rowOff>63320</xdr:rowOff>
    </xdr:to>
    <xdr:graphicFrame macro="">
      <xdr:nvGraphicFramePr>
        <xdr:cNvPr id="164" name="Graphique 163">
          <a:extLst>
            <a:ext uri="{FF2B5EF4-FFF2-40B4-BE49-F238E27FC236}">
              <a16:creationId xmlns:a16="http://schemas.microsoft.com/office/drawing/2014/main" id="{00000000-0008-0000-0D00-0000A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30</xdr:col>
      <xdr:colOff>1</xdr:colOff>
      <xdr:row>46</xdr:row>
      <xdr:rowOff>29696</xdr:rowOff>
    </xdr:from>
    <xdr:to>
      <xdr:col>43</xdr:col>
      <xdr:colOff>52809</xdr:colOff>
      <xdr:row>51</xdr:row>
      <xdr:rowOff>106544</xdr:rowOff>
    </xdr:to>
    <xdr:grpSp>
      <xdr:nvGrpSpPr>
        <xdr:cNvPr id="165" name="Groupe 164">
          <a:extLst>
            <a:ext uri="{FF2B5EF4-FFF2-40B4-BE49-F238E27FC236}">
              <a16:creationId xmlns:a16="http://schemas.microsoft.com/office/drawing/2014/main" id="{00000000-0008-0000-0D00-0000A5000000}"/>
            </a:ext>
          </a:extLst>
        </xdr:cNvPr>
        <xdr:cNvGrpSpPr/>
      </xdr:nvGrpSpPr>
      <xdr:grpSpPr>
        <a:xfrm>
          <a:off x="28343680" y="10275875"/>
          <a:ext cx="8012986" cy="1097383"/>
          <a:chOff x="367064" y="1542965"/>
          <a:chExt cx="7932581" cy="1097383"/>
        </a:xfrm>
      </xdr:grpSpPr>
      <xdr:sp macro="" textlink="">
        <xdr:nvSpPr>
          <xdr:cNvPr id="166" name="Shape 6">
            <a:extLst>
              <a:ext uri="{FF2B5EF4-FFF2-40B4-BE49-F238E27FC236}">
                <a16:creationId xmlns:a16="http://schemas.microsoft.com/office/drawing/2014/main" id="{00000000-0008-0000-0D00-0000A6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7" name="Shape 322">
            <a:extLst>
              <a:ext uri="{FF2B5EF4-FFF2-40B4-BE49-F238E27FC236}">
                <a16:creationId xmlns:a16="http://schemas.microsoft.com/office/drawing/2014/main" id="{00000000-0008-0000-0D00-0000A7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8" name="Shape 323">
            <a:extLst>
              <a:ext uri="{FF2B5EF4-FFF2-40B4-BE49-F238E27FC236}">
                <a16:creationId xmlns:a16="http://schemas.microsoft.com/office/drawing/2014/main" id="{00000000-0008-0000-0D00-0000A8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9" name="Shape 324">
            <a:extLst>
              <a:ext uri="{FF2B5EF4-FFF2-40B4-BE49-F238E27FC236}">
                <a16:creationId xmlns:a16="http://schemas.microsoft.com/office/drawing/2014/main" id="{00000000-0008-0000-0D00-0000A9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0" name="Shape 325">
            <a:extLst>
              <a:ext uri="{FF2B5EF4-FFF2-40B4-BE49-F238E27FC236}">
                <a16:creationId xmlns:a16="http://schemas.microsoft.com/office/drawing/2014/main" id="{00000000-0008-0000-0D00-0000AA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1" name="Shape 326">
            <a:extLst>
              <a:ext uri="{FF2B5EF4-FFF2-40B4-BE49-F238E27FC236}">
                <a16:creationId xmlns:a16="http://schemas.microsoft.com/office/drawing/2014/main" id="{00000000-0008-0000-0D00-0000AB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2" name="Shape 12">
            <a:extLst>
              <a:ext uri="{FF2B5EF4-FFF2-40B4-BE49-F238E27FC236}">
                <a16:creationId xmlns:a16="http://schemas.microsoft.com/office/drawing/2014/main" id="{00000000-0008-0000-0D00-0000AC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3" name="Shape 327">
            <a:extLst>
              <a:ext uri="{FF2B5EF4-FFF2-40B4-BE49-F238E27FC236}">
                <a16:creationId xmlns:a16="http://schemas.microsoft.com/office/drawing/2014/main" id="{00000000-0008-0000-0D00-0000AD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4" name="Shape 328">
            <a:extLst>
              <a:ext uri="{FF2B5EF4-FFF2-40B4-BE49-F238E27FC236}">
                <a16:creationId xmlns:a16="http://schemas.microsoft.com/office/drawing/2014/main" id="{00000000-0008-0000-0D00-0000AE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5" name="Shape 329">
            <a:extLst>
              <a:ext uri="{FF2B5EF4-FFF2-40B4-BE49-F238E27FC236}">
                <a16:creationId xmlns:a16="http://schemas.microsoft.com/office/drawing/2014/main" id="{00000000-0008-0000-0D00-0000AF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6" name="Shape 330">
            <a:extLst>
              <a:ext uri="{FF2B5EF4-FFF2-40B4-BE49-F238E27FC236}">
                <a16:creationId xmlns:a16="http://schemas.microsoft.com/office/drawing/2014/main" id="{00000000-0008-0000-0D00-0000B0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7" name="Shape 331">
            <a:extLst>
              <a:ext uri="{FF2B5EF4-FFF2-40B4-BE49-F238E27FC236}">
                <a16:creationId xmlns:a16="http://schemas.microsoft.com/office/drawing/2014/main" id="{00000000-0008-0000-0D00-0000B1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8" name="Shape 332">
            <a:extLst>
              <a:ext uri="{FF2B5EF4-FFF2-40B4-BE49-F238E27FC236}">
                <a16:creationId xmlns:a16="http://schemas.microsoft.com/office/drawing/2014/main" id="{00000000-0008-0000-0D00-0000B2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79" name="Picture 308">
            <a:extLst>
              <a:ext uri="{FF2B5EF4-FFF2-40B4-BE49-F238E27FC236}">
                <a16:creationId xmlns:a16="http://schemas.microsoft.com/office/drawing/2014/main" id="{00000000-0008-0000-0D00-0000B3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80" name="Shape 20">
            <a:extLst>
              <a:ext uri="{FF2B5EF4-FFF2-40B4-BE49-F238E27FC236}">
                <a16:creationId xmlns:a16="http://schemas.microsoft.com/office/drawing/2014/main" id="{00000000-0008-0000-0D00-0000B4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1" name="Shape 333">
            <a:extLst>
              <a:ext uri="{FF2B5EF4-FFF2-40B4-BE49-F238E27FC236}">
                <a16:creationId xmlns:a16="http://schemas.microsoft.com/office/drawing/2014/main" id="{00000000-0008-0000-0D00-0000B5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2" name="Rectangle 181">
            <a:extLst>
              <a:ext uri="{FF2B5EF4-FFF2-40B4-BE49-F238E27FC236}">
                <a16:creationId xmlns:a16="http://schemas.microsoft.com/office/drawing/2014/main" id="{00000000-0008-0000-0D00-0000B6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83" name="Rectangle 182">
            <a:extLst>
              <a:ext uri="{FF2B5EF4-FFF2-40B4-BE49-F238E27FC236}">
                <a16:creationId xmlns:a16="http://schemas.microsoft.com/office/drawing/2014/main" id="{00000000-0008-0000-0D00-0000B7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4" name="Picture 309">
            <a:extLst>
              <a:ext uri="{FF2B5EF4-FFF2-40B4-BE49-F238E27FC236}">
                <a16:creationId xmlns:a16="http://schemas.microsoft.com/office/drawing/2014/main" id="{00000000-0008-0000-0D00-0000B8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85" name="Shape 334">
            <a:extLst>
              <a:ext uri="{FF2B5EF4-FFF2-40B4-BE49-F238E27FC236}">
                <a16:creationId xmlns:a16="http://schemas.microsoft.com/office/drawing/2014/main" id="{00000000-0008-0000-0D00-0000B9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6" name="Rectangle 185">
            <a:extLst>
              <a:ext uri="{FF2B5EF4-FFF2-40B4-BE49-F238E27FC236}">
                <a16:creationId xmlns:a16="http://schemas.microsoft.com/office/drawing/2014/main" id="{00000000-0008-0000-0D00-0000BA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7" name="Picture 311">
            <a:extLst>
              <a:ext uri="{FF2B5EF4-FFF2-40B4-BE49-F238E27FC236}">
                <a16:creationId xmlns:a16="http://schemas.microsoft.com/office/drawing/2014/main" id="{00000000-0008-0000-0D00-0000BB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88" name="Shape 30">
            <a:extLst>
              <a:ext uri="{FF2B5EF4-FFF2-40B4-BE49-F238E27FC236}">
                <a16:creationId xmlns:a16="http://schemas.microsoft.com/office/drawing/2014/main" id="{00000000-0008-0000-0D00-0000BC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9" name="Shape 335">
            <a:extLst>
              <a:ext uri="{FF2B5EF4-FFF2-40B4-BE49-F238E27FC236}">
                <a16:creationId xmlns:a16="http://schemas.microsoft.com/office/drawing/2014/main" id="{00000000-0008-0000-0D00-0000BD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0" name="Rectangle 189">
            <a:extLst>
              <a:ext uri="{FF2B5EF4-FFF2-40B4-BE49-F238E27FC236}">
                <a16:creationId xmlns:a16="http://schemas.microsoft.com/office/drawing/2014/main" id="{00000000-0008-0000-0D00-0000BE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91" name="Picture 310">
            <a:extLst>
              <a:ext uri="{FF2B5EF4-FFF2-40B4-BE49-F238E27FC236}">
                <a16:creationId xmlns:a16="http://schemas.microsoft.com/office/drawing/2014/main" id="{00000000-0008-0000-0D00-0000BF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92" name="Shape 336">
            <a:extLst>
              <a:ext uri="{FF2B5EF4-FFF2-40B4-BE49-F238E27FC236}">
                <a16:creationId xmlns:a16="http://schemas.microsoft.com/office/drawing/2014/main" id="{00000000-0008-0000-0D00-0000C0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3" name="Rectangle 192">
            <a:extLst>
              <a:ext uri="{FF2B5EF4-FFF2-40B4-BE49-F238E27FC236}">
                <a16:creationId xmlns:a16="http://schemas.microsoft.com/office/drawing/2014/main" id="{00000000-0008-0000-0D00-0000C1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94" name="Picture 312">
            <a:extLst>
              <a:ext uri="{FF2B5EF4-FFF2-40B4-BE49-F238E27FC236}">
                <a16:creationId xmlns:a16="http://schemas.microsoft.com/office/drawing/2014/main" id="{00000000-0008-0000-0D00-0000C2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95" name="Shape 337">
            <a:extLst>
              <a:ext uri="{FF2B5EF4-FFF2-40B4-BE49-F238E27FC236}">
                <a16:creationId xmlns:a16="http://schemas.microsoft.com/office/drawing/2014/main" id="{00000000-0008-0000-0D00-0000C3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6" name="Rectangle 195">
            <a:extLst>
              <a:ext uri="{FF2B5EF4-FFF2-40B4-BE49-F238E27FC236}">
                <a16:creationId xmlns:a16="http://schemas.microsoft.com/office/drawing/2014/main" id="{00000000-0008-0000-0D00-0000C4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97" name="Rectangle 196">
            <a:extLst>
              <a:ext uri="{FF2B5EF4-FFF2-40B4-BE49-F238E27FC236}">
                <a16:creationId xmlns:a16="http://schemas.microsoft.com/office/drawing/2014/main" id="{00000000-0008-0000-0D00-0000C5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198" name="Shape 59">
            <a:extLst>
              <a:ext uri="{FF2B5EF4-FFF2-40B4-BE49-F238E27FC236}">
                <a16:creationId xmlns:a16="http://schemas.microsoft.com/office/drawing/2014/main" id="{00000000-0008-0000-0D00-0000C6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99" name="Shape 62">
            <a:extLst>
              <a:ext uri="{FF2B5EF4-FFF2-40B4-BE49-F238E27FC236}">
                <a16:creationId xmlns:a16="http://schemas.microsoft.com/office/drawing/2014/main" id="{00000000-0008-0000-0D00-0000C7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0" name="Shape 63">
            <a:extLst>
              <a:ext uri="{FF2B5EF4-FFF2-40B4-BE49-F238E27FC236}">
                <a16:creationId xmlns:a16="http://schemas.microsoft.com/office/drawing/2014/main" id="{00000000-0008-0000-0D00-0000C8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1" name="Shape 64">
            <a:extLst>
              <a:ext uri="{FF2B5EF4-FFF2-40B4-BE49-F238E27FC236}">
                <a16:creationId xmlns:a16="http://schemas.microsoft.com/office/drawing/2014/main" id="{00000000-0008-0000-0D00-0000C9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2" name="Shape 65">
            <a:extLst>
              <a:ext uri="{FF2B5EF4-FFF2-40B4-BE49-F238E27FC236}">
                <a16:creationId xmlns:a16="http://schemas.microsoft.com/office/drawing/2014/main" id="{00000000-0008-0000-0D00-0000CA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3" name="Shape 66">
            <a:extLst>
              <a:ext uri="{FF2B5EF4-FFF2-40B4-BE49-F238E27FC236}">
                <a16:creationId xmlns:a16="http://schemas.microsoft.com/office/drawing/2014/main" id="{00000000-0008-0000-0D00-0000CB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4" name="Shape 67">
            <a:extLst>
              <a:ext uri="{FF2B5EF4-FFF2-40B4-BE49-F238E27FC236}">
                <a16:creationId xmlns:a16="http://schemas.microsoft.com/office/drawing/2014/main" id="{00000000-0008-0000-0D00-0000CC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5" name="Shape 68">
            <a:extLst>
              <a:ext uri="{FF2B5EF4-FFF2-40B4-BE49-F238E27FC236}">
                <a16:creationId xmlns:a16="http://schemas.microsoft.com/office/drawing/2014/main" id="{00000000-0008-0000-0D00-0000CD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6" name="Shape 69">
            <a:extLst>
              <a:ext uri="{FF2B5EF4-FFF2-40B4-BE49-F238E27FC236}">
                <a16:creationId xmlns:a16="http://schemas.microsoft.com/office/drawing/2014/main" id="{00000000-0008-0000-0D00-0000CE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7" name="Shape 70">
            <a:extLst>
              <a:ext uri="{FF2B5EF4-FFF2-40B4-BE49-F238E27FC236}">
                <a16:creationId xmlns:a16="http://schemas.microsoft.com/office/drawing/2014/main" id="{00000000-0008-0000-0D00-0000CF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8" name="Shape 71">
            <a:extLst>
              <a:ext uri="{FF2B5EF4-FFF2-40B4-BE49-F238E27FC236}">
                <a16:creationId xmlns:a16="http://schemas.microsoft.com/office/drawing/2014/main" id="{00000000-0008-0000-0D00-0000D0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9" name="Shape 72">
            <a:extLst>
              <a:ext uri="{FF2B5EF4-FFF2-40B4-BE49-F238E27FC236}">
                <a16:creationId xmlns:a16="http://schemas.microsoft.com/office/drawing/2014/main" id="{00000000-0008-0000-0D00-0000D1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0" name="Shape 73">
            <a:extLst>
              <a:ext uri="{FF2B5EF4-FFF2-40B4-BE49-F238E27FC236}">
                <a16:creationId xmlns:a16="http://schemas.microsoft.com/office/drawing/2014/main" id="{00000000-0008-0000-0D00-0000D2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1" name="Shape 74">
            <a:extLst>
              <a:ext uri="{FF2B5EF4-FFF2-40B4-BE49-F238E27FC236}">
                <a16:creationId xmlns:a16="http://schemas.microsoft.com/office/drawing/2014/main" id="{00000000-0008-0000-0D00-0000D3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2" name="Shape 75">
            <a:extLst>
              <a:ext uri="{FF2B5EF4-FFF2-40B4-BE49-F238E27FC236}">
                <a16:creationId xmlns:a16="http://schemas.microsoft.com/office/drawing/2014/main" id="{00000000-0008-0000-0D00-0000D4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3" name="Shape 76">
            <a:extLst>
              <a:ext uri="{FF2B5EF4-FFF2-40B4-BE49-F238E27FC236}">
                <a16:creationId xmlns:a16="http://schemas.microsoft.com/office/drawing/2014/main" id="{00000000-0008-0000-0D00-0000D5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4" name="Shape 77">
            <a:extLst>
              <a:ext uri="{FF2B5EF4-FFF2-40B4-BE49-F238E27FC236}">
                <a16:creationId xmlns:a16="http://schemas.microsoft.com/office/drawing/2014/main" id="{00000000-0008-0000-0D00-0000D6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5" name="Rectangle 214">
            <a:extLst>
              <a:ext uri="{FF2B5EF4-FFF2-40B4-BE49-F238E27FC236}">
                <a16:creationId xmlns:a16="http://schemas.microsoft.com/office/drawing/2014/main" id="{00000000-0008-0000-0D00-0000D7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16" name="ZoneTexte 55">
            <a:extLst>
              <a:ext uri="{FF2B5EF4-FFF2-40B4-BE49-F238E27FC236}">
                <a16:creationId xmlns:a16="http://schemas.microsoft.com/office/drawing/2014/main" id="{00000000-0008-0000-0D00-0000D8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17" name="ZoneTexte 56">
            <a:extLst>
              <a:ext uri="{FF2B5EF4-FFF2-40B4-BE49-F238E27FC236}">
                <a16:creationId xmlns:a16="http://schemas.microsoft.com/office/drawing/2014/main" id="{00000000-0008-0000-0D00-0000D9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twoCellAnchor editAs="absolute">
    <xdr:from>
      <xdr:col>30</xdr:col>
      <xdr:colOff>163477</xdr:colOff>
      <xdr:row>15</xdr:row>
      <xdr:rowOff>189512</xdr:rowOff>
    </xdr:from>
    <xdr:to>
      <xdr:col>43</xdr:col>
      <xdr:colOff>216285</xdr:colOff>
      <xdr:row>21</xdr:row>
      <xdr:rowOff>62252</xdr:rowOff>
    </xdr:to>
    <xdr:grpSp>
      <xdr:nvGrpSpPr>
        <xdr:cNvPr id="218" name="Groupe 217">
          <a:extLst>
            <a:ext uri="{FF2B5EF4-FFF2-40B4-BE49-F238E27FC236}">
              <a16:creationId xmlns:a16="http://schemas.microsoft.com/office/drawing/2014/main" id="{00000000-0008-0000-0D00-0000DA000000}"/>
            </a:ext>
          </a:extLst>
        </xdr:cNvPr>
        <xdr:cNvGrpSpPr/>
      </xdr:nvGrpSpPr>
      <xdr:grpSpPr>
        <a:xfrm>
          <a:off x="28507156" y="3904262"/>
          <a:ext cx="8012986" cy="1097383"/>
          <a:chOff x="367064" y="1542965"/>
          <a:chExt cx="7932581" cy="1097383"/>
        </a:xfrm>
      </xdr:grpSpPr>
      <xdr:sp macro="" textlink="">
        <xdr:nvSpPr>
          <xdr:cNvPr id="219" name="Shape 6">
            <a:extLst>
              <a:ext uri="{FF2B5EF4-FFF2-40B4-BE49-F238E27FC236}">
                <a16:creationId xmlns:a16="http://schemas.microsoft.com/office/drawing/2014/main" id="{00000000-0008-0000-0D00-0000DB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0" name="Shape 322">
            <a:extLst>
              <a:ext uri="{FF2B5EF4-FFF2-40B4-BE49-F238E27FC236}">
                <a16:creationId xmlns:a16="http://schemas.microsoft.com/office/drawing/2014/main" id="{00000000-0008-0000-0D00-0000DC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1" name="Shape 323">
            <a:extLst>
              <a:ext uri="{FF2B5EF4-FFF2-40B4-BE49-F238E27FC236}">
                <a16:creationId xmlns:a16="http://schemas.microsoft.com/office/drawing/2014/main" id="{00000000-0008-0000-0D00-0000DD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2" name="Shape 324">
            <a:extLst>
              <a:ext uri="{FF2B5EF4-FFF2-40B4-BE49-F238E27FC236}">
                <a16:creationId xmlns:a16="http://schemas.microsoft.com/office/drawing/2014/main" id="{00000000-0008-0000-0D00-0000DE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3" name="Shape 325">
            <a:extLst>
              <a:ext uri="{FF2B5EF4-FFF2-40B4-BE49-F238E27FC236}">
                <a16:creationId xmlns:a16="http://schemas.microsoft.com/office/drawing/2014/main" id="{00000000-0008-0000-0D00-0000DF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4" name="Shape 326">
            <a:extLst>
              <a:ext uri="{FF2B5EF4-FFF2-40B4-BE49-F238E27FC236}">
                <a16:creationId xmlns:a16="http://schemas.microsoft.com/office/drawing/2014/main" id="{00000000-0008-0000-0D00-0000E0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5" name="Shape 12">
            <a:extLst>
              <a:ext uri="{FF2B5EF4-FFF2-40B4-BE49-F238E27FC236}">
                <a16:creationId xmlns:a16="http://schemas.microsoft.com/office/drawing/2014/main" id="{00000000-0008-0000-0D00-0000E1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6" name="Shape 327">
            <a:extLst>
              <a:ext uri="{FF2B5EF4-FFF2-40B4-BE49-F238E27FC236}">
                <a16:creationId xmlns:a16="http://schemas.microsoft.com/office/drawing/2014/main" id="{00000000-0008-0000-0D00-0000E2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7" name="Shape 328">
            <a:extLst>
              <a:ext uri="{FF2B5EF4-FFF2-40B4-BE49-F238E27FC236}">
                <a16:creationId xmlns:a16="http://schemas.microsoft.com/office/drawing/2014/main" id="{00000000-0008-0000-0D00-0000E3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8" name="Shape 329">
            <a:extLst>
              <a:ext uri="{FF2B5EF4-FFF2-40B4-BE49-F238E27FC236}">
                <a16:creationId xmlns:a16="http://schemas.microsoft.com/office/drawing/2014/main" id="{00000000-0008-0000-0D00-0000E4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9" name="Shape 330">
            <a:extLst>
              <a:ext uri="{FF2B5EF4-FFF2-40B4-BE49-F238E27FC236}">
                <a16:creationId xmlns:a16="http://schemas.microsoft.com/office/drawing/2014/main" id="{00000000-0008-0000-0D00-0000E5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0" name="Shape 331">
            <a:extLst>
              <a:ext uri="{FF2B5EF4-FFF2-40B4-BE49-F238E27FC236}">
                <a16:creationId xmlns:a16="http://schemas.microsoft.com/office/drawing/2014/main" id="{00000000-0008-0000-0D00-0000E6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1" name="Shape 332">
            <a:extLst>
              <a:ext uri="{FF2B5EF4-FFF2-40B4-BE49-F238E27FC236}">
                <a16:creationId xmlns:a16="http://schemas.microsoft.com/office/drawing/2014/main" id="{00000000-0008-0000-0D00-0000E7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232" name="Picture 308">
            <a:extLst>
              <a:ext uri="{FF2B5EF4-FFF2-40B4-BE49-F238E27FC236}">
                <a16:creationId xmlns:a16="http://schemas.microsoft.com/office/drawing/2014/main" id="{00000000-0008-0000-0D00-0000E8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233" name="Shape 20">
            <a:extLst>
              <a:ext uri="{FF2B5EF4-FFF2-40B4-BE49-F238E27FC236}">
                <a16:creationId xmlns:a16="http://schemas.microsoft.com/office/drawing/2014/main" id="{00000000-0008-0000-0D00-0000E9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4" name="Shape 333">
            <a:extLst>
              <a:ext uri="{FF2B5EF4-FFF2-40B4-BE49-F238E27FC236}">
                <a16:creationId xmlns:a16="http://schemas.microsoft.com/office/drawing/2014/main" id="{00000000-0008-0000-0D00-0000EA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5" name="Rectangle 234">
            <a:extLst>
              <a:ext uri="{FF2B5EF4-FFF2-40B4-BE49-F238E27FC236}">
                <a16:creationId xmlns:a16="http://schemas.microsoft.com/office/drawing/2014/main" id="{00000000-0008-0000-0D00-0000EB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236" name="Rectangle 235">
            <a:extLst>
              <a:ext uri="{FF2B5EF4-FFF2-40B4-BE49-F238E27FC236}">
                <a16:creationId xmlns:a16="http://schemas.microsoft.com/office/drawing/2014/main" id="{00000000-0008-0000-0D00-0000EC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37" name="Picture 309">
            <a:extLst>
              <a:ext uri="{FF2B5EF4-FFF2-40B4-BE49-F238E27FC236}">
                <a16:creationId xmlns:a16="http://schemas.microsoft.com/office/drawing/2014/main" id="{00000000-0008-0000-0D00-0000ED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238" name="Shape 334">
            <a:extLst>
              <a:ext uri="{FF2B5EF4-FFF2-40B4-BE49-F238E27FC236}">
                <a16:creationId xmlns:a16="http://schemas.microsoft.com/office/drawing/2014/main" id="{00000000-0008-0000-0D00-0000EE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9" name="Rectangle 238">
            <a:extLst>
              <a:ext uri="{FF2B5EF4-FFF2-40B4-BE49-F238E27FC236}">
                <a16:creationId xmlns:a16="http://schemas.microsoft.com/office/drawing/2014/main" id="{00000000-0008-0000-0D00-0000EF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0" name="Picture 311">
            <a:extLst>
              <a:ext uri="{FF2B5EF4-FFF2-40B4-BE49-F238E27FC236}">
                <a16:creationId xmlns:a16="http://schemas.microsoft.com/office/drawing/2014/main" id="{00000000-0008-0000-0D00-0000F0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241" name="Shape 30">
            <a:extLst>
              <a:ext uri="{FF2B5EF4-FFF2-40B4-BE49-F238E27FC236}">
                <a16:creationId xmlns:a16="http://schemas.microsoft.com/office/drawing/2014/main" id="{00000000-0008-0000-0D00-0000F1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2" name="Shape 335">
            <a:extLst>
              <a:ext uri="{FF2B5EF4-FFF2-40B4-BE49-F238E27FC236}">
                <a16:creationId xmlns:a16="http://schemas.microsoft.com/office/drawing/2014/main" id="{00000000-0008-0000-0D00-0000F2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3" name="Rectangle 242">
            <a:extLst>
              <a:ext uri="{FF2B5EF4-FFF2-40B4-BE49-F238E27FC236}">
                <a16:creationId xmlns:a16="http://schemas.microsoft.com/office/drawing/2014/main" id="{00000000-0008-0000-0D00-0000F3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4" name="Picture 310">
            <a:extLst>
              <a:ext uri="{FF2B5EF4-FFF2-40B4-BE49-F238E27FC236}">
                <a16:creationId xmlns:a16="http://schemas.microsoft.com/office/drawing/2014/main" id="{00000000-0008-0000-0D00-0000F4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245" name="Shape 336">
            <a:extLst>
              <a:ext uri="{FF2B5EF4-FFF2-40B4-BE49-F238E27FC236}">
                <a16:creationId xmlns:a16="http://schemas.microsoft.com/office/drawing/2014/main" id="{00000000-0008-0000-0D00-0000F5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6" name="Rectangle 245">
            <a:extLst>
              <a:ext uri="{FF2B5EF4-FFF2-40B4-BE49-F238E27FC236}">
                <a16:creationId xmlns:a16="http://schemas.microsoft.com/office/drawing/2014/main" id="{00000000-0008-0000-0D00-0000F6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247" name="Picture 312">
            <a:extLst>
              <a:ext uri="{FF2B5EF4-FFF2-40B4-BE49-F238E27FC236}">
                <a16:creationId xmlns:a16="http://schemas.microsoft.com/office/drawing/2014/main" id="{00000000-0008-0000-0D00-0000F7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248" name="Shape 337">
            <a:extLst>
              <a:ext uri="{FF2B5EF4-FFF2-40B4-BE49-F238E27FC236}">
                <a16:creationId xmlns:a16="http://schemas.microsoft.com/office/drawing/2014/main" id="{00000000-0008-0000-0D00-0000F8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9" name="Rectangle 248">
            <a:extLst>
              <a:ext uri="{FF2B5EF4-FFF2-40B4-BE49-F238E27FC236}">
                <a16:creationId xmlns:a16="http://schemas.microsoft.com/office/drawing/2014/main" id="{00000000-0008-0000-0D00-0000F9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250" name="Rectangle 249">
            <a:extLst>
              <a:ext uri="{FF2B5EF4-FFF2-40B4-BE49-F238E27FC236}">
                <a16:creationId xmlns:a16="http://schemas.microsoft.com/office/drawing/2014/main" id="{00000000-0008-0000-0D00-0000FA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251" name="Shape 59">
            <a:extLst>
              <a:ext uri="{FF2B5EF4-FFF2-40B4-BE49-F238E27FC236}">
                <a16:creationId xmlns:a16="http://schemas.microsoft.com/office/drawing/2014/main" id="{00000000-0008-0000-0D00-0000FB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252" name="Shape 62">
            <a:extLst>
              <a:ext uri="{FF2B5EF4-FFF2-40B4-BE49-F238E27FC236}">
                <a16:creationId xmlns:a16="http://schemas.microsoft.com/office/drawing/2014/main" id="{00000000-0008-0000-0D00-0000FC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3" name="Shape 63">
            <a:extLst>
              <a:ext uri="{FF2B5EF4-FFF2-40B4-BE49-F238E27FC236}">
                <a16:creationId xmlns:a16="http://schemas.microsoft.com/office/drawing/2014/main" id="{00000000-0008-0000-0D00-0000FD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4" name="Shape 64">
            <a:extLst>
              <a:ext uri="{FF2B5EF4-FFF2-40B4-BE49-F238E27FC236}">
                <a16:creationId xmlns:a16="http://schemas.microsoft.com/office/drawing/2014/main" id="{00000000-0008-0000-0D00-0000FE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5" name="Shape 65">
            <a:extLst>
              <a:ext uri="{FF2B5EF4-FFF2-40B4-BE49-F238E27FC236}">
                <a16:creationId xmlns:a16="http://schemas.microsoft.com/office/drawing/2014/main" id="{00000000-0008-0000-0D00-0000FF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6" name="Shape 66">
            <a:extLst>
              <a:ext uri="{FF2B5EF4-FFF2-40B4-BE49-F238E27FC236}">
                <a16:creationId xmlns:a16="http://schemas.microsoft.com/office/drawing/2014/main" id="{00000000-0008-0000-0D00-00000001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7" name="Shape 67">
            <a:extLst>
              <a:ext uri="{FF2B5EF4-FFF2-40B4-BE49-F238E27FC236}">
                <a16:creationId xmlns:a16="http://schemas.microsoft.com/office/drawing/2014/main" id="{00000000-0008-0000-0D00-00000101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8" name="Shape 68">
            <a:extLst>
              <a:ext uri="{FF2B5EF4-FFF2-40B4-BE49-F238E27FC236}">
                <a16:creationId xmlns:a16="http://schemas.microsoft.com/office/drawing/2014/main" id="{00000000-0008-0000-0D00-00000201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9" name="Shape 69">
            <a:extLst>
              <a:ext uri="{FF2B5EF4-FFF2-40B4-BE49-F238E27FC236}">
                <a16:creationId xmlns:a16="http://schemas.microsoft.com/office/drawing/2014/main" id="{00000000-0008-0000-0D00-00000301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0" name="Shape 70">
            <a:extLst>
              <a:ext uri="{FF2B5EF4-FFF2-40B4-BE49-F238E27FC236}">
                <a16:creationId xmlns:a16="http://schemas.microsoft.com/office/drawing/2014/main" id="{00000000-0008-0000-0D00-00000401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1" name="Shape 71">
            <a:extLst>
              <a:ext uri="{FF2B5EF4-FFF2-40B4-BE49-F238E27FC236}">
                <a16:creationId xmlns:a16="http://schemas.microsoft.com/office/drawing/2014/main" id="{00000000-0008-0000-0D00-00000501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2" name="Shape 72">
            <a:extLst>
              <a:ext uri="{FF2B5EF4-FFF2-40B4-BE49-F238E27FC236}">
                <a16:creationId xmlns:a16="http://schemas.microsoft.com/office/drawing/2014/main" id="{00000000-0008-0000-0D00-00000601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3" name="Shape 73">
            <a:extLst>
              <a:ext uri="{FF2B5EF4-FFF2-40B4-BE49-F238E27FC236}">
                <a16:creationId xmlns:a16="http://schemas.microsoft.com/office/drawing/2014/main" id="{00000000-0008-0000-0D00-00000701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4" name="Shape 74">
            <a:extLst>
              <a:ext uri="{FF2B5EF4-FFF2-40B4-BE49-F238E27FC236}">
                <a16:creationId xmlns:a16="http://schemas.microsoft.com/office/drawing/2014/main" id="{00000000-0008-0000-0D00-00000801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5" name="Shape 75">
            <a:extLst>
              <a:ext uri="{FF2B5EF4-FFF2-40B4-BE49-F238E27FC236}">
                <a16:creationId xmlns:a16="http://schemas.microsoft.com/office/drawing/2014/main" id="{00000000-0008-0000-0D00-00000901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6" name="Shape 76">
            <a:extLst>
              <a:ext uri="{FF2B5EF4-FFF2-40B4-BE49-F238E27FC236}">
                <a16:creationId xmlns:a16="http://schemas.microsoft.com/office/drawing/2014/main" id="{00000000-0008-0000-0D00-00000A01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7" name="Shape 77">
            <a:extLst>
              <a:ext uri="{FF2B5EF4-FFF2-40B4-BE49-F238E27FC236}">
                <a16:creationId xmlns:a16="http://schemas.microsoft.com/office/drawing/2014/main" id="{00000000-0008-0000-0D00-00000B01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8" name="Rectangle 267">
            <a:extLst>
              <a:ext uri="{FF2B5EF4-FFF2-40B4-BE49-F238E27FC236}">
                <a16:creationId xmlns:a16="http://schemas.microsoft.com/office/drawing/2014/main" id="{00000000-0008-0000-0D00-00000C01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69" name="ZoneTexte 55">
            <a:extLst>
              <a:ext uri="{FF2B5EF4-FFF2-40B4-BE49-F238E27FC236}">
                <a16:creationId xmlns:a16="http://schemas.microsoft.com/office/drawing/2014/main" id="{00000000-0008-0000-0D00-00000D01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70" name="ZoneTexte 56">
            <a:extLst>
              <a:ext uri="{FF2B5EF4-FFF2-40B4-BE49-F238E27FC236}">
                <a16:creationId xmlns:a16="http://schemas.microsoft.com/office/drawing/2014/main" id="{00000000-0008-0000-0D00-00000E01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8</xdr:col>
      <xdr:colOff>154781</xdr:colOff>
      <xdr:row>32</xdr:row>
      <xdr:rowOff>95250</xdr:rowOff>
    </xdr:to>
    <xdr:graphicFrame macro="">
      <xdr:nvGraphicFramePr>
        <xdr:cNvPr id="2" name="Graphique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377031</xdr:colOff>
      <xdr:row>11</xdr:row>
      <xdr:rowOff>91810</xdr:rowOff>
    </xdr:from>
    <xdr:to>
      <xdr:col>15</xdr:col>
      <xdr:colOff>398319</xdr:colOff>
      <xdr:row>32</xdr:row>
      <xdr:rowOff>51955</xdr:rowOff>
    </xdr:to>
    <xdr:graphicFrame macro="">
      <xdr:nvGraphicFramePr>
        <xdr:cNvPr id="3" name="Graphique 1">
          <a:extLst>
            <a:ext uri="{FF2B5EF4-FFF2-40B4-BE49-F238E27FC236}">
              <a16:creationId xmlns:a16="http://schemas.microsoft.com/office/drawing/2014/main" id="{00000000-0008-0000-0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7</xdr:col>
      <xdr:colOff>984059</xdr:colOff>
      <xdr:row>56</xdr:row>
      <xdr:rowOff>86784</xdr:rowOff>
    </xdr:to>
    <xdr:graphicFrame macro="">
      <xdr:nvGraphicFramePr>
        <xdr:cNvPr id="4" name="Graphique 3">
          <a:extLst>
            <a:ext uri="{FF2B5EF4-FFF2-40B4-BE49-F238E27FC236}">
              <a16:creationId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8</xdr:col>
      <xdr:colOff>212988</xdr:colOff>
      <xdr:row>35</xdr:row>
      <xdr:rowOff>83344</xdr:rowOff>
    </xdr:from>
    <xdr:to>
      <xdr:col>15</xdr:col>
      <xdr:colOff>234276</xdr:colOff>
      <xdr:row>56</xdr:row>
      <xdr:rowOff>43489</xdr:rowOff>
    </xdr:to>
    <xdr:graphicFrame macro="">
      <xdr:nvGraphicFramePr>
        <xdr:cNvPr id="5" name="Graphique 1">
          <a:extLst>
            <a:ext uri="{FF2B5EF4-FFF2-40B4-BE49-F238E27FC236}">
              <a16:creationId xmlns:a16="http://schemas.microsoft.com/office/drawing/2014/main" id="{00000000-0008-0000-0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c:userShapes xmlns:c="http://schemas.openxmlformats.org/drawingml/2006/chart">
  <cdr:absSizeAnchor xmlns:cdr="http://schemas.openxmlformats.org/drawingml/2006/chartDrawing">
    <cdr:from>
      <cdr:x>0.82371</cdr:x>
      <cdr:y>0.55101</cdr:y>
    </cdr:from>
    <cdr:ext cx="796018" cy="436786"/>
    <cdr:sp macro="" textlink="">
      <cdr:nvSpPr>
        <cdr:cNvPr id="4" name="ZoneTexte 1"/>
        <cdr:cNvSpPr txBox="1"/>
      </cdr:nvSpPr>
      <cdr:spPr>
        <a:xfrm xmlns:a="http://schemas.openxmlformats.org/drawingml/2006/main">
          <a:off x="5876731" y="1937227"/>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100" b="1">
              <a:solidFill>
                <a:srgbClr val="00B050"/>
              </a:solidFill>
            </a:rPr>
            <a:t>Niveau de référence</a:t>
          </a:r>
        </a:p>
      </cdr:txBody>
    </cdr:sp>
  </cdr:absSizeAnchor>
</c:userShapes>
</file>

<file path=xl/drawings/drawing11.xml><?xml version="1.0" encoding="utf-8"?>
<c:userShapes xmlns:c="http://schemas.openxmlformats.org/drawingml/2006/chart">
  <cdr:absSizeAnchor xmlns:cdr="http://schemas.openxmlformats.org/drawingml/2006/chartDrawing">
    <cdr:from>
      <cdr:x>0.8358</cdr:x>
      <cdr:y>0.20578</cdr:y>
    </cdr:from>
    <cdr:ext cx="850804" cy="436786"/>
    <cdr:sp macro="" textlink="">
      <cdr:nvSpPr>
        <cdr:cNvPr id="4" name="ZoneTexte 1"/>
        <cdr:cNvSpPr txBox="1"/>
      </cdr:nvSpPr>
      <cdr:spPr>
        <a:xfrm xmlns:a="http://schemas.openxmlformats.org/drawingml/2006/main">
          <a:off x="5829311" y="697435"/>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2.xml><?xml version="1.0" encoding="utf-8"?>
<c:userShapes xmlns:c="http://schemas.openxmlformats.org/drawingml/2006/chart">
  <cdr:absSizeAnchor xmlns:cdr="http://schemas.openxmlformats.org/drawingml/2006/chartDrawing">
    <cdr:from>
      <cdr:x>0.81608</cdr:x>
      <cdr:y>0.54327</cdr:y>
    </cdr:from>
    <cdr:ext cx="796018" cy="436785"/>
    <cdr:sp macro="" textlink="">
      <cdr:nvSpPr>
        <cdr:cNvPr id="4" name="ZoneTexte 1"/>
        <cdr:cNvSpPr txBox="1"/>
      </cdr:nvSpPr>
      <cdr:spPr>
        <a:xfrm xmlns:a="http://schemas.openxmlformats.org/drawingml/2006/main">
          <a:off x="5822303" y="1910013"/>
          <a:ext cx="796018" cy="436785"/>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a:t>
          </a:r>
          <a:r>
            <a:rPr lang="fr-FR" sz="1100" b="1" baseline="0">
              <a:solidFill>
                <a:srgbClr val="00B050"/>
              </a:solidFill>
            </a:rPr>
            <a:t> level</a:t>
          </a:r>
          <a:endParaRPr lang="fr-FR" sz="1100" b="1">
            <a:solidFill>
              <a:srgbClr val="00B050"/>
            </a:solidFill>
          </a:endParaRPr>
        </a:p>
      </cdr:txBody>
    </cdr:sp>
  </cdr:absSizeAnchor>
</c:userShapes>
</file>

<file path=xl/drawings/drawing13.xml><?xml version="1.0" encoding="utf-8"?>
<c:userShapes xmlns:c="http://schemas.openxmlformats.org/drawingml/2006/chart">
  <cdr:absSizeAnchor xmlns:cdr="http://schemas.openxmlformats.org/drawingml/2006/chartDrawing">
    <cdr:from>
      <cdr:x>0.82019</cdr:x>
      <cdr:y>0.2098</cdr:y>
    </cdr:from>
    <cdr:ext cx="850804" cy="436786"/>
    <cdr:sp macro="" textlink="">
      <cdr:nvSpPr>
        <cdr:cNvPr id="4" name="ZoneTexte 1"/>
        <cdr:cNvSpPr txBox="1"/>
      </cdr:nvSpPr>
      <cdr:spPr>
        <a:xfrm xmlns:a="http://schemas.openxmlformats.org/drawingml/2006/main">
          <a:off x="5720455" y="711042"/>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4.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4</xdr:col>
      <xdr:colOff>122465</xdr:colOff>
      <xdr:row>30</xdr:row>
      <xdr:rowOff>95250</xdr:rowOff>
    </xdr:to>
    <xdr:graphicFrame macro="">
      <xdr:nvGraphicFramePr>
        <xdr:cNvPr id="2" name="Graphique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295389</xdr:colOff>
      <xdr:row>11</xdr:row>
      <xdr:rowOff>132631</xdr:rowOff>
    </xdr:from>
    <xdr:to>
      <xdr:col>8</xdr:col>
      <xdr:colOff>340180</xdr:colOff>
      <xdr:row>32</xdr:row>
      <xdr:rowOff>92776</xdr:rowOff>
    </xdr:to>
    <xdr:graphicFrame macro="">
      <xdr:nvGraphicFramePr>
        <xdr:cNvPr id="3" name="Graphique 1">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3</xdr:col>
      <xdr:colOff>870100</xdr:colOff>
      <xdr:row>52</xdr:row>
      <xdr:rowOff>86784</xdr:rowOff>
    </xdr:to>
    <xdr:graphicFrame macro="">
      <xdr:nvGraphicFramePr>
        <xdr:cNvPr id="4" name="Graphique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131346</xdr:colOff>
      <xdr:row>33</xdr:row>
      <xdr:rowOff>124165</xdr:rowOff>
    </xdr:from>
    <xdr:to>
      <xdr:col>8</xdr:col>
      <xdr:colOff>176137</xdr:colOff>
      <xdr:row>54</xdr:row>
      <xdr:rowOff>84310</xdr:rowOff>
    </xdr:to>
    <xdr:graphicFrame macro="">
      <xdr:nvGraphicFramePr>
        <xdr:cNvPr id="5" name="Graphique 1">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5.xml><?xml version="1.0" encoding="utf-8"?>
<c:userShapes xmlns:c="http://schemas.openxmlformats.org/drawingml/2006/chart">
  <cdr:absSizeAnchor xmlns:cdr="http://schemas.openxmlformats.org/drawingml/2006/chartDrawing">
    <cdr:from>
      <cdr:x>0.65754</cdr:x>
      <cdr:y>0.55369</cdr:y>
    </cdr:from>
    <cdr:ext cx="796018" cy="436786"/>
    <cdr:sp macro="" textlink="">
      <cdr:nvSpPr>
        <cdr:cNvPr id="4" name="ZoneTexte 1"/>
        <cdr:cNvSpPr txBox="1"/>
      </cdr:nvSpPr>
      <cdr:spPr>
        <a:xfrm xmlns:a="http://schemas.openxmlformats.org/drawingml/2006/main">
          <a:off x="2182630" y="1765836"/>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6.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10" y="1024007"/>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7.xml><?xml version="1.0" encoding="utf-8"?>
<c:userShapes xmlns:c="http://schemas.openxmlformats.org/drawingml/2006/chart">
  <cdr:absSizeAnchor xmlns:cdr="http://schemas.openxmlformats.org/drawingml/2006/chartDrawing">
    <cdr:from>
      <cdr:x>0.67394</cdr:x>
      <cdr:y>0.54089</cdr:y>
    </cdr:from>
    <cdr:ext cx="796018" cy="436786"/>
    <cdr:sp macro="" textlink="">
      <cdr:nvSpPr>
        <cdr:cNvPr id="4" name="ZoneTexte 1"/>
        <cdr:cNvSpPr txBox="1"/>
      </cdr:nvSpPr>
      <cdr:spPr>
        <a:xfrm xmlns:a="http://schemas.openxmlformats.org/drawingml/2006/main">
          <a:off x="2237059" y="1725014"/>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8.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02" y="1023996"/>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C:\RealStats\RealStats%202013%202016.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DP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259.546403472224" createdVersion="5" refreshedVersion="6" minRefreshableVersion="3" recordCount="1556" xr:uid="{00000000-000A-0000-FFFF-FFFF0C000000}">
  <cacheSource type="worksheet">
    <worksheetSource name="Tableau4"/>
  </cacheSource>
  <cacheFields count="10">
    <cacheField name="Nom groupe" numFmtId="0">
      <sharedItems containsBlank="1" count="23">
        <s v="01 Evian + 0.2% DMSO"/>
        <s v=""/>
        <s v="02 EE2 33.8"/>
        <s v="03 EE2 50.6"/>
        <s v="04 EE2 76"/>
        <s v="05 EE2 114"/>
        <s v="06 EE2 170.9"/>
        <s v="07 EE2 488"/>
        <s v="08 17b estradiol 34 ng_L"/>
        <s v="09 17b estradiol 68"/>
        <s v="10 17b estradiol 135"/>
        <s v="11 17b estradiol 270"/>
        <s v="12 17b estradiol 540"/>
        <s v="01 Testo 30"/>
        <s v="02 Testo 30"/>
        <s v="03 Testo+ EE2 64"/>
        <s v="04 Testo+ FAD"/>
        <s v="05 17b estradiol 34 dopé"/>
        <s v="06 17b estradiol 68 dopé"/>
        <s v="07 17b estradiol 135 dopé"/>
        <s v="08 17b estradiol 270 dopé"/>
        <s v="09 17b estradiol 540 dopé"/>
        <m u="1"/>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acheField>
    <cacheField name=" mean intensity " numFmtId="0">
      <sharedItems containsBlank="1" containsMixedTypes="1" containsNumber="1" containsInteger="1" minValue="64" maxValue="66"/>
    </cacheField>
    <cacheField name=" " numFmtId="0">
      <sharedItems containsBlank="1" count="24">
        <s v=" "/>
        <m/>
        <s v=" SD mean fluo "/>
        <s v=" 4.1147 "/>
        <s v=" 1.6679 "/>
        <s v=" 4.0684 "/>
        <s v=" 1.2302 "/>
        <s v=" 1.9777 "/>
        <s v=" 3.5967 "/>
        <s v=" 6.1095 "/>
        <s v=" 2.9417 "/>
        <s v=" 3.92 "/>
        <s v=" 1.9605 "/>
        <s v=" 7.0384 "/>
        <s v=" 7.8883 "/>
        <s v=" 3.9079 "/>
        <s v=" 3.0304 "/>
        <s v=" 7.6281 "/>
        <s v=" 2.9947 "/>
        <s v=" 1.7419 "/>
        <s v=" 5.073 "/>
        <s v=" 4.5875 "/>
        <s v=" 11.1255 "/>
        <s v=" 8.7263 "/>
      </sharedItems>
    </cacheField>
    <cacheField name=" total fluorescence" numFmtId="0">
      <sharedItems containsBlank="1" containsMixedTypes="1" containsNumber="1" containsInteger="1" minValue="9885" maxValue="7846807"/>
    </cacheField>
    <cacheField name="         " numFmtId="0">
      <sharedItems containsBlank="1"/>
    </cacheField>
    <cacheField name="nbre de larves" numFmtId="0">
      <sharedItems containsBlank="1" containsMixedTypes="1" containsNumber="1" containsInteger="1" minValue="24" maxValue="24"/>
    </cacheField>
    <cacheField name="Colonne1"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259.546403472224" createdVersion="5" refreshedVersion="6" minRefreshableVersion="3" recordCount="1530" xr:uid="{00000000-000A-0000-FFFF-FFFF10000000}">
  <cacheSource type="worksheet">
    <worksheetSource name="Tableau46"/>
  </cacheSource>
  <cacheFields count="10">
    <cacheField name="Nom groupe" numFmtId="0">
      <sharedItems count="22">
        <s v="01 Evian + 0.2% DMSO"/>
        <s v=""/>
        <s v="02 EE2 33.8"/>
        <s v="03 EE2 50.6"/>
        <s v="04 EE2 76"/>
        <s v="05 EE2 114"/>
        <s v="06 EE2 170.9"/>
        <s v="07 EE2 488"/>
        <s v="08 17b estradiol 34 ng_L"/>
        <s v="09 17b estradiol 68"/>
        <s v="10 17b estradiol 135"/>
        <s v="11 17b estradiol 270"/>
        <s v="12 17b estradiol 540"/>
        <s v="01 Testo 30"/>
        <s v="02 Testo 30"/>
        <s v="03 Testo+ EE2 64"/>
        <s v="04 Testo+ FAD"/>
        <s v="05 17b estradiol 34 dopé"/>
        <s v="06 17b estradiol 68 dopé"/>
        <s v="07 17b estradiol 135 dopé"/>
        <s v="08 17b estradiol 270 dopé"/>
        <s v="09 17b estradiol 540 dopé"/>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acheField>
    <cacheField name=" mean intensity " numFmtId="0">
      <sharedItems containsBlank="1" containsMixedTypes="1" containsNumber="1" containsInteger="1" minValue="63" maxValue="63"/>
    </cacheField>
    <cacheField name=" " numFmtId="0">
      <sharedItems containsBlank="1" count="24">
        <s v=" "/>
        <m/>
        <s v=" SD mean fluo "/>
        <s v=" 3.5012 "/>
        <s v=" 3.9994 "/>
        <s v=" 2.9618 "/>
        <s v=" 7.4251 "/>
        <s v=" 1.58 "/>
        <s v=" 1.9013 "/>
        <s v=" 5.7815 "/>
        <s v=" 5.9119 "/>
        <s v=" 4.7929 "/>
        <s v=" 4.0253 "/>
        <s v=" 3.5347 "/>
        <s v=" 8.2991 "/>
        <s v=" 4.3741 "/>
        <s v=" 8.5242 "/>
        <s v=" 5.0403 "/>
        <s v=" 4.8337 "/>
        <s v=" 3.1602 "/>
        <s v=" 2.588 "/>
        <s v=" 5.681 "/>
        <s v=" 3.7361 "/>
        <s v=" 6.3962 "/>
      </sharedItems>
    </cacheField>
    <cacheField name=" total fluorescence" numFmtId="0">
      <sharedItems containsBlank="1" containsMixedTypes="1" containsNumber="1" containsInteger="1" minValue="10988" maxValue="7640868"/>
    </cacheField>
    <cacheField name="         " numFmtId="0">
      <sharedItems containsBlank="1"/>
    </cacheField>
    <cacheField name="nbre de larves" numFmtId="0">
      <sharedItems containsBlank="1" containsMixedTypes="1" containsNumber="1" containsInteger="1" minValue="24" maxValue="24"/>
    </cacheField>
    <cacheField name="Colonne1"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259.546403703702" createdVersion="5" refreshedVersion="6" minRefreshableVersion="3" recordCount="1710" xr:uid="{00000000-000A-0000-FFFF-FFFF14000000}">
  <cacheSource type="worksheet">
    <worksheetSource name="Tableau467"/>
  </cacheSource>
  <cacheFields count="10">
    <cacheField name="Nom groupe" numFmtId="0">
      <sharedItems count="22">
        <s v="01 Evian + 0.2% DMSO"/>
        <s v=""/>
        <s v="02 EE2 33.8"/>
        <s v="03 EE2 50.6"/>
        <s v="04 EE2 76"/>
        <s v="05 EE2 114"/>
        <s v="06 EE2 170.9"/>
        <s v="07 EE2 488"/>
        <s v="08 17b estradiol 34 ng_L"/>
        <s v="09 17b estradiol 68"/>
        <s v="10 17b estradiol 135"/>
        <s v="11 17b estradiol 270"/>
        <s v="12 17b estradiol 540"/>
        <s v="01 Testo 30"/>
        <s v="02 Testo 30"/>
        <s v="03 Testo+ EE2 64"/>
        <s v="04 Testo+ FAD"/>
        <s v="05 17b estradiol 34 dopé"/>
        <s v="06 17b estradiol 68 dopé"/>
        <s v="07 17b estradiol 135 dopé"/>
        <s v="08 17b estradiol 270 dopé"/>
        <s v="09 17b estradiol 540 dopé"/>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acheField>
    <cacheField name=" mean intensity " numFmtId="0">
      <sharedItems containsBlank="1" containsMixedTypes="1" containsNumber="1" containsInteger="1" minValue="64" maxValue="64"/>
    </cacheField>
    <cacheField name=" " numFmtId="0">
      <sharedItems containsBlank="1" count="24">
        <s v=" "/>
        <m/>
        <s v=" SD mean fluo "/>
        <s v=" 2.9476 "/>
        <s v=" 2.4049 "/>
        <s v=" 5.127 "/>
        <s v=" 6.2645 "/>
        <s v=" 2.3479 "/>
        <s v=" 4.7136 "/>
        <s v=" 7.0304 "/>
        <s v=" 2.505 "/>
        <s v=" 5.5732 "/>
        <s v=" 2.5372 "/>
        <s v=" 5.4643 "/>
        <s v=" 9.2553 "/>
        <s v=" 5.1208 "/>
        <s v=" 3.1366 "/>
        <s v=" 2.629 "/>
        <s v=" 2.3027 "/>
        <s v=" 4.1376 "/>
        <s v=" 8.7155 "/>
        <s v=" 6.7862 "/>
        <s v=" 3.757 "/>
        <s v=" 10.5971 "/>
      </sharedItems>
    </cacheField>
    <cacheField name=" total fluorescence" numFmtId="0">
      <sharedItems containsBlank="1" containsMixedTypes="1" containsNumber="1" containsInteger="1" minValue="11075" maxValue="8220571"/>
    </cacheField>
    <cacheField name="         " numFmtId="0">
      <sharedItems containsBlank="1"/>
    </cacheField>
    <cacheField name="nbre de larves" numFmtId="0">
      <sharedItems containsBlank="1" containsMixedTypes="1" containsNumber="1" containsInteger="1" minValue="24" maxValue="24"/>
    </cacheField>
    <cacheField name="Colonne1"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259.546403819448" createdVersion="6" refreshedVersion="6" minRefreshableVersion="3" recordCount="52" xr:uid="{8DEF666A-6C7D-4C16-AD6D-82242760D5D9}">
  <cacheSource type="worksheet">
    <worksheetSource name="liste_groupe"/>
  </cacheSource>
  <cacheFields count="6">
    <cacheField name="Nom sur le graphique" numFmtId="0">
      <sharedItems count="13">
        <s v="Témoin solvant"/>
        <s v="EE2-22,5ng/L"/>
        <s v="EE2-33,8ng/L"/>
        <s v="EE2-50,6ng/L"/>
        <s v="EE2-76ng/L"/>
        <s v="EE2-114ng/L"/>
        <s v="EE2-170,9ng/L"/>
        <s v="EE2-488ng/L"/>
        <s v=" "/>
        <s v="Testo -30µg/L"/>
        <s v="Testo 30µg/L + EE2 -64ng/L"/>
        <s v="Testo 30µg/L + FAD-10mg/L"/>
        <s v="0-00 + Testostérone"/>
      </sharedItems>
    </cacheField>
    <cacheField name="Code WF" numFmtId="0">
      <sharedItems containsBlank="1" containsMixedTypes="1" containsNumber="1" containsInteger="1" minValue="0" maxValue="0" count="3">
        <s v="Témoin"/>
        <m/>
        <n v="0"/>
      </sharedItems>
    </cacheField>
    <cacheField name="Concentration" numFmtId="0">
      <sharedItems containsString="0" containsBlank="1" containsNumber="1" minValue="0" maxValue="488"/>
    </cacheField>
    <cacheField name="Unité" numFmtId="0">
      <sharedItems containsBlank="1" containsMixedTypes="1" containsNumber="1" containsInteger="1" minValue="0" maxValue="0"/>
    </cacheField>
    <cacheField name="Nom de l'échantillon donné par le client" numFmtId="0">
      <sharedItems containsBlank="1" containsMixedTypes="1" containsNumber="1" containsInteger="1" minValue="0" maxValue="0"/>
    </cacheField>
    <cacheField name="Dopage (+Testostérone / + EE2, ….)" numFmtId="0">
      <sharedItems containsBlank="1" count="2">
        <m/>
        <s v=" + Testostéron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6">
  <r>
    <x v="0"/>
    <x v="0"/>
    <s v="F:\images\20210212\plaque 1/@01 Evian + 0.2% DMSO/A1_01.tif "/>
    <s v=" 2444.1781 "/>
    <s v=" 64.5752 "/>
    <x v="0"/>
    <n v="157833"/>
    <m/>
    <m/>
    <m/>
  </r>
  <r>
    <x v="0"/>
    <x v="0"/>
    <s v="F:\images\20210212\plaque 1/@01 Evian + 0.2% DMSO/A1_02.tif "/>
    <s v=" 3590.5625 "/>
    <s v=" 68.1506 "/>
    <x v="0"/>
    <n v="244699"/>
    <m/>
    <m/>
    <m/>
  </r>
  <r>
    <x v="0"/>
    <x v="0"/>
    <s v="F:\images\20210212\plaque 1/@01 Evian + 0.2% DMSO/A1_03.tif "/>
    <s v=" 4239.4593 "/>
    <s v=" 66.051 "/>
    <x v="0"/>
    <n v="280021"/>
    <m/>
    <m/>
    <m/>
  </r>
  <r>
    <x v="0"/>
    <x v="1"/>
    <s v="F:\images\20210212\plaque 1/@01 Evian + 0.2% DMSO/B1_01.tif "/>
    <s v=" 9473.8938 "/>
    <s v=" 68.9018 "/>
    <x v="0"/>
    <n v="652769"/>
    <m/>
    <m/>
    <m/>
  </r>
  <r>
    <x v="0"/>
    <x v="1"/>
    <s v="F:\images\20210212\plaque 1/@01 Evian + 0.2% DMSO/B1_02.tif "/>
    <s v=" 8803.3671 "/>
    <s v=" 67.457 "/>
    <x v="0"/>
    <n v="593849"/>
    <m/>
    <m/>
    <m/>
  </r>
  <r>
    <x v="0"/>
    <x v="1"/>
    <s v="F:\images\20210212\plaque 1/@01 Evian + 0.2% DMSO/B1_03.tif "/>
    <s v=" 4801.8366 "/>
    <s v=" 67.7252 "/>
    <x v="0"/>
    <n v="325205"/>
    <m/>
    <m/>
    <m/>
  </r>
  <r>
    <x v="0"/>
    <x v="2"/>
    <s v="F:\images\20210212\plaque 1/@01 Evian + 0.2% DMSO/C1_01.tif "/>
    <s v=" 865.1958 "/>
    <s v=" 62.95 "/>
    <x v="0"/>
    <n v="54464"/>
    <m/>
    <m/>
    <m/>
  </r>
  <r>
    <x v="0"/>
    <x v="2"/>
    <s v="F:\images\20210212\plaque 1/@01 Evian + 0.2% DMSO/C1_02.tif "/>
    <s v=" 1643.872 "/>
    <s v=" 63.5658 "/>
    <x v="0"/>
    <n v="104494"/>
    <m/>
    <m/>
    <m/>
  </r>
  <r>
    <x v="0"/>
    <x v="2"/>
    <s v="F:\images\20210212\plaque 1/@01 Evian + 0.2% DMSO/C1_03.tif "/>
    <s v=" 389.3381 "/>
    <s v=" 62.2222 "/>
    <x v="0"/>
    <n v="24225"/>
    <m/>
    <m/>
    <m/>
  </r>
  <r>
    <x v="0"/>
    <x v="3"/>
    <s v="F:\images\20210212\plaque 1/@01 Evian + 0.2% DMSO/D1_01.tif "/>
    <s v=" 2811.8863 "/>
    <s v=" 65.0077 "/>
    <x v="0"/>
    <n v="182794"/>
    <m/>
    <m/>
    <m/>
  </r>
  <r>
    <x v="0"/>
    <x v="3"/>
    <s v="F:\images\20210212\plaque 1/@01 Evian + 0.2% DMSO/D1_02.tif "/>
    <s v=" 1341.0535 "/>
    <s v=" 63.6613 "/>
    <x v="0"/>
    <n v="85373"/>
    <m/>
    <m/>
    <m/>
  </r>
  <r>
    <x v="0"/>
    <x v="3"/>
    <s v="F:\images\20210212\plaque 1/@01 Evian + 0.2% DMSO/D1_03.tif "/>
    <s v=" 2660.477 "/>
    <n v="66"/>
    <x v="0"/>
    <n v="175591"/>
    <m/>
    <m/>
    <m/>
  </r>
  <r>
    <x v="0"/>
    <x v="4"/>
    <s v="F:\images\20210212\plaque 1/@01 Evian + 0.2% DMSO/E1_01.tif "/>
    <s v=" 367.7082 "/>
    <s v=" 64.4118 "/>
    <x v="0"/>
    <n v="23685"/>
    <m/>
    <m/>
    <m/>
  </r>
  <r>
    <x v="0"/>
    <x v="4"/>
    <s v="F:\images\20210212\plaque 1/@01 Evian + 0.2% DMSO/E1_02.tif "/>
    <s v=" 865.1958 "/>
    <s v=" 63.8 "/>
    <x v="0"/>
    <n v="55199"/>
    <m/>
    <m/>
    <m/>
  </r>
  <r>
    <x v="0"/>
    <x v="4"/>
    <s v="F:\images\20210212\plaque 1/@01 Evian + 0.2% DMSO/E1_03.tif "/>
    <s v=" 865.1958 "/>
    <s v=" 63.75 "/>
    <x v="0"/>
    <n v="55156"/>
    <m/>
    <m/>
    <m/>
  </r>
  <r>
    <x v="0"/>
    <x v="5"/>
    <s v="F:\images\20210212\plaque 1/@01 Evian + 0.2% DMSO/F1_01.tif "/>
    <s v=" 7635.3528 "/>
    <s v=" 82.4958 "/>
    <x v="0"/>
    <n v="629884"/>
    <m/>
    <m/>
    <m/>
  </r>
  <r>
    <x v="0"/>
    <x v="5"/>
    <s v="F:\images\20210212\plaque 1/@01 Evian + 0.2% DMSO/F1_02- exclu.tif"/>
    <m/>
    <m/>
    <x v="1"/>
    <m/>
    <m/>
    <m/>
    <m/>
  </r>
  <r>
    <x v="0"/>
    <x v="5"/>
    <s v="F:\images\20210212\plaque 1/@01 Evian + 0.2% DMSO/F1_03.tif "/>
    <s v=" 4412.4985 "/>
    <s v=" 70.6324 "/>
    <x v="0"/>
    <n v="311665"/>
    <m/>
    <m/>
    <m/>
  </r>
  <r>
    <x v="0"/>
    <x v="6"/>
    <s v="F:\images\20210212\plaque 1/@01 Evian + 0.2% DMSO/G1_01.tif "/>
    <s v=" 562.3773 "/>
    <s v=" 65.4231 "/>
    <x v="0"/>
    <n v="36792"/>
    <m/>
    <m/>
    <m/>
  </r>
  <r>
    <x v="0"/>
    <x v="6"/>
    <s v="F:\images\20210212\plaque 1/@01 Evian + 0.2% DMSO/G1_02.tif "/>
    <s v=" 237.9288 "/>
    <s v=" 63.0909 "/>
    <x v="0"/>
    <n v="15011"/>
    <m/>
    <m/>
    <m/>
  </r>
  <r>
    <x v="0"/>
    <x v="6"/>
    <s v="F:\images\20210212\plaque 1/@01 Evian + 0.2% DMSO/G1_03.tif "/>
    <s v=" 259.5587 "/>
    <s v=" 63.25 "/>
    <x v="0"/>
    <n v="16417"/>
    <m/>
    <m/>
    <m/>
  </r>
  <r>
    <x v="0"/>
    <x v="7"/>
    <s v="F:\images\20210212\plaque 1/@01 Evian + 0.2% DMSO/H1_01.tif "/>
    <s v=" 3352.6337 "/>
    <s v=" 64.9484 "/>
    <x v="0"/>
    <n v="217748"/>
    <m/>
    <m/>
    <m/>
  </r>
  <r>
    <x v="0"/>
    <x v="7"/>
    <s v="F:\images\20210212\plaque 1/@01 Evian + 0.2% DMSO/H1_02.tif "/>
    <s v=" 410.968 "/>
    <s v=" 63.7368 "/>
    <x v="0"/>
    <n v="26194"/>
    <m/>
    <m/>
    <m/>
  </r>
  <r>
    <x v="0"/>
    <x v="7"/>
    <s v="F:\images\20210212\plaque 1/@01 Evian + 0.2% DMSO/H1_03.tif "/>
    <s v=" 2703.7368 "/>
    <s v=" 66.496 "/>
    <x v="0"/>
    <n v="179788"/>
    <m/>
    <m/>
    <m/>
  </r>
  <r>
    <x v="1"/>
    <x v="8"/>
    <s v=" "/>
    <m/>
    <m/>
    <x v="1"/>
    <m/>
    <m/>
    <m/>
    <m/>
  </r>
  <r>
    <x v="1"/>
    <x v="8"/>
    <s v="group "/>
    <s v=" "/>
    <s v=" mean of mean fluo "/>
    <x v="2"/>
    <s v=" mean of total fluo "/>
    <s v=" SD total fluo "/>
    <s v=" n fluorescent "/>
    <s v=" n total"/>
  </r>
  <r>
    <x v="0"/>
    <x v="9"/>
    <s v="F:\images\20210212\plaque 1/@01 Evian + 0.2% DMSO/ "/>
    <s v=" "/>
    <s v=" 65.9233 "/>
    <x v="3"/>
    <s v=" 186577.583 "/>
    <s v=" 195816.43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
    <x v="0"/>
    <s v="F:\images\20210212\plaque 1/@02 EE2 33.8/A2_01.tif "/>
    <s v=" 2076.4699 "/>
    <s v=" 63.8646 "/>
    <x v="0"/>
    <n v="132613"/>
    <m/>
    <m/>
    <m/>
  </r>
  <r>
    <x v="2"/>
    <x v="0"/>
    <s v="F:\images\20210212\plaque 1/@02 EE2 33.8/A2_02.tif "/>
    <s v=" 1514.0926 "/>
    <s v=" 64.5143 "/>
    <x v="0"/>
    <n v="97681"/>
    <m/>
    <m/>
    <m/>
  </r>
  <r>
    <x v="2"/>
    <x v="0"/>
    <s v="F:\images\20210212\plaque 1/@02 EE2 33.8/A2_03.tif "/>
    <s v=" 1059.8648 "/>
    <s v=" 64.1837 "/>
    <x v="0"/>
    <n v="68026"/>
    <m/>
    <m/>
    <m/>
  </r>
  <r>
    <x v="2"/>
    <x v="1"/>
    <s v="F:\images\20210212\plaque 1/@02 EE2 33.8/B2_01.tif "/>
    <s v=" 778.6762 "/>
    <s v=" 63.8889 "/>
    <x v="0"/>
    <n v="49749"/>
    <m/>
    <m/>
    <m/>
  </r>
  <r>
    <x v="2"/>
    <x v="1"/>
    <s v="F:\images\20210212\plaque 1/@02 EE2 33.8/B2_02.tif "/>
    <s v=" 843.5659 "/>
    <s v=" 65.8462 "/>
    <x v="0"/>
    <n v="55546"/>
    <m/>
    <m/>
    <m/>
  </r>
  <r>
    <x v="2"/>
    <x v="1"/>
    <s v="F:\images\20210212\plaque 1/@02 EE2 33.8/B2_03.tif "/>
    <s v=" 216.2989 "/>
    <s v=" 63.2 "/>
    <x v="0"/>
    <n v="13670"/>
    <m/>
    <m/>
    <m/>
  </r>
  <r>
    <x v="2"/>
    <x v="2"/>
    <s v="F:\images\20210212\plaque 1/@02 EE2 33.8/C2_01.tif "/>
    <s v=" 627.2669 "/>
    <s v=" 65.1034 "/>
    <x v="0"/>
    <n v="40837"/>
    <m/>
    <m/>
    <m/>
  </r>
  <r>
    <x v="2"/>
    <x v="2"/>
    <s v="F:\images\20210212\plaque 1/@02 EE2 33.8/C2_02.tif "/>
    <s v=" 5667.0324 "/>
    <s v=" 67.3053 "/>
    <x v="0"/>
    <n v="381422"/>
    <m/>
    <m/>
    <m/>
  </r>
  <r>
    <x v="2"/>
    <x v="2"/>
    <s v="F:\images\20210212\plaque 1/@02 EE2 33.8/C2_03.tif "/>
    <s v=" 454.2278 "/>
    <n v="64"/>
    <x v="0"/>
    <n v="29071"/>
    <m/>
    <m/>
    <m/>
  </r>
  <r>
    <x v="2"/>
    <x v="3"/>
    <s v="F:\images\20210212\plaque 1/@02 EE2 33.8/D2_01.tif "/>
    <s v=" 1427.573 "/>
    <s v=" 62.6515 "/>
    <x v="0"/>
    <n v="89440"/>
    <m/>
    <m/>
    <m/>
  </r>
  <r>
    <x v="2"/>
    <x v="3"/>
    <s v="F:\images\20210212\plaque 1/@02 EE2 33.8/D2_02.tif "/>
    <s v=" 6272.6694 "/>
    <s v=" 66.5241 "/>
    <x v="0"/>
    <n v="417284"/>
    <m/>
    <m/>
    <m/>
  </r>
  <r>
    <x v="2"/>
    <x v="3"/>
    <s v="F:\images\20210212\plaque 1/@02 EE2 33.8/D2_03.tif "/>
    <s v=" 3460.7831 "/>
    <s v=" 64.8312 "/>
    <x v="0"/>
    <n v="224367"/>
    <m/>
    <m/>
    <m/>
  </r>
  <r>
    <x v="2"/>
    <x v="4"/>
    <s v="F:\images\20210212\plaque 1/@02 EE2 33.8/E2_01.tif "/>
    <s v=" 735.4164 "/>
    <s v=" 62.9118 "/>
    <x v="0"/>
    <n v="46266"/>
    <m/>
    <m/>
    <m/>
  </r>
  <r>
    <x v="2"/>
    <x v="4"/>
    <s v="F:\images\20210212\plaque 1/@02 EE2 33.8/E2_02.tif "/>
    <s v=" 2011.5802 "/>
    <s v=" 62.9355 "/>
    <x v="0"/>
    <n v="126600"/>
    <m/>
    <m/>
    <m/>
  </r>
  <r>
    <x v="2"/>
    <x v="4"/>
    <s v="F:\images\20210212\plaque 1/@02 EE2 33.8/E2_03.tif "/>
    <s v=" 5364.2139 "/>
    <s v=" 68.996 "/>
    <x v="0"/>
    <n v="370109"/>
    <m/>
    <m/>
    <m/>
  </r>
  <r>
    <x v="2"/>
    <x v="5"/>
    <s v="F:\images\20210212\plaque 1/@02 EE2 33.8/F2_01.tif "/>
    <s v=" 951.7154 "/>
    <s v=" 63.75 "/>
    <x v="0"/>
    <n v="60672"/>
    <m/>
    <m/>
    <m/>
  </r>
  <r>
    <x v="2"/>
    <x v="5"/>
    <s v="F:\images\20210212\plaque 1/@02 EE2 33.8/F2_02.tif "/>
    <s v=" 454.2278 "/>
    <s v=" 63.0476 "/>
    <x v="0"/>
    <n v="28638"/>
    <m/>
    <m/>
    <m/>
  </r>
  <r>
    <x v="2"/>
    <x v="5"/>
    <s v="F:\images\20210212\plaque 1/@02 EE2 33.8/F2_03.tif "/>
    <s v=" 648.8968 "/>
    <s v=" 63.0667 "/>
    <x v="0"/>
    <n v="40924"/>
    <m/>
    <m/>
    <m/>
  </r>
  <r>
    <x v="2"/>
    <x v="6"/>
    <s v="F:\images\20210212\plaque 1/@02 EE2 33.8/G2_01.tif "/>
    <s v=" 151.4093 "/>
    <s v=" 65.2857 "/>
    <x v="0"/>
    <n v="9885"/>
    <m/>
    <m/>
    <m/>
  </r>
  <r>
    <x v="2"/>
    <x v="6"/>
    <s v="F:\images\20210212\plaque 1/@02 EE2 33.8/G2_02.tif "/>
    <s v=" 237.9288 "/>
    <s v=" 62.8182 "/>
    <x v="0"/>
    <n v="14946"/>
    <m/>
    <m/>
    <m/>
  </r>
  <r>
    <x v="2"/>
    <x v="6"/>
    <s v="F:\images\20210212\plaque 1/@02 EE2 33.8/G2_03.tif "/>
    <s v=" 173.0392 "/>
    <s v=" 62.75 "/>
    <x v="0"/>
    <n v="10858"/>
    <m/>
    <m/>
    <m/>
  </r>
  <r>
    <x v="2"/>
    <x v="7"/>
    <s v="F:\images\20210212\plaque 1/@02 EE2 33.8/H2_01.tif "/>
    <s v=" 5818.4417 "/>
    <s v=" 65.5279 "/>
    <x v="0"/>
    <n v="381270"/>
    <m/>
    <m/>
    <m/>
  </r>
  <r>
    <x v="2"/>
    <x v="7"/>
    <s v="F:\images\20210212\plaque 1/@02 EE2 33.8/H2_02.tif "/>
    <s v=" 3915.0109 "/>
    <s v=" 64.2707 "/>
    <x v="0"/>
    <n v="251621"/>
    <m/>
    <m/>
    <m/>
  </r>
  <r>
    <x v="2"/>
    <x v="7"/>
    <s v="F:\images\20210212\plaque 1/@02 EE2 33.8/H2_03.tif "/>
    <s v=" 6510.5983 "/>
    <s v=" 66.9435 "/>
    <x v="0"/>
    <n v="435842"/>
    <m/>
    <m/>
    <m/>
  </r>
  <r>
    <x v="1"/>
    <x v="8"/>
    <s v=" "/>
    <m/>
    <m/>
    <x v="1"/>
    <m/>
    <m/>
    <m/>
    <m/>
  </r>
  <r>
    <x v="1"/>
    <x v="8"/>
    <s v="group "/>
    <s v=" "/>
    <s v=" mean of mean fluo "/>
    <x v="2"/>
    <s v=" mean of total fluo "/>
    <s v=" SD total fluo "/>
    <s v=" n fluorescent "/>
    <s v=" n total"/>
  </r>
  <r>
    <x v="2"/>
    <x v="9"/>
    <s v="F:\images\20210212\plaque 1/@02 EE2 33.8/ "/>
    <s v=" "/>
    <s v=" 64.509 "/>
    <x v="4"/>
    <s v=" 140722.375 "/>
    <s v=" 147898.18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3"/>
    <x v="0"/>
    <s v="F:\images\20210212\plaque 1/@03 EE2 50.6/A3_01.tif "/>
    <s v=" 1773.6514 "/>
    <s v=" 63.5976 "/>
    <x v="0"/>
    <n v="112800"/>
    <m/>
    <m/>
    <m/>
  </r>
  <r>
    <x v="3"/>
    <x v="0"/>
    <s v="F:\images\20210212\plaque 1/@03 EE2 50.6/A3_02- exclu.tif"/>
    <m/>
    <m/>
    <x v="1"/>
    <m/>
    <m/>
    <m/>
    <m/>
  </r>
  <r>
    <x v="3"/>
    <x v="0"/>
    <s v="F:\images\20210212\plaque 1/@03 EE2 50.6/A3_03.tif "/>
    <s v=" 13994.5418 "/>
    <s v=" 82.8284 "/>
    <x v="0"/>
    <n v="1159146"/>
    <m/>
    <m/>
    <m/>
  </r>
  <r>
    <x v="3"/>
    <x v="1"/>
    <s v="F:\images\20210212\plaque 1/@03 EE2 50.6/B3_01.tif "/>
    <s v=" 4931.616 "/>
    <s v=" 66.1228 "/>
    <x v="0"/>
    <n v="326092"/>
    <m/>
    <m/>
    <m/>
  </r>
  <r>
    <x v="3"/>
    <x v="1"/>
    <s v="F:\images\20210212\plaque 1/@03 EE2 50.6/B3_02.tif "/>
    <s v=" 2357.6585 "/>
    <s v=" 64.1009 "/>
    <x v="0"/>
    <n v="151128"/>
    <m/>
    <m/>
    <m/>
  </r>
  <r>
    <x v="3"/>
    <x v="1"/>
    <s v="F:\images\20210212\plaque 1/@03 EE2 50.6/B3_03.tif "/>
    <s v=" 4563.9078 "/>
    <s v=" 67.1896 "/>
    <x v="0"/>
    <n v="306647"/>
    <m/>
    <m/>
    <m/>
  </r>
  <r>
    <x v="3"/>
    <x v="2"/>
    <s v="F:\images\20210212\plaque 1/@03 EE2 50.6/C3_01.tif "/>
    <s v=" 4088.0501 "/>
    <s v=" 65.9101 "/>
    <x v="0"/>
    <n v="269444"/>
    <m/>
    <m/>
    <m/>
  </r>
  <r>
    <x v="3"/>
    <x v="2"/>
    <s v="F:\images\20210212\plaque 1/@03 EE2 50.6/C3_02.tif "/>
    <s v=" 1297.7937 "/>
    <s v=" 63.4833 "/>
    <x v="0"/>
    <n v="82388"/>
    <m/>
    <m/>
    <m/>
  </r>
  <r>
    <x v="3"/>
    <x v="2"/>
    <s v="F:\images\20210212\plaque 1/@03 EE2 50.6/C3_03.tif "/>
    <s v=" 1643.872 "/>
    <s v=" 63.8553 "/>
    <x v="0"/>
    <n v="104970"/>
    <m/>
    <m/>
    <m/>
  </r>
  <r>
    <x v="3"/>
    <x v="3"/>
    <s v="F:\images\20210212\plaque 1/@03 EE2 50.6/D3_01.tif "/>
    <s v=" 3915.0109 "/>
    <n v="66"/>
    <x v="0"/>
    <n v="258391"/>
    <m/>
    <m/>
    <m/>
  </r>
  <r>
    <x v="3"/>
    <x v="3"/>
    <s v="F:\images\20210212\plaque 1/@03 EE2 50.6/D3_02.tif "/>
    <s v=" 3958.2707 "/>
    <s v=" 67.7049 "/>
    <x v="0"/>
    <n v="267994"/>
    <m/>
    <m/>
    <m/>
  </r>
  <r>
    <x v="3"/>
    <x v="3"/>
    <s v="F:\images\20210212\plaque 1/@03 EE2 50.6/D3_03.tif "/>
    <s v=" 2509.0678 "/>
    <s v=" 66.931 "/>
    <x v="0"/>
    <n v="167935"/>
    <m/>
    <m/>
    <m/>
  </r>
  <r>
    <x v="3"/>
    <x v="4"/>
    <s v="F:\images\20210212\plaque 1/@03 EE2 50.6/E3_01.tif "/>
    <s v=" 865.1958 "/>
    <s v=" 63.475 "/>
    <x v="0"/>
    <n v="54918"/>
    <m/>
    <m/>
    <m/>
  </r>
  <r>
    <x v="3"/>
    <x v="4"/>
    <s v="F:\images\20210212\plaque 1/@03 EE2 50.6/E3_02.tif "/>
    <s v=" 216.2989 "/>
    <s v=" 62.5 "/>
    <x v="0"/>
    <n v="13519"/>
    <m/>
    <m/>
    <m/>
  </r>
  <r>
    <x v="3"/>
    <x v="4"/>
    <s v="F:\images\20210212\plaque 1/@03 EE2 50.6/E3_03.tif "/>
    <s v=" 1146.3844 "/>
    <s v=" 65.4151 "/>
    <x v="0"/>
    <n v="74991"/>
    <m/>
    <m/>
    <m/>
  </r>
  <r>
    <x v="3"/>
    <x v="5"/>
    <s v="F:\images\20210212\plaque 1/@03 EE2 50.6/F3_01.tif "/>
    <s v=" 1081.4947 "/>
    <s v=" 63.2 "/>
    <x v="0"/>
    <n v="68350"/>
    <m/>
    <m/>
    <m/>
  </r>
  <r>
    <x v="3"/>
    <x v="5"/>
    <s v="F:\images\20210212\plaque 1/@03 EE2 50.6/F3_02.tif "/>
    <s v=" 994.9752 "/>
    <s v=" 65.6739 "/>
    <x v="0"/>
    <n v="65344"/>
    <m/>
    <m/>
    <m/>
  </r>
  <r>
    <x v="3"/>
    <x v="5"/>
    <s v="F:\images\20210212\plaque 1/@03 EE2 50.6/F3_03.tif "/>
    <s v=" 2595.5874 "/>
    <s v=" 65.55 "/>
    <x v="0"/>
    <n v="170141"/>
    <m/>
    <m/>
    <m/>
  </r>
  <r>
    <x v="3"/>
    <x v="6"/>
    <s v="F:\images\20210212\plaque 1/@03 EE2 50.6/G3_01.tif "/>
    <s v=" 1232.904 "/>
    <s v=" 62.7368 "/>
    <x v="0"/>
    <n v="77349"/>
    <m/>
    <m/>
    <m/>
  </r>
  <r>
    <x v="3"/>
    <x v="6"/>
    <s v="F:\images\20210212\plaque 1/@03 EE2 50.6/G3_02.tif "/>
    <s v=" 3806.8615 "/>
    <s v=" 67.8977 "/>
    <x v="0"/>
    <n v="258477"/>
    <m/>
    <m/>
    <m/>
  </r>
  <r>
    <x v="3"/>
    <x v="6"/>
    <s v="F:\images\20210212\plaque 1/@03 EE2 50.6/G3_03.tif "/>
    <s v=" 562.3773 "/>
    <s v=" 63.3077 "/>
    <x v="0"/>
    <n v="35603"/>
    <m/>
    <m/>
    <m/>
  </r>
  <r>
    <x v="3"/>
    <x v="7"/>
    <s v="F:\images\20210212\plaque 1/@03 EE2 50.6/H3_01.tif "/>
    <s v=" 562.3773 "/>
    <s v=" 62.2308 "/>
    <x v="0"/>
    <n v="34997"/>
    <m/>
    <m/>
    <m/>
  </r>
  <r>
    <x v="3"/>
    <x v="7"/>
    <s v="F:\images\20210212\plaque 1/@03 EE2 50.6/H3_02.tif "/>
    <s v=" 497.4876 "/>
    <s v=" 62.8261 "/>
    <x v="0"/>
    <n v="31255"/>
    <m/>
    <m/>
    <m/>
  </r>
  <r>
    <x v="3"/>
    <x v="7"/>
    <s v="F:\images\20210212\plaque 1/@03 EE2 50.6/H3_03.tif "/>
    <s v=" 2292.7688 "/>
    <s v=" 64.5377 "/>
    <x v="0"/>
    <n v="147970"/>
    <m/>
    <m/>
    <m/>
  </r>
  <r>
    <x v="1"/>
    <x v="8"/>
    <s v=" "/>
    <m/>
    <m/>
    <x v="1"/>
    <m/>
    <m/>
    <m/>
    <m/>
  </r>
  <r>
    <x v="1"/>
    <x v="8"/>
    <s v="group "/>
    <s v=" "/>
    <s v=" mean of mean fluo "/>
    <x v="2"/>
    <s v=" mean of total fluo "/>
    <s v=" SD total fluo "/>
    <s v=" n fluorescent "/>
    <s v=" n total"/>
  </r>
  <r>
    <x v="3"/>
    <x v="9"/>
    <s v="F:\images\20210212\plaque 1/@03 EE2 50.6/ "/>
    <s v=" "/>
    <s v=" 65.5871 "/>
    <x v="5"/>
    <s v=" 247143.208 "/>
    <s v=" 383188.67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4"/>
    <x v="0"/>
    <s v="F:\images\20210212\plaque 1/@04 EE2 76/A4_01.tif "/>
    <s v=" 7181.125 "/>
    <s v=" 64.8133 "/>
    <x v="0"/>
    <n v="465432"/>
    <m/>
    <m/>
    <m/>
  </r>
  <r>
    <x v="4"/>
    <x v="0"/>
    <s v="F:\images\20210212\plaque 1/@04 EE2 76/A4_02.tif "/>
    <s v=" 8911.5166 "/>
    <s v=" 64.699 "/>
    <x v="0"/>
    <n v="576566"/>
    <m/>
    <m/>
    <m/>
  </r>
  <r>
    <x v="4"/>
    <x v="0"/>
    <s v="F:\images\20210212\plaque 1/@04 EE2 76/A4_03.tif "/>
    <s v=" 8392.3991 "/>
    <s v=" 64.1495 "/>
    <x v="0"/>
    <n v="538368"/>
    <m/>
    <m/>
    <m/>
  </r>
  <r>
    <x v="4"/>
    <x v="1"/>
    <s v="F:\images\20210212\plaque 1/@04 EE2 76/B4_01.tif "/>
    <s v=" 3958.2707 "/>
    <s v=" 65.776 "/>
    <x v="0"/>
    <n v="260359"/>
    <m/>
    <m/>
    <m/>
  </r>
  <r>
    <x v="4"/>
    <x v="1"/>
    <s v="F:\images\20210212\plaque 1/@04 EE2 76/B4_02.tif "/>
    <s v=" 1232.904 "/>
    <s v=" 62.6667 "/>
    <x v="0"/>
    <n v="77262"/>
    <m/>
    <m/>
    <m/>
  </r>
  <r>
    <x v="4"/>
    <x v="1"/>
    <s v="F:\images\20210212\plaque 1/@04 EE2 76/B4_03.tif "/>
    <s v=" 4434.1284 "/>
    <s v=" 65.7854 "/>
    <x v="0"/>
    <n v="291701"/>
    <m/>
    <m/>
    <m/>
  </r>
  <r>
    <x v="4"/>
    <x v="2"/>
    <s v="F:\images\20210212\plaque 1/@04 EE2 76/C4_01.tif "/>
    <s v=" 1795.2813 "/>
    <s v=" 63.4458 "/>
    <x v="0"/>
    <n v="113903"/>
    <m/>
    <m/>
    <m/>
  </r>
  <r>
    <x v="4"/>
    <x v="2"/>
    <s v="F:\images\20210212\plaque 1/@04 EE2 76/C4_02- exclu.tif"/>
    <m/>
    <m/>
    <x v="1"/>
    <m/>
    <m/>
    <m/>
    <m/>
  </r>
  <r>
    <x v="4"/>
    <x v="2"/>
    <s v="F:\images\20210212\plaque 1/@04 EE2 76/C4_03.tif "/>
    <s v=" 821.936 "/>
    <s v=" 62.5789 "/>
    <x v="0"/>
    <n v="51436"/>
    <m/>
    <m/>
    <m/>
  </r>
  <r>
    <x v="4"/>
    <x v="3"/>
    <s v="F:\images\20210212\plaque 1/@04 EE2 76/D4_01.tif "/>
    <s v=" 8176.1002 "/>
    <s v=" 63.8519 "/>
    <x v="0"/>
    <n v="522059"/>
    <m/>
    <m/>
    <m/>
  </r>
  <r>
    <x v="4"/>
    <x v="3"/>
    <s v="F:\images\20210212\plaque 1/@04 EE2 76/D4_02.tif "/>
    <s v=" 7289.2745 "/>
    <s v=" 63.9703 "/>
    <x v="0"/>
    <n v="466297"/>
    <m/>
    <m/>
    <m/>
  </r>
  <r>
    <x v="4"/>
    <x v="3"/>
    <s v="F:\images\20210212\plaque 1/@04 EE2 76/D4_03.tif "/>
    <s v=" 7072.9755 "/>
    <s v=" 63.315 "/>
    <x v="0"/>
    <n v="447825"/>
    <m/>
    <m/>
    <m/>
  </r>
  <r>
    <x v="4"/>
    <x v="4"/>
    <s v="F:\images\20210212\plaque 1/@04 EE2 76/E4_01.tif "/>
    <s v=" 5948.221 "/>
    <s v=" 64.4073 "/>
    <x v="0"/>
    <n v="383109"/>
    <m/>
    <m/>
    <m/>
  </r>
  <r>
    <x v="4"/>
    <x v="4"/>
    <s v="F:\images\20210212\plaque 1/@04 EE2 76/E4_02.tif "/>
    <s v=" 5537.253 "/>
    <s v=" 63.3906 "/>
    <x v="0"/>
    <n v="351010"/>
    <m/>
    <m/>
    <m/>
  </r>
  <r>
    <x v="4"/>
    <x v="4"/>
    <s v="F:\images\20210212\plaque 1/@04 EE2 76/E4_03.tif "/>
    <s v=" 4434.1284 "/>
    <s v=" 63.7268 "/>
    <x v="0"/>
    <n v="282573"/>
    <m/>
    <m/>
    <m/>
  </r>
  <r>
    <x v="4"/>
    <x v="5"/>
    <s v="F:\images\20210212\plaque 1/@04 EE2 76/F4_01.tif "/>
    <s v=" 1968.3204 "/>
    <s v=" 63.4615 "/>
    <x v="0"/>
    <n v="124913"/>
    <m/>
    <m/>
    <m/>
  </r>
  <r>
    <x v="4"/>
    <x v="5"/>
    <s v="F:\images\20210212\plaque 1/@04 EE2 76/F4_02.tif "/>
    <s v=" 1038.2349 "/>
    <s v=" 62.7292 "/>
    <x v="0"/>
    <n v="65128"/>
    <m/>
    <m/>
    <m/>
  </r>
  <r>
    <x v="4"/>
    <x v="5"/>
    <s v="F:\images\20210212\plaque 1/@04 EE2 76/F4_03.tif "/>
    <s v=" 2400.9183 "/>
    <s v=" 63.4955 "/>
    <x v="0"/>
    <n v="152447"/>
    <m/>
    <m/>
    <m/>
  </r>
  <r>
    <x v="4"/>
    <x v="6"/>
    <s v="F:\images\20210212\plaque 1/@04 EE2 76/G4_01.tif "/>
    <s v=" 14254.1006 "/>
    <s v=" 67.7451 "/>
    <x v="0"/>
    <n v="965645"/>
    <m/>
    <m/>
    <m/>
  </r>
  <r>
    <x v="4"/>
    <x v="6"/>
    <s v="F:\images\20210212\plaque 1/@04 EE2 76/G4_02.tif "/>
    <s v=" 6207.7798 "/>
    <s v=" 63.5192 "/>
    <x v="0"/>
    <n v="394313"/>
    <m/>
    <m/>
    <m/>
  </r>
  <r>
    <x v="4"/>
    <x v="6"/>
    <s v="F:\images\20210212\plaque 1/@04 EE2 76/G4_03.tif "/>
    <s v=" 13280.7553 "/>
    <s v=" 65.9479 "/>
    <x v="0"/>
    <n v="875838"/>
    <m/>
    <m/>
    <m/>
  </r>
  <r>
    <x v="4"/>
    <x v="7"/>
    <s v="F:\images\20210212\plaque 1/@04 EE2 76/H4_01- exclu.tif"/>
    <m/>
    <m/>
    <x v="1"/>
    <m/>
    <m/>
    <m/>
    <m/>
  </r>
  <r>
    <x v="4"/>
    <x v="7"/>
    <s v="F:\images\20210212\plaque 1/@04 EE2 76/H4_02- exclu.tif"/>
    <m/>
    <m/>
    <x v="1"/>
    <m/>
    <m/>
    <m/>
    <m/>
  </r>
  <r>
    <x v="4"/>
    <x v="7"/>
    <s v="F:\images\20210212\plaque 1/@04 EE2 76/H4_03- exclu.tif"/>
    <m/>
    <m/>
    <x v="1"/>
    <m/>
    <m/>
    <m/>
    <m/>
  </r>
  <r>
    <x v="1"/>
    <x v="8"/>
    <s v=" "/>
    <m/>
    <m/>
    <x v="1"/>
    <m/>
    <m/>
    <m/>
    <m/>
  </r>
  <r>
    <x v="1"/>
    <x v="8"/>
    <s v="group "/>
    <s v=" "/>
    <s v=" mean of mean fluo "/>
    <x v="2"/>
    <s v=" mean of total fluo "/>
    <s v=" SD total fluo "/>
    <s v=" n fluorescent "/>
    <s v=" n total"/>
  </r>
  <r>
    <x v="4"/>
    <x v="9"/>
    <s v="F:\images\20210212\plaque 1/@04 EE2 76/ "/>
    <s v=" "/>
    <s v=" 64.1395 "/>
    <x v="6"/>
    <s v=" 315436.875 "/>
    <s v=" 262327.19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5"/>
    <x v="0"/>
    <s v="F:\images\20210212\plaque 1/@05 EE2 114/A5_01.tif "/>
    <s v=" 33612.8563 "/>
    <s v=" 67.2831 "/>
    <x v="0"/>
    <n v="2261579"/>
    <m/>
    <m/>
    <m/>
  </r>
  <r>
    <x v="5"/>
    <x v="0"/>
    <s v="F:\images\20210212\plaque 1/@05 EE2 114/A5_02.tif "/>
    <s v=" 22300.4214 "/>
    <s v=" 68.3986 "/>
    <x v="0"/>
    <n v="1525319"/>
    <m/>
    <m/>
    <m/>
  </r>
  <r>
    <x v="5"/>
    <x v="0"/>
    <s v="F:\images\20210212\plaque 1/@05 EE2 114/A5_03.tif "/>
    <s v=" 23857.7738 "/>
    <s v=" 69.7797 "/>
    <x v="0"/>
    <n v="1664788"/>
    <m/>
    <m/>
    <m/>
  </r>
  <r>
    <x v="5"/>
    <x v="1"/>
    <s v="F:\images\20210212\plaque 1/@05 EE2 114/B5_01.tif "/>
    <s v=" 20267.2113 "/>
    <s v=" 66.0192 "/>
    <x v="0"/>
    <n v="1338025"/>
    <m/>
    <m/>
    <m/>
  </r>
  <r>
    <x v="5"/>
    <x v="1"/>
    <s v="F:\images\20210212\plaque 1/@05 EE2 114/B5_02.tif "/>
    <s v=" 25977.5034 "/>
    <s v=" 66.4704 "/>
    <x v="0"/>
    <n v="1726736"/>
    <m/>
    <m/>
    <m/>
  </r>
  <r>
    <x v="5"/>
    <x v="1"/>
    <s v="F:\images\20210212\plaque 1/@05 EE2 114/B5_03.tif "/>
    <s v=" 30346.7422 "/>
    <s v=" 67.7776 "/>
    <x v="0"/>
    <n v="2056830"/>
    <m/>
    <m/>
    <m/>
  </r>
  <r>
    <x v="5"/>
    <x v="2"/>
    <s v="F:\images\20210212\plaque 1/@05 EE2 114/C5_01.tif "/>
    <s v=" 346.0783 "/>
    <s v=" 62.375 "/>
    <x v="0"/>
    <n v="21587"/>
    <m/>
    <m/>
    <m/>
  </r>
  <r>
    <x v="5"/>
    <x v="2"/>
    <s v="F:\images\20210212\plaque 1/@05 EE2 114/C5_02.tif "/>
    <s v=" 497.4876 "/>
    <s v=" 64.087 "/>
    <x v="0"/>
    <n v="31882"/>
    <m/>
    <m/>
    <m/>
  </r>
  <r>
    <x v="5"/>
    <x v="2"/>
    <s v="F:\images\20210212\plaque 1/@05 EE2 114/C5_03.tif "/>
    <s v=" 389.3381 "/>
    <s v=" 63.5 "/>
    <x v="0"/>
    <n v="24723"/>
    <m/>
    <m/>
    <m/>
  </r>
  <r>
    <x v="5"/>
    <x v="3"/>
    <s v="F:\images\20210212\plaque 1/@05 EE2 114/D5_01.tif "/>
    <s v=" 6164.52 "/>
    <s v=" 64.9158 "/>
    <x v="0"/>
    <n v="400175"/>
    <m/>
    <m/>
    <m/>
  </r>
  <r>
    <x v="5"/>
    <x v="3"/>
    <s v="F:\images\20210212\plaque 1/@05 EE2 114/D5_02.tif "/>
    <s v=" 16892.9477 "/>
    <s v=" 66.2369 "/>
    <x v="0"/>
    <n v="1118936"/>
    <m/>
    <m/>
    <m/>
  </r>
  <r>
    <x v="5"/>
    <x v="3"/>
    <s v="F:\images\20210212\plaque 1/@05 EE2 114/D5_03.tif "/>
    <s v=" 15227.4458 "/>
    <s v=" 64.7528 "/>
    <x v="0"/>
    <n v="986020"/>
    <m/>
    <m/>
    <m/>
  </r>
  <r>
    <x v="5"/>
    <x v="4"/>
    <s v="F:\images\20210212\plaque 1/@05 EE2 114/E5_01.tif "/>
    <s v=" 12112.741 "/>
    <s v=" 64.2732 "/>
    <x v="0"/>
    <n v="778525"/>
    <m/>
    <m/>
    <m/>
  </r>
  <r>
    <x v="5"/>
    <x v="4"/>
    <s v="F:\images\20210212\plaque 1/@05 EE2 114/E5_02.tif "/>
    <s v=" 14059.4315 "/>
    <s v=" 65.2938 "/>
    <x v="0"/>
    <n v="917994"/>
    <m/>
    <m/>
    <m/>
  </r>
  <r>
    <x v="5"/>
    <x v="4"/>
    <s v="F:\images\20210212\plaque 1/@05 EE2 114/E5_03.tif "/>
    <s v=" 14859.7376 "/>
    <s v=" 64.706 "/>
    <x v="0"/>
    <n v="961514"/>
    <m/>
    <m/>
    <m/>
  </r>
  <r>
    <x v="5"/>
    <x v="5"/>
    <s v="F:\images\20210212\plaque 1/@05 EE2 114/F5_01.tif "/>
    <s v=" 45401.1488 "/>
    <s v=" 68.2577 "/>
    <x v="0"/>
    <n v="3098980"/>
    <m/>
    <m/>
    <m/>
  </r>
  <r>
    <x v="5"/>
    <x v="5"/>
    <s v="F:\images\20210212\plaque 1/@05 EE2 114/F5_02.tif "/>
    <s v=" 46655.6827 "/>
    <s v=" 68.1919 "/>
    <x v="0"/>
    <n v="3181541"/>
    <m/>
    <m/>
    <m/>
  </r>
  <r>
    <x v="5"/>
    <x v="5"/>
    <s v="F:\images\20210212\plaque 1/@05 EE2 114/F5_03.tif "/>
    <s v=" 35775.8457 "/>
    <s v=" 68.0605 "/>
    <x v="0"/>
    <n v="2434920"/>
    <m/>
    <m/>
    <m/>
  </r>
  <r>
    <x v="5"/>
    <x v="6"/>
    <s v="F:\images\20210212\plaque 1/@05 EE2 114/G5_01.tif "/>
    <s v=" 28270.2723 "/>
    <s v=" 66.8967 "/>
    <x v="0"/>
    <n v="1891188"/>
    <m/>
    <m/>
    <m/>
  </r>
  <r>
    <x v="5"/>
    <x v="6"/>
    <s v="F:\images\20210212\plaque 1/@05 EE2 114/G5_02.tif "/>
    <s v=" 20526.77 "/>
    <s v=" 67.3425 "/>
    <x v="0"/>
    <n v="1382323"/>
    <m/>
    <m/>
    <m/>
  </r>
  <r>
    <x v="5"/>
    <x v="6"/>
    <s v="F:\images\20210212\plaque 1/@05 EE2 114/G5_03.tif "/>
    <s v=" 21586.6348 "/>
    <s v=" 65.999 "/>
    <x v="0"/>
    <n v="1424696"/>
    <m/>
    <m/>
    <m/>
  </r>
  <r>
    <x v="5"/>
    <x v="7"/>
    <s v="F:\images\20210212\plaque 1/@05 EE2 114/H5_01.tif "/>
    <s v=" 7483.9435 "/>
    <s v=" 69.4393 "/>
    <x v="0"/>
    <n v="519680"/>
    <m/>
    <m/>
    <m/>
  </r>
  <r>
    <x v="5"/>
    <x v="7"/>
    <s v="F:\images\20210212\plaque 1/@05 EE2 114/H5_02.tif "/>
    <s v=" 4823.4665 "/>
    <s v=" 64.1614 "/>
    <x v="0"/>
    <n v="309481"/>
    <m/>
    <m/>
    <m/>
  </r>
  <r>
    <x v="5"/>
    <x v="7"/>
    <s v="F:\images\20210212\plaque 1/@05 EE2 114/H5_03.tif "/>
    <s v=" 5169.5448 "/>
    <s v=" 64.3264 "/>
    <x v="0"/>
    <n v="332538"/>
    <m/>
    <m/>
    <m/>
  </r>
  <r>
    <x v="1"/>
    <x v="8"/>
    <s v=" "/>
    <m/>
    <m/>
    <x v="1"/>
    <m/>
    <m/>
    <m/>
    <m/>
  </r>
  <r>
    <x v="1"/>
    <x v="8"/>
    <s v="group "/>
    <s v=" "/>
    <s v=" mean of mean fluo "/>
    <x v="2"/>
    <s v=" mean of total fluo "/>
    <s v=" SD total fluo "/>
    <s v=" n fluorescent "/>
    <s v=" n total"/>
  </r>
  <r>
    <x v="5"/>
    <x v="9"/>
    <s v="F:\images\20210212\plaque 1/@05 EE2 114/ "/>
    <s v=" "/>
    <s v=" 66.1894 "/>
    <x v="7"/>
    <s v=" 1266249.17 "/>
    <s v=" 912287.3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6"/>
    <x v="0"/>
    <s v="F:\images\20210212\plaque 1/@06 EE2 170.9/A6_01.tif "/>
    <s v=" 29243.6175 "/>
    <s v=" 68.3099 "/>
    <x v="0"/>
    <n v="1997629"/>
    <m/>
    <m/>
    <m/>
  </r>
  <r>
    <x v="6"/>
    <x v="0"/>
    <s v="F:\images\20210212\plaque 1/@06 EE2 170.9/A6_02- exclu.tif"/>
    <m/>
    <m/>
    <x v="1"/>
    <m/>
    <m/>
    <m/>
    <m/>
  </r>
  <r>
    <x v="6"/>
    <x v="0"/>
    <s v="F:\images\20210212\plaque 1/@06 EE2 170.9/A6_03.tif "/>
    <s v=" 33158.6285 "/>
    <s v=" 71.1885 "/>
    <x v="0"/>
    <n v="2360514"/>
    <m/>
    <m/>
    <m/>
  </r>
  <r>
    <x v="6"/>
    <x v="1"/>
    <s v="F:\images\20210212\plaque 1/@06 EE2 170.9/B6_01.tif "/>
    <s v=" 45768.857 "/>
    <s v=" 77.9702 "/>
    <x v="0"/>
    <n v="3568608"/>
    <m/>
    <m/>
    <m/>
  </r>
  <r>
    <x v="6"/>
    <x v="1"/>
    <s v="F:\images\20210212\plaque 1/@06 EE2 170.9/B6_02.tif "/>
    <s v=" 46785.4621 "/>
    <s v=" 79.1761 "/>
    <x v="0"/>
    <n v="3704292"/>
    <m/>
    <m/>
    <m/>
  </r>
  <r>
    <x v="6"/>
    <x v="1"/>
    <s v="F:\images\20210212\plaque 1/@06 EE2 170.9/B6_03.tif "/>
    <s v=" 46828.7219 "/>
    <s v=" 76.3861 "/>
    <x v="0"/>
    <n v="3577065"/>
    <m/>
    <m/>
    <m/>
  </r>
  <r>
    <x v="6"/>
    <x v="2"/>
    <s v="F:\images\20210212\plaque 1/@06 EE2 170.9/C6_01.tif "/>
    <s v=" 38977.0701 "/>
    <s v=" 76.6193 "/>
    <x v="0"/>
    <n v="2986396"/>
    <m/>
    <m/>
    <m/>
  </r>
  <r>
    <x v="6"/>
    <x v="2"/>
    <s v="F:\images\20210212\plaque 1/@06 EE2 170.9/C6_02.tif "/>
    <s v=" 46720.5724 "/>
    <s v=" 77.8019 "/>
    <x v="0"/>
    <n v="3634947"/>
    <m/>
    <m/>
    <m/>
  </r>
  <r>
    <x v="6"/>
    <x v="2"/>
    <s v="F:\images\20210212\plaque 1/@06 EE2 170.9/C6_03.tif "/>
    <s v=" 48580.7433 "/>
    <s v=" 76.6492 "/>
    <x v="0"/>
    <n v="3723673"/>
    <m/>
    <m/>
    <m/>
  </r>
  <r>
    <x v="6"/>
    <x v="3"/>
    <s v="F:\images\20210212\plaque 1/@06 EE2 170.9/D6_01.tif "/>
    <s v=" 54182.886 "/>
    <s v=" 76.7661 "/>
    <x v="0"/>
    <n v="4159407"/>
    <m/>
    <m/>
    <m/>
  </r>
  <r>
    <x v="6"/>
    <x v="3"/>
    <s v="F:\images\20210212\plaque 1/@06 EE2 170.9/D6_02.tif "/>
    <s v=" 49835.2772 "/>
    <s v=" 79.4523 "/>
    <x v="0"/>
    <n v="3959525"/>
    <m/>
    <m/>
    <m/>
  </r>
  <r>
    <x v="6"/>
    <x v="3"/>
    <s v="F:\images\20210212\plaque 1/@06 EE2 170.9/D6_03.tif "/>
    <s v=" 53014.8717 "/>
    <s v=" 77.7336 "/>
    <x v="0"/>
    <n v="4121036"/>
    <m/>
    <m/>
    <m/>
  </r>
  <r>
    <x v="6"/>
    <x v="4"/>
    <s v="F:\images\20210212\plaque 1/@06 EE2 170.9/E6_01.tif "/>
    <s v=" 39669.2267 "/>
    <s v=" 69.6908 "/>
    <x v="0"/>
    <n v="2764582"/>
    <m/>
    <m/>
    <m/>
  </r>
  <r>
    <x v="6"/>
    <x v="4"/>
    <s v="F:\images\20210212\plaque 1/@06 EE2 170.9/E6_02.tif "/>
    <s v=" 40707.4617 "/>
    <s v=" 70.313 "/>
    <x v="0"/>
    <n v="2862262"/>
    <m/>
    <m/>
    <m/>
  </r>
  <r>
    <x v="6"/>
    <x v="4"/>
    <s v="F:\images\20210212\plaque 1/@06 EE2 170.9/E6_03.tif "/>
    <s v=" 43605.8676 "/>
    <s v=" 69.3026 "/>
    <x v="0"/>
    <n v="3021999"/>
    <m/>
    <m/>
    <m/>
  </r>
  <r>
    <x v="6"/>
    <x v="5"/>
    <s v="F:\images\20210212\plaque 1/@06 EE2 170.9/F6_01.tif "/>
    <s v=" 25544.9056 "/>
    <s v=" 72.1516 "/>
    <x v="0"/>
    <n v="1843105"/>
    <m/>
    <m/>
    <m/>
  </r>
  <r>
    <x v="6"/>
    <x v="5"/>
    <s v="F:\images\20210212\plaque 1/@06 EE2 170.9/F6_02.tif "/>
    <s v=" 25263.7169 "/>
    <s v=" 72.7791 "/>
    <x v="0"/>
    <n v="1838671"/>
    <m/>
    <m/>
    <m/>
  </r>
  <r>
    <x v="6"/>
    <x v="5"/>
    <s v="F:\images\20210212\plaque 1/@06 EE2 170.9/F6_03.tif "/>
    <s v=" 32661.1409 "/>
    <s v=" 70.4821 "/>
    <x v="0"/>
    <n v="2302026"/>
    <m/>
    <m/>
    <m/>
  </r>
  <r>
    <x v="6"/>
    <x v="6"/>
    <s v="F:\images\20210212\plaque 1/@06 EE2 170.9/G6_01.tif "/>
    <s v=" 32747.6605 "/>
    <s v=" 71.6764 "/>
    <x v="0"/>
    <n v="2347233"/>
    <m/>
    <m/>
    <m/>
  </r>
  <r>
    <x v="6"/>
    <x v="6"/>
    <s v="F:\images\20210212\plaque 1/@06 EE2 170.9/G6_02- exclu.tif"/>
    <m/>
    <m/>
    <x v="1"/>
    <m/>
    <m/>
    <m/>
    <m/>
  </r>
  <r>
    <x v="6"/>
    <x v="6"/>
    <s v="F:\images\20210212\plaque 1/@06 EE2 170.9/G6_03.tif "/>
    <s v=" 28270.2723 "/>
    <s v=" 71.2617 "/>
    <x v="0"/>
    <n v="2014587"/>
    <m/>
    <m/>
    <m/>
  </r>
  <r>
    <x v="6"/>
    <x v="7"/>
    <s v="F:\images\20210212\plaque 1/@06 EE2 170.9/H6_01.tif "/>
    <s v=" 32769.2904 "/>
    <s v=" 70.9531 "/>
    <x v="0"/>
    <n v="2325084"/>
    <m/>
    <m/>
    <m/>
  </r>
  <r>
    <x v="6"/>
    <x v="7"/>
    <s v="F:\images\20210212\plaque 1/@06 EE2 170.9/H6_02.tif "/>
    <s v=" 34369.9026 "/>
    <s v=" 70.2177 "/>
    <x v="0"/>
    <n v="2413377"/>
    <m/>
    <m/>
    <m/>
  </r>
  <r>
    <x v="6"/>
    <x v="7"/>
    <s v="F:\images\20210212\plaque 1/@06 EE2 170.9/H6_03.tif "/>
    <s v=" 36078.6642 "/>
    <s v=" 71.5869 "/>
    <x v="0"/>
    <n v="2582761"/>
    <m/>
    <m/>
    <m/>
  </r>
  <r>
    <x v="1"/>
    <x v="8"/>
    <s v=" "/>
    <m/>
    <m/>
    <x v="1"/>
    <m/>
    <m/>
    <m/>
    <m/>
  </r>
  <r>
    <x v="1"/>
    <x v="8"/>
    <s v="group "/>
    <s v=" "/>
    <s v=" mean of mean fluo "/>
    <x v="2"/>
    <s v=" mean of total fluo "/>
    <s v=" SD total fluo "/>
    <s v=" n fluorescent "/>
    <s v=" n total"/>
  </r>
  <r>
    <x v="6"/>
    <x v="9"/>
    <s v="F:\images\20210212\plaque 1/@06 EE2 170.9/ "/>
    <s v=" "/>
    <s v=" 73.328 "/>
    <x v="8"/>
    <s v=" 2789040.62 "/>
    <s v=" 860766.01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7"/>
    <x v="0"/>
    <s v="F:\images\20210212\plaque 1/@07 EE2 488/A7_01.tif "/>
    <s v=" 19099.197 "/>
    <s v=" 78.4723 "/>
    <x v="0"/>
    <n v="1498757"/>
    <m/>
    <m/>
    <m/>
  </r>
  <r>
    <x v="7"/>
    <x v="0"/>
    <s v="F:\images\20210212\plaque 1/@07 EE2 488/A7_02.tif "/>
    <s v=" 44124.985 "/>
    <s v=" 88.2044 "/>
    <x v="0"/>
    <n v="3892018"/>
    <m/>
    <m/>
    <m/>
  </r>
  <r>
    <x v="7"/>
    <x v="0"/>
    <s v="F:\images\20210212\plaque 1/@07 EE2 488/A7_03.tif "/>
    <s v=" 22084.1224 "/>
    <s v=" 79.5024 "/>
    <x v="0"/>
    <n v="1755742"/>
    <m/>
    <m/>
    <m/>
  </r>
  <r>
    <x v="7"/>
    <x v="1"/>
    <s v="F:\images\20210212\plaque 1/@07 EE2 488/B7_01.tif "/>
    <s v=" 83080.4253 "/>
    <s v=" 93.982 "/>
    <x v="0"/>
    <n v="7808068"/>
    <m/>
    <m/>
    <m/>
  </r>
  <r>
    <x v="7"/>
    <x v="1"/>
    <s v="F:\images\20210212\plaque 1/@07 EE2 488/B7_02.tif "/>
    <s v=" 80484.8379 "/>
    <s v=" 95.495 "/>
    <x v="0"/>
    <n v="7685902"/>
    <m/>
    <m/>
    <m/>
  </r>
  <r>
    <x v="7"/>
    <x v="1"/>
    <s v="F:\images\20210212\plaque 1/@07 EE2 488/B7_03.tif "/>
    <s v=" 64478.7159 "/>
    <s v=" 106.5008 "/>
    <x v="0"/>
    <n v="6867037"/>
    <m/>
    <m/>
    <m/>
  </r>
  <r>
    <x v="7"/>
    <x v="2"/>
    <s v="F:\images\20210212\plaque 1/@07 EE2 488/C7_01.tif "/>
    <s v=" 64262.4169 "/>
    <s v=" 83.7398 "/>
    <x v="0"/>
    <n v="5381323"/>
    <m/>
    <m/>
    <m/>
  </r>
  <r>
    <x v="7"/>
    <x v="2"/>
    <s v="F:\images\20210212\plaque 1/@07 EE2 488/C7_02.tif "/>
    <s v=" 80852.5461 "/>
    <s v=" 82.1806 "/>
    <x v="0"/>
    <n v="6644509"/>
    <m/>
    <m/>
    <m/>
  </r>
  <r>
    <x v="7"/>
    <x v="2"/>
    <s v="F:\images\20210212\plaque 1/@07 EE2 488/C7_03.tif "/>
    <s v=" 61299.1214 "/>
    <s v=" 85.0406 "/>
    <x v="0"/>
    <n v="5212913"/>
    <m/>
    <m/>
    <m/>
  </r>
  <r>
    <x v="7"/>
    <x v="3"/>
    <s v="F:\images\20210212\plaque 1/@07 EE2 488/D7_01.tif "/>
    <s v=" 62661.8047 "/>
    <s v=" 91.4249 "/>
    <x v="0"/>
    <n v="5728851"/>
    <m/>
    <m/>
    <m/>
  </r>
  <r>
    <x v="7"/>
    <x v="3"/>
    <s v="F:\images\20210212\plaque 1/@07 EE2 488/D7_02.tif "/>
    <s v=" 66533.5559 "/>
    <s v=" 90.0195 "/>
    <x v="0"/>
    <n v="5989318"/>
    <m/>
    <m/>
    <m/>
  </r>
  <r>
    <x v="7"/>
    <x v="3"/>
    <s v="F:\images\20210212\plaque 1/@07 EE2 488/D7_03.tif "/>
    <s v=" 61147.7121 "/>
    <s v=" 92.826 "/>
    <x v="0"/>
    <n v="5676095"/>
    <m/>
    <m/>
    <m/>
  </r>
  <r>
    <x v="7"/>
    <x v="4"/>
    <s v="F:\images\20210212\plaque 1/@07 EE2 488/E7_01.tif "/>
    <s v=" 74125.6489 "/>
    <s v=" 87.3989 "/>
    <x v="0"/>
    <n v="6478500"/>
    <m/>
    <m/>
    <m/>
  </r>
  <r>
    <x v="7"/>
    <x v="4"/>
    <s v="F:\images\20210212\plaque 1/@07 EE2 488/E7_02.tif "/>
    <s v=" 75466.7024 "/>
    <s v=" 87.6621 "/>
    <x v="0"/>
    <n v="6615568"/>
    <m/>
    <m/>
    <m/>
  </r>
  <r>
    <x v="7"/>
    <x v="4"/>
    <s v="F:\images\20210212\plaque 1/@07 EE2 488/E7_03.tif "/>
    <s v=" 56345.8755 "/>
    <s v=" 99.7635 "/>
    <x v="0"/>
    <n v="5621264"/>
    <m/>
    <m/>
    <m/>
  </r>
  <r>
    <x v="7"/>
    <x v="5"/>
    <s v="F:\images\20210212\plaque 1/@07 EE2 488/F7_01.tif "/>
    <s v=" 55112.9715 "/>
    <s v=" 94.3246 "/>
    <x v="0"/>
    <n v="5198507"/>
    <m/>
    <m/>
    <m/>
  </r>
  <r>
    <x v="7"/>
    <x v="5"/>
    <s v="F:\images\20210212\plaque 1/@07 EE2 488/F7_02.tif "/>
    <s v=" 53101.3913 "/>
    <s v=" 93.8741 "/>
    <x v="0"/>
    <n v="4984847"/>
    <m/>
    <m/>
    <m/>
  </r>
  <r>
    <x v="7"/>
    <x v="5"/>
    <s v="F:\images\20210212\plaque 1/@07 EE2 488/F7_03.tif "/>
    <s v=" 51197.9606 "/>
    <s v=" 91.7892 "/>
    <x v="0"/>
    <n v="4699419"/>
    <m/>
    <m/>
    <m/>
  </r>
  <r>
    <x v="7"/>
    <x v="6"/>
    <s v="F:\images\20210212\plaque 1/@07 EE2 488/G7_01.tif "/>
    <s v=" 69194.0329 "/>
    <s v=" 87.8256 "/>
    <x v="0"/>
    <n v="6077005"/>
    <m/>
    <m/>
    <m/>
  </r>
  <r>
    <x v="7"/>
    <x v="6"/>
    <s v="F:\images\20210212\plaque 1/@07 EE2 488/G7_02.tif "/>
    <s v=" 69085.8834 "/>
    <s v=" 91.7489 "/>
    <x v="0"/>
    <n v="6338554"/>
    <m/>
    <m/>
    <m/>
  </r>
  <r>
    <x v="7"/>
    <x v="6"/>
    <s v="F:\images\20210212\plaque 1/@07 EE2 488/G7_03.tif "/>
    <s v=" 67766.4599 "/>
    <s v=" 90.8618 "/>
    <x v="0"/>
    <n v="6157382"/>
    <m/>
    <m/>
    <m/>
  </r>
  <r>
    <x v="7"/>
    <x v="7"/>
    <s v="F:\images\20210212\plaque 1/@07 EE2 488/H7_01.tif "/>
    <s v=" 75726.2611 "/>
    <s v=" 89.7701 "/>
    <x v="0"/>
    <n v="6797951"/>
    <m/>
    <m/>
    <m/>
  </r>
  <r>
    <x v="7"/>
    <x v="7"/>
    <s v="F:\images\20210212\plaque 1/@07 EE2 488/H7_02.tif "/>
    <s v=" 79273.5638 "/>
    <s v=" 90.3462 "/>
    <x v="0"/>
    <n v="7162069"/>
    <m/>
    <m/>
    <m/>
  </r>
  <r>
    <x v="7"/>
    <x v="7"/>
    <s v="F:\images\20210212\plaque 1/@07 EE2 488/H7_03.tif "/>
    <s v=" 73952.6097 "/>
    <s v=" 92.6364 "/>
    <x v="0"/>
    <n v="6850707"/>
    <m/>
    <m/>
    <m/>
  </r>
  <r>
    <x v="1"/>
    <x v="8"/>
    <s v=" "/>
    <m/>
    <m/>
    <x v="1"/>
    <m/>
    <m/>
    <m/>
    <m/>
  </r>
  <r>
    <x v="1"/>
    <x v="8"/>
    <s v="group "/>
    <s v=" "/>
    <s v=" mean of mean fluo "/>
    <x v="2"/>
    <s v=" mean of total fluo "/>
    <s v=" SD total fluo "/>
    <s v=" n fluorescent "/>
    <s v=" n total"/>
  </r>
  <r>
    <x v="7"/>
    <x v="9"/>
    <s v="F:\images\20210212\plaque 1/@07 EE2 488/ "/>
    <s v=" "/>
    <s v=" 90.2246 "/>
    <x v="9"/>
    <s v=" 5713429.42 "/>
    <s v=" 1562868.1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8"/>
    <x v="0"/>
    <s v="F:\images\20210212\plaque 1/@08 17b estradiol 34 ng_L/A8_01.tif "/>
    <s v=" 951.7154 "/>
    <s v=" 63.2045 "/>
    <x v="0"/>
    <n v="60153"/>
    <m/>
    <m/>
    <m/>
  </r>
  <r>
    <x v="8"/>
    <x v="0"/>
    <s v="F:\images\20210212\plaque 1/@08 17b estradiol 34 ng_L/A8_02.tif "/>
    <s v=" 6488.9684 "/>
    <s v=" 71.9 "/>
    <x v="0"/>
    <n v="466557"/>
    <m/>
    <m/>
    <m/>
  </r>
  <r>
    <x v="8"/>
    <x v="0"/>
    <s v="F:\images\20210212\plaque 1/@08 17b estradiol 34 ng_L/A8_03.tif "/>
    <s v=" 6878.3065 "/>
    <s v=" 72.934 "/>
    <x v="0"/>
    <n v="501662"/>
    <m/>
    <m/>
    <m/>
  </r>
  <r>
    <x v="8"/>
    <x v="1"/>
    <s v="F:\images\20210212\plaque 1/@08 17b estradiol 34 ng_L/B8_01.tif "/>
    <s v=" 281.1886 "/>
    <s v=" 64.2308 "/>
    <x v="0"/>
    <n v="18061"/>
    <m/>
    <m/>
    <m/>
  </r>
  <r>
    <x v="8"/>
    <x v="1"/>
    <s v="F:\images\20210212\plaque 1/@08 17b estradiol 34 ng_L/B8_02.tif "/>
    <s v=" 216.2989 "/>
    <s v=" 62.9 "/>
    <x v="0"/>
    <n v="13605"/>
    <m/>
    <m/>
    <m/>
  </r>
  <r>
    <x v="8"/>
    <x v="1"/>
    <s v="F:\images\20210212\plaque 1/@08 17b estradiol 34 ng_L/B8_03- exclu.tif"/>
    <m/>
    <m/>
    <x v="1"/>
    <m/>
    <m/>
    <m/>
    <m/>
  </r>
  <r>
    <x v="8"/>
    <x v="2"/>
    <s v="F:\images\20210212\plaque 1/@08 17b estradiol 34 ng_L/C8_01.tif "/>
    <s v=" 886.8257 "/>
    <s v=" 63.561 "/>
    <x v="0"/>
    <n v="56368"/>
    <m/>
    <m/>
    <m/>
  </r>
  <r>
    <x v="8"/>
    <x v="2"/>
    <s v="F:\images\20210212\plaque 1/@08 17b estradiol 34 ng_L/C8_02.tif "/>
    <s v=" 2530.6977 "/>
    <s v=" 63.2051 "/>
    <x v="0"/>
    <n v="159953"/>
    <m/>
    <m/>
    <m/>
  </r>
  <r>
    <x v="8"/>
    <x v="2"/>
    <s v="F:\images\20210212\plaque 1/@08 17b estradiol 34 ng_L/C8_03.tif "/>
    <s v=" 1665.5019 "/>
    <s v=" 63.0649 "/>
    <x v="0"/>
    <n v="105035"/>
    <m/>
    <m/>
    <m/>
  </r>
  <r>
    <x v="8"/>
    <x v="3"/>
    <s v="F:\images\20210212\plaque 1/@08 17b estradiol 34 ng_L/D8_01.tif "/>
    <s v=" 1103.1246 "/>
    <s v=" 63.098 "/>
    <x v="0"/>
    <n v="69605"/>
    <m/>
    <m/>
    <m/>
  </r>
  <r>
    <x v="8"/>
    <x v="3"/>
    <s v="F:\images\20210212\plaque 1/@08 17b estradiol 34 ng_L/D8_02.tif "/>
    <s v=" 2227.8791 "/>
    <s v=" 64.2524 "/>
    <x v="0"/>
    <n v="143147"/>
    <m/>
    <m/>
    <m/>
  </r>
  <r>
    <x v="8"/>
    <x v="3"/>
    <s v="F:\images\20210212\plaque 1/@08 17b estradiol 34 ng_L/D8_03.tif "/>
    <s v=" 1838.541 "/>
    <s v=" 64.3647 "/>
    <x v="0"/>
    <n v="118337"/>
    <m/>
    <m/>
    <m/>
  </r>
  <r>
    <x v="8"/>
    <x v="4"/>
    <s v="F:\images\20210212\plaque 1/@08 17b estradiol 34 ng_L/E8_01.tif "/>
    <s v=" 3677.0821 "/>
    <s v=" 70.3647 "/>
    <x v="0"/>
    <n v="258737"/>
    <m/>
    <m/>
    <m/>
  </r>
  <r>
    <x v="8"/>
    <x v="4"/>
    <s v="F:\images\20210212\plaque 1/@08 17b estradiol 34 ng_L/E8_02.tif "/>
    <s v=" 367.7082 "/>
    <s v=" 63.2941 "/>
    <x v="0"/>
    <n v="23274"/>
    <m/>
    <m/>
    <m/>
  </r>
  <r>
    <x v="8"/>
    <x v="4"/>
    <s v="F:\images\20210212\plaque 1/@08 17b estradiol 34 ng_L/E8_03.tif "/>
    <s v=" 2184.6194 "/>
    <s v=" 63.6139 "/>
    <x v="0"/>
    <n v="138972"/>
    <m/>
    <m/>
    <m/>
  </r>
  <r>
    <x v="8"/>
    <x v="5"/>
    <s v="F:\images\20210212\plaque 1/@08 17b estradiol 34 ng_L/F8_01.tif "/>
    <s v=" 4369.2387 "/>
    <s v=" 65.896 "/>
    <x v="0"/>
    <n v="287916"/>
    <m/>
    <m/>
    <m/>
  </r>
  <r>
    <x v="8"/>
    <x v="5"/>
    <s v="F:\images\20210212\plaque 1/@08 17b estradiol 34 ng_L/F8_02.tif "/>
    <s v=" 4628.7975 "/>
    <s v=" 66.7336 "/>
    <x v="0"/>
    <n v="308897"/>
    <m/>
    <m/>
    <m/>
  </r>
  <r>
    <x v="8"/>
    <x v="5"/>
    <s v="F:\images\20210212\plaque 1/@08 17b estradiol 34 ng_L/F8_03.tif "/>
    <s v=" 2876.776 "/>
    <s v=" 64.6165 "/>
    <x v="0"/>
    <n v="185887"/>
    <m/>
    <m/>
    <m/>
  </r>
  <r>
    <x v="8"/>
    <x v="6"/>
    <s v="F:\images\20210212\plaque 1/@08 17b estradiol 34 ng_L/G8_01.tif "/>
    <s v=" 410.968 "/>
    <s v=" 62.0526 "/>
    <x v="0"/>
    <n v="25502"/>
    <m/>
    <m/>
    <m/>
  </r>
  <r>
    <x v="8"/>
    <x v="6"/>
    <s v="F:\images\20210212\plaque 1/@08 17b estradiol 34 ng_L/G8_02.tif "/>
    <s v=" 302.8185 "/>
    <s v=" 63.0714 "/>
    <x v="0"/>
    <n v="19099"/>
    <m/>
    <m/>
    <m/>
  </r>
  <r>
    <x v="8"/>
    <x v="6"/>
    <s v="F:\images\20210212\plaque 1/@08 17b estradiol 34 ng_L/G8_03.tif "/>
    <s v=" 302.8185 "/>
    <s v=" 61.4286 "/>
    <x v="0"/>
    <n v="18602"/>
    <m/>
    <m/>
    <m/>
  </r>
  <r>
    <x v="8"/>
    <x v="7"/>
    <s v="F:\images\20210212\plaque 1/@08 17b estradiol 34 ng_L/H8_01.tif "/>
    <s v=" 2660.477 "/>
    <s v=" 65.2033 "/>
    <x v="0"/>
    <n v="173472"/>
    <m/>
    <m/>
    <m/>
  </r>
  <r>
    <x v="8"/>
    <x v="7"/>
    <s v="F:\images\20210212\plaque 1/@08 17b estradiol 34 ng_L/H8_02.tif "/>
    <s v=" 4109.68 "/>
    <s v=" 65.3789 "/>
    <x v="0"/>
    <n v="268687"/>
    <m/>
    <m/>
    <m/>
  </r>
  <r>
    <x v="8"/>
    <x v="7"/>
    <s v="F:\images\20210212\plaque 1/@08 17b estradiol 34 ng_L/H8_03.tif "/>
    <s v=" 2487.4379 "/>
    <s v=" 66.3217 "/>
    <x v="0"/>
    <n v="164971"/>
    <m/>
    <m/>
    <m/>
  </r>
  <r>
    <x v="1"/>
    <x v="8"/>
    <s v=" "/>
    <m/>
    <m/>
    <x v="1"/>
    <m/>
    <m/>
    <m/>
    <m/>
  </r>
  <r>
    <x v="1"/>
    <x v="8"/>
    <s v="group "/>
    <s v=" "/>
    <s v=" mean of mean fluo "/>
    <x v="2"/>
    <s v=" mean of total fluo "/>
    <s v=" SD total fluo "/>
    <s v=" n fluorescent "/>
    <s v=" n total"/>
  </r>
  <r>
    <x v="8"/>
    <x v="9"/>
    <s v="F:\images\20210212\plaque 1/@08 17b estradiol 34 ng_L/ "/>
    <s v=" "/>
    <s v=" 64.9267 "/>
    <x v="10"/>
    <s v=" 150582.958 "/>
    <s v=" 138262.97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9"/>
    <x v="0"/>
    <s v="F:\images\20210212\plaque 1/@09 17b estradiol 68/A9_01.tif "/>
    <s v=" 346.0783 "/>
    <s v=" 61.75 "/>
    <x v="0"/>
    <n v="21370"/>
    <m/>
    <m/>
    <m/>
  </r>
  <r>
    <x v="9"/>
    <x v="0"/>
    <s v="F:\images\20210212\plaque 1/@09 17b estradiol 68/A9_02.tif "/>
    <s v=" 346.0783 "/>
    <s v=" 64.125 "/>
    <x v="0"/>
    <n v="22192"/>
    <m/>
    <m/>
    <m/>
  </r>
  <r>
    <x v="9"/>
    <x v="0"/>
    <s v="F:\images\20210212\plaque 1/@09 17b estradiol 68/A9_03.tif "/>
    <s v=" 389.3381 "/>
    <s v=" 63.7222 "/>
    <x v="0"/>
    <n v="24809"/>
    <m/>
    <m/>
    <m/>
  </r>
  <r>
    <x v="9"/>
    <x v="1"/>
    <s v="F:\images\20210212\plaque 1/@09 17b estradiol 68/B9_01.tif "/>
    <s v=" 6748.5271 "/>
    <s v=" 74.7724 "/>
    <x v="0"/>
    <n v="504604"/>
    <m/>
    <m/>
    <m/>
  </r>
  <r>
    <x v="9"/>
    <x v="1"/>
    <s v="F:\images\20210212\plaque 1/@09 17b estradiol 68/B9_02.tif "/>
    <s v=" 7656.9827 "/>
    <s v=" 73.5819 "/>
    <x v="0"/>
    <n v="563415"/>
    <m/>
    <m/>
    <m/>
  </r>
  <r>
    <x v="9"/>
    <x v="1"/>
    <s v="F:\images\20210212\plaque 1/@09 17b estradiol 68/B9_03.tif "/>
    <s v=" 7851.6518 "/>
    <s v=" 74.5234 "/>
    <x v="0"/>
    <n v="585132"/>
    <m/>
    <m/>
    <m/>
  </r>
  <r>
    <x v="9"/>
    <x v="2"/>
    <s v="F:\images\20210212\plaque 1/@09 17b estradiol 68/C9_01.tif "/>
    <s v=" 1341.0535 "/>
    <s v=" 64.0806 "/>
    <x v="0"/>
    <n v="85936"/>
    <m/>
    <m/>
    <m/>
  </r>
  <r>
    <x v="9"/>
    <x v="2"/>
    <s v="F:\images\20210212\plaque 1/@09 17b estradiol 68/C9_02.tif "/>
    <s v=" 821.936 "/>
    <s v=" 62.8684 "/>
    <x v="0"/>
    <n v="51674"/>
    <m/>
    <m/>
    <m/>
  </r>
  <r>
    <x v="9"/>
    <x v="2"/>
    <s v="F:\images\20210212\plaque 1/@09 17b estradiol 68/C9_03.tif "/>
    <s v=" 865.1958 "/>
    <s v=" 63.3 "/>
    <x v="0"/>
    <n v="54767"/>
    <m/>
    <m/>
    <m/>
  </r>
  <r>
    <x v="9"/>
    <x v="3"/>
    <s v="F:\images\20210212\plaque 1/@09 17b estradiol 68/D9_01.tif "/>
    <s v=" 2206.2493 "/>
    <s v=" 64.3333 "/>
    <x v="0"/>
    <n v="141935"/>
    <m/>
    <m/>
    <m/>
  </r>
  <r>
    <x v="9"/>
    <x v="3"/>
    <s v="F:\images\20210212\plaque 1/@09 17b estradiol 68/D9_02.tif "/>
    <s v=" 692.1566 "/>
    <s v=" 62.5938 "/>
    <x v="0"/>
    <n v="43325"/>
    <m/>
    <m/>
    <m/>
  </r>
  <r>
    <x v="9"/>
    <x v="3"/>
    <s v="F:\images\20210212\plaque 1/@09 17b estradiol 68/D9_03.tif "/>
    <s v=" 1362.6834 "/>
    <s v=" 63.2222 "/>
    <x v="0"/>
    <n v="86152"/>
    <m/>
    <m/>
    <m/>
  </r>
  <r>
    <x v="9"/>
    <x v="4"/>
    <s v="F:\images\20210212\plaque 1/@09 17b estradiol 68/E9_01.tif "/>
    <s v=" 757.0463 "/>
    <s v=" 63.1143 "/>
    <x v="0"/>
    <n v="47780"/>
    <m/>
    <m/>
    <m/>
  </r>
  <r>
    <x v="9"/>
    <x v="4"/>
    <s v="F:\images\20210212\plaque 1/@09 17b estradiol 68/E9_02.tif "/>
    <s v=" 540.7474 "/>
    <s v=" 61.8 "/>
    <x v="0"/>
    <n v="33418"/>
    <m/>
    <m/>
    <m/>
  </r>
  <r>
    <x v="9"/>
    <x v="4"/>
    <s v="F:\images\20210212\plaque 1/@09 17b estradiol 68/E9_03- exclu.tif"/>
    <m/>
    <m/>
    <x v="1"/>
    <m/>
    <m/>
    <m/>
    <m/>
  </r>
  <r>
    <x v="9"/>
    <x v="5"/>
    <s v="F:\images\20210212\plaque 1/@09 17b estradiol 68/F9_01.tif "/>
    <s v=" 1189.6442 "/>
    <s v=" 63.2909 "/>
    <x v="0"/>
    <n v="75294"/>
    <m/>
    <m/>
    <m/>
  </r>
  <r>
    <x v="9"/>
    <x v="5"/>
    <s v="F:\images\20210212\plaque 1/@09 17b estradiol 68/F9_02.tif "/>
    <s v=" 843.5659 "/>
    <s v=" 61.8462 "/>
    <x v="0"/>
    <n v="52171"/>
    <m/>
    <m/>
    <m/>
  </r>
  <r>
    <x v="9"/>
    <x v="5"/>
    <s v="F:\images\20210212\plaque 1/@09 17b estradiol 68/F9_03.tif "/>
    <s v=" 843.5659 "/>
    <s v=" 62.4615 "/>
    <x v="0"/>
    <n v="52690"/>
    <m/>
    <m/>
    <m/>
  </r>
  <r>
    <x v="9"/>
    <x v="6"/>
    <s v="F:\images\20210212\plaque 1/@09 17b estradiol 68/G9_01.tif "/>
    <s v=" 778.6762 "/>
    <s v=" 63.1944 "/>
    <x v="0"/>
    <n v="49208"/>
    <m/>
    <m/>
    <m/>
  </r>
  <r>
    <x v="9"/>
    <x v="6"/>
    <s v="F:\images\20210212\plaque 1/@09 17b estradiol 68/G9_02.tif "/>
    <s v=" 1124.7545 "/>
    <s v=" 62.5577 "/>
    <x v="0"/>
    <n v="70362"/>
    <m/>
    <m/>
    <m/>
  </r>
  <r>
    <x v="9"/>
    <x v="6"/>
    <s v="F:\images\20210212\plaque 1/@09 17b estradiol 68/G9_03.tif "/>
    <s v=" 1124.7545 "/>
    <s v=" 63.5962 "/>
    <x v="0"/>
    <n v="71530"/>
    <m/>
    <m/>
    <m/>
  </r>
  <r>
    <x v="9"/>
    <x v="7"/>
    <s v="F:\images\20210212\plaque 1/@09 17b estradiol 68/H9_01- exclu.tif"/>
    <m/>
    <m/>
    <x v="1"/>
    <m/>
    <m/>
    <m/>
    <m/>
  </r>
  <r>
    <x v="9"/>
    <x v="7"/>
    <s v="F:\images\20210212\plaque 1/@09 17b estradiol 68/H9_02- exclu.tif"/>
    <m/>
    <m/>
    <x v="1"/>
    <m/>
    <m/>
    <m/>
    <m/>
  </r>
  <r>
    <x v="9"/>
    <x v="7"/>
    <s v="F:\images\20210212\plaque 1/@09 17b estradiol 68/H9_03- exclu.tif"/>
    <m/>
    <m/>
    <x v="1"/>
    <m/>
    <m/>
    <m/>
    <m/>
  </r>
  <r>
    <x v="1"/>
    <x v="8"/>
    <s v=" "/>
    <m/>
    <m/>
    <x v="1"/>
    <m/>
    <m/>
    <m/>
    <m/>
  </r>
  <r>
    <x v="1"/>
    <x v="8"/>
    <s v="group "/>
    <s v=" "/>
    <s v=" mean of mean fluo "/>
    <x v="2"/>
    <s v=" mean of total fluo "/>
    <s v=" SD total fluo "/>
    <s v=" n fluorescent "/>
    <s v=" n total"/>
  </r>
  <r>
    <x v="9"/>
    <x v="9"/>
    <s v="F:\images\20210212\plaque 1/@09 17b estradiol 68/ "/>
    <s v=" "/>
    <s v=" 64.7336 "/>
    <x v="11"/>
    <s v=" 111744.458 "/>
    <s v=" 172764.49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0"/>
    <x v="0"/>
    <s v="F:\images\20210212\plaque 1/@10 17b estradiol 135/A10_01.tif "/>
    <s v=" 13237.4955 "/>
    <s v=" 65.719 "/>
    <x v="0"/>
    <n v="869954"/>
    <m/>
    <m/>
    <m/>
  </r>
  <r>
    <x v="10"/>
    <x v="0"/>
    <s v="F:\images\20210212\plaque 1/@10 17b estradiol 135/A10_02.tif "/>
    <s v=" 12069.4812 "/>
    <s v=" 65.3208 "/>
    <x v="0"/>
    <n v="788388"/>
    <m/>
    <m/>
    <m/>
  </r>
  <r>
    <x v="10"/>
    <x v="0"/>
    <s v="F:\images\20210212\plaque 1/@10 17b estradiol 135/A10_03.tif "/>
    <s v=" 12350.6698 "/>
    <s v=" 64.9877 "/>
    <x v="0"/>
    <n v="802642"/>
    <m/>
    <m/>
    <m/>
  </r>
  <r>
    <x v="10"/>
    <x v="1"/>
    <s v="F:\images\20210212\plaque 1/@10 17b estradiol 135/B10_01.tif "/>
    <s v=" 25069.0479 "/>
    <s v=" 68.5919 "/>
    <x v="0"/>
    <n v="1719533"/>
    <m/>
    <m/>
    <m/>
  </r>
  <r>
    <x v="10"/>
    <x v="1"/>
    <s v="F:\images\20210212\plaque 1/@10 17b estradiol 135/B10_02.tif "/>
    <s v=" 19250.6062 "/>
    <s v=" 65.0079 "/>
    <x v="0"/>
    <n v="1251441"/>
    <m/>
    <m/>
    <m/>
  </r>
  <r>
    <x v="10"/>
    <x v="1"/>
    <s v="F:\images\20210212\plaque 1/@10 17b estradiol 135/B10_03.tif "/>
    <s v=" 25285.3468 "/>
    <s v=" 67.6647 "/>
    <x v="0"/>
    <n v="1710925"/>
    <m/>
    <m/>
    <m/>
  </r>
  <r>
    <x v="10"/>
    <x v="2"/>
    <s v="F:\images\20210212\plaque 1/@10 17b estradiol 135/C10_01.tif "/>
    <s v=" 7354.1642 "/>
    <s v=" 64.3765 "/>
    <x v="0"/>
    <n v="473435"/>
    <m/>
    <m/>
    <m/>
  </r>
  <r>
    <x v="10"/>
    <x v="2"/>
    <s v="F:\images\20210212\plaque 1/@10 17b estradiol 135/C10_02.tif "/>
    <s v=" 9214.3351 "/>
    <s v=" 64.3239 "/>
    <x v="0"/>
    <n v="592702"/>
    <m/>
    <m/>
    <m/>
  </r>
  <r>
    <x v="10"/>
    <x v="2"/>
    <s v="F:\images\20210212\plaque 1/@10 17b estradiol 135/C10_03.tif "/>
    <s v=" 6597.1179 "/>
    <s v=" 64.1836 "/>
    <x v="0"/>
    <n v="423427"/>
    <m/>
    <m/>
    <m/>
  </r>
  <r>
    <x v="10"/>
    <x v="3"/>
    <s v="F:\images\20210212\plaque 1/@10 17b estradiol 135/D10_01.tif "/>
    <s v=" 8760.1073 "/>
    <s v=" 63.2272 "/>
    <x v="0"/>
    <n v="553877"/>
    <m/>
    <m/>
    <m/>
  </r>
  <r>
    <x v="10"/>
    <x v="3"/>
    <s v="F:\images\20210212\plaque 1/@10 17b estradiol 135/D10_02.tif "/>
    <s v=" 14946.2572 "/>
    <s v=" 64.1881 "/>
    <x v="0"/>
    <n v="959372"/>
    <m/>
    <m/>
    <m/>
  </r>
  <r>
    <x v="10"/>
    <x v="3"/>
    <s v="F:\images\20210212\plaque 1/@10 17b estradiol 135/D10_03.tif "/>
    <s v=" 14967.8871 "/>
    <s v=" 64.7587 "/>
    <x v="0"/>
    <n v="969300"/>
    <m/>
    <m/>
    <m/>
  </r>
  <r>
    <x v="10"/>
    <x v="4"/>
    <s v="F:\images\20210212\plaque 1/@10 17b estradiol 135/E10_01.tif "/>
    <s v=" 497.4876 "/>
    <s v=" 62.6087 "/>
    <x v="0"/>
    <n v="31147"/>
    <m/>
    <m/>
    <m/>
  </r>
  <r>
    <x v="10"/>
    <x v="4"/>
    <s v="F:\images\20210212\plaque 1/@10 17b estradiol 135/E10_02.tif "/>
    <s v=" 1362.6834 "/>
    <s v=" 64.1429 "/>
    <x v="0"/>
    <n v="87406"/>
    <m/>
    <m/>
    <m/>
  </r>
  <r>
    <x v="10"/>
    <x v="4"/>
    <s v="F:\images\20210212\plaque 1/@10 17b estradiol 135/E10_03.tif "/>
    <s v=" 1168.0143 "/>
    <s v=" 64.5 "/>
    <x v="0"/>
    <n v="75337"/>
    <m/>
    <m/>
    <m/>
  </r>
  <r>
    <x v="10"/>
    <x v="5"/>
    <s v="F:\images\20210212\plaque 1/@10 17b estradiol 135/F10_01.tif "/>
    <s v=" 8262.6197 "/>
    <s v=" 66.7958 "/>
    <x v="0"/>
    <n v="551908"/>
    <m/>
    <m/>
    <m/>
  </r>
  <r>
    <x v="10"/>
    <x v="5"/>
    <s v="F:\images\20210212\plaque 1/@10 17b estradiol 135/F10_02.tif "/>
    <s v=" 11161.0256 "/>
    <s v=" 66.9826 "/>
    <x v="0"/>
    <n v="747594"/>
    <m/>
    <m/>
    <m/>
  </r>
  <r>
    <x v="10"/>
    <x v="5"/>
    <s v="F:\images\20210212\plaque 1/@10 17b estradiol 135/F10_03.tif "/>
    <s v=" 6943.1962 "/>
    <s v=" 64.2897 "/>
    <x v="0"/>
    <n v="446376"/>
    <m/>
    <m/>
    <m/>
  </r>
  <r>
    <x v="10"/>
    <x v="6"/>
    <s v="F:\images\20210212\plaque 1/@10 17b estradiol 135/G10_01.tif "/>
    <s v=" 9300.8547 "/>
    <s v=" 64.2535 "/>
    <x v="0"/>
    <n v="597612"/>
    <m/>
    <m/>
    <m/>
  </r>
  <r>
    <x v="10"/>
    <x v="6"/>
    <s v="F:\images\20210212\plaque 1/@10 17b estradiol 135/G10_02.tif "/>
    <s v=" 18212.3713 "/>
    <s v=" 65.3504 "/>
    <x v="0"/>
    <n v="1190185"/>
    <m/>
    <m/>
    <m/>
  </r>
  <r>
    <x v="10"/>
    <x v="6"/>
    <s v="F:\images\20210212\plaque 1/@10 17b estradiol 135/G10_03.tif "/>
    <s v=" 17779.7734 "/>
    <s v=" 65.5268 "/>
    <x v="0"/>
    <n v="1165051"/>
    <m/>
    <m/>
    <m/>
  </r>
  <r>
    <x v="10"/>
    <x v="7"/>
    <s v="F:\images\20210212\plaque 1/@10 17b estradiol 135/H10_01.tif "/>
    <s v=" 16352.2003 "/>
    <s v=" 68.4577 "/>
    <x v="0"/>
    <n v="1119434"/>
    <m/>
    <m/>
    <m/>
  </r>
  <r>
    <x v="10"/>
    <x v="7"/>
    <s v="F:\images\20210212\plaque 1/@10 17b estradiol 135/H10_02.tif "/>
    <s v=" 23014.2079 "/>
    <s v=" 69.2321 "/>
    <x v="0"/>
    <n v="1593323"/>
    <m/>
    <m/>
    <m/>
  </r>
  <r>
    <x v="10"/>
    <x v="7"/>
    <s v="F:\images\20210212\plaque 1/@10 17b estradiol 135/H10_03.tif "/>
    <s v=" 19510.165 "/>
    <s v=" 70.1086 "/>
    <x v="0"/>
    <n v="1367831"/>
    <m/>
    <m/>
    <m/>
  </r>
  <r>
    <x v="1"/>
    <x v="8"/>
    <s v=" "/>
    <m/>
    <m/>
    <x v="1"/>
    <m/>
    <m/>
    <m/>
    <m/>
  </r>
  <r>
    <x v="1"/>
    <x v="8"/>
    <s v="group "/>
    <s v=" "/>
    <s v=" mean of mean fluo "/>
    <x v="2"/>
    <s v=" mean of total fluo "/>
    <s v=" SD total fluo "/>
    <s v=" n fluorescent "/>
    <s v=" n total"/>
  </r>
  <r>
    <x v="10"/>
    <x v="9"/>
    <s v="F:\images\20210212\plaque 1/@10 17b estradiol 135/ "/>
    <s v=" "/>
    <s v=" 65.6083 "/>
    <x v="12"/>
    <s v=" 837008.333 "/>
    <s v=" 486829.05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1"/>
    <x v="0"/>
    <s v="F:\images\20210212\plaque 1/@11 17b estradiol 270/A11_01.tif "/>
    <s v=" 62358.9862 "/>
    <s v=" 79.2896 "/>
    <x v="0"/>
    <n v="4944421"/>
    <m/>
    <m/>
    <m/>
  </r>
  <r>
    <x v="11"/>
    <x v="0"/>
    <s v="F:\images\20210212\plaque 1/@11 17b estradiol 270/A11_02.tif "/>
    <s v=" 61969.6481 "/>
    <s v=" 80.496 "/>
    <x v="0"/>
    <n v="4988308"/>
    <m/>
    <m/>
    <m/>
  </r>
  <r>
    <x v="11"/>
    <x v="0"/>
    <s v="F:\images\20210212\plaque 1/@11 17b estradiol 270/A11_03.tif "/>
    <s v=" 65430.4313 "/>
    <s v=" 78.0321 "/>
    <x v="0"/>
    <n v="5105672"/>
    <m/>
    <m/>
    <m/>
  </r>
  <r>
    <x v="11"/>
    <x v="1"/>
    <s v="F:\images\20210212\plaque 1/@11 17b estradiol 270/B11_01.tif "/>
    <s v=" 44254.7644 "/>
    <s v=" 84.9399 "/>
    <x v="0"/>
    <n v="3758994"/>
    <m/>
    <m/>
    <m/>
  </r>
  <r>
    <x v="11"/>
    <x v="1"/>
    <s v="F:\images\20210212\plaque 1/@11 17b estradiol 270/B11_02.tif "/>
    <s v=" 33958.9346 "/>
    <s v=" 97.9363 "/>
    <x v="0"/>
    <n v="3325813"/>
    <m/>
    <m/>
    <m/>
  </r>
  <r>
    <x v="11"/>
    <x v="1"/>
    <s v="F:\images\20210212\plaque 1/@11 17b estradiol 270/B11_03.tif "/>
    <s v=" 42070.1451 "/>
    <s v=" 88.7614 "/>
    <x v="0"/>
    <n v="3734207"/>
    <m/>
    <m/>
    <m/>
  </r>
  <r>
    <x v="11"/>
    <x v="2"/>
    <s v="F:\images\20210212\plaque 1/@11 17b estradiol 270/C11_01.tif "/>
    <s v=" 50851.8823 "/>
    <s v=" 75.0753 "/>
    <x v="0"/>
    <n v="3817720"/>
    <m/>
    <m/>
    <m/>
  </r>
  <r>
    <x v="11"/>
    <x v="2"/>
    <s v="F:\images\20210212\plaque 1/@11 17b estradiol 270/C11_02.tif "/>
    <s v=" 49683.868 "/>
    <s v=" 74.0139 "/>
    <x v="0"/>
    <n v="3677298"/>
    <m/>
    <m/>
    <m/>
  </r>
  <r>
    <x v="11"/>
    <x v="2"/>
    <s v="F:\images\20210212\plaque 1/@11 17b estradiol 270/C11_03.tif "/>
    <s v=" 51024.9214 "/>
    <s v=" 73.6694 "/>
    <x v="0"/>
    <n v="3758973"/>
    <m/>
    <m/>
    <m/>
  </r>
  <r>
    <x v="11"/>
    <x v="3"/>
    <s v="F:\images\20210212\plaque 1/@11 17b estradiol 270/D11_01.tif "/>
    <s v=" 46071.6756 "/>
    <s v=" 93.5343 "/>
    <x v="0"/>
    <n v="4309281"/>
    <m/>
    <m/>
    <m/>
  </r>
  <r>
    <x v="11"/>
    <x v="3"/>
    <s v="F:\images\20210212\plaque 1/@11 17b estradiol 270/D11_02.tif "/>
    <s v=" 50916.772 "/>
    <s v=" 87.0544 "/>
    <x v="0"/>
    <n v="4432528"/>
    <m/>
    <m/>
    <m/>
  </r>
  <r>
    <x v="11"/>
    <x v="3"/>
    <s v="F:\images\20210212\plaque 1/@11 17b estradiol 270/D11_03.tif "/>
    <s v=" 52322.7151 "/>
    <s v=" 86.8665 "/>
    <x v="0"/>
    <n v="4545090"/>
    <m/>
    <m/>
    <m/>
  </r>
  <r>
    <x v="11"/>
    <x v="4"/>
    <s v="F:\images\20210212\plaque 1/@11 17b estradiol 270/E11_01.tif "/>
    <s v=" 44254.7644 "/>
    <s v=" 77.1207 "/>
    <x v="0"/>
    <n v="3412959"/>
    <m/>
    <m/>
    <m/>
  </r>
  <r>
    <x v="11"/>
    <x v="4"/>
    <s v="F:\images\20210212\plaque 1/@11 17b estradiol 270/E11_02.tif "/>
    <s v=" 38263.2836 "/>
    <s v=" 80.3838 "/>
    <x v="0"/>
    <n v="3075749"/>
    <m/>
    <m/>
    <m/>
  </r>
  <r>
    <x v="11"/>
    <x v="4"/>
    <s v="F:\images\20210212\plaque 1/@11 17b estradiol 270/E11_03.tif "/>
    <s v=" 37506.2373 "/>
    <s v=" 78.4487 "/>
    <x v="0"/>
    <n v="2942315"/>
    <m/>
    <m/>
    <m/>
  </r>
  <r>
    <x v="11"/>
    <x v="5"/>
    <s v="F:\images\20210212\plaque 1/@11 17b estradiol 270/F11_01.tif "/>
    <s v=" 76072.3394 "/>
    <s v=" 77.9551 "/>
    <x v="0"/>
    <n v="5930225"/>
    <m/>
    <m/>
    <m/>
  </r>
  <r>
    <x v="11"/>
    <x v="5"/>
    <s v="F:\images\20210212\plaque 1/@11 17b estradiol 270/F11_02.tif "/>
    <s v=" 78970.7453 "/>
    <s v=" 78.4799 "/>
    <x v="0"/>
    <n v="6197614"/>
    <m/>
    <m/>
    <m/>
  </r>
  <r>
    <x v="11"/>
    <x v="5"/>
    <s v="F:\images\20210212\plaque 1/@11 17b estradiol 270/F11_03.tif "/>
    <s v=" 76764.496 "/>
    <s v=" 80.1832 "/>
    <x v="0"/>
    <n v="6155219"/>
    <m/>
    <m/>
    <m/>
  </r>
  <r>
    <x v="11"/>
    <x v="6"/>
    <s v="F:\images\20210212\plaque 1/@11 17b estradiol 270/G11_01.tif "/>
    <s v=" 40296.4937 "/>
    <s v=" 70.5486 "/>
    <x v="0"/>
    <n v="2842860"/>
    <m/>
    <m/>
    <m/>
  </r>
  <r>
    <x v="11"/>
    <x v="6"/>
    <s v="F:\images\20210212\plaque 1/@11 17b estradiol 270/G11_02.tif "/>
    <s v=" 42567.6326 "/>
    <s v=" 71.2002 "/>
    <x v="0"/>
    <n v="3030824"/>
    <m/>
    <m/>
    <m/>
  </r>
  <r>
    <x v="11"/>
    <x v="6"/>
    <s v="F:\images\20210212\plaque 1/@11 17b estradiol 270/G11_03.tif "/>
    <s v=" 42026.8853 "/>
    <s v=" 71.6938 "/>
    <x v="0"/>
    <n v="3013066"/>
    <m/>
    <m/>
    <m/>
  </r>
  <r>
    <x v="11"/>
    <x v="7"/>
    <s v="F:\images\20210212\plaque 1/@11 17b estradiol 270/H11_01.tif "/>
    <s v=" 54702.0035 "/>
    <s v=" 74.272 "/>
    <x v="0"/>
    <n v="4062830"/>
    <m/>
    <m/>
    <m/>
  </r>
  <r>
    <x v="11"/>
    <x v="7"/>
    <s v="F:\images\20210212\plaque 1/@11 17b estradiol 270/H11_02.tif "/>
    <s v=" 56735.2136 "/>
    <s v=" 73.8765 "/>
    <x v="0"/>
    <n v="4191398"/>
    <m/>
    <m/>
    <m/>
  </r>
  <r>
    <x v="11"/>
    <x v="7"/>
    <s v="F:\images\20210212\plaque 1/@11 17b estradiol 270/H11_03.tif "/>
    <s v=" 51370.9997 "/>
    <s v=" 76.5251 "/>
    <x v="0"/>
    <n v="3931168"/>
    <m/>
    <m/>
    <m/>
  </r>
  <r>
    <x v="1"/>
    <x v="8"/>
    <s v=" "/>
    <m/>
    <m/>
    <x v="1"/>
    <m/>
    <m/>
    <m/>
    <m/>
  </r>
  <r>
    <x v="1"/>
    <x v="8"/>
    <s v="group "/>
    <s v=" "/>
    <s v=" mean of mean fluo "/>
    <x v="2"/>
    <s v=" mean of total fluo "/>
    <s v=" SD total fluo "/>
    <s v=" n fluorescent "/>
    <s v=" n total"/>
  </r>
  <r>
    <x v="11"/>
    <x v="9"/>
    <s v="F:\images\20210212\plaque 1/@11 17b estradiol 270/ "/>
    <s v=" "/>
    <s v=" 79.5982 "/>
    <x v="13"/>
    <s v=" 4132688.83 "/>
    <s v=" 996573.41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2"/>
    <x v="0"/>
    <s v="F:\images\20210212\plaque 1/@12 17b estradiol 540/A12_01.tif "/>
    <s v=" 68956.1041 "/>
    <s v=" 90.5574 "/>
    <x v="0"/>
    <n v="6244486"/>
    <m/>
    <m/>
    <m/>
  </r>
  <r>
    <x v="12"/>
    <x v="0"/>
    <s v="F:\images\20210212\plaque 1/@12 17b estradiol 540/A12_02- exclu.tif"/>
    <m/>
    <m/>
    <x v="1"/>
    <m/>
    <m/>
    <m/>
    <m/>
  </r>
  <r>
    <x v="12"/>
    <x v="0"/>
    <s v="F:\images\20210212\plaque 1/@12 17b estradiol 540/A12_03.tif "/>
    <s v=" 70729.7554 "/>
    <s v=" 89.57 "/>
    <x v="0"/>
    <n v="6335266"/>
    <m/>
    <m/>
    <m/>
  </r>
  <r>
    <x v="12"/>
    <x v="1"/>
    <s v="F:\images\20210212\plaque 1/@12 17b estradiol 540/B12_01.tif "/>
    <s v=" 62640.1748 "/>
    <s v=" 86.1878 "/>
    <x v="0"/>
    <n v="5398822"/>
    <m/>
    <m/>
    <m/>
  </r>
  <r>
    <x v="12"/>
    <x v="1"/>
    <s v="F:\images\20210212\plaque 1/@12 17b estradiol 540/B12_02.tif "/>
    <s v=" 57859.9681 "/>
    <s v=" 88.6976 "/>
    <x v="0"/>
    <n v="5132039"/>
    <m/>
    <m/>
    <m/>
  </r>
  <r>
    <x v="12"/>
    <x v="1"/>
    <s v="F:\images\20210212\plaque 1/@12 17b estradiol 540/B12_03.tif "/>
    <s v=" 58811.6835 "/>
    <s v=" 90.1317 "/>
    <x v="0"/>
    <n v="5300795"/>
    <m/>
    <m/>
    <m/>
  </r>
  <r>
    <x v="12"/>
    <x v="2"/>
    <s v="F:\images\20210212\plaque 1/@12 17b estradiol 540/C12_01.tif "/>
    <s v=" 77370.1331 "/>
    <s v=" 94.1552 "/>
    <x v="0"/>
    <n v="7284797"/>
    <m/>
    <m/>
    <m/>
  </r>
  <r>
    <x v="12"/>
    <x v="2"/>
    <s v="F:\images\20210212\plaque 1/@12 17b estradiol 540/C12_02.tif "/>
    <s v=" 87557.8135 "/>
    <s v=" 89.6186 "/>
    <x v="0"/>
    <n v="7846807"/>
    <m/>
    <m/>
    <m/>
  </r>
  <r>
    <x v="12"/>
    <x v="2"/>
    <s v="F:\images\20210212\plaque 1/@12 17b estradiol 540/C12_03.tif "/>
    <s v=" 79641.272 "/>
    <s v=" 95.2423 "/>
    <x v="0"/>
    <n v="7585215"/>
    <m/>
    <m/>
    <m/>
  </r>
  <r>
    <x v="12"/>
    <x v="3"/>
    <s v="F:\images\20210212\plaque 1/@12 17b estradiol 540/D12_01.tif "/>
    <s v=" 45898.6364 "/>
    <s v=" 92.0533 "/>
    <x v="0"/>
    <n v="4225119"/>
    <m/>
    <m/>
    <m/>
  </r>
  <r>
    <x v="12"/>
    <x v="3"/>
    <s v="F:\images\20210212\plaque 1/@12 17b estradiol 540/D12_02.tif "/>
    <s v=" 47845.3269 "/>
    <s v=" 93.7541 "/>
    <x v="0"/>
    <n v="4485694"/>
    <m/>
    <m/>
    <m/>
  </r>
  <r>
    <x v="12"/>
    <x v="3"/>
    <s v="F:\images\20210212\plaque 1/@12 17b estradiol 540/D12_03.tif "/>
    <s v=" 59265.9113 "/>
    <s v=" 84.4175 "/>
    <x v="0"/>
    <n v="5003081"/>
    <m/>
    <m/>
    <m/>
  </r>
  <r>
    <x v="12"/>
    <x v="4"/>
    <s v="F:\images\20210212\plaque 1/@12 17b estradiol 540/E12_01.tif "/>
    <s v=" 43346.3088 "/>
    <s v=" 77.1612 "/>
    <x v="0"/>
    <n v="3344652"/>
    <m/>
    <m/>
    <m/>
  </r>
  <r>
    <x v="12"/>
    <x v="4"/>
    <s v="F:\images\20210212\plaque 1/@12 17b estradiol 540/E12_02.tif "/>
    <s v=" 43562.6078 "/>
    <s v=" 78.6107 "/>
    <x v="0"/>
    <n v="3424488"/>
    <m/>
    <m/>
    <m/>
  </r>
  <r>
    <x v="12"/>
    <x v="4"/>
    <s v="F:\images\20210212\plaque 1/@12 17b estradiol 540/E12_03.tif "/>
    <s v=" 5904.9612 "/>
    <s v=" 68.3407 "/>
    <x v="0"/>
    <n v="403549"/>
    <m/>
    <m/>
    <m/>
  </r>
  <r>
    <x v="12"/>
    <x v="5"/>
    <s v="F:\images\20210212\plaque 1/@12 17b estradiol 540/F12_01.tif "/>
    <s v=" 65343.9117 "/>
    <s v=" 91.7987 "/>
    <x v="0"/>
    <n v="5998489"/>
    <m/>
    <m/>
    <m/>
  </r>
  <r>
    <x v="12"/>
    <x v="5"/>
    <s v="F:\images\20210212\plaque 1/@12 17b estradiol 540/F12_02.tif "/>
    <s v=" 77305.2434 "/>
    <s v=" 86.1676 "/>
    <x v="0"/>
    <n v="6661207"/>
    <m/>
    <m/>
    <m/>
  </r>
  <r>
    <x v="12"/>
    <x v="5"/>
    <s v="F:\images\20210212\plaque 1/@12 17b estradiol 540/F12_03.tif "/>
    <s v=" 72049.179 "/>
    <s v=" 85.8808 "/>
    <x v="0"/>
    <n v="6187642"/>
    <m/>
    <m/>
    <m/>
  </r>
  <r>
    <x v="12"/>
    <x v="6"/>
    <s v="F:\images\20210212\plaque 1/@12 17b estradiol 540/G12_01.tif "/>
    <s v=" 14924.6273 "/>
    <s v=" 71.2551 "/>
    <x v="0"/>
    <n v="1063455"/>
    <m/>
    <m/>
    <m/>
  </r>
  <r>
    <x v="12"/>
    <x v="6"/>
    <s v="F:\images\20210212\plaque 1/@12 17b estradiol 540/G12_02.tif "/>
    <s v=" 11939.7018 "/>
    <s v=" 73.1902 "/>
    <x v="0"/>
    <n v="873869"/>
    <m/>
    <m/>
    <m/>
  </r>
  <r>
    <x v="12"/>
    <x v="6"/>
    <s v="F:\images\20210212\plaque 1/@12 17b estradiol 540/G12_03.tif "/>
    <s v=" 17001.0972 "/>
    <s v=" 70.8117 "/>
    <x v="0"/>
    <n v="1203877"/>
    <m/>
    <m/>
    <m/>
  </r>
  <r>
    <x v="12"/>
    <x v="7"/>
    <s v="F:\images\20210212\plaque 1/@12 17b estradiol 540/H12_01.tif "/>
    <s v=" 61450.5306 "/>
    <s v=" 82.1024 "/>
    <x v="0"/>
    <n v="5045238"/>
    <m/>
    <m/>
    <m/>
  </r>
  <r>
    <x v="12"/>
    <x v="7"/>
    <s v="F:\images\20210212\plaque 1/@12 17b estradiol 540/H12_02.tif "/>
    <s v=" 58162.7867 "/>
    <s v=" 84.5868 "/>
    <x v="0"/>
    <n v="4919806"/>
    <m/>
    <m/>
    <m/>
  </r>
  <r>
    <x v="12"/>
    <x v="7"/>
    <s v="F:\images\20210212\plaque 1/@12 17b estradiol 540/H12_03.tif "/>
    <s v=" 54182.886 "/>
    <s v=" 84.6299 "/>
    <x v="0"/>
    <n v="4585494"/>
    <m/>
    <m/>
    <m/>
  </r>
  <r>
    <x v="1"/>
    <x v="8"/>
    <s v=" "/>
    <m/>
    <m/>
    <x v="1"/>
    <m/>
    <m/>
    <m/>
    <m/>
  </r>
  <r>
    <x v="1"/>
    <x v="8"/>
    <s v="group "/>
    <s v=" "/>
    <s v=" mean of mean fluo "/>
    <x v="2"/>
    <s v=" mean of total fluo "/>
    <s v=" SD total fluo "/>
    <s v=" n fluorescent "/>
    <s v=" n total"/>
  </r>
  <r>
    <x v="12"/>
    <x v="9"/>
    <s v="F:\images\20210212\plaque 1/@12 17b estradiol 540/ "/>
    <s v=" "/>
    <s v=" 84.992 "/>
    <x v="14"/>
    <s v=" 4678546.21 "/>
    <s v=" 2108269.6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3"/>
    <x v="0"/>
    <s v="F:\images\20210212\plaque 2/@01 Testo 30/A1_01.tif "/>
    <s v=" 61601.9399 "/>
    <s v=" 75.6752 "/>
    <x v="0"/>
    <n v="4661740"/>
    <m/>
    <m/>
    <m/>
  </r>
  <r>
    <x v="13"/>
    <x v="0"/>
    <s v="F:\images\20210212\plaque 2/@01 Testo 30/A1_02.tif "/>
    <s v=" 56973.1425 "/>
    <s v=" 73.8595 "/>
    <x v="0"/>
    <n v="4208009"/>
    <m/>
    <m/>
    <m/>
  </r>
  <r>
    <x v="13"/>
    <x v="0"/>
    <s v="F:\images\20210212\plaque 2/@01 Testo 30/A1_03.tif "/>
    <s v=" 46482.6436 "/>
    <s v=" 75.8976 "/>
    <x v="0"/>
    <n v="3527922"/>
    <m/>
    <m/>
    <m/>
  </r>
  <r>
    <x v="13"/>
    <x v="1"/>
    <s v="F:\images\20210212\plaque 2/@01 Testo 30/B1_01.tif "/>
    <s v=" 33872.415 "/>
    <s v=" 76.8812 "/>
    <x v="0"/>
    <n v="2604153"/>
    <m/>
    <m/>
    <m/>
  </r>
  <r>
    <x v="13"/>
    <x v="1"/>
    <s v="F:\images\20210212\plaque 2/@01 Testo 30/B1_02.tif "/>
    <s v=" 32920.6996 "/>
    <s v=" 77.5289 "/>
    <x v="0"/>
    <n v="2552306"/>
    <m/>
    <m/>
    <m/>
  </r>
  <r>
    <x v="13"/>
    <x v="1"/>
    <s v="F:\images\20210212\plaque 2/@01 Testo 30/B1_03.tif "/>
    <s v=" 31774.3152 "/>
    <s v=" 77.5058 "/>
    <x v="0"/>
    <n v="2462693"/>
    <m/>
    <m/>
    <m/>
  </r>
  <r>
    <x v="13"/>
    <x v="2"/>
    <s v="F:\images\20210212\plaque 2/@01 Testo 30/C1_01.tif "/>
    <s v=" 27015.7384 "/>
    <s v=" 70.7206 "/>
    <x v="0"/>
    <n v="1910569"/>
    <m/>
    <m/>
    <m/>
  </r>
  <r>
    <x v="13"/>
    <x v="2"/>
    <s v="F:\images\20210212\plaque 2/@01 Testo 30/C1_02.tif "/>
    <s v=" 25004.1582 "/>
    <s v=" 68.9862 "/>
    <x v="0"/>
    <n v="1724941"/>
    <m/>
    <m/>
    <m/>
  </r>
  <r>
    <x v="13"/>
    <x v="2"/>
    <s v="F:\images\20210212\plaque 2/@01 Testo 30/C1_03- exclu.tif"/>
    <m/>
    <m/>
    <x v="1"/>
    <m/>
    <m/>
    <m/>
    <m/>
  </r>
  <r>
    <x v="13"/>
    <x v="3"/>
    <s v="F:\images\20210212\plaque 2/@01 Testo 30/D1_01.tif "/>
    <s v=" 32639.511 "/>
    <s v=" 67.4997 "/>
    <x v="0"/>
    <n v="2203156"/>
    <m/>
    <m/>
    <m/>
  </r>
  <r>
    <x v="13"/>
    <x v="3"/>
    <s v="F:\images\20210212\plaque 2/@01 Testo 30/D1_02.tif "/>
    <s v=" 29265.2474 "/>
    <s v=" 68.4205 "/>
    <x v="0"/>
    <n v="2002344"/>
    <m/>
    <m/>
    <m/>
  </r>
  <r>
    <x v="13"/>
    <x v="3"/>
    <s v="F:\images\20210212\plaque 2/@01 Testo 30/D1_03.tif "/>
    <s v=" 33958.9346 "/>
    <s v=" 68.1796 "/>
    <x v="0"/>
    <n v="2315307"/>
    <m/>
    <m/>
    <m/>
  </r>
  <r>
    <x v="13"/>
    <x v="4"/>
    <s v="F:\images\20210212\plaque 2/@01 Testo 30/E1_01.tif "/>
    <s v=" 32358.3224 "/>
    <s v=" 67.8189 "/>
    <x v="0"/>
    <n v="2194504"/>
    <m/>
    <m/>
    <m/>
  </r>
  <r>
    <x v="13"/>
    <x v="4"/>
    <s v="F:\images\20210212\plaque 2/@01 Testo 30/E1_02.tif "/>
    <s v=" 26626.4003 "/>
    <s v=" 65.8075 "/>
    <x v="0"/>
    <n v="1752216"/>
    <m/>
    <m/>
    <m/>
  </r>
  <r>
    <x v="13"/>
    <x v="4"/>
    <s v="F:\images\20210212\plaque 2/@01 Testo 30/E1_03.tif "/>
    <s v=" 31060.5287 "/>
    <s v=" 66.9986 "/>
    <x v="0"/>
    <n v="2081012"/>
    <m/>
    <m/>
    <m/>
  </r>
  <r>
    <x v="13"/>
    <x v="5"/>
    <s v="F:\images\20210212\plaque 2/@01 Testo 30/F1_01.tif "/>
    <s v=" 33699.3758 "/>
    <s v=" 69.5847 "/>
    <x v="0"/>
    <n v="2344962"/>
    <m/>
    <m/>
    <m/>
  </r>
  <r>
    <x v="13"/>
    <x v="5"/>
    <s v="F:\images\20210212\plaque 2/@01 Testo 30/F1_02.tif "/>
    <s v=" 24506.6706 "/>
    <s v=" 68.9162 "/>
    <x v="0"/>
    <n v="1688905"/>
    <m/>
    <m/>
    <m/>
  </r>
  <r>
    <x v="13"/>
    <x v="5"/>
    <s v="F:\images\20210212\plaque 2/@01 Testo 30/F1_03.tif "/>
    <s v=" 30087.1834 "/>
    <s v=" 70.7153 "/>
    <x v="0"/>
    <n v="2127625"/>
    <m/>
    <m/>
    <m/>
  </r>
  <r>
    <x v="13"/>
    <x v="6"/>
    <s v="F:\images\20210212\plaque 2/@01 Testo 30/G1_01.tif "/>
    <s v=" 19575.0546 "/>
    <s v=" 66.3138 "/>
    <x v="0"/>
    <n v="1298096"/>
    <m/>
    <m/>
    <m/>
  </r>
  <r>
    <x v="13"/>
    <x v="6"/>
    <s v="F:\images\20210212\plaque 2/@01 Testo 30/G1_02.tif "/>
    <s v=" 19942.7628 "/>
    <s v=" 65.8427 "/>
    <x v="0"/>
    <n v="1313086"/>
    <m/>
    <m/>
    <m/>
  </r>
  <r>
    <x v="13"/>
    <x v="6"/>
    <s v="F:\images\20210212\plaque 2/@01 Testo 30/G1_03.tif "/>
    <s v=" 14816.4778 "/>
    <s v=" 65.1679 "/>
    <x v="0"/>
    <n v="965558"/>
    <m/>
    <m/>
    <m/>
  </r>
  <r>
    <x v="13"/>
    <x v="7"/>
    <s v="F:\images\20210212\plaque 2/@01 Testo 30/H1_01.tif "/>
    <s v=" 30519.7813 "/>
    <s v=" 68.3274 "/>
    <x v="0"/>
    <n v="2085338"/>
    <m/>
    <m/>
    <m/>
  </r>
  <r>
    <x v="13"/>
    <x v="7"/>
    <s v="F:\images\20210212\plaque 2/@01 Testo 30/H1_02.tif "/>
    <s v=" 30346.7422 "/>
    <s v=" 69.7085 "/>
    <x v="0"/>
    <n v="2115425"/>
    <m/>
    <m/>
    <m/>
  </r>
  <r>
    <x v="13"/>
    <x v="7"/>
    <s v="F:\images\20210212\plaque 2/@01 Testo 30/H1_03.tif "/>
    <s v=" 28140.4929 "/>
    <s v=" 69.0899 "/>
    <x v="0"/>
    <n v="1944225"/>
    <m/>
    <m/>
    <m/>
  </r>
  <r>
    <x v="1"/>
    <x v="8"/>
    <s v=" "/>
    <m/>
    <m/>
    <x v="1"/>
    <m/>
    <m/>
    <m/>
    <m/>
  </r>
  <r>
    <x v="1"/>
    <x v="8"/>
    <s v="group "/>
    <s v=" "/>
    <s v=" mean of mean fluo "/>
    <x v="2"/>
    <s v=" mean of total fluo "/>
    <s v=" SD total fluo "/>
    <s v=" n fluorescent "/>
    <s v=" n total"/>
  </r>
  <r>
    <x v="13"/>
    <x v="9"/>
    <s v="F:\images\20210212\plaque 2/@01 Testo 30/ "/>
    <s v=" "/>
    <s v=" 70.1366 "/>
    <x v="15"/>
    <s v=" 2221155.75 "/>
    <s v=" 865479.07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4"/>
    <x v="0"/>
    <s v="F:\images\20210212\plaque 2/@02 Testo 30/A2_01- exclu.tif"/>
    <m/>
    <m/>
    <x v="1"/>
    <m/>
    <m/>
    <m/>
    <m/>
  </r>
  <r>
    <x v="14"/>
    <x v="0"/>
    <s v="F:\images\20210212\plaque 2/@02 Testo 30/A2_02.tif "/>
    <s v=" 9235.965 "/>
    <s v=" 67.7424 "/>
    <x v="0"/>
    <n v="625666"/>
    <m/>
    <m/>
    <m/>
  </r>
  <r>
    <x v="14"/>
    <x v="0"/>
    <s v="F:\images\20210212\plaque 2/@02 Testo 30/A2_03.tif "/>
    <s v=" 9949.7515 "/>
    <s v=" 68.3109 "/>
    <x v="0"/>
    <n v="679676"/>
    <m/>
    <m/>
    <m/>
  </r>
  <r>
    <x v="14"/>
    <x v="1"/>
    <s v="F:\images\20210212\plaque 2/@02 Testo 30/B2_01.tif "/>
    <s v=" 36294.9632 "/>
    <s v=" 73.711 "/>
    <x v="0"/>
    <n v="2675337"/>
    <m/>
    <m/>
    <m/>
  </r>
  <r>
    <x v="14"/>
    <x v="1"/>
    <s v="F:\images\20210212\plaque 2/@02 Testo 30/B2_02.tif "/>
    <s v=" 33483.0769 "/>
    <s v=" 69.4128 "/>
    <x v="0"/>
    <n v="2324154"/>
    <m/>
    <m/>
    <m/>
  </r>
  <r>
    <x v="14"/>
    <x v="1"/>
    <s v="F:\images\20210212\plaque 2/@02 Testo 30/B2_03.tif "/>
    <s v=" 37116.8992 "/>
    <s v=" 69.7244 "/>
    <x v="0"/>
    <n v="2587952"/>
    <m/>
    <m/>
    <m/>
  </r>
  <r>
    <x v="14"/>
    <x v="2"/>
    <s v="F:\images\20210212\plaque 2/@02 Testo 30/C2_01.tif "/>
    <s v=" 50376.0246 "/>
    <s v=" 73.8175 "/>
    <x v="0"/>
    <n v="3718633"/>
    <m/>
    <m/>
    <m/>
  </r>
  <r>
    <x v="14"/>
    <x v="2"/>
    <s v="F:\images\20210212\plaque 2/@02 Testo 30/C2_02.tif "/>
    <s v=" 48061.6259 "/>
    <s v=" 73.3267 "/>
    <x v="0"/>
    <n v="3524202"/>
    <m/>
    <m/>
    <m/>
  </r>
  <r>
    <x v="14"/>
    <x v="2"/>
    <s v="F:\images\20210212\plaque 2/@02 Testo 30/C2_03.tif "/>
    <s v=" 47758.8073 "/>
    <s v=" 74.0802 "/>
    <x v="0"/>
    <n v="3537980"/>
    <m/>
    <m/>
    <m/>
  </r>
  <r>
    <x v="14"/>
    <x v="3"/>
    <s v="F:\images\20210212\plaque 2/@02 Testo 30/D2_01.tif "/>
    <s v=" 37311.5682 "/>
    <s v=" 70.5293 "/>
    <x v="0"/>
    <n v="2631558"/>
    <m/>
    <m/>
    <m/>
  </r>
  <r>
    <x v="14"/>
    <x v="3"/>
    <s v="F:\images\20210212\plaque 2/@02 Testo 30/D2_02.tif "/>
    <s v=" 39669.2267 "/>
    <s v=" 69.1892 "/>
    <x v="0"/>
    <n v="2744682"/>
    <m/>
    <m/>
    <m/>
  </r>
  <r>
    <x v="14"/>
    <x v="3"/>
    <s v="F:\images\20210212\plaque 2/@02 Testo 30/D2_03.tif "/>
    <s v=" 37895.5754 "/>
    <s v=" 68.9087 "/>
    <x v="0"/>
    <n v="2611334"/>
    <m/>
    <m/>
    <m/>
  </r>
  <r>
    <x v="14"/>
    <x v="4"/>
    <s v="F:\images\20210212\plaque 2/@02 Testo 30/E2_01.tif "/>
    <s v=" 27664.6352 "/>
    <s v=" 68.8718 "/>
    <x v="0"/>
    <n v="1905313"/>
    <m/>
    <m/>
    <m/>
  </r>
  <r>
    <x v="14"/>
    <x v="4"/>
    <s v="F:\images\20210212\plaque 2/@02 Testo 30/E2_02.tif "/>
    <s v=" 21327.0761 "/>
    <s v=" 67.9249 "/>
    <x v="0"/>
    <n v="1448641"/>
    <m/>
    <m/>
    <m/>
  </r>
  <r>
    <x v="14"/>
    <x v="4"/>
    <s v="F:\images\20210212\plaque 2/@02 Testo 30/E2_03.tif "/>
    <s v=" 21802.9338 "/>
    <s v=" 69.2083 "/>
    <x v="0"/>
    <n v="1508945"/>
    <m/>
    <m/>
    <m/>
  </r>
  <r>
    <x v="14"/>
    <x v="5"/>
    <s v="F:\images\20210212\plaque 2/@02 Testo 30/F2_01.tif "/>
    <s v=" 36705.9312 "/>
    <s v=" 72.4991 "/>
    <x v="0"/>
    <n v="2661148"/>
    <m/>
    <m/>
    <m/>
  </r>
  <r>
    <x v="14"/>
    <x v="5"/>
    <s v="F:\images\20210212\plaque 2/@02 Testo 30/F2_02.tif "/>
    <s v=" 32033.8739 "/>
    <s v=" 76.8312 "/>
    <x v="0"/>
    <n v="2461201"/>
    <m/>
    <m/>
    <m/>
  </r>
  <r>
    <x v="14"/>
    <x v="5"/>
    <s v="F:\images\20210212\plaque 2/@02 Testo 30/F2_03.tif "/>
    <s v=" 33915.6748 "/>
    <s v=" 71.3967 "/>
    <x v="0"/>
    <n v="2421467"/>
    <m/>
    <m/>
    <m/>
  </r>
  <r>
    <x v="14"/>
    <x v="6"/>
    <s v="F:\images\20210212\plaque 2/@02 Testo 30/G2_01.tif "/>
    <s v=" 34218.4933 "/>
    <s v=" 70.366 "/>
    <x v="0"/>
    <n v="2407818"/>
    <m/>
    <m/>
    <m/>
  </r>
  <r>
    <x v="14"/>
    <x v="6"/>
    <s v="F:\images\20210212\plaque 2/@02 Testo 30/G2_02.tif "/>
    <s v=" 31384.9771 "/>
    <s v=" 68.9524 "/>
    <x v="0"/>
    <n v="2164071"/>
    <m/>
    <m/>
    <m/>
  </r>
  <r>
    <x v="14"/>
    <x v="6"/>
    <s v="F:\images\20210212\plaque 2/@02 Testo 30/G2_03.tif "/>
    <s v=" 30346.7422 "/>
    <s v=" 68.6137 "/>
    <x v="0"/>
    <n v="2082202"/>
    <m/>
    <m/>
    <m/>
  </r>
  <r>
    <x v="14"/>
    <x v="7"/>
    <s v="F:\images\20210212\plaque 2/@02 Testo 30/H2_01.tif "/>
    <s v=" 29395.0268 "/>
    <s v=" 74.1788 "/>
    <x v="0"/>
    <n v="2180488"/>
    <m/>
    <m/>
    <m/>
  </r>
  <r>
    <x v="14"/>
    <x v="7"/>
    <s v="F:\images\20210212\plaque 2/@02 Testo 30/H2_02.tif "/>
    <s v=" 28140.4929 "/>
    <s v=" 69.4143 "/>
    <x v="0"/>
    <n v="1953353"/>
    <m/>
    <m/>
    <m/>
  </r>
  <r>
    <x v="14"/>
    <x v="7"/>
    <s v="F:\images\20210212\plaque 2/@02 Testo 30/H2_03- exclu.tif"/>
    <m/>
    <m/>
    <x v="1"/>
    <m/>
    <m/>
    <m/>
    <m/>
  </r>
  <r>
    <x v="1"/>
    <x v="8"/>
    <s v=" "/>
    <m/>
    <m/>
    <x v="1"/>
    <m/>
    <m/>
    <m/>
    <m/>
  </r>
  <r>
    <x v="1"/>
    <x v="8"/>
    <s v="group "/>
    <s v=" "/>
    <s v=" mean of mean fluo "/>
    <x v="2"/>
    <s v=" mean of total fluo "/>
    <s v=" SD total fluo "/>
    <s v=" n fluorescent "/>
    <s v=" n total"/>
  </r>
  <r>
    <x v="14"/>
    <x v="9"/>
    <s v="F:\images\20210212\plaque 2/@02 Testo 30/ "/>
    <s v=" "/>
    <s v=" 70.2434 "/>
    <x v="16"/>
    <s v=" 2157420.75 "/>
    <s v=" 924579.53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5"/>
    <x v="0"/>
    <s v="F:\images\20210212\plaque 2/@03 Testo+ EE2 64/A3_01.tif "/>
    <s v=" 2833.5162 "/>
    <s v=" 67.4656 "/>
    <x v="0"/>
    <n v="191165"/>
    <m/>
    <m/>
    <m/>
  </r>
  <r>
    <x v="15"/>
    <x v="0"/>
    <s v="F:\images\20210212\plaque 2/@03 Testo+ EE2 64/A3_02.tif "/>
    <s v=" 6424.0787 "/>
    <s v=" 71.835 "/>
    <x v="0"/>
    <n v="461474"/>
    <m/>
    <m/>
    <m/>
  </r>
  <r>
    <x v="15"/>
    <x v="0"/>
    <s v="F:\images\20210212\plaque 2/@03 Testo+ EE2 64/A3_03.tif "/>
    <s v=" 627.2669 "/>
    <s v=" 64.0345 "/>
    <x v="0"/>
    <n v="40167"/>
    <m/>
    <m/>
    <m/>
  </r>
  <r>
    <x v="15"/>
    <x v="1"/>
    <s v="F:\images\20210212\plaque 2/@03 Testo+ EE2 64/B3_01.tif "/>
    <s v=" 46850.3518 "/>
    <s v=" 81.0416 "/>
    <x v="0"/>
    <n v="3796825"/>
    <m/>
    <m/>
    <m/>
  </r>
  <r>
    <x v="15"/>
    <x v="1"/>
    <s v="F:\images\20210212\plaque 2/@03 Testo+ EE2 64/B3_02.tif "/>
    <s v=" 46114.9353 "/>
    <s v=" 78.4038 "/>
    <x v="0"/>
    <n v="3615588"/>
    <m/>
    <m/>
    <m/>
  </r>
  <r>
    <x v="15"/>
    <x v="1"/>
    <s v="F:\images\20210212\plaque 2/@03 Testo+ EE2 64/B3_03.tif "/>
    <s v=" 47672.2878 "/>
    <s v=" 78.8221 "/>
    <x v="0"/>
    <n v="3757632"/>
    <m/>
    <m/>
    <m/>
  </r>
  <r>
    <x v="15"/>
    <x v="2"/>
    <s v="F:\images\20210212\plaque 2/@03 Testo+ EE2 64/C3_01- exclu.tif"/>
    <m/>
    <m/>
    <x v="1"/>
    <m/>
    <m/>
    <m/>
    <m/>
  </r>
  <r>
    <x v="15"/>
    <x v="2"/>
    <s v="F:\images\20210212\plaque 2/@03 Testo+ EE2 64/C3_02.tif "/>
    <s v=" 51176.3307 "/>
    <s v=" 79.5562 "/>
    <x v="0"/>
    <n v="4071395"/>
    <m/>
    <m/>
    <m/>
  </r>
  <r>
    <x v="15"/>
    <x v="2"/>
    <s v="F:\images\20210212\plaque 2/@03 Testo+ EE2 64/C3_03.tif "/>
    <s v=" 50181.3555 "/>
    <s v=" 82.8078 "/>
    <x v="0"/>
    <n v="4155406"/>
    <m/>
    <m/>
    <m/>
  </r>
  <r>
    <x v="15"/>
    <x v="3"/>
    <s v="F:\images\20210212\plaque 2/@03 Testo+ EE2 64/D3_01.tif "/>
    <s v=" 67701.5702 "/>
    <s v=" 73.1195 "/>
    <x v="0"/>
    <n v="4950304"/>
    <m/>
    <m/>
    <m/>
  </r>
  <r>
    <x v="15"/>
    <x v="3"/>
    <s v="F:\images\20210212\plaque 2/@03 Testo+ EE2 64/D3_02.tif "/>
    <s v=" 65668.3601 "/>
    <s v=" 73.8732 "/>
    <x v="0"/>
    <n v="4851131"/>
    <m/>
    <m/>
    <m/>
  </r>
  <r>
    <x v="15"/>
    <x v="3"/>
    <s v="F:\images\20210212\plaque 2/@03 Testo+ EE2 64/D3_03.tif "/>
    <s v=" 60606.9648 "/>
    <s v=" 71.3794 "/>
    <x v="0"/>
    <n v="4326087"/>
    <m/>
    <m/>
    <m/>
  </r>
  <r>
    <x v="15"/>
    <x v="4"/>
    <s v="F:\images\20210212\plaque 2/@03 Testo+ EE2 64/E3_01.tif "/>
    <s v=" 48883.5619 "/>
    <s v=" 86.8624 "/>
    <x v="0"/>
    <n v="4246143"/>
    <m/>
    <m/>
    <m/>
  </r>
  <r>
    <x v="15"/>
    <x v="4"/>
    <s v="F:\images\20210212\plaque 2/@03 Testo+ EE2 64/E3_02.tif "/>
    <s v=" 39150.1093 "/>
    <s v=" 92.9011 "/>
    <x v="0"/>
    <n v="3637088"/>
    <m/>
    <m/>
    <m/>
  </r>
  <r>
    <x v="15"/>
    <x v="4"/>
    <s v="F:\images\20210212\plaque 2/@03 Testo+ EE2 64/E3_03.tif "/>
    <s v=" 47045.0208 "/>
    <s v=" 84.6593 "/>
    <x v="0"/>
    <n v="3982799"/>
    <m/>
    <m/>
    <m/>
  </r>
  <r>
    <x v="15"/>
    <x v="5"/>
    <s v="F:\images\20210212\plaque 2/@03 Testo+ EE2 64/F3_01.tif "/>
    <s v=" 57232.7012 "/>
    <s v=" 82.9864 "/>
    <x v="0"/>
    <n v="4749536"/>
    <m/>
    <m/>
    <m/>
  </r>
  <r>
    <x v="15"/>
    <x v="5"/>
    <s v="F:\images\20210212\plaque 2/@03 Testo+ EE2 64/F3_02.tif "/>
    <s v=" 51868.4873 "/>
    <s v=" 81.9921 "/>
    <x v="0"/>
    <n v="4252805"/>
    <m/>
    <m/>
    <m/>
  </r>
  <r>
    <x v="15"/>
    <x v="5"/>
    <s v="F:\images\20210212\plaque 2/@03 Testo+ EE2 64/F3_03.tif "/>
    <s v=" 56713.5837 "/>
    <s v=" 81.2239 "/>
    <x v="0"/>
    <n v="4606497"/>
    <m/>
    <m/>
    <m/>
  </r>
  <r>
    <x v="15"/>
    <x v="6"/>
    <s v="F:\images\20210212\plaque 2/@03 Testo+ EE2 64/G3_01.tif "/>
    <s v=" 46028.4158 "/>
    <s v=" 77.5583 "/>
    <x v="0"/>
    <n v="3569884"/>
    <m/>
    <m/>
    <m/>
  </r>
  <r>
    <x v="15"/>
    <x v="6"/>
    <s v="F:\images\20210212\plaque 2/@03 Testo+ EE2 64/G3_02.tif "/>
    <s v=" 41204.9493 "/>
    <s v=" 78.4892 "/>
    <x v="0"/>
    <n v="3234145"/>
    <m/>
    <m/>
    <m/>
  </r>
  <r>
    <x v="15"/>
    <x v="6"/>
    <s v="F:\images\20210212\plaque 2/@03 Testo+ EE2 64/G3_03.tif "/>
    <s v=" 44427.8036 "/>
    <s v=" 79.6957 "/>
    <x v="0"/>
    <n v="3540706"/>
    <m/>
    <m/>
    <m/>
  </r>
  <r>
    <x v="15"/>
    <x v="7"/>
    <s v="F:\images\20210212\plaque 2/@03 Testo+ EE2 64/H3_01.tif "/>
    <s v=" 19661.5742 "/>
    <s v=" 65.6634 "/>
    <x v="0"/>
    <n v="1291045"/>
    <m/>
    <m/>
    <m/>
  </r>
  <r>
    <x v="15"/>
    <x v="7"/>
    <s v="F:\images\20210212\plaque 2/@03 Testo+ EE2 64/H3_02.tif "/>
    <s v=" 22300.4214 "/>
    <s v=" 67.1649 "/>
    <x v="0"/>
    <n v="1497805"/>
    <m/>
    <m/>
    <m/>
  </r>
  <r>
    <x v="15"/>
    <x v="7"/>
    <s v="F:\images\20210212\plaque 2/@03 Testo+ EE2 64/H3_03.tif "/>
    <s v=" 22430.2007 "/>
    <s v=" 68.7223 "/>
    <x v="0"/>
    <n v="1541454"/>
    <m/>
    <m/>
    <m/>
  </r>
  <r>
    <x v="1"/>
    <x v="8"/>
    <s v=" "/>
    <m/>
    <m/>
    <x v="1"/>
    <m/>
    <m/>
    <m/>
    <m/>
  </r>
  <r>
    <x v="1"/>
    <x v="8"/>
    <s v="group "/>
    <s v=" "/>
    <s v=" mean of mean fluo "/>
    <x v="2"/>
    <s v=" mean of total fluo "/>
    <s v=" SD total fluo "/>
    <s v=" n fluorescent "/>
    <s v=" n total"/>
  </r>
  <r>
    <x v="15"/>
    <x v="9"/>
    <s v="F:\images\20210212\plaque 2/@03 Testo+ EE2 64/ "/>
    <s v=" "/>
    <s v=" 76.458 "/>
    <x v="17"/>
    <s v=" 3217878.5 "/>
    <s v=" 1520096.3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6"/>
    <x v="0"/>
    <s v="F:\images\20210212\plaque 2/@04 Testo+ FAD/A4_01.tif "/>
    <s v=" 3352.6337 "/>
    <s v=" 65.8387 "/>
    <x v="0"/>
    <n v="220733"/>
    <m/>
    <m/>
    <m/>
  </r>
  <r>
    <x v="16"/>
    <x v="0"/>
    <s v="F:\images\20210212\plaque 2/@04 Testo+ FAD/A4_02.tif "/>
    <s v=" 194.6691 "/>
    <s v=" 62.8889 "/>
    <x v="0"/>
    <n v="12243"/>
    <m/>
    <m/>
    <m/>
  </r>
  <r>
    <x v="16"/>
    <x v="0"/>
    <s v="F:\images\20210212\plaque 2/@04 Testo+ FAD/A4_03.tif "/>
    <s v=" 4325.9789 "/>
    <s v=" 67.01 "/>
    <x v="0"/>
    <n v="289884"/>
    <m/>
    <m/>
    <m/>
  </r>
  <r>
    <x v="16"/>
    <x v="1"/>
    <s v="F:\images\20210212\plaque 2/@04 Testo+ FAD/B4_01.tif "/>
    <s v=" 3071.445 "/>
    <s v=" 63.993 "/>
    <x v="0"/>
    <n v="196551"/>
    <m/>
    <m/>
    <m/>
  </r>
  <r>
    <x v="16"/>
    <x v="1"/>
    <s v="F:\images\20210212\plaque 2/@04 Testo+ FAD/B4_02.tif "/>
    <s v=" 4866.7263 "/>
    <s v=" 68.3867 "/>
    <x v="0"/>
    <n v="332819"/>
    <m/>
    <m/>
    <m/>
  </r>
  <r>
    <x v="16"/>
    <x v="1"/>
    <s v="F:\images\20210212\plaque 2/@04 Testo+ FAD/B4_03.tif "/>
    <s v=" 1254.5339 "/>
    <s v=" 65.1724 "/>
    <x v="0"/>
    <n v="81761"/>
    <m/>
    <m/>
    <m/>
  </r>
  <r>
    <x v="16"/>
    <x v="2"/>
    <s v="F:\images\20210212\plaque 2/@04 Testo+ FAD/C4_01.tif "/>
    <s v=" 6856.6766 "/>
    <s v=" 75.8139 "/>
    <x v="0"/>
    <n v="519831"/>
    <m/>
    <m/>
    <m/>
  </r>
  <r>
    <x v="16"/>
    <x v="2"/>
    <s v="F:\images\20210212\plaque 2/@04 Testo+ FAD/C4_02.tif "/>
    <s v=" 821.936 "/>
    <s v=" 62.5789 "/>
    <x v="0"/>
    <n v="51436"/>
    <m/>
    <m/>
    <m/>
  </r>
  <r>
    <x v="16"/>
    <x v="2"/>
    <s v="F:\images\20210212\plaque 2/@04 Testo+ FAD/C4_03.tif "/>
    <s v=" 5472.3633 "/>
    <s v=" 69.8103 "/>
    <x v="0"/>
    <n v="382027"/>
    <m/>
    <m/>
    <m/>
  </r>
  <r>
    <x v="16"/>
    <x v="3"/>
    <s v="F:\images\20210212\plaque 2/@04 Testo+ FAD/D4_01.tif "/>
    <s v=" 2552.3276 "/>
    <s v=" 68.7034 "/>
    <x v="0"/>
    <n v="175354"/>
    <m/>
    <m/>
    <m/>
  </r>
  <r>
    <x v="16"/>
    <x v="3"/>
    <s v="F:\images\20210212\plaque 2/@04 Testo+ FAD/D4_02.tif "/>
    <s v=" 1124.7545 "/>
    <s v=" 63.6538 "/>
    <x v="0"/>
    <n v="71595"/>
    <m/>
    <m/>
    <m/>
  </r>
  <r>
    <x v="16"/>
    <x v="3"/>
    <s v="F:\images\20210212\plaque 2/@04 Testo+ FAD/D4_03.tif "/>
    <s v=" 194.6691 "/>
    <s v=" 61.8889 "/>
    <x v="0"/>
    <n v="12048"/>
    <m/>
    <m/>
    <m/>
  </r>
  <r>
    <x v="16"/>
    <x v="4"/>
    <s v="F:\images\20210212\plaque 2/@04 Testo+ FAD/E4_01.tif "/>
    <s v=" 4088.0501 "/>
    <s v=" 64.4762 "/>
    <x v="0"/>
    <n v="263582"/>
    <m/>
    <m/>
    <m/>
  </r>
  <r>
    <x v="16"/>
    <x v="4"/>
    <s v="F:\images\20210212\plaque 2/@04 Testo+ FAD/E4_02.tif "/>
    <s v=" 2833.5162 "/>
    <s v=" 65.313 "/>
    <x v="0"/>
    <n v="185065"/>
    <m/>
    <m/>
    <m/>
  </r>
  <r>
    <x v="16"/>
    <x v="4"/>
    <s v="F:\images\20210212\plaque 2/@04 Testo+ FAD/E4_03.tif "/>
    <s v=" 2162.9895 "/>
    <s v=" 64.75 "/>
    <x v="0"/>
    <n v="140054"/>
    <m/>
    <m/>
    <m/>
  </r>
  <r>
    <x v="16"/>
    <x v="5"/>
    <s v="F:\images\20210212\plaque 2/@04 Testo+ FAD/F4_01.tif "/>
    <s v=" 3222.8543 "/>
    <s v=" 64.0067 "/>
    <x v="0"/>
    <n v="206284"/>
    <m/>
    <m/>
    <m/>
  </r>
  <r>
    <x v="16"/>
    <x v="5"/>
    <s v="F:\images\20210212\plaque 2/@04 Testo+ FAD/F4_02.tif "/>
    <s v=" 3525.6728 "/>
    <s v=" 65.0184 "/>
    <x v="0"/>
    <n v="229234"/>
    <m/>
    <m/>
    <m/>
  </r>
  <r>
    <x v="16"/>
    <x v="5"/>
    <s v="F:\images\20210212\plaque 2/@04 Testo+ FAD/F4_03.tif "/>
    <s v=" 1773.6514 "/>
    <s v=" 63.9268 "/>
    <x v="0"/>
    <n v="113384"/>
    <m/>
    <m/>
    <m/>
  </r>
  <r>
    <x v="16"/>
    <x v="6"/>
    <s v="F:\images\20210212\plaque 2/@04 Testo+ FAD/G4_01- exclu.tif"/>
    <m/>
    <m/>
    <x v="1"/>
    <m/>
    <m/>
    <m/>
    <m/>
  </r>
  <r>
    <x v="16"/>
    <x v="6"/>
    <s v="F:\images\20210212\plaque 2/@04 Testo+ FAD/G4_02.tif "/>
    <s v=" 1276.1638 "/>
    <s v=" 68.5085 "/>
    <x v="0"/>
    <n v="87428"/>
    <m/>
    <m/>
    <m/>
  </r>
  <r>
    <x v="16"/>
    <x v="6"/>
    <s v="F:\images\20210212\plaque 2/@04 Testo+ FAD/G4_03.tif "/>
    <s v=" 1968.3204 "/>
    <s v=" 65.8352 "/>
    <x v="0"/>
    <n v="129585"/>
    <m/>
    <m/>
    <m/>
  </r>
  <r>
    <x v="16"/>
    <x v="7"/>
    <s v="F:\images\20210212\plaque 2/@04 Testo+ FAD/H4_01.tif "/>
    <s v=" 1989.9503 "/>
    <s v=" 68.4783 "/>
    <x v="0"/>
    <n v="136268"/>
    <m/>
    <m/>
    <m/>
  </r>
  <r>
    <x v="16"/>
    <x v="7"/>
    <s v="F:\images\20210212\plaque 2/@04 Testo+ FAD/H4_02.tif "/>
    <s v=" 973.3453 "/>
    <s v=" 64.2889 "/>
    <x v="0"/>
    <n v="62575"/>
    <m/>
    <m/>
    <m/>
  </r>
  <r>
    <x v="16"/>
    <x v="7"/>
    <s v="F:\images\20210212\plaque 2/@04 Testo+ FAD/H4_03.tif "/>
    <s v=" 194.6691 "/>
    <s v=" 63.8889 "/>
    <x v="0"/>
    <n v="12437"/>
    <m/>
    <m/>
    <m/>
  </r>
  <r>
    <x v="1"/>
    <x v="8"/>
    <s v=" "/>
    <m/>
    <m/>
    <x v="1"/>
    <m/>
    <m/>
    <m/>
    <m/>
  </r>
  <r>
    <x v="1"/>
    <x v="8"/>
    <s v="group "/>
    <s v=" "/>
    <s v=" mean of mean fluo "/>
    <x v="2"/>
    <s v=" mean of total fluo "/>
    <s v=" SD total fluo "/>
    <s v=" n fluorescent "/>
    <s v=" n total"/>
  </r>
  <r>
    <x v="16"/>
    <x v="9"/>
    <s v="F:\images\20210212\plaque 2/@04 Testo+ FAD/ "/>
    <s v=" "/>
    <s v=" 65.825 "/>
    <x v="18"/>
    <s v=" 165903.125 "/>
    <s v=" 126225.38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7"/>
    <x v="0"/>
    <s v="F:\images\20210212\plaque 2/@05 17b estradiol 34 dopé/A5_01.tif "/>
    <s v=" 46828.7219 "/>
    <s v=" 73.1173 "/>
    <x v="0"/>
    <n v="3423991"/>
    <m/>
    <m/>
    <m/>
  </r>
  <r>
    <x v="17"/>
    <x v="0"/>
    <s v="F:\images\20210212\plaque 2/@05 17b estradiol 34 dopé/A5_02.tif "/>
    <s v=" 42675.7821 "/>
    <s v=" 72.1389 "/>
    <x v="0"/>
    <n v="3078583"/>
    <m/>
    <m/>
    <m/>
  </r>
  <r>
    <x v="17"/>
    <x v="0"/>
    <s v="F:\images\20210212\plaque 2/@05 17b estradiol 34 dopé/A5_03.tif "/>
    <s v=" 41659.1771 "/>
    <s v=" 72.0042 "/>
    <x v="0"/>
    <n v="2999634"/>
    <m/>
    <m/>
    <m/>
  </r>
  <r>
    <x v="17"/>
    <x v="1"/>
    <s v="F:\images\20210212\plaque 2/@05 17b estradiol 34 dopé/B5_01.tif "/>
    <s v=" 37830.6857 "/>
    <s v=" 73.3705 "/>
    <x v="0"/>
    <n v="2775656"/>
    <m/>
    <m/>
    <m/>
  </r>
  <r>
    <x v="17"/>
    <x v="1"/>
    <s v="F:\images\20210212\plaque 2/@05 17b estradiol 34 dopé/B5_02.tif "/>
    <s v=" 34845.7602 "/>
    <s v=" 71.838 "/>
    <x v="0"/>
    <n v="2503249"/>
    <m/>
    <m/>
    <m/>
  </r>
  <r>
    <x v="17"/>
    <x v="1"/>
    <s v="F:\images\20210212\plaque 2/@05 17b estradiol 34 dopé/B5_03.tif "/>
    <s v=" 33374.9274 "/>
    <s v=" 74.9203 "/>
    <x v="0"/>
    <n v="2500459"/>
    <m/>
    <m/>
    <m/>
  </r>
  <r>
    <x v="17"/>
    <x v="2"/>
    <s v="F:\images\20210212\plaque 2/@05 17b estradiol 34 dopé/C5_01.tif "/>
    <s v=" 42135.0347 "/>
    <s v=" 72.1997 "/>
    <x v="0"/>
    <n v="3042137"/>
    <m/>
    <m/>
    <m/>
  </r>
  <r>
    <x v="17"/>
    <x v="2"/>
    <s v="F:\images\20210212\plaque 2/@05 17b estradiol 34 dopé/C5_02.tif "/>
    <s v=" 31968.9843 "/>
    <s v=" 70.8241 "/>
    <x v="0"/>
    <n v="2264174"/>
    <m/>
    <m/>
    <m/>
  </r>
  <r>
    <x v="17"/>
    <x v="2"/>
    <s v="F:\images\20210212\plaque 2/@05 17b estradiol 34 dopé/C5_03.tif "/>
    <s v=" 37873.9455 "/>
    <s v=" 70.0851 "/>
    <x v="0"/>
    <n v="2654399"/>
    <m/>
    <m/>
    <m/>
  </r>
  <r>
    <x v="17"/>
    <x v="3"/>
    <s v="F:\images\20210212\plaque 2/@05 17b estradiol 34 dopé/D5_01.tif "/>
    <s v=" 48515.8537 "/>
    <s v=" 72.045 "/>
    <x v="0"/>
    <n v="3495326"/>
    <m/>
    <m/>
    <m/>
  </r>
  <r>
    <x v="17"/>
    <x v="3"/>
    <s v="F:\images\20210212\plaque 2/@05 17b estradiol 34 dopé/D5_02.tif "/>
    <s v=" 50700.473 "/>
    <s v=" 73.0538 "/>
    <x v="0"/>
    <n v="3703860"/>
    <m/>
    <m/>
    <m/>
  </r>
  <r>
    <x v="17"/>
    <x v="3"/>
    <s v="F:\images\20210212\plaque 2/@05 17b estradiol 34 dopé/D5_03.tif "/>
    <s v=" 47477.6187 "/>
    <s v=" 70.0032 "/>
    <x v="0"/>
    <n v="3323585"/>
    <m/>
    <m/>
    <m/>
  </r>
  <r>
    <x v="17"/>
    <x v="4"/>
    <s v="F:\images\20210212\plaque 2/@05 17b estradiol 34 dopé/E5_01.tif "/>
    <s v=" 24874.3788 "/>
    <s v=" 68.3391 "/>
    <x v="0"/>
    <n v="1699893"/>
    <m/>
    <m/>
    <m/>
  </r>
  <r>
    <x v="17"/>
    <x v="4"/>
    <s v="F:\images\20210212\plaque 2/@05 17b estradiol 34 dopé/E5_02.tif "/>
    <s v=" 22343.6812 "/>
    <s v=" 68.2914 "/>
    <x v="0"/>
    <n v="1525881"/>
    <m/>
    <m/>
    <m/>
  </r>
  <r>
    <x v="17"/>
    <x v="4"/>
    <s v="F:\images\20210212\plaque 2/@05 17b estradiol 34 dopé/E5_03.tif "/>
    <s v=" 24636.45 "/>
    <s v=" 68.7788 "/>
    <x v="0"/>
    <n v="1694464"/>
    <m/>
    <m/>
    <m/>
  </r>
  <r>
    <x v="17"/>
    <x v="5"/>
    <s v="F:\images\20210212\plaque 2/@05 17b estradiol 34 dopé/F5_01.tif "/>
    <s v=" 41421.2482 "/>
    <s v=" 69.4104 "/>
    <x v="0"/>
    <n v="2875067"/>
    <m/>
    <m/>
    <m/>
  </r>
  <r>
    <x v="17"/>
    <x v="5"/>
    <s v="F:\images\20210212\plaque 2/@05 17b estradiol 34 dopé/F5_02.tif "/>
    <s v=" 41313.0987 "/>
    <s v=" 70.2005 "/>
    <x v="0"/>
    <n v="2900201"/>
    <m/>
    <m/>
    <m/>
  </r>
  <r>
    <x v="17"/>
    <x v="5"/>
    <s v="F:\images\20210212\plaque 2/@05 17b estradiol 34 dopé/F5_03.tif "/>
    <s v=" 44060.0954 "/>
    <s v=" 71.0692 "/>
    <x v="0"/>
    <n v="3131317"/>
    <m/>
    <m/>
    <m/>
  </r>
  <r>
    <x v="17"/>
    <x v="6"/>
    <s v="F:\images\20210212\plaque 2/@05 17b estradiol 34 dopé/G5_01.tif "/>
    <s v=" 38198.3939 "/>
    <s v=" 71.6993 "/>
    <x v="0"/>
    <n v="2738799"/>
    <m/>
    <m/>
    <m/>
  </r>
  <r>
    <x v="17"/>
    <x v="6"/>
    <s v="F:\images\20210212\plaque 2/@05 17b estradiol 34 dopé/G5_02.tif "/>
    <s v=" 44795.5118 "/>
    <s v=" 72.6301 "/>
    <x v="0"/>
    <n v="3253504"/>
    <m/>
    <m/>
    <m/>
  </r>
  <r>
    <x v="17"/>
    <x v="6"/>
    <s v="F:\images\20210212\plaque 2/@05 17b estradiol 34 dopé/G5_03.tif "/>
    <s v=" 36424.7426 "/>
    <s v=" 71.8937 "/>
    <x v="0"/>
    <n v="2618710"/>
    <m/>
    <m/>
    <m/>
  </r>
  <r>
    <x v="17"/>
    <x v="7"/>
    <s v="F:\images\20210212\plaque 2/@05 17b estradiol 34 dopé/H5_01.tif "/>
    <s v=" 32098.7636 "/>
    <s v=" 71.0101 "/>
    <x v="0"/>
    <n v="2279337"/>
    <m/>
    <m/>
    <m/>
  </r>
  <r>
    <x v="17"/>
    <x v="7"/>
    <s v="F:\images\20210212\plaque 2/@05 17b estradiol 34 dopé/H5_02.tif "/>
    <s v=" 29373.3969 "/>
    <s v=" 69.2018 "/>
    <x v="0"/>
    <n v="2032691"/>
    <m/>
    <m/>
    <m/>
  </r>
  <r>
    <x v="17"/>
    <x v="7"/>
    <s v="F:\images\20210212\plaque 2/@05 17b estradiol 34 dopé/H5_03.tif "/>
    <s v=" 27859.3043 "/>
    <s v=" 69.1444 "/>
    <x v="0"/>
    <n v="1926315"/>
    <m/>
    <m/>
    <m/>
  </r>
  <r>
    <x v="1"/>
    <x v="8"/>
    <s v=" "/>
    <m/>
    <m/>
    <x v="1"/>
    <m/>
    <m/>
    <m/>
    <m/>
  </r>
  <r>
    <x v="1"/>
    <x v="8"/>
    <s v="group "/>
    <s v=" "/>
    <s v=" mean of mean fluo "/>
    <x v="2"/>
    <s v=" mean of total fluo "/>
    <s v=" SD total fluo "/>
    <s v=" n fluorescent "/>
    <s v=" n total"/>
  </r>
  <r>
    <x v="17"/>
    <x v="9"/>
    <s v="F:\images\20210212\plaque 2/@05 17b estradiol 34 dopé/ "/>
    <s v=" "/>
    <s v=" 71.1362 "/>
    <x v="19"/>
    <s v=" 2685051.33 "/>
    <s v=" 602759.50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8"/>
    <x v="0"/>
    <s v="F:\images\20210212\plaque 2/@06 17b estradiol 68 dopé/A6_01.tif "/>
    <s v=" 61774.9791 "/>
    <s v=" 75.4167 "/>
    <x v="0"/>
    <n v="4658863"/>
    <m/>
    <m/>
    <m/>
  </r>
  <r>
    <x v="18"/>
    <x v="0"/>
    <s v="F:\images\20210212\plaque 2/@06 17b estradiol 68 dopé/A6_02.tif "/>
    <s v=" 55091.3416 "/>
    <s v=" 74.956 "/>
    <x v="0"/>
    <n v="4129428"/>
    <m/>
    <m/>
    <m/>
  </r>
  <r>
    <x v="18"/>
    <x v="0"/>
    <s v="F:\images\20210212\plaque 2/@06 17b estradiol 68 dopé/A6_03.tif "/>
    <s v=" 57427.3702 "/>
    <s v=" 74.2478 "/>
    <x v="0"/>
    <n v="4263858"/>
    <m/>
    <m/>
    <m/>
  </r>
  <r>
    <x v="18"/>
    <x v="1"/>
    <s v="F:\images\20210212\plaque 2/@06 17b estradiol 68 dopé/B6_01.tif "/>
    <s v=" 54291.0355 "/>
    <s v=" 78.0271 "/>
    <x v="0"/>
    <n v="4236172"/>
    <m/>
    <m/>
    <m/>
  </r>
  <r>
    <x v="18"/>
    <x v="1"/>
    <s v="F:\images\20210212\plaque 2/@06 17b estradiol 68 dopé/B6_02.tif "/>
    <s v=" 51998.2667 "/>
    <s v=" 75.3777 "/>
    <x v="0"/>
    <n v="3919510"/>
    <m/>
    <m/>
    <m/>
  </r>
  <r>
    <x v="18"/>
    <x v="1"/>
    <s v="F:\images\20210212\plaque 2/@06 17b estradiol 68 dopé/B6_03.tif "/>
    <s v=" 50505.804 "/>
    <s v=" 74.5555 "/>
    <x v="0"/>
    <n v="3765483"/>
    <m/>
    <m/>
    <m/>
  </r>
  <r>
    <x v="18"/>
    <x v="2"/>
    <s v="F:\images\20210212\plaque 2/@06 17b estradiol 68 dopé/C6_01.tif "/>
    <s v=" 32488.1017 "/>
    <s v=" 72.5965 "/>
    <x v="0"/>
    <n v="2358524"/>
    <m/>
    <m/>
    <m/>
  </r>
  <r>
    <x v="18"/>
    <x v="2"/>
    <s v="F:\images\20210212\plaque 2/@06 17b estradiol 68 dopé/C6_02- exclu.tif"/>
    <m/>
    <m/>
    <x v="1"/>
    <m/>
    <m/>
    <m/>
    <m/>
  </r>
  <r>
    <x v="18"/>
    <x v="2"/>
    <s v="F:\images\20210212\plaque 2/@06 17b estradiol 68 dopé/C6_03.tif "/>
    <s v=" 29330.1371 "/>
    <s v=" 73.5007 "/>
    <x v="0"/>
    <n v="2155787"/>
    <m/>
    <m/>
    <m/>
  </r>
  <r>
    <x v="18"/>
    <x v="3"/>
    <s v="F:\images\20210212\plaque 2/@06 17b estradiol 68 dopé/D6_01- exclu.tif"/>
    <m/>
    <m/>
    <x v="1"/>
    <m/>
    <m/>
    <m/>
    <m/>
  </r>
  <r>
    <x v="18"/>
    <x v="3"/>
    <s v="F:\images\20210212\plaque 2/@06 17b estradiol 68 dopé/D6_02- exclu.tif"/>
    <m/>
    <m/>
    <x v="1"/>
    <m/>
    <m/>
    <m/>
    <m/>
  </r>
  <r>
    <x v="18"/>
    <x v="3"/>
    <s v="F:\images\20210212\plaque 2/@06 17b estradiol 68 dopé/D6_03- exclu.tif"/>
    <m/>
    <m/>
    <x v="1"/>
    <m/>
    <m/>
    <m/>
    <m/>
  </r>
  <r>
    <x v="18"/>
    <x v="4"/>
    <s v="F:\images\20210212\plaque 2/@06 17b estradiol 68 dopé/E6_01.tif "/>
    <s v=" 19488.5351 "/>
    <s v=" 66.8768 "/>
    <x v="0"/>
    <n v="1303331"/>
    <m/>
    <m/>
    <m/>
  </r>
  <r>
    <x v="18"/>
    <x v="4"/>
    <s v="F:\images\20210212\plaque 2/@06 17b estradiol 68 dopé/E6_02.tif "/>
    <s v=" 21543.3751 "/>
    <s v=" 66.8293 "/>
    <x v="0"/>
    <n v="1439729"/>
    <m/>
    <m/>
    <m/>
  </r>
  <r>
    <x v="18"/>
    <x v="4"/>
    <s v="F:\images\20210212\plaque 2/@06 17b estradiol 68 dopé/E6_03.tif "/>
    <s v=" 28724.5001 "/>
    <s v=" 68.5361 "/>
    <x v="0"/>
    <n v="1968666"/>
    <m/>
    <m/>
    <m/>
  </r>
  <r>
    <x v="18"/>
    <x v="5"/>
    <s v="F:\images\20210212\plaque 2/@06 17b estradiol 68 dopé/F6_01- exclu.tif"/>
    <m/>
    <m/>
    <x v="1"/>
    <m/>
    <m/>
    <m/>
    <m/>
  </r>
  <r>
    <x v="18"/>
    <x v="5"/>
    <s v="F:\images\20210212\plaque 2/@06 17b estradiol 68 dopé/F6_02- exclu.tif"/>
    <m/>
    <m/>
    <x v="1"/>
    <m/>
    <m/>
    <m/>
    <m/>
  </r>
  <r>
    <x v="18"/>
    <x v="5"/>
    <s v="F:\images\20210212\plaque 2/@06 17b estradiol 68 dopé/F6_03- exclu.tif"/>
    <m/>
    <m/>
    <x v="1"/>
    <m/>
    <m/>
    <m/>
    <m/>
  </r>
  <r>
    <x v="18"/>
    <x v="6"/>
    <s v="F:\images\20210212\plaque 2/@06 17b estradiol 68 dopé/G6_01.tif "/>
    <s v=" 45639.0777 "/>
    <s v=" 73.0066 "/>
    <x v="0"/>
    <n v="3331955"/>
    <m/>
    <m/>
    <m/>
  </r>
  <r>
    <x v="18"/>
    <x v="6"/>
    <s v="F:\images\20210212\plaque 2/@06 17b estradiol 68 dopé/G6_02.tif "/>
    <s v=" 42308.0739 "/>
    <s v=" 73.4044 "/>
    <x v="0"/>
    <n v="3105599"/>
    <m/>
    <m/>
    <m/>
  </r>
  <r>
    <x v="18"/>
    <x v="6"/>
    <s v="F:\images\20210212\plaque 2/@06 17b estradiol 68 dopé/G6_03.tif "/>
    <s v=" 41204.9493 "/>
    <s v=" 74.7543 "/>
    <x v="0"/>
    <n v="3080248"/>
    <m/>
    <m/>
    <m/>
  </r>
  <r>
    <x v="18"/>
    <x v="7"/>
    <s v="F:\images\20210212\plaque 2/@06 17b estradiol 68 dopé/H6_01.tif "/>
    <s v=" 605.637 "/>
    <s v=" 62.1429 "/>
    <x v="0"/>
    <n v="37636"/>
    <m/>
    <m/>
    <m/>
  </r>
  <r>
    <x v="18"/>
    <x v="7"/>
    <s v="F:\images\20210212\plaque 2/@06 17b estradiol 68 dopé/H6_02.tif "/>
    <s v=" 2033.2101 "/>
    <s v=" 64.7234 "/>
    <x v="0"/>
    <n v="131596"/>
    <m/>
    <m/>
    <m/>
  </r>
  <r>
    <x v="18"/>
    <x v="7"/>
    <s v="F:\images\20210212\plaque 2/@06 17b estradiol 68 dopé/H6_03.tif "/>
    <s v=" 3201.2244 "/>
    <s v=" 67.0405 "/>
    <x v="0"/>
    <n v="214612"/>
    <m/>
    <m/>
    <m/>
  </r>
  <r>
    <x v="1"/>
    <x v="8"/>
    <s v=" "/>
    <m/>
    <m/>
    <x v="1"/>
    <m/>
    <m/>
    <m/>
    <m/>
  </r>
  <r>
    <x v="1"/>
    <x v="8"/>
    <s v="group "/>
    <s v=" "/>
    <s v=" mean of mean fluo "/>
    <x v="2"/>
    <s v=" mean of total fluo "/>
    <s v=" SD total fluo "/>
    <s v=" n fluorescent "/>
    <s v=" n total"/>
  </r>
  <r>
    <x v="18"/>
    <x v="9"/>
    <s v="F:\images\20210212\plaque 2/@06 17b estradiol 68 dopé/ "/>
    <s v=" "/>
    <s v=" 69.5075 "/>
    <x v="20"/>
    <s v=" 1932632.88 "/>
    <s v=" 1688926.4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9"/>
    <x v="0"/>
    <s v="F:\images\20210212\plaque 2/@07 17b estradiol 135 dopé/A7_01.tif "/>
    <s v=" 57708.5589 "/>
    <s v=" 79.9951 "/>
    <x v="0"/>
    <n v="4616404"/>
    <m/>
    <m/>
    <m/>
  </r>
  <r>
    <x v="19"/>
    <x v="0"/>
    <s v="F:\images\20210212\plaque 2/@07 17b estradiol 135 dopé/A7_02.tif "/>
    <s v=" 48559.1134 "/>
    <s v=" 80.4503 "/>
    <x v="0"/>
    <n v="3906597"/>
    <m/>
    <m/>
    <m/>
  </r>
  <r>
    <x v="19"/>
    <x v="0"/>
    <s v="F:\images\20210212\plaque 2/@07 17b estradiol 135 dopé/A7_03.tif "/>
    <s v=" 53469.0995 "/>
    <s v=" 77.9547 "/>
    <x v="0"/>
    <n v="4168167"/>
    <m/>
    <m/>
    <m/>
  </r>
  <r>
    <x v="19"/>
    <x v="1"/>
    <s v="F:\images\20210212\plaque 2/@07 17b estradiol 135 dopé/B7_01.tif "/>
    <s v=" 62012.9079 "/>
    <s v=" 79.5706 "/>
    <x v="0"/>
    <n v="4934406"/>
    <m/>
    <m/>
    <m/>
  </r>
  <r>
    <x v="19"/>
    <x v="1"/>
    <s v="F:\images\20210212\plaque 2/@07 17b estradiol 135 dopé/B7_02.tif "/>
    <s v=" 61774.9791 "/>
    <s v=" 79.7318 "/>
    <x v="0"/>
    <n v="4925430"/>
    <m/>
    <m/>
    <m/>
  </r>
  <r>
    <x v="19"/>
    <x v="1"/>
    <s v="F:\images\20210212\plaque 2/@07 17b estradiol 135 dopé/B7_03.tif "/>
    <s v=" 61558.6801 "/>
    <s v=" 78.4923 "/>
    <x v="0"/>
    <n v="4831881"/>
    <m/>
    <m/>
    <m/>
  </r>
  <r>
    <x v="19"/>
    <x v="2"/>
    <s v="F:\images\20210212\plaque 2/@07 17b estradiol 135 dopé/C7_01.tif "/>
    <s v=" 42481.1131 "/>
    <s v=" 69.8218 "/>
    <x v="0"/>
    <n v="2966107"/>
    <m/>
    <m/>
    <m/>
  </r>
  <r>
    <x v="19"/>
    <x v="2"/>
    <s v="F:\images\20210212\plaque 2/@07 17b estradiol 135 dopé/C7_02.tif "/>
    <s v=" 40988.6503 "/>
    <s v=" 69.4797 "/>
    <x v="0"/>
    <n v="2847878"/>
    <m/>
    <m/>
    <m/>
  </r>
  <r>
    <x v="19"/>
    <x v="2"/>
    <s v="F:\images\20210212\plaque 2/@07 17b estradiol 135 dopé/C7_03.tif "/>
    <s v=" 46006.7859 "/>
    <s v=" 68.8463 "/>
    <x v="0"/>
    <n v="3167395"/>
    <m/>
    <m/>
    <m/>
  </r>
  <r>
    <x v="19"/>
    <x v="3"/>
    <s v="F:\images\20210212\plaque 2/@07 17b estradiol 135 dopé/D7_01.tif "/>
    <s v=" 67506.9011 "/>
    <s v=" 78.3335 "/>
    <x v="0"/>
    <n v="5288055"/>
    <m/>
    <m/>
    <m/>
  </r>
  <r>
    <x v="19"/>
    <x v="3"/>
    <s v="F:\images\20210212\plaque 2/@07 17b estradiol 135 dopé/D7_02.tif "/>
    <s v=" 68588.3959 "/>
    <s v=" 77.2649 "/>
    <x v="0"/>
    <n v="5299476"/>
    <m/>
    <m/>
    <m/>
  </r>
  <r>
    <x v="19"/>
    <x v="3"/>
    <s v="F:\images\20210212\plaque 2/@07 17b estradiol 135 dopé/D7_03.tif "/>
    <s v=" 66209.1075 "/>
    <s v=" 79.0503 "/>
    <x v="0"/>
    <n v="5233850"/>
    <m/>
    <m/>
    <m/>
  </r>
  <r>
    <x v="19"/>
    <x v="4"/>
    <s v="F:\images\20210212\plaque 2/@07 17b estradiol 135 dopé/E7_01.tif "/>
    <s v=" 48559.1134 "/>
    <s v=" 72.6686 "/>
    <x v="0"/>
    <n v="3528723"/>
    <m/>
    <m/>
    <m/>
  </r>
  <r>
    <x v="19"/>
    <x v="4"/>
    <s v="F:\images\20210212\plaque 2/@07 17b estradiol 135 dopé/E7_02.tif "/>
    <s v=" 44319.6541 "/>
    <s v=" 72.4934 "/>
    <x v="0"/>
    <n v="3212883"/>
    <m/>
    <m/>
    <m/>
  </r>
  <r>
    <x v="19"/>
    <x v="4"/>
    <s v="F:\images\20210212\plaque 2/@07 17b estradiol 135 dopé/E7_03- exclu.tif"/>
    <m/>
    <m/>
    <x v="1"/>
    <m/>
    <m/>
    <m/>
    <m/>
  </r>
  <r>
    <x v="19"/>
    <x v="5"/>
    <s v="F:\images\20210212\plaque 2/@07 17b estradiol 135 dopé/F7_01.tif "/>
    <s v=" 59482.2102 "/>
    <s v=" 77.8324 "/>
    <x v="0"/>
    <n v="4629641"/>
    <m/>
    <m/>
    <m/>
  </r>
  <r>
    <x v="19"/>
    <x v="5"/>
    <s v="F:\images\20210212\plaque 2/@07 17b estradiol 135 dopé/F7_02.tif "/>
    <s v=" 61839.8687 "/>
    <s v=" 77.8027 "/>
    <x v="0"/>
    <n v="4811311"/>
    <m/>
    <m/>
    <m/>
  </r>
  <r>
    <x v="19"/>
    <x v="5"/>
    <s v="F:\images\20210212\plaque 2/@07 17b estradiol 135 dopé/F7_03.tif "/>
    <s v=" 59395.6907 "/>
    <s v=" 77.0044 "/>
    <x v="0"/>
    <n v="4573728"/>
    <m/>
    <m/>
    <m/>
  </r>
  <r>
    <x v="19"/>
    <x v="6"/>
    <s v="F:\images\20210212\plaque 2/@07 17b estradiol 135 dopé/G7_01.tif "/>
    <s v=" 54420.8149 "/>
    <s v=" 75.6041 "/>
    <x v="0"/>
    <n v="4114439"/>
    <m/>
    <m/>
    <m/>
  </r>
  <r>
    <x v="19"/>
    <x v="6"/>
    <s v="F:\images\20210212\plaque 2/@07 17b estradiol 135 dopé/G7_02.tif "/>
    <s v=" 54810.153 "/>
    <s v=" 74.3761 "/>
    <x v="0"/>
    <n v="4076565"/>
    <m/>
    <m/>
    <m/>
  </r>
  <r>
    <x v="19"/>
    <x v="6"/>
    <s v="F:\images\20210212\plaque 2/@07 17b estradiol 135 dopé/G7_03.tif "/>
    <s v=" 58314.1959 "/>
    <s v=" 75.3476 "/>
    <x v="0"/>
    <n v="4393832"/>
    <m/>
    <m/>
    <m/>
  </r>
  <r>
    <x v="19"/>
    <x v="7"/>
    <s v="F:\images\20210212\plaque 2/@07 17b estradiol 135 dopé/H7_01.tif "/>
    <s v=" 58227.6763 "/>
    <s v=" 85.7537 "/>
    <x v="0"/>
    <n v="4993240"/>
    <m/>
    <m/>
    <m/>
  </r>
  <r>
    <x v="19"/>
    <x v="7"/>
    <s v="F:\images\20210212\plaque 2/@07 17b estradiol 135 dopé/H7_02.tif "/>
    <s v=" 61926.3883 "/>
    <s v=" 86.2441 "/>
    <x v="0"/>
    <n v="5340789"/>
    <m/>
    <m/>
    <m/>
  </r>
  <r>
    <x v="19"/>
    <x v="7"/>
    <s v="F:\images\20210212\plaque 2/@07 17b estradiol 135 dopé/H7_03.tif "/>
    <s v=" 65279.022 "/>
    <s v=" 81.2863 "/>
    <x v="0"/>
    <n v="5306289"/>
    <m/>
    <m/>
    <m/>
  </r>
  <r>
    <x v="1"/>
    <x v="8"/>
    <s v=" "/>
    <m/>
    <m/>
    <x v="1"/>
    <m/>
    <m/>
    <m/>
    <m/>
  </r>
  <r>
    <x v="1"/>
    <x v="8"/>
    <s v="group "/>
    <s v=" "/>
    <s v=" mean of mean fluo "/>
    <x v="2"/>
    <s v=" mean of total fluo "/>
    <s v=" SD total fluo "/>
    <s v=" n fluorescent "/>
    <s v=" n total"/>
  </r>
  <r>
    <x v="19"/>
    <x v="9"/>
    <s v="F:\images\20210212\plaque 2/@07 17b estradiol 135 dopé/ "/>
    <s v=" "/>
    <s v=" 76.9442 "/>
    <x v="21"/>
    <s v=" 4329992.29 "/>
    <s v=" 850334.28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0"/>
    <x v="0"/>
    <s v="F:\images\20210212\plaque 2/@08 17b estradiol 270 dopé/A8_01.tif "/>
    <s v=" 78862.5958 "/>
    <s v=" 88.0623 "/>
    <x v="0"/>
    <n v="6944818"/>
    <m/>
    <m/>
    <m/>
  </r>
  <r>
    <x v="20"/>
    <x v="0"/>
    <s v="F:\images\20210212\plaque 2/@08 17b estradiol 270 dopé/A8_02.tif "/>
    <s v=" 79533.1226 "/>
    <s v=" 95.3753 "/>
    <x v="0"/>
    <n v="7585496"/>
    <m/>
    <m/>
    <m/>
  </r>
  <r>
    <x v="20"/>
    <x v="0"/>
    <s v="F:\images\20210212\plaque 2/@08 17b estradiol 270 dopé/A8_03.tif "/>
    <s v=" 71897.7697 "/>
    <s v=" 95.0208 "/>
    <x v="0"/>
    <n v="6831781"/>
    <m/>
    <m/>
    <m/>
  </r>
  <r>
    <x v="20"/>
    <x v="1"/>
    <s v="F:\images\20210212\plaque 2/@08 17b estradiol 270 dopé/B8_01.tif "/>
    <s v=" 46223.0848 "/>
    <s v=" 95.2653 "/>
    <x v="0"/>
    <n v="4403457"/>
    <m/>
    <m/>
    <m/>
  </r>
  <r>
    <x v="20"/>
    <x v="1"/>
    <s v="F:\images\20210212\plaque 2/@08 17b estradiol 270 dopé/B8_02.tif "/>
    <s v=" 47520.8785 "/>
    <s v=" 95.1652 "/>
    <x v="0"/>
    <n v="4522335"/>
    <m/>
    <m/>
    <m/>
  </r>
  <r>
    <x v="20"/>
    <x v="1"/>
    <s v="F:\images\20210212\plaque 2/@08 17b estradiol 270 dopé/B8_03.tif "/>
    <s v=" 51197.9606 "/>
    <s v=" 91.3004 "/>
    <x v="0"/>
    <n v="4674393"/>
    <m/>
    <m/>
    <m/>
  </r>
  <r>
    <x v="20"/>
    <x v="2"/>
    <s v="F:\images\20210212\plaque 2/@08 17b estradiol 270 dopé/C8_01.tif "/>
    <s v=" 55026.4519 "/>
    <s v=" 89.9803 "/>
    <x v="0"/>
    <n v="4951299"/>
    <m/>
    <m/>
    <m/>
  </r>
  <r>
    <x v="20"/>
    <x v="2"/>
    <s v="F:\images\20210212\plaque 2/@08 17b estradiol 270 dopé/C8_02.tif "/>
    <s v=" 49900.1669 "/>
    <s v=" 88.1959 "/>
    <x v="0"/>
    <n v="4400991"/>
    <m/>
    <m/>
    <m/>
  </r>
  <r>
    <x v="20"/>
    <x v="2"/>
    <s v="F:\images\20210212\plaque 2/@08 17b estradiol 270 dopé/C8_03.tif "/>
    <s v=" 56821.7332 "/>
    <s v=" 87.8245 "/>
    <x v="0"/>
    <n v="4990341"/>
    <m/>
    <m/>
    <m/>
  </r>
  <r>
    <x v="20"/>
    <x v="3"/>
    <s v="F:\images\20210212\plaque 2/@08 17b estradiol 270 dopé/D8_01.tif "/>
    <s v=" 45292.9994 "/>
    <s v=" 77.3219 "/>
    <x v="0"/>
    <n v="3502139"/>
    <m/>
    <m/>
    <m/>
  </r>
  <r>
    <x v="20"/>
    <x v="3"/>
    <s v="F:\images\20210212\plaque 2/@08 17b estradiol 270 dopé/D8_02.tif "/>
    <s v=" 43000.2305 "/>
    <s v=" 76.1403 "/>
    <x v="0"/>
    <n v="3274052"/>
    <m/>
    <m/>
    <m/>
  </r>
  <r>
    <x v="20"/>
    <x v="3"/>
    <s v="F:\images\20210212\plaque 2/@08 17b estradiol 270 dopé/D8_03.tif "/>
    <s v=" 42632.5223 "/>
    <s v=" 77.1502 "/>
    <x v="0"/>
    <n v="3289107"/>
    <m/>
    <m/>
    <m/>
  </r>
  <r>
    <x v="20"/>
    <x v="4"/>
    <s v="F:\images\20210212\plaque 2/@08 17b estradiol 270 dopé/E8_01.tif "/>
    <s v=" 62661.8047 "/>
    <s v=" 86.5878 "/>
    <x v="0"/>
    <n v="5425751"/>
    <m/>
    <m/>
    <m/>
  </r>
  <r>
    <x v="20"/>
    <x v="4"/>
    <s v="F:\images\20210212\plaque 2/@08 17b estradiol 270 dopé/E8_02.tif "/>
    <s v=" 67031.0435 "/>
    <s v=" 80.9035 "/>
    <x v="0"/>
    <n v="5423047"/>
    <m/>
    <m/>
    <m/>
  </r>
  <r>
    <x v="20"/>
    <x v="4"/>
    <s v="F:\images\20210212\plaque 2/@08 17b estradiol 270 dopé/E8_03.tif "/>
    <s v=" 58660.2742 "/>
    <s v=" 84.2655 "/>
    <x v="0"/>
    <n v="4943037"/>
    <m/>
    <m/>
    <m/>
  </r>
  <r>
    <x v="20"/>
    <x v="5"/>
    <s v="F:\images\20210212\plaque 2/@08 17b estradiol 270 dopé/F8_01- exclu.tif"/>
    <m/>
    <m/>
    <x v="1"/>
    <m/>
    <m/>
    <m/>
    <m/>
  </r>
  <r>
    <x v="20"/>
    <x v="5"/>
    <s v="F:\images\20210212\plaque 2/@08 17b estradiol 270 dopé/F8_02- exclu.tif"/>
    <m/>
    <m/>
    <x v="1"/>
    <m/>
    <m/>
    <m/>
    <m/>
  </r>
  <r>
    <x v="20"/>
    <x v="5"/>
    <s v="F:\images\20210212\plaque 2/@08 17b estradiol 270 dopé/F8_03- exclu.tif"/>
    <m/>
    <m/>
    <x v="1"/>
    <m/>
    <m/>
    <m/>
    <m/>
  </r>
  <r>
    <x v="20"/>
    <x v="6"/>
    <s v="F:\images\20210212\plaque 2/@08 17b estradiol 270 dopé/G8_01.tif "/>
    <s v=" 59590.3597 "/>
    <s v=" 92.4113 "/>
    <x v="0"/>
    <n v="5506820"/>
    <m/>
    <m/>
    <m/>
  </r>
  <r>
    <x v="20"/>
    <x v="6"/>
    <s v="F:\images\20210212\plaque 2/@08 17b estradiol 270 dopé/G8_02.tif "/>
    <s v=" 56670.3239 "/>
    <s v=" 93.9897 "/>
    <x v="0"/>
    <n v="5326426"/>
    <m/>
    <m/>
    <m/>
  </r>
  <r>
    <x v="20"/>
    <x v="6"/>
    <s v="F:\images\20210212\plaque 2/@08 17b estradiol 270 dopé/G8_03.tif "/>
    <s v=" 21608.2647 "/>
    <s v=" 69.3473 "/>
    <x v="0"/>
    <n v="1498476"/>
    <m/>
    <m/>
    <m/>
  </r>
  <r>
    <x v="20"/>
    <x v="7"/>
    <s v="F:\images\20210212\plaque 2/@08 17b estradiol 270 dopé/H8_01- exclu.tif"/>
    <m/>
    <m/>
    <x v="1"/>
    <m/>
    <m/>
    <m/>
    <m/>
  </r>
  <r>
    <x v="20"/>
    <x v="7"/>
    <s v="F:\images\20210212\plaque 2/@08 17b estradiol 270 dopé/H8_02- exclu.tif"/>
    <m/>
    <m/>
    <x v="1"/>
    <m/>
    <m/>
    <m/>
    <m/>
  </r>
  <r>
    <x v="20"/>
    <x v="7"/>
    <s v="F:\images\20210212\plaque 2/@08 17b estradiol 270 dopé/H8_03- exclu.tif"/>
    <m/>
    <m/>
    <x v="1"/>
    <m/>
    <m/>
    <m/>
    <m/>
  </r>
  <r>
    <x v="1"/>
    <x v="8"/>
    <s v=" "/>
    <m/>
    <m/>
    <x v="1"/>
    <m/>
    <m/>
    <m/>
    <m/>
  </r>
  <r>
    <x v="1"/>
    <x v="8"/>
    <s v="group "/>
    <s v=" "/>
    <s v=" mean of mean fluo "/>
    <x v="2"/>
    <s v=" mean of total fluo "/>
    <s v=" SD total fluo "/>
    <s v=" n fluorescent "/>
    <s v=" n total"/>
  </r>
  <r>
    <x v="20"/>
    <x v="9"/>
    <s v="F:\images\20210212\plaque 2/@08 17b estradiol 270 dopé/ "/>
    <s v=" "/>
    <s v=" 82.0436 "/>
    <x v="22"/>
    <s v=" 3880677.04 "/>
    <s v=" 2216932.1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1"/>
    <x v="0"/>
    <s v="F:\images\20210212\plaque 2/@09 17b estradiol 540 dopé/A9_01.tif "/>
    <s v=" 72287.1078 "/>
    <s v=" 101.3124 "/>
    <x v="0"/>
    <n v="7323580"/>
    <m/>
    <m/>
    <m/>
  </r>
  <r>
    <x v="21"/>
    <x v="0"/>
    <s v="F:\images\20210212\plaque 2/@09 17b estradiol 540 dopé/A9_02.tif "/>
    <s v=" 70210.638 "/>
    <s v=" 102.1014 "/>
    <x v="0"/>
    <n v="7168601"/>
    <m/>
    <m/>
    <m/>
  </r>
  <r>
    <x v="21"/>
    <x v="0"/>
    <s v="F:\images\20210212\plaque 2/@09 17b estradiol 540 dopé/A9_03.tif "/>
    <s v=" 73022.5243 "/>
    <s v=" 100.8243 "/>
    <x v="0"/>
    <n v="7362448"/>
    <m/>
    <m/>
    <m/>
  </r>
  <r>
    <x v="21"/>
    <x v="1"/>
    <s v="F:\images\20210212\plaque 2/@09 17b estradiol 540 dopé/B9_01.tif "/>
    <s v=" 59006.3525 "/>
    <s v=" 86.9153 "/>
    <x v="0"/>
    <n v="5128556"/>
    <m/>
    <m/>
    <m/>
  </r>
  <r>
    <x v="21"/>
    <x v="1"/>
    <s v="F:\images\20210212\plaque 2/@09 17b estradiol 540 dopé/B9_02.tif "/>
    <s v=" 53079.7614 "/>
    <s v=" 87.7653 "/>
    <x v="0"/>
    <n v="4658560"/>
    <m/>
    <m/>
    <m/>
  </r>
  <r>
    <x v="21"/>
    <x v="1"/>
    <s v="F:\images\20210212\plaque 2/@09 17b estradiol 540 dopé/B9_03.tif "/>
    <s v=" 57319.2208 "/>
    <s v=" 88.5117 "/>
    <x v="0"/>
    <n v="5073422"/>
    <m/>
    <m/>
    <m/>
  </r>
  <r>
    <x v="21"/>
    <x v="2"/>
    <s v="F:\images\20210212\plaque 2/@09 17b estradiol 540 dopé/C9_01.tif "/>
    <s v=" 40858.871 "/>
    <s v=" 87.6713 "/>
    <x v="0"/>
    <n v="3582148"/>
    <m/>
    <m/>
    <m/>
  </r>
  <r>
    <x v="21"/>
    <x v="2"/>
    <s v="F:\images\20210212\plaque 2/@09 17b estradiol 540 dopé/C9_02.tif "/>
    <s v=" 36446.3724 "/>
    <s v=" 86.7175 "/>
    <x v="0"/>
    <n v="3160539"/>
    <m/>
    <m/>
    <m/>
  </r>
  <r>
    <x v="21"/>
    <x v="2"/>
    <s v="F:\images\20210212\plaque 2/@09 17b estradiol 540 dopé/C9_03- exclu.tif"/>
    <m/>
    <m/>
    <x v="1"/>
    <m/>
    <m/>
    <m/>
    <m/>
  </r>
  <r>
    <x v="21"/>
    <x v="3"/>
    <s v="F:\images\20210212\plaque 2/@09 17b estradiol 540 dopé/D9_01.tif "/>
    <s v=" 51652.1884 "/>
    <s v=" 89.2567 "/>
    <x v="0"/>
    <n v="4610304"/>
    <m/>
    <m/>
    <m/>
  </r>
  <r>
    <x v="21"/>
    <x v="3"/>
    <s v="F:\images\20210212\plaque 2/@09 17b estradiol 540 dopé/D9_02.tif "/>
    <s v=" 54312.6654 "/>
    <s v=" 81.7853 "/>
    <x v="0"/>
    <n v="4441980"/>
    <m/>
    <m/>
    <m/>
  </r>
  <r>
    <x v="21"/>
    <x v="3"/>
    <s v="F:\images\20210212\plaque 2/@09 17b estradiol 540 dopé/D9_03.tif "/>
    <s v=" 47737.1774 "/>
    <s v=" 92.2954 "/>
    <x v="0"/>
    <n v="4405923"/>
    <m/>
    <m/>
    <m/>
  </r>
  <r>
    <x v="21"/>
    <x v="4"/>
    <s v="F:\images\20210212\plaque 2/@09 17b estradiol 540 dopé/E9_01.tif "/>
    <s v=" 62748.3243 "/>
    <s v=" 97.1813 "/>
    <x v="0"/>
    <n v="6097965"/>
    <m/>
    <m/>
    <m/>
  </r>
  <r>
    <x v="21"/>
    <x v="4"/>
    <s v="F:\images\20210212\plaque 2/@09 17b estradiol 540 dopé/E9_02.tif "/>
    <s v=" 60152.737 "/>
    <s v=" 93.4721 "/>
    <x v="0"/>
    <n v="5622605"/>
    <m/>
    <m/>
    <m/>
  </r>
  <r>
    <x v="21"/>
    <x v="4"/>
    <s v="F:\images\20210212\plaque 2/@09 17b estradiol 540 dopé/E9_03.tif "/>
    <s v=" 55394.1601 "/>
    <s v=" 94.7985 "/>
    <x v="0"/>
    <n v="5251284"/>
    <m/>
    <m/>
    <m/>
  </r>
  <r>
    <x v="21"/>
    <x v="5"/>
    <s v="F:\images\20210212\plaque 2/@09 17b estradiol 540 dopé/F9_01.tif "/>
    <s v=" 58617.0144 "/>
    <s v=" 92.2775 "/>
    <x v="0"/>
    <n v="5409031"/>
    <m/>
    <m/>
    <m/>
  </r>
  <r>
    <x v="21"/>
    <x v="5"/>
    <s v="F:\images\20210212\plaque 2/@09 17b estradiol 540 dopé/F9_02.tif "/>
    <s v=" 60433.9256 "/>
    <s v=" 92.0938 "/>
    <x v="0"/>
    <n v="5565588"/>
    <m/>
    <m/>
    <m/>
  </r>
  <r>
    <x v="21"/>
    <x v="5"/>
    <s v="F:\images\20210212\plaque 2/@09 17b estradiol 540 dopé/F9_03- exclu.tif"/>
    <m/>
    <m/>
    <x v="1"/>
    <m/>
    <m/>
    <m/>
    <m/>
  </r>
  <r>
    <x v="21"/>
    <x v="6"/>
    <s v="F:\images\20210212\plaque 2/@09 17b estradiol 540 dopé/G9_01.tif "/>
    <s v=" 42264.8141 "/>
    <s v=" 79.869 "/>
    <x v="0"/>
    <n v="3375648"/>
    <m/>
    <m/>
    <m/>
  </r>
  <r>
    <x v="21"/>
    <x v="6"/>
    <s v="F:\images\20210212\plaque 2/@09 17b estradiol 540 dopé/G9_02.tif "/>
    <s v=" 36705.9312 "/>
    <s v=" 78.8309 "/>
    <x v="0"/>
    <n v="2893561"/>
    <m/>
    <m/>
    <m/>
  </r>
  <r>
    <x v="21"/>
    <x v="6"/>
    <s v="F:\images\20210212\plaque 2/@09 17b estradiol 540 dopé/G9_03.tif "/>
    <s v=" 33958.9346 "/>
    <s v=" 77.2459 "/>
    <x v="0"/>
    <n v="2623187"/>
    <m/>
    <m/>
    <m/>
  </r>
  <r>
    <x v="21"/>
    <x v="7"/>
    <s v="F:\images\20210212\plaque 2/@09 17b estradiol 540 dopé/H9_01.tif "/>
    <s v=" 79489.8628 "/>
    <s v=" 97.2226 "/>
    <x v="0"/>
    <n v="7728210"/>
    <m/>
    <m/>
    <m/>
  </r>
  <r>
    <x v="21"/>
    <x v="7"/>
    <s v="F:\images\20210212\plaque 2/@09 17b estradiol 540 dopé/H9_02.tif "/>
    <s v=" 66576.8157 "/>
    <s v=" 103.7762 "/>
    <x v="0"/>
    <n v="6909086"/>
    <m/>
    <m/>
    <m/>
  </r>
  <r>
    <x v="21"/>
    <x v="7"/>
    <s v="F:\images\20210212\plaque 2/@09 17b estradiol 540 dopé/H9_03.tif "/>
    <s v=" 80636.2472 "/>
    <s v=" 94.084 "/>
    <x v="0"/>
    <n v="7586577"/>
    <m/>
    <m/>
    <m/>
  </r>
  <r>
    <x v="1"/>
    <x v="8"/>
    <s v=" "/>
    <m/>
    <m/>
    <x v="1"/>
    <m/>
    <m/>
    <m/>
    <m/>
  </r>
  <r>
    <x v="1"/>
    <x v="8"/>
    <s v="group "/>
    <s v=" "/>
    <s v=" mean of mean fluo "/>
    <x v="2"/>
    <s v=" mean of total fluo "/>
    <s v=" SD total fluo "/>
    <s v=" n fluorescent "/>
    <s v=" n total"/>
  </r>
  <r>
    <x v="21"/>
    <x v="9"/>
    <s v="F:\images\20210212\plaque 2/@09 17b estradiol 540 dopé/ "/>
    <s v=" "/>
    <s v=" 90.3175 "/>
    <x v="23"/>
    <s v=" 5015159.67 "/>
    <s v=" 1852203.03 "/>
    <n v="24"/>
    <n v="24"/>
  </r>
  <r>
    <x v="1"/>
    <x v="8"/>
    <s v=" "/>
    <m/>
    <m/>
    <x v="1"/>
    <m/>
    <m/>
    <m/>
    <m/>
  </r>
  <r>
    <x v="1"/>
    <x v="8"/>
    <s v=" "/>
    <m/>
    <m/>
    <x v="1"/>
    <m/>
    <m/>
    <m/>
    <m/>
  </r>
  <r>
    <x v="1"/>
    <x v="8"/>
    <s v=" "/>
    <m/>
    <m/>
    <x v="1"/>
    <m/>
    <m/>
    <m/>
    <m/>
  </r>
  <r>
    <x v="1"/>
    <x v="8"/>
    <s v=" "/>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0">
  <r>
    <x v="0"/>
    <x v="0"/>
    <s v="F:\images\20210219\plaque 1/@01 Evian + 0.2% DMSO/A1_01.tif "/>
    <s v=" 10987.9865 "/>
    <s v=" 76.2067 "/>
    <x v="0"/>
    <n v="837358"/>
    <m/>
    <m/>
    <m/>
  </r>
  <r>
    <x v="0"/>
    <x v="0"/>
    <s v="F:\images\20210219\plaque 1/@01 Evian + 0.2% DMSO/A1_02- exclu.tif"/>
    <m/>
    <m/>
    <x v="1"/>
    <m/>
    <m/>
    <m/>
    <m/>
  </r>
  <r>
    <x v="0"/>
    <x v="0"/>
    <s v="F:\images\20210219\plaque 1/@01 Evian + 0.2% DMSO/A1_03.tif "/>
    <s v=" 7094.6054 "/>
    <s v=" 74.6829 "/>
    <x v="0"/>
    <n v="529846"/>
    <m/>
    <m/>
    <m/>
  </r>
  <r>
    <x v="0"/>
    <x v="1"/>
    <s v="F:\images\20210219\plaque 1/@01 Evian + 0.2% DMSO/B1_01.tif "/>
    <s v=" 1319.4236 "/>
    <s v=" 65.1967 "/>
    <x v="0"/>
    <n v="86022"/>
    <m/>
    <m/>
    <m/>
  </r>
  <r>
    <x v="0"/>
    <x v="1"/>
    <s v="F:\images\20210219\plaque 1/@01 Evian + 0.2% DMSO/B1_02.tif "/>
    <s v=" 713.7865 "/>
    <s v=" 63.4545 "/>
    <x v="0"/>
    <n v="45293"/>
    <m/>
    <m/>
    <m/>
  </r>
  <r>
    <x v="0"/>
    <x v="1"/>
    <s v="F:\images\20210219\plaque 1/@01 Evian + 0.2% DMSO/B1_03.tif "/>
    <s v=" 735.4164 "/>
    <s v=" 63.1471 "/>
    <x v="0"/>
    <n v="46439"/>
    <m/>
    <m/>
    <m/>
  </r>
  <r>
    <x v="0"/>
    <x v="2"/>
    <s v="F:\images\20210219\plaque 1/@01 Evian + 0.2% DMSO/C1_01.tif "/>
    <s v=" 908.4556 "/>
    <s v=" 62.3571 "/>
    <x v="0"/>
    <n v="56649"/>
    <m/>
    <m/>
    <m/>
  </r>
  <r>
    <x v="0"/>
    <x v="2"/>
    <s v="F:\images\20210219\plaque 1/@01 Evian + 0.2% DMSO/C1_02.tif "/>
    <s v=" 1730.3916 "/>
    <s v=" 64.2 "/>
    <x v="0"/>
    <n v="111091"/>
    <m/>
    <m/>
    <m/>
  </r>
  <r>
    <x v="0"/>
    <x v="2"/>
    <s v="F:\images\20210219\plaque 1/@01 Evian + 0.2% DMSO/C1_03.tif "/>
    <s v=" 627.2669 "/>
    <s v=" 62.9655 "/>
    <x v="0"/>
    <n v="39496"/>
    <m/>
    <m/>
    <m/>
  </r>
  <r>
    <x v="0"/>
    <x v="3"/>
    <s v="F:\images\20210219\plaque 1/@01 Evian + 0.2% DMSO/D1_01.tif "/>
    <s v=" 324.4484 "/>
    <s v=" 64.8 "/>
    <x v="0"/>
    <n v="21024"/>
    <m/>
    <m/>
    <m/>
  </r>
  <r>
    <x v="0"/>
    <x v="3"/>
    <s v="F:\images\20210219\plaque 1/@01 Evian + 0.2% DMSO/D1_02.tif "/>
    <s v=" 2098.0998 "/>
    <s v=" 65.2887 "/>
    <x v="0"/>
    <n v="136982"/>
    <m/>
    <m/>
    <m/>
  </r>
  <r>
    <x v="0"/>
    <x v="3"/>
    <s v="F:\images\20210219\plaque 1/@01 Evian + 0.2% DMSO/D1_03.tif "/>
    <s v=" 2141.3596 "/>
    <s v=" 64.101 "/>
    <x v="0"/>
    <n v="137263"/>
    <m/>
    <m/>
    <m/>
  </r>
  <r>
    <x v="0"/>
    <x v="4"/>
    <s v="F:\images\20210219\plaque 1/@01 Evian + 0.2% DMSO/E1_01.tif "/>
    <s v=" 1059.8648 "/>
    <s v=" 65.0204 "/>
    <x v="0"/>
    <n v="68913"/>
    <m/>
    <m/>
    <m/>
  </r>
  <r>
    <x v="0"/>
    <x v="4"/>
    <s v="F:\images\20210219\plaque 1/@01 Evian + 0.2% DMSO/E1_02.tif "/>
    <s v=" 432.5979 "/>
    <s v=" 62.85 "/>
    <x v="0"/>
    <n v="27189"/>
    <m/>
    <m/>
    <m/>
  </r>
  <r>
    <x v="0"/>
    <x v="4"/>
    <s v="F:\images\20210219\plaque 1/@01 Evian + 0.2% DMSO/E1_03.tif "/>
    <s v=" 216.2989 "/>
    <s v=" 63.3 "/>
    <x v="0"/>
    <n v="13692"/>
    <m/>
    <m/>
    <m/>
  </r>
  <r>
    <x v="0"/>
    <x v="5"/>
    <s v="F:\images\20210219\plaque 1/@01 Evian + 0.2% DMSO/F1_01.tif "/>
    <s v=" 475.8577 "/>
    <s v=" 62.5909 "/>
    <x v="0"/>
    <n v="29784"/>
    <m/>
    <m/>
    <m/>
  </r>
  <r>
    <x v="0"/>
    <x v="5"/>
    <s v="F:\images\20210219\plaque 1/@01 Evian + 0.2% DMSO/F1_02.tif "/>
    <s v=" 5104.6551 "/>
    <s v=" 67.9534 "/>
    <x v="0"/>
    <n v="346879"/>
    <m/>
    <m/>
    <m/>
  </r>
  <r>
    <x v="0"/>
    <x v="5"/>
    <s v="F:\images\20210219\plaque 1/@01 Evian + 0.2% DMSO/F1_03.tif "/>
    <s v=" 584.0072 "/>
    <s v=" 64.4444 "/>
    <x v="0"/>
    <n v="37636"/>
    <m/>
    <m/>
    <m/>
  </r>
  <r>
    <x v="0"/>
    <x v="6"/>
    <s v="F:\images\20210219\plaque 1/@01 Evian + 0.2% DMSO/G1_01.tif "/>
    <s v=" 281.1886 "/>
    <n v="63"/>
    <x v="0"/>
    <n v="17715"/>
    <m/>
    <m/>
    <m/>
  </r>
  <r>
    <x v="0"/>
    <x v="6"/>
    <s v="F:\images\20210219\plaque 1/@01 Evian + 0.2% DMSO/G1_02.tif "/>
    <s v=" 735.4164 "/>
    <s v=" 64.2353 "/>
    <x v="0"/>
    <n v="47240"/>
    <m/>
    <m/>
    <m/>
  </r>
  <r>
    <x v="0"/>
    <x v="6"/>
    <s v="F:\images\20210219\plaque 1/@01 Evian + 0.2% DMSO/G1_03.tif "/>
    <s v=" 843.5659 "/>
    <s v=" 64.2308 "/>
    <x v="0"/>
    <n v="54183"/>
    <m/>
    <m/>
    <m/>
  </r>
  <r>
    <x v="0"/>
    <x v="7"/>
    <s v="F:\images\20210219\plaque 1/@01 Evian + 0.2% DMSO/H1_01- exclu.tif"/>
    <m/>
    <m/>
    <x v="1"/>
    <m/>
    <m/>
    <m/>
    <m/>
  </r>
  <r>
    <x v="0"/>
    <x v="7"/>
    <s v="F:\images\20210219\plaque 1/@01 Evian + 0.2% DMSO/H1_02- exclu.tif"/>
    <m/>
    <m/>
    <x v="1"/>
    <m/>
    <m/>
    <m/>
    <m/>
  </r>
  <r>
    <x v="0"/>
    <x v="7"/>
    <s v="F:\images\20210219\plaque 1/@01 Evian + 0.2% DMSO/H1_03- exclu.tif"/>
    <m/>
    <m/>
    <x v="1"/>
    <m/>
    <m/>
    <m/>
    <m/>
  </r>
  <r>
    <x v="1"/>
    <x v="8"/>
    <s v=" "/>
    <m/>
    <m/>
    <x v="1"/>
    <m/>
    <m/>
    <m/>
    <m/>
  </r>
  <r>
    <x v="1"/>
    <x v="8"/>
    <s v="group "/>
    <s v=" "/>
    <s v=" mean of mean fluo "/>
    <x v="2"/>
    <s v=" mean of total fluo "/>
    <s v=" SD total fluo "/>
    <s v=" n fluorescent "/>
    <s v=" n total"/>
  </r>
  <r>
    <x v="0"/>
    <x v="9"/>
    <s v="F:\images\20210219\plaque 1/@01 Evian + 0.2% DMSO/ "/>
    <s v=" "/>
    <s v=" 64.8518 "/>
    <x v="3"/>
    <s v=" 114385.167 "/>
    <s v=" 194426.32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
    <x v="0"/>
    <s v="F:\images\20210219\plaque 1/@02 EE2 33.8/A2_01.tif "/>
    <s v=" 6813.4168 "/>
    <s v=" 73.7587 "/>
    <x v="0"/>
    <n v="502549"/>
    <m/>
    <m/>
    <m/>
  </r>
  <r>
    <x v="2"/>
    <x v="0"/>
    <s v="F:\images\20210219\plaque 1/@02 EE2 33.8/A2_02.tif "/>
    <s v=" 4434.1284 "/>
    <s v=" 66.9073 "/>
    <x v="0"/>
    <n v="296676"/>
    <m/>
    <m/>
    <m/>
  </r>
  <r>
    <x v="2"/>
    <x v="0"/>
    <s v="F:\images\20210219\plaque 1/@02 EE2 33.8/A2_03.tif "/>
    <s v=" 4672.0572 "/>
    <s v=" 67.0417 "/>
    <x v="0"/>
    <n v="313223"/>
    <m/>
    <m/>
    <m/>
  </r>
  <r>
    <x v="2"/>
    <x v="1"/>
    <s v="F:\images\20210219\plaque 1/@02 EE2 33.8/B2_01.tif "/>
    <s v=" 5191.1747 "/>
    <s v=" 65.5375 "/>
    <x v="0"/>
    <n v="340217"/>
    <m/>
    <m/>
    <m/>
  </r>
  <r>
    <x v="2"/>
    <x v="1"/>
    <s v="F:\images\20210219\plaque 1/@02 EE2 33.8/B2_02.tif "/>
    <s v=" 1427.573 "/>
    <s v=" 65.2273 "/>
    <x v="0"/>
    <n v="93117"/>
    <m/>
    <m/>
    <m/>
  </r>
  <r>
    <x v="2"/>
    <x v="1"/>
    <s v="F:\images\20210219\plaque 1/@02 EE2 33.8/B2_03.tif "/>
    <s v=" 4239.4593 "/>
    <s v=" 70.1786 "/>
    <x v="0"/>
    <n v="297519"/>
    <m/>
    <m/>
    <m/>
  </r>
  <r>
    <x v="2"/>
    <x v="2"/>
    <s v="F:\images\20210219\plaque 1/@02 EE2 33.8/C2_01.tif "/>
    <s v=" 3482.413 "/>
    <s v=" 66.2484 "/>
    <x v="0"/>
    <n v="230704"/>
    <m/>
    <m/>
    <m/>
  </r>
  <r>
    <x v="2"/>
    <x v="2"/>
    <s v="F:\images\20210219\plaque 1/@02 EE2 33.8/C2_02.tif "/>
    <s v=" 3287.744 "/>
    <s v=" 65.9013 "/>
    <x v="0"/>
    <n v="216667"/>
    <m/>
    <m/>
    <m/>
  </r>
  <r>
    <x v="2"/>
    <x v="2"/>
    <s v="F:\images\20210219\plaque 1/@02 EE2 33.8/C2_03.tif "/>
    <s v=" 3633.8223 "/>
    <s v=" 65.8869 "/>
    <x v="0"/>
    <n v="239421"/>
    <m/>
    <m/>
    <m/>
  </r>
  <r>
    <x v="2"/>
    <x v="3"/>
    <s v="F:\images\20210219\plaque 1/@02 EE2 33.8/D2_01.tif "/>
    <s v=" 6964.8261 "/>
    <s v=" 70.177 "/>
    <x v="0"/>
    <n v="488771"/>
    <m/>
    <m/>
    <m/>
  </r>
  <r>
    <x v="2"/>
    <x v="3"/>
    <s v="F:\images\20210219\plaque 1/@02 EE2 33.8/D2_02.tif "/>
    <s v=" 7419.0539 "/>
    <s v=" 77.7697 "/>
    <x v="0"/>
    <n v="576977"/>
    <m/>
    <m/>
    <m/>
  </r>
  <r>
    <x v="2"/>
    <x v="3"/>
    <s v="F:\images\20210219\plaque 1/@02 EE2 33.8/D2_03.tif "/>
    <s v=" 6013.1107 "/>
    <s v=" 74.4317 "/>
    <x v="0"/>
    <n v="447566"/>
    <m/>
    <m/>
    <m/>
  </r>
  <r>
    <x v="2"/>
    <x v="4"/>
    <s v="F:\images\20210219\plaque 1/@02 EE2 33.8/E2_01.tif "/>
    <s v=" 2162.9895 "/>
    <s v=" 64.54 "/>
    <x v="0"/>
    <n v="139599"/>
    <m/>
    <m/>
    <m/>
  </r>
  <r>
    <x v="2"/>
    <x v="4"/>
    <s v="F:\images\20210219\plaque 1/@02 EE2 33.8/E2_02.tif "/>
    <s v=" 6186.1499 "/>
    <s v=" 68.1224 "/>
    <x v="0"/>
    <n v="421415"/>
    <m/>
    <m/>
    <m/>
  </r>
  <r>
    <x v="2"/>
    <x v="4"/>
    <s v="F:\images\20210219\plaque 1/@02 EE2 33.8/E2_03.tif "/>
    <s v=" 4152.9398 "/>
    <s v=" 67.6667 "/>
    <x v="0"/>
    <n v="281016"/>
    <m/>
    <m/>
    <m/>
  </r>
  <r>
    <x v="2"/>
    <x v="5"/>
    <s v="F:\images\20210219\plaque 1/@02 EE2 33.8/F2_01.tif "/>
    <s v=" 605.637 "/>
    <s v=" 63.2143 "/>
    <x v="0"/>
    <n v="38285"/>
    <m/>
    <m/>
    <m/>
  </r>
  <r>
    <x v="2"/>
    <x v="5"/>
    <s v="F:\images\20210219\plaque 1/@02 EE2 33.8/F2_02.tif "/>
    <s v=" 389.3381 "/>
    <s v=" 62.5 "/>
    <x v="0"/>
    <n v="24334"/>
    <m/>
    <m/>
    <m/>
  </r>
  <r>
    <x v="2"/>
    <x v="5"/>
    <s v="F:\images\20210219\plaque 1/@02 EE2 33.8/F2_03.tif "/>
    <s v=" 3244.4842 "/>
    <s v=" 65.0933 "/>
    <x v="0"/>
    <n v="211194"/>
    <m/>
    <m/>
    <m/>
  </r>
  <r>
    <x v="2"/>
    <x v="6"/>
    <s v="F:\images\20210219\plaque 1/@02 EE2 33.8/G2_01.tif "/>
    <s v=" 540.7474 "/>
    <s v=" 63.64 "/>
    <x v="0"/>
    <n v="34413"/>
    <m/>
    <m/>
    <m/>
  </r>
  <r>
    <x v="2"/>
    <x v="6"/>
    <s v="F:\images\20210219\plaque 1/@02 EE2 33.8/G2_02.tif "/>
    <s v=" 173.0392 "/>
    <s v=" 63.5 "/>
    <x v="0"/>
    <n v="10988"/>
    <m/>
    <m/>
    <m/>
  </r>
  <r>
    <x v="2"/>
    <x v="6"/>
    <s v="F:\images\20210219\plaque 1/@02 EE2 33.8/G2_03.tif "/>
    <s v=" 540.7474 "/>
    <s v=" 63.2 "/>
    <x v="0"/>
    <n v="34175"/>
    <m/>
    <m/>
    <m/>
  </r>
  <r>
    <x v="2"/>
    <x v="7"/>
    <s v="F:\images\20210219\plaque 1/@02 EE2 33.8/H2_01.tif "/>
    <s v=" 7765.1322 "/>
    <s v=" 72.8997 "/>
    <x v="0"/>
    <n v="566076"/>
    <m/>
    <m/>
    <m/>
  </r>
  <r>
    <x v="2"/>
    <x v="7"/>
    <s v="F:\images\20210219\plaque 1/@02 EE2 33.8/H2_02.tif "/>
    <s v=" 8089.5806 "/>
    <s v=" 70.254 "/>
    <x v="0"/>
    <n v="568325"/>
    <m/>
    <m/>
    <m/>
  </r>
  <r>
    <x v="2"/>
    <x v="7"/>
    <s v="F:\images\20210219\plaque 1/@02 EE2 33.8/H2_03.tif "/>
    <s v=" 3504.0429 "/>
    <s v=" 67.1481 "/>
    <x v="0"/>
    <n v="235290"/>
    <m/>
    <m/>
    <m/>
  </r>
  <r>
    <x v="1"/>
    <x v="8"/>
    <s v=" "/>
    <m/>
    <m/>
    <x v="1"/>
    <m/>
    <m/>
    <m/>
    <m/>
  </r>
  <r>
    <x v="1"/>
    <x v="8"/>
    <s v="group "/>
    <s v=" "/>
    <s v=" mean of mean fluo "/>
    <x v="2"/>
    <s v=" mean of total fluo "/>
    <s v=" SD total fluo "/>
    <s v=" n fluorescent "/>
    <s v=" n total"/>
  </r>
  <r>
    <x v="2"/>
    <x v="9"/>
    <s v="F:\images\20210219\plaque 1/@02 EE2 33.8/ "/>
    <s v=" "/>
    <s v=" 67.5352 "/>
    <x v="4"/>
    <s v=" 275354.875 "/>
    <s v=" 184804.77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3"/>
    <x v="0"/>
    <s v="F:\images\20210219\plaque 1/@03 EE2 50.6/A3_01.tif "/>
    <s v=" 5840.0715 "/>
    <s v=" 67.1481 "/>
    <x v="0"/>
    <n v="392150"/>
    <m/>
    <m/>
    <m/>
  </r>
  <r>
    <x v="3"/>
    <x v="0"/>
    <s v="F:\images\20210219\plaque 1/@03 EE2 50.6/A3_02.tif "/>
    <s v=" 3201.2244 "/>
    <s v=" 68.3108 "/>
    <x v="0"/>
    <n v="218678"/>
    <m/>
    <m/>
    <m/>
  </r>
  <r>
    <x v="3"/>
    <x v="0"/>
    <s v="F:\images\20210219\plaque 1/@03 EE2 50.6/A3_03.tif "/>
    <s v=" 951.7154 "/>
    <s v=" 63.1136 "/>
    <x v="0"/>
    <n v="60066"/>
    <m/>
    <m/>
    <m/>
  </r>
  <r>
    <x v="3"/>
    <x v="1"/>
    <s v="F:\images\20210219\plaque 1/@03 EE2 50.6/B3_01.tif "/>
    <s v=" 6121.2602 "/>
    <s v=" 65.5124 "/>
    <x v="0"/>
    <n v="401018"/>
    <m/>
    <m/>
    <m/>
  </r>
  <r>
    <x v="3"/>
    <x v="1"/>
    <s v="F:\images\20210219\plaque 1/@03 EE2 50.6/B3_02.tif "/>
    <s v=" 1687.1318 "/>
    <s v=" 63.8846 "/>
    <x v="0"/>
    <n v="107782"/>
    <m/>
    <m/>
    <m/>
  </r>
  <r>
    <x v="3"/>
    <x v="1"/>
    <s v="F:\images\20210219\plaque 1/@03 EE2 50.6/B3_03.tif "/>
    <s v=" 3287.744 "/>
    <s v=" 64.2303 "/>
    <x v="0"/>
    <n v="211173"/>
    <m/>
    <m/>
    <m/>
  </r>
  <r>
    <x v="3"/>
    <x v="2"/>
    <s v="F:\images\20210219\plaque 1/@03 EE2 50.6/C3_01.tif "/>
    <s v=" 4088.0501 "/>
    <s v=" 66.1905 "/>
    <x v="0"/>
    <n v="270590"/>
    <m/>
    <m/>
    <m/>
  </r>
  <r>
    <x v="3"/>
    <x v="2"/>
    <s v="F:\images\20210219\plaque 1/@03 EE2 50.6/C3_02.tif "/>
    <s v=" 1514.0926 "/>
    <s v=" 64.8 "/>
    <x v="0"/>
    <n v="98113"/>
    <m/>
    <m/>
    <m/>
  </r>
  <r>
    <x v="3"/>
    <x v="2"/>
    <s v="F:\images\20210219\plaque 1/@03 EE2 50.6/C3_03.tif "/>
    <s v=" 886.8257 "/>
    <s v=" 64.2195 "/>
    <x v="0"/>
    <n v="56952"/>
    <m/>
    <m/>
    <m/>
  </r>
  <r>
    <x v="3"/>
    <x v="3"/>
    <s v="F:\images\20210219\plaque 1/@03 EE2 50.6/D3_01.tif "/>
    <s v=" 3915.0109 "/>
    <s v=" 67.1657 "/>
    <x v="0"/>
    <n v="262955"/>
    <m/>
    <m/>
    <m/>
  </r>
  <r>
    <x v="3"/>
    <x v="3"/>
    <s v="F:\images\20210219\plaque 1/@03 EE2 50.6/D3_02.tif "/>
    <s v=" 2682.1069 "/>
    <s v=" 64.9677 "/>
    <x v="0"/>
    <n v="174250"/>
    <m/>
    <m/>
    <m/>
  </r>
  <r>
    <x v="3"/>
    <x v="3"/>
    <s v="F:\images\20210219\plaque 1/@03 EE2 50.6/D3_03.tif "/>
    <s v=" 3460.7831 "/>
    <s v=" 66.7562 "/>
    <x v="0"/>
    <n v="231029"/>
    <m/>
    <m/>
    <m/>
  </r>
  <r>
    <x v="3"/>
    <x v="4"/>
    <s v="F:\images\20210219\plaque 1/@03 EE2 50.6/E3_01.tif "/>
    <s v=" 4131.3099 "/>
    <s v=" 64.6126 "/>
    <x v="0"/>
    <n v="266935"/>
    <m/>
    <m/>
    <m/>
  </r>
  <r>
    <x v="3"/>
    <x v="4"/>
    <s v="F:\images\20210219\plaque 1/@03 EE2 50.6/E3_02.tif "/>
    <s v=" 713.7865 "/>
    <s v=" 62.6061 "/>
    <x v="0"/>
    <n v="44687"/>
    <m/>
    <m/>
    <m/>
  </r>
  <r>
    <x v="3"/>
    <x v="4"/>
    <s v="F:\images\20210219\plaque 1/@03 EE2 50.6/E3_03.tif "/>
    <s v=" 5753.552 "/>
    <s v=" 71.9098 "/>
    <x v="0"/>
    <n v="413737"/>
    <m/>
    <m/>
    <m/>
  </r>
  <r>
    <x v="3"/>
    <x v="5"/>
    <s v="F:\images\20210219\plaque 1/@03 EE2 50.6/F3_01.tif "/>
    <s v=" 1600.6122 "/>
    <s v=" 63.5405 "/>
    <x v="0"/>
    <n v="101704"/>
    <m/>
    <m/>
    <m/>
  </r>
  <r>
    <x v="3"/>
    <x v="5"/>
    <s v="F:\images\20210219\plaque 1/@03 EE2 50.6/F3_02.tif "/>
    <s v=" 584.0072 "/>
    <s v=" 61.963 "/>
    <x v="0"/>
    <n v="36187"/>
    <m/>
    <m/>
    <m/>
  </r>
  <r>
    <x v="3"/>
    <x v="5"/>
    <s v="F:\images\20210219\plaque 1/@03 EE2 50.6/F3_03.tif "/>
    <s v=" 627.2669 "/>
    <s v=" 61.7586 "/>
    <x v="0"/>
    <n v="38739"/>
    <m/>
    <m/>
    <m/>
  </r>
  <r>
    <x v="3"/>
    <x v="6"/>
    <s v="F:\images\20210219\plaque 1/@03 EE2 50.6/G3_01- exclu.tif"/>
    <m/>
    <m/>
    <x v="1"/>
    <m/>
    <m/>
    <m/>
    <m/>
  </r>
  <r>
    <x v="3"/>
    <x v="6"/>
    <s v="F:\images\20210219\plaque 1/@03 EE2 50.6/G3_02.tif "/>
    <s v=" 2465.808 "/>
    <s v=" 63.2368 "/>
    <x v="0"/>
    <n v="155930"/>
    <m/>
    <m/>
    <m/>
  </r>
  <r>
    <x v="3"/>
    <x v="6"/>
    <s v="F:\images\20210219\plaque 1/@03 EE2 50.6/G3_03.tif "/>
    <s v=" 3698.712 "/>
    <s v=" 63.538 "/>
    <x v="0"/>
    <n v="235009"/>
    <m/>
    <m/>
    <m/>
  </r>
  <r>
    <x v="3"/>
    <x v="7"/>
    <s v="F:\images\20210219\plaque 1/@03 EE2 50.6/H3_01.tif "/>
    <s v=" 843.5659 "/>
    <s v=" 62.7436 "/>
    <x v="0"/>
    <n v="52928"/>
    <m/>
    <m/>
    <m/>
  </r>
  <r>
    <x v="3"/>
    <x v="7"/>
    <s v="F:\images\20210219\plaque 1/@03 EE2 50.6/H3_02.tif "/>
    <s v=" 432.5979 "/>
    <s v=" 63.4 "/>
    <x v="0"/>
    <n v="27427"/>
    <m/>
    <m/>
    <m/>
  </r>
  <r>
    <x v="3"/>
    <x v="7"/>
    <s v="F:\images\20210219\plaque 1/@03 EE2 50.6/H3_03.tif "/>
    <s v=" 5061.3953 "/>
    <s v=" 73.6752 "/>
    <x v="0"/>
    <n v="372899"/>
    <m/>
    <m/>
    <m/>
  </r>
  <r>
    <x v="1"/>
    <x v="8"/>
    <s v=" "/>
    <m/>
    <m/>
    <x v="1"/>
    <m/>
    <m/>
    <m/>
    <m/>
  </r>
  <r>
    <x v="1"/>
    <x v="8"/>
    <s v="group "/>
    <s v=" "/>
    <s v=" mean of mean fluo "/>
    <x v="2"/>
    <s v=" mean of total fluo "/>
    <s v=" SD total fluo "/>
    <s v=" n fluorescent "/>
    <s v=" n total"/>
  </r>
  <r>
    <x v="3"/>
    <x v="9"/>
    <s v="F:\images\20210219\plaque 1/@03 EE2 50.6/ "/>
    <s v=" "/>
    <s v=" 65.3055 "/>
    <x v="5"/>
    <s v=" 201003.958 "/>
    <s v=" 150811.51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4"/>
    <x v="0"/>
    <s v="F:\images\20210219\plaque 1/@04 EE2 76/A4_01- exclu.tif"/>
    <m/>
    <m/>
    <x v="1"/>
    <m/>
    <m/>
    <m/>
    <m/>
  </r>
  <r>
    <x v="4"/>
    <x v="0"/>
    <s v="F:\images\20210219\plaque 1/@04 EE2 76/A4_02.tif "/>
    <s v=" 8695.2176 "/>
    <s v=" 79.8383 "/>
    <x v="0"/>
    <n v="694211"/>
    <m/>
    <m/>
    <m/>
  </r>
  <r>
    <x v="4"/>
    <x v="0"/>
    <s v="F:\images\20210219\plaque 1/@04 EE2 76/A4_03.tif "/>
    <s v=" 1903.4307 "/>
    <s v=" 63.4545 "/>
    <x v="0"/>
    <n v="120781"/>
    <m/>
    <m/>
    <m/>
  </r>
  <r>
    <x v="4"/>
    <x v="1"/>
    <s v="F:\images\20210219\plaque 1/@04 EE2 76/B4_01.tif "/>
    <s v=" 6380.8189 "/>
    <s v=" 71.8915 "/>
    <x v="0"/>
    <n v="458727"/>
    <m/>
    <m/>
    <m/>
  </r>
  <r>
    <x v="4"/>
    <x v="1"/>
    <s v="F:\images\20210219\plaque 1/@04 EE2 76/B4_02.tif "/>
    <s v=" 5558.8829 "/>
    <s v=" 66.5914 "/>
    <x v="0"/>
    <n v="370174"/>
    <m/>
    <m/>
    <m/>
  </r>
  <r>
    <x v="4"/>
    <x v="1"/>
    <s v="F:\images\20210219\plaque 1/@04 EE2 76/B4_03.tif "/>
    <s v=" 6121.2602 "/>
    <s v=" 70.477 "/>
    <x v="0"/>
    <n v="431408"/>
    <m/>
    <m/>
    <m/>
  </r>
  <r>
    <x v="4"/>
    <x v="2"/>
    <s v="F:\images\20210219\plaque 1/@04 EE2 76/C4_01.tif "/>
    <s v=" 5969.8509 "/>
    <s v=" 67.2935 "/>
    <x v="0"/>
    <n v="401732"/>
    <m/>
    <m/>
    <m/>
  </r>
  <r>
    <x v="4"/>
    <x v="2"/>
    <s v="F:\images\20210219\plaque 1/@04 EE2 76/C4_02.tif "/>
    <s v=" 4477.3882 "/>
    <s v=" 66.3237 "/>
    <x v="0"/>
    <n v="296957"/>
    <m/>
    <m/>
    <m/>
  </r>
  <r>
    <x v="4"/>
    <x v="2"/>
    <s v="F:\images\20210219\plaque 1/@04 EE2 76/C4_03.tif "/>
    <s v=" 1578.9823 "/>
    <s v=" 62.7671 "/>
    <x v="0"/>
    <n v="99108"/>
    <m/>
    <m/>
    <m/>
  </r>
  <r>
    <x v="4"/>
    <x v="3"/>
    <s v="F:\images\20210219\plaque 1/@04 EE2 76/D4_01.tif "/>
    <s v=" 8889.8867 "/>
    <s v=" 65.1411 "/>
    <x v="0"/>
    <n v="579097"/>
    <m/>
    <m/>
    <m/>
  </r>
  <r>
    <x v="4"/>
    <x v="3"/>
    <s v="F:\images\20210219\plaque 1/@04 EE2 76/D4_02.tif "/>
    <s v=" 4607.1676 "/>
    <s v=" 63.3333 "/>
    <x v="0"/>
    <n v="291787"/>
    <m/>
    <m/>
    <m/>
  </r>
  <r>
    <x v="4"/>
    <x v="3"/>
    <s v="F:\images\20210219\plaque 1/@04 EE2 76/D4_03.tif "/>
    <s v=" 3806.8615 "/>
    <s v=" 62.6989 "/>
    <x v="0"/>
    <n v="238686"/>
    <m/>
    <m/>
    <m/>
  </r>
  <r>
    <x v="4"/>
    <x v="4"/>
    <s v="F:\images\20210219\plaque 1/@04 EE2 76/E4_01.tif "/>
    <s v=" 3374.2636 "/>
    <s v=" 65.25 "/>
    <x v="0"/>
    <n v="220171"/>
    <m/>
    <m/>
    <m/>
  </r>
  <r>
    <x v="4"/>
    <x v="4"/>
    <s v="F:\images\20210219\plaque 1/@04 EE2 76/E4_02.tif "/>
    <s v=" 2660.477 "/>
    <s v=" 66.7398 "/>
    <x v="0"/>
    <n v="177560"/>
    <m/>
    <m/>
    <m/>
  </r>
  <r>
    <x v="4"/>
    <x v="4"/>
    <s v="F:\images\20210219\plaque 1/@04 EE2 76/E4_03.tif "/>
    <s v=" 1405.9432 "/>
    <s v=" 63.9385 "/>
    <x v="0"/>
    <n v="89894"/>
    <m/>
    <m/>
    <m/>
  </r>
  <r>
    <x v="4"/>
    <x v="5"/>
    <s v="F:\images\20210219\plaque 1/@04 EE2 76/F4_01.tif "/>
    <s v=" 11766.6627 "/>
    <s v=" 77.1305 "/>
    <x v="0"/>
    <n v="907569"/>
    <m/>
    <m/>
    <m/>
  </r>
  <r>
    <x v="4"/>
    <x v="5"/>
    <s v="F:\images\20210219\plaque 1/@04 EE2 76/F4_02.tif "/>
    <s v=" 12523.709 "/>
    <s v=" 76.3299 "/>
    <x v="0"/>
    <n v="955933"/>
    <m/>
    <m/>
    <m/>
  </r>
  <r>
    <x v="4"/>
    <x v="5"/>
    <s v="F:\images\20210219\plaque 1/@04 EE2 76/F4_03.tif "/>
    <s v=" 5710.2922 "/>
    <s v=" 67.5379 "/>
    <x v="0"/>
    <n v="385661"/>
    <m/>
    <m/>
    <m/>
  </r>
  <r>
    <x v="4"/>
    <x v="6"/>
    <s v="F:\images\20210219\plaque 1/@04 EE2 76/G4_01.tif "/>
    <s v=" 17952.8125 "/>
    <s v=" 66.7422 "/>
    <x v="0"/>
    <n v="1198210"/>
    <m/>
    <m/>
    <m/>
  </r>
  <r>
    <x v="4"/>
    <x v="6"/>
    <s v="F:\images\20210219\plaque 1/@04 EE2 76/G4_02.tif "/>
    <s v=" 14427.1397 "/>
    <s v=" 65.6912 "/>
    <x v="0"/>
    <n v="947735"/>
    <m/>
    <m/>
    <m/>
  </r>
  <r>
    <x v="4"/>
    <x v="6"/>
    <s v="F:\images\20210219\plaque 1/@04 EE2 76/G4_03.tif "/>
    <s v=" 13799.8728 "/>
    <s v=" 64.953 "/>
    <x v="0"/>
    <n v="896343"/>
    <m/>
    <m/>
    <m/>
  </r>
  <r>
    <x v="4"/>
    <x v="7"/>
    <s v="F:\images\20210219\plaque 1/@04 EE2 76/H4_01.tif "/>
    <s v=" 20807.9586 "/>
    <s v=" 66.9491 "/>
    <x v="0"/>
    <n v="1393073"/>
    <m/>
    <m/>
    <m/>
  </r>
  <r>
    <x v="4"/>
    <x v="7"/>
    <s v="F:\images\20210219\plaque 1/@04 EE2 76/H4_02.tif "/>
    <s v=" 17325.5456 "/>
    <s v=" 66.0537 "/>
    <x v="0"/>
    <n v="1144416"/>
    <m/>
    <m/>
    <m/>
  </r>
  <r>
    <x v="4"/>
    <x v="7"/>
    <s v="F:\images\20210219\plaque 1/@04 EE2 76/H4_03.tif "/>
    <s v=" 16611.7591 "/>
    <s v=" 65.5156 "/>
    <x v="0"/>
    <n v="1088330"/>
    <m/>
    <m/>
    <m/>
  </r>
  <r>
    <x v="1"/>
    <x v="8"/>
    <s v=" "/>
    <m/>
    <m/>
    <x v="1"/>
    <m/>
    <m/>
    <m/>
    <m/>
  </r>
  <r>
    <x v="1"/>
    <x v="8"/>
    <s v="group "/>
    <s v=" "/>
    <s v=" mean of mean fluo "/>
    <x v="2"/>
    <s v=" mean of total fluo "/>
    <s v=" SD total fluo "/>
    <s v=" n fluorescent "/>
    <s v=" n total"/>
  </r>
  <r>
    <x v="4"/>
    <x v="9"/>
    <s v="F:\images\20210219\plaque 1/@04 EE2 76/ "/>
    <s v=" "/>
    <s v=" 68.7062 "/>
    <x v="6"/>
    <s v=" 620221.875 "/>
    <s v=" 433613.93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5"/>
    <x v="0"/>
    <s v="F:\images\20210219\plaque 1/@05 EE2 114/A5_01.tif "/>
    <s v=" 27318.5569 "/>
    <s v=" 67.9525 "/>
    <x v="0"/>
    <n v="1856364"/>
    <m/>
    <m/>
    <m/>
  </r>
  <r>
    <x v="5"/>
    <x v="0"/>
    <s v="F:\images\20210219\plaque 1/@05 EE2 114/A5_02.tif "/>
    <s v=" 23252.1367 "/>
    <s v=" 67.6921 "/>
    <x v="0"/>
    <n v="1573986"/>
    <m/>
    <m/>
    <m/>
  </r>
  <r>
    <x v="5"/>
    <x v="0"/>
    <s v="F:\images\20210219\plaque 1/@05 EE2 114/A5_03.tif "/>
    <s v=" 26474.991 "/>
    <s v=" 67.6822 "/>
    <x v="0"/>
    <n v="1791885"/>
    <m/>
    <m/>
    <m/>
  </r>
  <r>
    <x v="5"/>
    <x v="1"/>
    <s v="F:\images\20210219\plaque 1/@05 EE2 114/B5_01.tif "/>
    <s v=" 12696.7481 "/>
    <s v=" 66.0698 "/>
    <x v="0"/>
    <n v="838872"/>
    <m/>
    <m/>
    <m/>
  </r>
  <r>
    <x v="5"/>
    <x v="1"/>
    <s v="F:\images\20210219\plaque 1/@05 EE2 114/B5_02.tif "/>
    <s v=" 11615.2534 "/>
    <s v=" 65.5512 "/>
    <x v="0"/>
    <n v="761394"/>
    <m/>
    <m/>
    <m/>
  </r>
  <r>
    <x v="5"/>
    <x v="1"/>
    <s v="F:\images\20210219\plaque 1/@05 EE2 114/B5_03.tif "/>
    <s v=" 11874.8122 "/>
    <s v=" 67.1257 "/>
    <x v="0"/>
    <n v="797105"/>
    <m/>
    <m/>
    <m/>
  </r>
  <r>
    <x v="5"/>
    <x v="2"/>
    <s v="F:\images\20210219\plaque 1/@05 EE2 114/C5_01.tif "/>
    <s v=" 11182.6555 "/>
    <s v=" 65.2205 "/>
    <x v="0"/>
    <n v="729338"/>
    <m/>
    <m/>
    <m/>
  </r>
  <r>
    <x v="5"/>
    <x v="2"/>
    <s v="F:\images\20210219\plaque 1/@05 EE2 114/C5_02.tif "/>
    <s v=" 11247.5452 "/>
    <s v=" 65.0269 "/>
    <x v="0"/>
    <n v="731393"/>
    <m/>
    <m/>
    <m/>
  </r>
  <r>
    <x v="5"/>
    <x v="2"/>
    <s v="F:\images\20210219\plaque 1/@05 EE2 114/C5_03.tif "/>
    <s v=" 12177.6307 "/>
    <s v=" 65.2877 "/>
    <x v="0"/>
    <n v="795050"/>
    <m/>
    <m/>
    <m/>
  </r>
  <r>
    <x v="5"/>
    <x v="3"/>
    <s v="F:\images\20210219\plaque 1/@05 EE2 114/D5_01.tif "/>
    <s v=" 28789.3898 "/>
    <s v=" 67.0511 "/>
    <x v="0"/>
    <n v="1930360"/>
    <m/>
    <m/>
    <m/>
  </r>
  <r>
    <x v="5"/>
    <x v="3"/>
    <s v="F:\images\20210219\plaque 1/@05 EE2 114/D5_02.tif "/>
    <s v=" 23533.3254 "/>
    <s v=" 66.1066 "/>
    <x v="0"/>
    <n v="1555709"/>
    <m/>
    <m/>
    <m/>
  </r>
  <r>
    <x v="5"/>
    <x v="3"/>
    <s v="F:\images\20210219\plaque 1/@05 EE2 114/D5_03.tif "/>
    <s v=" 24636.45 "/>
    <s v=" 66.5812 "/>
    <x v="0"/>
    <n v="1640325"/>
    <m/>
    <m/>
    <m/>
  </r>
  <r>
    <x v="5"/>
    <x v="4"/>
    <s v="F:\images\20210219\plaque 1/@05 EE2 114/E5_01.tif "/>
    <s v=" 7051.3456 "/>
    <s v=" 63.8344 "/>
    <x v="0"/>
    <n v="450118"/>
    <m/>
    <m/>
    <m/>
  </r>
  <r>
    <x v="5"/>
    <x v="4"/>
    <s v="F:\images\20210219\plaque 1/@05 EE2 114/E5_02.tif "/>
    <s v=" 10944.7267 "/>
    <s v=" 65.8775 "/>
    <x v="0"/>
    <n v="721011"/>
    <m/>
    <m/>
    <m/>
  </r>
  <r>
    <x v="5"/>
    <x v="4"/>
    <s v="F:\images\20210219\plaque 1/@05 EE2 114/E5_03.tif "/>
    <s v=" 7959.8012 "/>
    <s v=" 66.6033 "/>
    <x v="0"/>
    <n v="530149"/>
    <m/>
    <m/>
    <m/>
  </r>
  <r>
    <x v="5"/>
    <x v="5"/>
    <s v="F:\images\20210219\plaque 1/@05 EE2 114/F5_01.tif "/>
    <s v=" 29438.2866 "/>
    <s v=" 70.4901 "/>
    <x v="0"/>
    <n v="2075107"/>
    <m/>
    <m/>
    <m/>
  </r>
  <r>
    <x v="5"/>
    <x v="5"/>
    <s v="F:\images\20210219\plaque 1/@05 EE2 114/F5_02.tif "/>
    <s v=" 24614.8201 "/>
    <s v=" 65.8954 "/>
    <x v="0"/>
    <n v="1622004"/>
    <m/>
    <m/>
    <m/>
  </r>
  <r>
    <x v="5"/>
    <x v="5"/>
    <s v="F:\images\20210219\plaque 1/@05 EE2 114/F5_03.tif "/>
    <s v=" 30930.7493 "/>
    <s v=" 67.1524 "/>
    <x v="0"/>
    <n v="2077076"/>
    <m/>
    <m/>
    <m/>
  </r>
  <r>
    <x v="5"/>
    <x v="6"/>
    <s v="F:\images\20210219\plaque 1/@05 EE2 114/G5_01.tif "/>
    <s v=" 37938.8352 "/>
    <s v=" 67.9555 "/>
    <x v="0"/>
    <n v="2578154"/>
    <m/>
    <m/>
    <m/>
  </r>
  <r>
    <x v="5"/>
    <x v="6"/>
    <s v="F:\images\20210219\plaque 1/@05 EE2 114/G5_02.tif "/>
    <s v=" 25761.2045 "/>
    <s v=" 67.3107 "/>
    <x v="0"/>
    <n v="1734004"/>
    <m/>
    <m/>
    <m/>
  </r>
  <r>
    <x v="5"/>
    <x v="6"/>
    <s v="F:\images\20210219\plaque 1/@05 EE2 114/G5_03.tif "/>
    <s v=" 29568.066 "/>
    <s v=" 67.0505 "/>
    <x v="0"/>
    <n v="1982553"/>
    <m/>
    <m/>
    <m/>
  </r>
  <r>
    <x v="5"/>
    <x v="7"/>
    <s v="F:\images\20210219\plaque 1/@05 EE2 114/H5_01- exclu.tif"/>
    <m/>
    <m/>
    <x v="1"/>
    <m/>
    <m/>
    <m/>
    <m/>
  </r>
  <r>
    <x v="5"/>
    <x v="7"/>
    <s v="F:\images\20210219\plaque 1/@05 EE2 114/H5_02- exclu.tif"/>
    <m/>
    <m/>
    <x v="1"/>
    <m/>
    <m/>
    <m/>
    <m/>
  </r>
  <r>
    <x v="5"/>
    <x v="7"/>
    <s v="F:\images\20210219\plaque 1/@05 EE2 114/H5_03- exclu.tif"/>
    <m/>
    <m/>
    <x v="1"/>
    <m/>
    <m/>
    <m/>
    <m/>
  </r>
  <r>
    <x v="1"/>
    <x v="8"/>
    <s v=" "/>
    <m/>
    <m/>
    <x v="1"/>
    <m/>
    <m/>
    <m/>
    <m/>
  </r>
  <r>
    <x v="1"/>
    <x v="8"/>
    <s v="group "/>
    <s v=" "/>
    <s v=" mean of mean fluo "/>
    <x v="2"/>
    <s v=" mean of total fluo "/>
    <s v=" SD total fluo "/>
    <s v=" n fluorescent "/>
    <s v=" n total"/>
  </r>
  <r>
    <x v="5"/>
    <x v="9"/>
    <s v="F:\images\20210219\plaque 1/@05 EE2 114/ "/>
    <s v=" "/>
    <s v=" 66.3514 "/>
    <x v="7"/>
    <s v=" 1200103.21 "/>
    <s v=" 747826.17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6"/>
    <x v="0"/>
    <s v="F:\images\20210219\plaque 1/@06 EE2 170.9/A6_01.tif "/>
    <s v=" 47845.3269 "/>
    <s v=" 68.7604 "/>
    <x v="0"/>
    <n v="3289864"/>
    <m/>
    <m/>
    <m/>
  </r>
  <r>
    <x v="6"/>
    <x v="0"/>
    <s v="F:\images\20210219\plaque 1/@06 EE2 170.9/A6_02.tif "/>
    <s v=" 37441.3476 "/>
    <s v=" 69.3091 "/>
    <x v="0"/>
    <n v="2595025"/>
    <m/>
    <m/>
    <m/>
  </r>
  <r>
    <x v="6"/>
    <x v="0"/>
    <s v="F:\images\20210219\plaque 1/@06 EE2 170.9/A6_03.tif "/>
    <s v=" 41204.9493 "/>
    <s v=" 67.3711 "/>
    <x v="0"/>
    <n v="2776024"/>
    <m/>
    <m/>
    <m/>
  </r>
  <r>
    <x v="6"/>
    <x v="1"/>
    <s v="F:\images\20210219\plaque 1/@06 EE2 170.9/B6_01.tif "/>
    <s v=" 47996.7362 "/>
    <s v=" 72.2799 "/>
    <x v="0"/>
    <n v="3469197"/>
    <m/>
    <m/>
    <m/>
  </r>
  <r>
    <x v="6"/>
    <x v="1"/>
    <s v="F:\images\20210219\plaque 1/@06 EE2 170.9/B6_02.tif "/>
    <s v=" 39647.5969 "/>
    <s v=" 72.3077 "/>
    <x v="0"/>
    <n v="2866826"/>
    <m/>
    <m/>
    <m/>
  </r>
  <r>
    <x v="6"/>
    <x v="1"/>
    <s v="F:\images\20210219\plaque 1/@06 EE2 170.9/B6_03.tif "/>
    <s v=" 42113.4048 "/>
    <s v=" 69.8716 "/>
    <x v="0"/>
    <n v="2942531"/>
    <m/>
    <m/>
    <m/>
  </r>
  <r>
    <x v="6"/>
    <x v="2"/>
    <s v="F:\images\20210219\plaque 1/@06 EE2 170.9/C6_01.tif "/>
    <s v=" 50873.5122 "/>
    <s v=" 73.7313 "/>
    <x v="0"/>
    <n v="3750970"/>
    <m/>
    <m/>
    <m/>
  </r>
  <r>
    <x v="6"/>
    <x v="2"/>
    <s v="F:\images\20210219\plaque 1/@06 EE2 170.9/C6_02.tif "/>
    <s v=" 53944.9572 "/>
    <s v=" 71.6913 "/>
    <x v="0"/>
    <n v="3867382"/>
    <m/>
    <m/>
    <m/>
  </r>
  <r>
    <x v="6"/>
    <x v="2"/>
    <s v="F:\images\20210219\plaque 1/@06 EE2 170.9/C6_03.tif "/>
    <s v=" 51306.1101 "/>
    <s v=" 71.9865 "/>
    <x v="0"/>
    <n v="3693348"/>
    <m/>
    <m/>
    <m/>
  </r>
  <r>
    <x v="6"/>
    <x v="3"/>
    <s v="F:\images\20210219\plaque 1/@06 EE2 170.9/D6_01.tif "/>
    <s v=" 52214.5656 "/>
    <s v=" 72.401 "/>
    <x v="0"/>
    <n v="3780386"/>
    <m/>
    <m/>
    <m/>
  </r>
  <r>
    <x v="6"/>
    <x v="3"/>
    <s v="F:\images\20210219\plaque 1/@06 EE2 170.9/D6_02- exclu.tif"/>
    <m/>
    <m/>
    <x v="1"/>
    <m/>
    <m/>
    <m/>
    <m/>
  </r>
  <r>
    <x v="6"/>
    <x v="3"/>
    <s v="F:\images\20210219\plaque 1/@06 EE2 170.9/D6_03.tif "/>
    <s v=" 45768.857 "/>
    <s v=" 71.8715 "/>
    <x v="0"/>
    <n v="3289474"/>
    <m/>
    <m/>
    <m/>
  </r>
  <r>
    <x v="6"/>
    <x v="4"/>
    <s v="F:\images\20210219\plaque 1/@06 EE2 170.9/E6_01.tif "/>
    <s v=" 40296.4937 "/>
    <s v=" 70.2394 "/>
    <x v="0"/>
    <n v="2830401"/>
    <m/>
    <m/>
    <m/>
  </r>
  <r>
    <x v="6"/>
    <x v="4"/>
    <s v="F:\images\20210219\plaque 1/@06 EE2 170.9/E6_02.tif "/>
    <s v=" 40491.1627 "/>
    <s v=" 70.0502 "/>
    <x v="0"/>
    <n v="2836415"/>
    <m/>
    <m/>
    <m/>
  </r>
  <r>
    <x v="6"/>
    <x v="4"/>
    <s v="F:\images\20210219\plaque 1/@06 EE2 170.9/E6_03.tif "/>
    <s v=" 38111.8743 "/>
    <s v=" 69.7798 "/>
    <x v="0"/>
    <n v="2659439"/>
    <m/>
    <m/>
    <m/>
  </r>
  <r>
    <x v="6"/>
    <x v="5"/>
    <s v="F:\images\20210219\plaque 1/@06 EE2 170.9/F6_01.tif "/>
    <s v=" 54096.3665 "/>
    <s v=" 69.471 "/>
    <x v="0"/>
    <n v="3758129"/>
    <m/>
    <m/>
    <m/>
  </r>
  <r>
    <x v="6"/>
    <x v="5"/>
    <s v="F:\images\20210219\plaque 1/@06 EE2 170.9/F6_02.tif "/>
    <s v=" 45509.2983 "/>
    <s v=" 68.7681 "/>
    <x v="0"/>
    <n v="3129586"/>
    <m/>
    <m/>
    <m/>
  </r>
  <r>
    <x v="6"/>
    <x v="5"/>
    <s v="F:\images\20210219\plaque 1/@06 EE2 170.9/F6_03.tif "/>
    <s v=" 50527.4339 "/>
    <s v=" 72.2603 "/>
    <x v="0"/>
    <n v="3651126"/>
    <m/>
    <m/>
    <m/>
  </r>
  <r>
    <x v="6"/>
    <x v="6"/>
    <s v="F:\images\20210219\plaque 1/@06 EE2 170.9/G6_01.tif "/>
    <s v=" 61839.8687 "/>
    <s v=" 71.3788 "/>
    <x v="0"/>
    <n v="4414056"/>
    <m/>
    <m/>
    <m/>
  </r>
  <r>
    <x v="6"/>
    <x v="6"/>
    <s v="F:\images\20210219\plaque 1/@06 EE2 170.9/G6_02.tif "/>
    <s v=" 55999.7972 "/>
    <s v=" 70.0297 "/>
    <x v="0"/>
    <n v="3921651"/>
    <m/>
    <m/>
    <m/>
  </r>
  <r>
    <x v="6"/>
    <x v="6"/>
    <s v="F:\images\20210219\plaque 1/@06 EE2 170.9/G6_03.tif "/>
    <s v=" 60671.8544 "/>
    <s v=" 73.2888 "/>
    <x v="0"/>
    <n v="4446566"/>
    <m/>
    <m/>
    <m/>
  </r>
  <r>
    <x v="6"/>
    <x v="7"/>
    <s v="F:\images\20210219\plaque 1/@06 EE2 170.9/H6_01.tif "/>
    <s v=" 41334.7286 "/>
    <s v=" 68.9409 "/>
    <x v="0"/>
    <n v="2849652"/>
    <m/>
    <m/>
    <m/>
  </r>
  <r>
    <x v="6"/>
    <x v="7"/>
    <s v="F:\images\20210219\plaque 1/@06 EE2 170.9/H6_02.tif "/>
    <s v=" 39885.5257 "/>
    <s v=" 69.8059 "/>
    <x v="0"/>
    <n v="2784243"/>
    <m/>
    <m/>
    <m/>
  </r>
  <r>
    <x v="6"/>
    <x v="7"/>
    <s v="F:\images\20210219\plaque 1/@06 EE2 170.9/H6_03.tif "/>
    <s v=" 42091.7749 "/>
    <s v=" 70.0622 "/>
    <x v="0"/>
    <n v="2949041"/>
    <m/>
    <m/>
    <m/>
  </r>
  <r>
    <x v="1"/>
    <x v="8"/>
    <s v=" "/>
    <m/>
    <m/>
    <x v="1"/>
    <m/>
    <m/>
    <m/>
    <m/>
  </r>
  <r>
    <x v="1"/>
    <x v="8"/>
    <s v="group "/>
    <s v=" "/>
    <s v=" mean of mean fluo "/>
    <x v="2"/>
    <s v=" mean of total fluo "/>
    <s v=" SD total fluo "/>
    <s v=" n fluorescent "/>
    <s v=" n total"/>
  </r>
  <r>
    <x v="6"/>
    <x v="9"/>
    <s v="F:\images\20210219\plaque 1/@06 EE2 170.9/ "/>
    <s v=" "/>
    <s v=" 70.4746 "/>
    <x v="8"/>
    <s v=" 3211262.42 "/>
    <s v=" 788887.52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7"/>
    <x v="0"/>
    <s v="F:\images\20210219\plaque 1/@07 EE2 488/A7_01.tif "/>
    <s v=" 24247.1119 "/>
    <s v=" 86.7832 "/>
    <x v="0"/>
    <n v="2104243"/>
    <m/>
    <m/>
    <m/>
  </r>
  <r>
    <x v="7"/>
    <x v="0"/>
    <s v="F:\images\20210219\plaque 1/@07 EE2 488/A7_02.tif "/>
    <s v=" 25739.5746 "/>
    <s v=" 83.5118 "/>
    <x v="0"/>
    <n v="2149557"/>
    <m/>
    <m/>
    <m/>
  </r>
  <r>
    <x v="7"/>
    <x v="0"/>
    <s v="F:\images\20210219\plaque 1/@07 EE2 488/A7_03.tif "/>
    <s v=" 24074.0727 "/>
    <s v=" 83.0018 "/>
    <x v="0"/>
    <n v="1998191"/>
    <m/>
    <m/>
    <m/>
  </r>
  <r>
    <x v="7"/>
    <x v="1"/>
    <s v="F:\images\20210219\plaque 1/@07 EE2 488/B7_01.tif "/>
    <s v=" 58011.3774 "/>
    <s v=" 97.0843 "/>
    <x v="0"/>
    <n v="5631992"/>
    <m/>
    <m/>
    <m/>
  </r>
  <r>
    <x v="7"/>
    <x v="1"/>
    <s v="F:\images\20210219\plaque 1/@07 EE2 488/B7_02.tif "/>
    <s v=" 53425.8397 "/>
    <s v=" 98.5972 "/>
    <x v="0"/>
    <n v="5267636"/>
    <m/>
    <m/>
    <m/>
  </r>
  <r>
    <x v="7"/>
    <x v="1"/>
    <s v="F:\images\20210219\plaque 1/@07 EE2 488/B7_03.tif "/>
    <s v=" 51154.7008 "/>
    <s v=" 96.1167 "/>
    <x v="0"/>
    <n v="4916821"/>
    <m/>
    <m/>
    <m/>
  </r>
  <r>
    <x v="7"/>
    <x v="2"/>
    <s v="F:\images\20210219\plaque 1/@07 EE2 488/C7_01.tif "/>
    <s v=" 55610.4591 "/>
    <s v=" 100.0972 "/>
    <x v="0"/>
    <n v="5566453"/>
    <m/>
    <m/>
    <m/>
  </r>
  <r>
    <x v="7"/>
    <x v="2"/>
    <s v="F:\images\20210219\plaque 1/@07 EE2 488/C7_02.tif "/>
    <s v=" 64219.1572 "/>
    <s v=" 95.2115 "/>
    <x v="0"/>
    <n v="6114404"/>
    <m/>
    <m/>
    <m/>
  </r>
  <r>
    <x v="7"/>
    <x v="2"/>
    <s v="F:\images\20210219\plaque 1/@07 EE2 488/C7_03.tif "/>
    <s v=" 62077.7976 "/>
    <s v=" 97.7777 "/>
    <x v="0"/>
    <n v="6069824"/>
    <m/>
    <m/>
    <m/>
  </r>
  <r>
    <x v="7"/>
    <x v="3"/>
    <s v="F:\images\20210219\plaque 1/@07 EE2 488/D7_01.tif "/>
    <s v=" 80073.8699 "/>
    <s v=" 92.0783 "/>
    <x v="0"/>
    <n v="7373069"/>
    <m/>
    <m/>
    <m/>
  </r>
  <r>
    <x v="7"/>
    <x v="3"/>
    <s v="F:\images\20210219\plaque 1/@07 EE2 488/D7_02.tif "/>
    <s v=" 78862.5958 "/>
    <s v=" 89.8596 "/>
    <x v="0"/>
    <n v="7086559"/>
    <m/>
    <m/>
    <m/>
  </r>
  <r>
    <x v="7"/>
    <x v="3"/>
    <s v="F:\images\20210219\plaque 1/@07 EE2 488/D7_03.tif "/>
    <s v=" 77435.0228 "/>
    <s v=" 93.0324 "/>
    <x v="0"/>
    <n v="7203966"/>
    <m/>
    <m/>
    <m/>
  </r>
  <r>
    <x v="7"/>
    <x v="4"/>
    <s v="F:\images\20210219\plaque 1/@07 EE2 488/E7_01.tif "/>
    <s v=" 59785.0288 "/>
    <s v=" 86.309 "/>
    <x v="0"/>
    <n v="5159984"/>
    <m/>
    <m/>
    <m/>
  </r>
  <r>
    <x v="7"/>
    <x v="4"/>
    <s v="F:\images\20210219\plaque 1/@07 EE2 488/E7_02.tif "/>
    <s v=" 59309.1711 "/>
    <s v=" 87.0908 "/>
    <x v="0"/>
    <n v="5165284"/>
    <m/>
    <m/>
    <m/>
  </r>
  <r>
    <x v="7"/>
    <x v="4"/>
    <s v="F:\images\20210219\plaque 1/@07 EE2 488/E7_03.tif "/>
    <s v=" 59806.6586 "/>
    <s v=" 85.6033 "/>
    <x v="0"/>
    <n v="5119645"/>
    <m/>
    <m/>
    <m/>
  </r>
  <r>
    <x v="7"/>
    <x v="5"/>
    <s v="F:\images\20210219\plaque 1/@07 EE2 488/F7_01.tif "/>
    <s v=" 47737.1774 "/>
    <s v=" 87.1287 "/>
    <x v="0"/>
    <n v="4159277"/>
    <m/>
    <m/>
    <m/>
  </r>
  <r>
    <x v="7"/>
    <x v="5"/>
    <s v="F:\images\20210219\plaque 1/@07 EE2 488/F7_02.tif "/>
    <s v=" 49770.3875 "/>
    <s v=" 83.0152 "/>
    <x v="0"/>
    <n v="4131699"/>
    <m/>
    <m/>
    <m/>
  </r>
  <r>
    <x v="7"/>
    <x v="5"/>
    <s v="F:\images\20210219\plaque 1/@07 EE2 488/F7_03.tif "/>
    <s v=" 50246.2452 "/>
    <s v=" 84.5906 "/>
    <x v="0"/>
    <n v="4250361"/>
    <m/>
    <m/>
    <m/>
  </r>
  <r>
    <x v="7"/>
    <x v="6"/>
    <s v="F:\images\20210219\plaque 1/@07 EE2 488/G7_01.tif "/>
    <s v=" 86865.6568 "/>
    <s v=" 84.3723 "/>
    <x v="0"/>
    <n v="7329052"/>
    <m/>
    <m/>
    <m/>
  </r>
  <r>
    <x v="7"/>
    <x v="6"/>
    <s v="F:\images\20210219\plaque 1/@07 EE2 488/G7_02.tif "/>
    <s v=" 80917.4358 "/>
    <s v=" 83.8867 "/>
    <x v="0"/>
    <n v="6787894"/>
    <m/>
    <m/>
    <m/>
  </r>
  <r>
    <x v="7"/>
    <x v="6"/>
    <s v="F:\images\20210219\plaque 1/@07 EE2 488/G7_03.tif "/>
    <s v=" 81652.8522 "/>
    <s v=" 82.4895 "/>
    <x v="0"/>
    <n v="6735506"/>
    <m/>
    <m/>
    <m/>
  </r>
  <r>
    <x v="7"/>
    <x v="7"/>
    <s v="F:\images\20210219\plaque 1/@07 EE2 488/H7_01.tif "/>
    <s v=" 50419.2844 "/>
    <s v=" 83.109 "/>
    <x v="0"/>
    <n v="4190295"/>
    <m/>
    <m/>
    <m/>
  </r>
  <r>
    <x v="7"/>
    <x v="7"/>
    <s v="F:\images\20210219\plaque 1/@07 EE2 488/H7_02.tif "/>
    <s v=" 45033.4406 "/>
    <s v=" 85.8535 "/>
    <x v="0"/>
    <n v="3866279"/>
    <m/>
    <m/>
    <m/>
  </r>
  <r>
    <x v="7"/>
    <x v="7"/>
    <s v="F:\images\20210219\plaque 1/@07 EE2 488/H7_03.tif "/>
    <s v=" 44254.7644 "/>
    <s v=" 85.9707 "/>
    <x v="0"/>
    <n v="3804612"/>
    <m/>
    <m/>
    <m/>
  </r>
  <r>
    <x v="1"/>
    <x v="8"/>
    <s v=" "/>
    <m/>
    <m/>
    <x v="1"/>
    <m/>
    <m/>
    <m/>
    <m/>
  </r>
  <r>
    <x v="1"/>
    <x v="8"/>
    <s v="group "/>
    <s v=" "/>
    <s v=" mean of mean fluo "/>
    <x v="2"/>
    <s v=" mean of total fluo "/>
    <s v=" SD total fluo "/>
    <s v=" n fluorescent "/>
    <s v=" n total"/>
  </r>
  <r>
    <x v="7"/>
    <x v="9"/>
    <s v="F:\images\20210219\plaque 1/@07 EE2 488/ "/>
    <s v=" "/>
    <s v=" 88.8571 "/>
    <x v="9"/>
    <s v=" 5090941.79 "/>
    <s v=" 1621105.0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8"/>
    <x v="0"/>
    <s v="F:\images\20210219\plaque 1/@08 17b estradiol 34 ng_L/A8_01.tif "/>
    <s v=" 951.7154 "/>
    <s v=" 63.3182 "/>
    <x v="0"/>
    <n v="60261"/>
    <m/>
    <m/>
    <m/>
  </r>
  <r>
    <x v="8"/>
    <x v="0"/>
    <s v="F:\images\20210219\plaque 1/@08 17b estradiol 34 ng_L/A8_02.tif "/>
    <s v=" 3893.381 "/>
    <s v=" 68.4833 "/>
    <x v="0"/>
    <n v="266632"/>
    <m/>
    <m/>
    <m/>
  </r>
  <r>
    <x v="8"/>
    <x v="0"/>
    <s v="F:\images\20210219\plaque 1/@08 17b estradiol 34 ng_L/A8_03.tif "/>
    <s v=" 367.7082 "/>
    <s v=" 62.7059 "/>
    <x v="0"/>
    <n v="23057"/>
    <m/>
    <m/>
    <m/>
  </r>
  <r>
    <x v="8"/>
    <x v="1"/>
    <s v="F:\images\20210219\plaque 1/@08 17b estradiol 34 ng_L/B8_01- exclu.tif"/>
    <m/>
    <m/>
    <x v="1"/>
    <m/>
    <m/>
    <m/>
    <m/>
  </r>
  <r>
    <x v="8"/>
    <x v="1"/>
    <s v="F:\images\20210219\plaque 1/@08 17b estradiol 34 ng_L/B8_02.tif "/>
    <s v=" 11377.3246 "/>
    <s v=" 75.1483 "/>
    <x v="0"/>
    <n v="854986"/>
    <m/>
    <m/>
    <m/>
  </r>
  <r>
    <x v="8"/>
    <x v="1"/>
    <s v="F:\images\20210219\plaque 1/@08 17b estradiol 34 ng_L/B8_03.tif "/>
    <s v=" 6467.3385 "/>
    <s v=" 67.6321 "/>
    <x v="0"/>
    <n v="437400"/>
    <m/>
    <m/>
    <m/>
  </r>
  <r>
    <x v="8"/>
    <x v="2"/>
    <s v="F:\images\20210219\plaque 1/@08 17b estradiol 34 ng_L/C8_01.tif "/>
    <s v=" 7072.9755 "/>
    <s v=" 72.7095 "/>
    <x v="0"/>
    <n v="514272"/>
    <m/>
    <m/>
    <m/>
  </r>
  <r>
    <x v="8"/>
    <x v="2"/>
    <s v="F:\images\20210219\plaque 1/@08 17b estradiol 34 ng_L/C8_02.tif "/>
    <s v=" 5861.7014 "/>
    <s v=" 66.7122 "/>
    <x v="0"/>
    <n v="391047"/>
    <m/>
    <m/>
    <m/>
  </r>
  <r>
    <x v="8"/>
    <x v="2"/>
    <s v="F:\images\20210219\plaque 1/@08 17b estradiol 34 ng_L/C8_03.tif "/>
    <s v=" 2920.0358 "/>
    <s v=" 64.2148 "/>
    <x v="0"/>
    <n v="187510"/>
    <m/>
    <m/>
    <m/>
  </r>
  <r>
    <x v="8"/>
    <x v="3"/>
    <s v="F:\images\20210219\plaque 1/@08 17b estradiol 34 ng_L/D8_01.tif "/>
    <s v=" 1643.872 "/>
    <s v=" 66.3026 "/>
    <x v="0"/>
    <n v="108993"/>
    <m/>
    <m/>
    <m/>
  </r>
  <r>
    <x v="8"/>
    <x v="3"/>
    <s v="F:\images\20210219\plaque 1/@08 17b estradiol 34 ng_L/D8_02.tif "/>
    <s v=" 3395.8935 "/>
    <s v=" 68.2357 "/>
    <x v="0"/>
    <n v="231721"/>
    <m/>
    <m/>
    <m/>
  </r>
  <r>
    <x v="8"/>
    <x v="3"/>
    <s v="F:\images\20210219\plaque 1/@08 17b estradiol 34 ng_L/D8_03.tif "/>
    <s v=" 1059.8648 "/>
    <s v=" 63.7551 "/>
    <x v="0"/>
    <n v="67572"/>
    <m/>
    <m/>
    <m/>
  </r>
  <r>
    <x v="8"/>
    <x v="4"/>
    <s v="F:\images\20210219\plaque 1/@08 17b estradiol 34 ng_L/E8_01.tif "/>
    <s v=" 7397.424 "/>
    <s v=" 77.2281 "/>
    <x v="0"/>
    <n v="571289"/>
    <m/>
    <m/>
    <m/>
  </r>
  <r>
    <x v="8"/>
    <x v="4"/>
    <s v="F:\images\20210219\plaque 1/@08 17b estradiol 34 ng_L/E8_02.tif "/>
    <s v=" 4239.4593 "/>
    <s v=" 71.8316 "/>
    <x v="0"/>
    <n v="304527"/>
    <m/>
    <m/>
    <m/>
  </r>
  <r>
    <x v="8"/>
    <x v="4"/>
    <s v="F:\images\20210219\plaque 1/@08 17b estradiol 34 ng_L/E8_03.tif "/>
    <s v=" 5688.6623 "/>
    <s v=" 79.7186 "/>
    <x v="0"/>
    <n v="453492"/>
    <m/>
    <m/>
    <m/>
  </r>
  <r>
    <x v="8"/>
    <x v="5"/>
    <s v="F:\images\20210219\plaque 1/@08 17b estradiol 34 ng_L/F8_01.tif "/>
    <s v=" 5104.6551 "/>
    <s v=" 66.0551 "/>
    <x v="0"/>
    <n v="337188"/>
    <m/>
    <m/>
    <m/>
  </r>
  <r>
    <x v="8"/>
    <x v="5"/>
    <s v="F:\images\20210219\plaque 1/@08 17b estradiol 34 ng_L/F8_02.tif "/>
    <s v=" 7786.7621 "/>
    <s v=" 72.2833 "/>
    <x v="0"/>
    <n v="562853"/>
    <m/>
    <m/>
    <m/>
  </r>
  <r>
    <x v="8"/>
    <x v="5"/>
    <s v="F:\images\20210219\plaque 1/@08 17b estradiol 34 ng_L/F8_03.tif "/>
    <s v=" 5256.0644 "/>
    <s v=" 68.893 "/>
    <x v="0"/>
    <n v="362106"/>
    <m/>
    <m/>
    <m/>
  </r>
  <r>
    <x v="8"/>
    <x v="6"/>
    <s v="F:\images\20210219\plaque 1/@08 17b estradiol 34 ng_L/G8_01.tif "/>
    <s v=" 5710.2922 "/>
    <s v=" 69.7311 "/>
    <x v="0"/>
    <n v="398185"/>
    <m/>
    <m/>
    <m/>
  </r>
  <r>
    <x v="8"/>
    <x v="6"/>
    <s v="F:\images\20210219\plaque 1/@08 17b estradiol 34 ng_L/G8_02.tif "/>
    <s v=" 2098.0998 "/>
    <s v=" 63.5052 "/>
    <x v="0"/>
    <n v="133240"/>
    <m/>
    <m/>
    <m/>
  </r>
  <r>
    <x v="8"/>
    <x v="6"/>
    <s v="F:\images\20210219\plaque 1/@08 17b estradiol 34 ng_L/G8_03.tif "/>
    <s v=" 1427.573 "/>
    <s v=" 66.7273 "/>
    <x v="0"/>
    <n v="95258"/>
    <m/>
    <m/>
    <m/>
  </r>
  <r>
    <x v="8"/>
    <x v="7"/>
    <s v="F:\images\20210219\plaque 1/@08 17b estradiol 34 ng_L/H8_01.tif "/>
    <s v=" 1081.4947 "/>
    <s v=" 63.58 "/>
    <x v="0"/>
    <n v="68761"/>
    <m/>
    <m/>
    <m/>
  </r>
  <r>
    <x v="8"/>
    <x v="7"/>
    <s v="F:\images\20210219\plaque 1/@08 17b estradiol 34 ng_L/H8_02.tif "/>
    <s v=" 1989.9503 "/>
    <s v=" 63.587 "/>
    <x v="0"/>
    <n v="126535"/>
    <m/>
    <m/>
    <m/>
  </r>
  <r>
    <x v="8"/>
    <x v="7"/>
    <s v="F:\images\20210219\plaque 1/@08 17b estradiol 34 ng_L/H8_03.tif "/>
    <s v=" 5039.7654 "/>
    <s v=" 70.7082 "/>
    <x v="0"/>
    <n v="356353"/>
    <m/>
    <m/>
    <m/>
  </r>
  <r>
    <x v="1"/>
    <x v="8"/>
    <s v=" "/>
    <m/>
    <m/>
    <x v="1"/>
    <m/>
    <m/>
    <m/>
    <m/>
  </r>
  <r>
    <x v="1"/>
    <x v="8"/>
    <s v="group "/>
    <s v=" "/>
    <s v=" mean of mean fluo "/>
    <x v="2"/>
    <s v=" mean of total fluo "/>
    <s v=" SD total fluo "/>
    <s v=" n fluorescent "/>
    <s v=" n total"/>
  </r>
  <r>
    <x v="8"/>
    <x v="9"/>
    <s v="F:\images\20210219\plaque 1/@08 17b estradiol 34 ng_L/ "/>
    <s v=" "/>
    <s v=" 69.1503 "/>
    <x v="10"/>
    <s v=" 338670.958 "/>
    <s v=" 276853.53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9"/>
    <x v="0"/>
    <s v="F:\images\20210219\plaque 1/@09 17b estradiol 68/A9_01.tif "/>
    <s v=" 12653.4884 "/>
    <s v=" 69.2154 "/>
    <x v="0"/>
    <n v="875816"/>
    <m/>
    <m/>
    <m/>
  </r>
  <r>
    <x v="9"/>
    <x v="0"/>
    <s v="F:\images\20210219\plaque 1/@09 17b estradiol 68/A9_02.tif "/>
    <s v=" 9365.7444 "/>
    <s v=" 68.8915 "/>
    <x v="0"/>
    <n v="645220"/>
    <m/>
    <m/>
    <m/>
  </r>
  <r>
    <x v="9"/>
    <x v="0"/>
    <s v="F:\images\20210219\plaque 1/@09 17b estradiol 68/A9_03.tif "/>
    <s v=" 9819.9722 "/>
    <s v=" 76.2555 "/>
    <x v="0"/>
    <n v="748827"/>
    <m/>
    <m/>
    <m/>
  </r>
  <r>
    <x v="9"/>
    <x v="1"/>
    <s v="F:\images\20210219\plaque 1/@09 17b estradiol 68/B9_01.tif "/>
    <s v=" 5429.1036 "/>
    <s v=" 71.3108 "/>
    <x v="0"/>
    <n v="387153"/>
    <m/>
    <m/>
    <m/>
  </r>
  <r>
    <x v="9"/>
    <x v="1"/>
    <s v="F:\images\20210219\plaque 1/@09 17b estradiol 68/B9_02.tif "/>
    <s v=" 930.0855 "/>
    <s v=" 65.5116 "/>
    <x v="0"/>
    <n v="60931"/>
    <m/>
    <m/>
    <m/>
  </r>
  <r>
    <x v="9"/>
    <x v="1"/>
    <s v="F:\images\20210219\plaque 1/@09 17b estradiol 68/B9_03.tif "/>
    <s v=" 1578.9823 "/>
    <s v=" 65.7945 "/>
    <x v="0"/>
    <n v="103888"/>
    <m/>
    <m/>
    <m/>
  </r>
  <r>
    <x v="9"/>
    <x v="2"/>
    <s v="F:\images\20210219\plaque 1/@09 17b estradiol 68/C9_01.tif "/>
    <s v=" 584.0072 "/>
    <s v=" 63.1111 "/>
    <x v="0"/>
    <n v="36857"/>
    <m/>
    <m/>
    <m/>
  </r>
  <r>
    <x v="9"/>
    <x v="2"/>
    <s v="F:\images\20210219\plaque 1/@09 17b estradiol 68/C9_02.tif "/>
    <s v=" 3915.0109 "/>
    <s v=" 70.0387 "/>
    <x v="0"/>
    <n v="274202"/>
    <m/>
    <m/>
    <m/>
  </r>
  <r>
    <x v="9"/>
    <x v="2"/>
    <s v="F:\images\20210219\plaque 1/@09 17b estradiol 68/C9_03.tif "/>
    <s v=" 778.6762 "/>
    <s v=" 63.0556 "/>
    <x v="0"/>
    <n v="49100"/>
    <m/>
    <m/>
    <m/>
  </r>
  <r>
    <x v="9"/>
    <x v="3"/>
    <s v="F:\images\20210219\plaque 1/@09 17b estradiol 68/D9_01- exclu.tif"/>
    <m/>
    <m/>
    <x v="1"/>
    <m/>
    <m/>
    <m/>
    <m/>
  </r>
  <r>
    <x v="9"/>
    <x v="3"/>
    <s v="F:\images\20210219\plaque 1/@09 17b estradiol 68/D9_02- exclu.tif"/>
    <m/>
    <m/>
    <x v="1"/>
    <m/>
    <m/>
    <m/>
    <m/>
  </r>
  <r>
    <x v="9"/>
    <x v="3"/>
    <s v="F:\images\20210219\plaque 1/@09 17b estradiol 68/D9_03.tif "/>
    <s v=" 10944.7267 "/>
    <s v=" 78.9348 "/>
    <x v="0"/>
    <n v="863920"/>
    <m/>
    <m/>
    <m/>
  </r>
  <r>
    <x v="9"/>
    <x v="4"/>
    <s v="F:\images\20210219\plaque 1/@09 17b estradiol 68/E9_01.tif "/>
    <s v=" 4693.6871 "/>
    <s v=" 63.6452 "/>
    <x v="0"/>
    <n v="298730"/>
    <m/>
    <m/>
    <m/>
  </r>
  <r>
    <x v="9"/>
    <x v="4"/>
    <s v="F:\images\20210219\plaque 1/@09 17b estradiol 68/E9_02.tif "/>
    <s v=" 6791.7869 "/>
    <s v=" 68.6178 "/>
    <x v="0"/>
    <n v="466038"/>
    <m/>
    <m/>
    <m/>
  </r>
  <r>
    <x v="9"/>
    <x v="4"/>
    <s v="F:\images\20210219\plaque 1/@09 17b estradiol 68/E9_03.tif "/>
    <s v=" 4996.5057 "/>
    <s v=" 67.2814 "/>
    <x v="0"/>
    <n v="336172"/>
    <m/>
    <m/>
    <m/>
  </r>
  <r>
    <x v="9"/>
    <x v="5"/>
    <s v="F:\images\20210219\plaque 1/@09 17b estradiol 68/F9_01.tif "/>
    <s v=" 4542.2779 "/>
    <s v=" 67.2714 "/>
    <x v="0"/>
    <n v="305566"/>
    <m/>
    <m/>
    <m/>
  </r>
  <r>
    <x v="9"/>
    <x v="5"/>
    <s v="F:\images\20210219\plaque 1/@09 17b estradiol 68/F9_02.tif "/>
    <s v=" 2033.2101 "/>
    <s v=" 64.9894 "/>
    <x v="0"/>
    <n v="132137"/>
    <m/>
    <m/>
    <m/>
  </r>
  <r>
    <x v="9"/>
    <x v="5"/>
    <s v="F:\images\20210219\plaque 1/@09 17b estradiol 68/F9_03.tif "/>
    <s v=" 3244.4842 "/>
    <s v=" 64.6467 "/>
    <x v="0"/>
    <n v="209745"/>
    <m/>
    <m/>
    <m/>
  </r>
  <r>
    <x v="9"/>
    <x v="6"/>
    <s v="F:\images\20210219\plaque 1/@09 17b estradiol 68/G9_01.tif "/>
    <s v=" 5147.9149 "/>
    <s v=" 68.8361 "/>
    <x v="0"/>
    <n v="354363"/>
    <m/>
    <m/>
    <m/>
  </r>
  <r>
    <x v="9"/>
    <x v="6"/>
    <s v="F:\images\20210219\plaque 1/@09 17b estradiol 68/G9_02.tif "/>
    <s v=" 3439.1532 "/>
    <s v=" 63.5849 "/>
    <x v="0"/>
    <n v="218678"/>
    <m/>
    <m/>
    <m/>
  </r>
  <r>
    <x v="9"/>
    <x v="6"/>
    <s v="F:\images\20210219\plaque 1/@09 17b estradiol 68/G9_03.tif "/>
    <s v=" 4325.9789 "/>
    <s v=" 65.12 "/>
    <x v="0"/>
    <n v="281708"/>
    <m/>
    <m/>
    <m/>
  </r>
  <r>
    <x v="9"/>
    <x v="7"/>
    <s v="F:\images\20210219\plaque 1/@09 17b estradiol 68/H9_01.tif "/>
    <s v=" 1838.541 "/>
    <s v=" 65.8941 "/>
    <x v="0"/>
    <n v="121149"/>
    <m/>
    <m/>
    <m/>
  </r>
  <r>
    <x v="9"/>
    <x v="7"/>
    <s v="F:\images\20210219\plaque 1/@09 17b estradiol 68/H9_02.tif "/>
    <s v=" 7202.7549 "/>
    <s v=" 78.6156 "/>
    <x v="0"/>
    <n v="566249"/>
    <m/>
    <m/>
    <m/>
  </r>
  <r>
    <x v="9"/>
    <x v="7"/>
    <s v="F:\images\20210219\plaque 1/@09 17b estradiol 68/H9_03- exclu.tif"/>
    <m/>
    <m/>
    <x v="1"/>
    <m/>
    <m/>
    <m/>
    <m/>
  </r>
  <r>
    <x v="1"/>
    <x v="8"/>
    <s v=" "/>
    <m/>
    <m/>
    <x v="1"/>
    <m/>
    <m/>
    <m/>
    <m/>
  </r>
  <r>
    <x v="1"/>
    <x v="8"/>
    <s v="group "/>
    <s v=" "/>
    <s v=" mean of mean fluo "/>
    <x v="2"/>
    <s v=" mean of total fluo "/>
    <s v=" SD total fluo "/>
    <s v=" n fluorescent "/>
    <s v=" n total"/>
  </r>
  <r>
    <x v="9"/>
    <x v="9"/>
    <s v="F:\images\20210219\plaque 1/@09 17b estradiol 68/ "/>
    <s v=" "/>
    <s v=" 67.4489 "/>
    <x v="11"/>
    <s v=" 309307.5 "/>
    <s v=" 263992.87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0"/>
    <x v="0"/>
    <s v="F:\images\20210219\plaque 1/@10 17b estradiol 135/A10_01.tif "/>
    <s v=" 3590.5625 "/>
    <s v=" 64.0602 "/>
    <x v="0"/>
    <n v="230012"/>
    <m/>
    <m/>
    <m/>
  </r>
  <r>
    <x v="10"/>
    <x v="0"/>
    <s v="F:\images\20210219\plaque 1/@10 17b estradiol 135/A10_02.tif "/>
    <s v=" 4628.7975 "/>
    <s v=" 64.2477 "/>
    <x v="0"/>
    <n v="297389"/>
    <m/>
    <m/>
    <m/>
  </r>
  <r>
    <x v="10"/>
    <x v="0"/>
    <s v="F:\images\20210219\plaque 1/@10 17b estradiol 135/A10_03.tif "/>
    <s v=" 6315.9292 "/>
    <s v=" 67.5308 "/>
    <x v="0"/>
    <n v="426520"/>
    <m/>
    <m/>
    <m/>
  </r>
  <r>
    <x v="10"/>
    <x v="1"/>
    <s v="F:\images\20210219\plaque 1/@10 17b estradiol 135/B10_01.tif "/>
    <s v=" 25674.6849 "/>
    <s v=" 65.1735 "/>
    <x v="0"/>
    <n v="1673310"/>
    <m/>
    <m/>
    <m/>
  </r>
  <r>
    <x v="10"/>
    <x v="1"/>
    <s v="F:\images\20210219\plaque 1/@10 17b estradiol 135/B10_02.tif "/>
    <s v=" 26366.8416 "/>
    <s v=" 67.4561 "/>
    <x v="0"/>
    <n v="1778605"/>
    <m/>
    <m/>
    <m/>
  </r>
  <r>
    <x v="10"/>
    <x v="1"/>
    <s v="F:\images\20210219\plaque 1/@10 17b estradiol 135/B10_03.tif "/>
    <s v=" 14318.9902 "/>
    <s v=" 64.1828 "/>
    <x v="0"/>
    <n v="919033"/>
    <m/>
    <m/>
    <m/>
  </r>
  <r>
    <x v="10"/>
    <x v="2"/>
    <s v="F:\images\20210219\plaque 1/@10 17b estradiol 135/C10_01.tif "/>
    <s v=" 1643.872 "/>
    <s v=" 63.2632 "/>
    <x v="0"/>
    <n v="103997"/>
    <m/>
    <m/>
    <m/>
  </r>
  <r>
    <x v="10"/>
    <x v="2"/>
    <s v="F:\images\20210219\plaque 1/@10 17b estradiol 135/C10_02.tif "/>
    <s v=" 2357.6585 "/>
    <s v=" 63.0917 "/>
    <x v="0"/>
    <n v="148749"/>
    <m/>
    <m/>
    <m/>
  </r>
  <r>
    <x v="10"/>
    <x v="2"/>
    <s v="F:\images\20210219\plaque 1/@10 17b estradiol 135/C10_03- exclu.tif"/>
    <m/>
    <m/>
    <x v="1"/>
    <m/>
    <m/>
    <m/>
    <m/>
  </r>
  <r>
    <x v="10"/>
    <x v="3"/>
    <s v="F:\images\20210219\plaque 1/@10 17b estradiol 135/D10_01.tif "/>
    <s v=" 25090.6778 "/>
    <s v=" 68.7897 "/>
    <x v="0"/>
    <n v="1725979"/>
    <m/>
    <m/>
    <m/>
  </r>
  <r>
    <x v="10"/>
    <x v="3"/>
    <s v="F:\images\20210219\plaque 1/@10 17b estradiol 135/D10_02.tif "/>
    <s v=" 19531.7948 "/>
    <s v=" 67.7575 "/>
    <x v="0"/>
    <n v="1323425"/>
    <m/>
    <m/>
    <m/>
  </r>
  <r>
    <x v="10"/>
    <x v="3"/>
    <s v="F:\images\20210219\plaque 1/@10 17b estradiol 135/D10_03.tif "/>
    <s v=" 20526.77 "/>
    <s v=" 67.961 "/>
    <x v="0"/>
    <n v="1395020"/>
    <m/>
    <m/>
    <m/>
  </r>
  <r>
    <x v="10"/>
    <x v="4"/>
    <s v="F:\images\20210219\plaque 1/@10 17b estradiol 135/E10_01.tif "/>
    <s v=" 7916.5414 "/>
    <s v=" 75.3716 "/>
    <x v="0"/>
    <n v="596682"/>
    <m/>
    <m/>
    <m/>
  </r>
  <r>
    <x v="10"/>
    <x v="4"/>
    <s v="F:\images\20210219\plaque 1/@10 17b estradiol 135/E10_02.tif "/>
    <s v=" 7072.9755 "/>
    <s v=" 70.0489 "/>
    <x v="0"/>
    <n v="495454"/>
    <m/>
    <m/>
    <m/>
  </r>
  <r>
    <x v="10"/>
    <x v="4"/>
    <s v="F:\images\20210219\plaque 1/@10 17b estradiol 135/E10_03- exclu.tif"/>
    <m/>
    <m/>
    <x v="1"/>
    <m/>
    <m/>
    <m/>
    <m/>
  </r>
  <r>
    <x v="10"/>
    <x v="5"/>
    <s v="F:\images\20210219\plaque 1/@10 17b estradiol 135/F10_01.tif "/>
    <s v=" 44362.9139 "/>
    <s v=" 68.0585 "/>
    <x v="0"/>
    <n v="3019274"/>
    <m/>
    <m/>
    <m/>
  </r>
  <r>
    <x v="10"/>
    <x v="5"/>
    <s v="F:\images\20210219\plaque 1/@10 17b estradiol 135/F10_02.tif "/>
    <s v=" 48753.7825 "/>
    <s v=" 68.5945 "/>
    <x v="0"/>
    <n v="3344241"/>
    <m/>
    <m/>
    <m/>
  </r>
  <r>
    <x v="10"/>
    <x v="5"/>
    <s v="F:\images\20210219\plaque 1/@10 17b estradiol 135/F10_03.tif "/>
    <s v=" 40339.7535 "/>
    <s v=" 68.1464 "/>
    <x v="0"/>
    <n v="2749008"/>
    <m/>
    <m/>
    <m/>
  </r>
  <r>
    <x v="10"/>
    <x v="6"/>
    <s v="F:\images\20210219\plaque 1/@10 17b estradiol 135/G10_01.tif "/>
    <s v=" 3201.2244 "/>
    <s v=" 62.8041 "/>
    <x v="0"/>
    <n v="201050"/>
    <m/>
    <m/>
    <m/>
  </r>
  <r>
    <x v="10"/>
    <x v="6"/>
    <s v="F:\images\20210219\plaque 1/@10 17b estradiol 135/G10_02.tif "/>
    <s v=" 6445.7086 "/>
    <s v=" 64.2953 "/>
    <x v="0"/>
    <n v="414429"/>
    <m/>
    <m/>
    <m/>
  </r>
  <r>
    <x v="10"/>
    <x v="6"/>
    <s v="F:\images\20210219\plaque 1/@10 17b estradiol 135/G10_03.tif "/>
    <s v=" 6488.9684 "/>
    <s v=" 64.4467 "/>
    <x v="0"/>
    <n v="418192"/>
    <m/>
    <m/>
    <m/>
  </r>
  <r>
    <x v="10"/>
    <x v="7"/>
    <s v="F:\images\20210219\plaque 1/@10 17b estradiol 135/H10_01.tif "/>
    <s v=" 9582.0433 "/>
    <s v=" 66.5282 "/>
    <x v="0"/>
    <n v="637476"/>
    <m/>
    <m/>
    <m/>
  </r>
  <r>
    <x v="10"/>
    <x v="7"/>
    <s v="F:\images\20210219\plaque 1/@10 17b estradiol 135/H10_02.tif "/>
    <s v=" 9279.2248 "/>
    <s v=" 66.2471 "/>
    <x v="0"/>
    <n v="614722"/>
    <m/>
    <m/>
    <m/>
  </r>
  <r>
    <x v="10"/>
    <x v="7"/>
    <s v="F:\images\20210219\plaque 1/@10 17b estradiol 135/H10_03.tif "/>
    <s v=" 12004.5915 "/>
    <s v=" 65.1243 "/>
    <x v="0"/>
    <n v="781791"/>
    <m/>
    <m/>
    <m/>
  </r>
  <r>
    <x v="1"/>
    <x v="8"/>
    <s v=" "/>
    <m/>
    <m/>
    <x v="1"/>
    <m/>
    <m/>
    <m/>
    <m/>
  </r>
  <r>
    <x v="1"/>
    <x v="8"/>
    <s v="group "/>
    <s v=" "/>
    <s v=" mean of mean fluo "/>
    <x v="2"/>
    <s v=" mean of total fluo "/>
    <s v=" SD total fluo "/>
    <s v=" n fluorescent "/>
    <s v=" n total"/>
  </r>
  <r>
    <x v="10"/>
    <x v="9"/>
    <s v="F:\images\20210219\plaque 1/@10 17b estradiol 135/ "/>
    <s v=" "/>
    <s v=" 66.9474 "/>
    <x v="12"/>
    <s v=" 1003883.96 "/>
    <s v=" 943927.67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1"/>
    <x v="0"/>
    <s v="F:\images\20210219\plaque 1/@11 17b estradiol 270/A11_01.tif "/>
    <s v=" 72611.5563 "/>
    <s v=" 74.6113 "/>
    <x v="0"/>
    <n v="5417640"/>
    <m/>
    <m/>
    <m/>
  </r>
  <r>
    <x v="11"/>
    <x v="0"/>
    <s v="F:\images\20210219\plaque 1/@11 17b estradiol 270/A11_02.tif "/>
    <s v=" 68263.9474 "/>
    <s v=" 72.962 "/>
    <x v="0"/>
    <n v="4980673"/>
    <m/>
    <m/>
    <m/>
  </r>
  <r>
    <x v="11"/>
    <x v="0"/>
    <s v="F:\images\20210219\plaque 1/@11 17b estradiol 270/A11_03.tif "/>
    <s v=" 67615.0506 "/>
    <s v=" 72.1817 "/>
    <x v="0"/>
    <n v="4880569"/>
    <m/>
    <m/>
    <m/>
  </r>
  <r>
    <x v="11"/>
    <x v="1"/>
    <s v="F:\images\20210219\plaque 1/@11 17b estradiol 270/B11_01.tif "/>
    <s v=" 47845.3269 "/>
    <s v=" 72.6071 "/>
    <x v="0"/>
    <n v="3473912"/>
    <m/>
    <m/>
    <m/>
  </r>
  <r>
    <x v="11"/>
    <x v="1"/>
    <s v="F:\images\20210219\plaque 1/@11 17b estradiol 270/B11_02.tif "/>
    <s v=" 44514.3231 "/>
    <s v=" 72.2468 "/>
    <x v="0"/>
    <n v="3216019"/>
    <m/>
    <m/>
    <m/>
  </r>
  <r>
    <x v="11"/>
    <x v="1"/>
    <s v="F:\images\20210219\plaque 1/@11 17b estradiol 270/B11_03.tif "/>
    <s v=" 53404.2098 "/>
    <s v=" 71.9478 "/>
    <x v="0"/>
    <n v="3842313"/>
    <m/>
    <m/>
    <m/>
  </r>
  <r>
    <x v="11"/>
    <x v="2"/>
    <s v="F:\images\20210219\plaque 1/@11 17b estradiol 270/C11_01.tif "/>
    <s v=" 50765.3627 "/>
    <s v=" 72.248 "/>
    <x v="0"/>
    <n v="3667695"/>
    <m/>
    <m/>
    <m/>
  </r>
  <r>
    <x v="11"/>
    <x v="2"/>
    <s v="F:\images\20210219\plaque 1/@11 17b estradiol 270/C11_02.tif "/>
    <s v=" 47845.3269 "/>
    <s v=" 73.2604 "/>
    <x v="0"/>
    <n v="3505168"/>
    <m/>
    <m/>
    <m/>
  </r>
  <r>
    <x v="11"/>
    <x v="2"/>
    <s v="F:\images\20210219\plaque 1/@11 17b estradiol 270/C11_03.tif "/>
    <s v=" 46569.1631 "/>
    <s v=" 71.7887 "/>
    <x v="0"/>
    <n v="3343138"/>
    <m/>
    <m/>
    <m/>
  </r>
  <r>
    <x v="11"/>
    <x v="3"/>
    <s v="F:\images\20210219\plaque 1/@11 17b estradiol 270/D11_01.tif "/>
    <s v=" 74752.9158 "/>
    <s v=" 80.9711 "/>
    <x v="0"/>
    <n v="6052823"/>
    <m/>
    <m/>
    <m/>
  </r>
  <r>
    <x v="11"/>
    <x v="3"/>
    <s v="F:\images\20210219\plaque 1/@11 17b estradiol 270/D11_02.tif "/>
    <s v=" 70275.5276 "/>
    <s v=" 82.3777 "/>
    <x v="0"/>
    <n v="5789133"/>
    <m/>
    <m/>
    <m/>
  </r>
  <r>
    <x v="11"/>
    <x v="3"/>
    <s v="F:\images\20210219\plaque 1/@11 17b estradiol 270/D11_03.tif "/>
    <s v=" 72092.4388 "/>
    <s v=" 75.1095 "/>
    <x v="0"/>
    <n v="5414828"/>
    <m/>
    <m/>
    <m/>
  </r>
  <r>
    <x v="11"/>
    <x v="4"/>
    <s v="F:\images\20210219\plaque 1/@11 17b estradiol 270/E11_01.tif "/>
    <s v=" 69258.9226 "/>
    <s v=" 80.7836 "/>
    <x v="0"/>
    <n v="5594983"/>
    <m/>
    <m/>
    <m/>
  </r>
  <r>
    <x v="11"/>
    <x v="4"/>
    <s v="F:\images\20210219\plaque 1/@11 17b estradiol 270/E11_02.tif "/>
    <s v=" 62921.3635 "/>
    <s v=" 78.5328 "/>
    <x v="0"/>
    <n v="4941393"/>
    <m/>
    <m/>
    <m/>
  </r>
  <r>
    <x v="11"/>
    <x v="4"/>
    <s v="F:\images\20210219\plaque 1/@11 17b estradiol 270/E11_03.tif "/>
    <s v=" 63764.9294 "/>
    <s v=" 77.2673 "/>
    <x v="0"/>
    <n v="4926944"/>
    <m/>
    <m/>
    <m/>
  </r>
  <r>
    <x v="11"/>
    <x v="5"/>
    <s v="F:\images\20210219\plaque 1/@11 17b estradiol 270/F11_01.tif "/>
    <s v=" 64565.2355 "/>
    <s v=" 72.5816 "/>
    <x v="0"/>
    <n v="4686246"/>
    <m/>
    <m/>
    <m/>
  </r>
  <r>
    <x v="11"/>
    <x v="5"/>
    <s v="F:\images\20210219\plaque 1/@11 17b estradiol 270/F11_02.tif "/>
    <s v=" 65560.2106 "/>
    <s v=" 74.2234 "/>
    <x v="0"/>
    <n v="4866099"/>
    <m/>
    <m/>
    <m/>
  </r>
  <r>
    <x v="11"/>
    <x v="5"/>
    <s v="F:\images\20210219\plaque 1/@11 17b estradiol 270/F11_03.tif "/>
    <s v=" 66663.3352 "/>
    <s v=" 75.0811 "/>
    <x v="0"/>
    <n v="5005158"/>
    <m/>
    <m/>
    <m/>
  </r>
  <r>
    <x v="11"/>
    <x v="6"/>
    <s v="F:\images\20210219\plaque 1/@11 17b estradiol 270/G11_01.tif "/>
    <s v=" 46266.3446 "/>
    <s v=" 78.5727 "/>
    <x v="0"/>
    <n v="3635272"/>
    <m/>
    <m/>
    <m/>
  </r>
  <r>
    <x v="11"/>
    <x v="6"/>
    <s v="F:\images\20210219\plaque 1/@11 17b estradiol 270/G11_02.tif "/>
    <s v=" 50505.804 "/>
    <s v=" 77.7388 "/>
    <x v="0"/>
    <n v="3926258"/>
    <m/>
    <m/>
    <m/>
  </r>
  <r>
    <x v="11"/>
    <x v="6"/>
    <s v="F:\images\20210219\plaque 1/@11 17b estradiol 270/G11_03.tif "/>
    <s v=" 51046.5513 "/>
    <s v=" 77.3182 "/>
    <x v="0"/>
    <n v="3946829"/>
    <m/>
    <m/>
    <m/>
  </r>
  <r>
    <x v="11"/>
    <x v="7"/>
    <s v="F:\images\20210219\plaque 1/@11 17b estradiol 270/H11_01.tif "/>
    <s v=" 27015.7384 "/>
    <s v=" 77.6437 "/>
    <x v="0"/>
    <n v="2097602"/>
    <m/>
    <m/>
    <m/>
  </r>
  <r>
    <x v="11"/>
    <x v="7"/>
    <s v="F:\images\20210219\plaque 1/@11 17b estradiol 270/H11_02.tif "/>
    <s v=" 23533.3254 "/>
    <s v=" 82.2362 "/>
    <x v="0"/>
    <n v="1935292"/>
    <m/>
    <m/>
    <m/>
  </r>
  <r>
    <x v="11"/>
    <x v="7"/>
    <s v="F:\images\20210219\plaque 1/@11 17b estradiol 270/H11_03.tif "/>
    <s v=" 25934.2437 "/>
    <s v=" 79.8148 "/>
    <x v="0"/>
    <n v="2069938"/>
    <m/>
    <m/>
    <m/>
  </r>
  <r>
    <x v="1"/>
    <x v="8"/>
    <s v=" "/>
    <m/>
    <m/>
    <x v="1"/>
    <m/>
    <m/>
    <m/>
    <m/>
  </r>
  <r>
    <x v="1"/>
    <x v="8"/>
    <s v="group "/>
    <s v=" "/>
    <s v=" mean of mean fluo "/>
    <x v="2"/>
    <s v=" mean of total fluo "/>
    <s v=" SD total fluo "/>
    <s v=" n fluorescent "/>
    <s v=" n total"/>
  </r>
  <r>
    <x v="11"/>
    <x v="9"/>
    <s v="F:\images\20210219\plaque 1/@11 17b estradiol 270/ "/>
    <s v=" "/>
    <s v=" 76.0044 "/>
    <x v="13"/>
    <s v=" 4217330.21 "/>
    <s v=" 1179581.0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2"/>
    <x v="0"/>
    <s v="F:\images\20210219\plaque 1/@12 17b estradiol 540/A12_01.tif "/>
    <s v=" 55242.7509 "/>
    <s v=" 88.1492 "/>
    <x v="0"/>
    <n v="4869603"/>
    <m/>
    <m/>
    <m/>
  </r>
  <r>
    <x v="12"/>
    <x v="0"/>
    <s v="F:\images\20210219\plaque 1/@12 17b estradiol 540/A12_02.tif "/>
    <s v=" 53923.3273 "/>
    <s v=" 87.0181 "/>
    <x v="0"/>
    <n v="4692303"/>
    <m/>
    <m/>
    <m/>
  </r>
  <r>
    <x v="12"/>
    <x v="0"/>
    <s v="F:\images\20210219\plaque 1/@12 17b estradiol 540/A12_03.tif "/>
    <s v=" 50895.1421 "/>
    <s v=" 87.3842 "/>
    <x v="0"/>
    <n v="4447431"/>
    <m/>
    <m/>
    <m/>
  </r>
  <r>
    <x v="12"/>
    <x v="1"/>
    <s v="F:\images\20210219\plaque 1/@12 17b estradiol 540/B12_01.tif "/>
    <s v=" 84507.9983 "/>
    <s v=" 90.4159 "/>
    <x v="0"/>
    <n v="7640868"/>
    <m/>
    <m/>
    <m/>
  </r>
  <r>
    <x v="12"/>
    <x v="1"/>
    <s v="F:\images\20210219\plaque 1/@12 17b estradiol 540/B12_02.tif "/>
    <s v=" 82647.8274 "/>
    <s v=" 92.1471 "/>
    <x v="0"/>
    <n v="7615756"/>
    <m/>
    <m/>
    <m/>
  </r>
  <r>
    <x v="12"/>
    <x v="1"/>
    <s v="F:\images\20210219\plaque 1/@12 17b estradiol 540/B12_03.tif "/>
    <s v=" 80874.176 "/>
    <s v=" 94.2517 "/>
    <x v="0"/>
    <n v="7622526"/>
    <m/>
    <m/>
    <m/>
  </r>
  <r>
    <x v="12"/>
    <x v="2"/>
    <s v="F:\images\20210219\plaque 1/@12 17b estradiol 540/C12_01- exclu.tif"/>
    <m/>
    <m/>
    <x v="1"/>
    <m/>
    <m/>
    <m/>
    <m/>
  </r>
  <r>
    <x v="12"/>
    <x v="2"/>
    <s v="F:\images\20210219\plaque 1/@12 17b estradiol 540/C12_02.tif "/>
    <s v=" 74882.6952 "/>
    <s v=" 88.5575 "/>
    <x v="0"/>
    <n v="6631423"/>
    <m/>
    <m/>
    <m/>
  </r>
  <r>
    <x v="12"/>
    <x v="2"/>
    <s v="F:\images\20210219\plaque 1/@12 17b estradiol 540/C12_03- exclu.tif"/>
    <m/>
    <m/>
    <x v="1"/>
    <m/>
    <m/>
    <m/>
    <m/>
  </r>
  <r>
    <x v="12"/>
    <x v="3"/>
    <s v="F:\images\20210219\plaque 1/@12 17b estradiol 540/D12_01.tif "/>
    <s v=" 53425.8397 "/>
    <s v=" 87.4486 "/>
    <x v="0"/>
    <n v="4672014"/>
    <m/>
    <m/>
    <m/>
  </r>
  <r>
    <x v="12"/>
    <x v="3"/>
    <s v="F:\images\20210219\plaque 1/@12 17b estradiol 540/D12_02.tif "/>
    <s v=" 52625.5336 "/>
    <s v=" 87.7004 "/>
    <x v="0"/>
    <n v="4615279"/>
    <m/>
    <m/>
    <m/>
  </r>
  <r>
    <x v="12"/>
    <x v="3"/>
    <s v="F:\images\20210219\plaque 1/@12 17b estradiol 540/D12_03.tif "/>
    <s v=" 53296.0604 "/>
    <s v=" 84.2094 "/>
    <x v="0"/>
    <n v="4488030"/>
    <m/>
    <m/>
    <m/>
  </r>
  <r>
    <x v="12"/>
    <x v="4"/>
    <s v="F:\images\20210219\plaque 1/@12 17b estradiol 540/E12_01.tif "/>
    <s v=" 50202.9854 "/>
    <s v=" 95.4688 "/>
    <x v="0"/>
    <n v="4792817"/>
    <m/>
    <m/>
    <m/>
  </r>
  <r>
    <x v="12"/>
    <x v="4"/>
    <s v="F:\images\20210219\plaque 1/@12 17b estradiol 540/E12_02.tif "/>
    <s v=" 54637.1138 "/>
    <s v=" 95.1627 "/>
    <x v="0"/>
    <n v="5199416"/>
    <m/>
    <m/>
    <m/>
  </r>
  <r>
    <x v="12"/>
    <x v="4"/>
    <s v="F:\images\20210219\plaque 1/@12 17b estradiol 540/E12_03.tif "/>
    <s v=" 50073.2061 "/>
    <s v=" 97.4333 "/>
    <x v="0"/>
    <n v="4878796"/>
    <m/>
    <m/>
    <m/>
  </r>
  <r>
    <x v="12"/>
    <x v="5"/>
    <s v="F:\images\20210219\plaque 1/@12 17b estradiol 540/F12_01.tif "/>
    <s v=" 59244.2814 "/>
    <s v=" 99.4319 "/>
    <x v="0"/>
    <n v="5890772"/>
    <m/>
    <m/>
    <m/>
  </r>
  <r>
    <x v="12"/>
    <x v="5"/>
    <s v="F:\images\20210219\plaque 1/@12 17b estradiol 540/F12_02.tif "/>
    <s v=" 63375.5913 "/>
    <s v=" 93.9164 "/>
    <x v="0"/>
    <n v="5952006"/>
    <m/>
    <m/>
    <m/>
  </r>
  <r>
    <x v="12"/>
    <x v="5"/>
    <s v="F:\images\20210219\plaque 1/@12 17b estradiol 540/F12_03.tif "/>
    <s v=" 57427.3702 "/>
    <s v=" 96.2949 "/>
    <x v="0"/>
    <n v="5529964"/>
    <m/>
    <m/>
    <m/>
  </r>
  <r>
    <x v="12"/>
    <x v="6"/>
    <s v="F:\images\20210219\plaque 1/@12 17b estradiol 540/G12_01.tif "/>
    <s v=" 53901.6974 "/>
    <s v=" 88.7259 "/>
    <x v="0"/>
    <n v="4782478"/>
    <m/>
    <m/>
    <m/>
  </r>
  <r>
    <x v="12"/>
    <x v="6"/>
    <s v="F:\images\20210219\plaque 1/@12 17b estradiol 540/G12_02.tif "/>
    <s v=" 55805.1281 "/>
    <s v=" 87.762 "/>
    <x v="0"/>
    <n v="4897571"/>
    <m/>
    <m/>
    <m/>
  </r>
  <r>
    <x v="12"/>
    <x v="6"/>
    <s v="F:\images\20210219\plaque 1/@12 17b estradiol 540/G12_03.tif "/>
    <s v=" 53880.0675 "/>
    <s v=" 87.2967 "/>
    <x v="0"/>
    <n v="4703550"/>
    <m/>
    <m/>
    <m/>
  </r>
  <r>
    <x v="12"/>
    <x v="7"/>
    <s v="F:\images\20210219\plaque 1/@12 17b estradiol 540/H12_01.tif "/>
    <s v=" 75618.1116 "/>
    <s v=" 96.276 "/>
    <x v="0"/>
    <n v="7280212"/>
    <m/>
    <m/>
    <m/>
  </r>
  <r>
    <x v="12"/>
    <x v="7"/>
    <s v="F:\images\20210219\plaque 1/@12 17b estradiol 540/H12_02.tif "/>
    <s v=" 66641.7054 "/>
    <s v=" 95.889 "/>
    <x v="0"/>
    <n v="6390206"/>
    <m/>
    <m/>
    <m/>
  </r>
  <r>
    <x v="12"/>
    <x v="7"/>
    <s v="F:\images\20210219\plaque 1/@12 17b estradiol 540/H12_03.tif "/>
    <s v=" 76267.0085 "/>
    <s v=" 93.5 "/>
    <x v="0"/>
    <n v="7130965"/>
    <m/>
    <m/>
    <m/>
  </r>
  <r>
    <x v="1"/>
    <x v="8"/>
    <s v=" "/>
    <m/>
    <m/>
    <x v="1"/>
    <m/>
    <m/>
    <m/>
    <m/>
  </r>
  <r>
    <x v="1"/>
    <x v="8"/>
    <s v="group "/>
    <s v=" "/>
    <s v=" mean of mean fluo "/>
    <x v="2"/>
    <s v=" mean of total fluo "/>
    <s v=" SD total fluo "/>
    <s v=" n fluorescent "/>
    <s v=" n total"/>
  </r>
  <r>
    <x v="12"/>
    <x v="9"/>
    <s v="F:\images\20210219\plaque 1/@12 17b estradiol 540/ "/>
    <s v=" "/>
    <s v=" 89.4405 "/>
    <x v="14"/>
    <s v=" 5234887.83 "/>
    <s v=" 1843541.5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3"/>
    <x v="0"/>
    <s v="F:\images\20210219\plaque 2/@01 Testo 30/A1_01.tif "/>
    <s v=" 53944.9572 "/>
    <s v=" 70.9463 "/>
    <x v="0"/>
    <n v="3827194"/>
    <m/>
    <m/>
    <m/>
  </r>
  <r>
    <x v="13"/>
    <x v="0"/>
    <s v="F:\images\20210219\plaque 2/@01 Testo 30/A1_02- exclu.tif"/>
    <m/>
    <m/>
    <x v="1"/>
    <m/>
    <m/>
    <m/>
    <m/>
  </r>
  <r>
    <x v="13"/>
    <x v="0"/>
    <s v="F:\images\20210219\plaque 2/@01 Testo 30/A1_03.tif "/>
    <s v=" 49013.3412 "/>
    <s v=" 69.9978 "/>
    <x v="0"/>
    <n v="3430826"/>
    <m/>
    <m/>
    <m/>
  </r>
  <r>
    <x v="13"/>
    <x v="1"/>
    <s v="F:\images\20210219\plaque 2/@01 Testo 30/B1_01.tif "/>
    <s v=" 57968.1176 "/>
    <s v=" 79.7429 "/>
    <x v="0"/>
    <n v="4622546"/>
    <m/>
    <m/>
    <m/>
  </r>
  <r>
    <x v="13"/>
    <x v="1"/>
    <s v="F:\images\20210219\plaque 2/@01 Testo 30/B1_02.tif "/>
    <s v=" 51435.8894 "/>
    <s v=" 76.614 "/>
    <x v="0"/>
    <n v="3940707"/>
    <m/>
    <m/>
    <m/>
  </r>
  <r>
    <x v="13"/>
    <x v="1"/>
    <s v="F:\images\20210219\plaque 2/@01 Testo 30/B1_03.tif "/>
    <s v=" 55459.0498 "/>
    <s v=" 79.1112 "/>
    <x v="0"/>
    <n v="4387429"/>
    <m/>
    <m/>
    <m/>
  </r>
  <r>
    <x v="13"/>
    <x v="2"/>
    <s v="F:\images\20210219\plaque 2/@01 Testo 30/C1_01.tif "/>
    <s v=" 27837.6744 "/>
    <s v=" 67.3699 "/>
    <x v="0"/>
    <n v="1875420"/>
    <m/>
    <m/>
    <m/>
  </r>
  <r>
    <x v="13"/>
    <x v="2"/>
    <s v="F:\images\20210219\plaque 2/@01 Testo 30/C1_02.tif "/>
    <s v=" 17195.7662 "/>
    <s v=" 66.5409 "/>
    <x v="0"/>
    <n v="1144221"/>
    <m/>
    <m/>
    <m/>
  </r>
  <r>
    <x v="13"/>
    <x v="2"/>
    <s v="F:\images\20210219\plaque 2/@01 Testo 30/C1_03.tif "/>
    <s v=" 14816.4778 "/>
    <s v=" 64.6029 "/>
    <x v="0"/>
    <n v="957188"/>
    <m/>
    <m/>
    <m/>
  </r>
  <r>
    <x v="13"/>
    <x v="3"/>
    <s v="F:\images\20210219\plaque 2/@01 Testo 30/D1_01.tif "/>
    <s v=" 42848.8213 "/>
    <s v=" 71.3609 "/>
    <x v="0"/>
    <n v="3057732"/>
    <m/>
    <m/>
    <m/>
  </r>
  <r>
    <x v="13"/>
    <x v="3"/>
    <s v="F:\images\20210219\plaque 2/@01 Testo 30/D1_02.tif "/>
    <s v=" 20440.2504 "/>
    <s v=" 64.7587 "/>
    <x v="0"/>
    <n v="1323685"/>
    <m/>
    <m/>
    <m/>
  </r>
  <r>
    <x v="13"/>
    <x v="3"/>
    <s v="F:\images\20210219\plaque 2/@01 Testo 30/D1_03.tif "/>
    <s v=" 39171.7392 "/>
    <s v=" 71.0878 "/>
    <x v="0"/>
    <n v="2784633"/>
    <m/>
    <m/>
    <m/>
  </r>
  <r>
    <x v="13"/>
    <x v="4"/>
    <s v="F:\images\20210219\plaque 2/@01 Testo 30/E1_01.tif "/>
    <s v=" 15789.8231 "/>
    <s v=" 67.3534 "/>
    <x v="0"/>
    <n v="1063499"/>
    <m/>
    <m/>
    <m/>
  </r>
  <r>
    <x v="13"/>
    <x v="4"/>
    <s v="F:\images\20210219\plaque 2/@01 Testo 30/E1_02.tif "/>
    <s v=" 12199.2606 "/>
    <s v=" 66.633 "/>
    <x v="0"/>
    <n v="812873"/>
    <m/>
    <m/>
    <m/>
  </r>
  <r>
    <x v="13"/>
    <x v="4"/>
    <s v="F:\images\20210219\plaque 2/@01 Testo 30/E1_03.tif "/>
    <s v=" 16460.3498 "/>
    <s v=" 67.77 "/>
    <x v="0"/>
    <n v="1115519"/>
    <m/>
    <m/>
    <m/>
  </r>
  <r>
    <x v="13"/>
    <x v="5"/>
    <s v="F:\images\20210219\plaque 2/@01 Testo 30/F1_01.tif "/>
    <s v=" 27556.4858 "/>
    <s v=" 67.7261 "/>
    <x v="0"/>
    <n v="1866292"/>
    <m/>
    <m/>
    <m/>
  </r>
  <r>
    <x v="13"/>
    <x v="5"/>
    <s v="F:\images\20210219\plaque 2/@01 Testo 30/F1_02- exclu.tif"/>
    <m/>
    <m/>
    <x v="1"/>
    <m/>
    <m/>
    <m/>
    <m/>
  </r>
  <r>
    <x v="13"/>
    <x v="5"/>
    <s v="F:\images\20210219\plaque 2/@01 Testo 30/F1_03.tif "/>
    <s v=" 27145.5178 "/>
    <s v=" 69.9036 "/>
    <x v="0"/>
    <n v="1897569"/>
    <m/>
    <m/>
    <m/>
  </r>
  <r>
    <x v="13"/>
    <x v="6"/>
    <s v="F:\images\20210219\plaque 2/@01 Testo 30/G1_01.tif "/>
    <s v=" 31406.607 "/>
    <s v=" 68.3519 "/>
    <x v="0"/>
    <n v="2146702"/>
    <m/>
    <m/>
    <m/>
  </r>
  <r>
    <x v="13"/>
    <x v="6"/>
    <s v="F:\images\20210219\plaque 2/@01 Testo 30/G1_02.tif "/>
    <s v=" 29632.9556 "/>
    <s v=" 66.8533 "/>
    <x v="0"/>
    <n v="1981060"/>
    <m/>
    <m/>
    <m/>
  </r>
  <r>
    <x v="13"/>
    <x v="6"/>
    <s v="F:\images\20210219\plaque 2/@01 Testo 30/G1_03.tif "/>
    <s v=" 26453.3611 "/>
    <s v=" 66.35 "/>
    <x v="0"/>
    <n v="1755179"/>
    <m/>
    <m/>
    <m/>
  </r>
  <r>
    <x v="13"/>
    <x v="7"/>
    <s v="F:\images\20210219\plaque 2/@01 Testo 30/H1_01- exclu.tif"/>
    <m/>
    <m/>
    <x v="1"/>
    <m/>
    <m/>
    <m/>
    <m/>
  </r>
  <r>
    <x v="13"/>
    <x v="7"/>
    <s v="F:\images\20210219\plaque 2/@01 Testo 30/H1_02.tif "/>
    <s v=" 44341.284 "/>
    <s v=" 71.2146 "/>
    <x v="0"/>
    <n v="3157748"/>
    <m/>
    <m/>
    <m/>
  </r>
  <r>
    <x v="13"/>
    <x v="7"/>
    <s v="F:\images\20210219\plaque 2/@01 Testo 30/H1_03.tif "/>
    <s v=" 45682.3375 "/>
    <s v=" 70.4152 "/>
    <x v="0"/>
    <n v="3216733"/>
    <m/>
    <m/>
    <m/>
  </r>
  <r>
    <x v="1"/>
    <x v="8"/>
    <s v=" "/>
    <m/>
    <m/>
    <x v="1"/>
    <m/>
    <m/>
    <m/>
    <m/>
  </r>
  <r>
    <x v="1"/>
    <x v="8"/>
    <s v="group "/>
    <s v=" "/>
    <s v=" mean of mean fluo "/>
    <x v="2"/>
    <s v=" mean of total fluo "/>
    <s v=" SD total fluo "/>
    <s v=" n fluorescent "/>
    <s v=" n total"/>
  </r>
  <r>
    <x v="13"/>
    <x v="9"/>
    <s v="F:\images\20210219\plaque 2/@01 Testo 30/ "/>
    <s v=" "/>
    <s v=" 69.0678 "/>
    <x v="15"/>
    <s v=" 2218235.79 "/>
    <s v=" 1252045.1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4"/>
    <x v="0"/>
    <s v="F:\images\20210219\plaque 2/@02 Testo 30/A2_01.tif "/>
    <s v=" 28875.9093 "/>
    <s v=" 67.9993 "/>
    <x v="0"/>
    <n v="1963540"/>
    <m/>
    <m/>
    <m/>
  </r>
  <r>
    <x v="14"/>
    <x v="0"/>
    <s v="F:\images\20210219\plaque 2/@02 Testo 30/A2_02.tif "/>
    <s v=" 31125.4184 "/>
    <s v=" 68.0584 "/>
    <x v="0"/>
    <n v="2118345"/>
    <m/>
    <m/>
    <m/>
  </r>
  <r>
    <x v="14"/>
    <x v="0"/>
    <s v="F:\images\20210219\plaque 2/@02 Testo 30/A2_03.tif "/>
    <s v=" 22495.0904 "/>
    <s v=" 65.6375 "/>
    <x v="0"/>
    <n v="1476521"/>
    <m/>
    <m/>
    <m/>
  </r>
  <r>
    <x v="14"/>
    <x v="1"/>
    <s v="F:\images\20210219\plaque 2/@02 Testo 30/B2_01- exclu.tif"/>
    <m/>
    <m/>
    <x v="1"/>
    <m/>
    <m/>
    <m/>
    <m/>
  </r>
  <r>
    <x v="14"/>
    <x v="1"/>
    <s v="F:\images\20210219\plaque 2/@02 Testo 30/B2_02- exclu.tif"/>
    <m/>
    <m/>
    <x v="1"/>
    <m/>
    <m/>
    <m/>
    <m/>
  </r>
  <r>
    <x v="14"/>
    <x v="1"/>
    <s v="F:\images\20210219\plaque 2/@02 Testo 30/B2_03- exclu.tif"/>
    <m/>
    <m/>
    <x v="1"/>
    <m/>
    <m/>
    <m/>
    <m/>
  </r>
  <r>
    <x v="14"/>
    <x v="2"/>
    <s v="F:\images\20210219\plaque 2/@02 Testo 30/C2_01- exclu.tif"/>
    <m/>
    <m/>
    <x v="1"/>
    <m/>
    <m/>
    <m/>
    <m/>
  </r>
  <r>
    <x v="14"/>
    <x v="2"/>
    <s v="F:\images\20210219\plaque 2/@02 Testo 30/C2_02.tif "/>
    <s v=" 3136.3347 "/>
    <s v=" 65.0345 "/>
    <x v="0"/>
    <n v="203970"/>
    <m/>
    <m/>
    <m/>
  </r>
  <r>
    <x v="14"/>
    <x v="2"/>
    <s v="F:\images\20210219\plaque 2/@02 Testo 30/C2_03.tif "/>
    <s v=" 1600.6122 "/>
    <s v=" 64.4189 "/>
    <x v="0"/>
    <n v="103110"/>
    <m/>
    <m/>
    <m/>
  </r>
  <r>
    <x v="14"/>
    <x v="3"/>
    <s v="F:\images\20210219\plaque 2/@02 Testo 30/D2_01.tif "/>
    <s v=" 27556.4858 "/>
    <s v=" 67.073 "/>
    <x v="0"/>
    <n v="1848296"/>
    <m/>
    <m/>
    <m/>
  </r>
  <r>
    <x v="14"/>
    <x v="3"/>
    <s v="F:\images\20210219\plaque 2/@02 Testo 30/D2_02- exclu.tif"/>
    <m/>
    <m/>
    <x v="1"/>
    <m/>
    <m/>
    <m/>
    <m/>
  </r>
  <r>
    <x v="14"/>
    <x v="3"/>
    <s v="F:\images\20210219\plaque 2/@02 Testo 30/D2_03- exclu.tif"/>
    <m/>
    <m/>
    <x v="1"/>
    <m/>
    <m/>
    <m/>
    <m/>
  </r>
  <r>
    <x v="14"/>
    <x v="4"/>
    <s v="F:\images\20210219\plaque 2/@02 Testo 30/E2_01.tif "/>
    <s v=" 50376.0246 "/>
    <s v=" 78.3753 "/>
    <x v="0"/>
    <n v="3948234"/>
    <m/>
    <m/>
    <m/>
  </r>
  <r>
    <x v="14"/>
    <x v="4"/>
    <s v="F:\images\20210219\plaque 2/@02 Testo 30/E2_02.tif "/>
    <s v=" 51825.2275 "/>
    <s v=" 76.3936 "/>
    <x v="0"/>
    <n v="3959114"/>
    <m/>
    <m/>
    <m/>
  </r>
  <r>
    <x v="14"/>
    <x v="4"/>
    <s v="F:\images\20210219\plaque 2/@02 Testo 30/E2_03.tif "/>
    <s v=" 52452.4945 "/>
    <s v=" 75.6581 "/>
    <x v="0"/>
    <n v="3968458"/>
    <m/>
    <m/>
    <m/>
  </r>
  <r>
    <x v="14"/>
    <x v="5"/>
    <s v="F:\images\20210219\plaque 2/@02 Testo 30/F2_01.tif "/>
    <s v=" 35732.5859 "/>
    <s v=" 68.2567 "/>
    <x v="0"/>
    <n v="2438987"/>
    <m/>
    <m/>
    <m/>
  </r>
  <r>
    <x v="14"/>
    <x v="5"/>
    <s v="F:\images\20210219\plaque 2/@02 Testo 30/F2_02.tif "/>
    <s v=" 36922.2301 "/>
    <s v=" 68.4013 "/>
    <x v="0"/>
    <n v="2525528"/>
    <m/>
    <m/>
    <m/>
  </r>
  <r>
    <x v="14"/>
    <x v="5"/>
    <s v="F:\images\20210219\plaque 2/@02 Testo 30/F2_03.tif "/>
    <s v=" 36922.2301 "/>
    <s v=" 69.2056 "/>
    <x v="0"/>
    <n v="2555226"/>
    <m/>
    <m/>
    <m/>
  </r>
  <r>
    <x v="14"/>
    <x v="6"/>
    <s v="F:\images\20210219\plaque 2/@02 Testo 30/G2_01.tif "/>
    <s v=" 951.7154 "/>
    <s v=" 65.0227 "/>
    <x v="0"/>
    <n v="61883"/>
    <m/>
    <m/>
    <m/>
  </r>
  <r>
    <x v="14"/>
    <x v="6"/>
    <s v="F:\images\20210219\plaque 2/@02 Testo 30/G2_02.tif "/>
    <s v=" 3136.3347 "/>
    <s v=" 67.2069 "/>
    <x v="0"/>
    <n v="210783"/>
    <m/>
    <m/>
    <m/>
  </r>
  <r>
    <x v="14"/>
    <x v="6"/>
    <s v="F:\images\20210219\plaque 2/@02 Testo 30/G2_03.tif "/>
    <s v=" 2920.0358 "/>
    <s v=" 68.3185 "/>
    <x v="0"/>
    <n v="199493"/>
    <m/>
    <m/>
    <m/>
  </r>
  <r>
    <x v="14"/>
    <x v="7"/>
    <s v="F:\images\20210219\plaque 2/@02 Testo 30/H2_01.tif "/>
    <s v=" 56583.8043 "/>
    <s v=" 71.8521 "/>
    <x v="0"/>
    <n v="4065663"/>
    <m/>
    <m/>
    <m/>
  </r>
  <r>
    <x v="14"/>
    <x v="7"/>
    <s v="F:\images\20210219\plaque 2/@02 Testo 30/H2_02.tif "/>
    <s v=" 48753.7825 "/>
    <s v=" 71.7582 "/>
    <x v="0"/>
    <n v="3498484"/>
    <m/>
    <m/>
    <m/>
  </r>
  <r>
    <x v="14"/>
    <x v="7"/>
    <s v="F:\images\20210219\plaque 2/@02 Testo 30/H2_03.tif "/>
    <s v=" 46114.9353 "/>
    <s v=" 70.6177 "/>
    <x v="0"/>
    <n v="3256532"/>
    <m/>
    <m/>
    <m/>
  </r>
  <r>
    <x v="1"/>
    <x v="8"/>
    <s v=" "/>
    <m/>
    <m/>
    <x v="1"/>
    <m/>
    <m/>
    <m/>
    <m/>
  </r>
  <r>
    <x v="1"/>
    <x v="8"/>
    <s v="group "/>
    <s v=" "/>
    <s v=" mean of mean fluo "/>
    <x v="2"/>
    <s v=" mean of total fluo "/>
    <s v=" SD total fluo "/>
    <s v=" n fluorescent "/>
    <s v=" n total"/>
  </r>
  <r>
    <x v="14"/>
    <x v="9"/>
    <s v="F:\images\20210219\plaque 2/@02 Testo 30/ "/>
    <s v=" "/>
    <s v=" 71.2538 "/>
    <x v="16"/>
    <s v=" 1987914.25 "/>
    <s v=" 1483042.3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5"/>
    <x v="0"/>
    <s v="F:\images\20210219\plaque 2/@03 Testo+ EE2 64/A3_01.tif "/>
    <s v=" 42740.6718 "/>
    <s v=" 75.9383 "/>
    <x v="0"/>
    <n v="3245652"/>
    <m/>
    <m/>
    <m/>
  </r>
  <r>
    <x v="15"/>
    <x v="0"/>
    <s v="F:\images\20210219\plaque 2/@03 Testo+ EE2 64/A3_02.tif "/>
    <s v=" 35667.6962 "/>
    <s v=" 78.1158 "/>
    <x v="0"/>
    <n v="2786212"/>
    <m/>
    <m/>
    <m/>
  </r>
  <r>
    <x v="15"/>
    <x v="0"/>
    <s v="F:\images\20210219\plaque 2/@03 Testo+ EE2 64/A3_03.tif "/>
    <s v=" 36013.7746 "/>
    <s v=" 77.5213 "/>
    <x v="0"/>
    <n v="2791835"/>
    <m/>
    <m/>
    <m/>
  </r>
  <r>
    <x v="15"/>
    <x v="1"/>
    <s v="F:\images\20210219\plaque 2/@03 Testo+ EE2 64/B3_01.tif "/>
    <s v=" 75769.5209 "/>
    <s v=" 74.4747 "/>
    <x v="0"/>
    <n v="5642915"/>
    <m/>
    <m/>
    <m/>
  </r>
  <r>
    <x v="15"/>
    <x v="1"/>
    <s v="F:\images\20210219\plaque 2/@03 Testo+ EE2 64/B3_02.tif "/>
    <s v=" 69172.403 "/>
    <s v=" 76.1654 "/>
    <x v="0"/>
    <n v="5268545"/>
    <m/>
    <m/>
    <m/>
  </r>
  <r>
    <x v="15"/>
    <x v="1"/>
    <s v="F:\images\20210219\plaque 2/@03 Testo+ EE2 64/B3_03- exclu.tif"/>
    <m/>
    <m/>
    <x v="1"/>
    <m/>
    <m/>
    <m/>
    <m/>
  </r>
  <r>
    <x v="15"/>
    <x v="2"/>
    <s v="F:\images\20210219\plaque 2/@03 Testo+ EE2 64/C3_01.tif "/>
    <s v=" 76548.1971 "/>
    <s v=" 78.6827 "/>
    <x v="0"/>
    <n v="6023017"/>
    <m/>
    <m/>
    <m/>
  </r>
  <r>
    <x v="15"/>
    <x v="2"/>
    <s v="F:\images\20210219\plaque 2/@03 Testo+ EE2 64/C3_02.tif "/>
    <s v=" 72676.446 "/>
    <s v=" 80.1848 "/>
    <x v="0"/>
    <n v="5827548"/>
    <m/>
    <m/>
    <m/>
  </r>
  <r>
    <x v="15"/>
    <x v="2"/>
    <s v="F:\images\20210219\plaque 2/@03 Testo+ EE2 64/C3_03.tif "/>
    <s v=" 65473.691 "/>
    <s v=" 81.2616 "/>
    <x v="0"/>
    <n v="5320500"/>
    <m/>
    <m/>
    <m/>
  </r>
  <r>
    <x v="15"/>
    <x v="3"/>
    <s v="F:\images\20210219\plaque 2/@03 Testo+ EE2 64/D3_01.tif "/>
    <s v=" 51457.5193 "/>
    <s v=" 80.6196 "/>
    <x v="0"/>
    <n v="4148484"/>
    <m/>
    <m/>
    <m/>
  </r>
  <r>
    <x v="15"/>
    <x v="3"/>
    <s v="F:\images\20210219\plaque 2/@03 Testo+ EE2 64/D3_02.tif "/>
    <s v=" 53382.5799 "/>
    <s v=" 79.889 "/>
    <x v="0"/>
    <n v="4264680"/>
    <m/>
    <m/>
    <m/>
  </r>
  <r>
    <x v="15"/>
    <x v="3"/>
    <s v="F:\images\20210219\plaque 2/@03 Testo+ EE2 64/D3_03.tif "/>
    <s v=" 53707.0284 "/>
    <s v=" 79.9533 "/>
    <x v="0"/>
    <n v="4294053"/>
    <m/>
    <m/>
    <m/>
  </r>
  <r>
    <x v="15"/>
    <x v="4"/>
    <s v="F:\images\20210219\plaque 2/@03 Testo+ EE2 64/E3_01- exclu.tif"/>
    <m/>
    <m/>
    <x v="1"/>
    <m/>
    <m/>
    <m/>
    <m/>
  </r>
  <r>
    <x v="15"/>
    <x v="4"/>
    <s v="F:\images\20210219\plaque 2/@03 Testo+ EE2 64/E3_02- exclu.tif"/>
    <m/>
    <m/>
    <x v="1"/>
    <m/>
    <m/>
    <m/>
    <m/>
  </r>
  <r>
    <x v="15"/>
    <x v="4"/>
    <s v="F:\images\20210219\plaque 2/@03 Testo+ EE2 64/E3_03- exclu.tif"/>
    <m/>
    <m/>
    <x v="1"/>
    <m/>
    <m/>
    <m/>
    <m/>
  </r>
  <r>
    <x v="15"/>
    <x v="5"/>
    <s v="F:\images\20210219\plaque 2/@03 Testo+ EE2 64/F3_01.tif "/>
    <s v=" 42199.9244 "/>
    <s v=" 74.6074 "/>
    <x v="0"/>
    <n v="3148426"/>
    <m/>
    <m/>
    <m/>
  </r>
  <r>
    <x v="15"/>
    <x v="5"/>
    <s v="F:\images\20210219\plaque 2/@03 Testo+ EE2 64/F3_02.tif "/>
    <s v=" 41226.5792 "/>
    <s v=" 73.6002 "/>
    <x v="0"/>
    <n v="3034285"/>
    <m/>
    <m/>
    <m/>
  </r>
  <r>
    <x v="15"/>
    <x v="5"/>
    <s v="F:\images\20210219\plaque 2/@03 Testo+ EE2 64/F3_03.tif "/>
    <s v=" 39258.2588 "/>
    <s v=" 73.346 "/>
    <x v="0"/>
    <n v="2879436"/>
    <m/>
    <m/>
    <m/>
  </r>
  <r>
    <x v="15"/>
    <x v="6"/>
    <s v="F:\images\20210219\plaque 2/@03 Testo+ EE2 64/G3_01.tif "/>
    <s v=" 58530.4949 "/>
    <s v=" 74.7901 "/>
    <x v="0"/>
    <n v="4377501"/>
    <m/>
    <m/>
    <m/>
  </r>
  <r>
    <x v="15"/>
    <x v="6"/>
    <s v="F:\images\20210219\plaque 2/@03 Testo+ EE2 64/G3_02.tif "/>
    <s v=" 57362.4806 "/>
    <s v=" 76.31 "/>
    <x v="0"/>
    <n v="4377328"/>
    <m/>
    <m/>
    <m/>
  </r>
  <r>
    <x v="15"/>
    <x v="6"/>
    <s v="F:\images\20210219\plaque 2/@03 Testo+ EE2 64/G3_03.tif "/>
    <s v=" 56475.6549 "/>
    <s v=" 75.4018 "/>
    <x v="0"/>
    <n v="4258364"/>
    <m/>
    <m/>
    <m/>
  </r>
  <r>
    <x v="15"/>
    <x v="7"/>
    <s v="F:\images\20210219\plaque 2/@03 Testo+ EE2 64/H3_01.tif "/>
    <s v=" 56086.3168 "/>
    <s v=" 72.7462 "/>
    <x v="0"/>
    <n v="4080069"/>
    <m/>
    <m/>
    <m/>
  </r>
  <r>
    <x v="15"/>
    <x v="7"/>
    <s v="F:\images\20210219\plaque 2/@03 Testo+ EE2 64/H3_02.tif "/>
    <s v=" 61818.2388 "/>
    <s v=" 73.6725 "/>
    <x v="0"/>
    <n v="4554304"/>
    <m/>
    <m/>
    <m/>
  </r>
  <r>
    <x v="15"/>
    <x v="7"/>
    <s v="F:\images\20210219\plaque 2/@03 Testo+ EE2 64/H3_03.tif "/>
    <s v=" 60369.0359 "/>
    <s v=" 72.0193 "/>
    <x v="0"/>
    <n v="4347739"/>
    <m/>
    <m/>
    <m/>
  </r>
  <r>
    <x v="1"/>
    <x v="8"/>
    <s v=" "/>
    <m/>
    <m/>
    <x v="1"/>
    <m/>
    <m/>
    <m/>
    <m/>
  </r>
  <r>
    <x v="1"/>
    <x v="8"/>
    <s v="group "/>
    <s v=" "/>
    <s v=" mean of mean fluo "/>
    <x v="2"/>
    <s v=" mean of total fluo "/>
    <s v=" SD total fluo "/>
    <s v=" n fluorescent "/>
    <s v=" n total"/>
  </r>
  <r>
    <x v="15"/>
    <x v="9"/>
    <s v="F:\images\20210219\plaque 2/@03 Testo+ EE2 64/ "/>
    <s v=" "/>
    <s v=" 74.6017 "/>
    <x v="17"/>
    <s v=" 3710306.5 "/>
    <s v=" 1644601.1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6"/>
    <x v="0"/>
    <s v="F:\images\20210219\plaque 2/@04 Testo+ FAD/A4_01- exclu.tif"/>
    <m/>
    <m/>
    <x v="1"/>
    <m/>
    <m/>
    <m/>
    <m/>
  </r>
  <r>
    <x v="16"/>
    <x v="0"/>
    <s v="F:\images\20210219\plaque 2/@04 Testo+ FAD/A4_02.tif "/>
    <s v=" 3850.1212 "/>
    <s v=" 64.9382 "/>
    <x v="0"/>
    <n v="250020"/>
    <m/>
    <m/>
    <m/>
  </r>
  <r>
    <x v="16"/>
    <x v="0"/>
    <s v="F:\images\20210219\plaque 2/@04 Testo+ FAD/A4_03- exclu.tif"/>
    <m/>
    <m/>
    <x v="1"/>
    <m/>
    <m/>
    <m/>
    <m/>
  </r>
  <r>
    <x v="16"/>
    <x v="1"/>
    <s v="F:\images\20210219\plaque 2/@04 Testo+ FAD/B4_01.tif "/>
    <s v=" 2833.5162 "/>
    <s v=" 65.2519 "/>
    <x v="0"/>
    <n v="184892"/>
    <m/>
    <m/>
    <m/>
  </r>
  <r>
    <x v="16"/>
    <x v="1"/>
    <s v="F:\images\20210219\plaque 2/@04 Testo+ FAD/B4_02.tif "/>
    <s v=" 302.8185 "/>
    <s v=" 64.0714 "/>
    <x v="0"/>
    <n v="19402"/>
    <m/>
    <m/>
    <m/>
  </r>
  <r>
    <x v="16"/>
    <x v="1"/>
    <s v="F:\images\20210219\plaque 2/@04 Testo+ FAD/B4_03.tif "/>
    <s v=" 2314.3987 "/>
    <s v=" 64.729 "/>
    <x v="0"/>
    <n v="149809"/>
    <m/>
    <m/>
    <m/>
  </r>
  <r>
    <x v="16"/>
    <x v="2"/>
    <s v="F:\images\20210219\plaque 2/@04 Testo+ FAD/C4_01.tif "/>
    <s v=" 1492.4627 "/>
    <s v=" 64.2899 "/>
    <x v="0"/>
    <n v="95950"/>
    <m/>
    <m/>
    <m/>
  </r>
  <r>
    <x v="16"/>
    <x v="2"/>
    <s v="F:\images\20210219\plaque 2/@04 Testo+ FAD/C4_02.tif "/>
    <s v=" 2141.3596 "/>
    <s v=" 64.3838 "/>
    <x v="0"/>
    <n v="137869"/>
    <m/>
    <m/>
    <m/>
  </r>
  <r>
    <x v="16"/>
    <x v="2"/>
    <s v="F:\images\20210219\plaque 2/@04 Testo+ FAD/C4_03.tif "/>
    <s v=" 3331.0038 "/>
    <s v=" 66.8506 "/>
    <x v="0"/>
    <n v="222680"/>
    <m/>
    <m/>
    <m/>
  </r>
  <r>
    <x v="16"/>
    <x v="3"/>
    <s v="F:\images\20210219\plaque 2/@04 Testo+ FAD/D4_01- exclu.tif"/>
    <m/>
    <m/>
    <x v="1"/>
    <m/>
    <m/>
    <m/>
    <m/>
  </r>
  <r>
    <x v="16"/>
    <x v="3"/>
    <s v="F:\images\20210219\plaque 2/@04 Testo+ FAD/D4_02- exclu.tif"/>
    <m/>
    <m/>
    <x v="1"/>
    <m/>
    <m/>
    <m/>
    <m/>
  </r>
  <r>
    <x v="16"/>
    <x v="3"/>
    <s v="F:\images\20210219\plaque 2/@04 Testo+ FAD/D4_03- exclu.tif"/>
    <m/>
    <m/>
    <x v="1"/>
    <m/>
    <m/>
    <m/>
    <m/>
  </r>
  <r>
    <x v="16"/>
    <x v="4"/>
    <s v="F:\images\20210219\plaque 2/@04 Testo+ FAD/E4_01.tif "/>
    <s v=" 6640.3777 "/>
    <s v=" 70.5831 "/>
    <x v="0"/>
    <n v="468698"/>
    <m/>
    <m/>
    <m/>
  </r>
  <r>
    <x v="16"/>
    <x v="4"/>
    <s v="F:\images\20210219\plaque 2/@04 Testo+ FAD/E4_02.tif "/>
    <s v=" 8478.9187 "/>
    <s v=" 72.426 "/>
    <x v="0"/>
    <n v="614094"/>
    <m/>
    <m/>
    <m/>
  </r>
  <r>
    <x v="16"/>
    <x v="4"/>
    <s v="F:\images\20210219\plaque 2/@04 Testo+ FAD/E4_03.tif "/>
    <s v=" 6856.6766 "/>
    <s v=" 70.2145 "/>
    <x v="0"/>
    <n v="481438"/>
    <m/>
    <m/>
    <m/>
  </r>
  <r>
    <x v="16"/>
    <x v="5"/>
    <s v="F:\images\20210219\plaque 2/@04 Testo+ FAD/F4_01.tif "/>
    <s v=" 2444.1781 "/>
    <s v=" 63.7876 "/>
    <x v="0"/>
    <n v="155908"/>
    <m/>
    <m/>
    <m/>
  </r>
  <r>
    <x v="16"/>
    <x v="5"/>
    <s v="F:\images\20210219\plaque 2/@04 Testo+ FAD/F4_02.tif "/>
    <s v=" 1168.0143 "/>
    <s v=" 63.1296 "/>
    <x v="0"/>
    <n v="73736"/>
    <m/>
    <m/>
    <m/>
  </r>
  <r>
    <x v="16"/>
    <x v="5"/>
    <s v="F:\images\20210219\plaque 2/@04 Testo+ FAD/F4_03- exclu.tif"/>
    <m/>
    <m/>
    <x v="1"/>
    <m/>
    <m/>
    <m/>
    <m/>
  </r>
  <r>
    <x v="16"/>
    <x v="6"/>
    <s v="F:\images\20210219\plaque 2/@04 Testo+ FAD/G4_01.tif "/>
    <s v=" 670.5267 "/>
    <s v=" 63.1935 "/>
    <x v="0"/>
    <n v="42373"/>
    <m/>
    <m/>
    <m/>
  </r>
  <r>
    <x v="16"/>
    <x v="6"/>
    <s v="F:\images\20210219\plaque 2/@04 Testo+ FAD/G4_02.tif "/>
    <s v=" 3028.1852 "/>
    <s v=" 65.9571 "/>
    <x v="0"/>
    <n v="199730"/>
    <m/>
    <m/>
    <m/>
  </r>
  <r>
    <x v="16"/>
    <x v="6"/>
    <s v="F:\images\20210219\plaque 2/@04 Testo+ FAD/G4_03.tif "/>
    <s v=" 1038.2349 "/>
    <s v=" 64.1042 "/>
    <x v="0"/>
    <n v="66555"/>
    <m/>
    <m/>
    <m/>
  </r>
  <r>
    <x v="16"/>
    <x v="7"/>
    <s v="F:\images\20210219\plaque 2/@04 Testo+ FAD/H4_01.tif "/>
    <s v=" 216.2989 "/>
    <s v=" 62.4 "/>
    <x v="0"/>
    <n v="13497"/>
    <m/>
    <m/>
    <m/>
  </r>
  <r>
    <x v="16"/>
    <x v="7"/>
    <s v="F:\images\20210219\plaque 2/@04 Testo+ FAD/H4_02.tif "/>
    <s v=" 648.8968 "/>
    <s v=" 64.4333 "/>
    <x v="0"/>
    <n v="41811"/>
    <m/>
    <m/>
    <m/>
  </r>
  <r>
    <x v="16"/>
    <x v="7"/>
    <s v="F:\images\20210219\plaque 2/@04 Testo+ FAD/H4_03.tif "/>
    <s v=" 562.3773 "/>
    <s v=" 63.3462 "/>
    <x v="0"/>
    <n v="35624"/>
    <m/>
    <m/>
    <m/>
  </r>
  <r>
    <x v="1"/>
    <x v="8"/>
    <s v=" "/>
    <m/>
    <m/>
    <x v="1"/>
    <m/>
    <m/>
    <m/>
    <m/>
  </r>
  <r>
    <x v="1"/>
    <x v="8"/>
    <s v="group "/>
    <s v=" "/>
    <s v=" mean of mean fluo "/>
    <x v="2"/>
    <s v=" mean of total fluo "/>
    <s v=" SD total fluo "/>
    <s v=" n fluorescent "/>
    <s v=" n total"/>
  </r>
  <r>
    <x v="16"/>
    <x v="9"/>
    <s v="F:\images\20210219\plaque 2/@04 Testo+ FAD/ "/>
    <s v=" "/>
    <s v=" 66.6944 "/>
    <x v="18"/>
    <s v=" 251780.917 "/>
    <s v=" 287379.44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7"/>
    <x v="0"/>
    <s v="F:\images\20210219\plaque 2/@05 17b estradiol 34 dopé/A5_01.tif "/>
    <s v=" 52106.4162 "/>
    <s v=" 73.9817 "/>
    <x v="0"/>
    <n v="3854923"/>
    <m/>
    <m/>
    <m/>
  </r>
  <r>
    <x v="17"/>
    <x v="0"/>
    <s v="F:\images\20210219\plaque 2/@05 17b estradiol 34 dopé/A5_02.tif "/>
    <s v=" 57751.8187 "/>
    <s v=" 73.2464 "/>
    <x v="0"/>
    <n v="4230115"/>
    <m/>
    <m/>
    <m/>
  </r>
  <r>
    <x v="17"/>
    <x v="0"/>
    <s v="F:\images\20210219\plaque 2/@05 17b estradiol 34 dopé/A5_03.tif "/>
    <s v=" 57535.5197 "/>
    <s v=" 74.3654 "/>
    <x v="0"/>
    <n v="4278653"/>
    <m/>
    <m/>
    <m/>
  </r>
  <r>
    <x v="17"/>
    <x v="1"/>
    <s v="F:\images\20210219\plaque 2/@05 17b estradiol 34 dopé/B5_01.tif "/>
    <s v=" 47109.9105 "/>
    <s v=" 72.051 "/>
    <x v="0"/>
    <n v="3394314"/>
    <m/>
    <m/>
    <m/>
  </r>
  <r>
    <x v="17"/>
    <x v="1"/>
    <s v="F:\images\20210219\plaque 2/@05 17b estradiol 34 dopé/B5_02.tif "/>
    <s v=" 49316.1598 "/>
    <s v=" 72.2825 "/>
    <x v="0"/>
    <n v="3564693"/>
    <m/>
    <m/>
    <m/>
  </r>
  <r>
    <x v="17"/>
    <x v="1"/>
    <s v="F:\images\20210219\plaque 2/@05 17b estradiol 34 dopé/B5_03.tif "/>
    <s v=" 44968.5509 "/>
    <s v=" 73.5849 "/>
    <x v="0"/>
    <n v="3309006"/>
    <m/>
    <m/>
    <m/>
  </r>
  <r>
    <x v="17"/>
    <x v="2"/>
    <s v="F:\images\20210219\plaque 2/@05 17b estradiol 34 dopé/C5_01.tif "/>
    <s v=" 31622.9059 "/>
    <s v=" 68.712 "/>
    <x v="0"/>
    <n v="2172874"/>
    <m/>
    <m/>
    <m/>
  </r>
  <r>
    <x v="17"/>
    <x v="2"/>
    <s v="F:\images\20210219\plaque 2/@05 17b estradiol 34 dopé/C5_02.tif "/>
    <s v=" 25112.3077 "/>
    <s v=" 66.9888 "/>
    <x v="0"/>
    <n v="1682243"/>
    <m/>
    <m/>
    <m/>
  </r>
  <r>
    <x v="17"/>
    <x v="2"/>
    <s v="F:\images\20210219\plaque 2/@05 17b estradiol 34 dopé/C5_03.tif "/>
    <s v=" 28573.0908 "/>
    <s v=" 68.3899 "/>
    <x v="0"/>
    <n v="1954110"/>
    <m/>
    <m/>
    <m/>
  </r>
  <r>
    <x v="17"/>
    <x v="3"/>
    <s v="F:\images\20210219\plaque 2/@05 17b estradiol 34 dopé/D5_01.tif "/>
    <s v=" 27707.895 "/>
    <s v=" 67.829 "/>
    <x v="0"/>
    <n v="1879400"/>
    <m/>
    <m/>
    <m/>
  </r>
  <r>
    <x v="17"/>
    <x v="3"/>
    <s v="F:\images\20210219\plaque 2/@05 17b estradiol 34 dopé/D5_02.tif "/>
    <s v=" 34889.02 "/>
    <s v=" 69.8841 "/>
    <x v="0"/>
    <n v="2438187"/>
    <m/>
    <m/>
    <m/>
  </r>
  <r>
    <x v="17"/>
    <x v="3"/>
    <s v="F:\images\20210219\plaque 2/@05 17b estradiol 34 dopé/D5_03.tif "/>
    <s v=" 36987.1198 "/>
    <s v=" 70.4959 "/>
    <x v="0"/>
    <n v="2607441"/>
    <m/>
    <m/>
    <m/>
  </r>
  <r>
    <x v="17"/>
    <x v="4"/>
    <s v="F:\images\20210219\plaque 2/@05 17b estradiol 34 dopé/E5_01.tif "/>
    <s v=" 51479.1492 "/>
    <s v=" 71.7622 "/>
    <x v="0"/>
    <n v="3694256"/>
    <m/>
    <m/>
    <m/>
  </r>
  <r>
    <x v="17"/>
    <x v="4"/>
    <s v="F:\images\20210219\plaque 2/@05 17b estradiol 34 dopé/E5_02.tif "/>
    <s v=" 50981.6616 "/>
    <s v=" 73.095 "/>
    <x v="0"/>
    <n v="3726506"/>
    <m/>
    <m/>
    <m/>
  </r>
  <r>
    <x v="17"/>
    <x v="4"/>
    <s v="F:\images\20210219\plaque 2/@05 17b estradiol 34 dopé/E5_03.tif "/>
    <s v=" 49986.6865 "/>
    <s v=" 73.1917 "/>
    <x v="0"/>
    <n v="3658610"/>
    <m/>
    <m/>
    <m/>
  </r>
  <r>
    <x v="17"/>
    <x v="5"/>
    <s v="F:\images\20210219\plaque 2/@05 17b estradiol 34 dopé/F5_01.tif "/>
    <s v=" 60715.1142 "/>
    <s v=" 72.275 "/>
    <x v="0"/>
    <n v="4388187"/>
    <m/>
    <m/>
    <m/>
  </r>
  <r>
    <x v="17"/>
    <x v="5"/>
    <s v="F:\images\20210219\plaque 2/@05 17b estradiol 34 dopé/F5_02.tif "/>
    <s v=" 58400.7155 "/>
    <s v=" 73.1811 "/>
    <x v="0"/>
    <n v="4273829"/>
    <m/>
    <m/>
    <m/>
  </r>
  <r>
    <x v="17"/>
    <x v="5"/>
    <s v="F:\images\20210219\plaque 2/@05 17b estradiol 34 dopé/F5_03.tif "/>
    <s v=" 55264.3808 "/>
    <s v=" 72.4219 "/>
    <x v="0"/>
    <n v="4002352"/>
    <m/>
    <m/>
    <m/>
  </r>
  <r>
    <x v="17"/>
    <x v="6"/>
    <s v="F:\images\20210219\plaque 2/@05 17b estradiol 34 dopé/G5_01.tif "/>
    <s v=" 63029.5129 "/>
    <s v=" 74.07 "/>
    <x v="0"/>
    <n v="4668596"/>
    <m/>
    <m/>
    <m/>
  </r>
  <r>
    <x v="17"/>
    <x v="6"/>
    <s v="F:\images\20210219\plaque 2/@05 17b estradiol 34 dopé/G5_02.tif "/>
    <s v=" 62423.8759 "/>
    <s v=" 74.2793 "/>
    <x v="0"/>
    <n v="4636801"/>
    <m/>
    <m/>
    <m/>
  </r>
  <r>
    <x v="17"/>
    <x v="6"/>
    <s v="F:\images\20210219\plaque 2/@05 17b estradiol 34 dopé/G5_03.tif "/>
    <s v=" 64478.7159 "/>
    <s v=" 75.2818 "/>
    <x v="0"/>
    <n v="4854073"/>
    <m/>
    <m/>
    <m/>
  </r>
  <r>
    <x v="17"/>
    <x v="7"/>
    <s v="F:\images\20210219\plaque 2/@05 17b estradiol 34 dopé/H5_01.tif "/>
    <s v=" 11982.9616 "/>
    <s v=" 66.0397 "/>
    <x v="0"/>
    <n v="791351"/>
    <m/>
    <m/>
    <m/>
  </r>
  <r>
    <x v="17"/>
    <x v="7"/>
    <s v="F:\images\20210219\plaque 2/@05 17b estradiol 34 dopé/H5_02.tif "/>
    <s v=" 10966.3566 "/>
    <s v=" 66.069 "/>
    <x v="0"/>
    <n v="724537"/>
    <m/>
    <m/>
    <m/>
  </r>
  <r>
    <x v="17"/>
    <x v="7"/>
    <s v="F:\images\20210219\plaque 2/@05 17b estradiol 34 dopé/H5_03.tif "/>
    <s v=" 7959.8012 "/>
    <s v=" 63.9158 "/>
    <x v="0"/>
    <n v="508757"/>
    <m/>
    <m/>
    <m/>
  </r>
  <r>
    <x v="1"/>
    <x v="8"/>
    <s v=" "/>
    <m/>
    <m/>
    <x v="1"/>
    <m/>
    <m/>
    <m/>
    <m/>
  </r>
  <r>
    <x v="1"/>
    <x v="8"/>
    <s v="group "/>
    <s v=" "/>
    <s v=" mean of mean fluo "/>
    <x v="2"/>
    <s v=" mean of total fluo "/>
    <s v=" SD total fluo "/>
    <s v=" n fluorescent "/>
    <s v=" n total"/>
  </r>
  <r>
    <x v="17"/>
    <x v="9"/>
    <s v="F:\images\20210219\plaque 2/@05 17b estradiol 34 dopé/ "/>
    <s v=" "/>
    <s v=" 71.1414 "/>
    <x v="19"/>
    <s v=" 3137242.25 "/>
    <s v=" 1325303.3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8"/>
    <x v="0"/>
    <s v="F:\images\20210219\plaque 2/@06 17b estradiol 68 dopé/A6_01.tif "/>
    <s v=" 52063.1564 "/>
    <s v=" 75.2767 "/>
    <x v="0"/>
    <n v="3919142"/>
    <m/>
    <m/>
    <m/>
  </r>
  <r>
    <x v="18"/>
    <x v="0"/>
    <s v="F:\images\20210219\plaque 2/@06 17b estradiol 68 dopé/A6_02.tif "/>
    <s v=" 55048.0818 "/>
    <s v=" 74.569 "/>
    <x v="0"/>
    <n v="4104878"/>
    <m/>
    <m/>
    <m/>
  </r>
  <r>
    <x v="18"/>
    <x v="0"/>
    <s v="F:\images\20210219\plaque 2/@06 17b estradiol 68 dopé/A6_03.tif "/>
    <s v=" 51046.5513 "/>
    <s v=" 75.097 "/>
    <x v="0"/>
    <n v="3833445"/>
    <m/>
    <m/>
    <m/>
  </r>
  <r>
    <x v="18"/>
    <x v="1"/>
    <s v="F:\images\20210219\plaque 2/@06 17b estradiol 68 dopé/B6_01.tif "/>
    <s v=" 79922.4607 "/>
    <s v=" 80.3637 "/>
    <x v="0"/>
    <n v="6422867"/>
    <m/>
    <m/>
    <m/>
  </r>
  <r>
    <x v="18"/>
    <x v="1"/>
    <s v="F:\images\20210219\plaque 2/@06 17b estradiol 68 dopé/B6_02.tif "/>
    <s v=" 70708.1255 "/>
    <s v=" 78.9358 "/>
    <x v="0"/>
    <n v="5581400"/>
    <m/>
    <m/>
    <m/>
  </r>
  <r>
    <x v="18"/>
    <x v="1"/>
    <s v="F:\images\20210219\plaque 2/@06 17b estradiol 68 dopé/B6_03.tif "/>
    <s v=" 74471.7272 "/>
    <s v=" 78.2707 "/>
    <x v="0"/>
    <n v="5828954"/>
    <m/>
    <m/>
    <m/>
  </r>
  <r>
    <x v="18"/>
    <x v="2"/>
    <s v="F:\images\20210219\plaque 2/@06 17b estradiol 68 dopé/C6_01.tif "/>
    <s v=" 60066.2174 "/>
    <s v=" 75.6986 "/>
    <x v="0"/>
    <n v="4546928"/>
    <m/>
    <m/>
    <m/>
  </r>
  <r>
    <x v="18"/>
    <x v="2"/>
    <s v="F:\images\20210219\plaque 2/@06 17b estradiol 68 dopé/C6_02.tif "/>
    <s v=" 51284.4802 "/>
    <s v=" 75.6301 "/>
    <x v="0"/>
    <n v="3878651"/>
    <m/>
    <m/>
    <m/>
  </r>
  <r>
    <x v="18"/>
    <x v="2"/>
    <s v="F:\images\20210219\plaque 2/@06 17b estradiol 68 dopé/C6_03.tif "/>
    <s v=" 57275.961 "/>
    <s v=" 75.8765 "/>
    <x v="0"/>
    <n v="4345900"/>
    <m/>
    <m/>
    <m/>
  </r>
  <r>
    <x v="18"/>
    <x v="3"/>
    <s v="F:\images\20210219\plaque 2/@06 17b estradiol 68 dopé/D6_01.tif "/>
    <s v=" 42610.8924 "/>
    <s v=" 76.5574 "/>
    <x v="0"/>
    <n v="3262177"/>
    <m/>
    <m/>
    <m/>
  </r>
  <r>
    <x v="18"/>
    <x v="3"/>
    <s v="F:\images\20210219\plaque 2/@06 17b estradiol 68 dopé/D6_02.tif "/>
    <s v=" 42719.0419 "/>
    <s v=" 74.3291 "/>
    <x v="0"/>
    <n v="3175269"/>
    <m/>
    <m/>
    <m/>
  </r>
  <r>
    <x v="18"/>
    <x v="3"/>
    <s v="F:\images\20210219\plaque 2/@06 17b estradiol 68 dopé/D6_03.tif "/>
    <s v=" 40945.3905 "/>
    <s v=" 75.8679 "/>
    <x v="0"/>
    <n v="3106442"/>
    <m/>
    <m/>
    <m/>
  </r>
  <r>
    <x v="18"/>
    <x v="4"/>
    <s v="F:\images\20210219\plaque 2/@06 17b estradiol 68 dopé/E6_01.tif "/>
    <s v=" 61450.5306 "/>
    <s v=" 71.7899 "/>
    <x v="0"/>
    <n v="4411525"/>
    <m/>
    <m/>
    <m/>
  </r>
  <r>
    <x v="18"/>
    <x v="4"/>
    <s v="F:\images\20210219\plaque 2/@06 17b estradiol 68 dopé/E6_02.tif "/>
    <s v=" 62099.4275 "/>
    <s v=" 71.7541 "/>
    <x v="0"/>
    <n v="4455888"/>
    <m/>
    <m/>
    <m/>
  </r>
  <r>
    <x v="18"/>
    <x v="4"/>
    <s v="F:\images\20210219\plaque 2/@06 17b estradiol 68 dopé/E6_03.tif "/>
    <s v=" 58422.3454 "/>
    <s v=" 72.7867 "/>
    <x v="0"/>
    <n v="4252372"/>
    <m/>
    <m/>
    <m/>
  </r>
  <r>
    <x v="18"/>
    <x v="5"/>
    <s v="F:\images\20210219\plaque 2/@06 17b estradiol 68 dopé/F6_01.tif "/>
    <s v=" 57362.4806 "/>
    <s v=" 75.1501 "/>
    <x v="0"/>
    <n v="4310795"/>
    <m/>
    <m/>
    <m/>
  </r>
  <r>
    <x v="18"/>
    <x v="5"/>
    <s v="F:\images\20210219\plaque 2/@06 17b estradiol 68 dopé/F6_02.tif "/>
    <s v=" 58270.9361 "/>
    <s v=" 73.605 "/>
    <x v="0"/>
    <n v="4289035"/>
    <m/>
    <m/>
    <m/>
  </r>
  <r>
    <x v="18"/>
    <x v="5"/>
    <s v="F:\images\20210219\plaque 2/@06 17b estradiol 68 dopé/F6_03.tif "/>
    <s v=" 54637.1138 "/>
    <s v=" 74.3211 "/>
    <x v="0"/>
    <n v="4060688"/>
    <m/>
    <m/>
    <m/>
  </r>
  <r>
    <x v="18"/>
    <x v="6"/>
    <s v="F:\images\20210219\plaque 2/@06 17b estradiol 68 dopé/G6_01.tif "/>
    <s v=" 46114.9353 "/>
    <s v=" 72.0075 "/>
    <x v="0"/>
    <n v="3320621"/>
    <m/>
    <m/>
    <m/>
  </r>
  <r>
    <x v="18"/>
    <x v="6"/>
    <s v="F:\images\20210219\plaque 2/@06 17b estradiol 68 dopé/G6_02.tif "/>
    <s v=" 44319.6541 "/>
    <s v=" 71.5447 "/>
    <x v="0"/>
    <n v="3170834"/>
    <m/>
    <m/>
    <m/>
  </r>
  <r>
    <x v="18"/>
    <x v="6"/>
    <s v="F:\images\20210219\plaque 2/@06 17b estradiol 68 dopé/G6_03.tif "/>
    <s v=" 46547.5332 "/>
    <s v=" 69.7677 "/>
    <x v="0"/>
    <n v="3247512"/>
    <m/>
    <m/>
    <m/>
  </r>
  <r>
    <x v="18"/>
    <x v="7"/>
    <s v="F:\images\20210219\plaque 2/@06 17b estradiol 68 dopé/H6_01.tif "/>
    <s v=" 51133.0709 "/>
    <s v=" 72.3997 "/>
    <x v="0"/>
    <n v="3702021"/>
    <m/>
    <m/>
    <m/>
  </r>
  <r>
    <x v="18"/>
    <x v="7"/>
    <s v="F:\images\20210219\plaque 2/@06 17b estradiol 68 dopé/H6_02.tif "/>
    <s v=" 51998.2667 "/>
    <s v=" 71.6743 "/>
    <x v="0"/>
    <n v="3726939"/>
    <m/>
    <m/>
    <m/>
  </r>
  <r>
    <x v="18"/>
    <x v="7"/>
    <s v="F:\images\20210219\plaque 2/@06 17b estradiol 68 dopé/H6_03.tif "/>
    <s v=" 50808.6225 "/>
    <s v=" 72.1481 "/>
    <x v="0"/>
    <n v="3665748"/>
    <m/>
    <m/>
    <m/>
  </r>
  <r>
    <x v="1"/>
    <x v="8"/>
    <s v=" "/>
    <m/>
    <m/>
    <x v="1"/>
    <m/>
    <m/>
    <m/>
    <m/>
  </r>
  <r>
    <x v="1"/>
    <x v="8"/>
    <s v="group "/>
    <s v=" "/>
    <s v=" mean of mean fluo "/>
    <x v="2"/>
    <s v=" mean of total fluo "/>
    <s v=" SD total fluo "/>
    <s v=" n fluorescent "/>
    <s v=" n total"/>
  </r>
  <r>
    <x v="18"/>
    <x v="9"/>
    <s v="F:\images\20210219\plaque 2/@06 17b estradiol 68 dopé/ "/>
    <s v=" "/>
    <s v=" 74.3926 "/>
    <x v="20"/>
    <s v=" 4109167.96 "/>
    <s v=" 848195.90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9"/>
    <x v="0"/>
    <s v="F:\images\20210219\plaque 2/@07 17b estradiol 135 dopé/A7_01.tif "/>
    <s v=" 1708.7617 "/>
    <s v=" 64.0759 "/>
    <x v="0"/>
    <n v="109491"/>
    <m/>
    <m/>
    <m/>
  </r>
  <r>
    <x v="19"/>
    <x v="0"/>
    <s v="F:\images\20210219\plaque 2/@07 17b estradiol 135 dopé/A7_02.tif "/>
    <s v=" 2141.3596 "/>
    <s v=" 64.5152 "/>
    <x v="0"/>
    <n v="138150"/>
    <m/>
    <m/>
    <m/>
  </r>
  <r>
    <x v="19"/>
    <x v="0"/>
    <s v="F:\images\20210219\plaque 2/@07 17b estradiol 135 dopé/A7_03.tif "/>
    <s v=" 1795.2813 "/>
    <s v=" 63.7711 "/>
    <x v="0"/>
    <n v="114487"/>
    <m/>
    <m/>
    <m/>
  </r>
  <r>
    <x v="19"/>
    <x v="1"/>
    <s v="F:\images\20210219\plaque 2/@07 17b estradiol 135 dopé/B7_01.tif "/>
    <s v=" 61407.2709 "/>
    <s v=" 78.1786 "/>
    <x v="0"/>
    <n v="4800733"/>
    <m/>
    <m/>
    <m/>
  </r>
  <r>
    <x v="19"/>
    <x v="1"/>
    <s v="F:\images\20210219\plaque 2/@07 17b estradiol 135 dopé/B7_02.tif "/>
    <s v=" 54031.4768 "/>
    <s v=" 74.6041 "/>
    <x v="0"/>
    <n v="4030969"/>
    <m/>
    <m/>
    <m/>
  </r>
  <r>
    <x v="19"/>
    <x v="1"/>
    <s v="F:\images\20210219\plaque 2/@07 17b estradiol 135 dopé/B7_03.tif "/>
    <s v=" 59006.3525 "/>
    <s v=" 76.0414 "/>
    <x v="0"/>
    <n v="4486927"/>
    <m/>
    <m/>
    <m/>
  </r>
  <r>
    <x v="19"/>
    <x v="2"/>
    <s v="F:\images\20210219\plaque 2/@07 17b estradiol 135 dopé/C7_01.tif "/>
    <s v=" 60131.1071 "/>
    <s v=" 80.1018 "/>
    <x v="0"/>
    <n v="4816610"/>
    <m/>
    <m/>
    <m/>
  </r>
  <r>
    <x v="19"/>
    <x v="2"/>
    <s v="F:\images\20210219\plaque 2/@07 17b estradiol 135 dopé/C7_02- exclu.tif"/>
    <m/>
    <m/>
    <x v="1"/>
    <m/>
    <m/>
    <m/>
    <m/>
  </r>
  <r>
    <x v="19"/>
    <x v="2"/>
    <s v="F:\images\20210219\plaque 2/@07 17b estradiol 135 dopé/C7_03- exclu.tif"/>
    <m/>
    <m/>
    <x v="1"/>
    <m/>
    <m/>
    <m/>
    <m/>
  </r>
  <r>
    <x v="19"/>
    <x v="3"/>
    <s v="F:\images\20210219\plaque 2/@07 17b estradiol 135 dopé/D7_01.tif "/>
    <s v=" 63202.5521 "/>
    <s v=" 75.8094 "/>
    <x v="0"/>
    <n v="4791346"/>
    <m/>
    <m/>
    <m/>
  </r>
  <r>
    <x v="19"/>
    <x v="3"/>
    <s v="F:\images\20210219\plaque 2/@07 17b estradiol 135 dopé/D7_02.tif "/>
    <s v=" 56627.0641 "/>
    <s v=" 77.7914 "/>
    <x v="0"/>
    <n v="4405101"/>
    <m/>
    <m/>
    <m/>
  </r>
  <r>
    <x v="19"/>
    <x v="3"/>
    <s v="F:\images\20210219\plaque 2/@07 17b estradiol 135 dopé/D7_03.tif "/>
    <s v=" 58919.833 "/>
    <s v=" 79.5033 "/>
    <x v="0"/>
    <n v="4684321"/>
    <m/>
    <m/>
    <m/>
  </r>
  <r>
    <x v="19"/>
    <x v="4"/>
    <s v="F:\images\20210219\plaque 2/@07 17b estradiol 135 dopé/E7_01.tif "/>
    <s v=" 66382.1466 "/>
    <s v=" 78.143 "/>
    <x v="0"/>
    <n v="5187303"/>
    <m/>
    <m/>
    <m/>
  </r>
  <r>
    <x v="19"/>
    <x v="4"/>
    <s v="F:\images\20210219\plaque 2/@07 17b estradiol 135 dopé/E7_02.tif "/>
    <s v=" 65516.9508 "/>
    <s v=" 78.245 "/>
    <x v="0"/>
    <n v="5126372"/>
    <m/>
    <m/>
    <m/>
  </r>
  <r>
    <x v="19"/>
    <x v="4"/>
    <s v="F:\images\20210219\plaque 2/@07 17b estradiol 135 dopé/E7_03.tif "/>
    <s v=" 65560.2106 "/>
    <s v=" 78.3197 "/>
    <x v="0"/>
    <n v="5134656"/>
    <m/>
    <m/>
    <m/>
  </r>
  <r>
    <x v="19"/>
    <x v="5"/>
    <s v="F:\images\20210219\plaque 2/@07 17b estradiol 135 dopé/F7_01.tif "/>
    <s v=" 73563.2716 "/>
    <s v=" 74.7242 "/>
    <x v="0"/>
    <n v="5496957"/>
    <m/>
    <m/>
    <m/>
  </r>
  <r>
    <x v="19"/>
    <x v="5"/>
    <s v="F:\images\20210219\plaque 2/@07 17b estradiol 135 dopé/F7_02.tif "/>
    <s v=" 70989.3142 "/>
    <s v=" 77.5698 "/>
    <x v="0"/>
    <n v="5506625"/>
    <m/>
    <m/>
    <m/>
  </r>
  <r>
    <x v="19"/>
    <x v="5"/>
    <s v="F:\images\20210219\plaque 2/@07 17b estradiol 135 dopé/F7_03.tif "/>
    <s v=" 70037.5988 "/>
    <s v=" 75.8762 "/>
    <x v="0"/>
    <n v="5314184"/>
    <m/>
    <m/>
    <m/>
  </r>
  <r>
    <x v="19"/>
    <x v="6"/>
    <s v="F:\images\20210219\plaque 2/@07 17b estradiol 135 dopé/G7_01.tif "/>
    <s v=" 56454.025 "/>
    <s v=" 82.5069 "/>
    <x v="0"/>
    <n v="4657846"/>
    <m/>
    <m/>
    <m/>
  </r>
  <r>
    <x v="19"/>
    <x v="6"/>
    <s v="F:\images\20210219\plaque 2/@07 17b estradiol 135 dopé/G7_02.tif "/>
    <s v=" 55350.9004 "/>
    <s v=" 82.8714 "/>
    <x v="0"/>
    <n v="4587008"/>
    <m/>
    <m/>
    <m/>
  </r>
  <r>
    <x v="19"/>
    <x v="6"/>
    <s v="F:\images\20210219\plaque 2/@07 17b estradiol 135 dopé/G7_03.tif "/>
    <s v=" 54702.0035 "/>
    <s v=" 82.5053 "/>
    <x v="0"/>
    <n v="4513207"/>
    <m/>
    <m/>
    <m/>
  </r>
  <r>
    <x v="19"/>
    <x v="7"/>
    <s v="F:\images\20210219\plaque 2/@07 17b estradiol 135 dopé/H7_01.tif "/>
    <s v=" 58379.0856 "/>
    <s v=" 72.1375 "/>
    <x v="0"/>
    <n v="4211319"/>
    <m/>
    <m/>
    <m/>
  </r>
  <r>
    <x v="19"/>
    <x v="7"/>
    <s v="F:\images\20210219\plaque 2/@07 17b estradiol 135 dopé/H7_02.tif "/>
    <s v=" 58379.0856 "/>
    <s v=" 71.5535 "/>
    <x v="0"/>
    <n v="4177230"/>
    <m/>
    <m/>
    <m/>
  </r>
  <r>
    <x v="19"/>
    <x v="7"/>
    <s v="F:\images\20210219\plaque 2/@07 17b estradiol 135 dopé/H7_03.tif "/>
    <s v=" 56864.993 "/>
    <s v=" 71.1932 "/>
    <x v="0"/>
    <n v="4048402"/>
    <m/>
    <m/>
    <m/>
  </r>
  <r>
    <x v="1"/>
    <x v="8"/>
    <s v=" "/>
    <m/>
    <m/>
    <x v="1"/>
    <m/>
    <m/>
    <m/>
    <m/>
  </r>
  <r>
    <x v="1"/>
    <x v="8"/>
    <s v="group "/>
    <s v=" "/>
    <s v=" mean of mean fluo "/>
    <x v="2"/>
    <s v=" mean of total fluo "/>
    <s v=" SD total fluo "/>
    <s v=" n fluorescent "/>
    <s v=" n total"/>
  </r>
  <r>
    <x v="19"/>
    <x v="9"/>
    <s v="F:\images\20210219\plaque 2/@07 17b estradiol 135 dopé/ "/>
    <s v=" "/>
    <s v=" 75.9974 "/>
    <x v="21"/>
    <s v=" 4037698.38 "/>
    <s v=" 1629838.8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0"/>
    <x v="0"/>
    <s v="F:\images\20210219\plaque 2/@08 17b estradiol 270 dopé/A8_01.tif "/>
    <s v=" 62380.6161 "/>
    <s v=" 81.5146 "/>
    <x v="0"/>
    <n v="5084929"/>
    <m/>
    <m/>
    <m/>
  </r>
  <r>
    <x v="20"/>
    <x v="0"/>
    <s v="F:\images\20210219\plaque 2/@08 17b estradiol 270 dopé/A8_02.tif "/>
    <s v=" 65711.6199 "/>
    <s v=" 81.1192 "/>
    <x v="0"/>
    <n v="5330471"/>
    <m/>
    <m/>
    <m/>
  </r>
  <r>
    <x v="20"/>
    <x v="0"/>
    <s v="F:\images\20210219\plaque 2/@08 17b estradiol 270 dopé/A8_03.tif "/>
    <s v=" 64565.2355 "/>
    <s v=" 85.6221 "/>
    <x v="0"/>
    <n v="5528212"/>
    <m/>
    <m/>
    <m/>
  </r>
  <r>
    <x v="20"/>
    <x v="1"/>
    <s v="F:\images\20210219\plaque 2/@08 17b estradiol 270 dopé/B8_01.tif "/>
    <s v=" 56280.9858 "/>
    <s v=" 85.1249 "/>
    <x v="0"/>
    <n v="4790914"/>
    <m/>
    <m/>
    <m/>
  </r>
  <r>
    <x v="20"/>
    <x v="1"/>
    <s v="F:\images\20210219\plaque 2/@08 17b estradiol 270 dopé/B8_02.tif "/>
    <s v=" 46655.6827 "/>
    <s v=" 84.6579 "/>
    <x v="0"/>
    <n v="3949770"/>
    <m/>
    <m/>
    <m/>
  </r>
  <r>
    <x v="20"/>
    <x v="1"/>
    <s v="F:\images\20210219\plaque 2/@08 17b estradiol 270 dopé/B8_03.tif "/>
    <s v=" 53620.5088 "/>
    <s v=" 81.9512 "/>
    <x v="0"/>
    <n v="4394265"/>
    <m/>
    <m/>
    <m/>
  </r>
  <r>
    <x v="20"/>
    <x v="2"/>
    <s v="F:\images\20210219\plaque 2/@08 17b estradiol 270 dopé/C8_01.tif "/>
    <s v=" 88076.9309 "/>
    <s v=" 84.1596 "/>
    <x v="0"/>
    <n v="7412522"/>
    <m/>
    <m/>
    <m/>
  </r>
  <r>
    <x v="20"/>
    <x v="2"/>
    <s v="F:\images\20210219\plaque 2/@08 17b estradiol 270 dopé/C8_02.tif "/>
    <s v=" 81609.5924 "/>
    <s v=" 80.8908 "/>
    <x v="0"/>
    <n v="6601465"/>
    <m/>
    <m/>
    <m/>
  </r>
  <r>
    <x v="20"/>
    <x v="2"/>
    <s v="F:\images\20210219\plaque 2/@08 17b estradiol 270 dopé/C8_03.tif "/>
    <s v=" 83015.5356 "/>
    <s v=" 84.0808 "/>
    <x v="0"/>
    <n v="6980010"/>
    <m/>
    <m/>
    <m/>
  </r>
  <r>
    <x v="20"/>
    <x v="3"/>
    <s v="F:\images\20210219\plaque 2/@08 17b estradiol 270 dopé/D8_01.tif "/>
    <s v=" 71530.0615 "/>
    <s v=" 85.1863 "/>
    <x v="0"/>
    <n v="6093379"/>
    <m/>
    <m/>
    <m/>
  </r>
  <r>
    <x v="20"/>
    <x v="3"/>
    <s v="F:\images\20210219\plaque 2/@08 17b estradiol 270 dopé/D8_02.tif "/>
    <s v=" 69215.6628 "/>
    <s v=" 85.0647 "/>
    <x v="0"/>
    <n v="5887809"/>
    <m/>
    <m/>
    <m/>
  </r>
  <r>
    <x v="20"/>
    <x v="3"/>
    <s v="F:\images\20210219\plaque 2/@08 17b estradiol 270 dopé/D8_03.tif "/>
    <s v=" 70080.8586 "/>
    <s v=" 85.7096 "/>
    <x v="0"/>
    <n v="6006600"/>
    <m/>
    <m/>
    <m/>
  </r>
  <r>
    <x v="20"/>
    <x v="4"/>
    <s v="F:\images\20210219\plaque 2/@08 17b estradiol 270 dopé/E8_01.tif "/>
    <s v=" 77002.4249 "/>
    <s v=" 85.5098 "/>
    <x v="0"/>
    <n v="6584464"/>
    <m/>
    <m/>
    <m/>
  </r>
  <r>
    <x v="20"/>
    <x v="4"/>
    <s v="F:\images\20210219\plaque 2/@08 17b estradiol 270 dopé/E8_02.tif "/>
    <s v=" 72503.4068 "/>
    <s v=" 83.9836 "/>
    <x v="0"/>
    <n v="6089097"/>
    <m/>
    <m/>
    <m/>
  </r>
  <r>
    <x v="20"/>
    <x v="4"/>
    <s v="F:\images\20210219\plaque 2/@08 17b estradiol 270 dopé/E8_03.tif "/>
    <s v=" 71248.8729 "/>
    <s v=" 84.6958 "/>
    <x v="0"/>
    <n v="6034481"/>
    <m/>
    <m/>
    <m/>
  </r>
  <r>
    <x v="20"/>
    <x v="5"/>
    <s v="F:\images\20210219\plaque 2/@08 17b estradiol 270 dopé/F8_01.tif "/>
    <s v=" 79511.4927 "/>
    <s v=" 88.1423 "/>
    <x v="0"/>
    <n v="7008324"/>
    <m/>
    <m/>
    <m/>
  </r>
  <r>
    <x v="20"/>
    <x v="5"/>
    <s v="F:\images\20210219\plaque 2/@08 17b estradiol 270 dopé/F8_02.tif "/>
    <s v=" 82258.4893 "/>
    <s v=" 87.7917 "/>
    <x v="0"/>
    <n v="7221616"/>
    <m/>
    <m/>
    <m/>
  </r>
  <r>
    <x v="20"/>
    <x v="5"/>
    <s v="F:\images\20210219\plaque 2/@08 17b estradiol 270 dopé/F8_03.tif "/>
    <s v=" 74601.5066 "/>
    <s v=" 88.4836 "/>
    <x v="0"/>
    <n v="6601011"/>
    <m/>
    <m/>
    <m/>
  </r>
  <r>
    <x v="20"/>
    <x v="6"/>
    <s v="F:\images\20210219\plaque 2/@08 17b estradiol 270 dopé/G8_01.tif "/>
    <s v=" 49099.8608 "/>
    <s v=" 88.3189 "/>
    <x v="0"/>
    <n v="4336448"/>
    <m/>
    <m/>
    <m/>
  </r>
  <r>
    <x v="20"/>
    <x v="6"/>
    <s v="F:\images\20210219\plaque 2/@08 17b estradiol 270 dopé/G8_02.tif "/>
    <s v=" 46785.4621 "/>
    <s v=" 86.8669 "/>
    <x v="0"/>
    <n v="4064106"/>
    <m/>
    <m/>
    <m/>
  </r>
  <r>
    <x v="20"/>
    <x v="6"/>
    <s v="F:\images\20210219\plaque 2/@08 17b estradiol 270 dopé/G8_03.tif "/>
    <s v=" 44665.7324 "/>
    <s v=" 86.6383 "/>
    <x v="0"/>
    <n v="3869761"/>
    <m/>
    <m/>
    <m/>
  </r>
  <r>
    <x v="20"/>
    <x v="7"/>
    <s v="F:\images\20210219\plaque 2/@08 17b estradiol 270 dopé/H8_01.tif "/>
    <s v=" 20851.2184 "/>
    <s v=" 75.4668 "/>
    <x v="0"/>
    <n v="1573575"/>
    <m/>
    <m/>
    <m/>
  </r>
  <r>
    <x v="20"/>
    <x v="7"/>
    <s v="F:\images\20210219\plaque 2/@08 17b estradiol 270 dopé/H8_02.tif "/>
    <s v=" 17887.9229 "/>
    <s v=" 75.1729 "/>
    <x v="0"/>
    <n v="1344687"/>
    <m/>
    <m/>
    <m/>
  </r>
  <r>
    <x v="20"/>
    <x v="7"/>
    <s v="F:\images\20210219\plaque 2/@08 17b estradiol 270 dopé/H8_03.tif "/>
    <s v=" 16611.7591 "/>
    <s v=" 77.3542 "/>
    <x v="0"/>
    <n v="1284989"/>
    <m/>
    <m/>
    <m/>
  </r>
  <r>
    <x v="1"/>
    <x v="8"/>
    <s v=" "/>
    <m/>
    <m/>
    <x v="1"/>
    <m/>
    <m/>
    <m/>
    <m/>
  </r>
  <r>
    <x v="1"/>
    <x v="8"/>
    <s v="group "/>
    <s v=" "/>
    <s v=" mean of mean fluo "/>
    <x v="2"/>
    <s v=" mean of total fluo "/>
    <s v=" SD total fluo "/>
    <s v=" n fluorescent "/>
    <s v=" n total"/>
  </r>
  <r>
    <x v="20"/>
    <x v="9"/>
    <s v="F:\images\20210219\plaque 2/@08 17b estradiol 270 dopé/ "/>
    <s v=" "/>
    <s v=" 83.8961 "/>
    <x v="22"/>
    <s v=" 5169704.38 "/>
    <s v=" 1797532.2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1"/>
    <x v="0"/>
    <s v="F:\images\20210219\plaque 2/@09 17b estradiol 540 dopé/A9_01.tif "/>
    <s v=" 72308.7377 "/>
    <s v=" 90.2504 "/>
    <x v="0"/>
    <n v="6525891"/>
    <m/>
    <m/>
    <m/>
  </r>
  <r>
    <x v="21"/>
    <x v="0"/>
    <s v="F:\images\20210219\plaque 2/@09 17b estradiol 540 dopé/A9_02.tif "/>
    <s v=" 75120.624 "/>
    <s v=" 92.1301 "/>
    <x v="0"/>
    <n v="6920874"/>
    <m/>
    <m/>
    <m/>
  </r>
  <r>
    <x v="21"/>
    <x v="0"/>
    <s v="F:\images\20210219\plaque 2/@09 17b estradiol 540 dopé/A9_03.tif "/>
    <s v=" 10057.901 "/>
    <s v=" 64.8839 "/>
    <x v="0"/>
    <n v="652596"/>
    <m/>
    <m/>
    <m/>
  </r>
  <r>
    <x v="21"/>
    <x v="1"/>
    <s v="F:\images\20210219\plaque 2/@09 17b estradiol 540 dopé/B9_01.tif "/>
    <s v=" 64781.5344 "/>
    <s v=" 91.3319 "/>
    <x v="0"/>
    <n v="5916620"/>
    <m/>
    <m/>
    <m/>
  </r>
  <r>
    <x v="21"/>
    <x v="1"/>
    <s v="F:\images\20210219\plaque 2/@09 17b estradiol 540 dopé/B9_02.tif "/>
    <s v=" 66447.0363 "/>
    <s v=" 92.5101 "/>
    <x v="0"/>
    <n v="6147021"/>
    <m/>
    <m/>
    <m/>
  </r>
  <r>
    <x v="21"/>
    <x v="1"/>
    <s v="F:\images\20210219\plaque 2/@09 17b estradiol 540 dopé/B9_03.tif "/>
    <s v=" 66382.1466 "/>
    <s v=" 90.2203 "/>
    <x v="0"/>
    <n v="5989015"/>
    <m/>
    <m/>
    <m/>
  </r>
  <r>
    <x v="21"/>
    <x v="2"/>
    <s v="F:\images\20210219\plaque 2/@09 17b estradiol 540 dopé/C9_01- exclu.tif"/>
    <m/>
    <m/>
    <x v="1"/>
    <m/>
    <m/>
    <m/>
    <m/>
  </r>
  <r>
    <x v="21"/>
    <x v="2"/>
    <s v="F:\images\20210219\plaque 2/@09 17b estradiol 540 dopé/C9_02.tif "/>
    <s v=" 35970.5148 "/>
    <s v=" 83.4023 "/>
    <x v="0"/>
    <n v="3000023"/>
    <m/>
    <m/>
    <m/>
  </r>
  <r>
    <x v="21"/>
    <x v="2"/>
    <s v="F:\images\20210219\plaque 2/@09 17b estradiol 540 dopé/C9_03.tif "/>
    <s v=" 35732.5859 "/>
    <s v=" 81.1423 "/>
    <x v="0"/>
    <n v="2899422"/>
    <m/>
    <m/>
    <m/>
  </r>
  <r>
    <x v="21"/>
    <x v="3"/>
    <s v="F:\images\20210219\plaque 2/@09 17b estradiol 540 dopé/D9_01.tif "/>
    <s v=" 36338.223 "/>
    <s v=" 81.7054 "/>
    <x v="0"/>
    <n v="2969027"/>
    <m/>
    <m/>
    <m/>
  </r>
  <r>
    <x v="21"/>
    <x v="3"/>
    <s v="F:\images\20210219\plaque 2/@09 17b estradiol 540 dopé/D9_02.tif "/>
    <s v=" 42502.7429 "/>
    <s v=" 80.4015 "/>
    <x v="0"/>
    <n v="3417285"/>
    <m/>
    <m/>
    <m/>
  </r>
  <r>
    <x v="21"/>
    <x v="3"/>
    <s v="F:\images\20210219\plaque 2/@09 17b estradiol 540 dopé/D9_03.tif "/>
    <s v=" 35343.2478 "/>
    <s v=" 83.0282 "/>
    <x v="0"/>
    <n v="2934485"/>
    <m/>
    <m/>
    <m/>
  </r>
  <r>
    <x v="21"/>
    <x v="4"/>
    <s v="F:\images\20210219\plaque 2/@09 17b estradiol 540 dopé/E9_01.tif "/>
    <s v=" 57859.9681 "/>
    <s v=" 94.4912 "/>
    <x v="0"/>
    <n v="5467259"/>
    <m/>
    <m/>
    <m/>
  </r>
  <r>
    <x v="21"/>
    <x v="4"/>
    <s v="F:\images\20210219\plaque 2/@09 17b estradiol 540 dopé/E9_02.tif "/>
    <s v=" 56454.025 "/>
    <s v=" 92.5238 "/>
    <x v="0"/>
    <n v="5223338"/>
    <m/>
    <m/>
    <m/>
  </r>
  <r>
    <x v="21"/>
    <x v="4"/>
    <s v="F:\images\20210219\plaque 2/@09 17b estradiol 540 dopé/E9_03.tif "/>
    <s v=" 55091.3416 "/>
    <s v=" 94.4601 "/>
    <x v="0"/>
    <n v="5203936"/>
    <m/>
    <m/>
    <m/>
  </r>
  <r>
    <x v="21"/>
    <x v="5"/>
    <s v="F:\images\20210219\plaque 2/@09 17b estradiol 540 dopé/F9_01.tif "/>
    <s v=" 47001.761 "/>
    <s v=" 85.6572 "/>
    <x v="0"/>
    <n v="4026037"/>
    <m/>
    <m/>
    <m/>
  </r>
  <r>
    <x v="21"/>
    <x v="5"/>
    <s v="F:\images\20210219\plaque 2/@09 17b estradiol 540 dopé/F9_02.tif "/>
    <s v=" 45379.5189 "/>
    <s v=" 88.0172 "/>
    <x v="0"/>
    <n v="3994176"/>
    <m/>
    <m/>
    <m/>
  </r>
  <r>
    <x v="21"/>
    <x v="5"/>
    <s v="F:\images\20210219\plaque 2/@09 17b estradiol 540 dopé/F9_03.tif "/>
    <s v=" 44968.5509 "/>
    <s v=" 88.0515 "/>
    <x v="0"/>
    <n v="3959547"/>
    <m/>
    <m/>
    <m/>
  </r>
  <r>
    <x v="21"/>
    <x v="6"/>
    <s v="F:\images\20210219\plaque 2/@09 17b estradiol 540 dopé/G9_01.tif "/>
    <s v=" 42892.081 "/>
    <s v=" 89.1004 "/>
    <x v="0"/>
    <n v="3821700"/>
    <m/>
    <m/>
    <m/>
  </r>
  <r>
    <x v="21"/>
    <x v="6"/>
    <s v="F:\images\20210219\plaque 2/@09 17b estradiol 540 dopé/G9_02.tif "/>
    <s v=" 41031.9101 "/>
    <s v=" 84.7907 "/>
    <x v="0"/>
    <n v="3479125"/>
    <m/>
    <m/>
    <m/>
  </r>
  <r>
    <x v="21"/>
    <x v="6"/>
    <s v="F:\images\20210219\plaque 2/@09 17b estradiol 540 dopé/G9_03- exclu.tif"/>
    <m/>
    <m/>
    <x v="1"/>
    <m/>
    <m/>
    <m/>
    <m/>
  </r>
  <r>
    <x v="21"/>
    <x v="7"/>
    <s v="F:\images\20210219\plaque 2/@09 17b estradiol 540 dopé/H9_01.tif "/>
    <s v=" 77413.3929 "/>
    <s v=" 89.0419 "/>
    <x v="0"/>
    <n v="6893036"/>
    <m/>
    <m/>
    <m/>
  </r>
  <r>
    <x v="21"/>
    <x v="7"/>
    <s v="F:\images\20210219\plaque 2/@09 17b estradiol 540 dopé/H9_02.tif "/>
    <s v=" 73887.7201 "/>
    <s v=" 88.8566 "/>
    <x v="0"/>
    <n v="6565408"/>
    <m/>
    <m/>
    <m/>
  </r>
  <r>
    <x v="21"/>
    <x v="7"/>
    <s v="F:\images\20210219\plaque 2/@09 17b estradiol 540 dopé/H9_03.tif "/>
    <s v=" 76115.5992 "/>
    <s v=" 88.7914 "/>
    <x v="0"/>
    <n v="6758412"/>
    <m/>
    <m/>
    <m/>
  </r>
  <r>
    <x v="1"/>
    <x v="8"/>
    <s v=" "/>
    <m/>
    <m/>
    <x v="1"/>
    <m/>
    <m/>
    <m/>
    <m/>
  </r>
  <r>
    <x v="1"/>
    <x v="8"/>
    <s v="group "/>
    <s v=" "/>
    <s v=" mean of mean fluo "/>
    <x v="2"/>
    <s v=" mean of total fluo "/>
    <s v=" SD total fluo "/>
    <s v=" n fluorescent "/>
    <s v=" n total"/>
  </r>
  <r>
    <x v="21"/>
    <x v="9"/>
    <s v="F:\images\20210219\plaque 2/@09 17b estradiol 540 dopé/ "/>
    <s v=" "/>
    <s v=" 86.5893 "/>
    <x v="23"/>
    <s v=" 4597149.21 "/>
    <s v=" 1667367.88 "/>
    <n v="24"/>
    <n v="24"/>
  </r>
  <r>
    <x v="1"/>
    <x v="8"/>
    <s v=" "/>
    <m/>
    <m/>
    <x v="1"/>
    <m/>
    <m/>
    <m/>
    <m/>
  </r>
  <r>
    <x v="1"/>
    <x v="8"/>
    <s v=" "/>
    <m/>
    <m/>
    <x v="1"/>
    <m/>
    <m/>
    <m/>
    <m/>
  </r>
  <r>
    <x v="1"/>
    <x v="8"/>
    <s v=" "/>
    <m/>
    <m/>
    <x v="1"/>
    <m/>
    <m/>
    <m/>
    <m/>
  </r>
  <r>
    <x v="1"/>
    <x v="8"/>
    <s v=" "/>
    <m/>
    <m/>
    <x v="1"/>
    <m/>
    <m/>
    <m/>
    <m/>
  </r>
  <r>
    <x v="1"/>
    <x v="8"/>
    <s v=" "/>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0">
  <r>
    <x v="0"/>
    <x v="0"/>
    <s v="F:\images\20210303\plaque 1/@01 Evian + 0.2% DMSO/A1_01.tif "/>
    <s v=" 5169.5448 "/>
    <s v=" 71.1004 "/>
    <x v="0"/>
    <n v="367557"/>
    <m/>
    <m/>
    <m/>
  </r>
  <r>
    <x v="0"/>
    <x v="0"/>
    <s v="F:\images\20210303\plaque 1/@01 Evian + 0.2% DMSO/A1_02.tif "/>
    <s v=" 4650.4273 "/>
    <s v=" 69.4372 "/>
    <x v="0"/>
    <n v="322913"/>
    <m/>
    <m/>
    <m/>
  </r>
  <r>
    <x v="0"/>
    <x v="0"/>
    <s v="F:\images\20210303\plaque 1/@01 Evian + 0.2% DMSO/A1_03.tif "/>
    <s v=" 6034.7406 "/>
    <s v=" 68.5376 "/>
    <x v="0"/>
    <n v="413607"/>
    <m/>
    <m/>
    <m/>
  </r>
  <r>
    <x v="0"/>
    <x v="1"/>
    <s v="F:\images\20210303\plaque 1/@01 Evian + 0.2% DMSO/B1_01.tif "/>
    <s v=" 6164.52 "/>
    <s v=" 72.3193 "/>
    <x v="0"/>
    <n v="445814"/>
    <m/>
    <m/>
    <m/>
  </r>
  <r>
    <x v="0"/>
    <x v="1"/>
    <s v="F:\images\20210303\plaque 1/@01 Evian + 0.2% DMSO/B1_02.tif "/>
    <s v=" 519.1175 "/>
    <s v=" 64.375 "/>
    <x v="0"/>
    <n v="33418"/>
    <m/>
    <m/>
    <m/>
  </r>
  <r>
    <x v="0"/>
    <x v="1"/>
    <s v="F:\images\20210303\plaque 1/@01 Evian + 0.2% DMSO/B1_03.tif "/>
    <s v=" 2379.2884 "/>
    <s v=" 65.0091 "/>
    <x v="0"/>
    <n v="154675"/>
    <m/>
    <m/>
    <m/>
  </r>
  <r>
    <x v="0"/>
    <x v="2"/>
    <s v="F:\images\20210303\plaque 1/@01 Evian + 0.2% DMSO/C1_01.tif "/>
    <s v=" 757.0463 "/>
    <s v=" 62.7714 "/>
    <x v="0"/>
    <n v="47521"/>
    <m/>
    <m/>
    <m/>
  </r>
  <r>
    <x v="0"/>
    <x v="2"/>
    <s v="F:\images\20210303\plaque 1/@01 Evian + 0.2% DMSO/C1_02- exclu.tif"/>
    <m/>
    <m/>
    <x v="1"/>
    <m/>
    <m/>
    <m/>
    <m/>
  </r>
  <r>
    <x v="0"/>
    <x v="2"/>
    <s v="F:\images\20210303\plaque 1/@01 Evian + 0.2% DMSO/C1_03.tif "/>
    <s v=" 237.9288 "/>
    <s v=" 62.3636 "/>
    <x v="0"/>
    <n v="14838"/>
    <m/>
    <m/>
    <m/>
  </r>
  <r>
    <x v="0"/>
    <x v="3"/>
    <s v="F:\images\20210303\plaque 1/@01 Evian + 0.2% DMSO/D1_01.tif "/>
    <s v=" 1752.0215 "/>
    <s v=" 63.8272 "/>
    <x v="0"/>
    <n v="111827"/>
    <m/>
    <m/>
    <m/>
  </r>
  <r>
    <x v="0"/>
    <x v="3"/>
    <s v="F:\images\20210303\plaque 1/@01 Evian + 0.2% DMSO/D1_02.tif "/>
    <s v=" 2098.0998 "/>
    <s v=" 63.4536 "/>
    <x v="0"/>
    <n v="133132"/>
    <m/>
    <m/>
    <m/>
  </r>
  <r>
    <x v="0"/>
    <x v="3"/>
    <s v="F:\images\20210303\plaque 1/@01 Evian + 0.2% DMSO/D1_03.tif "/>
    <s v=" 757.0463 "/>
    <s v=" 62.9714 "/>
    <x v="0"/>
    <n v="47672"/>
    <m/>
    <m/>
    <m/>
  </r>
  <r>
    <x v="0"/>
    <x v="4"/>
    <s v="F:\images\20210303\plaque 1/@01 Evian + 0.2% DMSO/E1_01.tif "/>
    <s v=" 389.3381 "/>
    <s v=" 65.4444 "/>
    <x v="0"/>
    <n v="25480"/>
    <m/>
    <m/>
    <m/>
  </r>
  <r>
    <x v="0"/>
    <x v="4"/>
    <s v="F:\images\20210303\plaque 1/@01 Evian + 0.2% DMSO/E1_02.tif "/>
    <s v=" 302.8185 "/>
    <s v=" 64.4286 "/>
    <x v="0"/>
    <n v="19510"/>
    <m/>
    <m/>
    <m/>
  </r>
  <r>
    <x v="0"/>
    <x v="4"/>
    <s v="F:\images\20210303\plaque 1/@01 Evian + 0.2% DMSO/E1_03.tif "/>
    <s v=" 627.2669 "/>
    <s v=" 67.6207 "/>
    <x v="0"/>
    <n v="42416"/>
    <m/>
    <m/>
    <m/>
  </r>
  <r>
    <x v="0"/>
    <x v="5"/>
    <s v="F:\images\20210303\plaque 1/@01 Evian + 0.2% DMSO/F1_01.tif "/>
    <s v=" 1492.4627 "/>
    <s v=" 66.5507 "/>
    <x v="0"/>
    <n v="99324"/>
    <m/>
    <m/>
    <m/>
  </r>
  <r>
    <x v="0"/>
    <x v="5"/>
    <s v="F:\images\20210303\plaque 1/@01 Evian + 0.2% DMSO/F1_02.tif "/>
    <s v=" 194.6691 "/>
    <s v=" 62.4444 "/>
    <x v="0"/>
    <n v="12156"/>
    <m/>
    <m/>
    <m/>
  </r>
  <r>
    <x v="0"/>
    <x v="5"/>
    <s v="F:\images\20210303\plaque 1/@01 Evian + 0.2% DMSO/F1_03.tif "/>
    <s v=" 259.5587 "/>
    <s v=" 63.0833 "/>
    <x v="0"/>
    <n v="16374"/>
    <m/>
    <m/>
    <m/>
  </r>
  <r>
    <x v="0"/>
    <x v="6"/>
    <s v="F:\images\20210303\plaque 1/@01 Evian + 0.2% DMSO/G1_01.tif "/>
    <s v=" 1189.6442 "/>
    <s v=" 63.7636 "/>
    <x v="0"/>
    <n v="75856"/>
    <m/>
    <m/>
    <m/>
  </r>
  <r>
    <x v="0"/>
    <x v="6"/>
    <s v="F:\images\20210303\plaque 1/@01 Evian + 0.2% DMSO/G1_02.tif "/>
    <s v=" 1362.6834 "/>
    <s v=" 64.1111 "/>
    <x v="0"/>
    <n v="87363"/>
    <m/>
    <m/>
    <m/>
  </r>
  <r>
    <x v="0"/>
    <x v="6"/>
    <s v="F:\images\20210303\plaque 1/@01 Evian + 0.2% DMSO/G1_03.tif "/>
    <s v=" 324.4484 "/>
    <s v=" 62.2 "/>
    <x v="0"/>
    <n v="20181"/>
    <m/>
    <m/>
    <m/>
  </r>
  <r>
    <x v="0"/>
    <x v="7"/>
    <s v="F:\images\20210303\plaque 1/@01 Evian + 0.2% DMSO/H1_01.tif "/>
    <s v=" 7981.4311 "/>
    <s v=" 70.1816 "/>
    <x v="0"/>
    <n v="560149"/>
    <m/>
    <m/>
    <m/>
  </r>
  <r>
    <x v="0"/>
    <x v="7"/>
    <s v="F:\images\20210303\plaque 1/@01 Evian + 0.2% DMSO/H1_02.tif "/>
    <s v=" 800.3061 "/>
    <s v=" 63.2432 "/>
    <x v="0"/>
    <n v="50614"/>
    <m/>
    <m/>
    <m/>
  </r>
  <r>
    <x v="0"/>
    <x v="7"/>
    <s v="F:\images\20210303\plaque 1/@01 Evian + 0.2% DMSO/H1_03.tif "/>
    <s v=" 1816.9111 "/>
    <s v=" 64.75 "/>
    <x v="0"/>
    <n v="117645"/>
    <m/>
    <m/>
    <m/>
  </r>
  <r>
    <x v="1"/>
    <x v="8"/>
    <s v=" "/>
    <m/>
    <m/>
    <x v="1"/>
    <m/>
    <m/>
    <m/>
    <m/>
  </r>
  <r>
    <x v="1"/>
    <x v="8"/>
    <s v="group "/>
    <s v=" "/>
    <s v=" mean of mean fluo "/>
    <x v="2"/>
    <s v=" mean of total fluo "/>
    <s v=" SD total fluo "/>
    <s v=" n fluorescent "/>
    <s v=" n total"/>
  </r>
  <r>
    <x v="0"/>
    <x v="9"/>
    <s v="F:\images\20210303\plaque 1/@01 Evian + 0.2% DMSO/ "/>
    <s v=" "/>
    <s v=" 65.3867 "/>
    <x v="3"/>
    <s v=" 137581.417 "/>
    <s v=" 158622.91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
    <x v="0"/>
    <s v="F:\images\20210303\plaque 1/@02 EE2 33.8/A2_01.tif "/>
    <s v=" 5688.6623 "/>
    <s v=" 68.4791 "/>
    <x v="0"/>
    <n v="389554"/>
    <m/>
    <m/>
    <m/>
  </r>
  <r>
    <x v="2"/>
    <x v="0"/>
    <s v="F:\images\20210303\plaque 1/@02 EE2 33.8/A2_02.tif "/>
    <s v=" 7397.424 "/>
    <s v=" 68.2222 "/>
    <x v="0"/>
    <n v="504669"/>
    <m/>
    <m/>
    <m/>
  </r>
  <r>
    <x v="2"/>
    <x v="0"/>
    <s v="F:\images\20210303\plaque 1/@02 EE2 33.8/A2_03.tif "/>
    <s v=" 4066.4202 "/>
    <s v=" 65.7447 "/>
    <x v="0"/>
    <n v="267345"/>
    <m/>
    <m/>
    <m/>
  </r>
  <r>
    <x v="2"/>
    <x v="1"/>
    <s v="F:\images\20210303\plaque 1/@02 EE2 33.8/B2_01.tif "/>
    <s v=" 4066.4202 "/>
    <s v=" 66.3777 "/>
    <x v="0"/>
    <n v="269919"/>
    <m/>
    <m/>
    <m/>
  </r>
  <r>
    <x v="2"/>
    <x v="1"/>
    <s v="F:\images\20210303\plaque 1/@02 EE2 33.8/B2_02.tif "/>
    <s v=" 1297.7937 "/>
    <s v=" 63.6167 "/>
    <x v="0"/>
    <n v="82561"/>
    <m/>
    <m/>
    <m/>
  </r>
  <r>
    <x v="2"/>
    <x v="1"/>
    <s v="F:\images\20210303\plaque 1/@02 EE2 33.8/B2_03.tif "/>
    <s v=" 4866.7263 "/>
    <s v=" 73.44 "/>
    <x v="0"/>
    <n v="357412"/>
    <m/>
    <m/>
    <m/>
  </r>
  <r>
    <x v="2"/>
    <x v="2"/>
    <s v="F:\images\20210303\plaque 1/@02 EE2 33.8/C2_01.tif "/>
    <s v=" 3028.1852 "/>
    <s v=" 64.95 "/>
    <x v="0"/>
    <n v="196681"/>
    <m/>
    <m/>
    <m/>
  </r>
  <r>
    <x v="2"/>
    <x v="2"/>
    <s v="F:\images\20210303\plaque 1/@02 EE2 33.8/C2_02.tif "/>
    <s v=" 3309.3739 "/>
    <s v=" 66.1895 "/>
    <x v="0"/>
    <n v="219046"/>
    <m/>
    <m/>
    <m/>
  </r>
  <r>
    <x v="2"/>
    <x v="2"/>
    <s v="F:\images\20210303\plaque 1/@02 EE2 33.8/C2_03.tif "/>
    <s v=" 1816.9111 "/>
    <s v=" 65.7619 "/>
    <x v="0"/>
    <n v="119484"/>
    <m/>
    <m/>
    <m/>
  </r>
  <r>
    <x v="2"/>
    <x v="3"/>
    <s v="F:\images\20210303\plaque 1/@02 EE2 33.8/D2_01.tif "/>
    <s v=" 1341.0535 "/>
    <s v=" 63.8548 "/>
    <x v="0"/>
    <n v="85633"/>
    <m/>
    <m/>
    <m/>
  </r>
  <r>
    <x v="2"/>
    <x v="3"/>
    <s v="F:\images\20210303\plaque 1/@02 EE2 33.8/D2_02.tif "/>
    <s v=" 1795.2813 "/>
    <s v=" 67.4699 "/>
    <x v="0"/>
    <n v="121127"/>
    <m/>
    <m/>
    <m/>
  </r>
  <r>
    <x v="2"/>
    <x v="3"/>
    <s v="F:\images\20210303\plaque 1/@02 EE2 33.8/D2_03.tif "/>
    <s v=" 1535.7225 "/>
    <s v=" 64.8451 "/>
    <x v="0"/>
    <n v="99584"/>
    <m/>
    <m/>
    <m/>
  </r>
  <r>
    <x v="2"/>
    <x v="4"/>
    <s v="F:\images\20210303\plaque 1/@02 EE2 33.8/E2_01.tif "/>
    <s v=" 1189.6442 "/>
    <s v=" 64.6545 "/>
    <x v="0"/>
    <n v="76916"/>
    <m/>
    <m/>
    <m/>
  </r>
  <r>
    <x v="2"/>
    <x v="4"/>
    <s v="F:\images\20210303\plaque 1/@02 EE2 33.8/E2_02.tif "/>
    <s v=" 367.7082 "/>
    <s v=" 62.8235 "/>
    <x v="0"/>
    <n v="23101"/>
    <m/>
    <m/>
    <m/>
  </r>
  <r>
    <x v="2"/>
    <x v="4"/>
    <s v="F:\images\20210303\plaque 1/@02 EE2 33.8/E2_03.tif "/>
    <s v=" 692.1566 "/>
    <s v=" 63.6562 "/>
    <x v="0"/>
    <n v="44060"/>
    <m/>
    <m/>
    <m/>
  </r>
  <r>
    <x v="2"/>
    <x v="5"/>
    <s v="F:\images\20210303\plaque 1/@02 EE2 33.8/F2_01- exclu.tif"/>
    <m/>
    <m/>
    <x v="1"/>
    <m/>
    <m/>
    <m/>
    <m/>
  </r>
  <r>
    <x v="2"/>
    <x v="5"/>
    <s v="F:\images\20210303\plaque 1/@02 EE2 33.8/F2_02- exclu.tif"/>
    <m/>
    <m/>
    <x v="1"/>
    <m/>
    <m/>
    <m/>
    <m/>
  </r>
  <r>
    <x v="2"/>
    <x v="5"/>
    <s v="F:\images\20210303\plaque 1/@02 EE2 33.8/F2_03.tif "/>
    <s v=" 2898.4059 "/>
    <s v=" 66.1866 "/>
    <x v="0"/>
    <n v="191836"/>
    <m/>
    <m/>
    <m/>
  </r>
  <r>
    <x v="2"/>
    <x v="6"/>
    <s v="F:\images\20210303\plaque 1/@02 EE2 33.8/G2_01.tif "/>
    <s v=" 1773.6514 "/>
    <s v=" 65.8293 "/>
    <x v="0"/>
    <n v="116758"/>
    <m/>
    <m/>
    <m/>
  </r>
  <r>
    <x v="2"/>
    <x v="6"/>
    <s v="F:\images\20210303\plaque 1/@02 EE2 33.8/G2_02.tif "/>
    <s v=" 454.2278 "/>
    <s v=" 64.7619 "/>
    <x v="0"/>
    <n v="29417"/>
    <m/>
    <m/>
    <m/>
  </r>
  <r>
    <x v="2"/>
    <x v="6"/>
    <s v="F:\images\20210303\plaque 1/@02 EE2 33.8/G2_03.tif "/>
    <s v=" 432.5979 "/>
    <s v=" 61.7 "/>
    <x v="0"/>
    <n v="26691"/>
    <m/>
    <m/>
    <m/>
  </r>
  <r>
    <x v="2"/>
    <x v="7"/>
    <s v="F:\images\20210303\plaque 1/@02 EE2 33.8/H2_01.tif "/>
    <s v=" 1319.4236 "/>
    <s v=" 65.3443 "/>
    <x v="0"/>
    <n v="86217"/>
    <m/>
    <m/>
    <m/>
  </r>
  <r>
    <x v="2"/>
    <x v="7"/>
    <s v="F:\images\20210303\plaque 1/@02 EE2 33.8/H2_02.tif "/>
    <s v=" 194.6691 "/>
    <s v=" 62.3333 "/>
    <x v="0"/>
    <n v="12134"/>
    <m/>
    <m/>
    <m/>
  </r>
  <r>
    <x v="2"/>
    <x v="7"/>
    <s v="F:\images\20210303\plaque 1/@02 EE2 33.8/H2_03.tif "/>
    <s v=" 800.3061 "/>
    <s v=" 63.8919 "/>
    <x v="0"/>
    <n v="51133"/>
    <m/>
    <m/>
    <m/>
  </r>
  <r>
    <x v="1"/>
    <x v="8"/>
    <s v=" "/>
    <m/>
    <m/>
    <x v="1"/>
    <m/>
    <m/>
    <m/>
    <m/>
  </r>
  <r>
    <x v="1"/>
    <x v="8"/>
    <s v="group "/>
    <s v=" "/>
    <s v=" mean of mean fluo "/>
    <x v="2"/>
    <s v=" mean of total fluo "/>
    <s v=" SD total fluo "/>
    <s v=" n fluorescent "/>
    <s v=" n total"/>
  </r>
  <r>
    <x v="2"/>
    <x v="9"/>
    <s v="F:\images\20210303\plaque 1/@02 EE2 33.8/ "/>
    <s v=" "/>
    <s v=" 65.4123 "/>
    <x v="4"/>
    <s v=" 142096.667 "/>
    <s v=" 132721.15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3"/>
    <x v="0"/>
    <s v="F:\images\20210303\plaque 1/@03 EE2 50.6/A3_01.tif "/>
    <s v=" 9798.3423 "/>
    <s v=" 69.0066 "/>
    <x v="0"/>
    <n v="676151"/>
    <m/>
    <m/>
    <m/>
  </r>
  <r>
    <x v="3"/>
    <x v="0"/>
    <s v="F:\images\20210303\plaque 1/@03 EE2 50.6/A3_02.tif "/>
    <s v=" 10944.7267 "/>
    <s v=" 77.8735 "/>
    <x v="0"/>
    <n v="852304"/>
    <m/>
    <m/>
    <m/>
  </r>
  <r>
    <x v="3"/>
    <x v="0"/>
    <s v="F:\images\20210303\plaque 1/@03 EE2 50.6/A3_03.tif "/>
    <s v=" 10858.2071 "/>
    <s v=" 79.6594 "/>
    <x v="0"/>
    <n v="864958"/>
    <m/>
    <m/>
    <m/>
  </r>
  <r>
    <x v="3"/>
    <x v="1"/>
    <s v="F:\images\20210303\plaque 1/@03 EE2 50.6/B3_01.tif "/>
    <s v=" 302.8185 "/>
    <s v=" 63.8571 "/>
    <x v="0"/>
    <n v="19337"/>
    <m/>
    <m/>
    <m/>
  </r>
  <r>
    <x v="3"/>
    <x v="1"/>
    <s v="F:\images\20210303\plaque 1/@03 EE2 50.6/B3_02.tif "/>
    <s v=" 454.2278 "/>
    <s v=" 63.8571 "/>
    <x v="0"/>
    <n v="29006"/>
    <m/>
    <m/>
    <m/>
  </r>
  <r>
    <x v="3"/>
    <x v="1"/>
    <s v="F:\images\20210303\plaque 1/@03 EE2 50.6/B3_03.tif "/>
    <s v=" 562.3773 "/>
    <s v=" 64.9615 "/>
    <x v="0"/>
    <n v="36533"/>
    <m/>
    <m/>
    <m/>
  </r>
  <r>
    <x v="3"/>
    <x v="2"/>
    <s v="F:\images\20210303\plaque 1/@03 EE2 50.6/C3_01.tif "/>
    <s v=" 1362.6834 "/>
    <s v=" 66.3492 "/>
    <x v="0"/>
    <n v="90413"/>
    <m/>
    <m/>
    <m/>
  </r>
  <r>
    <x v="3"/>
    <x v="2"/>
    <s v="F:\images\20210303\plaque 1/@03 EE2 50.6/C3_02.tif "/>
    <s v=" 237.9288 "/>
    <s v=" 62.6364 "/>
    <x v="0"/>
    <n v="14903"/>
    <m/>
    <m/>
    <m/>
  </r>
  <r>
    <x v="3"/>
    <x v="2"/>
    <s v="F:\images\20210303\plaque 1/@03 EE2 50.6/C3_03.tif "/>
    <s v=" 302.8185 "/>
    <s v=" 62.5714 "/>
    <x v="0"/>
    <n v="18948"/>
    <m/>
    <m/>
    <m/>
  </r>
  <r>
    <x v="3"/>
    <x v="3"/>
    <s v="F:\images\20210303\plaque 1/@03 EE2 50.6/D3_01.tif "/>
    <s v=" 821.936 "/>
    <s v=" 62.1579 "/>
    <x v="0"/>
    <n v="51090"/>
    <m/>
    <m/>
    <m/>
  </r>
  <r>
    <x v="3"/>
    <x v="3"/>
    <s v="F:\images\20210303\plaque 1/@03 EE2 50.6/D3_02.tif "/>
    <s v=" 4174.5697 "/>
    <s v=" 67.0984 "/>
    <x v="0"/>
    <n v="280107"/>
    <m/>
    <m/>
    <m/>
  </r>
  <r>
    <x v="3"/>
    <x v="3"/>
    <s v="F:\images\20210303\plaque 1/@03 EE2 50.6/D3_03.tif "/>
    <s v=" 605.637 "/>
    <s v=" 62.6429 "/>
    <x v="0"/>
    <n v="37939"/>
    <m/>
    <m/>
    <m/>
  </r>
  <r>
    <x v="3"/>
    <x v="4"/>
    <s v="F:\images\20210303\plaque 1/@03 EE2 50.6/E3_01.tif "/>
    <s v=" 540.7474 "/>
    <s v=" 64.6 "/>
    <x v="0"/>
    <n v="34932"/>
    <m/>
    <m/>
    <m/>
  </r>
  <r>
    <x v="3"/>
    <x v="4"/>
    <s v="F:\images\20210303\plaque 1/@03 EE2 50.6/E3_02- exclu.tif"/>
    <m/>
    <m/>
    <x v="1"/>
    <m/>
    <m/>
    <m/>
    <m/>
  </r>
  <r>
    <x v="3"/>
    <x v="4"/>
    <s v="F:\images\20210303\plaque 1/@03 EE2 50.6/E3_03.tif "/>
    <s v=" 713.7865 "/>
    <s v=" 63.697 "/>
    <x v="0"/>
    <n v="45466"/>
    <m/>
    <m/>
    <m/>
  </r>
  <r>
    <x v="3"/>
    <x v="5"/>
    <s v="F:\images\20210303\plaque 1/@03 EE2 50.6/F3_01.tif "/>
    <s v=" 7267.6446 "/>
    <s v=" 73.628 "/>
    <x v="0"/>
    <n v="535102"/>
    <m/>
    <m/>
    <m/>
  </r>
  <r>
    <x v="3"/>
    <x v="5"/>
    <s v="F:\images\20210303\plaque 1/@03 EE2 50.6/F3_02.tif "/>
    <s v=" 8327.5094 "/>
    <s v=" 73.2545 "/>
    <x v="0"/>
    <n v="610028"/>
    <m/>
    <m/>
    <m/>
  </r>
  <r>
    <x v="3"/>
    <x v="5"/>
    <s v="F:\images\20210303\plaque 1/@03 EE2 50.6/F3_03.tif "/>
    <s v=" 2595.5874 "/>
    <s v=" 65.0667 "/>
    <x v="0"/>
    <n v="168886"/>
    <m/>
    <m/>
    <m/>
  </r>
  <r>
    <x v="3"/>
    <x v="6"/>
    <s v="F:\images\20210303\plaque 1/@03 EE2 50.6/G3_01.tif "/>
    <s v=" 9928.1216 "/>
    <s v=" 73.6688 "/>
    <x v="0"/>
    <n v="731393"/>
    <m/>
    <m/>
    <m/>
  </r>
  <r>
    <x v="3"/>
    <x v="6"/>
    <s v="F:\images\20210303\plaque 1/@03 EE2 50.6/G3_02.tif "/>
    <s v=" 7656.9827 "/>
    <s v=" 69.6497 "/>
    <x v="0"/>
    <n v="533307"/>
    <m/>
    <m/>
    <m/>
  </r>
  <r>
    <x v="3"/>
    <x v="6"/>
    <s v="F:\images\20210303\plaque 1/@03 EE2 50.6/G3_03.tif "/>
    <s v=" 6229.4097 "/>
    <s v=" 69.7118 "/>
    <x v="0"/>
    <n v="434263"/>
    <m/>
    <m/>
    <m/>
  </r>
  <r>
    <x v="3"/>
    <x v="7"/>
    <s v="F:\images\20210303\plaque 1/@03 EE2 50.6/H3_01.tif "/>
    <s v=" 173.0392 "/>
    <n v="64"/>
    <x v="0"/>
    <n v="11075"/>
    <m/>
    <m/>
    <m/>
  </r>
  <r>
    <x v="3"/>
    <x v="7"/>
    <s v="F:\images\20210303\plaque 1/@03 EE2 50.6/H3_02.tif "/>
    <s v=" 259.5587 "/>
    <s v=" 62.6667 "/>
    <x v="0"/>
    <n v="16266"/>
    <m/>
    <m/>
    <m/>
  </r>
  <r>
    <x v="3"/>
    <x v="7"/>
    <s v="F:\images\20210303\plaque 1/@03 EE2 50.6/H3_03.tif "/>
    <s v=" 302.8185 "/>
    <s v=" 65.2143 "/>
    <x v="0"/>
    <n v="19748"/>
    <m/>
    <m/>
    <m/>
  </r>
  <r>
    <x v="1"/>
    <x v="8"/>
    <s v=" "/>
    <m/>
    <m/>
    <x v="1"/>
    <m/>
    <m/>
    <m/>
    <m/>
  </r>
  <r>
    <x v="1"/>
    <x v="8"/>
    <s v="group "/>
    <s v=" "/>
    <s v=" mean of mean fluo "/>
    <x v="2"/>
    <s v=" mean of total fluo "/>
    <s v=" SD total fluo "/>
    <s v=" n fluorescent "/>
    <s v=" n total"/>
  </r>
  <r>
    <x v="3"/>
    <x v="9"/>
    <s v="F:\images\20210303\plaque 1/@03 EE2 50.6/ "/>
    <s v=" "/>
    <s v=" 67.0825 "/>
    <x v="5"/>
    <s v=" 255793.375 "/>
    <s v=" 306094.49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4"/>
    <x v="0"/>
    <s v="F:\images\20210303\plaque 1/@04 EE2 76/A4_01.tif "/>
    <s v=" 5883.3313 "/>
    <s v=" 68.4706 "/>
    <x v="0"/>
    <n v="402835"/>
    <m/>
    <m/>
    <m/>
  </r>
  <r>
    <x v="4"/>
    <x v="0"/>
    <s v="F:\images\20210303\plaque 1/@04 EE2 76/A4_02.tif "/>
    <s v=" 4477.3882 "/>
    <s v=" 66.6667 "/>
    <x v="0"/>
    <n v="298493"/>
    <m/>
    <m/>
    <m/>
  </r>
  <r>
    <x v="4"/>
    <x v="0"/>
    <s v="F:\images\20210303\plaque 1/@04 EE2 76/A4_03.tif "/>
    <s v=" 3525.6728 "/>
    <s v=" 65.227 "/>
    <x v="0"/>
    <n v="229969"/>
    <m/>
    <m/>
    <m/>
  </r>
  <r>
    <x v="4"/>
    <x v="1"/>
    <s v="F:\images\20210303\plaque 1/@04 EE2 76/B4_01- exclu.tif"/>
    <m/>
    <m/>
    <x v="1"/>
    <m/>
    <m/>
    <m/>
    <m/>
  </r>
  <r>
    <x v="4"/>
    <x v="1"/>
    <s v="F:\images\20210303\plaque 1/@04 EE2 76/B4_02.tif "/>
    <s v=" 908.4556 "/>
    <s v=" 63.7619 "/>
    <x v="0"/>
    <n v="57925"/>
    <m/>
    <m/>
    <m/>
  </r>
  <r>
    <x v="4"/>
    <x v="1"/>
    <s v="F:\images\20210303\plaque 1/@04 EE2 76/B4_03.tif "/>
    <s v=" 2357.6585 "/>
    <s v=" 64.3578 "/>
    <x v="0"/>
    <n v="151734"/>
    <m/>
    <m/>
    <m/>
  </r>
  <r>
    <x v="4"/>
    <x v="2"/>
    <s v="F:\images\20210303\plaque 1/@04 EE2 76/C4_01.tif "/>
    <s v=" 2033.2101 "/>
    <s v=" 62.7128 "/>
    <x v="0"/>
    <n v="127508"/>
    <m/>
    <m/>
    <m/>
  </r>
  <r>
    <x v="4"/>
    <x v="2"/>
    <s v="F:\images\20210303\plaque 1/@04 EE2 76/C4_02.tif "/>
    <s v=" 2984.9255 "/>
    <s v=" 64.7174 "/>
    <x v="0"/>
    <n v="193177"/>
    <m/>
    <m/>
    <m/>
  </r>
  <r>
    <x v="4"/>
    <x v="2"/>
    <s v="F:\images\20210303\plaque 1/@04 EE2 76/C4_03.tif "/>
    <s v=" 3460.7831 "/>
    <s v=" 64.8187 "/>
    <x v="0"/>
    <n v="224324"/>
    <m/>
    <m/>
    <m/>
  </r>
  <r>
    <x v="4"/>
    <x v="3"/>
    <s v="F:\images\20210303\plaque 1/@04 EE2 76/D4_01.tif "/>
    <s v=" 72806.2253 "/>
    <s v=" 80.243 "/>
    <x v="0"/>
    <n v="5842191"/>
    <m/>
    <m/>
    <m/>
  </r>
  <r>
    <x v="4"/>
    <x v="3"/>
    <s v="F:\images\20210303\plaque 1/@04 EE2 76/D4_02.tif "/>
    <s v=" 65776.5096 "/>
    <s v=" 81.5873 "/>
    <x v="0"/>
    <n v="5366528"/>
    <m/>
    <m/>
    <m/>
  </r>
  <r>
    <x v="4"/>
    <x v="3"/>
    <s v="F:\images\20210303\plaque 1/@04 EE2 76/D4_03.tif "/>
    <s v=" 64435.4561 "/>
    <s v=" 79.7902 "/>
    <x v="0"/>
    <n v="5141318"/>
    <m/>
    <m/>
    <m/>
  </r>
  <r>
    <x v="4"/>
    <x v="4"/>
    <s v="F:\images\20210303\plaque 1/@04 EE2 76/E4_01.tif "/>
    <s v=" 2379.2884 "/>
    <s v=" 64.4273 "/>
    <x v="0"/>
    <n v="153291"/>
    <m/>
    <m/>
    <m/>
  </r>
  <r>
    <x v="4"/>
    <x v="4"/>
    <s v="F:\images\20210303\plaque 1/@04 EE2 76/E4_02.tif "/>
    <s v=" 2400.9183 "/>
    <s v=" 63.9279 "/>
    <x v="0"/>
    <n v="153486"/>
    <m/>
    <m/>
    <m/>
  </r>
  <r>
    <x v="4"/>
    <x v="4"/>
    <s v="F:\images\20210303\plaque 1/@04 EE2 76/E4_03.tif "/>
    <s v=" 2119.7297 "/>
    <s v=" 64.1837 "/>
    <x v="0"/>
    <n v="136052"/>
    <m/>
    <m/>
    <m/>
  </r>
  <r>
    <x v="4"/>
    <x v="5"/>
    <s v="F:\images\20210303\plaque 1/@04 EE2 76/F4_01- exclu.tif"/>
    <m/>
    <m/>
    <x v="1"/>
    <m/>
    <m/>
    <m/>
    <m/>
  </r>
  <r>
    <x v="4"/>
    <x v="5"/>
    <s v="F:\images\20210303\plaque 1/@04 EE2 76/F4_02- exclu.tif"/>
    <m/>
    <m/>
    <x v="1"/>
    <m/>
    <m/>
    <m/>
    <m/>
  </r>
  <r>
    <x v="4"/>
    <x v="5"/>
    <s v="F:\images\20210303\plaque 1/@04 EE2 76/F4_03- exclu.tif"/>
    <m/>
    <m/>
    <x v="1"/>
    <m/>
    <m/>
    <m/>
    <m/>
  </r>
  <r>
    <x v="4"/>
    <x v="6"/>
    <s v="F:\images\20210303\plaque 1/@04 EE2 76/G4_01.tif "/>
    <s v=" 4369.2387 "/>
    <s v=" 64.5347 "/>
    <x v="0"/>
    <n v="281967"/>
    <m/>
    <m/>
    <m/>
  </r>
  <r>
    <x v="4"/>
    <x v="6"/>
    <s v="F:\images\20210303\plaque 1/@04 EE2 76/G4_02.tif "/>
    <s v=" 5710.2922 "/>
    <s v=" 65.4508 "/>
    <x v="0"/>
    <n v="373743"/>
    <m/>
    <m/>
    <m/>
  </r>
  <r>
    <x v="4"/>
    <x v="6"/>
    <s v="F:\images\20210303\plaque 1/@04 EE2 76/G4_03.tif "/>
    <s v=" 1405.9432 "/>
    <s v=" 63.6 "/>
    <x v="0"/>
    <n v="89418"/>
    <m/>
    <m/>
    <m/>
  </r>
  <r>
    <x v="4"/>
    <x v="7"/>
    <s v="F:\images\20210303\plaque 1/@04 EE2 76/H4_01.tif "/>
    <s v=" 11312.4349 "/>
    <s v=" 65.2467 "/>
    <x v="0"/>
    <n v="738099"/>
    <m/>
    <m/>
    <m/>
  </r>
  <r>
    <x v="4"/>
    <x v="7"/>
    <s v="F:\images\20210303\plaque 1/@04 EE2 76/H4_02.tif "/>
    <s v=" 8176.1002 "/>
    <s v=" 64.0847 "/>
    <x v="0"/>
    <n v="523963"/>
    <m/>
    <m/>
    <m/>
  </r>
  <r>
    <x v="4"/>
    <x v="7"/>
    <s v="F:\images\20210303\plaque 1/@04 EE2 76/H4_03.tif "/>
    <s v=" 9279.2248 "/>
    <s v=" 65.5035 "/>
    <x v="0"/>
    <n v="607822"/>
    <m/>
    <m/>
    <m/>
  </r>
  <r>
    <x v="1"/>
    <x v="8"/>
    <s v=" "/>
    <m/>
    <m/>
    <x v="1"/>
    <m/>
    <m/>
    <m/>
    <m/>
  </r>
  <r>
    <x v="1"/>
    <x v="8"/>
    <s v="group "/>
    <s v=" "/>
    <s v=" mean of mean fluo "/>
    <x v="2"/>
    <s v=" mean of total fluo "/>
    <s v=" SD total fluo "/>
    <s v=" n fluorescent "/>
    <s v=" n total"/>
  </r>
  <r>
    <x v="4"/>
    <x v="9"/>
    <s v="F:\images\20210303\plaque 1/@04 EE2 76/ "/>
    <s v=" "/>
    <s v=" 67.78 "/>
    <x v="6"/>
    <s v=" 970868.708 "/>
    <s v=" 1754610.9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5"/>
    <x v="0"/>
    <s v="F:\images\20210303\plaque 1/@05 EE2 114/A5_01.tif "/>
    <s v=" 15292.3355 "/>
    <s v=" 67.3338 "/>
    <x v="0"/>
    <n v="1029691"/>
    <m/>
    <m/>
    <m/>
  </r>
  <r>
    <x v="5"/>
    <x v="0"/>
    <s v="F:\images\20210303\plaque 1/@05 EE2 114/A5_02.tif "/>
    <s v=" 10403.9793 "/>
    <s v=" 70.8108 "/>
    <x v="0"/>
    <n v="736714"/>
    <m/>
    <m/>
    <m/>
  </r>
  <r>
    <x v="5"/>
    <x v="0"/>
    <s v="F:\images\20210303\plaque 1/@05 EE2 114/A5_03.tif "/>
    <s v=" 11420.5844 "/>
    <s v=" 65.8163 "/>
    <x v="0"/>
    <n v="751660"/>
    <m/>
    <m/>
    <m/>
  </r>
  <r>
    <x v="5"/>
    <x v="1"/>
    <s v="F:\images\20210303\plaque 1/@05 EE2 114/B5_01.tif "/>
    <s v=" 3374.2636 "/>
    <s v=" 65.0962 "/>
    <x v="0"/>
    <n v="219652"/>
    <m/>
    <m/>
    <m/>
  </r>
  <r>
    <x v="5"/>
    <x v="1"/>
    <s v="F:\images\20210303\plaque 1/@05 EE2 114/B5_02.tif "/>
    <s v=" 1752.0215 "/>
    <s v=" 63.3951 "/>
    <x v="0"/>
    <n v="111070"/>
    <m/>
    <m/>
    <m/>
  </r>
  <r>
    <x v="5"/>
    <x v="1"/>
    <s v="F:\images\20210303\plaque 1/@05 EE2 114/B5_03.tif "/>
    <s v=" 2206.2493 "/>
    <s v=" 62.6176 "/>
    <x v="0"/>
    <n v="138150"/>
    <m/>
    <m/>
    <m/>
  </r>
  <r>
    <x v="5"/>
    <x v="2"/>
    <s v="F:\images\20210303\plaque 1/@05 EE2 114/C5_01.tif "/>
    <s v=" 21521.7452 "/>
    <s v=" 67.9457 "/>
    <x v="0"/>
    <n v="1462311"/>
    <m/>
    <m/>
    <m/>
  </r>
  <r>
    <x v="5"/>
    <x v="2"/>
    <s v="F:\images\20210303\plaque 1/@05 EE2 114/C5_02- exclu.tif"/>
    <m/>
    <m/>
    <x v="1"/>
    <m/>
    <m/>
    <m/>
    <m/>
  </r>
  <r>
    <x v="5"/>
    <x v="2"/>
    <s v="F:\images\20210303\plaque 1/@05 EE2 114/C5_03.tif "/>
    <s v=" 20721.4391 "/>
    <s v=" 66.2296 "/>
    <x v="0"/>
    <n v="1372374"/>
    <m/>
    <m/>
    <m/>
  </r>
  <r>
    <x v="5"/>
    <x v="3"/>
    <s v="F:\images\20210303\plaque 1/@05 EE2 114/D5_01.tif "/>
    <s v=" 39344.7783 "/>
    <s v=" 71.8296 "/>
    <x v="0"/>
    <n v="2826119"/>
    <m/>
    <m/>
    <m/>
  </r>
  <r>
    <x v="5"/>
    <x v="3"/>
    <s v="F:\images\20210303\plaque 1/@05 EE2 114/D5_02.tif "/>
    <s v=" 43194.8996 "/>
    <s v=" 70.7922 "/>
    <x v="0"/>
    <n v="3057861"/>
    <m/>
    <m/>
    <m/>
  </r>
  <r>
    <x v="5"/>
    <x v="3"/>
    <s v="F:\images\20210303\plaque 1/@05 EE2 114/D5_03.tif "/>
    <s v=" 29330.1371 "/>
    <s v=" 67.028 "/>
    <x v="0"/>
    <n v="1965941"/>
    <m/>
    <m/>
    <m/>
  </r>
  <r>
    <x v="5"/>
    <x v="4"/>
    <s v="F:\images\20210303\plaque 1/@05 EE2 114/E5_01.tif "/>
    <s v=" 21867.8235 "/>
    <s v=" 69.2235 "/>
    <x v="0"/>
    <n v="1513768"/>
    <m/>
    <m/>
    <m/>
  </r>
  <r>
    <x v="5"/>
    <x v="4"/>
    <s v="F:\images\20210303\plaque 1/@05 EE2 114/E5_02.tif "/>
    <s v=" 18709.8589 "/>
    <s v=" 67.9514 "/>
    <x v="0"/>
    <n v="1271362"/>
    <m/>
    <m/>
    <m/>
  </r>
  <r>
    <x v="5"/>
    <x v="4"/>
    <s v="F:\images\20210303\plaque 1/@05 EE2 114/E5_03.tif "/>
    <s v=" 16590.1292 "/>
    <s v=" 68.6832 "/>
    <x v="0"/>
    <n v="1139463"/>
    <m/>
    <m/>
    <m/>
  </r>
  <r>
    <x v="5"/>
    <x v="5"/>
    <s v="F:\images\20210303\plaque 1/@05 EE2 114/F5_01.tif "/>
    <s v=" 12826.5275 "/>
    <s v=" 64.8735 "/>
    <x v="0"/>
    <n v="832102"/>
    <m/>
    <m/>
    <m/>
  </r>
  <r>
    <x v="5"/>
    <x v="5"/>
    <s v="F:\images\20210303\plaque 1/@05 EE2 114/F5_02.tif "/>
    <s v=" 12480.4492 "/>
    <s v=" 64.9965 "/>
    <x v="0"/>
    <n v="811186"/>
    <m/>
    <m/>
    <m/>
  </r>
  <r>
    <x v="5"/>
    <x v="5"/>
    <s v="F:\images\20210303\plaque 1/@05 EE2 114/F5_03- exclu.tif"/>
    <m/>
    <m/>
    <x v="1"/>
    <m/>
    <m/>
    <m/>
    <m/>
  </r>
  <r>
    <x v="5"/>
    <x v="6"/>
    <s v="F:\images\20210303\plaque 1/@05 EE2 114/G5_01.tif "/>
    <s v=" 25112.3077 "/>
    <s v=" 67.4341 "/>
    <x v="0"/>
    <n v="1693426"/>
    <m/>
    <m/>
    <m/>
  </r>
  <r>
    <x v="5"/>
    <x v="6"/>
    <s v="F:\images\20210303\plaque 1/@05 EE2 114/G5_02.tif "/>
    <s v=" 22322.0513 "/>
    <s v=" 66.2829 "/>
    <x v="0"/>
    <n v="1479571"/>
    <m/>
    <m/>
    <m/>
  </r>
  <r>
    <x v="5"/>
    <x v="6"/>
    <s v="F:\images\20210303\plaque 1/@05 EE2 114/G5_03.tif "/>
    <s v=" 18558.4496 "/>
    <s v=" 66.3823 "/>
    <x v="0"/>
    <n v="1231952"/>
    <m/>
    <m/>
    <m/>
  </r>
  <r>
    <x v="5"/>
    <x v="7"/>
    <s v="F:\images\20210303\plaque 1/@05 EE2 114/H5_01- exclu.tif"/>
    <m/>
    <m/>
    <x v="1"/>
    <m/>
    <m/>
    <m/>
    <m/>
  </r>
  <r>
    <x v="5"/>
    <x v="7"/>
    <s v="F:\images\20210303\plaque 1/@05 EE2 114/H5_02.tif "/>
    <s v=" 28162.1228 "/>
    <s v=" 68.1736 "/>
    <x v="0"/>
    <n v="1919913"/>
    <m/>
    <m/>
    <m/>
  </r>
  <r>
    <x v="5"/>
    <x v="7"/>
    <s v="F:\images\20210303\plaque 1/@05 EE2 114/H5_03.tif "/>
    <s v=" 35429.7674 "/>
    <s v=" 67.5476 "/>
    <x v="0"/>
    <n v="2393196"/>
    <m/>
    <m/>
    <m/>
  </r>
  <r>
    <x v="1"/>
    <x v="8"/>
    <s v=" "/>
    <m/>
    <m/>
    <x v="1"/>
    <m/>
    <m/>
    <m/>
    <m/>
  </r>
  <r>
    <x v="1"/>
    <x v="8"/>
    <s v="group "/>
    <s v=" "/>
    <s v=" mean of mean fluo "/>
    <x v="2"/>
    <s v=" mean of total fluo "/>
    <s v=" SD total fluo "/>
    <s v=" n fluorescent "/>
    <s v=" n total"/>
  </r>
  <r>
    <x v="5"/>
    <x v="9"/>
    <s v="F:\images\20210303\plaque 1/@05 EE2 114/ "/>
    <s v=" "/>
    <s v=" 66.9527 "/>
    <x v="7"/>
    <s v=" 1237054.21 "/>
    <s v=" 819949.89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6"/>
    <x v="0"/>
    <s v="F:\images\20210303\plaque 1/@06 EE2 170.9/A6_01.tif "/>
    <s v=" 48061.6259 "/>
    <s v=" 77.0918 "/>
    <x v="0"/>
    <n v="3705158"/>
    <m/>
    <m/>
    <m/>
  </r>
  <r>
    <x v="6"/>
    <x v="0"/>
    <s v="F:\images\20210303\plaque 1/@06 EE2 170.9/A6_02.tif "/>
    <s v=" 44795.5118 "/>
    <s v=" 75.0874 "/>
    <x v="0"/>
    <n v="3363578"/>
    <m/>
    <m/>
    <m/>
  </r>
  <r>
    <x v="6"/>
    <x v="0"/>
    <s v="F:\images\20210303\plaque 1/@06 EE2 170.9/A6_03.tif "/>
    <s v=" 46461.0137 "/>
    <s v=" 74.926 "/>
    <x v="0"/>
    <n v="3481137"/>
    <m/>
    <m/>
    <m/>
  </r>
  <r>
    <x v="6"/>
    <x v="1"/>
    <s v="F:\images\20210303\plaque 1/@06 EE2 170.9/B6_01.tif "/>
    <s v=" 30800.97 "/>
    <s v=" 72.2247 "/>
    <x v="0"/>
    <n v="2224591"/>
    <m/>
    <m/>
    <m/>
  </r>
  <r>
    <x v="6"/>
    <x v="1"/>
    <s v="F:\images\20210303\plaque 1/@06 EE2 170.9/B6_02.tif "/>
    <s v=" 32228.543 "/>
    <s v=" 72.2114 "/>
    <x v="0"/>
    <n v="2327269"/>
    <m/>
    <m/>
    <m/>
  </r>
  <r>
    <x v="6"/>
    <x v="1"/>
    <s v="F:\images\20210303\plaque 1/@06 EE2 170.9/B6_03.tif "/>
    <s v=" 32617.8811 "/>
    <s v=" 72.0405 "/>
    <x v="0"/>
    <n v="2349807"/>
    <m/>
    <m/>
    <m/>
  </r>
  <r>
    <x v="6"/>
    <x v="2"/>
    <s v="F:\images\20210303\plaque 1/@06 EE2 170.9/C6_01.tif "/>
    <s v=" 59568.7298 "/>
    <s v=" 80.6042 "/>
    <x v="0"/>
    <n v="4801491"/>
    <m/>
    <m/>
    <m/>
  </r>
  <r>
    <x v="6"/>
    <x v="2"/>
    <s v="F:\images\20210303\plaque 1/@06 EE2 170.9/C6_02.tif "/>
    <s v=" 60239.2565 "/>
    <s v=" 79.1838 "/>
    <x v="0"/>
    <n v="4769976"/>
    <m/>
    <m/>
    <m/>
  </r>
  <r>
    <x v="6"/>
    <x v="2"/>
    <s v="F:\images\20210303\plaque 1/@06 EE2 170.9/C6_03.tif "/>
    <s v=" 57275.961 "/>
    <s v=" 79.4883 "/>
    <x v="0"/>
    <n v="4552768"/>
    <m/>
    <m/>
    <m/>
  </r>
  <r>
    <x v="6"/>
    <x v="3"/>
    <s v="F:\images\20210303\plaque 1/@06 EE2 170.9/D6_01.tif "/>
    <s v=" 19986.0226 "/>
    <s v=" 65.6234 "/>
    <x v="0"/>
    <n v="1311550"/>
    <m/>
    <m/>
    <m/>
  </r>
  <r>
    <x v="6"/>
    <x v="3"/>
    <s v="F:\images\20210303\plaque 1/@06 EE2 170.9/D6_02.tif "/>
    <s v=" 21024.2576 "/>
    <s v=" 67.0237 "/>
    <x v="0"/>
    <n v="1409123"/>
    <m/>
    <m/>
    <m/>
  </r>
  <r>
    <x v="6"/>
    <x v="3"/>
    <s v="F:\images\20210303\plaque 1/@06 EE2 170.9/D6_03.tif "/>
    <s v=" 20505.1401 "/>
    <s v=" 66.577 "/>
    <x v="0"/>
    <n v="1365171"/>
    <m/>
    <m/>
    <m/>
  </r>
  <r>
    <x v="6"/>
    <x v="4"/>
    <s v="F:\images\20210303\plaque 1/@06 EE2 170.9/E6_01.tif "/>
    <s v=" 44406.1737 "/>
    <s v=" 72.132 "/>
    <x v="0"/>
    <n v="3203106"/>
    <m/>
    <m/>
    <m/>
  </r>
  <r>
    <x v="6"/>
    <x v="4"/>
    <s v="F:\images\20210303\plaque 1/@06 EE2 170.9/E6_02.tif "/>
    <s v=" 32055.5038 "/>
    <s v=" 71.085 "/>
    <x v="0"/>
    <n v="2278666"/>
    <m/>
    <m/>
    <m/>
  </r>
  <r>
    <x v="6"/>
    <x v="4"/>
    <s v="F:\images\20210303\plaque 1/@06 EE2 170.9/E6_03.tif "/>
    <s v=" 32271.8028 "/>
    <s v=" 71.2125 "/>
    <x v="0"/>
    <n v="2298155"/>
    <m/>
    <m/>
    <m/>
  </r>
  <r>
    <x v="6"/>
    <x v="5"/>
    <s v="F:\images\20210303\plaque 1/@06 EE2 170.9/F6_01.tif "/>
    <s v=" 4845.0964 "/>
    <s v=" 66.2991 "/>
    <x v="0"/>
    <n v="321226"/>
    <m/>
    <m/>
    <m/>
  </r>
  <r>
    <x v="6"/>
    <x v="5"/>
    <s v="F:\images\20210303\plaque 1/@06 EE2 170.9/F6_02.tif "/>
    <s v=" 3287.744 "/>
    <s v=" 64.6382 "/>
    <x v="0"/>
    <n v="212514"/>
    <m/>
    <m/>
    <m/>
  </r>
  <r>
    <x v="6"/>
    <x v="5"/>
    <s v="F:\images\20210303\plaque 1/@06 EE2 170.9/F6_03.tif "/>
    <s v=" 4845.0964 "/>
    <s v=" 66.0045 "/>
    <x v="0"/>
    <n v="319798"/>
    <m/>
    <m/>
    <m/>
  </r>
  <r>
    <x v="6"/>
    <x v="6"/>
    <s v="F:\images\20210303\plaque 1/@06 EE2 170.9/G6_01.tif "/>
    <s v=" 21370.3359 "/>
    <s v=" 67.333 "/>
    <x v="0"/>
    <n v="1438929"/>
    <m/>
    <m/>
    <m/>
  </r>
  <r>
    <x v="6"/>
    <x v="6"/>
    <s v="F:\images\20210303\plaque 1/@06 EE2 170.9/G6_02.tif "/>
    <s v=" 18882.898 "/>
    <s v=" 67.0985 "/>
    <x v="0"/>
    <n v="1267014"/>
    <m/>
    <m/>
    <m/>
  </r>
  <r>
    <x v="6"/>
    <x v="6"/>
    <s v="F:\images\20210303\plaque 1/@06 EE2 170.9/G6_03.tif "/>
    <s v=" 18926.1578 "/>
    <s v=" 66.2766 "/>
    <x v="0"/>
    <n v="1254361"/>
    <m/>
    <m/>
    <m/>
  </r>
  <r>
    <x v="6"/>
    <x v="7"/>
    <s v="F:\images\20210303\plaque 1/@06 EE2 170.9/H6_01.tif "/>
    <s v=" 40642.572 "/>
    <s v=" 70.2725 "/>
    <x v="0"/>
    <n v="2856055"/>
    <m/>
    <m/>
    <m/>
  </r>
  <r>
    <x v="6"/>
    <x v="7"/>
    <s v="F:\images\20210303\plaque 1/@06 EE2 170.9/H6_02.tif "/>
    <s v=" 43324.6789 "/>
    <s v=" 70.2766 "/>
    <x v="0"/>
    <n v="3044710"/>
    <m/>
    <m/>
    <m/>
  </r>
  <r>
    <x v="6"/>
    <x v="7"/>
    <s v="F:\images\20210303\plaque 1/@06 EE2 170.9/H6_03.tif "/>
    <s v=" 44233.1345 "/>
    <s v=" 69.8616 "/>
    <x v="0"/>
    <n v="3090198"/>
    <m/>
    <m/>
    <m/>
  </r>
  <r>
    <x v="1"/>
    <x v="8"/>
    <s v=" "/>
    <m/>
    <m/>
    <x v="1"/>
    <m/>
    <m/>
    <m/>
    <m/>
  </r>
  <r>
    <x v="1"/>
    <x v="8"/>
    <s v="group "/>
    <s v=" "/>
    <s v=" mean of mean fluo "/>
    <x v="2"/>
    <s v=" mean of total fluo "/>
    <s v=" SD total fluo "/>
    <s v=" n fluorescent "/>
    <s v=" n total"/>
  </r>
  <r>
    <x v="6"/>
    <x v="9"/>
    <s v="F:\images\20210303\plaque 1/@06 EE2 170.9/ "/>
    <s v=" "/>
    <s v=" 71.0238 "/>
    <x v="8"/>
    <s v=" 2385264.62 "/>
    <s v=" 1348323.5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7"/>
    <x v="0"/>
    <s v="F:\images\20210303\plaque 1/@07 EE2 488/A7_01- exclu.tif"/>
    <m/>
    <m/>
    <x v="1"/>
    <m/>
    <m/>
    <m/>
    <m/>
  </r>
  <r>
    <x v="7"/>
    <x v="0"/>
    <s v="F:\images\20210303\plaque 1/@07 EE2 488/A7_02.tif "/>
    <s v=" 59244.2814 "/>
    <s v=" 95.5418 "/>
    <x v="0"/>
    <n v="5660305"/>
    <m/>
    <m/>
    <m/>
  </r>
  <r>
    <x v="7"/>
    <x v="0"/>
    <s v="F:\images\20210303\plaque 1/@07 EE2 488/A7_03.tif "/>
    <s v=" 51241.2204 "/>
    <s v=" 96.8185 "/>
    <x v="0"/>
    <n v="4961098"/>
    <m/>
    <m/>
    <m/>
  </r>
  <r>
    <x v="7"/>
    <x v="1"/>
    <s v="F:\images\20210303\plaque 1/@07 EE2 488/B7_01.tif "/>
    <s v=" 72308.7377 "/>
    <s v=" 88.5728 "/>
    <x v="0"/>
    <n v="6404590"/>
    <m/>
    <m/>
    <m/>
  </r>
  <r>
    <x v="7"/>
    <x v="1"/>
    <s v="F:\images\20210303\plaque 1/@07 EE2 488/B7_02.tif "/>
    <s v=" 63397.2212 "/>
    <s v=" 87.1122 "/>
    <x v="0"/>
    <n v="5522674"/>
    <m/>
    <m/>
    <m/>
  </r>
  <r>
    <x v="7"/>
    <x v="1"/>
    <s v="F:\images\20210303\plaque 1/@07 EE2 488/B7_03.tif "/>
    <s v=" 69107.5133 "/>
    <s v=" 88.5321 "/>
    <x v="0"/>
    <n v="6118232"/>
    <m/>
    <m/>
    <m/>
  </r>
  <r>
    <x v="7"/>
    <x v="2"/>
    <s v="F:\images\20210303\plaque 1/@07 EE2 488/C7_01.tif "/>
    <s v=" 61104.4523 "/>
    <s v=" 77.5759 "/>
    <x v="0"/>
    <n v="4740235"/>
    <m/>
    <m/>
    <m/>
  </r>
  <r>
    <x v="7"/>
    <x v="2"/>
    <s v="F:\images\20210303\plaque 1/@07 EE2 488/C7_02.tif "/>
    <s v=" 64413.8262 "/>
    <s v=" 74.8167 "/>
    <x v="0"/>
    <n v="4819227"/>
    <m/>
    <m/>
    <m/>
  </r>
  <r>
    <x v="7"/>
    <x v="2"/>
    <s v="F:\images\20210303\plaque 1/@07 EE2 488/C7_03.tif "/>
    <s v=" 60844.8936 "/>
    <s v=" 77.043 "/>
    <x v="0"/>
    <n v="4687674"/>
    <m/>
    <m/>
    <m/>
  </r>
  <r>
    <x v="7"/>
    <x v="3"/>
    <s v="F:\images\20210303\plaque 1/@07 EE2 488/D7_01.tif "/>
    <s v=" 52344.345 "/>
    <s v=" 82.8388 "/>
    <x v="0"/>
    <n v="4336145"/>
    <m/>
    <m/>
    <m/>
  </r>
  <r>
    <x v="7"/>
    <x v="3"/>
    <s v="F:\images\20210303\plaque 1/@07 EE2 488/D7_02.tif "/>
    <s v=" 52452.4945 "/>
    <s v=" 81.8796 "/>
    <x v="0"/>
    <n v="4294789"/>
    <m/>
    <m/>
    <m/>
  </r>
  <r>
    <x v="7"/>
    <x v="3"/>
    <s v="F:\images\20210303\plaque 1/@07 EE2 488/D7_03.tif "/>
    <s v=" 49424.3092 "/>
    <s v=" 82.2565 "/>
    <x v="0"/>
    <n v="4065468"/>
    <m/>
    <m/>
    <m/>
  </r>
  <r>
    <x v="7"/>
    <x v="4"/>
    <s v="F:\images\20210303\plaque 1/@07 EE2 488/E7_01.tif "/>
    <s v=" 63527.0005 "/>
    <s v=" 93.6592 "/>
    <x v="0"/>
    <n v="5949887"/>
    <m/>
    <m/>
    <m/>
  </r>
  <r>
    <x v="7"/>
    <x v="4"/>
    <s v="F:\images\20210303\plaque 1/@07 EE2 488/E7_02.tif "/>
    <s v=" 59828.2885 "/>
    <s v=" 92.9443 "/>
    <x v="0"/>
    <n v="5560700"/>
    <m/>
    <m/>
    <m/>
  </r>
  <r>
    <x v="7"/>
    <x v="4"/>
    <s v="F:\images\20210303\plaque 1/@07 EE2 488/E7_03.tif "/>
    <s v=" 59958.0679 "/>
    <s v=" 90.018 "/>
    <x v="0"/>
    <n v="5397308"/>
    <m/>
    <m/>
    <m/>
  </r>
  <r>
    <x v="7"/>
    <x v="5"/>
    <s v="F:\images\20210303\plaque 1/@07 EE2 488/F7_01.tif "/>
    <s v=" 77110.5744 "/>
    <s v=" 96.0457 "/>
    <x v="0"/>
    <n v="7406141"/>
    <m/>
    <m/>
    <m/>
  </r>
  <r>
    <x v="7"/>
    <x v="5"/>
    <s v="F:\images\20210303\plaque 1/@07 EE2 488/F7_02.tif "/>
    <s v=" 68263.9474 "/>
    <s v=" 96.3536 "/>
    <x v="0"/>
    <n v="6577478"/>
    <m/>
    <m/>
    <m/>
  </r>
  <r>
    <x v="7"/>
    <x v="5"/>
    <s v="F:\images\20210303\plaque 1/@07 EE2 488/F7_03.tif "/>
    <s v=" 72762.9655 "/>
    <s v=" 94.363 "/>
    <x v="0"/>
    <n v="6866129"/>
    <m/>
    <m/>
    <m/>
  </r>
  <r>
    <x v="7"/>
    <x v="6"/>
    <s v="F:\images\20210303\plaque 1/@07 EE2 488/G7_01.tif "/>
    <s v=" 55437.4199 "/>
    <s v=" 92.2076 "/>
    <x v="0"/>
    <n v="5111750"/>
    <m/>
    <m/>
    <m/>
  </r>
  <r>
    <x v="7"/>
    <x v="6"/>
    <s v="F:\images\20210303\plaque 1/@07 EE2 488/G7_02.tif "/>
    <s v=" 56280.9858 "/>
    <s v=" 90.6318 "/>
    <x v="0"/>
    <n v="5100848"/>
    <m/>
    <m/>
    <m/>
  </r>
  <r>
    <x v="7"/>
    <x v="6"/>
    <s v="F:\images\20210303\plaque 1/@07 EE2 488/G7_03.tif "/>
    <s v=" 56540.5446 "/>
    <s v=" 93.4208 "/>
    <x v="0"/>
    <n v="5282064"/>
    <m/>
    <m/>
    <m/>
  </r>
  <r>
    <x v="7"/>
    <x v="7"/>
    <s v="F:\images\20210303\plaque 1/@07 EE2 488/H7_01.tif "/>
    <s v=" 63570.2603 "/>
    <s v=" 98.8714 "/>
    <x v="0"/>
    <n v="6285280"/>
    <m/>
    <m/>
    <m/>
  </r>
  <r>
    <x v="7"/>
    <x v="7"/>
    <s v="F:\images\20210303\plaque 1/@07 EE2 488/H7_02.tif "/>
    <s v=" 64111.0077 "/>
    <s v=" 98.2456 "/>
    <x v="0"/>
    <n v="6298625"/>
    <m/>
    <m/>
    <m/>
  </r>
  <r>
    <x v="7"/>
    <x v="7"/>
    <s v="F:\images\20210303\plaque 1/@07 EE2 488/H7_03.tif "/>
    <s v=" 68891.2144 "/>
    <s v=" 93.2656 "/>
    <x v="0"/>
    <n v="6425182"/>
    <m/>
    <m/>
    <m/>
  </r>
  <r>
    <x v="1"/>
    <x v="8"/>
    <s v=" "/>
    <m/>
    <m/>
    <x v="1"/>
    <m/>
    <m/>
    <m/>
    <m/>
  </r>
  <r>
    <x v="1"/>
    <x v="8"/>
    <s v="group "/>
    <s v=" "/>
    <s v=" mean of mean fluo "/>
    <x v="2"/>
    <s v=" mean of total fluo "/>
    <s v=" SD total fluo "/>
    <s v=" n fluorescent "/>
    <s v=" n total"/>
  </r>
  <r>
    <x v="7"/>
    <x v="9"/>
    <s v="F:\images\20210303\plaque 1/@07 EE2 488/ "/>
    <s v=" "/>
    <s v=" 89.917 "/>
    <x v="9"/>
    <s v=" 5548013.96 "/>
    <s v=" 870301.46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8"/>
    <x v="0"/>
    <s v="F:\images\20210303\plaque 1/@08 17b estradiol 34 ng_L/A8_01.tif "/>
    <s v=" 6986.456 "/>
    <s v=" 72.2415 "/>
    <x v="0"/>
    <n v="504712"/>
    <m/>
    <m/>
    <m/>
  </r>
  <r>
    <x v="8"/>
    <x v="0"/>
    <s v="F:\images\20210303\plaque 1/@08 17b estradiol 34 ng_L/A8_02.tif "/>
    <s v=" 1752.0215 "/>
    <s v=" 64.5926 "/>
    <x v="0"/>
    <n v="113168"/>
    <m/>
    <m/>
    <m/>
  </r>
  <r>
    <x v="8"/>
    <x v="0"/>
    <s v="F:\images\20210303\plaque 1/@08 17b estradiol 34 ng_L/A8_03.tif "/>
    <s v=" 1168.0143 "/>
    <s v=" 64.9815 "/>
    <x v="0"/>
    <n v="75899"/>
    <m/>
    <m/>
    <m/>
  </r>
  <r>
    <x v="8"/>
    <x v="1"/>
    <s v="F:\images\20210303\plaque 1/@08 17b estradiol 34 ng_L/B8_01.tif "/>
    <s v=" 3828.4913 "/>
    <s v=" 65.678 "/>
    <x v="0"/>
    <n v="251448"/>
    <m/>
    <m/>
    <m/>
  </r>
  <r>
    <x v="8"/>
    <x v="1"/>
    <s v="F:\images\20210303\plaque 1/@08 17b estradiol 34 ng_L/B8_02.tif "/>
    <s v=" 2141.3596 "/>
    <s v=" 65.9798 "/>
    <x v="0"/>
    <n v="141286"/>
    <m/>
    <m/>
    <m/>
  </r>
  <r>
    <x v="8"/>
    <x v="1"/>
    <s v="F:\images\20210303\plaque 1/@08 17b estradiol 34 ng_L/B8_03.tif "/>
    <s v=" 2184.6194 "/>
    <s v=" 67.3168 "/>
    <x v="0"/>
    <n v="147062"/>
    <m/>
    <m/>
    <m/>
  </r>
  <r>
    <x v="8"/>
    <x v="2"/>
    <s v="F:\images\20210303\plaque 1/@08 17b estradiol 34 ng_L/C8_01.tif "/>
    <s v=" 3093.0749 "/>
    <s v=" 69.0559 "/>
    <x v="0"/>
    <n v="213595"/>
    <m/>
    <m/>
    <m/>
  </r>
  <r>
    <x v="8"/>
    <x v="2"/>
    <s v="F:\images\20210303\plaque 1/@08 17b estradiol 34 ng_L/C8_02.tif "/>
    <s v=" 5147.9149 "/>
    <s v=" 68.3697 "/>
    <x v="0"/>
    <n v="351962"/>
    <m/>
    <m/>
    <m/>
  </r>
  <r>
    <x v="8"/>
    <x v="2"/>
    <s v="F:\images\20210303\plaque 1/@08 17b estradiol 34 ng_L/C8_03.tif "/>
    <s v=" 302.8185 "/>
    <s v=" 65.1429 "/>
    <x v="0"/>
    <n v="19726"/>
    <m/>
    <m/>
    <m/>
  </r>
  <r>
    <x v="8"/>
    <x v="3"/>
    <s v="F:\images\20210303\plaque 1/@08 17b estradiol 34 ng_L/D8_01.tif "/>
    <s v=" 3136.3347 "/>
    <s v=" 66.7241 "/>
    <x v="0"/>
    <n v="209269"/>
    <m/>
    <m/>
    <m/>
  </r>
  <r>
    <x v="8"/>
    <x v="3"/>
    <s v="F:\images\20210303\plaque 1/@08 17b estradiol 34 ng_L/D8_02.tif "/>
    <s v=" 4888.3562 "/>
    <s v=" 69.5664 "/>
    <x v="0"/>
    <n v="340065"/>
    <m/>
    <m/>
    <m/>
  </r>
  <r>
    <x v="8"/>
    <x v="3"/>
    <s v="F:\images\20210303\plaque 1/@08 17b estradiol 34 ng_L/D8_03.tif "/>
    <s v=" 3222.8543 "/>
    <s v=" 68.0201 "/>
    <x v="0"/>
    <n v="219219"/>
    <m/>
    <m/>
    <m/>
  </r>
  <r>
    <x v="8"/>
    <x v="4"/>
    <s v="F:\images\20210303\plaque 1/@08 17b estradiol 34 ng_L/E8_01.tif "/>
    <s v=" 1038.2349 "/>
    <s v=" 63.9583 "/>
    <x v="0"/>
    <n v="66404"/>
    <m/>
    <m/>
    <m/>
  </r>
  <r>
    <x v="8"/>
    <x v="4"/>
    <s v="F:\images\20210303\plaque 1/@08 17b estradiol 34 ng_L/E8_02.tif "/>
    <s v=" 4996.5057 "/>
    <s v=" 66.7835 "/>
    <x v="0"/>
    <n v="333684"/>
    <m/>
    <m/>
    <m/>
  </r>
  <r>
    <x v="8"/>
    <x v="4"/>
    <s v="F:\images\20210303\plaque 1/@08 17b estradiol 34 ng_L/E8_03.tif "/>
    <s v=" 7938.1713 "/>
    <s v=" 72.4169 "/>
    <x v="0"/>
    <n v="574858"/>
    <m/>
    <m/>
    <m/>
  </r>
  <r>
    <x v="8"/>
    <x v="5"/>
    <s v="F:\images\20210303\plaque 1/@08 17b estradiol 34 ng_L/F8_01.tif "/>
    <s v=" 3222.8543 "/>
    <s v=" 65.5638 "/>
    <x v="0"/>
    <n v="211302"/>
    <m/>
    <m/>
    <m/>
  </r>
  <r>
    <x v="8"/>
    <x v="5"/>
    <s v="F:\images\20210303\plaque 1/@08 17b estradiol 34 ng_L/F8_02.tif "/>
    <s v=" 3806.8615 "/>
    <s v=" 68.4205 "/>
    <x v="0"/>
    <n v="260467"/>
    <m/>
    <m/>
    <m/>
  </r>
  <r>
    <x v="8"/>
    <x v="5"/>
    <s v="F:\images\20210303\plaque 1/@08 17b estradiol 34 ng_L/F8_03.tif "/>
    <s v=" 3958.2707 "/>
    <s v=" 68.0656 "/>
    <x v="0"/>
    <n v="269422"/>
    <m/>
    <m/>
    <m/>
  </r>
  <r>
    <x v="8"/>
    <x v="6"/>
    <s v="F:\images\20210303\plaque 1/@08 17b estradiol 34 ng_L/G8_01.tif "/>
    <s v=" 2963.2956 "/>
    <s v=" 66.1679 "/>
    <x v="0"/>
    <n v="196075"/>
    <m/>
    <m/>
    <m/>
  </r>
  <r>
    <x v="8"/>
    <x v="6"/>
    <s v="F:\images\20210303\plaque 1/@08 17b estradiol 34 ng_L/G8_02.tif "/>
    <s v=" 475.8577 "/>
    <s v=" 63.5455 "/>
    <x v="0"/>
    <n v="30239"/>
    <m/>
    <m/>
    <m/>
  </r>
  <r>
    <x v="8"/>
    <x v="6"/>
    <s v="F:\images\20210303\plaque 1/@08 17b estradiol 34 ng_L/G8_03.tif "/>
    <s v=" 670.5267 "/>
    <s v=" 63.9032 "/>
    <x v="0"/>
    <n v="42849"/>
    <m/>
    <m/>
    <m/>
  </r>
  <r>
    <x v="8"/>
    <x v="7"/>
    <s v="F:\images\20210303\plaque 1/@08 17b estradiol 34 ng_L/H8_01.tif "/>
    <s v=" 2660.477 "/>
    <s v=" 65.7317 "/>
    <x v="0"/>
    <n v="174878"/>
    <m/>
    <m/>
    <m/>
  </r>
  <r>
    <x v="8"/>
    <x v="7"/>
    <s v="F:\images\20210303\plaque 1/@08 17b estradiol 34 ng_L/H8_02.tif "/>
    <s v=" 1276.1638 "/>
    <s v=" 64.1864 "/>
    <x v="0"/>
    <n v="81912"/>
    <m/>
    <m/>
    <m/>
  </r>
  <r>
    <x v="8"/>
    <x v="7"/>
    <s v="F:\images\20210303\plaque 1/@08 17b estradiol 34 ng_L/H8_03.tif "/>
    <s v=" 540.7474 "/>
    <s v=" 63.24 "/>
    <x v="0"/>
    <n v="34197"/>
    <m/>
    <m/>
    <m/>
  </r>
  <r>
    <x v="1"/>
    <x v="8"/>
    <s v=" "/>
    <m/>
    <m/>
    <x v="1"/>
    <m/>
    <m/>
    <m/>
    <m/>
  </r>
  <r>
    <x v="1"/>
    <x v="8"/>
    <s v="group "/>
    <s v=" "/>
    <s v=" mean of mean fluo "/>
    <x v="2"/>
    <s v=" mean of total fluo "/>
    <s v=" SD total fluo "/>
    <s v=" n fluorescent "/>
    <s v=" n total"/>
  </r>
  <r>
    <x v="8"/>
    <x v="9"/>
    <s v="F:\images\20210303\plaque 1/@08 17b estradiol 34 ng_L/ "/>
    <s v=" "/>
    <s v=" 66.6522 "/>
    <x v="10"/>
    <s v=" 202654.083 "/>
    <s v=" 144584.22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9"/>
    <x v="0"/>
    <s v="F:\images\20210303\plaque 1/@09 17b estradiol 68/A9_01- exclu.tif"/>
    <m/>
    <m/>
    <x v="1"/>
    <m/>
    <m/>
    <m/>
    <m/>
  </r>
  <r>
    <x v="9"/>
    <x v="0"/>
    <s v="F:\images\20210303\plaque 1/@09 17b estradiol 68/A9_02.tif "/>
    <s v=" 562.3773 "/>
    <s v=" 63.4615 "/>
    <x v="0"/>
    <n v="35689"/>
    <m/>
    <m/>
    <m/>
  </r>
  <r>
    <x v="9"/>
    <x v="0"/>
    <s v="F:\images\20210303\plaque 1/@09 17b estradiol 68/A9_03.tif "/>
    <s v=" 1643.872 "/>
    <s v=" 64.6316 "/>
    <x v="0"/>
    <n v="106246"/>
    <m/>
    <m/>
    <m/>
  </r>
  <r>
    <x v="9"/>
    <x v="1"/>
    <s v="F:\images\20210303\plaque 1/@09 17b estradiol 68/B9_01- exclu.tif"/>
    <m/>
    <m/>
    <x v="1"/>
    <m/>
    <m/>
    <m/>
    <m/>
  </r>
  <r>
    <x v="9"/>
    <x v="1"/>
    <s v="F:\images\20210303\plaque 1/@09 17b estradiol 68/B9_02- exclu.tif"/>
    <m/>
    <m/>
    <x v="1"/>
    <m/>
    <m/>
    <m/>
    <m/>
  </r>
  <r>
    <x v="9"/>
    <x v="1"/>
    <s v="F:\images\20210303\plaque 1/@09 17b estradiol 68/B9_03- exclu.tif"/>
    <m/>
    <m/>
    <x v="1"/>
    <m/>
    <m/>
    <m/>
    <m/>
  </r>
  <r>
    <x v="9"/>
    <x v="2"/>
    <s v="F:\images\20210303\plaque 1/@09 17b estradiol 68/C9_01.tif "/>
    <s v=" 692.1566 "/>
    <s v=" 67.0312 "/>
    <x v="0"/>
    <n v="46396"/>
    <m/>
    <m/>
    <m/>
  </r>
  <r>
    <x v="9"/>
    <x v="2"/>
    <s v="F:\images\20210303\plaque 1/@09 17b estradiol 68/C9_02.tif "/>
    <s v=" 302.8185 "/>
    <s v=" 63.0714 "/>
    <x v="0"/>
    <n v="19099"/>
    <m/>
    <m/>
    <m/>
  </r>
  <r>
    <x v="9"/>
    <x v="2"/>
    <s v="F:\images\20210303\plaque 1/@09 17b estradiol 68/C9_03.tif "/>
    <s v=" 951.7154 "/>
    <s v=" 63.3636 "/>
    <x v="0"/>
    <n v="60304"/>
    <m/>
    <m/>
    <m/>
  </r>
  <r>
    <x v="9"/>
    <x v="3"/>
    <s v="F:\images\20210303\plaque 1/@09 17b estradiol 68/D9_01.tif "/>
    <s v=" 3157.9646 "/>
    <s v=" 67.4863 "/>
    <x v="0"/>
    <n v="213119"/>
    <m/>
    <m/>
    <m/>
  </r>
  <r>
    <x v="9"/>
    <x v="3"/>
    <s v="F:\images\20210303\plaque 1/@09 17b estradiol 68/D9_02.tif "/>
    <s v=" 454.2278 "/>
    <s v=" 63.381 "/>
    <x v="0"/>
    <n v="28789"/>
    <m/>
    <m/>
    <m/>
  </r>
  <r>
    <x v="9"/>
    <x v="3"/>
    <s v="F:\images\20210303\plaque 1/@09 17b estradiol 68/D9_03.tif "/>
    <s v=" 2314.3987 "/>
    <s v=" 66.3271 "/>
    <x v="0"/>
    <n v="153507"/>
    <m/>
    <m/>
    <m/>
  </r>
  <r>
    <x v="9"/>
    <x v="4"/>
    <s v="F:\images\20210303\plaque 1/@09 17b estradiol 68/E9_01.tif "/>
    <s v=" 2660.477 "/>
    <s v=" 65.5366 "/>
    <x v="0"/>
    <n v="174359"/>
    <m/>
    <m/>
    <m/>
  </r>
  <r>
    <x v="9"/>
    <x v="4"/>
    <s v="F:\images\20210303\plaque 1/@09 17b estradiol 68/E9_02.tif "/>
    <s v=" 2249.509 "/>
    <s v=" 63.5385 "/>
    <x v="0"/>
    <n v="142930"/>
    <m/>
    <m/>
    <m/>
  </r>
  <r>
    <x v="9"/>
    <x v="4"/>
    <s v="F:\images\20210303\plaque 1/@09 17b estradiol 68/E9_03.tif "/>
    <s v=" 1016.605 "/>
    <s v=" 63.234 "/>
    <x v="0"/>
    <n v="64284"/>
    <m/>
    <m/>
    <m/>
  </r>
  <r>
    <x v="9"/>
    <x v="5"/>
    <s v="F:\images\20210303\plaque 1/@09 17b estradiol 68/F9_01.tif "/>
    <s v=" 30130.4432 "/>
    <s v=" 67.4314 "/>
    <x v="0"/>
    <n v="2031739"/>
    <m/>
    <m/>
    <m/>
  </r>
  <r>
    <x v="9"/>
    <x v="5"/>
    <s v="F:\images\20210303\plaque 1/@09 17b estradiol 68/F9_02.tif "/>
    <s v=" 42589.2625 "/>
    <s v=" 69.0071 "/>
    <x v="0"/>
    <n v="2938962"/>
    <m/>
    <m/>
    <m/>
  </r>
  <r>
    <x v="9"/>
    <x v="5"/>
    <s v="F:\images\20210303\plaque 1/@09 17b estradiol 68/F9_03.tif "/>
    <s v=" 32358.3224 "/>
    <s v=" 67.0782 "/>
    <x v="0"/>
    <n v="2170538"/>
    <m/>
    <m/>
    <m/>
  </r>
  <r>
    <x v="9"/>
    <x v="6"/>
    <s v="F:\images\20210303\plaque 1/@09 17b estradiol 68/G9_01.tif "/>
    <s v=" 2422.5482 "/>
    <s v=" 65.1518 "/>
    <x v="0"/>
    <n v="157833"/>
    <m/>
    <m/>
    <m/>
  </r>
  <r>
    <x v="9"/>
    <x v="6"/>
    <s v="F:\images\20210303\plaque 1/@09 17b estradiol 68/G9_02.tif "/>
    <s v=" 930.0855 "/>
    <s v=" 63.1163 "/>
    <x v="0"/>
    <n v="58704"/>
    <m/>
    <m/>
    <m/>
  </r>
  <r>
    <x v="9"/>
    <x v="6"/>
    <s v="F:\images\20210303\plaque 1/@09 17b estradiol 68/G9_03.tif "/>
    <s v=" 1968.3204 "/>
    <s v=" 66.033 "/>
    <x v="0"/>
    <n v="129974"/>
    <m/>
    <m/>
    <m/>
  </r>
  <r>
    <x v="9"/>
    <x v="7"/>
    <s v="F:\images\20210303\plaque 1/@09 17b estradiol 68/H9_01.tif "/>
    <s v=" 2811.8863 "/>
    <s v=" 70.0692 "/>
    <x v="0"/>
    <n v="197027"/>
    <m/>
    <m/>
    <m/>
  </r>
  <r>
    <x v="9"/>
    <x v="7"/>
    <s v="F:\images\20210303\plaque 1/@09 17b estradiol 68/H9_02.tif "/>
    <s v=" 432.5979 "/>
    <s v=" 63.6 "/>
    <x v="0"/>
    <n v="27513"/>
    <m/>
    <m/>
    <m/>
  </r>
  <r>
    <x v="9"/>
    <x v="7"/>
    <s v="F:\images\20210303\plaque 1/@09 17b estradiol 68/H9_03.tif "/>
    <s v=" 237.9288 "/>
    <s v=" 64.1818 "/>
    <x v="0"/>
    <n v="15271"/>
    <m/>
    <m/>
    <m/>
  </r>
  <r>
    <x v="1"/>
    <x v="8"/>
    <s v=" "/>
    <m/>
    <m/>
    <x v="1"/>
    <m/>
    <m/>
    <m/>
    <m/>
  </r>
  <r>
    <x v="1"/>
    <x v="8"/>
    <s v="group "/>
    <s v=" "/>
    <s v=" mean of mean fluo "/>
    <x v="2"/>
    <s v=" mean of total fluo "/>
    <s v=" SD total fluo "/>
    <s v=" n fluorescent "/>
    <s v=" n total"/>
  </r>
  <r>
    <x v="9"/>
    <x v="9"/>
    <s v="F:\images\20210303\plaque 1/@09 17b estradiol 68/ "/>
    <s v=" "/>
    <s v=" 66.4576 "/>
    <x v="11"/>
    <s v=" 415983.333 "/>
    <s v=" 786912.74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0"/>
    <x v="0"/>
    <s v="F:\images\20210303\plaque 1/@10 17b estradiol 135/A10_01.tif "/>
    <s v=" 13086.0863 "/>
    <s v=" 64.6975 "/>
    <x v="0"/>
    <n v="846637"/>
    <m/>
    <m/>
    <m/>
  </r>
  <r>
    <x v="10"/>
    <x v="0"/>
    <s v="F:\images\20210303\plaque 1/@10 17b estradiol 135/A10_02.tif "/>
    <s v=" 10490.4989 "/>
    <s v=" 65.0804 "/>
    <x v="0"/>
    <n v="682726"/>
    <m/>
    <m/>
    <m/>
  </r>
  <r>
    <x v="10"/>
    <x v="0"/>
    <s v="F:\images\20210303\plaque 1/@10 17b estradiol 135/A10_03.tif "/>
    <s v=" 9582.0433 "/>
    <s v=" 65.2348 "/>
    <x v="0"/>
    <n v="625082"/>
    <m/>
    <m/>
    <m/>
  </r>
  <r>
    <x v="10"/>
    <x v="1"/>
    <s v="F:\images\20210303\plaque 1/@10 17b estradiol 135/B10_01.tif "/>
    <s v=" 17044.357 "/>
    <s v=" 65.5723 "/>
    <x v="0"/>
    <n v="1117638"/>
    <m/>
    <m/>
    <m/>
  </r>
  <r>
    <x v="10"/>
    <x v="1"/>
    <s v="F:\images\20210303\plaque 1/@10 17b estradiol 135/B10_02.tif "/>
    <s v=" 15768.1932 "/>
    <s v=" 67.4513 "/>
    <x v="0"/>
    <n v="1063585"/>
    <m/>
    <m/>
    <m/>
  </r>
  <r>
    <x v="10"/>
    <x v="1"/>
    <s v="F:\images\20210303\plaque 1/@10 17b estradiol 135/B10_03.tif "/>
    <s v=" 17887.9229 "/>
    <s v=" 66.792 "/>
    <x v="0"/>
    <n v="1194770"/>
    <m/>
    <m/>
    <m/>
  </r>
  <r>
    <x v="10"/>
    <x v="2"/>
    <s v="F:\images\20210303\plaque 1/@10 17b estradiol 135/C10_01.tif "/>
    <s v=" 17541.8445 "/>
    <s v=" 65.9075 "/>
    <x v="0"/>
    <n v="1156139"/>
    <m/>
    <m/>
    <m/>
  </r>
  <r>
    <x v="10"/>
    <x v="2"/>
    <s v="F:\images\20210303\plaque 1/@10 17b estradiol 135/C10_02.tif "/>
    <s v=" 16460.3498 "/>
    <s v=" 66.9514 "/>
    <x v="0"/>
    <n v="1102043"/>
    <m/>
    <m/>
    <m/>
  </r>
  <r>
    <x v="10"/>
    <x v="2"/>
    <s v="F:\images\20210303\plaque 1/@10 17b estradiol 135/C10_03.tif "/>
    <s v=" 16611.7591 "/>
    <s v=" 67.2617 "/>
    <x v="0"/>
    <n v="1117335"/>
    <m/>
    <m/>
    <m/>
  </r>
  <r>
    <x v="10"/>
    <x v="3"/>
    <s v="F:\images\20210303\plaque 1/@10 17b estradiol 135/D10_01.tif "/>
    <s v=" 2184.6194 "/>
    <s v=" 66.6832 "/>
    <x v="0"/>
    <n v="145677"/>
    <m/>
    <m/>
    <m/>
  </r>
  <r>
    <x v="10"/>
    <x v="3"/>
    <s v="F:\images\20210303\plaque 1/@10 17b estradiol 135/D10_02.tif "/>
    <s v=" 302.8185 "/>
    <s v=" 61.9286 "/>
    <x v="0"/>
    <n v="18753"/>
    <m/>
    <m/>
    <m/>
  </r>
  <r>
    <x v="10"/>
    <x v="3"/>
    <s v="F:\images\20210303\plaque 1/@10 17b estradiol 135/D10_03.tif "/>
    <s v=" 5169.5448 "/>
    <s v=" 68.954 "/>
    <x v="0"/>
    <n v="356461"/>
    <m/>
    <m/>
    <m/>
  </r>
  <r>
    <x v="10"/>
    <x v="4"/>
    <s v="F:\images\20210303\plaque 1/@10 17b estradiol 135/E10_01.tif "/>
    <s v=" 38804.031 "/>
    <s v=" 72.4615 "/>
    <x v="0"/>
    <n v="2811800"/>
    <m/>
    <m/>
    <m/>
  </r>
  <r>
    <x v="10"/>
    <x v="4"/>
    <s v="F:\images\20210303\plaque 1/@10 17b estradiol 135/E10_02.tif "/>
    <s v=" 28746.13 "/>
    <s v=" 69.3115 "/>
    <x v="0"/>
    <n v="1992438"/>
    <m/>
    <m/>
    <m/>
  </r>
  <r>
    <x v="10"/>
    <x v="4"/>
    <s v="F:\images\20210303\plaque 1/@10 17b estradiol 135/E10_03.tif "/>
    <s v=" 37354.828 "/>
    <s v=" 71.8726 "/>
    <x v="0"/>
    <n v="2684789"/>
    <m/>
    <m/>
    <m/>
  </r>
  <r>
    <x v="10"/>
    <x v="5"/>
    <s v="F:\images\20210303\plaque 1/@10 17b estradiol 135/F10_01.tif "/>
    <s v=" 5991.4808 "/>
    <s v=" 64.8989 "/>
    <x v="0"/>
    <n v="388841"/>
    <m/>
    <m/>
    <m/>
  </r>
  <r>
    <x v="10"/>
    <x v="5"/>
    <s v="F:\images\20210303\plaque 1/@10 17b estradiol 135/F10_02.tif "/>
    <s v=" 5883.3313 "/>
    <s v=" 65.1618 "/>
    <x v="0"/>
    <n v="383368"/>
    <m/>
    <m/>
    <m/>
  </r>
  <r>
    <x v="10"/>
    <x v="5"/>
    <s v="F:\images\20210303\plaque 1/@10 17b estradiol 135/F10_03.tif "/>
    <s v=" 6359.189 "/>
    <s v=" 64.7891 "/>
    <x v="0"/>
    <n v="412006"/>
    <m/>
    <m/>
    <m/>
  </r>
  <r>
    <x v="10"/>
    <x v="6"/>
    <s v="F:\images\20210303\plaque 1/@10 17b estradiol 135/G10_01.tif "/>
    <s v=" 605.637 "/>
    <s v=" 65.8929 "/>
    <x v="0"/>
    <n v="39907"/>
    <m/>
    <m/>
    <m/>
  </r>
  <r>
    <x v="10"/>
    <x v="6"/>
    <s v="F:\images\20210303\plaque 1/@10 17b estradiol 135/G10_02.tif "/>
    <s v=" 1232.904 "/>
    <s v=" 65.193 "/>
    <x v="0"/>
    <n v="80377"/>
    <m/>
    <m/>
    <m/>
  </r>
  <r>
    <x v="10"/>
    <x v="6"/>
    <s v="F:\images\20210303\plaque 1/@10 17b estradiol 135/G10_03.tif "/>
    <s v=" 259.5587 "/>
    <s v=" 63.1667 "/>
    <x v="0"/>
    <n v="16395"/>
    <m/>
    <m/>
    <m/>
  </r>
  <r>
    <x v="10"/>
    <x v="7"/>
    <s v="F:\images\20210303\plaque 1/@10 17b estradiol 135/H10_01.tif "/>
    <s v=" 6943.1962 "/>
    <s v=" 63.6729 "/>
    <x v="0"/>
    <n v="442093"/>
    <m/>
    <m/>
    <m/>
  </r>
  <r>
    <x v="10"/>
    <x v="7"/>
    <s v="F:\images\20210303\plaque 1/@10 17b estradiol 135/H10_02.tif "/>
    <s v=" 6402.4488 "/>
    <s v=" 63.7365 "/>
    <x v="0"/>
    <n v="408070"/>
    <m/>
    <m/>
    <m/>
  </r>
  <r>
    <x v="10"/>
    <x v="7"/>
    <s v="F:\images\20210303\plaque 1/@10 17b estradiol 135/H10_03- exclu.tif"/>
    <m/>
    <m/>
    <x v="1"/>
    <m/>
    <m/>
    <m/>
    <m/>
  </r>
  <r>
    <x v="1"/>
    <x v="8"/>
    <s v=" "/>
    <m/>
    <m/>
    <x v="1"/>
    <m/>
    <m/>
    <m/>
    <m/>
  </r>
  <r>
    <x v="1"/>
    <x v="8"/>
    <s v="group "/>
    <s v=" "/>
    <s v=" mean of mean fluo "/>
    <x v="2"/>
    <s v=" mean of total fluo "/>
    <s v=" SD total fluo "/>
    <s v=" n fluorescent "/>
    <s v=" n total"/>
  </r>
  <r>
    <x v="10"/>
    <x v="9"/>
    <s v="F:\images\20210303\plaque 1/@10 17b estradiol 135/ "/>
    <s v=" "/>
    <s v=" 66.1092 "/>
    <x v="12"/>
    <s v=" 805432.25 "/>
    <s v=" 772965.95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1"/>
    <x v="0"/>
    <s v="F:\images\20210303\plaque 1/@11 17b estradiol 270/A11_01.tif "/>
    <s v=" 41810.5863 "/>
    <s v=" 72.7605 "/>
    <x v="0"/>
    <n v="3042158"/>
    <m/>
    <m/>
    <m/>
  </r>
  <r>
    <x v="11"/>
    <x v="0"/>
    <s v="F:\images\20210303\plaque 1/@11 17b estradiol 270/A11_02.tif "/>
    <s v=" 35386.5076 "/>
    <s v=" 74.5324 "/>
    <x v="0"/>
    <n v="2637441"/>
    <m/>
    <m/>
    <m/>
  </r>
  <r>
    <x v="11"/>
    <x v="0"/>
    <s v="F:\images\20210303\plaque 1/@11 17b estradiol 270/A11_03.tif "/>
    <s v=" 33850.7851 "/>
    <s v=" 72.3067 "/>
    <x v="0"/>
    <n v="2447639"/>
    <m/>
    <m/>
    <m/>
  </r>
  <r>
    <x v="11"/>
    <x v="1"/>
    <s v="F:\images\20210303\plaque 1/@11 17b estradiol 270/B11_01.tif "/>
    <s v=" 6121.2602 "/>
    <s v=" 65.3428 "/>
    <x v="0"/>
    <n v="399980"/>
    <m/>
    <m/>
    <m/>
  </r>
  <r>
    <x v="11"/>
    <x v="1"/>
    <s v="F:\images\20210303\plaque 1/@11 17b estradiol 270/B11_02.tif "/>
    <s v=" 9863.232 "/>
    <s v=" 65.5526 "/>
    <x v="0"/>
    <n v="646561"/>
    <m/>
    <m/>
    <m/>
  </r>
  <r>
    <x v="11"/>
    <x v="1"/>
    <s v="F:\images\20210303\plaque 1/@11 17b estradiol 270/B11_03.tif "/>
    <s v=" 5429.1036 "/>
    <s v=" 64.6574 "/>
    <x v="0"/>
    <n v="351032"/>
    <m/>
    <m/>
    <m/>
  </r>
  <r>
    <x v="11"/>
    <x v="2"/>
    <s v="F:\images\20210303\plaque 1/@11 17b estradiol 270/C11_01.tif "/>
    <s v=" 66706.595 "/>
    <s v=" 75.9627 "/>
    <x v="0"/>
    <n v="5067214"/>
    <m/>
    <m/>
    <m/>
  </r>
  <r>
    <x v="11"/>
    <x v="2"/>
    <s v="F:\images\20210303\plaque 1/@11 17b estradiol 270/C11_02.tif "/>
    <s v=" 63332.3315 "/>
    <s v=" 75.8439 "/>
    <x v="0"/>
    <n v="4803372"/>
    <m/>
    <m/>
    <m/>
  </r>
  <r>
    <x v="11"/>
    <x v="2"/>
    <s v="F:\images\20210303\plaque 1/@11 17b estradiol 270/C11_03.tif "/>
    <s v=" 63894.7087 "/>
    <s v=" 78.8399 "/>
    <x v="0"/>
    <n v="5037451"/>
    <m/>
    <m/>
    <m/>
  </r>
  <r>
    <x v="11"/>
    <x v="3"/>
    <s v="F:\images\20210303\plaque 1/@11 17b estradiol 270/D11_01.tif "/>
    <s v=" 52820.2027 "/>
    <s v=" 79.2609 "/>
    <x v="0"/>
    <n v="4186574"/>
    <m/>
    <m/>
    <m/>
  </r>
  <r>
    <x v="11"/>
    <x v="3"/>
    <s v="F:\images\20210303\plaque 1/@11 17b estradiol 270/D11_02.tif "/>
    <s v=" 54334.2953 "/>
    <s v=" 73.6031 "/>
    <x v="0"/>
    <n v="3999173"/>
    <m/>
    <m/>
    <m/>
  </r>
  <r>
    <x v="11"/>
    <x v="3"/>
    <s v="F:\images\20210303\plaque 1/@11 17b estradiol 270/D11_03.tif "/>
    <s v=" 48732.1526 "/>
    <s v=" 73.6454 "/>
    <x v="0"/>
    <n v="3588897"/>
    <m/>
    <m/>
    <m/>
  </r>
  <r>
    <x v="11"/>
    <x v="4"/>
    <s v="F:\images\20210303\plaque 1/@11 17b estradiol 270/E11_01.tif "/>
    <s v=" 54355.9252 "/>
    <s v=" 76.7923 "/>
    <x v="0"/>
    <n v="4174115"/>
    <m/>
    <m/>
    <m/>
  </r>
  <r>
    <x v="11"/>
    <x v="4"/>
    <s v="F:\images\20210303\plaque 1/@11 17b estradiol 270/E11_02.tif "/>
    <s v=" 48537.4835 "/>
    <s v=" 78.9389 "/>
    <x v="0"/>
    <n v="3831498"/>
    <m/>
    <m/>
    <m/>
  </r>
  <r>
    <x v="11"/>
    <x v="4"/>
    <s v="F:\images\20210303\plaque 1/@11 17b estradiol 270/E11_03.tif "/>
    <s v=" 49208.0103 "/>
    <s v=" 79.4567 "/>
    <x v="0"/>
    <n v="3909906"/>
    <m/>
    <m/>
    <m/>
  </r>
  <r>
    <x v="11"/>
    <x v="5"/>
    <s v="F:\images\20210303\plaque 1/@11 17b estradiol 270/F11_01.tif "/>
    <s v=" 29827.6247 "/>
    <s v=" 72.7078 "/>
    <x v="0"/>
    <n v="2168700"/>
    <m/>
    <m/>
    <m/>
  </r>
  <r>
    <x v="11"/>
    <x v="5"/>
    <s v="F:\images\20210303\plaque 1/@11 17b estradiol 270/F11_02.tif "/>
    <s v=" 35754.2158 "/>
    <s v=" 72.8609 "/>
    <x v="0"/>
    <n v="2605083"/>
    <m/>
    <m/>
    <m/>
  </r>
  <r>
    <x v="11"/>
    <x v="5"/>
    <s v="F:\images\20210303\plaque 1/@11 17b estradiol 270/F11_03.tif "/>
    <s v=" 31558.0163 "/>
    <s v=" 71.3454 "/>
    <x v="0"/>
    <n v="2251521"/>
    <m/>
    <m/>
    <m/>
  </r>
  <r>
    <x v="11"/>
    <x v="6"/>
    <s v="F:\images\20210303\plaque 1/@11 17b estradiol 270/G11_01.tif "/>
    <s v=" 85135.2653 "/>
    <s v=" 79.6895 "/>
    <x v="0"/>
    <n v="6784389"/>
    <m/>
    <m/>
    <m/>
  </r>
  <r>
    <x v="11"/>
    <x v="6"/>
    <s v="F:\images\20210303\plaque 1/@11 17b estradiol 270/G11_02.tif "/>
    <s v=" 75856.0405 "/>
    <s v=" 81.3188 "/>
    <x v="0"/>
    <n v="6168521"/>
    <m/>
    <m/>
    <m/>
  </r>
  <r>
    <x v="11"/>
    <x v="6"/>
    <s v="F:\images\20210303\plaque 1/@11 17b estradiol 270/G11_03.tif "/>
    <s v=" 77586.432 "/>
    <s v=" 82.9033 "/>
    <x v="0"/>
    <n v="6432168"/>
    <m/>
    <m/>
    <m/>
  </r>
  <r>
    <x v="11"/>
    <x v="7"/>
    <s v="F:\images\20210303\plaque 1/@11 17b estradiol 270/H11_01.tif "/>
    <s v=" 68674.9154 "/>
    <s v=" 82.2709 "/>
    <x v="0"/>
    <n v="5649945"/>
    <m/>
    <m/>
    <m/>
  </r>
  <r>
    <x v="11"/>
    <x v="7"/>
    <s v="F:\images\20210303\plaque 1/@11 17b estradiol 270/H11_02.tif "/>
    <s v=" 67420.3816 "/>
    <s v=" 85.6118 "/>
    <x v="0"/>
    <n v="5771981"/>
    <m/>
    <m/>
    <m/>
  </r>
  <r>
    <x v="11"/>
    <x v="7"/>
    <s v="F:\images\20210303\plaque 1/@11 17b estradiol 270/H11_03.tif "/>
    <s v=" 70405.307 "/>
    <s v=" 74.9429 "/>
    <x v="0"/>
    <n v="5276375"/>
    <m/>
    <m/>
    <m/>
  </r>
  <r>
    <x v="1"/>
    <x v="8"/>
    <s v=" "/>
    <m/>
    <m/>
    <x v="1"/>
    <m/>
    <m/>
    <m/>
    <m/>
  </r>
  <r>
    <x v="1"/>
    <x v="8"/>
    <s v="group "/>
    <s v=" "/>
    <s v=" mean of mean fluo "/>
    <x v="2"/>
    <s v=" mean of total fluo "/>
    <s v=" SD total fluo "/>
    <s v=" n fluorescent "/>
    <s v=" n total"/>
  </r>
  <r>
    <x v="11"/>
    <x v="9"/>
    <s v="F:\images\20210303\plaque 1/@11 17b estradiol 270/ "/>
    <s v=" "/>
    <s v=" 75.4645 "/>
    <x v="13"/>
    <s v=" 3801320.58 "/>
    <s v=" 1854573.6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2"/>
    <x v="0"/>
    <s v="F:\images\20210303\plaque 1/@12 17b estradiol 540/A12_01.tif "/>
    <s v=" 58876.5732 "/>
    <s v=" 84.676 "/>
    <x v="0"/>
    <n v="4985431"/>
    <m/>
    <m/>
    <m/>
  </r>
  <r>
    <x v="12"/>
    <x v="0"/>
    <s v="F:\images\20210303\plaque 1/@12 17b estradiol 540/A12_02.tif "/>
    <s v=" 56216.0961 "/>
    <s v=" 85.127 "/>
    <x v="0"/>
    <n v="4785506"/>
    <m/>
    <m/>
    <m/>
  </r>
  <r>
    <x v="12"/>
    <x v="0"/>
    <s v="F:\images\20210303\plaque 1/@12 17b estradiol 540/A12_03.tif "/>
    <s v=" 66511.926 "/>
    <s v=" 84.0559 "/>
    <x v="0"/>
    <n v="5590722"/>
    <m/>
    <m/>
    <m/>
  </r>
  <r>
    <x v="12"/>
    <x v="1"/>
    <s v="F:\images\20210303\plaque 1/@12 17b estradiol 540/B12_01.tif "/>
    <s v=" 70426.9369 "/>
    <s v=" 93.039 "/>
    <x v="0"/>
    <n v="6552452"/>
    <m/>
    <m/>
    <m/>
  </r>
  <r>
    <x v="12"/>
    <x v="1"/>
    <s v="F:\images\20210303\plaque 1/@12 17b estradiol 540/B12_02.tif "/>
    <s v=" 62164.3172 "/>
    <s v=" 91.603 "/>
    <x v="0"/>
    <n v="5694437"/>
    <m/>
    <m/>
    <m/>
  </r>
  <r>
    <x v="12"/>
    <x v="1"/>
    <s v="F:\images\20210303\plaque 1/@12 17b estradiol 540/B12_03.tif "/>
    <s v=" 64695.0148 "/>
    <s v=" 92.7248 "/>
    <x v="0"/>
    <n v="5998835"/>
    <m/>
    <m/>
    <m/>
  </r>
  <r>
    <x v="12"/>
    <x v="2"/>
    <s v="F:\images\20210303\plaque 1/@12 17b estradiol 540/C12_01.tif "/>
    <s v=" 68263.9474 "/>
    <s v=" 99.878 "/>
    <x v="0"/>
    <n v="6818067"/>
    <m/>
    <m/>
    <m/>
  </r>
  <r>
    <x v="12"/>
    <x v="2"/>
    <s v="F:\images\20210303\plaque 1/@12 17b estradiol 540/C12_02.tif "/>
    <s v=" 68653.2856 "/>
    <s v=" 97.8904 "/>
    <x v="0"/>
    <n v="6720495"/>
    <m/>
    <m/>
    <m/>
  </r>
  <r>
    <x v="12"/>
    <x v="2"/>
    <s v="F:\images\20210303\plaque 1/@12 17b estradiol 540/C12_03.tif "/>
    <s v=" 73563.2716 "/>
    <s v=" 97.3808 "/>
    <x v="0"/>
    <n v="7163648"/>
    <m/>
    <m/>
    <m/>
  </r>
  <r>
    <x v="12"/>
    <x v="3"/>
    <s v="F:\images\20210303\plaque 1/@12 17b estradiol 540/D12_01.tif "/>
    <s v=" 89980.3617 "/>
    <s v=" 91.3596 "/>
    <x v="0"/>
    <n v="8220571"/>
    <m/>
    <m/>
    <m/>
  </r>
  <r>
    <x v="12"/>
    <x v="3"/>
    <s v="F:\images\20210303\plaque 1/@12 17b estradiol 540/D12_02.tif "/>
    <s v=" 90542.7389 "/>
    <s v=" 87.9436 "/>
    <x v="0"/>
    <n v="7962656"/>
    <m/>
    <m/>
    <m/>
  </r>
  <r>
    <x v="12"/>
    <x v="3"/>
    <s v="F:\images\20210303\plaque 1/@12 17b estradiol 540/D12_03.tif "/>
    <s v=" 88963.7566 "/>
    <s v=" 90.3129 "/>
    <x v="0"/>
    <n v="8034576"/>
    <m/>
    <m/>
    <m/>
  </r>
  <r>
    <x v="12"/>
    <x v="4"/>
    <s v="F:\images\20210303\plaque 1/@12 17b estradiol 540/E12_01.tif "/>
    <s v=" 50138.0957 "/>
    <s v=" 82.3093 "/>
    <x v="0"/>
    <n v="4126832"/>
    <m/>
    <m/>
    <m/>
  </r>
  <r>
    <x v="12"/>
    <x v="4"/>
    <s v="F:\images\20210303\plaque 1/@12 17b estradiol 540/E12_02.tif "/>
    <s v=" 48970.0814 "/>
    <s v=" 81.8304 "/>
    <x v="0"/>
    <n v="4007241"/>
    <m/>
    <m/>
    <m/>
  </r>
  <r>
    <x v="12"/>
    <x v="4"/>
    <s v="F:\images\20210303\plaque 1/@12 17b estradiol 540/E12_03.tif "/>
    <s v=" 45444.4086 "/>
    <s v=" 85.0252 "/>
    <x v="0"/>
    <n v="3863921"/>
    <m/>
    <m/>
    <m/>
  </r>
  <r>
    <x v="12"/>
    <x v="5"/>
    <s v="F:\images\20210303\plaque 1/@12 17b estradiol 540/F12_01- exclu.tif"/>
    <m/>
    <m/>
    <x v="1"/>
    <m/>
    <m/>
    <m/>
    <m/>
  </r>
  <r>
    <x v="12"/>
    <x v="5"/>
    <s v="F:\images\20210303\plaque 1/@12 17b estradiol 540/F12_02.tif "/>
    <s v=" 72157.3285 "/>
    <s v=" 90.1094 "/>
    <x v="0"/>
    <n v="6502054"/>
    <m/>
    <m/>
    <m/>
  </r>
  <r>
    <x v="12"/>
    <x v="5"/>
    <s v="F:\images\20210303\plaque 1/@12 17b estradiol 540/F12_03.tif "/>
    <s v=" 69907.8194 "/>
    <s v=" 91.3741 "/>
    <x v="0"/>
    <n v="6387762"/>
    <m/>
    <m/>
    <m/>
  </r>
  <r>
    <x v="12"/>
    <x v="6"/>
    <s v="F:\images\20210303\plaque 1/@12 17b estradiol 540/G12_01.tif "/>
    <s v=" 61558.6801 "/>
    <s v=" 106.5253 "/>
    <x v="0"/>
    <n v="6557557"/>
    <m/>
    <m/>
    <m/>
  </r>
  <r>
    <x v="12"/>
    <x v="6"/>
    <s v="F:\images\20210303\plaque 1/@12 17b estradiol 540/G12_02.tif "/>
    <s v=" 61039.5626 "/>
    <s v=" 111.871 "/>
    <x v="0"/>
    <n v="6828558"/>
    <m/>
    <m/>
    <m/>
  </r>
  <r>
    <x v="12"/>
    <x v="6"/>
    <s v="F:\images\20210303\plaque 1/@12 17b estradiol 540/G12_03.tif "/>
    <s v=" 74082.3891 "/>
    <s v=" 103.1918 "/>
    <x v="0"/>
    <n v="7644697"/>
    <m/>
    <m/>
    <m/>
  </r>
  <r>
    <x v="12"/>
    <x v="7"/>
    <s v="F:\images\20210303\plaque 1/@12 17b estradiol 540/H12_01.tif "/>
    <s v=" 56259.3559 "/>
    <s v=" 76.5144 "/>
    <x v="0"/>
    <n v="4304652"/>
    <m/>
    <m/>
    <m/>
  </r>
  <r>
    <x v="12"/>
    <x v="7"/>
    <s v="F:\images\20210303\plaque 1/@12 17b estradiol 540/H12_02.tif "/>
    <s v=" 51068.1812 "/>
    <s v=" 75.673 "/>
    <x v="0"/>
    <n v="3864483"/>
    <m/>
    <m/>
    <m/>
  </r>
  <r>
    <x v="12"/>
    <x v="7"/>
    <s v="F:\images\20210303\plaque 1/@12 17b estradiol 540/H12_03.tif "/>
    <s v=" 47823.697 "/>
    <s v=" 76.8779 "/>
    <x v="0"/>
    <n v="3676585"/>
    <m/>
    <m/>
    <m/>
  </r>
  <r>
    <x v="1"/>
    <x v="8"/>
    <s v=" "/>
    <m/>
    <m/>
    <x v="1"/>
    <m/>
    <m/>
    <m/>
    <m/>
  </r>
  <r>
    <x v="1"/>
    <x v="8"/>
    <s v="group "/>
    <s v=" "/>
    <s v=" mean of mean fluo "/>
    <x v="2"/>
    <s v=" mean of total fluo "/>
    <s v=" SD total fluo "/>
    <s v=" n fluorescent "/>
    <s v=" n total"/>
  </r>
  <r>
    <x v="12"/>
    <x v="9"/>
    <s v="F:\images\20210303\plaque 1/@12 17b estradiol 540/ "/>
    <s v=" "/>
    <s v=" 90.1962 "/>
    <x v="14"/>
    <s v=" 5853090.88 "/>
    <s v=" 1478854.4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3"/>
    <x v="0"/>
    <s v="F:\images\20210303\plaque 2/@01 Testo 30/A1_01.tif "/>
    <s v=" 20634.9195 "/>
    <s v=" 68.8994 "/>
    <x v="0"/>
    <n v="1421733"/>
    <m/>
    <m/>
    <m/>
  </r>
  <r>
    <x v="13"/>
    <x v="0"/>
    <s v="F:\images\20210303\plaque 2/@01 Testo 30/A1_02.tif "/>
    <s v=" 21802.9338 "/>
    <s v=" 66.5139 "/>
    <x v="0"/>
    <n v="1450198"/>
    <m/>
    <m/>
    <m/>
  </r>
  <r>
    <x v="13"/>
    <x v="0"/>
    <s v="F:\images\20210303\plaque 2/@01 Testo 30/A1_03.tif "/>
    <s v=" 20613.2896 "/>
    <s v=" 66.9748 "/>
    <x v="0"/>
    <n v="1380571"/>
    <m/>
    <m/>
    <m/>
  </r>
  <r>
    <x v="13"/>
    <x v="1"/>
    <s v="F:\images\20210303\plaque 2/@01 Testo 30/B1_01.tif "/>
    <s v=" 39734.1164 "/>
    <s v=" 77.9107 "/>
    <x v="0"/>
    <n v="3095714"/>
    <m/>
    <m/>
    <m/>
  </r>
  <r>
    <x v="13"/>
    <x v="1"/>
    <s v="F:\images\20210303\plaque 2/@01 Testo 30/B1_02.tif "/>
    <s v=" 36424.7426 "/>
    <s v=" 80.4281 "/>
    <x v="0"/>
    <n v="2929575"/>
    <m/>
    <m/>
    <m/>
  </r>
  <r>
    <x v="13"/>
    <x v="1"/>
    <s v="F:\images\20210303\plaque 2/@01 Testo 30/B1_03.tif "/>
    <s v=" 32423.212 "/>
    <s v=" 81.2615 "/>
    <x v="0"/>
    <n v="2634759"/>
    <m/>
    <m/>
    <m/>
  </r>
  <r>
    <x v="13"/>
    <x v="2"/>
    <s v="F:\images\20210303\plaque 2/@01 Testo 30/C1_01.tif "/>
    <s v=" 43908.6861 "/>
    <s v=" 73.4842 "/>
    <x v="0"/>
    <n v="3226596"/>
    <m/>
    <m/>
    <m/>
  </r>
  <r>
    <x v="13"/>
    <x v="2"/>
    <s v="F:\images\20210303\plaque 2/@01 Testo 30/C1_02.tif "/>
    <s v=" 45184.8499 "/>
    <s v=" 74.1431 "/>
    <x v="0"/>
    <n v="3350146"/>
    <m/>
    <m/>
    <m/>
  </r>
  <r>
    <x v="13"/>
    <x v="2"/>
    <s v="F:\images\20210303\plaque 2/@01 Testo 30/C1_03.tif "/>
    <s v=" 40253.2339 "/>
    <s v=" 71.6534 "/>
    <x v="0"/>
    <n v="2884282"/>
    <m/>
    <m/>
    <m/>
  </r>
  <r>
    <x v="13"/>
    <x v="3"/>
    <s v="F:\images\20210303\plaque 2/@01 Testo 30/D1_01.tif "/>
    <s v=" 26431.7312 "/>
    <s v=" 69.3552 "/>
    <x v="0"/>
    <n v="1833177"/>
    <m/>
    <m/>
    <m/>
  </r>
  <r>
    <x v="13"/>
    <x v="3"/>
    <s v="F:\images\20210303\plaque 2/@01 Testo 30/D1_02.tif "/>
    <s v=" 20050.9123 "/>
    <s v=" 68.5955 "/>
    <x v="0"/>
    <n v="1375402"/>
    <m/>
    <m/>
    <m/>
  </r>
  <r>
    <x v="13"/>
    <x v="3"/>
    <s v="F:\images\20210303\plaque 2/@01 Testo 30/D1_03.tif "/>
    <s v=" 24009.183 "/>
    <s v=" 68.7775 "/>
    <x v="0"/>
    <n v="1651291"/>
    <m/>
    <m/>
    <m/>
  </r>
  <r>
    <x v="13"/>
    <x v="4"/>
    <s v="F:\images\20210303\plaque 2/@01 Testo 30/E1_01.tif "/>
    <s v=" 8305.8795 "/>
    <s v=" 63.3177 "/>
    <x v="0"/>
    <n v="525909"/>
    <m/>
    <m/>
    <m/>
  </r>
  <r>
    <x v="13"/>
    <x v="4"/>
    <s v="F:\images\20210303\plaque 2/@01 Testo 30/E1_02.tif "/>
    <s v=" 11485.474 "/>
    <s v=" 64.7608 "/>
    <x v="0"/>
    <n v="743809"/>
    <m/>
    <m/>
    <m/>
  </r>
  <r>
    <x v="13"/>
    <x v="4"/>
    <s v="F:\images\20210303\plaque 2/@01 Testo 30/E1_03.tif "/>
    <s v=" 19618.3144 "/>
    <s v=" 67.0882 "/>
    <x v="0"/>
    <n v="1316157"/>
    <m/>
    <m/>
    <m/>
  </r>
  <r>
    <x v="13"/>
    <x v="5"/>
    <s v="F:\images\20210303\plaque 2/@01 Testo 30/F1_01.tif "/>
    <s v=" 25826.0942 "/>
    <s v=" 70.2848 "/>
    <x v="0"/>
    <n v="1815181"/>
    <m/>
    <m/>
    <m/>
  </r>
  <r>
    <x v="13"/>
    <x v="5"/>
    <s v="F:\images\20210303\plaque 2/@01 Testo 30/F1_02.tif "/>
    <s v=" 21846.1936 "/>
    <s v=" 68.4782 "/>
    <x v="0"/>
    <n v="1495988"/>
    <m/>
    <m/>
    <m/>
  </r>
  <r>
    <x v="13"/>
    <x v="5"/>
    <s v="F:\images\20210303\plaque 2/@01 Testo 30/F1_03.tif "/>
    <s v=" 25912.6138 "/>
    <s v=" 70.2871 "/>
    <x v="0"/>
    <n v="1821324"/>
    <m/>
    <m/>
    <m/>
  </r>
  <r>
    <x v="13"/>
    <x v="6"/>
    <s v="F:\images\20210303\plaque 2/@01 Testo 30/G1_01.tif "/>
    <s v=" 22149.0121 "/>
    <s v=" 73.7432 "/>
    <x v="0"/>
    <n v="1633338"/>
    <m/>
    <m/>
    <m/>
  </r>
  <r>
    <x v="13"/>
    <x v="6"/>
    <s v="F:\images\20210303\plaque 2/@01 Testo 30/G1_02.tif "/>
    <s v=" 18450.3001 "/>
    <s v=" 72.8781 "/>
    <x v="0"/>
    <n v="1344622"/>
    <m/>
    <m/>
    <m/>
  </r>
  <r>
    <x v="13"/>
    <x v="6"/>
    <s v="F:\images\20210303\plaque 2/@01 Testo 30/G1_03.tif "/>
    <s v=" 20396.9906 "/>
    <s v=" 74.3128 "/>
    <x v="0"/>
    <n v="1515758"/>
    <m/>
    <m/>
    <m/>
  </r>
  <r>
    <x v="13"/>
    <x v="7"/>
    <s v="F:\images\20210303\plaque 2/@01 Testo 30/H1_01.tif "/>
    <s v=" 1427.573 "/>
    <s v=" 63.6818 "/>
    <x v="0"/>
    <n v="90910"/>
    <m/>
    <m/>
    <m/>
  </r>
  <r>
    <x v="13"/>
    <x v="7"/>
    <s v="F:\images\20210303\plaque 2/@01 Testo 30/H1_02.tif "/>
    <s v=" 670.5267 "/>
    <s v=" 64.1935 "/>
    <x v="0"/>
    <n v="43043"/>
    <m/>
    <m/>
    <m/>
  </r>
  <r>
    <x v="13"/>
    <x v="7"/>
    <s v="F:\images\20210303\plaque 2/@01 Testo 30/H1_03.tif "/>
    <s v=" 497.4876 "/>
    <s v=" 62.9565 "/>
    <x v="0"/>
    <n v="31320"/>
    <m/>
    <m/>
    <m/>
  </r>
  <r>
    <x v="1"/>
    <x v="8"/>
    <s v=" "/>
    <m/>
    <m/>
    <x v="1"/>
    <m/>
    <m/>
    <m/>
    <m/>
  </r>
  <r>
    <x v="1"/>
    <x v="8"/>
    <s v="group "/>
    <s v=" "/>
    <s v=" mean of mean fluo "/>
    <x v="2"/>
    <s v=" mean of total fluo "/>
    <s v=" SD total fluo "/>
    <s v=" n fluorescent "/>
    <s v=" n total"/>
  </r>
  <r>
    <x v="13"/>
    <x v="9"/>
    <s v="F:\images\20210303\plaque 2/@01 Testo 30/ "/>
    <s v=" "/>
    <s v=" 70.1658 "/>
    <x v="15"/>
    <s v=" 1650450.12 "/>
    <s v=" 975607.9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4"/>
    <x v="0"/>
    <s v="F:\images\20210303\plaque 2/@02 Testo 30/A2_01.tif "/>
    <s v=" 13864.7625 "/>
    <s v=" 67.092 "/>
    <x v="0"/>
    <n v="930215"/>
    <m/>
    <m/>
    <m/>
  </r>
  <r>
    <x v="14"/>
    <x v="0"/>
    <s v="F:\images\20210303\plaque 2/@02 Testo 30/A2_02- exclu.tif"/>
    <m/>
    <m/>
    <x v="1"/>
    <m/>
    <m/>
    <m/>
    <m/>
  </r>
  <r>
    <x v="14"/>
    <x v="0"/>
    <s v="F:\images\20210303\plaque 2/@02 Testo 30/A2_03.tif "/>
    <s v=" 16957.8374 "/>
    <s v=" 67.1684 "/>
    <x v="0"/>
    <n v="1139030"/>
    <m/>
    <m/>
    <m/>
  </r>
  <r>
    <x v="14"/>
    <x v="1"/>
    <s v="F:\images\20210303\plaque 2/@02 Testo 30/B2_01.tif "/>
    <s v=" 46136.5652 "/>
    <s v=" 73.8134 "/>
    <x v="0"/>
    <n v="3405497"/>
    <m/>
    <m/>
    <m/>
  </r>
  <r>
    <x v="14"/>
    <x v="1"/>
    <s v="F:\images\20210303\plaque 2/@02 Testo 30/B2_02.tif "/>
    <s v=" 38371.4331 "/>
    <s v=" 71.553 "/>
    <x v="0"/>
    <n v="2745591"/>
    <m/>
    <m/>
    <m/>
  </r>
  <r>
    <x v="14"/>
    <x v="1"/>
    <s v="F:\images\20210303\plaque 2/@02 Testo 30/B2_03.tif "/>
    <s v=" 47650.6579 "/>
    <s v=" 73.3286 "/>
    <x v="0"/>
    <n v="3494158"/>
    <m/>
    <m/>
    <m/>
  </r>
  <r>
    <x v="14"/>
    <x v="2"/>
    <s v="F:\images\20210303\plaque 2/@02 Testo 30/C2_01.tif "/>
    <s v=" 33526.3367 "/>
    <s v=" 69.9697 "/>
    <x v="0"/>
    <n v="2345827"/>
    <m/>
    <m/>
    <m/>
  </r>
  <r>
    <x v="14"/>
    <x v="2"/>
    <s v="F:\images\20210303\plaque 2/@02 Testo 30/C2_02.tif "/>
    <s v=" 22819.5388 "/>
    <s v=" 72.4047 "/>
    <x v="0"/>
    <n v="1652243"/>
    <m/>
    <m/>
    <m/>
  </r>
  <r>
    <x v="14"/>
    <x v="2"/>
    <s v="F:\images\20210303\plaque 2/@02 Testo 30/C2_03.tif "/>
    <s v=" 18623.3393 "/>
    <s v=" 70.3368 "/>
    <x v="0"/>
    <n v="1309906"/>
    <m/>
    <m/>
    <m/>
  </r>
  <r>
    <x v="14"/>
    <x v="3"/>
    <s v="F:\images\20210303\plaque 2/@02 Testo 30/D2_01.tif "/>
    <s v=" 36878.9703 "/>
    <s v=" 69.8827 "/>
    <x v="0"/>
    <n v="2577202"/>
    <m/>
    <m/>
    <m/>
  </r>
  <r>
    <x v="14"/>
    <x v="3"/>
    <s v="F:\images\20210303\plaque 2/@02 Testo 30/D2_02.tif "/>
    <s v=" 16114.2715 "/>
    <s v=" 65.7812 "/>
    <x v="0"/>
    <n v="1060016"/>
    <m/>
    <m/>
    <m/>
  </r>
  <r>
    <x v="14"/>
    <x v="3"/>
    <s v="F:\images\20210303\plaque 2/@02 Testo 30/D2_03.tif "/>
    <s v=" 34802.5005 "/>
    <s v=" 69.4326 "/>
    <x v="0"/>
    <n v="2416427"/>
    <m/>
    <m/>
    <m/>
  </r>
  <r>
    <x v="14"/>
    <x v="4"/>
    <s v="F:\images\20210303\plaque 2/@02 Testo 30/E2_01.tif "/>
    <s v=" 346.0783 "/>
    <s v=" 63.5 "/>
    <x v="0"/>
    <n v="21976"/>
    <m/>
    <m/>
    <m/>
  </r>
  <r>
    <x v="14"/>
    <x v="4"/>
    <s v="F:\images\20210303\plaque 2/@02 Testo 30/E2_02.tif "/>
    <s v=" 194.6691 "/>
    <s v=" 64.1111 "/>
    <x v="0"/>
    <n v="12480"/>
    <m/>
    <m/>
    <m/>
  </r>
  <r>
    <x v="14"/>
    <x v="4"/>
    <s v="F:\images\20210303\plaque 2/@02 Testo 30/E2_03.tif "/>
    <s v=" 216.2989 "/>
    <s v=" 63.9 "/>
    <x v="0"/>
    <n v="13822"/>
    <m/>
    <m/>
    <m/>
  </r>
  <r>
    <x v="14"/>
    <x v="5"/>
    <s v="F:\images\20210303\plaque 2/@02 Testo 30/F2_01.tif "/>
    <s v=" 32617.8811 "/>
    <s v=" 70.4781 "/>
    <x v="0"/>
    <n v="2298847"/>
    <m/>
    <m/>
    <m/>
  </r>
  <r>
    <x v="14"/>
    <x v="5"/>
    <s v="F:\images\20210303\plaque 2/@02 Testo 30/F2_02.tif "/>
    <s v=" 29395.0268 "/>
    <s v=" 71.9375 "/>
    <x v="0"/>
    <n v="2114603"/>
    <m/>
    <m/>
    <m/>
  </r>
  <r>
    <x v="14"/>
    <x v="5"/>
    <s v="F:\images\20210303\plaque 2/@02 Testo 30/F2_03.tif "/>
    <s v=" 27989.0836 "/>
    <s v=" 70.7875 "/>
    <x v="0"/>
    <n v="1981277"/>
    <m/>
    <m/>
    <m/>
  </r>
  <r>
    <x v="14"/>
    <x v="6"/>
    <s v="F:\images\20210303\plaque 2/@02 Testo 30/G2_01- exclu.tif"/>
    <m/>
    <m/>
    <x v="1"/>
    <m/>
    <m/>
    <m/>
    <m/>
  </r>
  <r>
    <x v="14"/>
    <x v="6"/>
    <s v="F:\images\20210303\plaque 2/@02 Testo 30/G2_02- exclu.tif"/>
    <m/>
    <m/>
    <x v="1"/>
    <m/>
    <m/>
    <m/>
    <m/>
  </r>
  <r>
    <x v="14"/>
    <x v="6"/>
    <s v="F:\images\20210303\plaque 2/@02 Testo 30/G2_03- exclu.tif"/>
    <m/>
    <m/>
    <x v="1"/>
    <m/>
    <m/>
    <m/>
    <m/>
  </r>
  <r>
    <x v="14"/>
    <x v="7"/>
    <s v="F:\images\20210303\plaque 2/@02 Testo 30/H2_01.tif "/>
    <s v=" 30281.8525 "/>
    <s v=" 70.0279 "/>
    <x v="0"/>
    <n v="2120573"/>
    <m/>
    <m/>
    <m/>
  </r>
  <r>
    <x v="14"/>
    <x v="7"/>
    <s v="F:\images\20210303\plaque 2/@02 Testo 30/H2_02.tif "/>
    <s v=" 28248.6424 "/>
    <s v=" 67.9188 "/>
    <x v="0"/>
    <n v="1918615"/>
    <m/>
    <m/>
    <m/>
  </r>
  <r>
    <x v="14"/>
    <x v="7"/>
    <s v="F:\images\20210303\plaque 2/@02 Testo 30/H2_03.tif "/>
    <s v=" 26237.0622 "/>
    <s v=" 68.2968 "/>
    <x v="0"/>
    <n v="1791907"/>
    <m/>
    <m/>
    <m/>
  </r>
  <r>
    <x v="1"/>
    <x v="8"/>
    <s v=" "/>
    <m/>
    <m/>
    <x v="1"/>
    <m/>
    <m/>
    <m/>
    <m/>
  </r>
  <r>
    <x v="1"/>
    <x v="8"/>
    <s v="group "/>
    <s v=" "/>
    <s v=" mean of mean fluo "/>
    <x v="2"/>
    <s v=" mean of total fluo "/>
    <s v=" SD total fluo "/>
    <s v=" n fluorescent "/>
    <s v=" n total"/>
  </r>
  <r>
    <x v="14"/>
    <x v="9"/>
    <s v="F:\images\20210303\plaque 2/@02 Testo 30/ "/>
    <s v=" "/>
    <s v=" 68.9023 "/>
    <x v="16"/>
    <s v=" 1568841.5 "/>
    <s v=" 1046200.0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5"/>
    <x v="0"/>
    <s v="F:\images\20210303\plaque 2/@03 Testo+ EE2 64/A3_01.tif "/>
    <s v=" 56410.7652 "/>
    <s v=" 78.1189 "/>
    <x v="0"/>
    <n v="4406745"/>
    <m/>
    <m/>
    <m/>
  </r>
  <r>
    <x v="15"/>
    <x v="0"/>
    <s v="F:\images\20210303\plaque 2/@03 Testo+ EE2 64/A3_02.tif "/>
    <s v=" 64284.0468 "/>
    <s v=" 78.0081 "/>
    <x v="0"/>
    <n v="5014675"/>
    <m/>
    <m/>
    <m/>
  </r>
  <r>
    <x v="15"/>
    <x v="0"/>
    <s v="F:\images\20210303\plaque 2/@03 Testo+ EE2 64/A3_03.tif "/>
    <s v=" 55199.4911 "/>
    <s v=" 77.6752 "/>
    <x v="0"/>
    <n v="4287629"/>
    <m/>
    <m/>
    <m/>
  </r>
  <r>
    <x v="15"/>
    <x v="1"/>
    <s v="F:\images\20210303\plaque 2/@03 Testo+ EE2 64/B3_01.tif "/>
    <s v=" 44103.3551 "/>
    <s v=" 81.2884 "/>
    <x v="0"/>
    <n v="3585090"/>
    <m/>
    <m/>
    <m/>
  </r>
  <r>
    <x v="15"/>
    <x v="1"/>
    <s v="F:\images\20210303\plaque 2/@03 Testo+ EE2 64/B3_02.tif "/>
    <s v=" 45530.9282 "/>
    <s v=" 80.0242 "/>
    <x v="0"/>
    <n v="3643577"/>
    <m/>
    <m/>
    <m/>
  </r>
  <r>
    <x v="15"/>
    <x v="1"/>
    <s v="F:\images\20210303\plaque 2/@03 Testo+ EE2 64/B3_03.tif "/>
    <s v=" 46266.3446 "/>
    <s v=" 78.913 "/>
    <x v="0"/>
    <n v="3651018"/>
    <m/>
    <m/>
    <m/>
  </r>
  <r>
    <x v="15"/>
    <x v="2"/>
    <s v="F:\images\20210303\plaque 2/@03 Testo+ EE2 64/C3_01.tif "/>
    <s v=" 55329.2705 "/>
    <s v=" 79.0977 "/>
    <x v="0"/>
    <n v="4376420"/>
    <m/>
    <m/>
    <m/>
  </r>
  <r>
    <x v="15"/>
    <x v="2"/>
    <s v="F:\images\20210303\plaque 2/@03 Testo+ EE2 64/C3_02.tif "/>
    <s v=" 50289.505 "/>
    <s v=" 79.0034 "/>
    <x v="0"/>
    <n v="3973044"/>
    <m/>
    <m/>
    <m/>
  </r>
  <r>
    <x v="15"/>
    <x v="2"/>
    <s v="F:\images\20210303\plaque 2/@03 Testo+ EE2 64/C3_03.tif "/>
    <s v=" 48213.0351 "/>
    <s v=" 73.6335 "/>
    <x v="0"/>
    <n v="3550093"/>
    <m/>
    <m/>
    <m/>
  </r>
  <r>
    <x v="15"/>
    <x v="3"/>
    <s v="F:\images\20210303\plaque 2/@03 Testo+ EE2 64/D3_01.tif "/>
    <s v=" 34045.4541 "/>
    <s v=" 72.6633 "/>
    <x v="0"/>
    <n v="2473854"/>
    <m/>
    <m/>
    <m/>
  </r>
  <r>
    <x v="15"/>
    <x v="3"/>
    <s v="F:\images\20210303\plaque 2/@03 Testo+ EE2 64/D3_02.tif "/>
    <s v=" 33937.3047 "/>
    <s v=" 71.2008 "/>
    <x v="0"/>
    <n v="2416362"/>
    <m/>
    <m/>
    <m/>
  </r>
  <r>
    <x v="15"/>
    <x v="3"/>
    <s v="F:\images\20210303\plaque 2/@03 Testo+ EE2 64/D3_03.tif "/>
    <s v=" 30498.1514 "/>
    <s v=" 70.9184 "/>
    <x v="0"/>
    <n v="2162881"/>
    <m/>
    <m/>
    <m/>
  </r>
  <r>
    <x v="15"/>
    <x v="4"/>
    <s v="F:\images\20210303\plaque 2/@03 Testo+ EE2 64/E3_01.tif "/>
    <s v=" 43173.2697 "/>
    <s v=" 77.273 "/>
    <x v="0"/>
    <n v="3336130"/>
    <m/>
    <m/>
    <m/>
  </r>
  <r>
    <x v="15"/>
    <x v="4"/>
    <s v="F:\images\20210303\plaque 2/@03 Testo+ EE2 64/E3_02.tif "/>
    <s v=" 39950.4154 "/>
    <s v=" 75.5977 "/>
    <x v="0"/>
    <n v="3020161"/>
    <m/>
    <m/>
    <m/>
  </r>
  <r>
    <x v="15"/>
    <x v="4"/>
    <s v="F:\images\20210303\plaque 2/@03 Testo+ EE2 64/E3_03.tif "/>
    <s v=" 40620.9421 "/>
    <s v=" 76.7125 "/>
    <x v="0"/>
    <n v="3116132"/>
    <m/>
    <m/>
    <m/>
  </r>
  <r>
    <x v="15"/>
    <x v="5"/>
    <s v="F:\images\20210303\plaque 2/@03 Testo+ EE2 64/F3_01.tif "/>
    <s v=" 48818.6722 "/>
    <s v=" 75.848 "/>
    <x v="0"/>
    <n v="3702800"/>
    <m/>
    <m/>
    <m/>
  </r>
  <r>
    <x v="15"/>
    <x v="5"/>
    <s v="F:\images\20210303\plaque 2/@03 Testo+ EE2 64/F3_02.tif "/>
    <s v=" 48256.2949 "/>
    <s v=" 76.2013 "/>
    <x v="0"/>
    <n v="3677190"/>
    <m/>
    <m/>
    <m/>
  </r>
  <r>
    <x v="15"/>
    <x v="5"/>
    <s v="F:\images\20210303\plaque 2/@03 Testo+ EE2 64/F3_03.tif "/>
    <s v=" 48472.5939 "/>
    <s v=" 77.149 "/>
    <x v="0"/>
    <n v="3739614"/>
    <m/>
    <m/>
    <m/>
  </r>
  <r>
    <x v="15"/>
    <x v="6"/>
    <s v="F:\images\20210303\plaque 2/@03 Testo+ EE2 64/G3_01.tif "/>
    <s v=" 48494.2238 "/>
    <s v=" 77.9086 "/>
    <x v="0"/>
    <n v="3778115"/>
    <m/>
    <m/>
    <m/>
  </r>
  <r>
    <x v="15"/>
    <x v="6"/>
    <s v="F:\images\20210303\plaque 2/@03 Testo+ EE2 64/G3_02.tif "/>
    <s v=" 47369.4692 "/>
    <s v=" 78.1196 "/>
    <x v="0"/>
    <n v="3700486"/>
    <m/>
    <m/>
    <m/>
  </r>
  <r>
    <x v="15"/>
    <x v="6"/>
    <s v="F:\images\20210303\plaque 2/@03 Testo+ EE2 64/G3_03.tif "/>
    <s v=" 45877.0065 "/>
    <s v=" 78.8449 "/>
    <x v="0"/>
    <n v="3617167"/>
    <m/>
    <m/>
    <m/>
  </r>
  <r>
    <x v="15"/>
    <x v="7"/>
    <s v="F:\images\20210303\plaque 2/@03 Testo+ EE2 64/H3_01.tif "/>
    <s v=" 53771.918 "/>
    <s v=" 79.21 "/>
    <x v="0"/>
    <n v="4259272"/>
    <m/>
    <m/>
    <m/>
  </r>
  <r>
    <x v="15"/>
    <x v="7"/>
    <s v="F:\images\20210303\plaque 2/@03 Testo+ EE2 64/H3_02.tif "/>
    <s v=" 48299.5547 "/>
    <s v=" 76.614 "/>
    <x v="0"/>
    <n v="3700421"/>
    <m/>
    <m/>
    <m/>
  </r>
  <r>
    <x v="15"/>
    <x v="7"/>
    <s v="F:\images\20210303\plaque 2/@03 Testo+ EE2 64/H3_03.tif "/>
    <s v=" 52668.7934 "/>
    <s v=" 78.1203 "/>
    <x v="0"/>
    <n v="4114503"/>
    <m/>
    <m/>
    <m/>
  </r>
  <r>
    <x v="1"/>
    <x v="8"/>
    <s v=" "/>
    <m/>
    <m/>
    <x v="1"/>
    <m/>
    <m/>
    <m/>
    <m/>
  </r>
  <r>
    <x v="1"/>
    <x v="8"/>
    <s v="group "/>
    <s v=" "/>
    <s v=" mean of mean fluo "/>
    <x v="2"/>
    <s v=" mean of total fluo "/>
    <s v=" SD total fluo "/>
    <s v=" n fluorescent "/>
    <s v=" n total"/>
  </r>
  <r>
    <x v="15"/>
    <x v="9"/>
    <s v="F:\images\20210303\plaque 2/@03 Testo+ EE2 64/ "/>
    <s v=" "/>
    <s v=" 77.006 "/>
    <x v="17"/>
    <s v=" 3637640.79 "/>
    <s v=" 659454.10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6"/>
    <x v="0"/>
    <s v="F:\images\20210303\plaque 2/@04 Testo+ FAD/A4_01.tif "/>
    <s v=" 1341.0535 "/>
    <s v=" 65.4355 "/>
    <x v="0"/>
    <n v="87752"/>
    <m/>
    <m/>
    <m/>
  </r>
  <r>
    <x v="16"/>
    <x v="0"/>
    <s v="F:\images\20210303\plaque 2/@04 Testo+ FAD/A4_02.tif "/>
    <s v=" 3871.7511 "/>
    <s v=" 66.4134 "/>
    <x v="0"/>
    <n v="257136"/>
    <m/>
    <m/>
    <m/>
  </r>
  <r>
    <x v="16"/>
    <x v="0"/>
    <s v="F:\images\20210303\plaque 2/@04 Testo+ FAD/A4_03.tif "/>
    <s v=" 1427.573 "/>
    <s v=" 63.9242 "/>
    <x v="0"/>
    <n v="91257"/>
    <m/>
    <m/>
    <m/>
  </r>
  <r>
    <x v="16"/>
    <x v="1"/>
    <s v="F:\images\20210303\plaque 2/@04 Testo+ FAD/B4_01.tif "/>
    <s v=" 1730.3916 "/>
    <s v=" 66.35 "/>
    <x v="0"/>
    <n v="114811"/>
    <m/>
    <m/>
    <m/>
  </r>
  <r>
    <x v="16"/>
    <x v="1"/>
    <s v="F:\images\20210303\plaque 2/@04 Testo+ FAD/B4_02.tif "/>
    <s v=" 1492.4627 "/>
    <s v=" 64.5797 "/>
    <x v="0"/>
    <n v="96383"/>
    <m/>
    <m/>
    <m/>
  </r>
  <r>
    <x v="16"/>
    <x v="1"/>
    <s v="F:\images\20210303\plaque 2/@04 Testo+ FAD/B4_03.tif "/>
    <s v=" 2314.3987 "/>
    <s v=" 67.4579 "/>
    <x v="0"/>
    <n v="156125"/>
    <m/>
    <m/>
    <m/>
  </r>
  <r>
    <x v="16"/>
    <x v="2"/>
    <s v="F:\images\20210303\plaque 2/@04 Testo+ FAD/C4_01.tif "/>
    <s v=" 8651.9579 "/>
    <s v=" 69.045 "/>
    <x v="0"/>
    <n v="597374"/>
    <m/>
    <m/>
    <m/>
  </r>
  <r>
    <x v="16"/>
    <x v="2"/>
    <s v="F:\images\20210303\plaque 2/@04 Testo+ FAD/C4_02.tif "/>
    <s v=" 475.8577 "/>
    <s v=" 63.1818 "/>
    <x v="0"/>
    <n v="30066"/>
    <m/>
    <m/>
    <m/>
  </r>
  <r>
    <x v="16"/>
    <x v="2"/>
    <s v="F:\images\20210303\plaque 2/@04 Testo+ FAD/C4_03.tif "/>
    <s v=" 9171.0753 "/>
    <s v=" 72.592 "/>
    <x v="0"/>
    <n v="665747"/>
    <m/>
    <m/>
    <m/>
  </r>
  <r>
    <x v="16"/>
    <x v="3"/>
    <s v="F:\images\20210303\plaque 2/@04 Testo+ FAD/D4_01.tif "/>
    <s v=" 1189.6442 "/>
    <s v=" 64.5818 "/>
    <x v="0"/>
    <n v="76829"/>
    <m/>
    <m/>
    <m/>
  </r>
  <r>
    <x v="16"/>
    <x v="3"/>
    <s v="F:\images\20210303\plaque 2/@04 Testo+ FAD/D4_02.tif "/>
    <s v=" 821.936 "/>
    <s v=" 63.7368 "/>
    <x v="0"/>
    <n v="52388"/>
    <m/>
    <m/>
    <m/>
  </r>
  <r>
    <x v="16"/>
    <x v="3"/>
    <s v="F:\images\20210303\plaque 2/@04 Testo+ FAD/D4_03.tif "/>
    <s v=" 432.5979 "/>
    <s v=" 64.15 "/>
    <x v="0"/>
    <n v="27751"/>
    <m/>
    <m/>
    <m/>
  </r>
  <r>
    <x v="16"/>
    <x v="4"/>
    <s v="F:\images\20210303\plaque 2/@04 Testo+ FAD/E4_01.tif "/>
    <s v=" 2833.5162 "/>
    <s v=" 68.5725 "/>
    <x v="0"/>
    <n v="194301"/>
    <m/>
    <m/>
    <m/>
  </r>
  <r>
    <x v="16"/>
    <x v="4"/>
    <s v="F:\images\20210303\plaque 2/@04 Testo+ FAD/E4_02.tif "/>
    <s v=" 3028.1852 "/>
    <s v=" 67.2929 "/>
    <x v="0"/>
    <n v="203775"/>
    <m/>
    <m/>
    <m/>
  </r>
  <r>
    <x v="16"/>
    <x v="4"/>
    <s v="F:\images\20210303\plaque 2/@04 Testo+ FAD/E4_03.tif "/>
    <s v=" 3720.3419 "/>
    <s v=" 68.0349 "/>
    <x v="0"/>
    <n v="253113"/>
    <m/>
    <m/>
    <m/>
  </r>
  <r>
    <x v="16"/>
    <x v="5"/>
    <s v="F:\images\20210303\plaque 2/@04 Testo+ FAD/F4_01.tif "/>
    <s v=" 3850.1212 "/>
    <s v=" 65.0506 "/>
    <x v="0"/>
    <n v="250453"/>
    <m/>
    <m/>
    <m/>
  </r>
  <r>
    <x v="16"/>
    <x v="5"/>
    <s v="F:\images\20210303\plaque 2/@04 Testo+ FAD/F4_02.tif "/>
    <s v=" 1254.5339 "/>
    <s v=" 65.9483 "/>
    <x v="0"/>
    <n v="82734"/>
    <m/>
    <m/>
    <m/>
  </r>
  <r>
    <x v="16"/>
    <x v="5"/>
    <s v="F:\images\20210303\plaque 2/@04 Testo+ FAD/F4_03.tif "/>
    <s v=" 2552.3276 "/>
    <s v=" 68.5763 "/>
    <x v="0"/>
    <n v="175029"/>
    <m/>
    <m/>
    <m/>
  </r>
  <r>
    <x v="16"/>
    <x v="6"/>
    <s v="F:\images\20210303\plaque 2/@04 Testo+ FAD/G4_01.tif "/>
    <s v=" 2898.4059 "/>
    <s v=" 67.0597 "/>
    <x v="0"/>
    <n v="194366"/>
    <m/>
    <m/>
    <m/>
  </r>
  <r>
    <x v="16"/>
    <x v="6"/>
    <s v="F:\images\20210303\plaque 2/@04 Testo+ FAD/G4_02.tif "/>
    <s v=" 908.4556 "/>
    <s v=" 64.8333 "/>
    <x v="0"/>
    <n v="58898"/>
    <m/>
    <m/>
    <m/>
  </r>
  <r>
    <x v="16"/>
    <x v="6"/>
    <s v="F:\images\20210303\plaque 2/@04 Testo+ FAD/G4_03.tif "/>
    <s v=" 757.0463 "/>
    <s v=" 64.6286 "/>
    <x v="0"/>
    <n v="48927"/>
    <m/>
    <m/>
    <m/>
  </r>
  <r>
    <x v="16"/>
    <x v="7"/>
    <s v="F:\images\20210303\plaque 2/@04 Testo+ FAD/H4_01.tif "/>
    <s v=" 2768.6265 "/>
    <s v=" 64.8203 "/>
    <x v="0"/>
    <n v="179463"/>
    <m/>
    <m/>
    <m/>
  </r>
  <r>
    <x v="16"/>
    <x v="7"/>
    <s v="F:\images\20210303\plaque 2/@04 Testo+ FAD/H4_02.tif "/>
    <s v=" 6294.2993 "/>
    <s v=" 70.0928 "/>
    <x v="0"/>
    <n v="441185"/>
    <m/>
    <m/>
    <m/>
  </r>
  <r>
    <x v="16"/>
    <x v="7"/>
    <s v="F:\images\20210303\plaque 2/@04 Testo+ FAD/H4_03.tif "/>
    <s v=" 2703.7368 "/>
    <s v=" 64.84 "/>
    <x v="0"/>
    <n v="175310"/>
    <m/>
    <m/>
    <m/>
  </r>
  <r>
    <x v="1"/>
    <x v="8"/>
    <s v=" "/>
    <m/>
    <m/>
    <x v="1"/>
    <m/>
    <m/>
    <m/>
    <m/>
  </r>
  <r>
    <x v="1"/>
    <x v="8"/>
    <s v="group "/>
    <s v=" "/>
    <s v=" mean of mean fluo "/>
    <x v="2"/>
    <s v=" mean of total fluo "/>
    <s v=" SD total fluo "/>
    <s v=" n fluorescent "/>
    <s v=" n total"/>
  </r>
  <r>
    <x v="16"/>
    <x v="9"/>
    <s v="F:\images\20210303\plaque 2/@04 Testo+ FAD/ "/>
    <s v=" "/>
    <s v=" 66.2999 "/>
    <x v="18"/>
    <s v=" 187965.542 "/>
    <s v=" 166318.21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7"/>
    <x v="0"/>
    <s v="F:\images\20210303\plaque 2/@05 17b estradiol 34 dopé/A5_01.tif "/>
    <s v=" 38046.9847 "/>
    <s v=" 74.108 "/>
    <x v="0"/>
    <n v="2819587"/>
    <m/>
    <m/>
    <m/>
  </r>
  <r>
    <x v="17"/>
    <x v="0"/>
    <s v="F:\images\20210303\plaque 2/@05 17b estradiol 34 dopé/A5_02.tif "/>
    <s v=" 42502.7429 "/>
    <s v=" 72.6407 "/>
    <x v="0"/>
    <n v="3087430"/>
    <m/>
    <m/>
    <m/>
  </r>
  <r>
    <x v="17"/>
    <x v="0"/>
    <s v="F:\images\20210303\plaque 2/@05 17b estradiol 34 dopé/A5_03.tif "/>
    <s v=" 40339.7535 "/>
    <s v=" 72.4027 "/>
    <x v="0"/>
    <n v="2920706"/>
    <m/>
    <m/>
    <m/>
  </r>
  <r>
    <x v="17"/>
    <x v="1"/>
    <s v="F:\images\20210303\plaque 2/@05 17b estradiol 34 dopé/B5_01.tif "/>
    <s v=" 51544.0389 "/>
    <s v=" 76.4255 "/>
    <x v="0"/>
    <n v="3939280"/>
    <m/>
    <m/>
    <m/>
  </r>
  <r>
    <x v="17"/>
    <x v="1"/>
    <s v="F:\images\20210303\plaque 2/@05 17b estradiol 34 dopé/B5_02- exclu.tif"/>
    <m/>
    <m/>
    <x v="1"/>
    <m/>
    <m/>
    <m/>
    <m/>
  </r>
  <r>
    <x v="17"/>
    <x v="1"/>
    <s v="F:\images\20210303\plaque 2/@05 17b estradiol 34 dopé/B5_03.tif "/>
    <s v=" 52344.345 "/>
    <s v=" 79.6388 "/>
    <x v="0"/>
    <n v="4168643"/>
    <m/>
    <m/>
    <m/>
  </r>
  <r>
    <x v="17"/>
    <x v="2"/>
    <s v="F:\images\20210303\plaque 2/@05 17b estradiol 34 dopé/C5_01- exclu.tif"/>
    <m/>
    <m/>
    <x v="1"/>
    <m/>
    <m/>
    <m/>
    <m/>
  </r>
  <r>
    <x v="17"/>
    <x v="2"/>
    <s v="F:\images\20210303\plaque 2/@05 17b estradiol 34 dopé/C5_02.tif "/>
    <s v=" 40209.9741 "/>
    <s v=" 72.7881 "/>
    <x v="0"/>
    <n v="2926806"/>
    <m/>
    <m/>
    <m/>
  </r>
  <r>
    <x v="17"/>
    <x v="2"/>
    <s v="F:\images\20210303\plaque 2/@05 17b estradiol 34 dopé/C5_03.tif "/>
    <s v=" 33526.3367 "/>
    <s v=" 73.2542 "/>
    <x v="0"/>
    <n v="2455945"/>
    <m/>
    <m/>
    <m/>
  </r>
  <r>
    <x v="17"/>
    <x v="3"/>
    <s v="F:\images\20210303\plaque 2/@05 17b estradiol 34 dopé/D5_01.tif "/>
    <s v=" 7981.4311 "/>
    <s v=" 71.813 "/>
    <x v="0"/>
    <n v="573171"/>
    <m/>
    <m/>
    <m/>
  </r>
  <r>
    <x v="17"/>
    <x v="3"/>
    <s v="F:\images\20210303\plaque 2/@05 17b estradiol 34 dopé/D5_02.tif "/>
    <s v=" 7635.3528 "/>
    <s v=" 75.1615 "/>
    <x v="0"/>
    <n v="573884"/>
    <m/>
    <m/>
    <m/>
  </r>
  <r>
    <x v="17"/>
    <x v="3"/>
    <s v="F:\images\20210303\plaque 2/@05 17b estradiol 34 dopé/D5_03- exclu.tif"/>
    <m/>
    <m/>
    <x v="1"/>
    <m/>
    <m/>
    <m/>
    <m/>
  </r>
  <r>
    <x v="17"/>
    <x v="4"/>
    <s v="F:\images\20210303\plaque 2/@05 17b estradiol 34 dopé/E5_01.tif "/>
    <s v=" 25717.9447 "/>
    <s v=" 67.0589 "/>
    <x v="0"/>
    <n v="1724616"/>
    <m/>
    <m/>
    <m/>
  </r>
  <r>
    <x v="17"/>
    <x v="4"/>
    <s v="F:\images\20210303\plaque 2/@05 17b estradiol 34 dopé/E5_02.tif "/>
    <s v=" 19877.8732 "/>
    <s v=" 65.6834 "/>
    <x v="0"/>
    <n v="1305645"/>
    <m/>
    <m/>
    <m/>
  </r>
  <r>
    <x v="17"/>
    <x v="4"/>
    <s v="F:\images\20210303\plaque 2/@05 17b estradiol 34 dopé/E5_03- exclu.tif"/>
    <m/>
    <m/>
    <x v="1"/>
    <m/>
    <m/>
    <m/>
    <m/>
  </r>
  <r>
    <x v="17"/>
    <x v="5"/>
    <s v="F:\images\20210303\plaque 2/@05 17b estradiol 34 dopé/F5_01.tif "/>
    <s v=" 17887.9229 "/>
    <s v=" 68.2842 "/>
    <x v="0"/>
    <n v="1221462"/>
    <m/>
    <m/>
    <m/>
  </r>
  <r>
    <x v="17"/>
    <x v="5"/>
    <s v="F:\images\20210303\plaque 2/@05 17b estradiol 34 dopé/F5_02- exclu.tif"/>
    <m/>
    <m/>
    <x v="1"/>
    <m/>
    <m/>
    <m/>
    <m/>
  </r>
  <r>
    <x v="17"/>
    <x v="5"/>
    <s v="F:\images\20210303\plaque 2/@05 17b estradiol 34 dopé/F5_03.tif "/>
    <s v=" 18731.4887 "/>
    <s v=" 67.627 "/>
    <x v="0"/>
    <n v="1266755"/>
    <m/>
    <m/>
    <m/>
  </r>
  <r>
    <x v="17"/>
    <x v="6"/>
    <s v="F:\images\20210303\plaque 2/@05 17b estradiol 34 dopé/G5_01.tif "/>
    <s v=" 41940.3657 "/>
    <s v=" 69.3378 "/>
    <x v="0"/>
    <n v="2908053"/>
    <m/>
    <m/>
    <m/>
  </r>
  <r>
    <x v="17"/>
    <x v="6"/>
    <s v="F:\images\20210303\plaque 2/@05 17b estradiol 34 dopé/G5_02.tif "/>
    <s v=" 40642.572 "/>
    <s v=" 70.2975 "/>
    <x v="0"/>
    <n v="2857071"/>
    <m/>
    <m/>
    <m/>
  </r>
  <r>
    <x v="17"/>
    <x v="6"/>
    <s v="F:\images\20210303\plaque 2/@05 17b estradiol 34 dopé/G5_03.tif "/>
    <s v=" 40101.8246 "/>
    <s v=" 69.6667 "/>
    <x v="0"/>
    <n v="2793760"/>
    <m/>
    <m/>
    <m/>
  </r>
  <r>
    <x v="17"/>
    <x v="7"/>
    <s v="F:\images\20210303\plaque 2/@05 17b estradiol 34 dopé/H5_01.tif "/>
    <s v=" 33331.6676 "/>
    <s v=" 70.1525 "/>
    <x v="0"/>
    <n v="2338300"/>
    <m/>
    <m/>
    <m/>
  </r>
  <r>
    <x v="17"/>
    <x v="7"/>
    <s v="F:\images\20210303\plaque 2/@05 17b estradiol 34 dopé/H5_02.tif "/>
    <s v=" 27448.3363 "/>
    <s v=" 68.4949 "/>
    <x v="0"/>
    <n v="1880070"/>
    <m/>
    <m/>
    <m/>
  </r>
  <r>
    <x v="17"/>
    <x v="7"/>
    <s v="F:\images\20210303\plaque 2/@05 17b estradiol 34 dopé/H5_03.tif "/>
    <s v=" 26107.2828 "/>
    <s v=" 69.2775 "/>
    <x v="0"/>
    <n v="1808649"/>
    <m/>
    <m/>
    <m/>
  </r>
  <r>
    <x v="1"/>
    <x v="8"/>
    <s v=" "/>
    <m/>
    <m/>
    <x v="1"/>
    <m/>
    <m/>
    <m/>
    <m/>
  </r>
  <r>
    <x v="1"/>
    <x v="8"/>
    <s v="group "/>
    <s v=" "/>
    <s v=" mean of mean fluo "/>
    <x v="2"/>
    <s v=" mean of total fluo "/>
    <s v=" SD total fluo "/>
    <s v=" n fluorescent "/>
    <s v=" n total"/>
  </r>
  <r>
    <x v="17"/>
    <x v="9"/>
    <s v="F:\images\20210303\plaque 2/@05 17b estradiol 34 dopé/ "/>
    <s v=" "/>
    <s v=" 69.9574 "/>
    <x v="19"/>
    <s v=" 1978817.17 "/>
    <s v=" 1125510.4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8"/>
    <x v="0"/>
    <s v="F:\images\20210303\plaque 2/@06 17b estradiol 68 dopé/A6_01.tif "/>
    <s v=" 67723.2001 "/>
    <s v=" 94.2852 "/>
    <x v="0"/>
    <n v="6385296"/>
    <m/>
    <m/>
    <m/>
  </r>
  <r>
    <x v="18"/>
    <x v="0"/>
    <s v="F:\images\20210303\plaque 2/@06 17b estradiol 68 dopé/A6_02.tif "/>
    <s v=" 66706.595 "/>
    <s v=" 94.0204 "/>
    <x v="0"/>
    <n v="6271783"/>
    <m/>
    <m/>
    <m/>
  </r>
  <r>
    <x v="18"/>
    <x v="0"/>
    <s v="F:\images\20210303\plaque 2/@06 17b estradiol 68 dopé/A6_03.tif "/>
    <s v=" 64759.9045 "/>
    <s v=" 93.8113 "/>
    <x v="0"/>
    <n v="6075210"/>
    <m/>
    <m/>
    <m/>
  </r>
  <r>
    <x v="18"/>
    <x v="1"/>
    <s v="F:\images\20210303\plaque 2/@06 17b estradiol 68 dopé/B6_01.tif "/>
    <s v=" 5558.8829 "/>
    <s v=" 64.2218 "/>
    <x v="0"/>
    <n v="357001"/>
    <m/>
    <m/>
    <m/>
  </r>
  <r>
    <x v="18"/>
    <x v="1"/>
    <s v="F:\images\20210303\plaque 2/@06 17b estradiol 68 dopé/B6_02.tif "/>
    <s v=" 3222.8543 "/>
    <s v=" 64.6779 "/>
    <x v="0"/>
    <n v="208447"/>
    <m/>
    <m/>
    <m/>
  </r>
  <r>
    <x v="18"/>
    <x v="1"/>
    <s v="F:\images\20210303\plaque 2/@06 17b estradiol 68 dopé/B6_03.tif "/>
    <s v=" 3979.9006 "/>
    <s v=" 63.7065 "/>
    <x v="0"/>
    <n v="253546"/>
    <m/>
    <m/>
    <m/>
  </r>
  <r>
    <x v="18"/>
    <x v="2"/>
    <s v="F:\images\20210303\plaque 2/@06 17b estradiol 68 dopé/C6_01.tif "/>
    <s v=" 57773.4486 "/>
    <s v=" 78.4998 "/>
    <x v="0"/>
    <n v="4535205"/>
    <m/>
    <m/>
    <m/>
  </r>
  <r>
    <x v="18"/>
    <x v="2"/>
    <s v="F:\images\20210303\plaque 2/@06 17b estradiol 68 dopé/C6_02.tif "/>
    <s v=" 60585.3349 "/>
    <s v=" 78.523 "/>
    <x v="0"/>
    <n v="4757344"/>
    <m/>
    <m/>
    <m/>
  </r>
  <r>
    <x v="18"/>
    <x v="2"/>
    <s v="F:\images\20210303\plaque 2/@06 17b estradiol 68 dopé/C6_03.tif "/>
    <s v=" 53166.281 "/>
    <s v=" 79.8511 "/>
    <x v="0"/>
    <n v="4245386"/>
    <m/>
    <m/>
    <m/>
  </r>
  <r>
    <x v="18"/>
    <x v="3"/>
    <s v="F:\images\20210303\plaque 2/@06 17b estradiol 68 dopé/D6_01.tif "/>
    <s v=" 15811.453 "/>
    <s v=" 66.6416 "/>
    <x v="0"/>
    <n v="1053700"/>
    <m/>
    <m/>
    <m/>
  </r>
  <r>
    <x v="18"/>
    <x v="3"/>
    <s v="F:\images\20210303\plaque 2/@06 17b estradiol 68 dopé/D6_02- exclu.tif"/>
    <m/>
    <m/>
    <x v="1"/>
    <m/>
    <m/>
    <m/>
    <m/>
  </r>
  <r>
    <x v="18"/>
    <x v="3"/>
    <s v="F:\images\20210303\plaque 2/@06 17b estradiol 68 dopé/D6_03.tif "/>
    <s v=" 37073.6394 "/>
    <s v=" 74.8751 "/>
    <x v="0"/>
    <n v="2775894"/>
    <m/>
    <m/>
    <m/>
  </r>
  <r>
    <x v="18"/>
    <x v="4"/>
    <s v="F:\images\20210303\plaque 2/@06 17b estradiol 68 dopé/E6_01.tif "/>
    <s v=" 52712.0532 "/>
    <s v=" 80.6225 "/>
    <x v="0"/>
    <n v="4249777"/>
    <m/>
    <m/>
    <m/>
  </r>
  <r>
    <x v="18"/>
    <x v="4"/>
    <s v="F:\images\20210303\plaque 2/@06 17b estradiol 68 dopé/E6_02.tif "/>
    <s v=" 54226.1458 "/>
    <s v=" 79.6538 "/>
    <x v="0"/>
    <n v="4319317"/>
    <m/>
    <m/>
    <m/>
  </r>
  <r>
    <x v="18"/>
    <x v="4"/>
    <s v="F:\images\20210303\plaque 2/@06 17b estradiol 68 dopé/E6_03.tif "/>
    <s v=" 53750.2882 "/>
    <s v=" 79.4563 "/>
    <x v="0"/>
    <n v="4270801"/>
    <m/>
    <m/>
    <m/>
  </r>
  <r>
    <x v="18"/>
    <x v="5"/>
    <s v="F:\images\20210303\plaque 2/@06 17b estradiol 68 dopé/F6_01.tif "/>
    <s v=" 31168.6782 "/>
    <s v=" 77.1679 "/>
    <x v="0"/>
    <n v="2405223"/>
    <m/>
    <m/>
    <m/>
  </r>
  <r>
    <x v="18"/>
    <x v="5"/>
    <s v="F:\images\20210303\plaque 2/@06 17b estradiol 68 dopé/F6_02.tif "/>
    <s v=" 33180.2584 "/>
    <s v=" 78.6115 "/>
    <x v="0"/>
    <n v="2608349"/>
    <m/>
    <m/>
    <m/>
  </r>
  <r>
    <x v="18"/>
    <x v="5"/>
    <s v="F:\images\20210303\plaque 2/@06 17b estradiol 68 dopé/F6_03.tif "/>
    <s v=" 31882.4647 "/>
    <s v=" 77.0821 "/>
    <x v="0"/>
    <n v="2457567"/>
    <m/>
    <m/>
    <m/>
  </r>
  <r>
    <x v="18"/>
    <x v="6"/>
    <s v="F:\images\20210303\plaque 2/@06 17b estradiol 68 dopé/G6_01.tif "/>
    <s v=" 58941.4629 "/>
    <s v=" 74.1328 "/>
    <x v="0"/>
    <n v="4369498"/>
    <m/>
    <m/>
    <m/>
  </r>
  <r>
    <x v="18"/>
    <x v="6"/>
    <s v="F:\images\20210303\plaque 2/@06 17b estradiol 68 dopé/G6_02- exclu.tif"/>
    <m/>
    <m/>
    <x v="1"/>
    <m/>
    <m/>
    <m/>
    <m/>
  </r>
  <r>
    <x v="18"/>
    <x v="6"/>
    <s v="F:\images\20210303\plaque 2/@06 17b estradiol 68 dopé/G6_03.tif "/>
    <s v=" 51089.8111 "/>
    <s v=" 75.6503 "/>
    <x v="0"/>
    <n v="3864959"/>
    <m/>
    <m/>
    <m/>
  </r>
  <r>
    <x v="18"/>
    <x v="7"/>
    <s v="F:\images\20210303\plaque 2/@06 17b estradiol 68 dopé/H6_01.tif "/>
    <s v=" 33915.6748 "/>
    <s v=" 71.28 "/>
    <x v="0"/>
    <n v="2417508"/>
    <m/>
    <m/>
    <m/>
  </r>
  <r>
    <x v="18"/>
    <x v="7"/>
    <s v="F:\images\20210303\plaque 2/@06 17b estradiol 68 dopé/H6_02.tif "/>
    <s v=" 27469.9662 "/>
    <s v=" 69.4016 "/>
    <x v="0"/>
    <n v="1906459"/>
    <m/>
    <m/>
    <m/>
  </r>
  <r>
    <x v="18"/>
    <x v="7"/>
    <s v="F:\images\20210303\plaque 2/@06 17b estradiol 68 dopé/H6_03.tif "/>
    <s v=" 38176.764 "/>
    <s v=" 72.1365 "/>
    <x v="0"/>
    <n v="2753940"/>
    <m/>
    <m/>
    <m/>
  </r>
  <r>
    <x v="1"/>
    <x v="8"/>
    <s v=" "/>
    <m/>
    <m/>
    <x v="1"/>
    <m/>
    <m/>
    <m/>
    <m/>
  </r>
  <r>
    <x v="1"/>
    <x v="8"/>
    <s v="group "/>
    <s v=" "/>
    <s v=" mean of mean fluo "/>
    <x v="2"/>
    <s v=" mean of total fluo "/>
    <s v=" SD total fluo "/>
    <s v=" n fluorescent "/>
    <s v=" n total"/>
  </r>
  <r>
    <x v="18"/>
    <x v="9"/>
    <s v="F:\images\20210303\plaque 2/@06 17b estradiol 68 dopé/ "/>
    <s v=" "/>
    <s v=" 76.2203 "/>
    <x v="20"/>
    <s v=" 3233217.71 "/>
    <s v=" 1830252.1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9"/>
    <x v="0"/>
    <s v="F:\images\20210303\plaque 2/@07 17b estradiol 135 dopé/A7_01- exclu.tif"/>
    <m/>
    <m/>
    <x v="1"/>
    <m/>
    <m/>
    <m/>
    <m/>
  </r>
  <r>
    <x v="19"/>
    <x v="0"/>
    <s v="F:\images\20210303\plaque 2/@07 17b estradiol 135 dopé/A7_02- exclu.tif"/>
    <m/>
    <m/>
    <x v="1"/>
    <m/>
    <m/>
    <m/>
    <m/>
  </r>
  <r>
    <x v="19"/>
    <x v="0"/>
    <s v="F:\images\20210303\plaque 2/@07 17b estradiol 135 dopé/A7_03- exclu.tif"/>
    <m/>
    <m/>
    <x v="1"/>
    <m/>
    <m/>
    <m/>
    <m/>
  </r>
  <r>
    <x v="19"/>
    <x v="1"/>
    <s v="F:\images\20210303\plaque 2/@07 17b estradiol 135 dopé/B7_01.tif "/>
    <s v=" 75034.1045 "/>
    <s v=" 84.5601 "/>
    <x v="0"/>
    <n v="6344892"/>
    <m/>
    <m/>
    <m/>
  </r>
  <r>
    <x v="19"/>
    <x v="1"/>
    <s v="F:\images\20210303\plaque 2/@07 17b estradiol 135 dopé/B7_02.tif "/>
    <s v=" 72287.1078 "/>
    <s v=" 81.0676 "/>
    <x v="0"/>
    <n v="5860144"/>
    <m/>
    <m/>
    <m/>
  </r>
  <r>
    <x v="19"/>
    <x v="1"/>
    <s v="F:\images\20210303\plaque 2/@07 17b estradiol 135 dopé/B7_03.tif "/>
    <s v=" 72395.2573 "/>
    <s v=" 81.7308 "/>
    <x v="0"/>
    <n v="5916923"/>
    <m/>
    <m/>
    <m/>
  </r>
  <r>
    <x v="19"/>
    <x v="2"/>
    <s v="F:\images\20210303\plaque 2/@07 17b estradiol 135 dopé/C7_01.tif "/>
    <s v=" 63029.5129 "/>
    <s v=" 84.2121 "/>
    <x v="0"/>
    <n v="5307846"/>
    <m/>
    <m/>
    <m/>
  </r>
  <r>
    <x v="19"/>
    <x v="2"/>
    <s v="F:\images\20210303\plaque 2/@07 17b estradiol 135 dopé/C7_02.tif "/>
    <s v=" 62532.0254 "/>
    <s v=" 84.4625 "/>
    <x v="0"/>
    <n v="5281609"/>
    <m/>
    <m/>
    <m/>
  </r>
  <r>
    <x v="19"/>
    <x v="2"/>
    <s v="F:\images\20210303\plaque 2/@07 17b estradiol 135 dopé/C7_03.tif "/>
    <s v=" 56605.4342 "/>
    <s v=" 85.6439 "/>
    <x v="0"/>
    <n v="4847908"/>
    <m/>
    <m/>
    <m/>
  </r>
  <r>
    <x v="19"/>
    <x v="3"/>
    <s v="F:\images\20210303\plaque 2/@07 17b estradiol 135 dopé/D7_01.tif "/>
    <s v=" 47455.9888 "/>
    <s v=" 80.1851 "/>
    <x v="0"/>
    <n v="3805261"/>
    <m/>
    <m/>
    <m/>
  </r>
  <r>
    <x v="19"/>
    <x v="3"/>
    <s v="F:\images\20210303\plaque 2/@07 17b estradiol 135 dopé/D7_02.tif "/>
    <s v=" 41853.8461 "/>
    <s v=" 82.1959 "/>
    <x v="0"/>
    <n v="3440213"/>
    <m/>
    <m/>
    <m/>
  </r>
  <r>
    <x v="19"/>
    <x v="3"/>
    <s v="F:\images\20210303\plaque 2/@07 17b estradiol 135 dopé/D7_03.tif "/>
    <s v=" 39734.1164 "/>
    <s v=" 84.135 "/>
    <x v="0"/>
    <n v="3343030"/>
    <m/>
    <m/>
    <m/>
  </r>
  <r>
    <x v="19"/>
    <x v="4"/>
    <s v="F:\images\20210303\plaque 2/@07 17b estradiol 135 dopé/E7_01.tif "/>
    <s v=" 57859.9681 "/>
    <s v=" 79.4396 "/>
    <x v="0"/>
    <n v="4596374"/>
    <m/>
    <m/>
    <m/>
  </r>
  <r>
    <x v="19"/>
    <x v="4"/>
    <s v="F:\images\20210303\plaque 2/@07 17b estradiol 135 dopé/E7_02.tif "/>
    <s v=" 56908.2528 "/>
    <s v=" 81.4892 "/>
    <x v="0"/>
    <n v="4637406"/>
    <m/>
    <m/>
    <m/>
  </r>
  <r>
    <x v="19"/>
    <x v="4"/>
    <s v="F:\images\20210303\plaque 2/@07 17b estradiol 135 dopé/E7_03.tif "/>
    <s v=" 57167.8115 "/>
    <s v=" 80.2694 "/>
    <x v="0"/>
    <n v="4588825"/>
    <m/>
    <m/>
    <m/>
  </r>
  <r>
    <x v="19"/>
    <x v="5"/>
    <s v="F:\images\20210303\plaque 2/@07 17b estradiol 135 dopé/F7_01.tif "/>
    <s v=" 21824.5637 "/>
    <s v=" 70.2914 "/>
    <x v="0"/>
    <n v="1534079"/>
    <m/>
    <m/>
    <m/>
  </r>
  <r>
    <x v="19"/>
    <x v="5"/>
    <s v="F:\images\20210303\plaque 2/@07 17b estradiol 135 dopé/F7_02.tif "/>
    <s v=" 25198.8272 "/>
    <s v=" 72.4506 "/>
    <x v="0"/>
    <n v="1825671"/>
    <m/>
    <m/>
    <m/>
  </r>
  <r>
    <x v="19"/>
    <x v="5"/>
    <s v="F:\images\20210303\plaque 2/@07 17b estradiol 135 dopé/F7_03.tif "/>
    <s v=" 16222.421 "/>
    <s v=" 73.516 "/>
    <x v="0"/>
    <n v="1192608"/>
    <m/>
    <m/>
    <m/>
  </r>
  <r>
    <x v="19"/>
    <x v="6"/>
    <s v="F:\images\20210303\plaque 2/@07 17b estradiol 135 dopé/G7_01.tif "/>
    <s v=" 62618.545 "/>
    <s v=" 77.8052 "/>
    <x v="0"/>
    <n v="4872047"/>
    <m/>
    <m/>
    <m/>
  </r>
  <r>
    <x v="19"/>
    <x v="6"/>
    <s v="F:\images\20210303\plaque 2/@07 17b estradiol 135 dopé/G7_02.tif "/>
    <s v=" 60195.9968 "/>
    <s v=" 76.5613 "/>
    <x v="0"/>
    <n v="4608682"/>
    <m/>
    <m/>
    <m/>
  </r>
  <r>
    <x v="19"/>
    <x v="6"/>
    <s v="F:\images\20210303\plaque 2/@07 17b estradiol 135 dopé/G7_03.tif "/>
    <s v=" 60736.7441 "/>
    <s v=" 76.4516 "/>
    <x v="0"/>
    <n v="4643419"/>
    <m/>
    <m/>
    <m/>
  </r>
  <r>
    <x v="19"/>
    <x v="7"/>
    <s v="F:\images\20210303\plaque 2/@07 17b estradiol 135 dopé/H7_01.tif "/>
    <s v=" 36792.4508 "/>
    <s v=" 71.348 "/>
    <x v="0"/>
    <n v="2625069"/>
    <m/>
    <m/>
    <m/>
  </r>
  <r>
    <x v="19"/>
    <x v="7"/>
    <s v="F:\images\20210303\plaque 2/@07 17b estradiol 135 dopé/H7_02.tif "/>
    <s v=" 34867.3901 "/>
    <s v=" 70.2146 "/>
    <x v="0"/>
    <n v="2448201"/>
    <m/>
    <m/>
    <m/>
  </r>
  <r>
    <x v="19"/>
    <x v="7"/>
    <s v="F:\images\20210303\plaque 2/@07 17b estradiol 135 dopé/H7_03.tif "/>
    <s v=" 36576.1518 "/>
    <s v=" 71.5517 "/>
    <x v="0"/>
    <n v="2617087"/>
    <m/>
    <m/>
    <m/>
  </r>
  <r>
    <x v="1"/>
    <x v="8"/>
    <s v=" "/>
    <m/>
    <m/>
    <x v="1"/>
    <m/>
    <m/>
    <m/>
    <m/>
  </r>
  <r>
    <x v="1"/>
    <x v="8"/>
    <s v="group "/>
    <s v=" "/>
    <s v=" mean of mean fluo "/>
    <x v="2"/>
    <s v=" mean of total fluo "/>
    <s v=" SD total fluo "/>
    <s v=" n fluorescent "/>
    <s v=" n total"/>
  </r>
  <r>
    <x v="19"/>
    <x v="9"/>
    <s v="F:\images\20210303\plaque 2/@07 17b estradiol 135 dopé/ "/>
    <s v=" "/>
    <s v=" 76.7927 "/>
    <x v="21"/>
    <n v="3517366"/>
    <s v=" 1942863.0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0"/>
    <x v="0"/>
    <s v="F:\images\20210303\plaque 2/@08 17b estradiol 270 dopé/A8_01.tif "/>
    <s v=" 58876.5732 "/>
    <s v=" 81.5121 "/>
    <x v="0"/>
    <n v="4799155"/>
    <m/>
    <m/>
    <m/>
  </r>
  <r>
    <x v="20"/>
    <x v="0"/>
    <s v="F:\images\20210303\plaque 2/@08 17b estradiol 270 dopé/A8_02.tif "/>
    <s v=" 54355.9252 "/>
    <s v=" 80.5913 "/>
    <x v="0"/>
    <n v="4380616"/>
    <m/>
    <m/>
    <m/>
  </r>
  <r>
    <x v="20"/>
    <x v="0"/>
    <s v="F:\images\20210303\plaque 2/@08 17b estradiol 270 dopé/A8_03.tif "/>
    <s v=" 55177.8612 "/>
    <s v=" 79.3226 "/>
    <x v="0"/>
    <n v="4376852"/>
    <m/>
    <m/>
    <m/>
  </r>
  <r>
    <x v="20"/>
    <x v="1"/>
    <s v="F:\images\20210303\plaque 2/@08 17b estradiol 270 dopé/B8_01.tif "/>
    <s v=" 25393.4963 "/>
    <s v=" 75.1968 "/>
    <x v="0"/>
    <n v="1909509"/>
    <m/>
    <m/>
    <m/>
  </r>
  <r>
    <x v="20"/>
    <x v="1"/>
    <s v="F:\images\20210303\plaque 2/@08 17b estradiol 270 dopé/B8_02.tif "/>
    <s v=" 26561.5106 "/>
    <s v=" 75.3233 "/>
    <x v="0"/>
    <n v="2000700"/>
    <m/>
    <m/>
    <m/>
  </r>
  <r>
    <x v="20"/>
    <x v="1"/>
    <s v="F:\images\20210303\plaque 2/@08 17b estradiol 270 dopé/B8_03.tif "/>
    <s v=" 25847.7241 "/>
    <s v=" 75.5665 "/>
    <x v="0"/>
    <n v="1953223"/>
    <m/>
    <m/>
    <m/>
  </r>
  <r>
    <x v="20"/>
    <x v="2"/>
    <s v="F:\images\20210303\plaque 2/@08 17b estradiol 270 dopé/C8_01.tif "/>
    <s v=" 47607.3981 "/>
    <s v=" 81.8224 "/>
    <x v="0"/>
    <n v="3895349"/>
    <m/>
    <m/>
    <m/>
  </r>
  <r>
    <x v="20"/>
    <x v="2"/>
    <s v="F:\images\20210303\plaque 2/@08 17b estradiol 270 dopé/C8_02.tif "/>
    <s v=" 47780.4372 "/>
    <s v=" 81.1784 "/>
    <x v="0"/>
    <n v="3878738"/>
    <m/>
    <m/>
    <m/>
  </r>
  <r>
    <x v="20"/>
    <x v="2"/>
    <s v="F:\images\20210303\plaque 2/@08 17b estradiol 270 dopé/C8_03.tif "/>
    <s v=" 42416.2234 "/>
    <s v=" 79.5293 "/>
    <x v="0"/>
    <n v="3373333"/>
    <m/>
    <m/>
    <m/>
  </r>
  <r>
    <x v="20"/>
    <x v="3"/>
    <s v="F:\images\20210303\plaque 2/@08 17b estradiol 270 dopé/D8_01- exclu.tif"/>
    <m/>
    <m/>
    <x v="1"/>
    <m/>
    <m/>
    <m/>
    <m/>
  </r>
  <r>
    <x v="20"/>
    <x v="3"/>
    <s v="F:\images\20210303\plaque 2/@08 17b estradiol 270 dopé/D8_02.tif "/>
    <s v=" 37744.1661 "/>
    <s v=" 84.3158 "/>
    <x v="0"/>
    <n v="3182428"/>
    <m/>
    <m/>
    <m/>
  </r>
  <r>
    <x v="20"/>
    <x v="3"/>
    <s v="F:\images\20210303\plaque 2/@08 17b estradiol 270 dopé/D8_03.tif "/>
    <s v=" 39517.8175 "/>
    <s v=" 85.1565 "/>
    <x v="0"/>
    <n v="3365201"/>
    <m/>
    <m/>
    <m/>
  </r>
  <r>
    <x v="20"/>
    <x v="4"/>
    <s v="F:\images\20210303\plaque 2/@08 17b estradiol 270 dopé/E8_01.tif "/>
    <s v=" 32985.5893 "/>
    <s v=" 83.1554 "/>
    <x v="0"/>
    <n v="2742930"/>
    <m/>
    <m/>
    <m/>
  </r>
  <r>
    <x v="20"/>
    <x v="4"/>
    <s v="F:\images\20210303\plaque 2/@08 17b estradiol 270 dopé/E8_02.tif "/>
    <s v=" 30260.2226 "/>
    <s v=" 80.5754 "/>
    <x v="0"/>
    <n v="2438230"/>
    <m/>
    <m/>
    <m/>
  </r>
  <r>
    <x v="20"/>
    <x v="4"/>
    <s v="F:\images\20210303\plaque 2/@08 17b estradiol 270 dopé/E8_03.tif "/>
    <s v=" 33807.5253 "/>
    <s v=" 82.0166 "/>
    <x v="0"/>
    <n v="2772779"/>
    <m/>
    <m/>
    <m/>
  </r>
  <r>
    <x v="20"/>
    <x v="5"/>
    <s v="F:\images\20210303\plaque 2/@08 17b estradiol 270 dopé/F8_01.tif "/>
    <s v=" 38998.7 "/>
    <s v=" 83.1453 "/>
    <x v="0"/>
    <n v="3242559"/>
    <m/>
    <m/>
    <m/>
  </r>
  <r>
    <x v="20"/>
    <x v="5"/>
    <s v="F:\images\20210303\plaque 2/@08 17b estradiol 270 dopé/F8_02.tif "/>
    <s v=" 37982.095 "/>
    <s v=" 84.1036 "/>
    <x v="0"/>
    <n v="3194433"/>
    <m/>
    <m/>
    <m/>
  </r>
  <r>
    <x v="20"/>
    <x v="5"/>
    <s v="F:\images\20210303\plaque 2/@08 17b estradiol 270 dopé/F8_03.tif "/>
    <s v=" 34759.2407 "/>
    <s v=" 83.8942 "/>
    <x v="0"/>
    <n v="2916099"/>
    <m/>
    <m/>
    <m/>
  </r>
  <r>
    <x v="20"/>
    <x v="6"/>
    <s v="F:\images\20210303\plaque 2/@08 17b estradiol 270 dopé/G8_01.tif "/>
    <s v=" 47866.9568 "/>
    <s v=" 89.2671 "/>
    <x v="0"/>
    <n v="4272942"/>
    <m/>
    <m/>
    <m/>
  </r>
  <r>
    <x v="20"/>
    <x v="6"/>
    <s v="F:\images\20210303\plaque 2/@08 17b estradiol 270 dopé/G8_02.tif "/>
    <s v=" 49662.2381 "/>
    <s v=" 89.1511 "/>
    <x v="0"/>
    <n v="4427445"/>
    <m/>
    <m/>
    <m/>
  </r>
  <r>
    <x v="20"/>
    <x v="6"/>
    <s v="F:\images\20210303\plaque 2/@08 17b estradiol 270 dopé/G8_03.tif "/>
    <s v=" 49965.0566 "/>
    <s v=" 87.1636 "/>
    <x v="0"/>
    <n v="4355136"/>
    <m/>
    <m/>
    <m/>
  </r>
  <r>
    <x v="20"/>
    <x v="7"/>
    <s v="F:\images\20210303\plaque 2/@08 17b estradiol 270 dopé/H8_01.tif "/>
    <s v=" 56454.025 "/>
    <s v=" 84.228 "/>
    <x v="0"/>
    <n v="4755008"/>
    <m/>
    <m/>
    <m/>
  </r>
  <r>
    <x v="20"/>
    <x v="7"/>
    <s v="F:\images\20210303\plaque 2/@08 17b estradiol 270 dopé/H8_02.tif "/>
    <s v=" 52128.0461 "/>
    <s v=" 85.8589 "/>
    <x v="0"/>
    <n v="4475658"/>
    <m/>
    <m/>
    <m/>
  </r>
  <r>
    <x v="20"/>
    <x v="7"/>
    <s v="F:\images\20210303\plaque 2/@08 17b estradiol 270 dopé/H8_03.tif "/>
    <s v=" 49683.868 "/>
    <s v=" 83.202 "/>
    <x v="0"/>
    <n v="4133797"/>
    <m/>
    <m/>
    <m/>
  </r>
  <r>
    <x v="1"/>
    <x v="8"/>
    <s v=" "/>
    <m/>
    <m/>
    <x v="1"/>
    <m/>
    <m/>
    <m/>
    <m/>
  </r>
  <r>
    <x v="1"/>
    <x v="8"/>
    <s v="group "/>
    <s v=" "/>
    <s v=" mean of mean fluo "/>
    <x v="2"/>
    <s v=" mean of total fluo "/>
    <s v=" SD total fluo "/>
    <s v=" n fluorescent "/>
    <s v=" n total"/>
  </r>
  <r>
    <x v="20"/>
    <x v="9"/>
    <s v="F:\images\20210303\plaque 2/@08 17b estradiol 270 dopé/ "/>
    <s v=" "/>
    <s v=" 82.3995 "/>
    <x v="22"/>
    <s v=" 3483554.88 "/>
    <s v=" 914161.27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1"/>
    <x v="0"/>
    <s v="F:\images\20210303\plaque 2/@09 17b estradiol 540 dopé/A9_01- exclu.tif"/>
    <m/>
    <m/>
    <x v="1"/>
    <m/>
    <m/>
    <m/>
    <m/>
  </r>
  <r>
    <x v="21"/>
    <x v="0"/>
    <s v="F:\images\20210303\plaque 2/@09 17b estradiol 540 dopé/A9_02- exclu.tif"/>
    <m/>
    <m/>
    <x v="1"/>
    <m/>
    <m/>
    <m/>
    <m/>
  </r>
  <r>
    <x v="21"/>
    <x v="0"/>
    <s v="F:\images\20210303\plaque 2/@09 17b estradiol 540 dopé/A9_03- exclu.tif"/>
    <m/>
    <m/>
    <x v="1"/>
    <m/>
    <m/>
    <m/>
    <m/>
  </r>
  <r>
    <x v="21"/>
    <x v="1"/>
    <s v="F:\images\20210303\plaque 2/@09 17b estradiol 540 dopé/B9_01.tif "/>
    <s v=" 57038.0321 "/>
    <s v=" 93.7649 "/>
    <x v="0"/>
    <n v="5348164"/>
    <m/>
    <m/>
    <m/>
  </r>
  <r>
    <x v="21"/>
    <x v="1"/>
    <s v="F:\images\20210303\plaque 2/@09 17b estradiol 540 dopé/B9_02.tif "/>
    <s v=" 58487.2351 "/>
    <s v=" 90.534 "/>
    <x v="0"/>
    <n v="5295085"/>
    <m/>
    <m/>
    <m/>
  </r>
  <r>
    <x v="21"/>
    <x v="1"/>
    <s v="F:\images\20210303\plaque 2/@09 17b estradiol 540 dopé/B9_03.tif "/>
    <s v=" 56518.9147 "/>
    <s v=" 92.7754 "/>
    <x v="0"/>
    <n v="5243562"/>
    <m/>
    <m/>
    <m/>
  </r>
  <r>
    <x v="21"/>
    <x v="2"/>
    <s v="F:\images\20210303\plaque 2/@09 17b estradiol 540 dopé/C9_01.tif "/>
    <s v=" 41983.6255 "/>
    <s v=" 79.7687 "/>
    <x v="0"/>
    <n v="3348978"/>
    <m/>
    <m/>
    <m/>
  </r>
  <r>
    <x v="21"/>
    <x v="2"/>
    <s v="F:\images\20210303\plaque 2/@09 17b estradiol 540 dopé/C9_02.tif "/>
    <s v=" 44795.5118 "/>
    <s v=" 78.5896 "/>
    <x v="0"/>
    <n v="3520460"/>
    <m/>
    <m/>
    <m/>
  </r>
  <r>
    <x v="21"/>
    <x v="2"/>
    <s v="F:\images\20210303\plaque 2/@09 17b estradiol 540 dopé/C9_03.tif "/>
    <s v=" 42956.9707 "/>
    <s v=" 81.4602 "/>
    <x v="0"/>
    <n v="3499284"/>
    <m/>
    <m/>
    <m/>
  </r>
  <r>
    <x v="21"/>
    <x v="3"/>
    <s v="F:\images\20210303\plaque 2/@09 17b estradiol 540 dopé/D9_01.tif "/>
    <s v=" 51133.0709 "/>
    <s v=" 90.5042 "/>
    <x v="0"/>
    <n v="4627759"/>
    <m/>
    <m/>
    <m/>
  </r>
  <r>
    <x v="21"/>
    <x v="3"/>
    <s v="F:\images\20210303\plaque 2/@09 17b estradiol 540 dopé/D9_02.tif "/>
    <s v=" 53533.9892 "/>
    <s v=" 90.6642 "/>
    <x v="0"/>
    <n v="4853619"/>
    <m/>
    <m/>
    <m/>
  </r>
  <r>
    <x v="21"/>
    <x v="3"/>
    <s v="F:\images\20210303\plaque 2/@09 17b estradiol 540 dopé/D9_03.tif "/>
    <s v=" 48840.3021 "/>
    <s v=" 92.4446 "/>
    <x v="0"/>
    <n v="4515024"/>
    <m/>
    <m/>
    <m/>
  </r>
  <r>
    <x v="21"/>
    <x v="4"/>
    <s v="F:\images\20210303\plaque 2/@09 17b estradiol 540 dopé/E9_01.tif "/>
    <s v=" 69367.0721 "/>
    <s v=" 89.9819 "/>
    <x v="0"/>
    <n v="6241782"/>
    <m/>
    <m/>
    <m/>
  </r>
  <r>
    <x v="21"/>
    <x v="4"/>
    <s v="F:\images\20210303\plaque 2/@09 17b estradiol 540 dopé/E9_02.tif "/>
    <s v=" 67160.8228 "/>
    <s v=" 93.0969 "/>
    <x v="0"/>
    <n v="6252467"/>
    <m/>
    <m/>
    <m/>
  </r>
  <r>
    <x v="21"/>
    <x v="4"/>
    <s v="F:\images\20210303\plaque 2/@09 17b estradiol 540 dopé/E9_03.tif "/>
    <s v=" 72957.6346 "/>
    <s v=" 89.6822 "/>
    <x v="0"/>
    <n v="6543000"/>
    <m/>
    <m/>
    <m/>
  </r>
  <r>
    <x v="21"/>
    <x v="5"/>
    <s v="F:\images\20210303\plaque 2/@09 17b estradiol 540 dopé/F9_01.tif "/>
    <s v=" 71119.0935 "/>
    <s v=" 88.7354 "/>
    <x v="0"/>
    <n v="6310781"/>
    <m/>
    <m/>
    <m/>
  </r>
  <r>
    <x v="21"/>
    <x v="5"/>
    <s v="F:\images\20210303\plaque 2/@09 17b estradiol 540 dopé/F9_02.tif "/>
    <s v=" 73260.4531 "/>
    <s v=" 92.3472 "/>
    <x v="0"/>
    <n v="6765398"/>
    <m/>
    <m/>
    <m/>
  </r>
  <r>
    <x v="21"/>
    <x v="5"/>
    <s v="F:\images\20210303\plaque 2/@09 17b estradiol 540 dopé/F9_03.tif "/>
    <s v=" 67766.4599 "/>
    <s v=" 92.3224 "/>
    <x v="0"/>
    <n v="6256361"/>
    <m/>
    <m/>
    <m/>
  </r>
  <r>
    <x v="21"/>
    <x v="6"/>
    <s v="F:\images\20210303\plaque 2/@09 17b estradiol 540 dopé/G9_01.tif "/>
    <s v=" 63310.7016 "/>
    <s v=" 85.9163 "/>
    <x v="0"/>
    <n v="5439421"/>
    <m/>
    <m/>
    <m/>
  </r>
  <r>
    <x v="21"/>
    <x v="6"/>
    <s v="F:\images\20210303\plaque 2/@09 17b estradiol 540 dopé/G9_02.tif "/>
    <s v=" 52776.9429 "/>
    <s v=" 86.3033 "/>
    <x v="0"/>
    <n v="4554823"/>
    <m/>
    <m/>
    <m/>
  </r>
  <r>
    <x v="21"/>
    <x v="6"/>
    <s v="F:\images\20210303\plaque 2/@09 17b estradiol 540 dopé/G9_03.tif "/>
    <s v=" 57708.5589 "/>
    <s v=" 83.7627 "/>
    <x v="0"/>
    <n v="4833827"/>
    <m/>
    <m/>
    <m/>
  </r>
  <r>
    <x v="21"/>
    <x v="7"/>
    <s v="F:\images\20210303\plaque 2/@09 17b estradiol 540 dopé/H9_01.tif "/>
    <s v=" 68653.2856 "/>
    <s v=" 100.3778 "/>
    <x v="0"/>
    <n v="6891263"/>
    <m/>
    <m/>
    <m/>
  </r>
  <r>
    <x v="21"/>
    <x v="7"/>
    <s v="F:\images\20210303\plaque 2/@09 17b estradiol 540 dopé/H9_02.tif "/>
    <s v=" 68847.9546 "/>
    <s v=" 99.9079 "/>
    <x v="0"/>
    <n v="6878458"/>
    <m/>
    <m/>
    <m/>
  </r>
  <r>
    <x v="21"/>
    <x v="7"/>
    <s v="F:\images\20210303\plaque 2/@09 17b estradiol 540 dopé/H9_03.tif "/>
    <s v=" 66122.5879 "/>
    <s v=" 102.4917 "/>
    <x v="0"/>
    <n v="6777014"/>
    <m/>
    <m/>
    <m/>
  </r>
  <r>
    <x v="1"/>
    <x v="8"/>
    <s v=" "/>
    <m/>
    <m/>
    <x v="1"/>
    <m/>
    <m/>
    <m/>
    <m/>
  </r>
  <r>
    <x v="1"/>
    <x v="8"/>
    <s v="group "/>
    <s v=" "/>
    <s v=" mean of mean fluo "/>
    <x v="2"/>
    <s v=" mean of total fluo "/>
    <s v=" SD total fluo "/>
    <s v=" n fluorescent "/>
    <s v=" n total"/>
  </r>
  <r>
    <x v="21"/>
    <x v="9"/>
    <s v="F:\images\20210303\plaque 2/@09 17b estradiol 540 dopé/ "/>
    <s v=" "/>
    <s v=" 86.9914 "/>
    <x v="23"/>
    <s v=" 4789701.33 "/>
    <s v=" 2034708.16 "/>
    <n v="24"/>
    <n v="24"/>
  </r>
  <r>
    <x v="1"/>
    <x v="8"/>
    <s v=" "/>
    <m/>
    <m/>
    <x v="1"/>
    <m/>
    <m/>
    <m/>
    <m/>
  </r>
  <r>
    <x v="1"/>
    <x v="8"/>
    <s v=" "/>
    <m/>
    <m/>
    <x v="1"/>
    <m/>
    <m/>
    <m/>
    <m/>
  </r>
  <r>
    <x v="1"/>
    <x v="8"/>
    <s v=" "/>
    <m/>
    <m/>
    <x v="1"/>
    <m/>
    <m/>
    <m/>
    <m/>
  </r>
  <r>
    <x v="1"/>
    <x v="8"/>
    <s v=" "/>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x v="0"/>
    <m/>
    <m/>
    <s v="Témoin solvant"/>
    <x v="0"/>
  </r>
  <r>
    <x v="1"/>
    <x v="0"/>
    <n v="22.5"/>
    <s v="ng/L"/>
    <s v="EE2"/>
    <x v="0"/>
  </r>
  <r>
    <x v="2"/>
    <x v="0"/>
    <n v="33.799999999999997"/>
    <s v="ng/L"/>
    <s v="EE2"/>
    <x v="0"/>
  </r>
  <r>
    <x v="3"/>
    <x v="0"/>
    <n v="50.6"/>
    <s v="ng/L"/>
    <s v="EE2"/>
    <x v="0"/>
  </r>
  <r>
    <x v="4"/>
    <x v="0"/>
    <n v="76"/>
    <s v="ng/L"/>
    <s v="EE2"/>
    <x v="0"/>
  </r>
  <r>
    <x v="5"/>
    <x v="0"/>
    <n v="114"/>
    <s v="ng/L"/>
    <s v="EE2"/>
    <x v="0"/>
  </r>
  <r>
    <x v="6"/>
    <x v="0"/>
    <n v="170.9"/>
    <s v="ng/L"/>
    <s v="EE2"/>
    <x v="0"/>
  </r>
  <r>
    <x v="7"/>
    <x v="0"/>
    <n v="488"/>
    <s v="ng/L"/>
    <s v="EE2"/>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9"/>
    <x v="0"/>
    <n v="30"/>
    <s v="µg/L"/>
    <s v="Testo "/>
    <x v="0"/>
  </r>
  <r>
    <x v="10"/>
    <x v="0"/>
    <n v="64"/>
    <s v="ng/L"/>
    <s v="Testo 30µg/L + EE2 "/>
    <x v="0"/>
  </r>
  <r>
    <x v="11"/>
    <x v="0"/>
    <n v="10"/>
    <s v="mg/L"/>
    <s v="Testo 30µg/L + FAD"/>
    <x v="0"/>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eau croisé dynamique3" cacheId="0" applyNumberFormats="0" applyBorderFormats="0" applyFontFormats="0" applyPatternFormats="0" applyAlignmentFormats="0" applyWidthHeightFormats="1" dataCaption="Valeurs" updatedVersion="6" minRefreshableVersion="3" rowGrandTotals="0" colGrandTotals="0" itemPrintTitles="1" createdVersion="5" indent="0" outline="1" outlineData="1" multipleFieldFilters="0">
  <location ref="K3:AF12" firstHeaderRow="1" firstDataRow="2" firstDataCol="1" rowPageCount="1" colPageCount="1"/>
  <pivotFields count="10">
    <pivotField axis="axisCol" subtotalTop="0" showAll="0">
      <items count="24">
        <item h="1" m="1" x="22"/>
        <item h="1" x="1"/>
        <item x="0"/>
        <item x="2"/>
        <item x="3"/>
        <item x="4"/>
        <item x="5"/>
        <item x="6"/>
        <item x="7"/>
        <item x="8"/>
        <item x="9"/>
        <item x="10"/>
        <item x="11"/>
        <item x="12"/>
        <item x="13"/>
        <item x="14"/>
        <item x="15"/>
        <item x="16"/>
        <item x="17"/>
        <item x="18"/>
        <item x="19"/>
        <item x="20"/>
        <item x="21"/>
        <item t="default"/>
      </items>
    </pivotField>
    <pivotField axis="axisRow" subtotalTop="0" showAll="0" sortType="ascending">
      <items count="11">
        <item h="1" x="9"/>
        <item x="0"/>
        <item x="1"/>
        <item x="2"/>
        <item x="3"/>
        <item x="4"/>
        <item x="5"/>
        <item x="6"/>
        <item x="7"/>
        <item h="1" x="8"/>
        <item t="default"/>
      </items>
    </pivotField>
    <pivotField subtotalTop="0" showAll="0"/>
    <pivotField subtotalTop="0" showAll="0"/>
    <pivotField subtotalTop="0" showAll="0"/>
    <pivotField axis="axisPage" subtotalTop="0" showAll="0">
      <items count="25">
        <item x="1"/>
        <item x="0"/>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 showAll="0"/>
  </pivotFields>
  <rowFields count="1">
    <field x="1"/>
  </rowFields>
  <rowItems count="8">
    <i>
      <x v="1"/>
    </i>
    <i>
      <x v="2"/>
    </i>
    <i>
      <x v="3"/>
    </i>
    <i>
      <x v="4"/>
    </i>
    <i>
      <x v="5"/>
    </i>
    <i>
      <x v="6"/>
    </i>
    <i>
      <x v="7"/>
    </i>
    <i>
      <x v="8"/>
    </i>
  </rowItems>
  <colFields count="1">
    <field x="0"/>
  </colFields>
  <colItems count="21">
    <i>
      <x v="2"/>
    </i>
    <i>
      <x v="3"/>
    </i>
    <i>
      <x v="4"/>
    </i>
    <i>
      <x v="5"/>
    </i>
    <i>
      <x v="6"/>
    </i>
    <i>
      <x v="7"/>
    </i>
    <i>
      <x v="8"/>
    </i>
    <i>
      <x v="9"/>
    </i>
    <i>
      <x v="10"/>
    </i>
    <i>
      <x v="11"/>
    </i>
    <i>
      <x v="12"/>
    </i>
    <i>
      <x v="13"/>
    </i>
    <i>
      <x v="14"/>
    </i>
    <i>
      <x v="15"/>
    </i>
    <i>
      <x v="16"/>
    </i>
    <i>
      <x v="17"/>
    </i>
    <i>
      <x v="18"/>
    </i>
    <i>
      <x v="19"/>
    </i>
    <i>
      <x v="20"/>
    </i>
    <i>
      <x v="21"/>
    </i>
    <i>
      <x v="22"/>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Tableau croisé dynamique3" cacheId="1" applyNumberFormats="0" applyBorderFormats="0" applyFontFormats="0" applyPatternFormats="0" applyAlignmentFormats="0" applyWidthHeightFormats="1" dataCaption="Valeurs" updatedVersion="6" minRefreshableVersion="3" rowGrandTotals="0" colGrandTotals="0" itemPrintTitles="1" createdVersion="5" indent="0" outline="1" outlineData="1" multipleFieldFilters="0">
  <location ref="K3:AF12" firstHeaderRow="1" firstDataRow="2" firstDataCol="1" rowPageCount="1" colPageCount="1"/>
  <pivotFields count="10">
    <pivotField axis="axisCol" subtotalTop="0" showAll="0">
      <items count="23">
        <item h="1" x="1"/>
        <item x="0"/>
        <item x="2"/>
        <item x="3"/>
        <item x="4"/>
        <item x="5"/>
        <item x="6"/>
        <item x="7"/>
        <item x="8"/>
        <item x="9"/>
        <item x="10"/>
        <item x="11"/>
        <item x="12"/>
        <item x="13"/>
        <item x="14"/>
        <item x="15"/>
        <item x="16"/>
        <item x="17"/>
        <item x="18"/>
        <item x="19"/>
        <item x="20"/>
        <item x="21"/>
        <item t="default"/>
      </items>
    </pivotField>
    <pivotField axis="axisRow" subtotalTop="0" showAll="0">
      <items count="11">
        <item h="1" x="8"/>
        <item x="0"/>
        <item x="1"/>
        <item x="2"/>
        <item x="3"/>
        <item x="4"/>
        <item x="5"/>
        <item x="6"/>
        <item x="7"/>
        <item h="1" x="9"/>
        <item t="default"/>
      </items>
    </pivotField>
    <pivotField subtotalTop="0" showAll="0"/>
    <pivotField subtotalTop="0" showAll="0"/>
    <pivotField subtotalTop="0" showAll="0"/>
    <pivotField axis="axisPage" subtotalTop="0" showAll="0">
      <items count="25">
        <item x="1"/>
        <item x="0"/>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 showAll="0"/>
  </pivotFields>
  <rowFields count="1">
    <field x="1"/>
  </rowFields>
  <rowItems count="8">
    <i>
      <x v="1"/>
    </i>
    <i>
      <x v="2"/>
    </i>
    <i>
      <x v="3"/>
    </i>
    <i>
      <x v="4"/>
    </i>
    <i>
      <x v="5"/>
    </i>
    <i>
      <x v="6"/>
    </i>
    <i>
      <x v="7"/>
    </i>
    <i>
      <x v="8"/>
    </i>
  </rowItems>
  <colFields count="1">
    <field x="0"/>
  </colFields>
  <colItems count="21">
    <i>
      <x v="1"/>
    </i>
    <i>
      <x v="2"/>
    </i>
    <i>
      <x v="3"/>
    </i>
    <i>
      <x v="4"/>
    </i>
    <i>
      <x v="5"/>
    </i>
    <i>
      <x v="6"/>
    </i>
    <i>
      <x v="7"/>
    </i>
    <i>
      <x v="8"/>
    </i>
    <i>
      <x v="9"/>
    </i>
    <i>
      <x v="10"/>
    </i>
    <i>
      <x v="11"/>
    </i>
    <i>
      <x v="12"/>
    </i>
    <i>
      <x v="13"/>
    </i>
    <i>
      <x v="14"/>
    </i>
    <i>
      <x v="15"/>
    </i>
    <i>
      <x v="16"/>
    </i>
    <i>
      <x v="17"/>
    </i>
    <i>
      <x v="18"/>
    </i>
    <i>
      <x v="19"/>
    </i>
    <i>
      <x v="20"/>
    </i>
    <i>
      <x v="2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Tableau croisé dynamique3" cacheId="2" applyNumberFormats="0" applyBorderFormats="0" applyFontFormats="0" applyPatternFormats="0" applyAlignmentFormats="0" applyWidthHeightFormats="1" dataCaption="Valeurs" updatedVersion="6" minRefreshableVersion="3" rowGrandTotals="0" colGrandTotals="0" itemPrintTitles="1" createdVersion="5" indent="0" outline="1" outlineData="1" multipleFieldFilters="0">
  <location ref="K3:AF12" firstHeaderRow="1" firstDataRow="2" firstDataCol="1" rowPageCount="1" colPageCount="1"/>
  <pivotFields count="10">
    <pivotField axis="axisCol" subtotalTop="0" showAll="0">
      <items count="23">
        <item h="1" x="1"/>
        <item x="0"/>
        <item x="2"/>
        <item x="3"/>
        <item x="4"/>
        <item x="5"/>
        <item x="6"/>
        <item x="7"/>
        <item x="8"/>
        <item x="9"/>
        <item x="10"/>
        <item x="11"/>
        <item x="12"/>
        <item x="13"/>
        <item x="14"/>
        <item x="15"/>
        <item x="16"/>
        <item x="17"/>
        <item x="18"/>
        <item x="19"/>
        <item x="20"/>
        <item x="21"/>
        <item t="default"/>
      </items>
    </pivotField>
    <pivotField axis="axisRow" subtotalTop="0" showAll="0">
      <items count="11">
        <item h="1" x="8"/>
        <item x="0"/>
        <item x="1"/>
        <item x="2"/>
        <item x="3"/>
        <item x="4"/>
        <item x="5"/>
        <item x="6"/>
        <item x="7"/>
        <item h="1" x="9"/>
        <item t="default"/>
      </items>
    </pivotField>
    <pivotField subtotalTop="0" showAll="0"/>
    <pivotField subtotalTop="0" showAll="0"/>
    <pivotField subtotalTop="0" showAll="0"/>
    <pivotField axis="axisPage" subtotalTop="0" showAll="0">
      <items count="25">
        <item x="1"/>
        <item x="0"/>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 showAll="0"/>
  </pivotFields>
  <rowFields count="1">
    <field x="1"/>
  </rowFields>
  <rowItems count="8">
    <i>
      <x v="1"/>
    </i>
    <i>
      <x v="2"/>
    </i>
    <i>
      <x v="3"/>
    </i>
    <i>
      <x v="4"/>
    </i>
    <i>
      <x v="5"/>
    </i>
    <i>
      <x v="6"/>
    </i>
    <i>
      <x v="7"/>
    </i>
    <i>
      <x v="8"/>
    </i>
  </rowItems>
  <colFields count="1">
    <field x="0"/>
  </colFields>
  <colItems count="21">
    <i>
      <x v="1"/>
    </i>
    <i>
      <x v="2"/>
    </i>
    <i>
      <x v="3"/>
    </i>
    <i>
      <x v="4"/>
    </i>
    <i>
      <x v="5"/>
    </i>
    <i>
      <x v="6"/>
    </i>
    <i>
      <x v="7"/>
    </i>
    <i>
      <x v="8"/>
    </i>
    <i>
      <x v="9"/>
    </i>
    <i>
      <x v="10"/>
    </i>
    <i>
      <x v="11"/>
    </i>
    <i>
      <x v="12"/>
    </i>
    <i>
      <x v="13"/>
    </i>
    <i>
      <x v="14"/>
    </i>
    <i>
      <x v="15"/>
    </i>
    <i>
      <x v="16"/>
    </i>
    <i>
      <x v="17"/>
    </i>
    <i>
      <x v="18"/>
    </i>
    <i>
      <x v="19"/>
    </i>
    <i>
      <x v="20"/>
    </i>
    <i>
      <x v="2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EAF9C9-0BF8-4385-8AFD-DA7A17EBEF6D}" name="Tableau croisé dynamique3" cacheId="3" applyNumberFormats="0" applyBorderFormats="0" applyFontFormats="0" applyPatternFormats="0" applyAlignmentFormats="0" applyWidthHeightFormats="1" dataCaption="Valeurs" updatedVersion="6" minRefreshableVersion="3" rowGrandTotals="0" colGrandTotals="0" itemPrintTitles="1" createdVersion="5" indent="0" outline="1" outlineData="1" multipleFieldFilters="0">
  <location ref="U5:U6" firstHeaderRow="1" firstDataRow="1" firstDataCol="1" rowPageCount="2" colPageCount="1"/>
  <pivotFields count="6">
    <pivotField axis="axisRow" showAll="0" defaultSubtotal="0">
      <items count="13">
        <item x="12"/>
        <item x="8"/>
        <item x="1"/>
        <item x="2"/>
        <item x="3"/>
        <item x="4"/>
        <item x="5"/>
        <item x="6"/>
        <item x="7"/>
        <item x="10"/>
        <item x="11"/>
        <item x="9"/>
        <item x="0"/>
      </items>
    </pivotField>
    <pivotField axis="axisPage" multipleItemSelectionAllowed="1" showAll="0" defaultSubtotal="0">
      <items count="3">
        <item x="2"/>
        <item h="1" x="0"/>
        <item x="1"/>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i>
  </rowItems>
  <colItems count="1">
    <i/>
  </colItems>
  <pageFields count="2">
    <pageField fld="1" hier="-1"/>
    <pageField fld="5" item="0"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7EBC52-00CD-4364-A425-54249E53BA82}" name="Tableau croisé dynamique2" cacheId="3" applyNumberFormats="0" applyBorderFormats="0" applyFontFormats="0" applyPatternFormats="0" applyAlignmentFormats="0" applyWidthHeightFormats="1" dataCaption="Valeurs" updatedVersion="6" minRefreshableVersion="3" rowGrandTotals="0" colGrandTotals="0" itemPrintTitles="1" createdVersion="5" indent="0" outline="1" outlineData="1" multipleFieldFilters="0">
  <location ref="Q5:Q6" firstHeaderRow="1" firstDataRow="1" firstDataCol="1" rowPageCount="2" colPageCount="1"/>
  <pivotFields count="6">
    <pivotField axis="axisRow" showAll="0" defaultSubtotal="0">
      <items count="13">
        <item x="12"/>
        <item x="8"/>
        <item x="1"/>
        <item x="2"/>
        <item x="3"/>
        <item x="4"/>
        <item x="5"/>
        <item x="6"/>
        <item x="7"/>
        <item x="10"/>
        <item x="11"/>
        <item x="9"/>
        <item x="0"/>
      </items>
    </pivotField>
    <pivotField axis="axisPage" multipleItemSelectionAllowed="1" showAll="0" defaultSubtotal="0">
      <items count="3">
        <item x="2"/>
        <item x="1"/>
        <item h="1" x="0"/>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v="1"/>
    </i>
  </rowItems>
  <colItems count="1">
    <i/>
  </colItems>
  <pageFields count="2">
    <pageField fld="1" hier="-1"/>
    <pageField fld="5" item="1"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_groupe" displayName="liste_groupe" ref="A6:F58" totalsRowShown="0" headerRowDxfId="41" dataDxfId="40" tableBorderDxfId="39">
  <autoFilter ref="A6:F58" xr:uid="{00000000-0009-0000-0100-000001000000}"/>
  <tableColumns count="6">
    <tableColumn id="4" xr3:uid="{00000000-0010-0000-0000-000004000000}" name="Nom sur le graphique" dataDxfId="38">
      <calculatedColumnFormula>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calculatedColumnFormula>
    </tableColumn>
    <tableColumn id="1" xr3:uid="{00000000-0010-0000-0000-000001000000}" name="Code WF" dataDxfId="37">
      <calculatedColumnFormula>A2</calculatedColumnFormula>
    </tableColumn>
    <tableColumn id="2" xr3:uid="{00000000-0010-0000-0000-000002000000}" name="Concentration" dataDxfId="36">
      <calculatedColumnFormula>B2</calculatedColumnFormula>
    </tableColumn>
    <tableColumn id="10" xr3:uid="{00000000-0010-0000-0000-00000A000000}" name="Unité" dataDxfId="35"/>
    <tableColumn id="3" xr3:uid="{00000000-0010-0000-0000-000003000000}" name="Nom de l'échantillon donné par le client" dataDxfId="34">
      <calculatedColumnFormula>C2</calculatedColumnFormula>
    </tableColumn>
    <tableColumn id="9" xr3:uid="{00000000-0010-0000-0000-000009000000}" name="Dopage (+Testostérone / + EE2, ….)" dataDxfId="33"/>
  </tableColumns>
  <tableStyleInfo name="TableStyleLight15"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eau7" displayName="Tableau7" ref="A1:I7" totalsRowShown="0">
  <autoFilter ref="A1:I7" xr:uid="{00000000-0009-0000-0100-000007000000}"/>
  <tableColumns count="9">
    <tableColumn id="1" xr3:uid="{00000000-0010-0000-0100-000001000000}" name="Nom groupe"/>
    <tableColumn id="2" xr3:uid="{00000000-0010-0000-0100-000002000000}" name="N° de valeur"/>
    <tableColumn id="3" xr3:uid="{00000000-0010-0000-0100-000003000000}" name="file name"/>
    <tableColumn id="4" xr3:uid="{00000000-0010-0000-0100-000004000000}" name=" total area "/>
    <tableColumn id="5" xr3:uid="{00000000-0010-0000-0100-000005000000}" name=" mean intensity "/>
    <tableColumn id="6" xr3:uid="{00000000-0010-0000-0100-000006000000}" name=" "/>
    <tableColumn id="7" xr3:uid="{00000000-0010-0000-0100-000007000000}" name=" total fluorescence"/>
    <tableColumn id="8" xr3:uid="{00000000-0010-0000-0100-000008000000}" name="         "/>
    <tableColumn id="9" xr3:uid="{00000000-0010-0000-0100-000009000000}" name="nbre de larv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au4" displayName="Tableau4" ref="A1:J1557" totalsRowShown="0">
  <autoFilter ref="A1:J1557" xr:uid="{00000000-0009-0000-0100-000004000000}"/>
  <tableColumns count="10">
    <tableColumn id="1" xr3:uid="{00000000-0010-0000-0200-000001000000}" name="Nom groupe" dataDxfId="30">
      <calculatedColumnFormula>IFERROR(LEFT(RIGHT(C2,LEN(C2)-SEARCH("@",C2)),SEARCH("/",RIGHT(C2,LEN(C2)-SEARCH("@",C2)-1))),"")</calculatedColumnFormula>
    </tableColumn>
    <tableColumn id="2" xr3:uid="{00000000-0010-0000-0200-000002000000}" name="N° de valeur" dataDxfId="29">
      <calculatedColumnFormula>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calculatedColumnFormula>
    </tableColumn>
    <tableColumn id="3" xr3:uid="{00000000-0010-0000-0200-000003000000}" name="file name"/>
    <tableColumn id="4" xr3:uid="{00000000-0010-0000-0200-000004000000}" name=" total area "/>
    <tableColumn id="5" xr3:uid="{00000000-0010-0000-0200-000005000000}" name=" mean intensity "/>
    <tableColumn id="6" xr3:uid="{00000000-0010-0000-0200-000006000000}" name=" "/>
    <tableColumn id="7" xr3:uid="{00000000-0010-0000-0200-000007000000}" name=" total fluorescence"/>
    <tableColumn id="8" xr3:uid="{00000000-0010-0000-0200-000008000000}" name="         "/>
    <tableColumn id="9" xr3:uid="{00000000-0010-0000-0200-000009000000}" name="nbre de larves"/>
    <tableColumn id="10" xr3:uid="{E3C27B4D-F869-4454-B583-911FADED3B56}" name="Colonne1"/>
  </tableColumns>
  <tableStyleInfo name="TableStyleLight16"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au46" displayName="Tableau46" ref="A1:J1531" totalsRowShown="0">
  <autoFilter ref="A1:J1531" xr:uid="{00000000-0009-0000-0100-000005000000}"/>
  <tableColumns count="10">
    <tableColumn id="1" xr3:uid="{00000000-0010-0000-0300-000001000000}" name="Nom groupe" dataDxfId="26">
      <calculatedColumnFormula>IFERROR(LEFT(RIGHT(C2,LEN(C2)-SEARCH("@",C2)),SEARCH("/",RIGHT(C2,LEN(C2)-SEARCH("@",C2)-1))),"")</calculatedColumnFormula>
    </tableColumn>
    <tableColumn id="2" xr3:uid="{00000000-0010-0000-0300-000002000000}" name="N° de valeur" dataDxfId="25">
      <calculatedColumnFormula>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calculatedColumnFormula>
    </tableColumn>
    <tableColumn id="3" xr3:uid="{00000000-0010-0000-0300-000003000000}" name="file name"/>
    <tableColumn id="4" xr3:uid="{00000000-0010-0000-0300-000004000000}" name=" total area "/>
    <tableColumn id="5" xr3:uid="{00000000-0010-0000-0300-000005000000}" name=" mean intensity "/>
    <tableColumn id="6" xr3:uid="{00000000-0010-0000-0300-000006000000}" name=" "/>
    <tableColumn id="7" xr3:uid="{00000000-0010-0000-0300-000007000000}" name=" total fluorescence"/>
    <tableColumn id="8" xr3:uid="{00000000-0010-0000-0300-000008000000}" name="         "/>
    <tableColumn id="9" xr3:uid="{00000000-0010-0000-0300-000009000000}" name="nbre de larves"/>
    <tableColumn id="10" xr3:uid="{77E407E3-088E-4B42-89D9-43413721A3C0}" name="Colonne1"/>
  </tableColumns>
  <tableStyleInfo name="TableStyleLight16"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au467" displayName="Tableau467" ref="A1:J1711" totalsRowShown="0">
  <autoFilter ref="A1:J1711" xr:uid="{00000000-0009-0000-0100-000006000000}"/>
  <tableColumns count="10">
    <tableColumn id="1" xr3:uid="{00000000-0010-0000-0400-000001000000}" name="Nom groupe" dataDxfId="22">
      <calculatedColumnFormula>IFERROR(LEFT(RIGHT(C2,LEN(C2)-SEARCH("@",C2)),SEARCH("/",RIGHT(C2,LEN(C2)-SEARCH("@",C2)-1))),"")</calculatedColumnFormula>
    </tableColumn>
    <tableColumn id="2" xr3:uid="{00000000-0010-0000-0400-000002000000}" name="N° de valeur" dataDxfId="21">
      <calculatedColumnFormula>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calculatedColumnFormula>
    </tableColumn>
    <tableColumn id="3" xr3:uid="{00000000-0010-0000-0400-000003000000}" name="file name"/>
    <tableColumn id="4" xr3:uid="{00000000-0010-0000-0400-000004000000}" name=" total area "/>
    <tableColumn id="5" xr3:uid="{00000000-0010-0000-0400-000005000000}" name=" mean intensity "/>
    <tableColumn id="6" xr3:uid="{00000000-0010-0000-0400-000006000000}" name=" "/>
    <tableColumn id="7" xr3:uid="{00000000-0010-0000-0400-000007000000}" name=" total fluorescence"/>
    <tableColumn id="8" xr3:uid="{00000000-0010-0000-0400-000008000000}" name="         "/>
    <tableColumn id="9" xr3:uid="{00000000-0010-0000-0400-000009000000}" name="nbre de larves"/>
    <tableColumn id="10" xr3:uid="{3005E24C-4EF5-43E8-8998-7B0E6B995705}" name="Colonne1"/>
  </tableColumns>
  <tableStyleInfo name="TableStyleLight16"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Tableau2" displayName="Tableau2" ref="A1:G2" totalsRowShown="0" headerRowDxfId="20" dataDxfId="19" tableBorderDxfId="18">
  <autoFilter ref="A1:G2" xr:uid="{00000000-0009-0000-0100-000002000000}"/>
  <tableColumns count="7">
    <tableColumn id="1" xr3:uid="{00000000-0010-0000-0500-000001000000}" name="Description" dataDxfId="17"/>
    <tableColumn id="2" xr3:uid="{00000000-0010-0000-0500-000002000000}" name="Problème" dataDxfId="16"/>
    <tableColumn id="3" xr3:uid="{00000000-0010-0000-0500-000003000000}" name="EqH RAPPORT" dataDxfId="15"/>
    <tableColumn id="4" xr3:uid="{00000000-0010-0000-0500-000004000000}" name="% atteinte du seuil RAPPORT" dataDxfId="14"/>
    <tableColumn id="5" xr3:uid="{00000000-0010-0000-0500-000005000000}" name="Valeur échelle sur graphique RAPPORT" dataDxfId="13"/>
    <tableColumn id="6" xr3:uid="{00000000-0010-0000-0500-000006000000}" name="EqH BASE DE DONNEES" dataDxfId="12"/>
    <tableColumn id="7" xr3:uid="{00000000-0010-0000-0500-000007000000}" name="% BASE DE DONNEES" dataDxfId="11"/>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6000000}" name="Tableau3" displayName="Tableau3" ref="A1:N15" totalsRowShown="0" headerRowDxfId="10">
  <autoFilter ref="A1:N15" xr:uid="{00000000-0009-0000-0100-000003000000}"/>
  <tableColumns count="14">
    <tableColumn id="1" xr3:uid="{00000000-0010-0000-0600-000001000000}" name="Nom ND">
      <calculatedColumnFormula>Q6</calculatedColumnFormula>
    </tableColumn>
    <tableColumn id="2" xr3:uid="{00000000-0010-0000-0600-000002000000}" name="Nom D" dataDxfId="9">
      <calculatedColumnFormula>U6</calculatedColumnFormula>
    </tableColumn>
    <tableColumn id="3" xr3:uid="{00000000-0010-0000-0600-000003000000}" name="CHG-protocole"/>
    <tableColumn id="4" xr3:uid="{00000000-0010-0000-0600-000004000000}" name="CHG-dilution" dataDxfId="8">
      <calculatedColumnFormula>CONCATENATE(VLOOKUP(Tableau3[[#This Row],[Nom ND]],liste_groupe[],3,FALSE),VLOOKUP(Tableau3[[#This Row],[Nom ND]],liste_groupe[],4,FALSE))</calculatedColumnFormula>
    </tableColumn>
    <tableColumn id="5" xr3:uid="{00000000-0010-0000-0600-000005000000}" name="CHG-induction ND" dataDxfId="7">
      <calculatedColumnFormula>HLOOKUP(Tableau3[[#This Row],[Nom ND]],'pooled normalised values'!$B$74:$V$83,4,FALSE)</calculatedColumnFormula>
    </tableColumn>
    <tableColumn id="6" xr3:uid="{00000000-0010-0000-0600-000006000000}" name="CHG-test ND" dataDxfId="6">
      <calculatedColumnFormula>HLOOKUP(Tableau3[[#This Row],[Nom ND]],'pooled normalised values'!$B$74:$V$83,8,FALSE)</calculatedColumnFormula>
    </tableColumn>
    <tableColumn id="8" xr3:uid="{00000000-0010-0000-0600-000008000000}" name="CHG-EQH ND" dataDxfId="5">
      <calculatedColumnFormula>VLOOKUP(Tableau3[[#This Row],[Nom ND]],'summary results'!$A$6:$N$26,9,FALSE)</calculatedColumnFormula>
    </tableColumn>
    <tableColumn id="9" xr3:uid="{00000000-0010-0000-0600-000009000000}" name="CHG-% atteinte du seuil ND" dataDxfId="4">
      <calculatedColumnFormula>VLOOKUP(Tableau3[[#This Row],[Nom ND]],'summary results'!$A$6:$N$26,11,FALSE)</calculatedColumnFormula>
    </tableColumn>
    <tableColumn id="10" xr3:uid="{00000000-0010-0000-0600-00000A000000}" name="CHG-induction D" dataDxfId="3">
      <calculatedColumnFormula>HLOOKUP(Tableau3[[#This Row],[Nom D]],'pooled normalised values'!$B$74:$V$83,4,FALSE)</calculatedColumnFormula>
    </tableColumn>
    <tableColumn id="11" xr3:uid="{00000000-0010-0000-0600-00000B000000}" name="CHG-test D" dataDxfId="2">
      <calculatedColumnFormula>HLOOKUP(Tableau3[[#This Row],[Nom D]],'pooled normalised values'!$B$74:$V$83,8,FALSE)</calculatedColumnFormula>
    </tableColumn>
    <tableColumn id="13" xr3:uid="{00000000-0010-0000-0600-00000D000000}" name="CHG-EQH D" dataDxfId="1">
      <calculatedColumnFormula>VLOOKUP(Tableau3[[#This Row],[Nom D]],'summary results'!$A$29:$N$51,9,FALSE)</calculatedColumnFormula>
    </tableColumn>
    <tableColumn id="14" xr3:uid="{00000000-0010-0000-0600-00000E000000}" name="CHG-% atteinte seuil D" dataDxfId="0">
      <calculatedColumnFormula>VLOOKUP(Tableau3[[#This Row],[Nom D]],'summary results'!$A$29:$N$51,11,FALSE)</calculatedColumnFormula>
    </tableColumn>
    <tableColumn id="15" xr3:uid="{00000000-0010-0000-0600-00000F000000}" name="CHG-Testo+EE2">
      <calculatedColumnFormula>'summary results'!$G$30</calculatedColumnFormula>
    </tableColumn>
    <tableColumn id="16" xr3:uid="{00000000-0010-0000-0600-000010000000}" name="CHG-Testo+Fad">
      <calculatedColumnFormula>'summary results'!$G$31</calculatedColumnFormula>
    </tableColumn>
  </tableColumns>
  <tableStyleInfo name="TableStyleLight15"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printerSettings" Target="../printerSettings/printerSettings6.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printerSettings" Target="../printerSettings/printerSettings9.bin"/><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2.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15.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7.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8"/>
  <sheetViews>
    <sheetView showGridLines="0" topLeftCell="A31" zoomScale="55" zoomScaleNormal="55" workbookViewId="0">
      <selection activeCell="E15" sqref="E15"/>
    </sheetView>
  </sheetViews>
  <sheetFormatPr defaultColWidth="11.42578125" defaultRowHeight="39" customHeight="1" x14ac:dyDescent="0.25"/>
  <cols>
    <col min="1" max="1" width="42" bestFit="1" customWidth="1"/>
    <col min="2" max="2" width="33.85546875" style="44" bestFit="1" customWidth="1"/>
    <col min="3" max="3" width="21.28515625" customWidth="1"/>
    <col min="4" max="4" width="30.42578125" customWidth="1"/>
    <col min="5" max="5" width="62.28515625" style="159" bestFit="1" customWidth="1"/>
    <col min="6" max="6" width="56.7109375" bestFit="1" customWidth="1"/>
    <col min="7" max="7" width="19.42578125" customWidth="1"/>
    <col min="8" max="8" width="15.28515625" customWidth="1"/>
    <col min="9" max="9" width="18" customWidth="1"/>
    <col min="10" max="10" width="19.5703125" bestFit="1" customWidth="1"/>
  </cols>
  <sheetData>
    <row r="1" spans="1:9" ht="39" customHeight="1" thickBot="1" x14ac:dyDescent="0.3">
      <c r="A1" s="200" t="s">
        <v>36</v>
      </c>
      <c r="B1" s="201"/>
      <c r="C1" s="201"/>
      <c r="D1" s="201"/>
      <c r="E1" s="201"/>
      <c r="F1" s="201"/>
      <c r="G1" s="201"/>
      <c r="H1" s="201"/>
      <c r="I1" s="202"/>
    </row>
    <row r="2" spans="1:9" ht="21" x14ac:dyDescent="0.35">
      <c r="A2" s="188" t="s">
        <v>17</v>
      </c>
      <c r="B2" s="42" t="s">
        <v>115</v>
      </c>
      <c r="C2" s="203"/>
      <c r="D2" s="204"/>
      <c r="E2" s="42" t="s">
        <v>21</v>
      </c>
      <c r="F2" s="215"/>
      <c r="G2" s="216"/>
      <c r="H2" s="216"/>
      <c r="I2" s="217"/>
    </row>
    <row r="3" spans="1:9" ht="21" x14ac:dyDescent="0.35">
      <c r="A3" s="189" t="s">
        <v>18</v>
      </c>
      <c r="B3" s="43" t="s">
        <v>115</v>
      </c>
      <c r="C3" s="205"/>
      <c r="D3" s="206"/>
      <c r="E3" s="43" t="s">
        <v>21</v>
      </c>
      <c r="F3" s="212"/>
      <c r="G3" s="213"/>
      <c r="H3" s="213"/>
      <c r="I3" s="214"/>
    </row>
    <row r="4" spans="1:9" ht="21.75" thickBot="1" x14ac:dyDescent="0.4">
      <c r="A4" s="190" t="s">
        <v>22</v>
      </c>
      <c r="B4" s="178" t="s">
        <v>115</v>
      </c>
      <c r="C4" s="207"/>
      <c r="D4" s="208"/>
      <c r="E4" s="178" t="s">
        <v>21</v>
      </c>
      <c r="F4" s="209"/>
      <c r="G4" s="210"/>
      <c r="H4" s="210"/>
      <c r="I4" s="211"/>
    </row>
    <row r="5" spans="1:9" s="1" customFormat="1" ht="65.25" customHeight="1" thickBot="1" x14ac:dyDescent="0.3">
      <c r="A5" s="200" t="s">
        <v>37</v>
      </c>
      <c r="B5" s="201"/>
      <c r="C5" s="201"/>
      <c r="D5" s="201"/>
      <c r="E5" s="201"/>
      <c r="F5" s="201"/>
      <c r="G5" s="201"/>
      <c r="H5" s="201"/>
      <c r="I5" s="202"/>
    </row>
    <row r="6" spans="1:9" s="109" customFormat="1" ht="39" customHeight="1" x14ac:dyDescent="0.35">
      <c r="A6" s="75" t="s">
        <v>35</v>
      </c>
      <c r="B6" s="100" t="s">
        <v>7</v>
      </c>
      <c r="C6" s="64" t="s">
        <v>19</v>
      </c>
      <c r="D6" s="64" t="s">
        <v>75</v>
      </c>
      <c r="E6" s="156" t="s">
        <v>51</v>
      </c>
      <c r="F6" s="108" t="s">
        <v>78</v>
      </c>
    </row>
    <row r="7" spans="1:9" s="165" customFormat="1" ht="39" customHeight="1" x14ac:dyDescent="0.35">
      <c r="A7"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Témoin solvant</v>
      </c>
      <c r="B7" s="161" t="s">
        <v>123</v>
      </c>
      <c r="C7" s="162"/>
      <c r="D7" s="163"/>
      <c r="E7" s="164" t="s">
        <v>125</v>
      </c>
      <c r="F7" s="110"/>
    </row>
    <row r="8" spans="1:9" s="165" customFormat="1" ht="39" customHeight="1" x14ac:dyDescent="0.35">
      <c r="A8"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EE2-22.5ng/L</v>
      </c>
      <c r="B8" s="161" t="s">
        <v>123</v>
      </c>
      <c r="C8" s="162">
        <v>22.5</v>
      </c>
      <c r="D8" s="163" t="s">
        <v>124</v>
      </c>
      <c r="E8" s="164" t="s">
        <v>126</v>
      </c>
      <c r="F8" s="110"/>
    </row>
    <row r="9" spans="1:9" s="165" customFormat="1" ht="39" customHeight="1" x14ac:dyDescent="0.35">
      <c r="A9"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EE2-33.8ng/L</v>
      </c>
      <c r="B9" s="161" t="s">
        <v>123</v>
      </c>
      <c r="C9" s="162">
        <v>33.799999999999997</v>
      </c>
      <c r="D9" s="163" t="s">
        <v>124</v>
      </c>
      <c r="E9" s="164" t="s">
        <v>126</v>
      </c>
      <c r="F9" s="110"/>
    </row>
    <row r="10" spans="1:9" s="165" customFormat="1" ht="39" customHeight="1" x14ac:dyDescent="0.35">
      <c r="A10"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EE2-50.6ng/L</v>
      </c>
      <c r="B10" s="161" t="s">
        <v>123</v>
      </c>
      <c r="C10" s="162">
        <v>50.6</v>
      </c>
      <c r="D10" s="163" t="s">
        <v>124</v>
      </c>
      <c r="E10" s="164" t="s">
        <v>126</v>
      </c>
      <c r="F10" s="110"/>
    </row>
    <row r="11" spans="1:9" s="165" customFormat="1" ht="39" customHeight="1" x14ac:dyDescent="0.35">
      <c r="A11"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EE2-76ng/L</v>
      </c>
      <c r="B11" s="161" t="s">
        <v>123</v>
      </c>
      <c r="C11" s="162">
        <v>76</v>
      </c>
      <c r="D11" s="163" t="s">
        <v>124</v>
      </c>
      <c r="E11" s="164" t="s">
        <v>126</v>
      </c>
      <c r="F11" s="110"/>
    </row>
    <row r="12" spans="1:9" s="165" customFormat="1" ht="39" customHeight="1" x14ac:dyDescent="0.35">
      <c r="A12"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EE2-114ng/L</v>
      </c>
      <c r="B12" s="161" t="s">
        <v>123</v>
      </c>
      <c r="C12" s="162">
        <v>114</v>
      </c>
      <c r="D12" s="163" t="s">
        <v>124</v>
      </c>
      <c r="E12" s="164" t="s">
        <v>126</v>
      </c>
      <c r="F12" s="110"/>
    </row>
    <row r="13" spans="1:9" s="165" customFormat="1" ht="39" customHeight="1" x14ac:dyDescent="0.35">
      <c r="A13"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EE2-170.9ng/L</v>
      </c>
      <c r="B13" s="161" t="s">
        <v>123</v>
      </c>
      <c r="C13" s="162">
        <v>170.9</v>
      </c>
      <c r="D13" s="163" t="s">
        <v>124</v>
      </c>
      <c r="E13" s="164" t="s">
        <v>126</v>
      </c>
      <c r="F13" s="110"/>
    </row>
    <row r="14" spans="1:9" s="165" customFormat="1" ht="39" customHeight="1" x14ac:dyDescent="0.35">
      <c r="A14"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EE2-488ng/L</v>
      </c>
      <c r="B14" s="161" t="s">
        <v>123</v>
      </c>
      <c r="C14" s="162">
        <v>488</v>
      </c>
      <c r="D14" s="163" t="s">
        <v>124</v>
      </c>
      <c r="E14" s="164" t="s">
        <v>126</v>
      </c>
      <c r="F14" s="110"/>
    </row>
    <row r="15" spans="1:9" s="165" customFormat="1" ht="39" customHeight="1" x14ac:dyDescent="0.35">
      <c r="A15" s="160" t="s">
        <v>4441</v>
      </c>
      <c r="B15" s="161" t="s">
        <v>112</v>
      </c>
      <c r="C15" s="162">
        <v>34</v>
      </c>
      <c r="D15" s="163" t="s">
        <v>124</v>
      </c>
      <c r="E15" s="164" t="s">
        <v>4435</v>
      </c>
      <c r="F15" s="110"/>
    </row>
    <row r="16" spans="1:9" s="111" customFormat="1" ht="39" customHeight="1" x14ac:dyDescent="0.25">
      <c r="A16" s="65" t="s">
        <v>4442</v>
      </c>
      <c r="B16" s="40" t="s">
        <v>112</v>
      </c>
      <c r="C16" s="105">
        <v>68</v>
      </c>
      <c r="D16" s="163" t="s">
        <v>124</v>
      </c>
      <c r="E16" s="164" t="s">
        <v>4435</v>
      </c>
      <c r="F16" s="110"/>
    </row>
    <row r="17" spans="1:6" s="111" customFormat="1" ht="39" customHeight="1" x14ac:dyDescent="0.25">
      <c r="A17" s="65" t="s">
        <v>4443</v>
      </c>
      <c r="B17" s="101" t="s">
        <v>112</v>
      </c>
      <c r="C17" s="105">
        <v>135</v>
      </c>
      <c r="D17" s="163" t="s">
        <v>124</v>
      </c>
      <c r="E17" s="164" t="s">
        <v>4435</v>
      </c>
      <c r="F17" s="110"/>
    </row>
    <row r="18" spans="1:6" s="111" customFormat="1" ht="39" customHeight="1" x14ac:dyDescent="0.25">
      <c r="A18" s="65" t="s">
        <v>4444</v>
      </c>
      <c r="B18" s="40" t="s">
        <v>112</v>
      </c>
      <c r="C18" s="105">
        <v>270</v>
      </c>
      <c r="D18" s="163" t="s">
        <v>124</v>
      </c>
      <c r="E18" s="164" t="s">
        <v>4435</v>
      </c>
      <c r="F18" s="110"/>
    </row>
    <row r="19" spans="1:6" s="111" customFormat="1" ht="39" customHeight="1" x14ac:dyDescent="0.25">
      <c r="A19" s="65" t="s">
        <v>4445</v>
      </c>
      <c r="B19" s="101" t="s">
        <v>112</v>
      </c>
      <c r="C19" s="105">
        <v>540</v>
      </c>
      <c r="D19" s="163" t="s">
        <v>124</v>
      </c>
      <c r="E19" s="164" t="s">
        <v>4435</v>
      </c>
      <c r="F19" s="110"/>
    </row>
    <row r="20" spans="1:6" s="111" customFormat="1" ht="39" customHeight="1" x14ac:dyDescent="0.25">
      <c r="A2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0" s="40"/>
      <c r="C20" s="105"/>
      <c r="D20" s="105"/>
      <c r="E20" s="40"/>
      <c r="F20" s="110"/>
    </row>
    <row r="21" spans="1:6" s="111" customFormat="1" ht="39" customHeight="1" x14ac:dyDescent="0.25">
      <c r="A2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1" s="101"/>
      <c r="C21" s="105"/>
      <c r="D21" s="105"/>
      <c r="E21" s="101"/>
      <c r="F21" s="110"/>
    </row>
    <row r="22" spans="1:6" s="111" customFormat="1" ht="39" customHeight="1" x14ac:dyDescent="0.25">
      <c r="A2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2" s="40"/>
      <c r="C22" s="105"/>
      <c r="D22" s="105"/>
      <c r="E22" s="40"/>
      <c r="F22" s="110"/>
    </row>
    <row r="23" spans="1:6" s="111" customFormat="1" ht="39" customHeight="1" x14ac:dyDescent="0.25">
      <c r="A2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3" s="101"/>
      <c r="C23" s="105"/>
      <c r="D23" s="105"/>
      <c r="E23" s="101"/>
      <c r="F23" s="110"/>
    </row>
    <row r="24" spans="1:6" s="111" customFormat="1" ht="39" customHeight="1" x14ac:dyDescent="0.25">
      <c r="A2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4" s="40"/>
      <c r="C24" s="105"/>
      <c r="D24" s="105"/>
      <c r="E24" s="40"/>
      <c r="F24" s="110"/>
    </row>
    <row r="25" spans="1:6" s="111" customFormat="1" ht="39" customHeight="1" x14ac:dyDescent="0.25">
      <c r="A25"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5" s="101"/>
      <c r="C25" s="105"/>
      <c r="D25" s="105"/>
      <c r="E25" s="101"/>
      <c r="F25" s="110"/>
    </row>
    <row r="26" spans="1:6" s="111" customFormat="1" ht="39" customHeight="1" x14ac:dyDescent="0.25">
      <c r="A26"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6" s="40"/>
      <c r="C26" s="105"/>
      <c r="D26" s="105"/>
      <c r="E26" s="40"/>
      <c r="F26" s="110"/>
    </row>
    <row r="27" spans="1:6" s="111" customFormat="1" ht="39" customHeight="1" x14ac:dyDescent="0.25">
      <c r="A27"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7" s="101"/>
      <c r="C27" s="105"/>
      <c r="D27" s="105"/>
      <c r="E27" s="101"/>
      <c r="F27" s="110"/>
    </row>
    <row r="28" spans="1:6" s="111" customFormat="1" ht="39" customHeight="1" x14ac:dyDescent="0.25">
      <c r="A28"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8" s="40"/>
      <c r="C28" s="105"/>
      <c r="D28" s="105"/>
      <c r="E28" s="40"/>
      <c r="F28" s="110"/>
    </row>
    <row r="29" spans="1:6" s="111" customFormat="1" ht="39" customHeight="1" x14ac:dyDescent="0.25">
      <c r="A29"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9" s="101"/>
      <c r="C29" s="105"/>
      <c r="D29" s="105"/>
      <c r="E29" s="101"/>
      <c r="F29" s="110"/>
    </row>
    <row r="30" spans="1:6" s="111" customFormat="1" ht="39" customHeight="1" x14ac:dyDescent="0.25">
      <c r="A3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0" s="40"/>
      <c r="C30" s="105"/>
      <c r="D30" s="114"/>
      <c r="E30" s="40"/>
      <c r="F30" s="110"/>
    </row>
    <row r="31" spans="1:6" s="111" customFormat="1" ht="39" customHeight="1" x14ac:dyDescent="0.25">
      <c r="A3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1" s="101"/>
      <c r="C31" s="105"/>
      <c r="D31" s="114"/>
      <c r="E31" s="101"/>
      <c r="F31" s="110"/>
    </row>
    <row r="32" spans="1:6" s="111" customFormat="1" ht="39" customHeight="1" x14ac:dyDescent="0.25">
      <c r="A3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2" s="40"/>
      <c r="C32" s="105"/>
      <c r="D32" s="114"/>
      <c r="E32" s="40"/>
      <c r="F32" s="110"/>
    </row>
    <row r="33" spans="1:6" s="111" customFormat="1" ht="39" customHeight="1" x14ac:dyDescent="0.25">
      <c r="A3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3" s="101"/>
      <c r="C33" s="105"/>
      <c r="D33" s="114"/>
      <c r="E33" s="101"/>
      <c r="F33" s="110"/>
    </row>
    <row r="34" spans="1:6" s="111" customFormat="1" ht="39" customHeight="1" x14ac:dyDescent="0.25">
      <c r="A3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4" s="40"/>
      <c r="C34" s="105"/>
      <c r="D34" s="114"/>
      <c r="E34" s="40"/>
      <c r="F34" s="110"/>
    </row>
    <row r="35" spans="1:6" s="111" customFormat="1" ht="39" customHeight="1" thickBot="1" x14ac:dyDescent="0.3">
      <c r="A35" s="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5" s="166"/>
      <c r="C35" s="167"/>
      <c r="D35" s="115"/>
      <c r="E35" s="166"/>
      <c r="F35" s="110"/>
    </row>
    <row r="36" spans="1:6" s="111" customFormat="1" ht="39" customHeight="1" x14ac:dyDescent="0.25">
      <c r="A36" s="1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v>
      </c>
      <c r="B36" s="102" t="s">
        <v>123</v>
      </c>
      <c r="C36" s="106">
        <v>30</v>
      </c>
      <c r="D36" s="116" t="s">
        <v>127</v>
      </c>
      <c r="E36" s="157" t="s">
        <v>20</v>
      </c>
      <c r="F36" s="169"/>
    </row>
    <row r="37" spans="1:6" s="111" customFormat="1" ht="39" customHeight="1" x14ac:dyDescent="0.25">
      <c r="A37" s="17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EE2 -64ng/L</v>
      </c>
      <c r="B37" s="103" t="s">
        <v>123</v>
      </c>
      <c r="C37" s="107">
        <v>64</v>
      </c>
      <c r="D37" s="117" t="s">
        <v>124</v>
      </c>
      <c r="E37" s="158" t="s">
        <v>128</v>
      </c>
      <c r="F37" s="171"/>
    </row>
    <row r="38" spans="1:6" s="111" customFormat="1" ht="39" customHeight="1" thickBot="1" x14ac:dyDescent="0.3">
      <c r="A38" s="17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FAD-10µg/L</v>
      </c>
      <c r="B38" s="173" t="s">
        <v>123</v>
      </c>
      <c r="C38" s="174">
        <v>10</v>
      </c>
      <c r="D38" s="175" t="s">
        <v>127</v>
      </c>
      <c r="E38" s="176" t="s">
        <v>129</v>
      </c>
      <c r="F38" s="177"/>
    </row>
    <row r="39" spans="1:6" s="111" customFormat="1" ht="39" customHeight="1" thickBot="1" x14ac:dyDescent="0.3">
      <c r="A39" s="52" t="s">
        <v>4440</v>
      </c>
      <c r="B39" s="191" t="str">
        <f>B15</f>
        <v xml:space="preserve"> </v>
      </c>
      <c r="C39" s="197">
        <f t="shared" ref="C39:D39" si="0">C15</f>
        <v>34</v>
      </c>
      <c r="D39" s="197" t="str">
        <f t="shared" si="0"/>
        <v>ng/L</v>
      </c>
      <c r="E39" s="198" t="str">
        <f>E15</f>
        <v>estradiol</v>
      </c>
      <c r="F39" s="112" t="s">
        <v>50</v>
      </c>
    </row>
    <row r="40" spans="1:6" s="111" customFormat="1" ht="39" customHeight="1" thickBot="1" x14ac:dyDescent="0.3">
      <c r="A40" s="52" t="s">
        <v>4439</v>
      </c>
      <c r="B40" s="193" t="str">
        <f t="shared" ref="B40:E40" si="1">B16</f>
        <v xml:space="preserve"> </v>
      </c>
      <c r="C40" s="107">
        <f t="shared" si="1"/>
        <v>68</v>
      </c>
      <c r="D40" s="107" t="str">
        <f t="shared" si="1"/>
        <v>ng/L</v>
      </c>
      <c r="E40" s="107" t="str">
        <f t="shared" si="1"/>
        <v>estradiol</v>
      </c>
      <c r="F40" s="113" t="s">
        <v>50</v>
      </c>
    </row>
    <row r="41" spans="1:6" s="111" customFormat="1" ht="39" customHeight="1" thickBot="1" x14ac:dyDescent="0.3">
      <c r="A41" s="52" t="s">
        <v>4436</v>
      </c>
      <c r="B41" s="193" t="str">
        <f t="shared" ref="B41:E41" si="2">B17</f>
        <v xml:space="preserve"> </v>
      </c>
      <c r="C41" s="107">
        <f t="shared" si="2"/>
        <v>135</v>
      </c>
      <c r="D41" s="107" t="str">
        <f t="shared" si="2"/>
        <v>ng/L</v>
      </c>
      <c r="E41" s="107" t="str">
        <f t="shared" si="2"/>
        <v>estradiol</v>
      </c>
      <c r="F41" s="113" t="s">
        <v>50</v>
      </c>
    </row>
    <row r="42" spans="1:6" s="111" customFormat="1" ht="39" customHeight="1" thickBot="1" x14ac:dyDescent="0.3">
      <c r="A42" s="52" t="s">
        <v>4437</v>
      </c>
      <c r="B42" s="193" t="str">
        <f t="shared" ref="B42:E42" si="3">B18</f>
        <v xml:space="preserve"> </v>
      </c>
      <c r="C42" s="107">
        <f t="shared" si="3"/>
        <v>270</v>
      </c>
      <c r="D42" s="107" t="str">
        <f t="shared" si="3"/>
        <v>ng/L</v>
      </c>
      <c r="E42" s="107" t="str">
        <f t="shared" si="3"/>
        <v>estradiol</v>
      </c>
      <c r="F42" s="113" t="s">
        <v>50</v>
      </c>
    </row>
    <row r="43" spans="1:6" s="111" customFormat="1" ht="39" customHeight="1" x14ac:dyDescent="0.25">
      <c r="A43" s="52" t="s">
        <v>4438</v>
      </c>
      <c r="B43" s="193" t="str">
        <f t="shared" ref="B43:D43" si="4">B19</f>
        <v xml:space="preserve"> </v>
      </c>
      <c r="C43" s="107">
        <f t="shared" si="4"/>
        <v>540</v>
      </c>
      <c r="D43" s="107" t="str">
        <f t="shared" si="4"/>
        <v>ng/L</v>
      </c>
      <c r="E43" s="199" t="str">
        <f>E19</f>
        <v>estradiol</v>
      </c>
      <c r="F43" s="113" t="s">
        <v>50</v>
      </c>
    </row>
    <row r="44" spans="1:6" s="111" customFormat="1" ht="39" customHeight="1" x14ac:dyDescent="0.25">
      <c r="A44"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4" s="193">
        <f t="shared" ref="B44:E44" si="5">B20</f>
        <v>0</v>
      </c>
      <c r="C44" s="193">
        <f t="shared" si="5"/>
        <v>0</v>
      </c>
      <c r="D44" s="193">
        <f t="shared" si="5"/>
        <v>0</v>
      </c>
      <c r="E44" s="193">
        <f t="shared" si="5"/>
        <v>0</v>
      </c>
      <c r="F44" s="113" t="s">
        <v>50</v>
      </c>
    </row>
    <row r="45" spans="1:6" s="111" customFormat="1" ht="39" customHeight="1" x14ac:dyDescent="0.25">
      <c r="A45"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5" s="193">
        <f t="shared" ref="B45:E45" si="6">B21</f>
        <v>0</v>
      </c>
      <c r="C45" s="193">
        <f t="shared" si="6"/>
        <v>0</v>
      </c>
      <c r="D45" s="193">
        <f t="shared" si="6"/>
        <v>0</v>
      </c>
      <c r="E45" s="193">
        <f t="shared" si="6"/>
        <v>0</v>
      </c>
      <c r="F45" s="113" t="s">
        <v>50</v>
      </c>
    </row>
    <row r="46" spans="1:6" s="111" customFormat="1" ht="39" customHeight="1" x14ac:dyDescent="0.25">
      <c r="A46"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6" s="193">
        <f t="shared" ref="B46:E46" si="7">B22</f>
        <v>0</v>
      </c>
      <c r="C46" s="193">
        <f t="shared" si="7"/>
        <v>0</v>
      </c>
      <c r="D46" s="193">
        <f t="shared" si="7"/>
        <v>0</v>
      </c>
      <c r="E46" s="193">
        <f t="shared" si="7"/>
        <v>0</v>
      </c>
      <c r="F46" s="113" t="s">
        <v>50</v>
      </c>
    </row>
    <row r="47" spans="1:6" s="111" customFormat="1" ht="39" customHeight="1" x14ac:dyDescent="0.25">
      <c r="A47"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7" s="193">
        <f t="shared" ref="B47:E47" si="8">B23</f>
        <v>0</v>
      </c>
      <c r="C47" s="193">
        <f t="shared" si="8"/>
        <v>0</v>
      </c>
      <c r="D47" s="193">
        <f t="shared" si="8"/>
        <v>0</v>
      </c>
      <c r="E47" s="193">
        <f t="shared" si="8"/>
        <v>0</v>
      </c>
      <c r="F47" s="113" t="s">
        <v>50</v>
      </c>
    </row>
    <row r="48" spans="1:6" s="111" customFormat="1" ht="39" customHeight="1" x14ac:dyDescent="0.25">
      <c r="A48"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8" s="193">
        <f t="shared" ref="B48:E48" si="9">B24</f>
        <v>0</v>
      </c>
      <c r="C48" s="193">
        <f t="shared" si="9"/>
        <v>0</v>
      </c>
      <c r="D48" s="193">
        <f t="shared" si="9"/>
        <v>0</v>
      </c>
      <c r="E48" s="193">
        <f t="shared" si="9"/>
        <v>0</v>
      </c>
      <c r="F48" s="113" t="s">
        <v>50</v>
      </c>
    </row>
    <row r="49" spans="1:6" s="111" customFormat="1" ht="39" customHeight="1" x14ac:dyDescent="0.25">
      <c r="A49"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9" s="193">
        <f t="shared" ref="B49:E49" si="10">B25</f>
        <v>0</v>
      </c>
      <c r="C49" s="193">
        <f t="shared" si="10"/>
        <v>0</v>
      </c>
      <c r="D49" s="193">
        <f t="shared" si="10"/>
        <v>0</v>
      </c>
      <c r="E49" s="193">
        <f t="shared" si="10"/>
        <v>0</v>
      </c>
      <c r="F49" s="113" t="s">
        <v>50</v>
      </c>
    </row>
    <row r="50" spans="1:6" s="111" customFormat="1" ht="39" customHeight="1" x14ac:dyDescent="0.25">
      <c r="A50"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0" s="193">
        <f t="shared" ref="B50:E50" si="11">B26</f>
        <v>0</v>
      </c>
      <c r="C50" s="193">
        <f t="shared" si="11"/>
        <v>0</v>
      </c>
      <c r="D50" s="193">
        <f t="shared" si="11"/>
        <v>0</v>
      </c>
      <c r="E50" s="193">
        <f t="shared" si="11"/>
        <v>0</v>
      </c>
      <c r="F50" s="113" t="s">
        <v>50</v>
      </c>
    </row>
    <row r="51" spans="1:6" s="111" customFormat="1" ht="39" customHeight="1" x14ac:dyDescent="0.25">
      <c r="A51"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1" s="193">
        <f t="shared" ref="B51:E51" si="12">B27</f>
        <v>0</v>
      </c>
      <c r="C51" s="193">
        <f t="shared" si="12"/>
        <v>0</v>
      </c>
      <c r="D51" s="193">
        <f t="shared" si="12"/>
        <v>0</v>
      </c>
      <c r="E51" s="193">
        <f t="shared" si="12"/>
        <v>0</v>
      </c>
      <c r="F51" s="113" t="s">
        <v>50</v>
      </c>
    </row>
    <row r="52" spans="1:6" s="111" customFormat="1" ht="39" customHeight="1" x14ac:dyDescent="0.25">
      <c r="A52"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2" s="193">
        <f t="shared" ref="B52:E52" si="13">B28</f>
        <v>0</v>
      </c>
      <c r="C52" s="193">
        <f t="shared" si="13"/>
        <v>0</v>
      </c>
      <c r="D52" s="193">
        <f t="shared" si="13"/>
        <v>0</v>
      </c>
      <c r="E52" s="193">
        <f t="shared" si="13"/>
        <v>0</v>
      </c>
      <c r="F52" s="113" t="s">
        <v>50</v>
      </c>
    </row>
    <row r="53" spans="1:6" s="111" customFormat="1" ht="39" customHeight="1" x14ac:dyDescent="0.25">
      <c r="A53"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3" s="193">
        <f t="shared" ref="B53:E53" si="14">B29</f>
        <v>0</v>
      </c>
      <c r="C53" s="193">
        <f t="shared" si="14"/>
        <v>0</v>
      </c>
      <c r="D53" s="193">
        <f t="shared" si="14"/>
        <v>0</v>
      </c>
      <c r="E53" s="193">
        <f t="shared" si="14"/>
        <v>0</v>
      </c>
      <c r="F53" s="113" t="s">
        <v>50</v>
      </c>
    </row>
    <row r="54" spans="1:6" s="111" customFormat="1" ht="39" customHeight="1" x14ac:dyDescent="0.25">
      <c r="A54"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4" s="193">
        <f t="shared" ref="B54:E54" si="15">B30</f>
        <v>0</v>
      </c>
      <c r="C54" s="193">
        <f t="shared" si="15"/>
        <v>0</v>
      </c>
      <c r="D54" s="193">
        <f t="shared" si="15"/>
        <v>0</v>
      </c>
      <c r="E54" s="193">
        <f t="shared" si="15"/>
        <v>0</v>
      </c>
      <c r="F54" s="113" t="s">
        <v>50</v>
      </c>
    </row>
    <row r="55" spans="1:6" s="111" customFormat="1" ht="39" customHeight="1" x14ac:dyDescent="0.25">
      <c r="A55"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5" s="193">
        <f t="shared" ref="B55:E55" si="16">B31</f>
        <v>0</v>
      </c>
      <c r="C55" s="193">
        <f t="shared" si="16"/>
        <v>0</v>
      </c>
      <c r="D55" s="193">
        <f t="shared" si="16"/>
        <v>0</v>
      </c>
      <c r="E55" s="193">
        <f t="shared" si="16"/>
        <v>0</v>
      </c>
      <c r="F55" s="113" t="s">
        <v>50</v>
      </c>
    </row>
    <row r="56" spans="1:6" s="111" customFormat="1" ht="39" customHeight="1" x14ac:dyDescent="0.25">
      <c r="A56"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6" s="193">
        <f t="shared" ref="B56:E56" si="17">B32</f>
        <v>0</v>
      </c>
      <c r="C56" s="193">
        <f t="shared" si="17"/>
        <v>0</v>
      </c>
      <c r="D56" s="193">
        <f t="shared" si="17"/>
        <v>0</v>
      </c>
      <c r="E56" s="193">
        <f t="shared" si="17"/>
        <v>0</v>
      </c>
      <c r="F56" s="113" t="s">
        <v>50</v>
      </c>
    </row>
    <row r="57" spans="1:6" s="111" customFormat="1" ht="39" customHeight="1" x14ac:dyDescent="0.25">
      <c r="A57"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7" s="193">
        <f t="shared" ref="B57:E57" si="18">B33</f>
        <v>0</v>
      </c>
      <c r="C57" s="193">
        <f t="shared" si="18"/>
        <v>0</v>
      </c>
      <c r="D57" s="193">
        <f t="shared" si="18"/>
        <v>0</v>
      </c>
      <c r="E57" s="193">
        <f t="shared" si="18"/>
        <v>0</v>
      </c>
      <c r="F57" s="113" t="s">
        <v>50</v>
      </c>
    </row>
    <row r="58" spans="1:6" s="111" customFormat="1" ht="39" customHeight="1" x14ac:dyDescent="0.25">
      <c r="A58" s="10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8" s="192">
        <f t="shared" ref="B58:E58" si="19">B34</f>
        <v>0</v>
      </c>
      <c r="C58" s="192">
        <f t="shared" si="19"/>
        <v>0</v>
      </c>
      <c r="D58" s="192">
        <f t="shared" si="19"/>
        <v>0</v>
      </c>
      <c r="E58" s="192">
        <f t="shared" si="19"/>
        <v>0</v>
      </c>
      <c r="F58" s="113" t="s">
        <v>50</v>
      </c>
    </row>
  </sheetData>
  <protectedRanges>
    <protectedRange sqref="C20:D38 C16:C19 A16:A52" name="Plage1_1"/>
  </protectedRanges>
  <mergeCells count="8">
    <mergeCell ref="A5:I5"/>
    <mergeCell ref="A1:I1"/>
    <mergeCell ref="C2:D2"/>
    <mergeCell ref="C3:D3"/>
    <mergeCell ref="C4:D4"/>
    <mergeCell ref="F4:I4"/>
    <mergeCell ref="F3:I3"/>
    <mergeCell ref="F2:I2"/>
  </mergeCells>
  <dataValidations count="1">
    <dataValidation type="custom" allowBlank="1" showInputMessage="1" showErrorMessage="1" sqref="E7:E38" xr:uid="{E0A8F951-ED76-4488-98E3-F13AD7875916}">
      <formula1>ISERROR(SEARCH("-",E7))=TRUE</formula1>
    </dataValidation>
  </dataValidations>
  <pageMargins left="0.7" right="0.7" top="0.75" bottom="0.75" header="0.3" footer="0.3"/>
  <pageSetup paperSize="9" scale="25" orientation="landscape" r:id="rId1"/>
  <headerFooter>
    <oddHeader>&amp;C&amp;"-,Gras"&amp;20Résultats&amp;R&amp;"-,Gras"&amp;20Page : &amp;P/&amp;P</oddHeader>
    <oddFooter>&amp;C&amp;1#&amp;"Arial"&amp;10&amp;K000000Internal</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
  <sheetViews>
    <sheetView workbookViewId="0">
      <selection activeCell="D12" sqref="D12"/>
    </sheetView>
  </sheetViews>
  <sheetFormatPr defaultColWidth="11.42578125" defaultRowHeight="15" x14ac:dyDescent="0.25"/>
  <cols>
    <col min="1" max="1" width="14.140625" customWidth="1"/>
    <col min="2" max="2" width="14" customWidth="1"/>
    <col min="3" max="3" width="11.5703125" customWidth="1"/>
    <col min="4" max="4" width="12.42578125" customWidth="1"/>
    <col min="5" max="5" width="17.28515625" customWidth="1"/>
    <col min="7" max="7" width="19.5703125" customWidth="1"/>
    <col min="9" max="9" width="15.7109375" customWidth="1"/>
  </cols>
  <sheetData>
    <row r="1" spans="1:9" x14ac:dyDescent="0.25">
      <c r="A1" t="s">
        <v>107</v>
      </c>
      <c r="B1" t="s">
        <v>108</v>
      </c>
      <c r="C1" t="s">
        <v>109</v>
      </c>
      <c r="D1" t="s">
        <v>110</v>
      </c>
      <c r="E1" t="s">
        <v>111</v>
      </c>
      <c r="F1" t="s">
        <v>112</v>
      </c>
      <c r="G1" t="s">
        <v>113</v>
      </c>
      <c r="H1" t="s">
        <v>117</v>
      </c>
      <c r="I1" t="s">
        <v>118</v>
      </c>
    </row>
    <row r="2" spans="1:9" x14ac:dyDescent="0.25">
      <c r="A2" t="s">
        <v>152</v>
      </c>
      <c r="B2" t="s">
        <v>163</v>
      </c>
      <c r="C2" t="s">
        <v>143</v>
      </c>
      <c r="D2" t="s">
        <v>146</v>
      </c>
      <c r="E2" t="s">
        <v>147</v>
      </c>
      <c r="F2" t="s">
        <v>112</v>
      </c>
      <c r="G2">
        <v>360268</v>
      </c>
    </row>
    <row r="3" spans="1:9" x14ac:dyDescent="0.25">
      <c r="A3" t="s">
        <v>152</v>
      </c>
      <c r="B3" t="s">
        <v>163</v>
      </c>
      <c r="C3" t="s">
        <v>144</v>
      </c>
      <c r="D3" t="s">
        <v>148</v>
      </c>
      <c r="E3" t="s">
        <v>149</v>
      </c>
      <c r="F3" t="s">
        <v>112</v>
      </c>
      <c r="G3">
        <v>372315</v>
      </c>
    </row>
    <row r="4" spans="1:9" x14ac:dyDescent="0.25">
      <c r="A4" t="s">
        <v>152</v>
      </c>
      <c r="B4" t="s">
        <v>163</v>
      </c>
      <c r="C4" t="s">
        <v>145</v>
      </c>
      <c r="D4" t="s">
        <v>150</v>
      </c>
      <c r="E4" t="s">
        <v>151</v>
      </c>
      <c r="F4" t="s">
        <v>112</v>
      </c>
      <c r="G4">
        <v>237626</v>
      </c>
    </row>
    <row r="5" spans="1:9" x14ac:dyDescent="0.25">
      <c r="A5" t="s">
        <v>152</v>
      </c>
      <c r="B5" t="s">
        <v>163</v>
      </c>
      <c r="C5" t="s">
        <v>160</v>
      </c>
      <c r="D5" t="s">
        <v>161</v>
      </c>
      <c r="E5" t="s">
        <v>162</v>
      </c>
      <c r="F5" t="s">
        <v>112</v>
      </c>
      <c r="G5">
        <v>1439015</v>
      </c>
    </row>
    <row r="6" spans="1:9" x14ac:dyDescent="0.25">
      <c r="A6" t="s">
        <v>152</v>
      </c>
      <c r="B6" t="s">
        <v>163</v>
      </c>
      <c r="C6" t="s">
        <v>157</v>
      </c>
      <c r="D6" t="s">
        <v>158</v>
      </c>
      <c r="E6" t="s">
        <v>159</v>
      </c>
      <c r="F6" t="s">
        <v>112</v>
      </c>
      <c r="G6">
        <v>1433586</v>
      </c>
    </row>
    <row r="7" spans="1:9" x14ac:dyDescent="0.25">
      <c r="A7" t="s">
        <v>152</v>
      </c>
      <c r="B7" t="s">
        <v>163</v>
      </c>
      <c r="C7" t="s">
        <v>154</v>
      </c>
      <c r="D7" t="s">
        <v>155</v>
      </c>
      <c r="E7" t="s">
        <v>156</v>
      </c>
      <c r="F7" t="s">
        <v>112</v>
      </c>
      <c r="G7">
        <v>1115346</v>
      </c>
    </row>
  </sheetData>
  <pageMargins left="0.7" right="0.7" top="0.75" bottom="0.75" header="0.3" footer="0.3"/>
  <pageSetup paperSize="9" orientation="portrait" horizontalDpi="300" verticalDpi="300" r:id="rId1"/>
  <headerFooter>
    <oddFooter>&amp;C&amp;1#&amp;"Arial"&amp;10&amp;K000000Internal</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N1557"/>
  <sheetViews>
    <sheetView showGridLines="0" topLeftCell="G1" zoomScaleNormal="100" workbookViewId="0">
      <selection activeCell="AB5" sqref="AB5:AF12"/>
    </sheetView>
  </sheetViews>
  <sheetFormatPr defaultColWidth="11.42578125" defaultRowHeight="15" x14ac:dyDescent="0.25"/>
  <cols>
    <col min="1" max="1" width="15" style="1" customWidth="1"/>
    <col min="2" max="2" width="26.5703125" style="1" customWidth="1"/>
    <col min="3" max="3" width="87.140625" style="1" bestFit="1" customWidth="1"/>
    <col min="4" max="4" width="14" style="1" customWidth="1"/>
    <col min="5" max="5" width="21.140625" style="1" customWidth="1"/>
    <col min="6" max="6" width="11.42578125" style="1"/>
    <col min="7" max="7" width="21.42578125" style="1" customWidth="1"/>
    <col min="8" max="8" width="12.28515625" style="1" customWidth="1"/>
    <col min="9" max="9" width="17.140625" style="1" customWidth="1"/>
    <col min="10" max="10" width="11.42578125" style="1"/>
    <col min="11" max="11" width="5.42578125" style="1" customWidth="1"/>
    <col min="12" max="12" width="15.42578125" style="1" customWidth="1"/>
    <col min="13" max="14" width="12.85546875" style="1" customWidth="1"/>
    <col min="15" max="20" width="12.28515625" style="1" customWidth="1"/>
    <col min="21" max="21" width="17.42578125" style="1" customWidth="1"/>
    <col min="22" max="25" width="12.28515625" style="1" customWidth="1"/>
    <col min="26" max="27" width="15.5703125" style="1" customWidth="1"/>
    <col min="28" max="28" width="14.28515625" style="1" customWidth="1"/>
    <col min="29" max="16384" width="11.42578125" style="1"/>
  </cols>
  <sheetData>
    <row r="1" spans="1:144" x14ac:dyDescent="0.25">
      <c r="A1" s="1" t="s">
        <v>107</v>
      </c>
      <c r="B1" s="1" t="s">
        <v>108</v>
      </c>
      <c r="C1" s="1" t="s">
        <v>109</v>
      </c>
      <c r="D1" s="1" t="s">
        <v>110</v>
      </c>
      <c r="E1" s="1" t="s">
        <v>111</v>
      </c>
      <c r="F1" s="1" t="s">
        <v>112</v>
      </c>
      <c r="G1" s="1" t="s">
        <v>113</v>
      </c>
      <c r="H1" s="1" t="s">
        <v>117</v>
      </c>
      <c r="I1" s="1" t="s">
        <v>118</v>
      </c>
      <c r="J1" s="1" t="s">
        <v>1651</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25">
      <c r="A2" s="1" t="str">
        <f t="shared" ref="A2:A65" si="0">IFERROR(LEFT(RIGHT(C2,LEN(C2)-SEARCH("@",C2)),SEARCH("/",RIGHT(C2,LEN(C2)-SEARCH("@",C2)-1))),"")</f>
        <v>01 Evian + 0.2% DMSO</v>
      </c>
      <c r="B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 s="1" t="s">
        <v>165</v>
      </c>
      <c r="D2" s="1" t="s">
        <v>166</v>
      </c>
      <c r="E2" s="1" t="s">
        <v>167</v>
      </c>
      <c r="F2" s="1" t="s">
        <v>112</v>
      </c>
      <c r="G2" s="1">
        <v>157833</v>
      </c>
      <c r="K2" s="155" t="s">
        <v>120</v>
      </c>
      <c r="L2" s="155"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25">
      <c r="A3" s="1" t="str">
        <f t="shared" si="0"/>
        <v>01 Evian + 0.2% DMSO</v>
      </c>
      <c r="B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 s="1" t="s">
        <v>168</v>
      </c>
      <c r="D3" s="1" t="s">
        <v>169</v>
      </c>
      <c r="E3" s="1" t="s">
        <v>170</v>
      </c>
      <c r="F3" s="1" t="s">
        <v>112</v>
      </c>
      <c r="G3" s="1">
        <v>244699</v>
      </c>
      <c r="K3" s="118" t="s">
        <v>153</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25">
      <c r="A4" s="1" t="str">
        <f t="shared" si="0"/>
        <v>01 Evian + 0.2% DMSO</v>
      </c>
      <c r="B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 s="1" t="s">
        <v>171</v>
      </c>
      <c r="D4" s="1" t="s">
        <v>172</v>
      </c>
      <c r="E4" s="1" t="s">
        <v>173</v>
      </c>
      <c r="F4" s="1" t="s">
        <v>112</v>
      </c>
      <c r="G4" s="1">
        <v>280021</v>
      </c>
      <c r="K4" s="118" t="s">
        <v>100</v>
      </c>
      <c r="L4" s="1" t="s">
        <v>1652</v>
      </c>
      <c r="M4" s="1" t="s">
        <v>1653</v>
      </c>
      <c r="N4" s="1" t="s">
        <v>1654</v>
      </c>
      <c r="O4" s="1" t="s">
        <v>1655</v>
      </c>
      <c r="P4" s="1" t="s">
        <v>1656</v>
      </c>
      <c r="Q4" s="1" t="s">
        <v>1657</v>
      </c>
      <c r="R4" s="1" t="s">
        <v>1658</v>
      </c>
      <c r="S4" s="1" t="s">
        <v>1659</v>
      </c>
      <c r="T4" s="1" t="s">
        <v>1660</v>
      </c>
      <c r="U4" s="1" t="s">
        <v>1661</v>
      </c>
      <c r="V4" s="1" t="s">
        <v>1662</v>
      </c>
      <c r="W4" s="1" t="s">
        <v>1663</v>
      </c>
      <c r="X4" s="1" t="s">
        <v>1664</v>
      </c>
      <c r="Y4" s="1" t="s">
        <v>1665</v>
      </c>
      <c r="Z4" s="1" t="s">
        <v>1666</v>
      </c>
      <c r="AA4" s="1" t="s">
        <v>1667</v>
      </c>
      <c r="AB4" s="1" t="s">
        <v>1668</v>
      </c>
      <c r="AC4" s="1" t="s">
        <v>1669</v>
      </c>
      <c r="AD4" s="1" t="s">
        <v>1670</v>
      </c>
      <c r="AE4" s="1" t="s">
        <v>1671</v>
      </c>
      <c r="AF4" s="1" t="s">
        <v>1672</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25">
      <c r="A5" s="1" t="str">
        <f t="shared" si="0"/>
        <v>01 Evian + 0.2% DMSO</v>
      </c>
      <c r="B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 s="1" t="s">
        <v>174</v>
      </c>
      <c r="D5" s="1" t="s">
        <v>175</v>
      </c>
      <c r="E5" s="1" t="s">
        <v>176</v>
      </c>
      <c r="F5" s="1" t="s">
        <v>112</v>
      </c>
      <c r="G5" s="1">
        <v>652769</v>
      </c>
      <c r="K5" s="145" t="s">
        <v>163</v>
      </c>
      <c r="L5" s="44">
        <v>227517.66666666666</v>
      </c>
      <c r="M5" s="44">
        <v>99440</v>
      </c>
      <c r="N5" s="44">
        <v>635973</v>
      </c>
      <c r="O5" s="44">
        <v>526788.66666666663</v>
      </c>
      <c r="P5" s="44">
        <v>1817228.6666666667</v>
      </c>
      <c r="Q5" s="44">
        <v>2179071.5</v>
      </c>
      <c r="R5" s="44">
        <v>2382172.3333333335</v>
      </c>
      <c r="S5" s="44">
        <v>342790.66666666669</v>
      </c>
      <c r="T5" s="44">
        <v>22790.333333333332</v>
      </c>
      <c r="U5" s="44">
        <v>820328</v>
      </c>
      <c r="V5" s="44">
        <v>5012800.333333333</v>
      </c>
      <c r="W5" s="44">
        <v>6289876</v>
      </c>
      <c r="X5" s="44">
        <v>4132557</v>
      </c>
      <c r="Y5" s="44">
        <v>652671</v>
      </c>
      <c r="Z5" s="44">
        <v>230935.33333333334</v>
      </c>
      <c r="AA5" s="44">
        <v>174286.66666666666</v>
      </c>
      <c r="AB5" s="44">
        <v>3167402.6666666665</v>
      </c>
      <c r="AC5" s="44">
        <v>4350716.333333333</v>
      </c>
      <c r="AD5" s="44">
        <v>4230389.333333333</v>
      </c>
      <c r="AE5" s="44">
        <v>7120698.333333333</v>
      </c>
      <c r="AF5" s="44">
        <v>7284876.333333333</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25">
      <c r="A6" s="1" t="str">
        <f t="shared" si="0"/>
        <v>01 Evian + 0.2% DMSO</v>
      </c>
      <c r="B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 s="1" t="s">
        <v>177</v>
      </c>
      <c r="D6" s="1" t="s">
        <v>178</v>
      </c>
      <c r="E6" s="1" t="s">
        <v>179</v>
      </c>
      <c r="F6" s="1" t="s">
        <v>112</v>
      </c>
      <c r="G6" s="1">
        <v>593849</v>
      </c>
      <c r="K6" s="145" t="s">
        <v>1673</v>
      </c>
      <c r="L6" s="44">
        <v>523941</v>
      </c>
      <c r="M6" s="44">
        <v>39655</v>
      </c>
      <c r="N6" s="44">
        <v>261289</v>
      </c>
      <c r="O6" s="44">
        <v>209774</v>
      </c>
      <c r="P6" s="44">
        <v>1707197</v>
      </c>
      <c r="Q6" s="44">
        <v>3616655</v>
      </c>
      <c r="R6" s="44">
        <v>7453669</v>
      </c>
      <c r="S6" s="44">
        <v>15833</v>
      </c>
      <c r="T6" s="44">
        <v>551050.33333333337</v>
      </c>
      <c r="U6" s="44">
        <v>1560633</v>
      </c>
      <c r="V6" s="44">
        <v>3606338</v>
      </c>
      <c r="W6" s="44">
        <v>5277218.666666667</v>
      </c>
      <c r="X6" s="44">
        <v>2539717.3333333335</v>
      </c>
      <c r="Y6" s="44">
        <v>2529147.6666666665</v>
      </c>
      <c r="Z6" s="44">
        <v>3723348.3333333335</v>
      </c>
      <c r="AA6" s="44">
        <v>203710.33333333334</v>
      </c>
      <c r="AB6" s="44">
        <v>2593121.3333333335</v>
      </c>
      <c r="AC6" s="44">
        <v>3973721.6666666665</v>
      </c>
      <c r="AD6" s="44">
        <v>4897239</v>
      </c>
      <c r="AE6" s="44">
        <v>4533395</v>
      </c>
      <c r="AF6" s="44">
        <v>4953512.666666667</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25">
      <c r="A7" s="1" t="str">
        <f t="shared" si="0"/>
        <v>01 Evian + 0.2% DMSO</v>
      </c>
      <c r="B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 s="1" t="s">
        <v>180</v>
      </c>
      <c r="D7" s="1" t="s">
        <v>181</v>
      </c>
      <c r="E7" s="1" t="s">
        <v>182</v>
      </c>
      <c r="F7" s="1" t="s">
        <v>112</v>
      </c>
      <c r="G7" s="1">
        <v>325205</v>
      </c>
      <c r="K7" s="145" t="s">
        <v>1674</v>
      </c>
      <c r="L7" s="44">
        <v>61061</v>
      </c>
      <c r="M7" s="44">
        <v>150443.33333333334</v>
      </c>
      <c r="N7" s="44">
        <v>152267.33333333334</v>
      </c>
      <c r="O7" s="44">
        <v>82669.5</v>
      </c>
      <c r="P7" s="44">
        <v>26064</v>
      </c>
      <c r="Q7" s="44">
        <v>3448338.6666666665</v>
      </c>
      <c r="R7" s="44">
        <v>5746248.333333333</v>
      </c>
      <c r="S7" s="44">
        <v>107118.66666666667</v>
      </c>
      <c r="T7" s="44">
        <v>64125.666666666664</v>
      </c>
      <c r="U7" s="44">
        <v>496521.33333333331</v>
      </c>
      <c r="V7" s="44">
        <v>3751330.3333333335</v>
      </c>
      <c r="W7" s="44">
        <v>7572273</v>
      </c>
      <c r="X7" s="44">
        <v>1817755</v>
      </c>
      <c r="Y7" s="44">
        <v>3593605</v>
      </c>
      <c r="Z7" s="44">
        <v>4113400.5</v>
      </c>
      <c r="AA7" s="44">
        <v>317764.66666666669</v>
      </c>
      <c r="AB7" s="44">
        <v>2653570</v>
      </c>
      <c r="AC7" s="44">
        <v>2257155.5</v>
      </c>
      <c r="AD7" s="44">
        <v>2993793.3333333335</v>
      </c>
      <c r="AE7" s="44">
        <v>4780877</v>
      </c>
      <c r="AF7" s="44">
        <v>3371343.5</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25">
      <c r="A8" s="1" t="str">
        <f t="shared" si="0"/>
        <v>01 Evian + 0.2% DMSO</v>
      </c>
      <c r="B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8" s="1" t="s">
        <v>183</v>
      </c>
      <c r="D8" s="1" t="s">
        <v>184</v>
      </c>
      <c r="E8" s="1" t="s">
        <v>185</v>
      </c>
      <c r="F8" s="1" t="s">
        <v>112</v>
      </c>
      <c r="G8" s="1">
        <v>54464</v>
      </c>
      <c r="K8" s="145" t="s">
        <v>1675</v>
      </c>
      <c r="L8" s="44">
        <v>147919.33333333334</v>
      </c>
      <c r="M8" s="44">
        <v>243697</v>
      </c>
      <c r="N8" s="44">
        <v>231440</v>
      </c>
      <c r="O8" s="44">
        <v>478727</v>
      </c>
      <c r="P8" s="44">
        <v>835043.66666666663</v>
      </c>
      <c r="Q8" s="44">
        <v>4079989.3333333335</v>
      </c>
      <c r="R8" s="44">
        <v>5798088</v>
      </c>
      <c r="S8" s="44">
        <v>110363</v>
      </c>
      <c r="T8" s="44">
        <v>90470.666666666672</v>
      </c>
      <c r="U8" s="44">
        <v>827516.33333333337</v>
      </c>
      <c r="V8" s="44">
        <v>4428966.333333333</v>
      </c>
      <c r="W8" s="44">
        <v>4571298</v>
      </c>
      <c r="X8" s="44">
        <v>2173602.3333333335</v>
      </c>
      <c r="Y8" s="44">
        <v>2662524.6666666665</v>
      </c>
      <c r="Z8" s="44">
        <v>4709174</v>
      </c>
      <c r="AA8" s="44">
        <v>86332.333333333328</v>
      </c>
      <c r="AB8" s="44">
        <v>3507590.3333333335</v>
      </c>
      <c r="AC8" s="44"/>
      <c r="AD8" s="44">
        <v>5273793.666666667</v>
      </c>
      <c r="AE8" s="44">
        <v>3355099.3333333335</v>
      </c>
      <c r="AF8" s="44">
        <v>4486069</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25">
      <c r="A9" s="1" t="str">
        <f t="shared" si="0"/>
        <v>01 Evian + 0.2% DMSO</v>
      </c>
      <c r="B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9" s="1" t="s">
        <v>186</v>
      </c>
      <c r="D9" s="1" t="s">
        <v>187</v>
      </c>
      <c r="E9" s="1" t="s">
        <v>188</v>
      </c>
      <c r="F9" s="1" t="s">
        <v>112</v>
      </c>
      <c r="G9" s="1">
        <v>104494</v>
      </c>
      <c r="K9" s="145" t="s">
        <v>1676</v>
      </c>
      <c r="L9" s="44">
        <v>44680</v>
      </c>
      <c r="M9" s="44">
        <v>180991.66666666666</v>
      </c>
      <c r="N9" s="44">
        <v>47809.333333333336</v>
      </c>
      <c r="O9" s="44">
        <v>338897.33333333331</v>
      </c>
      <c r="P9" s="44">
        <v>886011</v>
      </c>
      <c r="Q9" s="44">
        <v>2882947.6666666665</v>
      </c>
      <c r="R9" s="44">
        <v>6238444</v>
      </c>
      <c r="S9" s="44">
        <v>140327.66666666666</v>
      </c>
      <c r="T9" s="44">
        <v>40599</v>
      </c>
      <c r="U9" s="44">
        <v>64630</v>
      </c>
      <c r="V9" s="44">
        <v>3143674.3333333335</v>
      </c>
      <c r="W9" s="44">
        <v>2390896.3333333335</v>
      </c>
      <c r="X9" s="44">
        <v>2009244</v>
      </c>
      <c r="Y9" s="44">
        <v>1620966.3333333333</v>
      </c>
      <c r="Z9" s="44">
        <v>3955343.3333333335</v>
      </c>
      <c r="AA9" s="44">
        <v>196233.66666666666</v>
      </c>
      <c r="AB9" s="44">
        <v>1640079.3333333333</v>
      </c>
      <c r="AC9" s="44">
        <v>1570575.3333333333</v>
      </c>
      <c r="AD9" s="44">
        <v>3370803</v>
      </c>
      <c r="AE9" s="44">
        <v>5263945</v>
      </c>
      <c r="AF9" s="44">
        <v>5657284.666666667</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25">
      <c r="A10" s="1" t="str">
        <f t="shared" si="0"/>
        <v>01 Evian + 0.2% DMSO</v>
      </c>
      <c r="B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 s="1" t="s">
        <v>189</v>
      </c>
      <c r="D10" s="1" t="s">
        <v>190</v>
      </c>
      <c r="E10" s="1" t="s">
        <v>191</v>
      </c>
      <c r="F10" s="1" t="s">
        <v>112</v>
      </c>
      <c r="G10" s="1">
        <v>24225</v>
      </c>
      <c r="K10" s="145" t="s">
        <v>1677</v>
      </c>
      <c r="L10" s="44">
        <v>470774.5</v>
      </c>
      <c r="M10" s="44">
        <v>43411.333333333336</v>
      </c>
      <c r="N10" s="44">
        <v>101278.33333333333</v>
      </c>
      <c r="O10" s="44">
        <v>114162.66666666667</v>
      </c>
      <c r="P10" s="44">
        <v>2905147</v>
      </c>
      <c r="Q10" s="44">
        <v>1994600.6666666667</v>
      </c>
      <c r="R10" s="44">
        <v>4960924.333333333</v>
      </c>
      <c r="S10" s="44">
        <v>260900</v>
      </c>
      <c r="T10" s="44">
        <v>60051.666666666664</v>
      </c>
      <c r="U10" s="44">
        <v>581959.33333333337</v>
      </c>
      <c r="V10" s="44">
        <v>6094352.666666667</v>
      </c>
      <c r="W10" s="44">
        <v>6282446</v>
      </c>
      <c r="X10" s="44">
        <v>2053830.6666666667</v>
      </c>
      <c r="Y10" s="44">
        <v>2514605.3333333335</v>
      </c>
      <c r="Z10" s="44">
        <v>4536279.333333333</v>
      </c>
      <c r="AA10" s="44">
        <v>182967.33333333334</v>
      </c>
      <c r="AB10" s="44">
        <v>2968861.6666666665</v>
      </c>
      <c r="AC10" s="44"/>
      <c r="AD10" s="44">
        <v>4671560</v>
      </c>
      <c r="AE10" s="44"/>
      <c r="AF10" s="44">
        <v>5487309.5</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25">
      <c r="A11" s="1" t="str">
        <f t="shared" si="0"/>
        <v>01 Evian + 0.2% DMSO</v>
      </c>
      <c r="B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 s="1" t="s">
        <v>192</v>
      </c>
      <c r="D11" s="1" t="s">
        <v>193</v>
      </c>
      <c r="E11" s="1" t="s">
        <v>194</v>
      </c>
      <c r="F11" s="1" t="s">
        <v>112</v>
      </c>
      <c r="G11" s="1">
        <v>182794</v>
      </c>
      <c r="K11" s="145" t="s">
        <v>1678</v>
      </c>
      <c r="L11" s="44">
        <v>22740</v>
      </c>
      <c r="M11" s="44">
        <v>11896.333333333334</v>
      </c>
      <c r="N11" s="44">
        <v>123809.66666666667</v>
      </c>
      <c r="O11" s="44">
        <v>745265.33333333337</v>
      </c>
      <c r="P11" s="44">
        <v>1566069</v>
      </c>
      <c r="Q11" s="44">
        <v>2180910</v>
      </c>
      <c r="R11" s="44">
        <v>6190980.333333333</v>
      </c>
      <c r="S11" s="44">
        <v>21067.666666666668</v>
      </c>
      <c r="T11" s="44">
        <v>63700</v>
      </c>
      <c r="U11" s="44">
        <v>984282.66666666663</v>
      </c>
      <c r="V11" s="44">
        <v>2962250</v>
      </c>
      <c r="W11" s="44">
        <v>1047067</v>
      </c>
      <c r="X11" s="44">
        <v>1192246.6666666667</v>
      </c>
      <c r="Y11" s="44">
        <v>2218030.3333333335</v>
      </c>
      <c r="Z11" s="44">
        <v>3448245</v>
      </c>
      <c r="AA11" s="44">
        <v>108506.5</v>
      </c>
      <c r="AB11" s="44">
        <v>2870337.6666666665</v>
      </c>
      <c r="AC11" s="44">
        <v>3172600.6666666665</v>
      </c>
      <c r="AD11" s="44">
        <v>4194945.333333333</v>
      </c>
      <c r="AE11" s="44">
        <v>4110574</v>
      </c>
      <c r="AF11" s="44">
        <v>2964132</v>
      </c>
      <c r="AG11"/>
    </row>
    <row r="12" spans="1:144" x14ac:dyDescent="0.25">
      <c r="A12" s="1" t="str">
        <f t="shared" si="0"/>
        <v>01 Evian + 0.2% DMSO</v>
      </c>
      <c r="B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2" s="1" t="s">
        <v>195</v>
      </c>
      <c r="D12" s="1" t="s">
        <v>196</v>
      </c>
      <c r="E12" s="1" t="s">
        <v>197</v>
      </c>
      <c r="F12" s="1" t="s">
        <v>112</v>
      </c>
      <c r="G12" s="1">
        <v>85373</v>
      </c>
      <c r="K12" s="145" t="s">
        <v>1679</v>
      </c>
      <c r="L12" s="44">
        <v>141243.33333333334</v>
      </c>
      <c r="M12" s="44">
        <v>356244.33333333331</v>
      </c>
      <c r="N12" s="44">
        <v>71407.333333333328</v>
      </c>
      <c r="O12" s="44"/>
      <c r="P12" s="44">
        <v>387233</v>
      </c>
      <c r="Q12" s="44">
        <v>2440407.3333333335</v>
      </c>
      <c r="R12" s="44">
        <v>6936909</v>
      </c>
      <c r="S12" s="44">
        <v>202376.66666666666</v>
      </c>
      <c r="T12" s="44"/>
      <c r="U12" s="44">
        <v>1360196</v>
      </c>
      <c r="V12" s="44">
        <v>4061798.6666666665</v>
      </c>
      <c r="W12" s="44">
        <v>4850179.333333333</v>
      </c>
      <c r="X12" s="44">
        <v>2048329.3333333333</v>
      </c>
      <c r="Y12" s="44">
        <v>2066920.5</v>
      </c>
      <c r="Z12" s="44">
        <v>1443434.6666666667</v>
      </c>
      <c r="AA12" s="44">
        <v>70426.666666666672</v>
      </c>
      <c r="AB12" s="44">
        <v>2079447.6666666667</v>
      </c>
      <c r="AC12" s="44">
        <v>127948</v>
      </c>
      <c r="AD12" s="44">
        <v>5213439.333333333</v>
      </c>
      <c r="AE12" s="44"/>
      <c r="AF12" s="44">
        <v>7407957.666666667</v>
      </c>
      <c r="AG12"/>
    </row>
    <row r="13" spans="1:144" x14ac:dyDescent="0.25">
      <c r="A13" s="1" t="str">
        <f t="shared" si="0"/>
        <v>01 Evian + 0.2% DMSO</v>
      </c>
      <c r="B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3" s="1" t="s">
        <v>198</v>
      </c>
      <c r="D13" s="1" t="s">
        <v>199</v>
      </c>
      <c r="E13" s="1">
        <v>66</v>
      </c>
      <c r="F13" s="1" t="s">
        <v>112</v>
      </c>
      <c r="G13" s="1">
        <v>175591</v>
      </c>
      <c r="K13"/>
      <c r="L13"/>
      <c r="M13"/>
      <c r="N13"/>
      <c r="O13"/>
      <c r="P13"/>
      <c r="Q13"/>
      <c r="R13"/>
      <c r="S13"/>
      <c r="T13"/>
      <c r="U13"/>
      <c r="V13"/>
      <c r="W13"/>
      <c r="X13"/>
      <c r="Y13"/>
      <c r="Z13"/>
      <c r="AA13"/>
      <c r="AB13"/>
      <c r="AC13"/>
      <c r="AD13"/>
      <c r="AE13"/>
      <c r="AF13"/>
      <c r="AG13"/>
    </row>
    <row r="14" spans="1:144" x14ac:dyDescent="0.25">
      <c r="A14" s="1" t="str">
        <f t="shared" si="0"/>
        <v>01 Evian + 0.2% DMSO</v>
      </c>
      <c r="B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 s="1" t="s">
        <v>200</v>
      </c>
      <c r="D14" s="1" t="s">
        <v>201</v>
      </c>
      <c r="E14" s="1" t="s">
        <v>202</v>
      </c>
      <c r="F14" s="1" t="s">
        <v>112</v>
      </c>
      <c r="G14" s="1">
        <v>23685</v>
      </c>
      <c r="K14"/>
      <c r="L14"/>
      <c r="M14"/>
      <c r="N14"/>
      <c r="O14"/>
      <c r="P14"/>
      <c r="Q14"/>
      <c r="R14"/>
      <c r="S14"/>
      <c r="T14"/>
      <c r="U14"/>
      <c r="V14"/>
      <c r="W14"/>
      <c r="X14"/>
      <c r="Y14"/>
      <c r="Z14"/>
      <c r="AA14"/>
      <c r="AB14"/>
      <c r="AC14"/>
      <c r="AD14"/>
      <c r="AE14"/>
      <c r="AF14"/>
      <c r="AG14"/>
    </row>
    <row r="15" spans="1:144" x14ac:dyDescent="0.25">
      <c r="A15" s="1" t="str">
        <f t="shared" si="0"/>
        <v>01 Evian + 0.2% DMSO</v>
      </c>
      <c r="B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5" s="1" t="s">
        <v>203</v>
      </c>
      <c r="D15" s="1" t="s">
        <v>184</v>
      </c>
      <c r="E15" s="1" t="s">
        <v>204</v>
      </c>
      <c r="F15" s="1" t="s">
        <v>112</v>
      </c>
      <c r="G15" s="1">
        <v>55199</v>
      </c>
    </row>
    <row r="16" spans="1:144" x14ac:dyDescent="0.25">
      <c r="A16" s="1" t="str">
        <f t="shared" si="0"/>
        <v>01 Evian + 0.2% DMSO</v>
      </c>
      <c r="B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6" s="1" t="s">
        <v>205</v>
      </c>
      <c r="D16" s="1" t="s">
        <v>184</v>
      </c>
      <c r="E16" s="1" t="s">
        <v>206</v>
      </c>
      <c r="F16" s="1" t="s">
        <v>112</v>
      </c>
      <c r="G16" s="1">
        <v>55156</v>
      </c>
      <c r="M16"/>
      <c r="N16"/>
      <c r="O16"/>
      <c r="P16"/>
      <c r="Q16"/>
      <c r="R16"/>
      <c r="S16"/>
      <c r="T16"/>
      <c r="U16"/>
      <c r="V16"/>
      <c r="W16"/>
      <c r="X16"/>
      <c r="Y16"/>
      <c r="Z16"/>
      <c r="AA16"/>
      <c r="AB16"/>
      <c r="AC16"/>
      <c r="AD16"/>
      <c r="AE16"/>
      <c r="AF16"/>
      <c r="AG16"/>
      <c r="AH16"/>
    </row>
    <row r="17" spans="1:34" x14ac:dyDescent="0.25">
      <c r="A17" s="1" t="str">
        <f t="shared" si="0"/>
        <v>01 Evian + 0.2% DMSO</v>
      </c>
      <c r="B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7" s="1" t="s">
        <v>207</v>
      </c>
      <c r="D17" s="1" t="s">
        <v>208</v>
      </c>
      <c r="E17" s="1" t="s">
        <v>209</v>
      </c>
      <c r="F17" s="1" t="s">
        <v>112</v>
      </c>
      <c r="G17" s="1">
        <v>629884</v>
      </c>
      <c r="M17"/>
      <c r="N17"/>
      <c r="O17"/>
      <c r="P17"/>
      <c r="Q17"/>
      <c r="R17"/>
      <c r="S17"/>
      <c r="T17"/>
      <c r="U17"/>
      <c r="V17"/>
      <c r="W17"/>
      <c r="X17"/>
      <c r="Y17"/>
      <c r="Z17"/>
      <c r="AA17"/>
      <c r="AB17"/>
      <c r="AC17"/>
      <c r="AD17"/>
      <c r="AE17"/>
      <c r="AF17"/>
      <c r="AG17"/>
      <c r="AH17"/>
    </row>
    <row r="18" spans="1:34" x14ac:dyDescent="0.25">
      <c r="A18" s="1" t="str">
        <f t="shared" si="0"/>
        <v>01 Evian + 0.2% DMSO</v>
      </c>
      <c r="B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 s="1" t="s">
        <v>210</v>
      </c>
      <c r="M18"/>
      <c r="N18"/>
      <c r="O18"/>
      <c r="P18"/>
      <c r="Q18"/>
      <c r="R18"/>
      <c r="S18"/>
      <c r="T18"/>
      <c r="U18"/>
      <c r="V18"/>
      <c r="W18"/>
      <c r="X18"/>
      <c r="Y18"/>
      <c r="Z18"/>
      <c r="AA18"/>
      <c r="AB18"/>
      <c r="AC18"/>
      <c r="AD18"/>
      <c r="AE18"/>
      <c r="AF18"/>
      <c r="AG18"/>
      <c r="AH18"/>
    </row>
    <row r="19" spans="1:34" x14ac:dyDescent="0.25">
      <c r="A19" s="1" t="str">
        <f t="shared" si="0"/>
        <v>01 Evian + 0.2% DMSO</v>
      </c>
      <c r="B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9" s="1" t="s">
        <v>211</v>
      </c>
      <c r="D19" s="1" t="s">
        <v>212</v>
      </c>
      <c r="E19" s="1" t="s">
        <v>213</v>
      </c>
      <c r="F19" s="1" t="s">
        <v>112</v>
      </c>
      <c r="G19" s="1">
        <v>311665</v>
      </c>
      <c r="K19"/>
      <c r="L19"/>
      <c r="M19"/>
      <c r="N19"/>
      <c r="O19"/>
      <c r="P19"/>
      <c r="Q19"/>
      <c r="R19"/>
      <c r="S19"/>
      <c r="T19"/>
      <c r="U19"/>
      <c r="V19"/>
      <c r="W19"/>
      <c r="X19"/>
      <c r="Y19"/>
      <c r="Z19"/>
      <c r="AA19"/>
      <c r="AB19"/>
      <c r="AC19"/>
      <c r="AD19"/>
      <c r="AE19"/>
      <c r="AF19"/>
      <c r="AG19"/>
      <c r="AH19"/>
    </row>
    <row r="20" spans="1:34" x14ac:dyDescent="0.25">
      <c r="A20" s="1" t="str">
        <f t="shared" si="0"/>
        <v>01 Evian + 0.2% DMSO</v>
      </c>
      <c r="B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0" s="1" t="s">
        <v>214</v>
      </c>
      <c r="D20" s="1" t="s">
        <v>215</v>
      </c>
      <c r="E20" s="1" t="s">
        <v>216</v>
      </c>
      <c r="F20" s="1" t="s">
        <v>112</v>
      </c>
      <c r="G20" s="1">
        <v>36792</v>
      </c>
      <c r="K20"/>
      <c r="L20"/>
      <c r="M20"/>
      <c r="N20"/>
      <c r="O20"/>
      <c r="P20"/>
      <c r="Q20"/>
      <c r="R20"/>
      <c r="S20"/>
      <c r="T20"/>
      <c r="U20"/>
      <c r="V20"/>
      <c r="W20"/>
      <c r="X20"/>
      <c r="Y20"/>
      <c r="Z20"/>
      <c r="AA20"/>
      <c r="AB20"/>
      <c r="AC20"/>
      <c r="AD20"/>
      <c r="AE20"/>
      <c r="AF20"/>
      <c r="AG20"/>
      <c r="AH20"/>
    </row>
    <row r="21" spans="1:34" x14ac:dyDescent="0.25">
      <c r="A21" s="1" t="str">
        <f t="shared" si="0"/>
        <v>01 Evian + 0.2% DMSO</v>
      </c>
      <c r="B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 s="1" t="s">
        <v>217</v>
      </c>
      <c r="D21" s="1" t="s">
        <v>218</v>
      </c>
      <c r="E21" s="1" t="s">
        <v>219</v>
      </c>
      <c r="F21" s="1" t="s">
        <v>112</v>
      </c>
      <c r="G21" s="1">
        <v>15011</v>
      </c>
      <c r="K21"/>
      <c r="L21"/>
      <c r="M21"/>
      <c r="N21"/>
      <c r="O21"/>
      <c r="P21"/>
      <c r="Q21"/>
      <c r="R21"/>
      <c r="S21"/>
      <c r="T21"/>
      <c r="U21"/>
      <c r="V21"/>
      <c r="W21"/>
      <c r="X21"/>
      <c r="Y21"/>
      <c r="Z21"/>
      <c r="AA21"/>
      <c r="AB21"/>
      <c r="AC21"/>
      <c r="AD21"/>
      <c r="AE21"/>
      <c r="AF21"/>
      <c r="AG21"/>
      <c r="AH21"/>
    </row>
    <row r="22" spans="1:34" x14ac:dyDescent="0.25">
      <c r="A22" s="1" t="str">
        <f t="shared" si="0"/>
        <v>01 Evian + 0.2% DMSO</v>
      </c>
      <c r="B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2" s="1" t="s">
        <v>220</v>
      </c>
      <c r="D22" s="1" t="s">
        <v>221</v>
      </c>
      <c r="E22" s="1" t="s">
        <v>222</v>
      </c>
      <c r="F22" s="1" t="s">
        <v>112</v>
      </c>
      <c r="G22" s="1">
        <v>16417</v>
      </c>
      <c r="K22"/>
      <c r="L22"/>
      <c r="M22"/>
      <c r="N22"/>
      <c r="O22"/>
      <c r="P22"/>
      <c r="Q22"/>
      <c r="R22"/>
      <c r="S22"/>
      <c r="T22"/>
      <c r="U22"/>
      <c r="V22"/>
      <c r="W22"/>
      <c r="X22"/>
      <c r="Y22"/>
      <c r="Z22"/>
      <c r="AA22"/>
      <c r="AB22"/>
      <c r="AC22"/>
      <c r="AD22"/>
      <c r="AE22"/>
      <c r="AF22"/>
      <c r="AG22"/>
      <c r="AH22"/>
    </row>
    <row r="23" spans="1:34" x14ac:dyDescent="0.25">
      <c r="A23" s="1" t="str">
        <f t="shared" si="0"/>
        <v>01 Evian + 0.2% DMSO</v>
      </c>
      <c r="B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3" s="1" t="s">
        <v>223</v>
      </c>
      <c r="D23" s="1" t="s">
        <v>224</v>
      </c>
      <c r="E23" s="1" t="s">
        <v>225</v>
      </c>
      <c r="F23" s="1" t="s">
        <v>112</v>
      </c>
      <c r="G23" s="1">
        <v>217748</v>
      </c>
      <c r="K23"/>
      <c r="L23"/>
      <c r="M23"/>
      <c r="N23"/>
      <c r="O23"/>
      <c r="P23"/>
      <c r="Q23"/>
      <c r="R23"/>
      <c r="S23"/>
      <c r="T23"/>
      <c r="U23"/>
      <c r="V23"/>
      <c r="W23"/>
      <c r="X23"/>
      <c r="Y23"/>
      <c r="Z23"/>
      <c r="AA23"/>
      <c r="AB23"/>
      <c r="AC23"/>
      <c r="AD23"/>
      <c r="AE23"/>
      <c r="AF23"/>
      <c r="AG23"/>
      <c r="AH23"/>
    </row>
    <row r="24" spans="1:34" x14ac:dyDescent="0.25">
      <c r="A24" s="1" t="str">
        <f t="shared" si="0"/>
        <v>01 Evian + 0.2% DMSO</v>
      </c>
      <c r="B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4" s="1" t="s">
        <v>226</v>
      </c>
      <c r="D24" s="1" t="s">
        <v>227</v>
      </c>
      <c r="E24" s="1" t="s">
        <v>228</v>
      </c>
      <c r="F24" s="1" t="s">
        <v>112</v>
      </c>
      <c r="G24" s="1">
        <v>26194</v>
      </c>
      <c r="K24"/>
      <c r="L24"/>
      <c r="M24"/>
      <c r="N24"/>
      <c r="O24"/>
      <c r="P24"/>
      <c r="Q24"/>
      <c r="R24"/>
      <c r="S24"/>
      <c r="T24"/>
      <c r="U24"/>
      <c r="V24"/>
      <c r="W24"/>
      <c r="X24"/>
      <c r="Y24"/>
      <c r="Z24"/>
      <c r="AA24"/>
      <c r="AB24"/>
      <c r="AC24"/>
      <c r="AD24"/>
      <c r="AE24"/>
      <c r="AF24"/>
      <c r="AG24"/>
      <c r="AH24"/>
    </row>
    <row r="25" spans="1:34" x14ac:dyDescent="0.25">
      <c r="A25" s="1" t="str">
        <f t="shared" si="0"/>
        <v>01 Evian + 0.2% DMSO</v>
      </c>
      <c r="B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 s="1" t="s">
        <v>229</v>
      </c>
      <c r="D25" s="1" t="s">
        <v>230</v>
      </c>
      <c r="E25" s="1" t="s">
        <v>231</v>
      </c>
      <c r="F25" s="1" t="s">
        <v>112</v>
      </c>
      <c r="G25" s="1">
        <v>179788</v>
      </c>
      <c r="K25"/>
      <c r="L25"/>
      <c r="M25"/>
      <c r="N25"/>
      <c r="O25"/>
      <c r="P25"/>
      <c r="Q25"/>
      <c r="R25"/>
      <c r="S25"/>
      <c r="T25"/>
      <c r="U25"/>
      <c r="V25"/>
      <c r="W25"/>
      <c r="X25"/>
      <c r="Y25"/>
      <c r="Z25"/>
      <c r="AA25"/>
      <c r="AB25"/>
      <c r="AC25"/>
      <c r="AD25"/>
      <c r="AE25"/>
      <c r="AF25"/>
      <c r="AG25"/>
      <c r="AH25"/>
    </row>
    <row r="26" spans="1:34" x14ac:dyDescent="0.25">
      <c r="A26" s="1" t="str">
        <f t="shared" si="0"/>
        <v/>
      </c>
      <c r="B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 s="1" t="s">
        <v>112</v>
      </c>
      <c r="K26"/>
      <c r="L26"/>
      <c r="M26"/>
      <c r="N26"/>
      <c r="O26"/>
      <c r="P26"/>
      <c r="Q26"/>
      <c r="R26"/>
      <c r="S26"/>
      <c r="T26"/>
      <c r="U26"/>
      <c r="V26"/>
      <c r="W26"/>
      <c r="X26"/>
      <c r="Y26"/>
      <c r="Z26"/>
      <c r="AA26"/>
      <c r="AB26"/>
      <c r="AC26"/>
      <c r="AD26"/>
      <c r="AE26"/>
      <c r="AF26"/>
      <c r="AG26"/>
      <c r="AH26"/>
    </row>
    <row r="27" spans="1:34" x14ac:dyDescent="0.25">
      <c r="A27" s="1" t="str">
        <f t="shared" si="0"/>
        <v/>
      </c>
      <c r="B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7" s="1" t="s">
        <v>232</v>
      </c>
      <c r="D27" s="1" t="s">
        <v>112</v>
      </c>
      <c r="E27" s="1" t="s">
        <v>233</v>
      </c>
      <c r="F27" s="1" t="s">
        <v>234</v>
      </c>
      <c r="G27" s="1" t="s">
        <v>235</v>
      </c>
      <c r="H27" s="1" t="s">
        <v>236</v>
      </c>
      <c r="I27" s="1" t="s">
        <v>237</v>
      </c>
      <c r="J27" s="1" t="s">
        <v>238</v>
      </c>
      <c r="K27"/>
      <c r="L27"/>
      <c r="M27"/>
      <c r="N27"/>
      <c r="O27"/>
      <c r="P27"/>
      <c r="Q27"/>
      <c r="R27"/>
      <c r="S27"/>
      <c r="T27"/>
      <c r="U27"/>
      <c r="V27"/>
      <c r="W27"/>
      <c r="X27"/>
      <c r="Y27"/>
      <c r="Z27"/>
      <c r="AA27"/>
      <c r="AB27"/>
      <c r="AC27"/>
      <c r="AD27"/>
      <c r="AE27"/>
      <c r="AF27"/>
      <c r="AG27"/>
      <c r="AH27"/>
    </row>
    <row r="28" spans="1:34" x14ac:dyDescent="0.25">
      <c r="A28" s="1" t="str">
        <f t="shared" si="0"/>
        <v>01 Evian + 0.2% DMSO</v>
      </c>
      <c r="B2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8" s="1" t="s">
        <v>239</v>
      </c>
      <c r="D28" s="1" t="s">
        <v>112</v>
      </c>
      <c r="E28" s="1" t="s">
        <v>240</v>
      </c>
      <c r="F28" s="1" t="s">
        <v>241</v>
      </c>
      <c r="G28" s="1" t="s">
        <v>242</v>
      </c>
      <c r="H28" s="1" t="s">
        <v>243</v>
      </c>
      <c r="I28" s="1">
        <v>24</v>
      </c>
      <c r="J28" s="1">
        <v>24</v>
      </c>
      <c r="K28"/>
      <c r="L28"/>
      <c r="M28"/>
      <c r="N28"/>
      <c r="O28"/>
      <c r="P28"/>
      <c r="Q28"/>
      <c r="R28"/>
      <c r="S28"/>
      <c r="T28"/>
      <c r="U28"/>
      <c r="V28"/>
      <c r="W28"/>
      <c r="X28"/>
      <c r="Y28"/>
      <c r="Z28"/>
      <c r="AA28"/>
      <c r="AB28"/>
      <c r="AC28"/>
      <c r="AD28"/>
      <c r="AE28"/>
      <c r="AF28"/>
      <c r="AG28"/>
      <c r="AH28"/>
    </row>
    <row r="29" spans="1:34" x14ac:dyDescent="0.25">
      <c r="A29" s="1" t="str">
        <f t="shared" si="0"/>
        <v/>
      </c>
      <c r="B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 s="1" t="s">
        <v>112</v>
      </c>
      <c r="K29"/>
      <c r="L29"/>
      <c r="M29"/>
      <c r="N29"/>
      <c r="O29"/>
      <c r="P29"/>
      <c r="Q29"/>
      <c r="R29"/>
      <c r="S29"/>
      <c r="T29"/>
      <c r="U29"/>
      <c r="V29"/>
      <c r="W29"/>
      <c r="X29"/>
      <c r="Y29"/>
      <c r="Z29"/>
      <c r="AA29"/>
      <c r="AB29"/>
      <c r="AC29"/>
      <c r="AD29"/>
      <c r="AE29"/>
      <c r="AF29"/>
      <c r="AG29"/>
      <c r="AH29"/>
    </row>
    <row r="30" spans="1:34" x14ac:dyDescent="0.25">
      <c r="A30" s="1" t="str">
        <f t="shared" si="0"/>
        <v/>
      </c>
      <c r="B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0" s="1" t="s">
        <v>112</v>
      </c>
      <c r="K30"/>
      <c r="L30"/>
      <c r="M30"/>
      <c r="N30"/>
      <c r="O30"/>
      <c r="P30"/>
      <c r="Q30"/>
      <c r="R30"/>
      <c r="S30"/>
      <c r="T30"/>
      <c r="U30"/>
      <c r="V30"/>
      <c r="W30"/>
      <c r="X30"/>
      <c r="Y30"/>
      <c r="Z30"/>
      <c r="AA30"/>
      <c r="AB30"/>
      <c r="AC30"/>
      <c r="AD30"/>
      <c r="AE30"/>
      <c r="AF30"/>
      <c r="AG30"/>
      <c r="AH30"/>
    </row>
    <row r="31" spans="1:34" x14ac:dyDescent="0.25">
      <c r="A31" s="1" t="str">
        <f t="shared" si="0"/>
        <v/>
      </c>
      <c r="B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1" s="1" t="s">
        <v>112</v>
      </c>
      <c r="K31"/>
      <c r="L31"/>
      <c r="M31"/>
      <c r="N31"/>
      <c r="O31"/>
      <c r="P31"/>
      <c r="Q31"/>
      <c r="R31"/>
      <c r="S31"/>
      <c r="T31"/>
      <c r="U31"/>
      <c r="V31"/>
      <c r="W31"/>
      <c r="X31"/>
      <c r="Y31"/>
      <c r="Z31"/>
      <c r="AA31"/>
      <c r="AB31"/>
      <c r="AC31"/>
      <c r="AD31"/>
      <c r="AE31"/>
      <c r="AF31"/>
      <c r="AG31"/>
      <c r="AH31"/>
    </row>
    <row r="32" spans="1:34" x14ac:dyDescent="0.25">
      <c r="A32" s="1" t="str">
        <f t="shared" si="0"/>
        <v/>
      </c>
      <c r="B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 s="1" t="s">
        <v>112</v>
      </c>
      <c r="K32"/>
      <c r="L32"/>
      <c r="M32"/>
      <c r="N32"/>
      <c r="O32"/>
      <c r="P32"/>
      <c r="Q32"/>
      <c r="R32"/>
      <c r="S32"/>
      <c r="T32"/>
      <c r="U32"/>
      <c r="V32"/>
      <c r="W32"/>
      <c r="X32"/>
      <c r="Y32"/>
      <c r="Z32"/>
      <c r="AA32"/>
      <c r="AB32"/>
      <c r="AC32"/>
      <c r="AD32"/>
      <c r="AE32"/>
      <c r="AF32"/>
      <c r="AG32"/>
      <c r="AH32"/>
    </row>
    <row r="33" spans="1:34" x14ac:dyDescent="0.25">
      <c r="A33" s="1" t="str">
        <f t="shared" si="0"/>
        <v/>
      </c>
      <c r="B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 s="1" t="s">
        <v>112</v>
      </c>
      <c r="K33"/>
      <c r="L33"/>
      <c r="M33"/>
      <c r="N33"/>
      <c r="O33"/>
      <c r="P33"/>
      <c r="Q33"/>
      <c r="R33"/>
      <c r="S33"/>
      <c r="T33"/>
      <c r="U33"/>
      <c r="V33"/>
      <c r="W33"/>
      <c r="X33"/>
      <c r="Y33"/>
      <c r="Z33"/>
      <c r="AA33"/>
      <c r="AB33"/>
      <c r="AC33"/>
      <c r="AD33"/>
      <c r="AE33"/>
      <c r="AF33"/>
      <c r="AG33"/>
      <c r="AH33"/>
    </row>
    <row r="34" spans="1:34" x14ac:dyDescent="0.25">
      <c r="A34" s="1" t="str">
        <f t="shared" si="0"/>
        <v/>
      </c>
      <c r="B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4" s="1" t="s">
        <v>244</v>
      </c>
      <c r="D34" s="1" t="s">
        <v>110</v>
      </c>
      <c r="E34" s="1" t="s">
        <v>111</v>
      </c>
      <c r="F34" s="1" t="s">
        <v>112</v>
      </c>
      <c r="G34" s="1" t="s">
        <v>113</v>
      </c>
      <c r="K34"/>
      <c r="L34"/>
      <c r="M34"/>
      <c r="N34"/>
      <c r="O34"/>
      <c r="P34"/>
      <c r="Q34"/>
      <c r="R34"/>
      <c r="S34"/>
      <c r="T34"/>
      <c r="U34"/>
      <c r="V34"/>
      <c r="W34"/>
      <c r="X34"/>
      <c r="Y34"/>
      <c r="Z34"/>
      <c r="AA34"/>
      <c r="AB34"/>
      <c r="AC34"/>
      <c r="AD34"/>
      <c r="AE34"/>
      <c r="AF34"/>
      <c r="AG34"/>
      <c r="AH34"/>
    </row>
    <row r="35" spans="1:34" x14ac:dyDescent="0.25">
      <c r="A35" s="1" t="str">
        <f t="shared" si="0"/>
        <v>02 EE2 33.8</v>
      </c>
      <c r="B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5" s="1" t="s">
        <v>245</v>
      </c>
      <c r="D35" s="1" t="s">
        <v>246</v>
      </c>
      <c r="E35" s="1" t="s">
        <v>247</v>
      </c>
      <c r="F35" s="1" t="s">
        <v>112</v>
      </c>
      <c r="G35" s="1">
        <v>132613</v>
      </c>
      <c r="K35"/>
      <c r="L35"/>
      <c r="M35"/>
      <c r="N35"/>
      <c r="O35"/>
      <c r="P35"/>
      <c r="Q35"/>
      <c r="R35"/>
      <c r="S35"/>
      <c r="T35"/>
      <c r="U35"/>
      <c r="V35"/>
      <c r="W35"/>
      <c r="X35"/>
      <c r="Y35"/>
      <c r="Z35"/>
      <c r="AA35"/>
      <c r="AB35"/>
      <c r="AC35"/>
      <c r="AD35"/>
      <c r="AE35"/>
      <c r="AF35"/>
      <c r="AG35"/>
      <c r="AH35"/>
    </row>
    <row r="36" spans="1:34" x14ac:dyDescent="0.25">
      <c r="A36" s="1" t="str">
        <f t="shared" si="0"/>
        <v>02 EE2 33.8</v>
      </c>
      <c r="B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 s="1" t="s">
        <v>248</v>
      </c>
      <c r="D36" s="1" t="s">
        <v>249</v>
      </c>
      <c r="E36" s="1" t="s">
        <v>250</v>
      </c>
      <c r="F36" s="1" t="s">
        <v>112</v>
      </c>
      <c r="G36" s="1">
        <v>97681</v>
      </c>
      <c r="K36"/>
      <c r="L36"/>
      <c r="M36"/>
      <c r="N36"/>
      <c r="O36"/>
      <c r="P36"/>
      <c r="Q36"/>
      <c r="R36"/>
      <c r="S36"/>
      <c r="T36"/>
      <c r="U36"/>
      <c r="V36"/>
      <c r="W36"/>
      <c r="X36"/>
      <c r="Y36"/>
      <c r="Z36"/>
      <c r="AA36"/>
      <c r="AB36"/>
      <c r="AC36"/>
      <c r="AD36"/>
      <c r="AE36"/>
      <c r="AF36"/>
      <c r="AG36"/>
      <c r="AH36"/>
    </row>
    <row r="37" spans="1:34" x14ac:dyDescent="0.25">
      <c r="A37" s="1" t="str">
        <f t="shared" si="0"/>
        <v>02 EE2 33.8</v>
      </c>
      <c r="B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7" s="1" t="s">
        <v>251</v>
      </c>
      <c r="D37" s="1" t="s">
        <v>252</v>
      </c>
      <c r="E37" s="1" t="s">
        <v>253</v>
      </c>
      <c r="F37" s="1" t="s">
        <v>112</v>
      </c>
      <c r="G37" s="1">
        <v>68026</v>
      </c>
      <c r="K37"/>
      <c r="L37"/>
      <c r="M37"/>
      <c r="N37"/>
      <c r="O37"/>
      <c r="P37"/>
      <c r="Q37"/>
      <c r="R37"/>
      <c r="S37"/>
      <c r="T37"/>
      <c r="U37"/>
      <c r="V37"/>
      <c r="W37"/>
      <c r="X37"/>
      <c r="Y37"/>
      <c r="Z37"/>
      <c r="AA37"/>
      <c r="AB37"/>
      <c r="AC37"/>
      <c r="AD37"/>
      <c r="AE37"/>
      <c r="AF37"/>
      <c r="AG37"/>
      <c r="AH37"/>
    </row>
    <row r="38" spans="1:34" x14ac:dyDescent="0.25">
      <c r="A38" s="1" t="str">
        <f t="shared" si="0"/>
        <v>02 EE2 33.8</v>
      </c>
      <c r="B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8" s="1" t="s">
        <v>254</v>
      </c>
      <c r="D38" s="1" t="s">
        <v>255</v>
      </c>
      <c r="E38" s="1" t="s">
        <v>256</v>
      </c>
      <c r="F38" s="1" t="s">
        <v>112</v>
      </c>
      <c r="G38" s="1">
        <v>49749</v>
      </c>
      <c r="K38"/>
      <c r="L38"/>
      <c r="M38"/>
      <c r="N38"/>
      <c r="O38"/>
      <c r="P38"/>
      <c r="Q38"/>
      <c r="R38"/>
      <c r="S38"/>
      <c r="T38"/>
      <c r="U38"/>
      <c r="V38"/>
      <c r="W38"/>
      <c r="X38"/>
      <c r="Y38"/>
      <c r="Z38"/>
      <c r="AA38"/>
      <c r="AB38"/>
      <c r="AC38"/>
      <c r="AD38"/>
      <c r="AE38"/>
      <c r="AF38"/>
      <c r="AG38"/>
      <c r="AH38"/>
    </row>
    <row r="39" spans="1:34" x14ac:dyDescent="0.25">
      <c r="A39" s="1" t="str">
        <f t="shared" si="0"/>
        <v>02 EE2 33.8</v>
      </c>
      <c r="B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9" s="1" t="s">
        <v>257</v>
      </c>
      <c r="D39" s="1" t="s">
        <v>258</v>
      </c>
      <c r="E39" s="1" t="s">
        <v>259</v>
      </c>
      <c r="F39" s="1" t="s">
        <v>112</v>
      </c>
      <c r="G39" s="1">
        <v>55546</v>
      </c>
    </row>
    <row r="40" spans="1:34" x14ac:dyDescent="0.25">
      <c r="A40" s="1" t="str">
        <f t="shared" si="0"/>
        <v>02 EE2 33.8</v>
      </c>
      <c r="B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 s="1" t="s">
        <v>260</v>
      </c>
      <c r="D40" s="1" t="s">
        <v>261</v>
      </c>
      <c r="E40" s="1" t="s">
        <v>262</v>
      </c>
      <c r="F40" s="1" t="s">
        <v>112</v>
      </c>
      <c r="G40" s="1">
        <v>13670</v>
      </c>
    </row>
    <row r="41" spans="1:34" x14ac:dyDescent="0.25">
      <c r="A41" s="1" t="str">
        <f t="shared" si="0"/>
        <v>02 EE2 33.8</v>
      </c>
      <c r="B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1" s="1" t="s">
        <v>263</v>
      </c>
      <c r="D41" s="1" t="s">
        <v>264</v>
      </c>
      <c r="E41" s="1" t="s">
        <v>265</v>
      </c>
      <c r="F41" s="1" t="s">
        <v>112</v>
      </c>
      <c r="G41" s="1">
        <v>40837</v>
      </c>
    </row>
    <row r="42" spans="1:34" x14ac:dyDescent="0.25">
      <c r="A42" s="1" t="str">
        <f t="shared" si="0"/>
        <v>02 EE2 33.8</v>
      </c>
      <c r="B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2" s="1" t="s">
        <v>266</v>
      </c>
      <c r="D42" s="1" t="s">
        <v>267</v>
      </c>
      <c r="E42" s="1" t="s">
        <v>268</v>
      </c>
      <c r="F42" s="1" t="s">
        <v>112</v>
      </c>
      <c r="G42" s="1">
        <v>381422</v>
      </c>
    </row>
    <row r="43" spans="1:34" x14ac:dyDescent="0.25">
      <c r="A43" s="1" t="str">
        <f t="shared" si="0"/>
        <v>02 EE2 33.8</v>
      </c>
      <c r="B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 s="1" t="s">
        <v>269</v>
      </c>
      <c r="D43" s="1" t="s">
        <v>270</v>
      </c>
      <c r="E43" s="1">
        <v>64</v>
      </c>
      <c r="F43" s="1" t="s">
        <v>112</v>
      </c>
      <c r="G43" s="1">
        <v>29071</v>
      </c>
    </row>
    <row r="44" spans="1:34" x14ac:dyDescent="0.25">
      <c r="A44" s="1" t="str">
        <f t="shared" si="0"/>
        <v>02 EE2 33.8</v>
      </c>
      <c r="B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 s="1" t="s">
        <v>271</v>
      </c>
      <c r="D44" s="1" t="s">
        <v>272</v>
      </c>
      <c r="E44" s="1" t="s">
        <v>273</v>
      </c>
      <c r="F44" s="1" t="s">
        <v>112</v>
      </c>
      <c r="G44" s="1">
        <v>89440</v>
      </c>
    </row>
    <row r="45" spans="1:34" x14ac:dyDescent="0.25">
      <c r="A45" s="1" t="str">
        <f t="shared" si="0"/>
        <v>02 EE2 33.8</v>
      </c>
      <c r="B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5" s="1" t="s">
        <v>274</v>
      </c>
      <c r="D45" s="1" t="s">
        <v>275</v>
      </c>
      <c r="E45" s="1" t="s">
        <v>276</v>
      </c>
      <c r="F45" s="1" t="s">
        <v>112</v>
      </c>
      <c r="G45" s="1">
        <v>417284</v>
      </c>
    </row>
    <row r="46" spans="1:34" x14ac:dyDescent="0.25">
      <c r="A46" s="1" t="str">
        <f t="shared" si="0"/>
        <v>02 EE2 33.8</v>
      </c>
      <c r="B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6" s="1" t="s">
        <v>277</v>
      </c>
      <c r="D46" s="1" t="s">
        <v>278</v>
      </c>
      <c r="E46" s="1" t="s">
        <v>279</v>
      </c>
      <c r="F46" s="1" t="s">
        <v>112</v>
      </c>
      <c r="G46" s="1">
        <v>224367</v>
      </c>
    </row>
    <row r="47" spans="1:34" x14ac:dyDescent="0.25">
      <c r="A47" s="1" t="str">
        <f t="shared" si="0"/>
        <v>02 EE2 33.8</v>
      </c>
      <c r="B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 s="1" t="s">
        <v>280</v>
      </c>
      <c r="D47" s="1" t="s">
        <v>281</v>
      </c>
      <c r="E47" s="1" t="s">
        <v>282</v>
      </c>
      <c r="F47" s="1" t="s">
        <v>112</v>
      </c>
      <c r="G47" s="1">
        <v>46266</v>
      </c>
    </row>
    <row r="48" spans="1:34" x14ac:dyDescent="0.25">
      <c r="A48" s="1" t="str">
        <f t="shared" si="0"/>
        <v>02 EE2 33.8</v>
      </c>
      <c r="B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8" s="1" t="s">
        <v>283</v>
      </c>
      <c r="D48" s="1" t="s">
        <v>284</v>
      </c>
      <c r="E48" s="1" t="s">
        <v>285</v>
      </c>
      <c r="F48" s="1" t="s">
        <v>112</v>
      </c>
      <c r="G48" s="1">
        <v>126600</v>
      </c>
    </row>
    <row r="49" spans="1:10" x14ac:dyDescent="0.25">
      <c r="A49" s="1" t="str">
        <f t="shared" si="0"/>
        <v>02 EE2 33.8</v>
      </c>
      <c r="B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9" s="1" t="s">
        <v>286</v>
      </c>
      <c r="D49" s="1" t="s">
        <v>287</v>
      </c>
      <c r="E49" s="1" t="s">
        <v>288</v>
      </c>
      <c r="F49" s="1" t="s">
        <v>112</v>
      </c>
      <c r="G49" s="1">
        <v>370109</v>
      </c>
    </row>
    <row r="50" spans="1:10" x14ac:dyDescent="0.25">
      <c r="A50" s="1" t="str">
        <f t="shared" si="0"/>
        <v>02 EE2 33.8</v>
      </c>
      <c r="B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0" s="1" t="s">
        <v>289</v>
      </c>
      <c r="D50" s="1" t="s">
        <v>290</v>
      </c>
      <c r="E50" s="1" t="s">
        <v>206</v>
      </c>
      <c r="F50" s="1" t="s">
        <v>112</v>
      </c>
      <c r="G50" s="1">
        <v>60672</v>
      </c>
    </row>
    <row r="51" spans="1:10" x14ac:dyDescent="0.25">
      <c r="A51" s="1" t="str">
        <f t="shared" si="0"/>
        <v>02 EE2 33.8</v>
      </c>
      <c r="B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 s="1" t="s">
        <v>291</v>
      </c>
      <c r="D51" s="1" t="s">
        <v>270</v>
      </c>
      <c r="E51" s="1" t="s">
        <v>292</v>
      </c>
      <c r="F51" s="1" t="s">
        <v>112</v>
      </c>
      <c r="G51" s="1">
        <v>28638</v>
      </c>
    </row>
    <row r="52" spans="1:10" x14ac:dyDescent="0.25">
      <c r="A52" s="1" t="str">
        <f t="shared" si="0"/>
        <v>02 EE2 33.8</v>
      </c>
      <c r="B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2" s="1" t="s">
        <v>293</v>
      </c>
      <c r="D52" s="1" t="s">
        <v>294</v>
      </c>
      <c r="E52" s="1" t="s">
        <v>295</v>
      </c>
      <c r="F52" s="1" t="s">
        <v>112</v>
      </c>
      <c r="G52" s="1">
        <v>40924</v>
      </c>
    </row>
    <row r="53" spans="1:10" x14ac:dyDescent="0.25">
      <c r="A53" s="1" t="str">
        <f t="shared" si="0"/>
        <v>02 EE2 33.8</v>
      </c>
      <c r="B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3" s="1" t="s">
        <v>296</v>
      </c>
      <c r="D53" s="1" t="s">
        <v>297</v>
      </c>
      <c r="E53" s="1" t="s">
        <v>298</v>
      </c>
      <c r="F53" s="1" t="s">
        <v>112</v>
      </c>
      <c r="G53" s="1">
        <v>9885</v>
      </c>
    </row>
    <row r="54" spans="1:10" x14ac:dyDescent="0.25">
      <c r="A54" s="1" t="str">
        <f t="shared" si="0"/>
        <v>02 EE2 33.8</v>
      </c>
      <c r="B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 s="1" t="s">
        <v>299</v>
      </c>
      <c r="D54" s="1" t="s">
        <v>218</v>
      </c>
      <c r="E54" s="1" t="s">
        <v>300</v>
      </c>
      <c r="F54" s="1" t="s">
        <v>112</v>
      </c>
      <c r="G54" s="1">
        <v>14946</v>
      </c>
    </row>
    <row r="55" spans="1:10" x14ac:dyDescent="0.25">
      <c r="A55" s="1" t="str">
        <f t="shared" si="0"/>
        <v>02 EE2 33.8</v>
      </c>
      <c r="B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5" s="1" t="s">
        <v>301</v>
      </c>
      <c r="D55" s="1" t="s">
        <v>302</v>
      </c>
      <c r="E55" s="1" t="s">
        <v>303</v>
      </c>
      <c r="F55" s="1" t="s">
        <v>112</v>
      </c>
      <c r="G55" s="1">
        <v>10858</v>
      </c>
    </row>
    <row r="56" spans="1:10" x14ac:dyDescent="0.25">
      <c r="A56" s="1" t="str">
        <f t="shared" si="0"/>
        <v>02 EE2 33.8</v>
      </c>
      <c r="B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6" s="1" t="s">
        <v>304</v>
      </c>
      <c r="D56" s="1" t="s">
        <v>305</v>
      </c>
      <c r="E56" s="1" t="s">
        <v>306</v>
      </c>
      <c r="F56" s="1" t="s">
        <v>112</v>
      </c>
      <c r="G56" s="1">
        <v>381270</v>
      </c>
    </row>
    <row r="57" spans="1:10" x14ac:dyDescent="0.25">
      <c r="A57" s="1" t="str">
        <f t="shared" si="0"/>
        <v>02 EE2 33.8</v>
      </c>
      <c r="B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7" s="1" t="s">
        <v>307</v>
      </c>
      <c r="D57" s="1" t="s">
        <v>308</v>
      </c>
      <c r="E57" s="1" t="s">
        <v>309</v>
      </c>
      <c r="F57" s="1" t="s">
        <v>112</v>
      </c>
      <c r="G57" s="1">
        <v>251621</v>
      </c>
    </row>
    <row r="58" spans="1:10" x14ac:dyDescent="0.25">
      <c r="A58" s="1" t="str">
        <f t="shared" si="0"/>
        <v>02 EE2 33.8</v>
      </c>
      <c r="B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 s="1" t="s">
        <v>310</v>
      </c>
      <c r="D58" s="1" t="s">
        <v>311</v>
      </c>
      <c r="E58" s="1" t="s">
        <v>312</v>
      </c>
      <c r="F58" s="1" t="s">
        <v>112</v>
      </c>
      <c r="G58" s="1">
        <v>435842</v>
      </c>
    </row>
    <row r="59" spans="1:10" x14ac:dyDescent="0.25">
      <c r="A59" s="1" t="str">
        <f t="shared" si="0"/>
        <v/>
      </c>
      <c r="B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 s="1" t="s">
        <v>112</v>
      </c>
    </row>
    <row r="60" spans="1:10" x14ac:dyDescent="0.25">
      <c r="A60" s="1" t="str">
        <f t="shared" si="0"/>
        <v/>
      </c>
      <c r="B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0" s="1" t="s">
        <v>232</v>
      </c>
      <c r="D60" s="1" t="s">
        <v>112</v>
      </c>
      <c r="E60" s="1" t="s">
        <v>233</v>
      </c>
      <c r="F60" s="1" t="s">
        <v>234</v>
      </c>
      <c r="G60" s="1" t="s">
        <v>235</v>
      </c>
      <c r="H60" s="1" t="s">
        <v>236</v>
      </c>
      <c r="I60" s="1" t="s">
        <v>237</v>
      </c>
      <c r="J60" s="1" t="s">
        <v>238</v>
      </c>
    </row>
    <row r="61" spans="1:10" x14ac:dyDescent="0.25">
      <c r="A61" s="1" t="str">
        <f t="shared" si="0"/>
        <v>02 EE2 33.8</v>
      </c>
      <c r="B6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1" s="1" t="s">
        <v>313</v>
      </c>
      <c r="D61" s="1" t="s">
        <v>112</v>
      </c>
      <c r="E61" s="1" t="s">
        <v>314</v>
      </c>
      <c r="F61" s="1" t="s">
        <v>315</v>
      </c>
      <c r="G61" s="1" t="s">
        <v>316</v>
      </c>
      <c r="H61" s="1" t="s">
        <v>317</v>
      </c>
      <c r="I61" s="1">
        <v>24</v>
      </c>
      <c r="J61" s="1">
        <v>24</v>
      </c>
    </row>
    <row r="62" spans="1:10" x14ac:dyDescent="0.25">
      <c r="A62" s="1" t="str">
        <f t="shared" si="0"/>
        <v/>
      </c>
      <c r="B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 s="1" t="s">
        <v>112</v>
      </c>
    </row>
    <row r="63" spans="1:10" x14ac:dyDescent="0.25">
      <c r="A63" s="1" t="str">
        <f t="shared" si="0"/>
        <v/>
      </c>
      <c r="B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3" s="1" t="s">
        <v>112</v>
      </c>
    </row>
    <row r="64" spans="1:10" x14ac:dyDescent="0.25">
      <c r="A64" s="1" t="str">
        <f t="shared" si="0"/>
        <v/>
      </c>
      <c r="B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4" s="1" t="s">
        <v>112</v>
      </c>
    </row>
    <row r="65" spans="1:7" x14ac:dyDescent="0.25">
      <c r="A65" s="1" t="str">
        <f t="shared" si="0"/>
        <v/>
      </c>
      <c r="B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 s="1" t="s">
        <v>112</v>
      </c>
    </row>
    <row r="66" spans="1:7" x14ac:dyDescent="0.25">
      <c r="A66" s="1" t="str">
        <f t="shared" ref="A66:A129" si="1">IFERROR(LEFT(RIGHT(C66,LEN(C66)-SEARCH("@",C66)),SEARCH("/",RIGHT(C66,LEN(C66)-SEARCH("@",C66)-1))),"")</f>
        <v/>
      </c>
      <c r="B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 s="1" t="s">
        <v>112</v>
      </c>
    </row>
    <row r="67" spans="1:7" x14ac:dyDescent="0.25">
      <c r="A67" s="1" t="str">
        <f t="shared" si="1"/>
        <v/>
      </c>
      <c r="B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7" s="1" t="s">
        <v>244</v>
      </c>
      <c r="D67" s="1" t="s">
        <v>110</v>
      </c>
      <c r="E67" s="1" t="s">
        <v>111</v>
      </c>
      <c r="F67" s="1" t="s">
        <v>112</v>
      </c>
      <c r="G67" s="1" t="s">
        <v>113</v>
      </c>
    </row>
    <row r="68" spans="1:7" x14ac:dyDescent="0.25">
      <c r="A68" s="1" t="str">
        <f t="shared" si="1"/>
        <v>03 EE2 50.6</v>
      </c>
      <c r="B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8" s="1" t="s">
        <v>318</v>
      </c>
      <c r="D68" s="1" t="s">
        <v>319</v>
      </c>
      <c r="E68" s="1" t="s">
        <v>320</v>
      </c>
      <c r="F68" s="1" t="s">
        <v>112</v>
      </c>
      <c r="G68" s="1">
        <v>112800</v>
      </c>
    </row>
    <row r="69" spans="1:7" x14ac:dyDescent="0.25">
      <c r="A69" s="1" t="str">
        <f t="shared" si="1"/>
        <v>03 EE2 50.6</v>
      </c>
      <c r="B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9" s="1" t="s">
        <v>321</v>
      </c>
    </row>
    <row r="70" spans="1:7" x14ac:dyDescent="0.25">
      <c r="A70" s="1" t="str">
        <f t="shared" si="1"/>
        <v>03 EE2 50.6</v>
      </c>
      <c r="B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70" s="1" t="s">
        <v>322</v>
      </c>
      <c r="D70" s="1" t="s">
        <v>323</v>
      </c>
      <c r="E70" s="1" t="s">
        <v>324</v>
      </c>
      <c r="F70" s="1" t="s">
        <v>112</v>
      </c>
      <c r="G70" s="1">
        <v>1159146</v>
      </c>
    </row>
    <row r="71" spans="1:7" x14ac:dyDescent="0.25">
      <c r="A71" s="1" t="str">
        <f t="shared" si="1"/>
        <v>03 EE2 50.6</v>
      </c>
      <c r="B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1" s="1" t="s">
        <v>325</v>
      </c>
      <c r="D71" s="1" t="s">
        <v>146</v>
      </c>
      <c r="E71" s="1" t="s">
        <v>326</v>
      </c>
      <c r="F71" s="1" t="s">
        <v>112</v>
      </c>
      <c r="G71" s="1">
        <v>326092</v>
      </c>
    </row>
    <row r="72" spans="1:7" x14ac:dyDescent="0.25">
      <c r="A72" s="1" t="str">
        <f t="shared" si="1"/>
        <v>03 EE2 50.6</v>
      </c>
      <c r="B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2" s="1" t="s">
        <v>327</v>
      </c>
      <c r="D72" s="1" t="s">
        <v>328</v>
      </c>
      <c r="E72" s="1" t="s">
        <v>329</v>
      </c>
      <c r="F72" s="1" t="s">
        <v>112</v>
      </c>
      <c r="G72" s="1">
        <v>151128</v>
      </c>
    </row>
    <row r="73" spans="1:7" x14ac:dyDescent="0.25">
      <c r="A73" s="1" t="str">
        <f t="shared" si="1"/>
        <v>03 EE2 50.6</v>
      </c>
      <c r="B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3" s="1" t="s">
        <v>330</v>
      </c>
      <c r="D73" s="1" t="s">
        <v>331</v>
      </c>
      <c r="E73" s="1" t="s">
        <v>332</v>
      </c>
      <c r="F73" s="1" t="s">
        <v>112</v>
      </c>
      <c r="G73" s="1">
        <v>306647</v>
      </c>
    </row>
    <row r="74" spans="1:7" x14ac:dyDescent="0.25">
      <c r="A74" s="1" t="str">
        <f t="shared" si="1"/>
        <v>03 EE2 50.6</v>
      </c>
      <c r="B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4" s="1" t="s">
        <v>333</v>
      </c>
      <c r="D74" s="1" t="s">
        <v>334</v>
      </c>
      <c r="E74" s="1" t="s">
        <v>335</v>
      </c>
      <c r="F74" s="1" t="s">
        <v>112</v>
      </c>
      <c r="G74" s="1">
        <v>269444</v>
      </c>
    </row>
    <row r="75" spans="1:7" x14ac:dyDescent="0.25">
      <c r="A75" s="1" t="str">
        <f t="shared" si="1"/>
        <v>03 EE2 50.6</v>
      </c>
      <c r="B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5" s="1" t="s">
        <v>336</v>
      </c>
      <c r="D75" s="1" t="s">
        <v>337</v>
      </c>
      <c r="E75" s="1" t="s">
        <v>338</v>
      </c>
      <c r="F75" s="1" t="s">
        <v>112</v>
      </c>
      <c r="G75" s="1">
        <v>82388</v>
      </c>
    </row>
    <row r="76" spans="1:7" x14ac:dyDescent="0.25">
      <c r="A76" s="1" t="str">
        <f t="shared" si="1"/>
        <v>03 EE2 50.6</v>
      </c>
      <c r="B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6" s="1" t="s">
        <v>339</v>
      </c>
      <c r="D76" s="1" t="s">
        <v>187</v>
      </c>
      <c r="E76" s="1" t="s">
        <v>340</v>
      </c>
      <c r="F76" s="1" t="s">
        <v>112</v>
      </c>
      <c r="G76" s="1">
        <v>104970</v>
      </c>
    </row>
    <row r="77" spans="1:7" x14ac:dyDescent="0.25">
      <c r="A77" s="1" t="str">
        <f t="shared" si="1"/>
        <v>03 EE2 50.6</v>
      </c>
      <c r="B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7" s="1" t="s">
        <v>341</v>
      </c>
      <c r="D77" s="1" t="s">
        <v>308</v>
      </c>
      <c r="E77" s="1">
        <v>66</v>
      </c>
      <c r="F77" s="1" t="s">
        <v>112</v>
      </c>
      <c r="G77" s="1">
        <v>258391</v>
      </c>
    </row>
    <row r="78" spans="1:7" x14ac:dyDescent="0.25">
      <c r="A78" s="1" t="str">
        <f t="shared" si="1"/>
        <v>03 EE2 50.6</v>
      </c>
      <c r="B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8" s="1" t="s">
        <v>342</v>
      </c>
      <c r="D78" s="1" t="s">
        <v>343</v>
      </c>
      <c r="E78" s="1" t="s">
        <v>344</v>
      </c>
      <c r="F78" s="1" t="s">
        <v>112</v>
      </c>
      <c r="G78" s="1">
        <v>267994</v>
      </c>
    </row>
    <row r="79" spans="1:7" x14ac:dyDescent="0.25">
      <c r="A79" s="1" t="str">
        <f t="shared" si="1"/>
        <v>03 EE2 50.6</v>
      </c>
      <c r="B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9" s="1" t="s">
        <v>345</v>
      </c>
      <c r="D79" s="1" t="s">
        <v>346</v>
      </c>
      <c r="E79" s="1" t="s">
        <v>347</v>
      </c>
      <c r="F79" s="1" t="s">
        <v>112</v>
      </c>
      <c r="G79" s="1">
        <v>167935</v>
      </c>
    </row>
    <row r="80" spans="1:7" x14ac:dyDescent="0.25">
      <c r="A80" s="1" t="str">
        <f t="shared" si="1"/>
        <v>03 EE2 50.6</v>
      </c>
      <c r="B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0" s="1" t="s">
        <v>348</v>
      </c>
      <c r="D80" s="1" t="s">
        <v>184</v>
      </c>
      <c r="E80" s="1" t="s">
        <v>349</v>
      </c>
      <c r="F80" s="1" t="s">
        <v>112</v>
      </c>
      <c r="G80" s="1">
        <v>54918</v>
      </c>
    </row>
    <row r="81" spans="1:10" x14ac:dyDescent="0.25">
      <c r="A81" s="1" t="str">
        <f t="shared" si="1"/>
        <v>03 EE2 50.6</v>
      </c>
      <c r="B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1" s="1" t="s">
        <v>350</v>
      </c>
      <c r="D81" s="1" t="s">
        <v>261</v>
      </c>
      <c r="E81" s="1" t="s">
        <v>351</v>
      </c>
      <c r="F81" s="1" t="s">
        <v>112</v>
      </c>
      <c r="G81" s="1">
        <v>13519</v>
      </c>
    </row>
    <row r="82" spans="1:10" x14ac:dyDescent="0.25">
      <c r="A82" s="1" t="str">
        <f t="shared" si="1"/>
        <v>03 EE2 50.6</v>
      </c>
      <c r="B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2" s="1" t="s">
        <v>352</v>
      </c>
      <c r="D82" s="1" t="s">
        <v>353</v>
      </c>
      <c r="E82" s="1" t="s">
        <v>354</v>
      </c>
      <c r="F82" s="1" t="s">
        <v>112</v>
      </c>
      <c r="G82" s="1">
        <v>74991</v>
      </c>
    </row>
    <row r="83" spans="1:10" x14ac:dyDescent="0.25">
      <c r="A83" s="1" t="str">
        <f t="shared" si="1"/>
        <v>03 EE2 50.6</v>
      </c>
      <c r="B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3" s="1" t="s">
        <v>355</v>
      </c>
      <c r="D83" s="1" t="s">
        <v>356</v>
      </c>
      <c r="E83" s="1" t="s">
        <v>262</v>
      </c>
      <c r="F83" s="1" t="s">
        <v>112</v>
      </c>
      <c r="G83" s="1">
        <v>68350</v>
      </c>
    </row>
    <row r="84" spans="1:10" x14ac:dyDescent="0.25">
      <c r="A84" s="1" t="str">
        <f t="shared" si="1"/>
        <v>03 EE2 50.6</v>
      </c>
      <c r="B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4" s="1" t="s">
        <v>357</v>
      </c>
      <c r="D84" s="1" t="s">
        <v>358</v>
      </c>
      <c r="E84" s="1" t="s">
        <v>359</v>
      </c>
      <c r="F84" s="1" t="s">
        <v>112</v>
      </c>
      <c r="G84" s="1">
        <v>65344</v>
      </c>
    </row>
    <row r="85" spans="1:10" x14ac:dyDescent="0.25">
      <c r="A85" s="1" t="str">
        <f t="shared" si="1"/>
        <v>03 EE2 50.6</v>
      </c>
      <c r="B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5" s="1" t="s">
        <v>360</v>
      </c>
      <c r="D85" s="1" t="s">
        <v>361</v>
      </c>
      <c r="E85" s="1" t="s">
        <v>362</v>
      </c>
      <c r="F85" s="1" t="s">
        <v>112</v>
      </c>
      <c r="G85" s="1">
        <v>170141</v>
      </c>
    </row>
    <row r="86" spans="1:10" x14ac:dyDescent="0.25">
      <c r="A86" s="1" t="str">
        <f t="shared" si="1"/>
        <v>03 EE2 50.6</v>
      </c>
      <c r="B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6" s="1" t="s">
        <v>363</v>
      </c>
      <c r="D86" s="1" t="s">
        <v>364</v>
      </c>
      <c r="E86" s="1" t="s">
        <v>365</v>
      </c>
      <c r="F86" s="1" t="s">
        <v>112</v>
      </c>
      <c r="G86" s="1">
        <v>77349</v>
      </c>
    </row>
    <row r="87" spans="1:10" x14ac:dyDescent="0.25">
      <c r="A87" s="1" t="str">
        <f t="shared" si="1"/>
        <v>03 EE2 50.6</v>
      </c>
      <c r="B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7" s="1" t="s">
        <v>366</v>
      </c>
      <c r="D87" s="1" t="s">
        <v>367</v>
      </c>
      <c r="E87" s="1" t="s">
        <v>368</v>
      </c>
      <c r="F87" s="1" t="s">
        <v>112</v>
      </c>
      <c r="G87" s="1">
        <v>258477</v>
      </c>
    </row>
    <row r="88" spans="1:10" x14ac:dyDescent="0.25">
      <c r="A88" s="1" t="str">
        <f t="shared" si="1"/>
        <v>03 EE2 50.6</v>
      </c>
      <c r="B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8" s="1" t="s">
        <v>369</v>
      </c>
      <c r="D88" s="1" t="s">
        <v>215</v>
      </c>
      <c r="E88" s="1" t="s">
        <v>370</v>
      </c>
      <c r="F88" s="1" t="s">
        <v>112</v>
      </c>
      <c r="G88" s="1">
        <v>35603</v>
      </c>
    </row>
    <row r="89" spans="1:10" x14ac:dyDescent="0.25">
      <c r="A89" s="1" t="str">
        <f t="shared" si="1"/>
        <v>03 EE2 50.6</v>
      </c>
      <c r="B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89" s="1" t="s">
        <v>371</v>
      </c>
      <c r="D89" s="1" t="s">
        <v>215</v>
      </c>
      <c r="E89" s="1" t="s">
        <v>372</v>
      </c>
      <c r="F89" s="1" t="s">
        <v>112</v>
      </c>
      <c r="G89" s="1">
        <v>34997</v>
      </c>
    </row>
    <row r="90" spans="1:10" x14ac:dyDescent="0.25">
      <c r="A90" s="1" t="str">
        <f t="shared" si="1"/>
        <v>03 EE2 50.6</v>
      </c>
      <c r="B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90" s="1" t="s">
        <v>373</v>
      </c>
      <c r="D90" s="1" t="s">
        <v>374</v>
      </c>
      <c r="E90" s="1" t="s">
        <v>375</v>
      </c>
      <c r="F90" s="1" t="s">
        <v>112</v>
      </c>
      <c r="G90" s="1">
        <v>31255</v>
      </c>
    </row>
    <row r="91" spans="1:10" x14ac:dyDescent="0.25">
      <c r="A91" s="1" t="str">
        <f t="shared" si="1"/>
        <v>03 EE2 50.6</v>
      </c>
      <c r="B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91" s="1" t="s">
        <v>376</v>
      </c>
      <c r="D91" s="1" t="s">
        <v>377</v>
      </c>
      <c r="E91" s="1" t="s">
        <v>378</v>
      </c>
      <c r="F91" s="1" t="s">
        <v>112</v>
      </c>
      <c r="G91" s="1">
        <v>147970</v>
      </c>
    </row>
    <row r="92" spans="1:10" x14ac:dyDescent="0.25">
      <c r="A92" s="1" t="str">
        <f t="shared" si="1"/>
        <v/>
      </c>
      <c r="B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2" s="1" t="s">
        <v>112</v>
      </c>
    </row>
    <row r="93" spans="1:10" x14ac:dyDescent="0.25">
      <c r="A93" s="1" t="str">
        <f t="shared" si="1"/>
        <v/>
      </c>
      <c r="B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3" s="1" t="s">
        <v>232</v>
      </c>
      <c r="D93" s="1" t="s">
        <v>112</v>
      </c>
      <c r="E93" s="1" t="s">
        <v>233</v>
      </c>
      <c r="F93" s="1" t="s">
        <v>234</v>
      </c>
      <c r="G93" s="1" t="s">
        <v>235</v>
      </c>
      <c r="H93" s="1" t="s">
        <v>236</v>
      </c>
      <c r="I93" s="1" t="s">
        <v>237</v>
      </c>
      <c r="J93" s="1" t="s">
        <v>238</v>
      </c>
    </row>
    <row r="94" spans="1:10" x14ac:dyDescent="0.25">
      <c r="A94" s="1" t="str">
        <f t="shared" si="1"/>
        <v>03 EE2 50.6</v>
      </c>
      <c r="B9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94" s="1" t="s">
        <v>379</v>
      </c>
      <c r="D94" s="1" t="s">
        <v>112</v>
      </c>
      <c r="E94" s="1" t="s">
        <v>380</v>
      </c>
      <c r="F94" s="1" t="s">
        <v>381</v>
      </c>
      <c r="G94" s="1" t="s">
        <v>382</v>
      </c>
      <c r="H94" s="1" t="s">
        <v>383</v>
      </c>
      <c r="I94" s="1">
        <v>24</v>
      </c>
      <c r="J94" s="1">
        <v>24</v>
      </c>
    </row>
    <row r="95" spans="1:10" x14ac:dyDescent="0.25">
      <c r="A95" s="1" t="str">
        <f t="shared" si="1"/>
        <v/>
      </c>
      <c r="B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5" s="1" t="s">
        <v>112</v>
      </c>
    </row>
    <row r="96" spans="1:10" x14ac:dyDescent="0.25">
      <c r="A96" s="1" t="str">
        <f t="shared" si="1"/>
        <v/>
      </c>
      <c r="B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6" s="1" t="s">
        <v>112</v>
      </c>
    </row>
    <row r="97" spans="1:7" x14ac:dyDescent="0.25">
      <c r="A97" s="1" t="str">
        <f t="shared" si="1"/>
        <v/>
      </c>
      <c r="B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7" s="1" t="s">
        <v>112</v>
      </c>
    </row>
    <row r="98" spans="1:7" x14ac:dyDescent="0.25">
      <c r="A98" s="1" t="str">
        <f t="shared" si="1"/>
        <v/>
      </c>
      <c r="B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8" s="1" t="s">
        <v>112</v>
      </c>
    </row>
    <row r="99" spans="1:7" x14ac:dyDescent="0.25">
      <c r="A99" s="1" t="str">
        <f t="shared" si="1"/>
        <v/>
      </c>
      <c r="B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9" s="1" t="s">
        <v>112</v>
      </c>
    </row>
    <row r="100" spans="1:7" x14ac:dyDescent="0.25">
      <c r="A100" s="1" t="str">
        <f t="shared" si="1"/>
        <v/>
      </c>
      <c r="B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00" s="1" t="s">
        <v>244</v>
      </c>
      <c r="D100" s="1" t="s">
        <v>110</v>
      </c>
      <c r="E100" s="1" t="s">
        <v>111</v>
      </c>
      <c r="F100" s="1" t="s">
        <v>112</v>
      </c>
      <c r="G100" s="1" t="s">
        <v>113</v>
      </c>
    </row>
    <row r="101" spans="1:7" x14ac:dyDescent="0.25">
      <c r="A101" s="1" t="str">
        <f t="shared" si="1"/>
        <v>04 EE2 76</v>
      </c>
      <c r="B1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1" s="1" t="s">
        <v>384</v>
      </c>
      <c r="D101" s="1" t="s">
        <v>385</v>
      </c>
      <c r="E101" s="1" t="s">
        <v>386</v>
      </c>
      <c r="F101" s="1" t="s">
        <v>112</v>
      </c>
      <c r="G101" s="1">
        <v>465432</v>
      </c>
    </row>
    <row r="102" spans="1:7" x14ac:dyDescent="0.25">
      <c r="A102" s="1" t="str">
        <f t="shared" si="1"/>
        <v>04 EE2 76</v>
      </c>
      <c r="B1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2" s="1" t="s">
        <v>387</v>
      </c>
      <c r="D102" s="1" t="s">
        <v>388</v>
      </c>
      <c r="E102" s="1" t="s">
        <v>389</v>
      </c>
      <c r="F102" s="1" t="s">
        <v>112</v>
      </c>
      <c r="G102" s="1">
        <v>576566</v>
      </c>
    </row>
    <row r="103" spans="1:7" x14ac:dyDescent="0.25">
      <c r="A103" s="1" t="str">
        <f t="shared" si="1"/>
        <v>04 EE2 76</v>
      </c>
      <c r="B1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3" s="1" t="s">
        <v>390</v>
      </c>
      <c r="D103" s="1" t="s">
        <v>391</v>
      </c>
      <c r="E103" s="1" t="s">
        <v>392</v>
      </c>
      <c r="F103" s="1" t="s">
        <v>112</v>
      </c>
      <c r="G103" s="1">
        <v>538368</v>
      </c>
    </row>
    <row r="104" spans="1:7" x14ac:dyDescent="0.25">
      <c r="A104" s="1" t="str">
        <f t="shared" si="1"/>
        <v>04 EE2 76</v>
      </c>
      <c r="B1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4" s="1" t="s">
        <v>393</v>
      </c>
      <c r="D104" s="1" t="s">
        <v>343</v>
      </c>
      <c r="E104" s="1" t="s">
        <v>394</v>
      </c>
      <c r="F104" s="1" t="s">
        <v>112</v>
      </c>
      <c r="G104" s="1">
        <v>260359</v>
      </c>
    </row>
    <row r="105" spans="1:7" x14ac:dyDescent="0.25">
      <c r="A105" s="1" t="str">
        <f t="shared" si="1"/>
        <v>04 EE2 76</v>
      </c>
      <c r="B1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5" s="1" t="s">
        <v>395</v>
      </c>
      <c r="D105" s="1" t="s">
        <v>364</v>
      </c>
      <c r="E105" s="1" t="s">
        <v>396</v>
      </c>
      <c r="F105" s="1" t="s">
        <v>112</v>
      </c>
      <c r="G105" s="1">
        <v>77262</v>
      </c>
    </row>
    <row r="106" spans="1:7" x14ac:dyDescent="0.25">
      <c r="A106" s="1" t="str">
        <f t="shared" si="1"/>
        <v>04 EE2 76</v>
      </c>
      <c r="B1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6" s="1" t="s">
        <v>397</v>
      </c>
      <c r="D106" s="1" t="s">
        <v>398</v>
      </c>
      <c r="E106" s="1" t="s">
        <v>399</v>
      </c>
      <c r="F106" s="1" t="s">
        <v>112</v>
      </c>
      <c r="G106" s="1">
        <v>291701</v>
      </c>
    </row>
    <row r="107" spans="1:7" x14ac:dyDescent="0.25">
      <c r="A107" s="1" t="str">
        <f t="shared" si="1"/>
        <v>04 EE2 76</v>
      </c>
      <c r="B1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7" s="1" t="s">
        <v>400</v>
      </c>
      <c r="D107" s="1" t="s">
        <v>401</v>
      </c>
      <c r="E107" s="1" t="s">
        <v>402</v>
      </c>
      <c r="F107" s="1" t="s">
        <v>112</v>
      </c>
      <c r="G107" s="1">
        <v>113903</v>
      </c>
    </row>
    <row r="108" spans="1:7" x14ac:dyDescent="0.25">
      <c r="A108" s="1" t="str">
        <f t="shared" si="1"/>
        <v>04 EE2 76</v>
      </c>
      <c r="B1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8" s="1" t="s">
        <v>403</v>
      </c>
    </row>
    <row r="109" spans="1:7" x14ac:dyDescent="0.25">
      <c r="A109" s="1" t="str">
        <f t="shared" si="1"/>
        <v>04 EE2 76</v>
      </c>
      <c r="B1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9" s="1" t="s">
        <v>404</v>
      </c>
      <c r="D109" s="1" t="s">
        <v>405</v>
      </c>
      <c r="E109" s="1" t="s">
        <v>406</v>
      </c>
      <c r="F109" s="1" t="s">
        <v>112</v>
      </c>
      <c r="G109" s="1">
        <v>51436</v>
      </c>
    </row>
    <row r="110" spans="1:7" x14ac:dyDescent="0.25">
      <c r="A110" s="1" t="str">
        <f t="shared" si="1"/>
        <v>04 EE2 76</v>
      </c>
      <c r="B1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0" s="1" t="s">
        <v>407</v>
      </c>
      <c r="D110" s="1" t="s">
        <v>408</v>
      </c>
      <c r="E110" s="1" t="s">
        <v>409</v>
      </c>
      <c r="F110" s="1" t="s">
        <v>112</v>
      </c>
      <c r="G110" s="1">
        <v>522059</v>
      </c>
    </row>
    <row r="111" spans="1:7" x14ac:dyDescent="0.25">
      <c r="A111" s="1" t="str">
        <f t="shared" si="1"/>
        <v>04 EE2 76</v>
      </c>
      <c r="B1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1" s="1" t="s">
        <v>410</v>
      </c>
      <c r="D111" s="1" t="s">
        <v>411</v>
      </c>
      <c r="E111" s="1" t="s">
        <v>412</v>
      </c>
      <c r="F111" s="1" t="s">
        <v>112</v>
      </c>
      <c r="G111" s="1">
        <v>466297</v>
      </c>
    </row>
    <row r="112" spans="1:7" x14ac:dyDescent="0.25">
      <c r="A112" s="1" t="str">
        <f t="shared" si="1"/>
        <v>04 EE2 76</v>
      </c>
      <c r="B1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2" s="1" t="s">
        <v>413</v>
      </c>
      <c r="D112" s="1" t="s">
        <v>414</v>
      </c>
      <c r="E112" s="1" t="s">
        <v>415</v>
      </c>
      <c r="F112" s="1" t="s">
        <v>112</v>
      </c>
      <c r="G112" s="1">
        <v>447825</v>
      </c>
    </row>
    <row r="113" spans="1:10" x14ac:dyDescent="0.25">
      <c r="A113" s="1" t="str">
        <f t="shared" si="1"/>
        <v>04 EE2 76</v>
      </c>
      <c r="B1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3" s="1" t="s">
        <v>416</v>
      </c>
      <c r="D113" s="1" t="s">
        <v>417</v>
      </c>
      <c r="E113" s="1" t="s">
        <v>418</v>
      </c>
      <c r="F113" s="1" t="s">
        <v>112</v>
      </c>
      <c r="G113" s="1">
        <v>383109</v>
      </c>
    </row>
    <row r="114" spans="1:10" x14ac:dyDescent="0.25">
      <c r="A114" s="1" t="str">
        <f t="shared" si="1"/>
        <v>04 EE2 76</v>
      </c>
      <c r="B1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4" s="1" t="s">
        <v>419</v>
      </c>
      <c r="D114" s="1" t="s">
        <v>420</v>
      </c>
      <c r="E114" s="1" t="s">
        <v>421</v>
      </c>
      <c r="F114" s="1" t="s">
        <v>112</v>
      </c>
      <c r="G114" s="1">
        <v>351010</v>
      </c>
    </row>
    <row r="115" spans="1:10" x14ac:dyDescent="0.25">
      <c r="A115" s="1" t="str">
        <f t="shared" si="1"/>
        <v>04 EE2 76</v>
      </c>
      <c r="B1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5" s="1" t="s">
        <v>422</v>
      </c>
      <c r="D115" s="1" t="s">
        <v>398</v>
      </c>
      <c r="E115" s="1" t="s">
        <v>423</v>
      </c>
      <c r="F115" s="1" t="s">
        <v>112</v>
      </c>
      <c r="G115" s="1">
        <v>282573</v>
      </c>
    </row>
    <row r="116" spans="1:10" x14ac:dyDescent="0.25">
      <c r="A116" s="1" t="str">
        <f t="shared" si="1"/>
        <v>04 EE2 76</v>
      </c>
      <c r="B1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6" s="1" t="s">
        <v>424</v>
      </c>
      <c r="D116" s="1" t="s">
        <v>425</v>
      </c>
      <c r="E116" s="1" t="s">
        <v>426</v>
      </c>
      <c r="F116" s="1" t="s">
        <v>112</v>
      </c>
      <c r="G116" s="1">
        <v>124913</v>
      </c>
    </row>
    <row r="117" spans="1:10" x14ac:dyDescent="0.25">
      <c r="A117" s="1" t="str">
        <f t="shared" si="1"/>
        <v>04 EE2 76</v>
      </c>
      <c r="B1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7" s="1" t="s">
        <v>427</v>
      </c>
      <c r="D117" s="1" t="s">
        <v>428</v>
      </c>
      <c r="E117" s="1" t="s">
        <v>429</v>
      </c>
      <c r="F117" s="1" t="s">
        <v>112</v>
      </c>
      <c r="G117" s="1">
        <v>65128</v>
      </c>
    </row>
    <row r="118" spans="1:10" x14ac:dyDescent="0.25">
      <c r="A118" s="1" t="str">
        <f t="shared" si="1"/>
        <v>04 EE2 76</v>
      </c>
      <c r="B1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8" s="1" t="s">
        <v>430</v>
      </c>
      <c r="D118" s="1" t="s">
        <v>431</v>
      </c>
      <c r="E118" s="1" t="s">
        <v>432</v>
      </c>
      <c r="F118" s="1" t="s">
        <v>112</v>
      </c>
      <c r="G118" s="1">
        <v>152447</v>
      </c>
    </row>
    <row r="119" spans="1:10" x14ac:dyDescent="0.25">
      <c r="A119" s="1" t="str">
        <f t="shared" si="1"/>
        <v>04 EE2 76</v>
      </c>
      <c r="B1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19" s="1" t="s">
        <v>433</v>
      </c>
      <c r="D119" s="1" t="s">
        <v>434</v>
      </c>
      <c r="E119" s="1" t="s">
        <v>435</v>
      </c>
      <c r="F119" s="1" t="s">
        <v>112</v>
      </c>
      <c r="G119" s="1">
        <v>965645</v>
      </c>
    </row>
    <row r="120" spans="1:10" x14ac:dyDescent="0.25">
      <c r="A120" s="1" t="str">
        <f t="shared" si="1"/>
        <v>04 EE2 76</v>
      </c>
      <c r="B1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20" s="1" t="s">
        <v>436</v>
      </c>
      <c r="D120" s="1" t="s">
        <v>437</v>
      </c>
      <c r="E120" s="1" t="s">
        <v>438</v>
      </c>
      <c r="F120" s="1" t="s">
        <v>112</v>
      </c>
      <c r="G120" s="1">
        <v>394313</v>
      </c>
    </row>
    <row r="121" spans="1:10" x14ac:dyDescent="0.25">
      <c r="A121" s="1" t="str">
        <f t="shared" si="1"/>
        <v>04 EE2 76</v>
      </c>
      <c r="B1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21" s="1" t="s">
        <v>439</v>
      </c>
      <c r="D121" s="1" t="s">
        <v>440</v>
      </c>
      <c r="E121" s="1" t="s">
        <v>441</v>
      </c>
      <c r="F121" s="1" t="s">
        <v>112</v>
      </c>
      <c r="G121" s="1">
        <v>875838</v>
      </c>
    </row>
    <row r="122" spans="1:10" x14ac:dyDescent="0.25">
      <c r="A122" s="1" t="str">
        <f t="shared" si="1"/>
        <v>04 EE2 76</v>
      </c>
      <c r="B1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2" s="1" t="s">
        <v>442</v>
      </c>
    </row>
    <row r="123" spans="1:10" x14ac:dyDescent="0.25">
      <c r="A123" s="1" t="str">
        <f t="shared" si="1"/>
        <v>04 EE2 76</v>
      </c>
      <c r="B1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3" s="1" t="s">
        <v>443</v>
      </c>
    </row>
    <row r="124" spans="1:10" x14ac:dyDescent="0.25">
      <c r="A124" s="1" t="str">
        <f t="shared" si="1"/>
        <v>04 EE2 76</v>
      </c>
      <c r="B1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4" s="1" t="s">
        <v>444</v>
      </c>
    </row>
    <row r="125" spans="1:10" x14ac:dyDescent="0.25">
      <c r="A125" s="1" t="str">
        <f t="shared" si="1"/>
        <v/>
      </c>
      <c r="B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5" s="1" t="s">
        <v>112</v>
      </c>
    </row>
    <row r="126" spans="1:10" x14ac:dyDescent="0.25">
      <c r="A126" s="1" t="str">
        <f t="shared" si="1"/>
        <v/>
      </c>
      <c r="B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6" s="1" t="s">
        <v>232</v>
      </c>
      <c r="D126" s="1" t="s">
        <v>112</v>
      </c>
      <c r="E126" s="1" t="s">
        <v>233</v>
      </c>
      <c r="F126" s="1" t="s">
        <v>234</v>
      </c>
      <c r="G126" s="1" t="s">
        <v>235</v>
      </c>
      <c r="H126" s="1" t="s">
        <v>236</v>
      </c>
      <c r="I126" s="1" t="s">
        <v>237</v>
      </c>
      <c r="J126" s="1" t="s">
        <v>238</v>
      </c>
    </row>
    <row r="127" spans="1:10" x14ac:dyDescent="0.25">
      <c r="A127" s="1" t="str">
        <f t="shared" si="1"/>
        <v>04 EE2 76</v>
      </c>
      <c r="B12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27" s="1" t="s">
        <v>445</v>
      </c>
      <c r="D127" s="1" t="s">
        <v>112</v>
      </c>
      <c r="E127" s="1" t="s">
        <v>446</v>
      </c>
      <c r="F127" s="1" t="s">
        <v>447</v>
      </c>
      <c r="G127" s="1" t="s">
        <v>448</v>
      </c>
      <c r="H127" s="1" t="s">
        <v>449</v>
      </c>
      <c r="I127" s="1">
        <v>24</v>
      </c>
      <c r="J127" s="1">
        <v>24</v>
      </c>
    </row>
    <row r="128" spans="1:10" x14ac:dyDescent="0.25">
      <c r="A128" s="1" t="str">
        <f t="shared" si="1"/>
        <v/>
      </c>
      <c r="B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8" s="1" t="s">
        <v>112</v>
      </c>
    </row>
    <row r="129" spans="1:7" x14ac:dyDescent="0.25">
      <c r="A129" s="1" t="str">
        <f t="shared" si="1"/>
        <v/>
      </c>
      <c r="B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9" s="1" t="s">
        <v>112</v>
      </c>
    </row>
    <row r="130" spans="1:7" x14ac:dyDescent="0.25">
      <c r="A130" s="1" t="str">
        <f t="shared" ref="A130:A193" si="2">IFERROR(LEFT(RIGHT(C130,LEN(C130)-SEARCH("@",C130)),SEARCH("/",RIGHT(C130,LEN(C130)-SEARCH("@",C130)-1))),"")</f>
        <v/>
      </c>
      <c r="B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0" s="1" t="s">
        <v>112</v>
      </c>
    </row>
    <row r="131" spans="1:7" x14ac:dyDescent="0.25">
      <c r="A131" s="1" t="str">
        <f t="shared" si="2"/>
        <v/>
      </c>
      <c r="B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1" s="1" t="s">
        <v>112</v>
      </c>
    </row>
    <row r="132" spans="1:7" x14ac:dyDescent="0.25">
      <c r="A132" s="1" t="str">
        <f t="shared" si="2"/>
        <v/>
      </c>
      <c r="B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2" s="1" t="s">
        <v>112</v>
      </c>
    </row>
    <row r="133" spans="1:7" x14ac:dyDescent="0.25">
      <c r="A133" s="1" t="str">
        <f t="shared" si="2"/>
        <v/>
      </c>
      <c r="B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3" s="1" t="s">
        <v>244</v>
      </c>
      <c r="D133" s="1" t="s">
        <v>110</v>
      </c>
      <c r="E133" s="1" t="s">
        <v>111</v>
      </c>
      <c r="F133" s="1" t="s">
        <v>112</v>
      </c>
      <c r="G133" s="1" t="s">
        <v>113</v>
      </c>
    </row>
    <row r="134" spans="1:7" x14ac:dyDescent="0.25">
      <c r="A134" s="1" t="str">
        <f t="shared" si="2"/>
        <v>05 EE2 114</v>
      </c>
      <c r="B1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4" s="1" t="s">
        <v>450</v>
      </c>
      <c r="D134" s="1" t="s">
        <v>451</v>
      </c>
      <c r="E134" s="1" t="s">
        <v>452</v>
      </c>
      <c r="F134" s="1" t="s">
        <v>112</v>
      </c>
      <c r="G134" s="1">
        <v>2261579</v>
      </c>
    </row>
    <row r="135" spans="1:7" x14ac:dyDescent="0.25">
      <c r="A135" s="1" t="str">
        <f t="shared" si="2"/>
        <v>05 EE2 114</v>
      </c>
      <c r="B1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5" s="1" t="s">
        <v>453</v>
      </c>
      <c r="D135" s="1" t="s">
        <v>454</v>
      </c>
      <c r="E135" s="1" t="s">
        <v>455</v>
      </c>
      <c r="F135" s="1" t="s">
        <v>112</v>
      </c>
      <c r="G135" s="1">
        <v>1525319</v>
      </c>
    </row>
    <row r="136" spans="1:7" x14ac:dyDescent="0.25">
      <c r="A136" s="1" t="str">
        <f t="shared" si="2"/>
        <v>05 EE2 114</v>
      </c>
      <c r="B1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6" s="1" t="s">
        <v>456</v>
      </c>
      <c r="D136" s="1" t="s">
        <v>457</v>
      </c>
      <c r="E136" s="1" t="s">
        <v>458</v>
      </c>
      <c r="F136" s="1" t="s">
        <v>112</v>
      </c>
      <c r="G136" s="1">
        <v>1664788</v>
      </c>
    </row>
    <row r="137" spans="1:7" x14ac:dyDescent="0.25">
      <c r="A137" s="1" t="str">
        <f t="shared" si="2"/>
        <v>05 EE2 114</v>
      </c>
      <c r="B1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7" s="1" t="s">
        <v>459</v>
      </c>
      <c r="D137" s="1" t="s">
        <v>460</v>
      </c>
      <c r="E137" s="1" t="s">
        <v>461</v>
      </c>
      <c r="F137" s="1" t="s">
        <v>112</v>
      </c>
      <c r="G137" s="1">
        <v>1338025</v>
      </c>
    </row>
    <row r="138" spans="1:7" x14ac:dyDescent="0.25">
      <c r="A138" s="1" t="str">
        <f t="shared" si="2"/>
        <v>05 EE2 114</v>
      </c>
      <c r="B1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8" s="1" t="s">
        <v>462</v>
      </c>
      <c r="D138" s="1" t="s">
        <v>463</v>
      </c>
      <c r="E138" s="1" t="s">
        <v>464</v>
      </c>
      <c r="F138" s="1" t="s">
        <v>112</v>
      </c>
      <c r="G138" s="1">
        <v>1726736</v>
      </c>
    </row>
    <row r="139" spans="1:7" x14ac:dyDescent="0.25">
      <c r="A139" s="1" t="str">
        <f t="shared" si="2"/>
        <v>05 EE2 114</v>
      </c>
      <c r="B1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9" s="1" t="s">
        <v>465</v>
      </c>
      <c r="D139" s="1" t="s">
        <v>466</v>
      </c>
      <c r="E139" s="1" t="s">
        <v>467</v>
      </c>
      <c r="F139" s="1" t="s">
        <v>112</v>
      </c>
      <c r="G139" s="1">
        <v>2056830</v>
      </c>
    </row>
    <row r="140" spans="1:7" x14ac:dyDescent="0.25">
      <c r="A140" s="1" t="str">
        <f t="shared" si="2"/>
        <v>05 EE2 114</v>
      </c>
      <c r="B1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0" s="1" t="s">
        <v>468</v>
      </c>
      <c r="D140" s="1" t="s">
        <v>469</v>
      </c>
      <c r="E140" s="1" t="s">
        <v>470</v>
      </c>
      <c r="F140" s="1" t="s">
        <v>112</v>
      </c>
      <c r="G140" s="1">
        <v>21587</v>
      </c>
    </row>
    <row r="141" spans="1:7" x14ac:dyDescent="0.25">
      <c r="A141" s="1" t="str">
        <f t="shared" si="2"/>
        <v>05 EE2 114</v>
      </c>
      <c r="B1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1" s="1" t="s">
        <v>471</v>
      </c>
      <c r="D141" s="1" t="s">
        <v>374</v>
      </c>
      <c r="E141" s="1" t="s">
        <v>472</v>
      </c>
      <c r="F141" s="1" t="s">
        <v>112</v>
      </c>
      <c r="G141" s="1">
        <v>31882</v>
      </c>
    </row>
    <row r="142" spans="1:7" x14ac:dyDescent="0.25">
      <c r="A142" s="1" t="str">
        <f t="shared" si="2"/>
        <v>05 EE2 114</v>
      </c>
      <c r="B1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2" s="1" t="s">
        <v>473</v>
      </c>
      <c r="D142" s="1" t="s">
        <v>190</v>
      </c>
      <c r="E142" s="1" t="s">
        <v>474</v>
      </c>
      <c r="F142" s="1" t="s">
        <v>112</v>
      </c>
      <c r="G142" s="1">
        <v>24723</v>
      </c>
    </row>
    <row r="143" spans="1:7" x14ac:dyDescent="0.25">
      <c r="A143" s="1" t="str">
        <f t="shared" si="2"/>
        <v>05 EE2 114</v>
      </c>
      <c r="B1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3" s="1" t="s">
        <v>475</v>
      </c>
      <c r="D143" s="1" t="s">
        <v>476</v>
      </c>
      <c r="E143" s="1" t="s">
        <v>477</v>
      </c>
      <c r="F143" s="1" t="s">
        <v>112</v>
      </c>
      <c r="G143" s="1">
        <v>400175</v>
      </c>
    </row>
    <row r="144" spans="1:7" x14ac:dyDescent="0.25">
      <c r="A144" s="1" t="str">
        <f t="shared" si="2"/>
        <v>05 EE2 114</v>
      </c>
      <c r="B1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4" s="1" t="s">
        <v>478</v>
      </c>
      <c r="D144" s="1" t="s">
        <v>479</v>
      </c>
      <c r="E144" s="1" t="s">
        <v>480</v>
      </c>
      <c r="F144" s="1" t="s">
        <v>112</v>
      </c>
      <c r="G144" s="1">
        <v>1118936</v>
      </c>
    </row>
    <row r="145" spans="1:10" x14ac:dyDescent="0.25">
      <c r="A145" s="1" t="str">
        <f t="shared" si="2"/>
        <v>05 EE2 114</v>
      </c>
      <c r="B1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5" s="1" t="s">
        <v>481</v>
      </c>
      <c r="D145" s="1" t="s">
        <v>482</v>
      </c>
      <c r="E145" s="1" t="s">
        <v>483</v>
      </c>
      <c r="F145" s="1" t="s">
        <v>112</v>
      </c>
      <c r="G145" s="1">
        <v>986020</v>
      </c>
    </row>
    <row r="146" spans="1:10" x14ac:dyDescent="0.25">
      <c r="A146" s="1" t="str">
        <f t="shared" si="2"/>
        <v>05 EE2 114</v>
      </c>
      <c r="B1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6" s="1" t="s">
        <v>484</v>
      </c>
      <c r="D146" s="1" t="s">
        <v>485</v>
      </c>
      <c r="E146" s="1" t="s">
        <v>486</v>
      </c>
      <c r="F146" s="1" t="s">
        <v>112</v>
      </c>
      <c r="G146" s="1">
        <v>778525</v>
      </c>
    </row>
    <row r="147" spans="1:10" x14ac:dyDescent="0.25">
      <c r="A147" s="1" t="str">
        <f t="shared" si="2"/>
        <v>05 EE2 114</v>
      </c>
      <c r="B1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7" s="1" t="s">
        <v>487</v>
      </c>
      <c r="D147" s="1" t="s">
        <v>488</v>
      </c>
      <c r="E147" s="1" t="s">
        <v>489</v>
      </c>
      <c r="F147" s="1" t="s">
        <v>112</v>
      </c>
      <c r="G147" s="1">
        <v>917994</v>
      </c>
    </row>
    <row r="148" spans="1:10" x14ac:dyDescent="0.25">
      <c r="A148" s="1" t="str">
        <f t="shared" si="2"/>
        <v>05 EE2 114</v>
      </c>
      <c r="B1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8" s="1" t="s">
        <v>490</v>
      </c>
      <c r="D148" s="1" t="s">
        <v>491</v>
      </c>
      <c r="E148" s="1" t="s">
        <v>492</v>
      </c>
      <c r="F148" s="1" t="s">
        <v>112</v>
      </c>
      <c r="G148" s="1">
        <v>961514</v>
      </c>
    </row>
    <row r="149" spans="1:10" x14ac:dyDescent="0.25">
      <c r="A149" s="1" t="str">
        <f t="shared" si="2"/>
        <v>05 EE2 114</v>
      </c>
      <c r="B1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49" s="1" t="s">
        <v>493</v>
      </c>
      <c r="D149" s="1" t="s">
        <v>494</v>
      </c>
      <c r="E149" s="1" t="s">
        <v>495</v>
      </c>
      <c r="F149" s="1" t="s">
        <v>112</v>
      </c>
      <c r="G149" s="1">
        <v>3098980</v>
      </c>
    </row>
    <row r="150" spans="1:10" x14ac:dyDescent="0.25">
      <c r="A150" s="1" t="str">
        <f t="shared" si="2"/>
        <v>05 EE2 114</v>
      </c>
      <c r="B1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50" s="1" t="s">
        <v>496</v>
      </c>
      <c r="D150" s="1" t="s">
        <v>497</v>
      </c>
      <c r="E150" s="1" t="s">
        <v>498</v>
      </c>
      <c r="F150" s="1" t="s">
        <v>112</v>
      </c>
      <c r="G150" s="1">
        <v>3181541</v>
      </c>
    </row>
    <row r="151" spans="1:10" x14ac:dyDescent="0.25">
      <c r="A151" s="1" t="str">
        <f t="shared" si="2"/>
        <v>05 EE2 114</v>
      </c>
      <c r="B1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51" s="1" t="s">
        <v>499</v>
      </c>
      <c r="D151" s="1" t="s">
        <v>500</v>
      </c>
      <c r="E151" s="1" t="s">
        <v>501</v>
      </c>
      <c r="F151" s="1" t="s">
        <v>112</v>
      </c>
      <c r="G151" s="1">
        <v>2434920</v>
      </c>
    </row>
    <row r="152" spans="1:10" x14ac:dyDescent="0.25">
      <c r="A152" s="1" t="str">
        <f t="shared" si="2"/>
        <v>05 EE2 114</v>
      </c>
      <c r="B1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2" s="1" t="s">
        <v>502</v>
      </c>
      <c r="D152" s="1" t="s">
        <v>503</v>
      </c>
      <c r="E152" s="1" t="s">
        <v>504</v>
      </c>
      <c r="F152" s="1" t="s">
        <v>112</v>
      </c>
      <c r="G152" s="1">
        <v>1891188</v>
      </c>
    </row>
    <row r="153" spans="1:10" x14ac:dyDescent="0.25">
      <c r="A153" s="1" t="str">
        <f t="shared" si="2"/>
        <v>05 EE2 114</v>
      </c>
      <c r="B1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3" s="1" t="s">
        <v>505</v>
      </c>
      <c r="D153" s="1" t="s">
        <v>506</v>
      </c>
      <c r="E153" s="1" t="s">
        <v>507</v>
      </c>
      <c r="F153" s="1" t="s">
        <v>112</v>
      </c>
      <c r="G153" s="1">
        <v>1382323</v>
      </c>
    </row>
    <row r="154" spans="1:10" x14ac:dyDescent="0.25">
      <c r="A154" s="1" t="str">
        <f t="shared" si="2"/>
        <v>05 EE2 114</v>
      </c>
      <c r="B1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4" s="1" t="s">
        <v>508</v>
      </c>
      <c r="D154" s="1" t="s">
        <v>158</v>
      </c>
      <c r="E154" s="1" t="s">
        <v>509</v>
      </c>
      <c r="F154" s="1" t="s">
        <v>112</v>
      </c>
      <c r="G154" s="1">
        <v>1424696</v>
      </c>
    </row>
    <row r="155" spans="1:10" x14ac:dyDescent="0.25">
      <c r="A155" s="1" t="str">
        <f t="shared" si="2"/>
        <v>05 EE2 114</v>
      </c>
      <c r="B1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5" s="1" t="s">
        <v>510</v>
      </c>
      <c r="D155" s="1" t="s">
        <v>511</v>
      </c>
      <c r="E155" s="1" t="s">
        <v>512</v>
      </c>
      <c r="F155" s="1" t="s">
        <v>112</v>
      </c>
      <c r="G155" s="1">
        <v>519680</v>
      </c>
    </row>
    <row r="156" spans="1:10" x14ac:dyDescent="0.25">
      <c r="A156" s="1" t="str">
        <f t="shared" si="2"/>
        <v>05 EE2 114</v>
      </c>
      <c r="B1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6" s="1" t="s">
        <v>513</v>
      </c>
      <c r="D156" s="1" t="s">
        <v>514</v>
      </c>
      <c r="E156" s="1" t="s">
        <v>515</v>
      </c>
      <c r="F156" s="1" t="s">
        <v>112</v>
      </c>
      <c r="G156" s="1">
        <v>309481</v>
      </c>
    </row>
    <row r="157" spans="1:10" x14ac:dyDescent="0.25">
      <c r="A157" s="1" t="str">
        <f t="shared" si="2"/>
        <v>05 EE2 114</v>
      </c>
      <c r="B1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7" s="1" t="s">
        <v>516</v>
      </c>
      <c r="D157" s="1" t="s">
        <v>517</v>
      </c>
      <c r="E157" s="1" t="s">
        <v>518</v>
      </c>
      <c r="F157" s="1" t="s">
        <v>112</v>
      </c>
      <c r="G157" s="1">
        <v>332538</v>
      </c>
    </row>
    <row r="158" spans="1:10" x14ac:dyDescent="0.25">
      <c r="A158" s="1" t="str">
        <f t="shared" si="2"/>
        <v/>
      </c>
      <c r="B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8" s="1" t="s">
        <v>112</v>
      </c>
    </row>
    <row r="159" spans="1:10" x14ac:dyDescent="0.25">
      <c r="A159" s="1" t="str">
        <f t="shared" si="2"/>
        <v/>
      </c>
      <c r="B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9" s="1" t="s">
        <v>232</v>
      </c>
      <c r="D159" s="1" t="s">
        <v>112</v>
      </c>
      <c r="E159" s="1" t="s">
        <v>233</v>
      </c>
      <c r="F159" s="1" t="s">
        <v>234</v>
      </c>
      <c r="G159" s="1" t="s">
        <v>235</v>
      </c>
      <c r="H159" s="1" t="s">
        <v>236</v>
      </c>
      <c r="I159" s="1" t="s">
        <v>237</v>
      </c>
      <c r="J159" s="1" t="s">
        <v>238</v>
      </c>
    </row>
    <row r="160" spans="1:10" x14ac:dyDescent="0.25">
      <c r="A160" s="1" t="str">
        <f t="shared" si="2"/>
        <v>05 EE2 114</v>
      </c>
      <c r="B16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60" s="1" t="s">
        <v>519</v>
      </c>
      <c r="D160" s="1" t="s">
        <v>112</v>
      </c>
      <c r="E160" s="1" t="s">
        <v>520</v>
      </c>
      <c r="F160" s="1" t="s">
        <v>521</v>
      </c>
      <c r="G160" s="1" t="s">
        <v>522</v>
      </c>
      <c r="H160" s="1" t="s">
        <v>523</v>
      </c>
      <c r="I160" s="1">
        <v>24</v>
      </c>
      <c r="J160" s="1">
        <v>24</v>
      </c>
    </row>
    <row r="161" spans="1:7" x14ac:dyDescent="0.25">
      <c r="A161" s="1" t="str">
        <f t="shared" si="2"/>
        <v/>
      </c>
      <c r="B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1" s="1" t="s">
        <v>112</v>
      </c>
    </row>
    <row r="162" spans="1:7" x14ac:dyDescent="0.25">
      <c r="A162" s="1" t="str">
        <f t="shared" si="2"/>
        <v/>
      </c>
      <c r="B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2" s="1" t="s">
        <v>112</v>
      </c>
    </row>
    <row r="163" spans="1:7" x14ac:dyDescent="0.25">
      <c r="A163" s="1" t="str">
        <f t="shared" si="2"/>
        <v/>
      </c>
      <c r="B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3" s="1" t="s">
        <v>112</v>
      </c>
    </row>
    <row r="164" spans="1:7" x14ac:dyDescent="0.25">
      <c r="A164" s="1" t="str">
        <f t="shared" si="2"/>
        <v/>
      </c>
      <c r="B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4" s="1" t="s">
        <v>112</v>
      </c>
    </row>
    <row r="165" spans="1:7" x14ac:dyDescent="0.25">
      <c r="A165" s="1" t="str">
        <f t="shared" si="2"/>
        <v/>
      </c>
      <c r="B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5" s="1" t="s">
        <v>112</v>
      </c>
    </row>
    <row r="166" spans="1:7" x14ac:dyDescent="0.25">
      <c r="A166" s="1" t="str">
        <f t="shared" si="2"/>
        <v/>
      </c>
      <c r="B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6" s="1" t="s">
        <v>244</v>
      </c>
      <c r="D166" s="1" t="s">
        <v>110</v>
      </c>
      <c r="E166" s="1" t="s">
        <v>111</v>
      </c>
      <c r="F166" s="1" t="s">
        <v>112</v>
      </c>
      <c r="G166" s="1" t="s">
        <v>113</v>
      </c>
    </row>
    <row r="167" spans="1:7" x14ac:dyDescent="0.25">
      <c r="A167" s="1" t="str">
        <f t="shared" si="2"/>
        <v>06 EE2 170.9</v>
      </c>
      <c r="B1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7" s="1" t="s">
        <v>524</v>
      </c>
      <c r="D167" s="1" t="s">
        <v>525</v>
      </c>
      <c r="E167" s="1" t="s">
        <v>526</v>
      </c>
      <c r="F167" s="1" t="s">
        <v>112</v>
      </c>
      <c r="G167" s="1">
        <v>1997629</v>
      </c>
    </row>
    <row r="168" spans="1:7" x14ac:dyDescent="0.25">
      <c r="A168" s="1" t="str">
        <f t="shared" si="2"/>
        <v>06 EE2 170.9</v>
      </c>
      <c r="B1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8" s="1" t="s">
        <v>527</v>
      </c>
    </row>
    <row r="169" spans="1:7" x14ac:dyDescent="0.25">
      <c r="A169" s="1" t="str">
        <f t="shared" si="2"/>
        <v>06 EE2 170.9</v>
      </c>
      <c r="B1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9" s="1" t="s">
        <v>528</v>
      </c>
      <c r="D169" s="1" t="s">
        <v>529</v>
      </c>
      <c r="E169" s="1" t="s">
        <v>530</v>
      </c>
      <c r="F169" s="1" t="s">
        <v>112</v>
      </c>
      <c r="G169" s="1">
        <v>2360514</v>
      </c>
    </row>
    <row r="170" spans="1:7" x14ac:dyDescent="0.25">
      <c r="A170" s="1" t="str">
        <f t="shared" si="2"/>
        <v>06 EE2 170.9</v>
      </c>
      <c r="B1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0" s="1" t="s">
        <v>531</v>
      </c>
      <c r="D170" s="1" t="s">
        <v>532</v>
      </c>
      <c r="E170" s="1" t="s">
        <v>533</v>
      </c>
      <c r="F170" s="1" t="s">
        <v>112</v>
      </c>
      <c r="G170" s="1">
        <v>3568608</v>
      </c>
    </row>
    <row r="171" spans="1:7" x14ac:dyDescent="0.25">
      <c r="A171" s="1" t="str">
        <f t="shared" si="2"/>
        <v>06 EE2 170.9</v>
      </c>
      <c r="B1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1" s="1" t="s">
        <v>534</v>
      </c>
      <c r="D171" s="1" t="s">
        <v>535</v>
      </c>
      <c r="E171" s="1" t="s">
        <v>536</v>
      </c>
      <c r="F171" s="1" t="s">
        <v>112</v>
      </c>
      <c r="G171" s="1">
        <v>3704292</v>
      </c>
    </row>
    <row r="172" spans="1:7" x14ac:dyDescent="0.25">
      <c r="A172" s="1" t="str">
        <f t="shared" si="2"/>
        <v>06 EE2 170.9</v>
      </c>
      <c r="B1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2" s="1" t="s">
        <v>537</v>
      </c>
      <c r="D172" s="1" t="s">
        <v>538</v>
      </c>
      <c r="E172" s="1" t="s">
        <v>539</v>
      </c>
      <c r="F172" s="1" t="s">
        <v>112</v>
      </c>
      <c r="G172" s="1">
        <v>3577065</v>
      </c>
    </row>
    <row r="173" spans="1:7" x14ac:dyDescent="0.25">
      <c r="A173" s="1" t="str">
        <f t="shared" si="2"/>
        <v>06 EE2 170.9</v>
      </c>
      <c r="B1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3" s="1" t="s">
        <v>540</v>
      </c>
      <c r="D173" s="1" t="s">
        <v>541</v>
      </c>
      <c r="E173" s="1" t="s">
        <v>542</v>
      </c>
      <c r="F173" s="1" t="s">
        <v>112</v>
      </c>
      <c r="G173" s="1">
        <v>2986396</v>
      </c>
    </row>
    <row r="174" spans="1:7" x14ac:dyDescent="0.25">
      <c r="A174" s="1" t="str">
        <f t="shared" si="2"/>
        <v>06 EE2 170.9</v>
      </c>
      <c r="B1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4" s="1" t="s">
        <v>543</v>
      </c>
      <c r="D174" s="1" t="s">
        <v>544</v>
      </c>
      <c r="E174" s="1" t="s">
        <v>545</v>
      </c>
      <c r="F174" s="1" t="s">
        <v>112</v>
      </c>
      <c r="G174" s="1">
        <v>3634947</v>
      </c>
    </row>
    <row r="175" spans="1:7" x14ac:dyDescent="0.25">
      <c r="A175" s="1" t="str">
        <f t="shared" si="2"/>
        <v>06 EE2 170.9</v>
      </c>
      <c r="B1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5" s="1" t="s">
        <v>546</v>
      </c>
      <c r="D175" s="1" t="s">
        <v>547</v>
      </c>
      <c r="E175" s="1" t="s">
        <v>548</v>
      </c>
      <c r="F175" s="1" t="s">
        <v>112</v>
      </c>
      <c r="G175" s="1">
        <v>3723673</v>
      </c>
    </row>
    <row r="176" spans="1:7" x14ac:dyDescent="0.25">
      <c r="A176" s="1" t="str">
        <f t="shared" si="2"/>
        <v>06 EE2 170.9</v>
      </c>
      <c r="B1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6" s="1" t="s">
        <v>549</v>
      </c>
      <c r="D176" s="1" t="s">
        <v>550</v>
      </c>
      <c r="E176" s="1" t="s">
        <v>551</v>
      </c>
      <c r="F176" s="1" t="s">
        <v>112</v>
      </c>
      <c r="G176" s="1">
        <v>4159407</v>
      </c>
    </row>
    <row r="177" spans="1:10" x14ac:dyDescent="0.25">
      <c r="A177" s="1" t="str">
        <f t="shared" si="2"/>
        <v>06 EE2 170.9</v>
      </c>
      <c r="B1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7" s="1" t="s">
        <v>552</v>
      </c>
      <c r="D177" s="1" t="s">
        <v>553</v>
      </c>
      <c r="E177" s="1" t="s">
        <v>554</v>
      </c>
      <c r="F177" s="1" t="s">
        <v>112</v>
      </c>
      <c r="G177" s="1">
        <v>3959525</v>
      </c>
    </row>
    <row r="178" spans="1:10" x14ac:dyDescent="0.25">
      <c r="A178" s="1" t="str">
        <f t="shared" si="2"/>
        <v>06 EE2 170.9</v>
      </c>
      <c r="B1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8" s="1" t="s">
        <v>555</v>
      </c>
      <c r="D178" s="1" t="s">
        <v>556</v>
      </c>
      <c r="E178" s="1" t="s">
        <v>557</v>
      </c>
      <c r="F178" s="1" t="s">
        <v>112</v>
      </c>
      <c r="G178" s="1">
        <v>4121036</v>
      </c>
    </row>
    <row r="179" spans="1:10" x14ac:dyDescent="0.25">
      <c r="A179" s="1" t="str">
        <f t="shared" si="2"/>
        <v>06 EE2 170.9</v>
      </c>
      <c r="B1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79" s="1" t="s">
        <v>558</v>
      </c>
      <c r="D179" s="1" t="s">
        <v>559</v>
      </c>
      <c r="E179" s="1" t="s">
        <v>560</v>
      </c>
      <c r="F179" s="1" t="s">
        <v>112</v>
      </c>
      <c r="G179" s="1">
        <v>2764582</v>
      </c>
    </row>
    <row r="180" spans="1:10" x14ac:dyDescent="0.25">
      <c r="A180" s="1" t="str">
        <f t="shared" si="2"/>
        <v>06 EE2 170.9</v>
      </c>
      <c r="B1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0" s="1" t="s">
        <v>561</v>
      </c>
      <c r="D180" s="1" t="s">
        <v>562</v>
      </c>
      <c r="E180" s="1" t="s">
        <v>563</v>
      </c>
      <c r="F180" s="1" t="s">
        <v>112</v>
      </c>
      <c r="G180" s="1">
        <v>2862262</v>
      </c>
    </row>
    <row r="181" spans="1:10" x14ac:dyDescent="0.25">
      <c r="A181" s="1" t="str">
        <f t="shared" si="2"/>
        <v>06 EE2 170.9</v>
      </c>
      <c r="B1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1" s="1" t="s">
        <v>564</v>
      </c>
      <c r="D181" s="1" t="s">
        <v>565</v>
      </c>
      <c r="E181" s="1" t="s">
        <v>566</v>
      </c>
      <c r="F181" s="1" t="s">
        <v>112</v>
      </c>
      <c r="G181" s="1">
        <v>3021999</v>
      </c>
    </row>
    <row r="182" spans="1:10" x14ac:dyDescent="0.25">
      <c r="A182" s="1" t="str">
        <f t="shared" si="2"/>
        <v>06 EE2 170.9</v>
      </c>
      <c r="B1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2" s="1" t="s">
        <v>567</v>
      </c>
      <c r="D182" s="1" t="s">
        <v>568</v>
      </c>
      <c r="E182" s="1" t="s">
        <v>569</v>
      </c>
      <c r="F182" s="1" t="s">
        <v>112</v>
      </c>
      <c r="G182" s="1">
        <v>1843105</v>
      </c>
    </row>
    <row r="183" spans="1:10" x14ac:dyDescent="0.25">
      <c r="A183" s="1" t="str">
        <f t="shared" si="2"/>
        <v>06 EE2 170.9</v>
      </c>
      <c r="B1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3" s="1" t="s">
        <v>570</v>
      </c>
      <c r="D183" s="1" t="s">
        <v>571</v>
      </c>
      <c r="E183" s="1" t="s">
        <v>572</v>
      </c>
      <c r="F183" s="1" t="s">
        <v>112</v>
      </c>
      <c r="G183" s="1">
        <v>1838671</v>
      </c>
    </row>
    <row r="184" spans="1:10" x14ac:dyDescent="0.25">
      <c r="A184" s="1" t="str">
        <f t="shared" si="2"/>
        <v>06 EE2 170.9</v>
      </c>
      <c r="B1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4" s="1" t="s">
        <v>573</v>
      </c>
      <c r="D184" s="1" t="s">
        <v>574</v>
      </c>
      <c r="E184" s="1" t="s">
        <v>575</v>
      </c>
      <c r="F184" s="1" t="s">
        <v>112</v>
      </c>
      <c r="G184" s="1">
        <v>2302026</v>
      </c>
    </row>
    <row r="185" spans="1:10" x14ac:dyDescent="0.25">
      <c r="A185" s="1" t="str">
        <f t="shared" si="2"/>
        <v>06 EE2 170.9</v>
      </c>
      <c r="B1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5" s="1" t="s">
        <v>576</v>
      </c>
      <c r="D185" s="1" t="s">
        <v>577</v>
      </c>
      <c r="E185" s="1" t="s">
        <v>578</v>
      </c>
      <c r="F185" s="1" t="s">
        <v>112</v>
      </c>
      <c r="G185" s="1">
        <v>2347233</v>
      </c>
    </row>
    <row r="186" spans="1:10" x14ac:dyDescent="0.25">
      <c r="A186" s="1" t="str">
        <f t="shared" si="2"/>
        <v>06 EE2 170.9</v>
      </c>
      <c r="B1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6" s="1" t="s">
        <v>579</v>
      </c>
    </row>
    <row r="187" spans="1:10" x14ac:dyDescent="0.25">
      <c r="A187" s="1" t="str">
        <f t="shared" si="2"/>
        <v>06 EE2 170.9</v>
      </c>
      <c r="B1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7" s="1" t="s">
        <v>580</v>
      </c>
      <c r="D187" s="1" t="s">
        <v>503</v>
      </c>
      <c r="E187" s="1" t="s">
        <v>581</v>
      </c>
      <c r="F187" s="1" t="s">
        <v>112</v>
      </c>
      <c r="G187" s="1">
        <v>2014587</v>
      </c>
    </row>
    <row r="188" spans="1:10" x14ac:dyDescent="0.25">
      <c r="A188" s="1" t="str">
        <f t="shared" si="2"/>
        <v>06 EE2 170.9</v>
      </c>
      <c r="B1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88" s="1" t="s">
        <v>582</v>
      </c>
      <c r="D188" s="1" t="s">
        <v>583</v>
      </c>
      <c r="E188" s="1" t="s">
        <v>584</v>
      </c>
      <c r="F188" s="1" t="s">
        <v>112</v>
      </c>
      <c r="G188" s="1">
        <v>2325084</v>
      </c>
    </row>
    <row r="189" spans="1:10" x14ac:dyDescent="0.25">
      <c r="A189" s="1" t="str">
        <f t="shared" si="2"/>
        <v>06 EE2 170.9</v>
      </c>
      <c r="B1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89" s="1" t="s">
        <v>585</v>
      </c>
      <c r="D189" s="1" t="s">
        <v>586</v>
      </c>
      <c r="E189" s="1" t="s">
        <v>587</v>
      </c>
      <c r="F189" s="1" t="s">
        <v>112</v>
      </c>
      <c r="G189" s="1">
        <v>2413377</v>
      </c>
    </row>
    <row r="190" spans="1:10" x14ac:dyDescent="0.25">
      <c r="A190" s="1" t="str">
        <f t="shared" si="2"/>
        <v>06 EE2 170.9</v>
      </c>
      <c r="B1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90" s="1" t="s">
        <v>588</v>
      </c>
      <c r="D190" s="1" t="s">
        <v>589</v>
      </c>
      <c r="E190" s="1" t="s">
        <v>590</v>
      </c>
      <c r="F190" s="1" t="s">
        <v>112</v>
      </c>
      <c r="G190" s="1">
        <v>2582761</v>
      </c>
    </row>
    <row r="191" spans="1:10" x14ac:dyDescent="0.25">
      <c r="A191" s="1" t="str">
        <f t="shared" si="2"/>
        <v/>
      </c>
      <c r="B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1" s="1" t="s">
        <v>112</v>
      </c>
    </row>
    <row r="192" spans="1:10" x14ac:dyDescent="0.25">
      <c r="A192" s="1" t="str">
        <f t="shared" si="2"/>
        <v/>
      </c>
      <c r="B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2" s="1" t="s">
        <v>232</v>
      </c>
      <c r="D192" s="1" t="s">
        <v>112</v>
      </c>
      <c r="E192" s="1" t="s">
        <v>233</v>
      </c>
      <c r="F192" s="1" t="s">
        <v>234</v>
      </c>
      <c r="G192" s="1" t="s">
        <v>235</v>
      </c>
      <c r="H192" s="1" t="s">
        <v>236</v>
      </c>
      <c r="I192" s="1" t="s">
        <v>237</v>
      </c>
      <c r="J192" s="1" t="s">
        <v>238</v>
      </c>
    </row>
    <row r="193" spans="1:10" x14ac:dyDescent="0.25">
      <c r="A193" s="1" t="str">
        <f t="shared" si="2"/>
        <v>06 EE2 170.9</v>
      </c>
      <c r="B19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93" s="1" t="s">
        <v>591</v>
      </c>
      <c r="D193" s="1" t="s">
        <v>112</v>
      </c>
      <c r="E193" s="1" t="s">
        <v>592</v>
      </c>
      <c r="F193" s="1" t="s">
        <v>593</v>
      </c>
      <c r="G193" s="1" t="s">
        <v>594</v>
      </c>
      <c r="H193" s="1" t="s">
        <v>595</v>
      </c>
      <c r="I193" s="1">
        <v>24</v>
      </c>
      <c r="J193" s="1">
        <v>24</v>
      </c>
    </row>
    <row r="194" spans="1:10" x14ac:dyDescent="0.25">
      <c r="A194" s="1" t="str">
        <f t="shared" ref="A194:A257" si="3">IFERROR(LEFT(RIGHT(C194,LEN(C194)-SEARCH("@",C194)),SEARCH("/",RIGHT(C194,LEN(C194)-SEARCH("@",C194)-1))),"")</f>
        <v/>
      </c>
      <c r="B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4" s="1" t="s">
        <v>112</v>
      </c>
    </row>
    <row r="195" spans="1:10" x14ac:dyDescent="0.25">
      <c r="A195" s="1" t="str">
        <f t="shared" si="3"/>
        <v/>
      </c>
      <c r="B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5" s="1" t="s">
        <v>112</v>
      </c>
    </row>
    <row r="196" spans="1:10" x14ac:dyDescent="0.25">
      <c r="A196" s="1" t="str">
        <f t="shared" si="3"/>
        <v/>
      </c>
      <c r="B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6" s="1" t="s">
        <v>112</v>
      </c>
    </row>
    <row r="197" spans="1:10" x14ac:dyDescent="0.25">
      <c r="A197" s="1" t="str">
        <f t="shared" si="3"/>
        <v/>
      </c>
      <c r="B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7" s="1" t="s">
        <v>112</v>
      </c>
    </row>
    <row r="198" spans="1:10" x14ac:dyDescent="0.25">
      <c r="A198" s="1" t="str">
        <f t="shared" si="3"/>
        <v/>
      </c>
      <c r="B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8" s="1" t="s">
        <v>112</v>
      </c>
    </row>
    <row r="199" spans="1:10" x14ac:dyDescent="0.25">
      <c r="A199" s="1" t="str">
        <f t="shared" si="3"/>
        <v/>
      </c>
      <c r="B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9" s="1" t="s">
        <v>244</v>
      </c>
      <c r="D199" s="1" t="s">
        <v>110</v>
      </c>
      <c r="E199" s="1" t="s">
        <v>111</v>
      </c>
      <c r="F199" s="1" t="s">
        <v>112</v>
      </c>
      <c r="G199" s="1" t="s">
        <v>113</v>
      </c>
    </row>
    <row r="200" spans="1:10" x14ac:dyDescent="0.25">
      <c r="A200" s="1" t="str">
        <f t="shared" si="3"/>
        <v>07 EE2 488</v>
      </c>
      <c r="B2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0" s="1" t="s">
        <v>596</v>
      </c>
      <c r="D200" s="1" t="s">
        <v>597</v>
      </c>
      <c r="E200" s="1" t="s">
        <v>598</v>
      </c>
      <c r="F200" s="1" t="s">
        <v>112</v>
      </c>
      <c r="G200" s="1">
        <v>1498757</v>
      </c>
    </row>
    <row r="201" spans="1:10" x14ac:dyDescent="0.25">
      <c r="A201" s="1" t="str">
        <f t="shared" si="3"/>
        <v>07 EE2 488</v>
      </c>
      <c r="B2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1" s="1" t="s">
        <v>599</v>
      </c>
      <c r="D201" s="1" t="s">
        <v>600</v>
      </c>
      <c r="E201" s="1" t="s">
        <v>601</v>
      </c>
      <c r="F201" s="1" t="s">
        <v>112</v>
      </c>
      <c r="G201" s="1">
        <v>3892018</v>
      </c>
    </row>
    <row r="202" spans="1:10" x14ac:dyDescent="0.25">
      <c r="A202" s="1" t="str">
        <f t="shared" si="3"/>
        <v>07 EE2 488</v>
      </c>
      <c r="B2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2" s="1" t="s">
        <v>602</v>
      </c>
      <c r="D202" s="1" t="s">
        <v>603</v>
      </c>
      <c r="E202" s="1" t="s">
        <v>604</v>
      </c>
      <c r="F202" s="1" t="s">
        <v>112</v>
      </c>
      <c r="G202" s="1">
        <v>1755742</v>
      </c>
    </row>
    <row r="203" spans="1:10" x14ac:dyDescent="0.25">
      <c r="A203" s="1" t="str">
        <f t="shared" si="3"/>
        <v>07 EE2 488</v>
      </c>
      <c r="B2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3" s="1" t="s">
        <v>605</v>
      </c>
      <c r="D203" s="1" t="s">
        <v>606</v>
      </c>
      <c r="E203" s="1" t="s">
        <v>607</v>
      </c>
      <c r="F203" s="1" t="s">
        <v>112</v>
      </c>
      <c r="G203" s="1">
        <v>7808068</v>
      </c>
    </row>
    <row r="204" spans="1:10" x14ac:dyDescent="0.25">
      <c r="A204" s="1" t="str">
        <f t="shared" si="3"/>
        <v>07 EE2 488</v>
      </c>
      <c r="B2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4" s="1" t="s">
        <v>608</v>
      </c>
      <c r="D204" s="1" t="s">
        <v>609</v>
      </c>
      <c r="E204" s="1" t="s">
        <v>610</v>
      </c>
      <c r="F204" s="1" t="s">
        <v>112</v>
      </c>
      <c r="G204" s="1">
        <v>7685902</v>
      </c>
    </row>
    <row r="205" spans="1:10" x14ac:dyDescent="0.25">
      <c r="A205" s="1" t="str">
        <f t="shared" si="3"/>
        <v>07 EE2 488</v>
      </c>
      <c r="B2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5" s="1" t="s">
        <v>611</v>
      </c>
      <c r="D205" s="1" t="s">
        <v>612</v>
      </c>
      <c r="E205" s="1" t="s">
        <v>613</v>
      </c>
      <c r="F205" s="1" t="s">
        <v>112</v>
      </c>
      <c r="G205" s="1">
        <v>6867037</v>
      </c>
    </row>
    <row r="206" spans="1:10" x14ac:dyDescent="0.25">
      <c r="A206" s="1" t="str">
        <f t="shared" si="3"/>
        <v>07 EE2 488</v>
      </c>
      <c r="B2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6" s="1" t="s">
        <v>614</v>
      </c>
      <c r="D206" s="1" t="s">
        <v>615</v>
      </c>
      <c r="E206" s="1" t="s">
        <v>616</v>
      </c>
      <c r="F206" s="1" t="s">
        <v>112</v>
      </c>
      <c r="G206" s="1">
        <v>5381323</v>
      </c>
    </row>
    <row r="207" spans="1:10" x14ac:dyDescent="0.25">
      <c r="A207" s="1" t="str">
        <f t="shared" si="3"/>
        <v>07 EE2 488</v>
      </c>
      <c r="B2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7" s="1" t="s">
        <v>617</v>
      </c>
      <c r="D207" s="1" t="s">
        <v>618</v>
      </c>
      <c r="E207" s="1" t="s">
        <v>619</v>
      </c>
      <c r="F207" s="1" t="s">
        <v>112</v>
      </c>
      <c r="G207" s="1">
        <v>6644509</v>
      </c>
    </row>
    <row r="208" spans="1:10" x14ac:dyDescent="0.25">
      <c r="A208" s="1" t="str">
        <f t="shared" si="3"/>
        <v>07 EE2 488</v>
      </c>
      <c r="B2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8" s="1" t="s">
        <v>620</v>
      </c>
      <c r="D208" s="1" t="s">
        <v>621</v>
      </c>
      <c r="E208" s="1" t="s">
        <v>622</v>
      </c>
      <c r="F208" s="1" t="s">
        <v>112</v>
      </c>
      <c r="G208" s="1">
        <v>5212913</v>
      </c>
    </row>
    <row r="209" spans="1:7" x14ac:dyDescent="0.25">
      <c r="A209" s="1" t="str">
        <f t="shared" si="3"/>
        <v>07 EE2 488</v>
      </c>
      <c r="B2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09" s="1" t="s">
        <v>623</v>
      </c>
      <c r="D209" s="1" t="s">
        <v>624</v>
      </c>
      <c r="E209" s="1" t="s">
        <v>625</v>
      </c>
      <c r="F209" s="1" t="s">
        <v>112</v>
      </c>
      <c r="G209" s="1">
        <v>5728851</v>
      </c>
    </row>
    <row r="210" spans="1:7" x14ac:dyDescent="0.25">
      <c r="A210" s="1" t="str">
        <f t="shared" si="3"/>
        <v>07 EE2 488</v>
      </c>
      <c r="B2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10" s="1" t="s">
        <v>626</v>
      </c>
      <c r="D210" s="1" t="s">
        <v>627</v>
      </c>
      <c r="E210" s="1" t="s">
        <v>628</v>
      </c>
      <c r="F210" s="1" t="s">
        <v>112</v>
      </c>
      <c r="G210" s="1">
        <v>5989318</v>
      </c>
    </row>
    <row r="211" spans="1:7" x14ac:dyDescent="0.25">
      <c r="A211" s="1" t="str">
        <f t="shared" si="3"/>
        <v>07 EE2 488</v>
      </c>
      <c r="B2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11" s="1" t="s">
        <v>629</v>
      </c>
      <c r="D211" s="1" t="s">
        <v>630</v>
      </c>
      <c r="E211" s="1" t="s">
        <v>631</v>
      </c>
      <c r="F211" s="1" t="s">
        <v>112</v>
      </c>
      <c r="G211" s="1">
        <v>5676095</v>
      </c>
    </row>
    <row r="212" spans="1:7" x14ac:dyDescent="0.25">
      <c r="A212" s="1" t="str">
        <f t="shared" si="3"/>
        <v>07 EE2 488</v>
      </c>
      <c r="B2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2" s="1" t="s">
        <v>632</v>
      </c>
      <c r="D212" s="1" t="s">
        <v>633</v>
      </c>
      <c r="E212" s="1" t="s">
        <v>634</v>
      </c>
      <c r="F212" s="1" t="s">
        <v>112</v>
      </c>
      <c r="G212" s="1">
        <v>6478500</v>
      </c>
    </row>
    <row r="213" spans="1:7" x14ac:dyDescent="0.25">
      <c r="A213" s="1" t="str">
        <f t="shared" si="3"/>
        <v>07 EE2 488</v>
      </c>
      <c r="B2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3" s="1" t="s">
        <v>635</v>
      </c>
      <c r="D213" s="1" t="s">
        <v>636</v>
      </c>
      <c r="E213" s="1" t="s">
        <v>637</v>
      </c>
      <c r="F213" s="1" t="s">
        <v>112</v>
      </c>
      <c r="G213" s="1">
        <v>6615568</v>
      </c>
    </row>
    <row r="214" spans="1:7" x14ac:dyDescent="0.25">
      <c r="A214" s="1" t="str">
        <f t="shared" si="3"/>
        <v>07 EE2 488</v>
      </c>
      <c r="B2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4" s="1" t="s">
        <v>638</v>
      </c>
      <c r="D214" s="1" t="s">
        <v>639</v>
      </c>
      <c r="E214" s="1" t="s">
        <v>640</v>
      </c>
      <c r="F214" s="1" t="s">
        <v>112</v>
      </c>
      <c r="G214" s="1">
        <v>5621264</v>
      </c>
    </row>
    <row r="215" spans="1:7" x14ac:dyDescent="0.25">
      <c r="A215" s="1" t="str">
        <f t="shared" si="3"/>
        <v>07 EE2 488</v>
      </c>
      <c r="B2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5" s="1" t="s">
        <v>641</v>
      </c>
      <c r="D215" s="1" t="s">
        <v>642</v>
      </c>
      <c r="E215" s="1" t="s">
        <v>643</v>
      </c>
      <c r="F215" s="1" t="s">
        <v>112</v>
      </c>
      <c r="G215" s="1">
        <v>5198507</v>
      </c>
    </row>
    <row r="216" spans="1:7" x14ac:dyDescent="0.25">
      <c r="A216" s="1" t="str">
        <f t="shared" si="3"/>
        <v>07 EE2 488</v>
      </c>
      <c r="B2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6" s="1" t="s">
        <v>644</v>
      </c>
      <c r="D216" s="1" t="s">
        <v>645</v>
      </c>
      <c r="E216" s="1" t="s">
        <v>646</v>
      </c>
      <c r="F216" s="1" t="s">
        <v>112</v>
      </c>
      <c r="G216" s="1">
        <v>4984847</v>
      </c>
    </row>
    <row r="217" spans="1:7" x14ac:dyDescent="0.25">
      <c r="A217" s="1" t="str">
        <f t="shared" si="3"/>
        <v>07 EE2 488</v>
      </c>
      <c r="B2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7" s="1" t="s">
        <v>647</v>
      </c>
      <c r="D217" s="1" t="s">
        <v>648</v>
      </c>
      <c r="E217" s="1" t="s">
        <v>649</v>
      </c>
      <c r="F217" s="1" t="s">
        <v>112</v>
      </c>
      <c r="G217" s="1">
        <v>4699419</v>
      </c>
    </row>
    <row r="218" spans="1:7" x14ac:dyDescent="0.25">
      <c r="A218" s="1" t="str">
        <f t="shared" si="3"/>
        <v>07 EE2 488</v>
      </c>
      <c r="B2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8" s="1" t="s">
        <v>650</v>
      </c>
      <c r="D218" s="1" t="s">
        <v>651</v>
      </c>
      <c r="E218" s="1" t="s">
        <v>652</v>
      </c>
      <c r="F218" s="1" t="s">
        <v>112</v>
      </c>
      <c r="G218" s="1">
        <v>6077005</v>
      </c>
    </row>
    <row r="219" spans="1:7" x14ac:dyDescent="0.25">
      <c r="A219" s="1" t="str">
        <f t="shared" si="3"/>
        <v>07 EE2 488</v>
      </c>
      <c r="B2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9" s="1" t="s">
        <v>653</v>
      </c>
      <c r="D219" s="1" t="s">
        <v>654</v>
      </c>
      <c r="E219" s="1" t="s">
        <v>655</v>
      </c>
      <c r="F219" s="1" t="s">
        <v>112</v>
      </c>
      <c r="G219" s="1">
        <v>6338554</v>
      </c>
    </row>
    <row r="220" spans="1:7" x14ac:dyDescent="0.25">
      <c r="A220" s="1" t="str">
        <f t="shared" si="3"/>
        <v>07 EE2 488</v>
      </c>
      <c r="B2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20" s="1" t="s">
        <v>656</v>
      </c>
      <c r="D220" s="1" t="s">
        <v>657</v>
      </c>
      <c r="E220" s="1" t="s">
        <v>658</v>
      </c>
      <c r="F220" s="1" t="s">
        <v>112</v>
      </c>
      <c r="G220" s="1">
        <v>6157382</v>
      </c>
    </row>
    <row r="221" spans="1:7" x14ac:dyDescent="0.25">
      <c r="A221" s="1" t="str">
        <f t="shared" si="3"/>
        <v>07 EE2 488</v>
      </c>
      <c r="B2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1" s="1" t="s">
        <v>659</v>
      </c>
      <c r="D221" s="1" t="s">
        <v>660</v>
      </c>
      <c r="E221" s="1" t="s">
        <v>661</v>
      </c>
      <c r="F221" s="1" t="s">
        <v>112</v>
      </c>
      <c r="G221" s="1">
        <v>6797951</v>
      </c>
    </row>
    <row r="222" spans="1:7" x14ac:dyDescent="0.25">
      <c r="A222" s="1" t="str">
        <f t="shared" si="3"/>
        <v>07 EE2 488</v>
      </c>
      <c r="B2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2" s="1" t="s">
        <v>662</v>
      </c>
      <c r="D222" s="1" t="s">
        <v>663</v>
      </c>
      <c r="E222" s="1" t="s">
        <v>664</v>
      </c>
      <c r="F222" s="1" t="s">
        <v>112</v>
      </c>
      <c r="G222" s="1">
        <v>7162069</v>
      </c>
    </row>
    <row r="223" spans="1:7" x14ac:dyDescent="0.25">
      <c r="A223" s="1" t="str">
        <f t="shared" si="3"/>
        <v>07 EE2 488</v>
      </c>
      <c r="B2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3" s="1" t="s">
        <v>665</v>
      </c>
      <c r="D223" s="1" t="s">
        <v>666</v>
      </c>
      <c r="E223" s="1" t="s">
        <v>667</v>
      </c>
      <c r="F223" s="1" t="s">
        <v>112</v>
      </c>
      <c r="G223" s="1">
        <v>6850707</v>
      </c>
    </row>
    <row r="224" spans="1:7" x14ac:dyDescent="0.25">
      <c r="A224" s="1" t="str">
        <f t="shared" si="3"/>
        <v/>
      </c>
      <c r="B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4" s="1" t="s">
        <v>112</v>
      </c>
    </row>
    <row r="225" spans="1:10" x14ac:dyDescent="0.25">
      <c r="A225" s="1" t="str">
        <f t="shared" si="3"/>
        <v/>
      </c>
      <c r="B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5" s="1" t="s">
        <v>232</v>
      </c>
      <c r="D225" s="1" t="s">
        <v>112</v>
      </c>
      <c r="E225" s="1" t="s">
        <v>233</v>
      </c>
      <c r="F225" s="1" t="s">
        <v>234</v>
      </c>
      <c r="G225" s="1" t="s">
        <v>235</v>
      </c>
      <c r="H225" s="1" t="s">
        <v>236</v>
      </c>
      <c r="I225" s="1" t="s">
        <v>237</v>
      </c>
      <c r="J225" s="1" t="s">
        <v>238</v>
      </c>
    </row>
    <row r="226" spans="1:10" x14ac:dyDescent="0.25">
      <c r="A226" s="1" t="str">
        <f t="shared" si="3"/>
        <v>07 EE2 488</v>
      </c>
      <c r="B22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26" s="1" t="s">
        <v>668</v>
      </c>
      <c r="D226" s="1" t="s">
        <v>112</v>
      </c>
      <c r="E226" s="1" t="s">
        <v>669</v>
      </c>
      <c r="F226" s="1" t="s">
        <v>670</v>
      </c>
      <c r="G226" s="1" t="s">
        <v>671</v>
      </c>
      <c r="H226" s="1" t="s">
        <v>672</v>
      </c>
      <c r="I226" s="1">
        <v>24</v>
      </c>
      <c r="J226" s="1">
        <v>24</v>
      </c>
    </row>
    <row r="227" spans="1:10" x14ac:dyDescent="0.25">
      <c r="A227" s="1" t="str">
        <f t="shared" si="3"/>
        <v/>
      </c>
      <c r="B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7" s="1" t="s">
        <v>112</v>
      </c>
    </row>
    <row r="228" spans="1:10" x14ac:dyDescent="0.25">
      <c r="A228" s="1" t="str">
        <f t="shared" si="3"/>
        <v/>
      </c>
      <c r="B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8" s="1" t="s">
        <v>112</v>
      </c>
    </row>
    <row r="229" spans="1:10" x14ac:dyDescent="0.25">
      <c r="A229" s="1" t="str">
        <f t="shared" si="3"/>
        <v/>
      </c>
      <c r="B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9" s="1" t="s">
        <v>112</v>
      </c>
    </row>
    <row r="230" spans="1:10" x14ac:dyDescent="0.25">
      <c r="A230" s="1" t="str">
        <f t="shared" si="3"/>
        <v/>
      </c>
      <c r="B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0" s="1" t="s">
        <v>112</v>
      </c>
    </row>
    <row r="231" spans="1:10" x14ac:dyDescent="0.25">
      <c r="A231" s="1" t="str">
        <f t="shared" si="3"/>
        <v/>
      </c>
      <c r="B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1" s="1" t="s">
        <v>112</v>
      </c>
    </row>
    <row r="232" spans="1:10" x14ac:dyDescent="0.25">
      <c r="A232" s="1" t="str">
        <f t="shared" si="3"/>
        <v/>
      </c>
      <c r="B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2" s="1" t="s">
        <v>244</v>
      </c>
      <c r="D232" s="1" t="s">
        <v>110</v>
      </c>
      <c r="E232" s="1" t="s">
        <v>111</v>
      </c>
      <c r="F232" s="1" t="s">
        <v>112</v>
      </c>
      <c r="G232" s="1" t="s">
        <v>113</v>
      </c>
    </row>
    <row r="233" spans="1:10" x14ac:dyDescent="0.25">
      <c r="A233" s="1" t="str">
        <f t="shared" si="3"/>
        <v>08 17b estradiol 34 ng_L</v>
      </c>
      <c r="B2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3" s="1" t="s">
        <v>673</v>
      </c>
      <c r="D233" s="1" t="s">
        <v>290</v>
      </c>
      <c r="E233" s="1" t="s">
        <v>674</v>
      </c>
      <c r="F233" s="1" t="s">
        <v>112</v>
      </c>
      <c r="G233" s="1">
        <v>60153</v>
      </c>
    </row>
    <row r="234" spans="1:10" x14ac:dyDescent="0.25">
      <c r="A234" s="1" t="str">
        <f t="shared" si="3"/>
        <v>08 17b estradiol 34 ng_L</v>
      </c>
      <c r="B2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4" s="1" t="s">
        <v>675</v>
      </c>
      <c r="D234" s="1" t="s">
        <v>676</v>
      </c>
      <c r="E234" s="1" t="s">
        <v>677</v>
      </c>
      <c r="F234" s="1" t="s">
        <v>112</v>
      </c>
      <c r="G234" s="1">
        <v>466557</v>
      </c>
    </row>
    <row r="235" spans="1:10" x14ac:dyDescent="0.25">
      <c r="A235" s="1" t="str">
        <f t="shared" si="3"/>
        <v>08 17b estradiol 34 ng_L</v>
      </c>
      <c r="B2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5" s="1" t="s">
        <v>678</v>
      </c>
      <c r="D235" s="1" t="s">
        <v>679</v>
      </c>
      <c r="E235" s="1" t="s">
        <v>680</v>
      </c>
      <c r="F235" s="1" t="s">
        <v>112</v>
      </c>
      <c r="G235" s="1">
        <v>501662</v>
      </c>
    </row>
    <row r="236" spans="1:10" x14ac:dyDescent="0.25">
      <c r="A236" s="1" t="str">
        <f t="shared" si="3"/>
        <v>08 17b estradiol 34 ng_L</v>
      </c>
      <c r="B2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6" s="1" t="s">
        <v>681</v>
      </c>
      <c r="D236" s="1" t="s">
        <v>682</v>
      </c>
      <c r="E236" s="1" t="s">
        <v>683</v>
      </c>
      <c r="F236" s="1" t="s">
        <v>112</v>
      </c>
      <c r="G236" s="1">
        <v>18061</v>
      </c>
    </row>
    <row r="237" spans="1:10" x14ac:dyDescent="0.25">
      <c r="A237" s="1" t="str">
        <f t="shared" si="3"/>
        <v>08 17b estradiol 34 ng_L</v>
      </c>
      <c r="B2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7" s="1" t="s">
        <v>684</v>
      </c>
      <c r="D237" s="1" t="s">
        <v>261</v>
      </c>
      <c r="E237" s="1" t="s">
        <v>685</v>
      </c>
      <c r="F237" s="1" t="s">
        <v>112</v>
      </c>
      <c r="G237" s="1">
        <v>13605</v>
      </c>
    </row>
    <row r="238" spans="1:10" x14ac:dyDescent="0.25">
      <c r="A238" s="1" t="str">
        <f t="shared" si="3"/>
        <v>08 17b estradiol 34 ng_L</v>
      </c>
      <c r="B2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8" s="1" t="s">
        <v>686</v>
      </c>
    </row>
    <row r="239" spans="1:10" x14ac:dyDescent="0.25">
      <c r="A239" s="1" t="str">
        <f t="shared" si="3"/>
        <v>08 17b estradiol 34 ng_L</v>
      </c>
      <c r="B2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39" s="1" t="s">
        <v>687</v>
      </c>
      <c r="D239" s="1" t="s">
        <v>688</v>
      </c>
      <c r="E239" s="1" t="s">
        <v>689</v>
      </c>
      <c r="F239" s="1" t="s">
        <v>112</v>
      </c>
      <c r="G239" s="1">
        <v>56368</v>
      </c>
    </row>
    <row r="240" spans="1:10" x14ac:dyDescent="0.25">
      <c r="A240" s="1" t="str">
        <f t="shared" si="3"/>
        <v>08 17b estradiol 34 ng_L</v>
      </c>
      <c r="B2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40" s="1" t="s">
        <v>690</v>
      </c>
      <c r="D240" s="1" t="s">
        <v>691</v>
      </c>
      <c r="E240" s="1" t="s">
        <v>692</v>
      </c>
      <c r="F240" s="1" t="s">
        <v>112</v>
      </c>
      <c r="G240" s="1">
        <v>159953</v>
      </c>
    </row>
    <row r="241" spans="1:7" x14ac:dyDescent="0.25">
      <c r="A241" s="1" t="str">
        <f t="shared" si="3"/>
        <v>08 17b estradiol 34 ng_L</v>
      </c>
      <c r="B2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41" s="1" t="s">
        <v>693</v>
      </c>
      <c r="D241" s="1" t="s">
        <v>694</v>
      </c>
      <c r="E241" s="1" t="s">
        <v>695</v>
      </c>
      <c r="F241" s="1" t="s">
        <v>112</v>
      </c>
      <c r="G241" s="1">
        <v>105035</v>
      </c>
    </row>
    <row r="242" spans="1:7" x14ac:dyDescent="0.25">
      <c r="A242" s="1" t="str">
        <f t="shared" si="3"/>
        <v>08 17b estradiol 34 ng_L</v>
      </c>
      <c r="B2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2" s="1" t="s">
        <v>696</v>
      </c>
      <c r="D242" s="1" t="s">
        <v>697</v>
      </c>
      <c r="E242" s="1" t="s">
        <v>698</v>
      </c>
      <c r="F242" s="1" t="s">
        <v>112</v>
      </c>
      <c r="G242" s="1">
        <v>69605</v>
      </c>
    </row>
    <row r="243" spans="1:7" x14ac:dyDescent="0.25">
      <c r="A243" s="1" t="str">
        <f t="shared" si="3"/>
        <v>08 17b estradiol 34 ng_L</v>
      </c>
      <c r="B2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3" s="1" t="s">
        <v>699</v>
      </c>
      <c r="D243" s="1" t="s">
        <v>700</v>
      </c>
      <c r="E243" s="1" t="s">
        <v>701</v>
      </c>
      <c r="F243" s="1" t="s">
        <v>112</v>
      </c>
      <c r="G243" s="1">
        <v>143147</v>
      </c>
    </row>
    <row r="244" spans="1:7" x14ac:dyDescent="0.25">
      <c r="A244" s="1" t="str">
        <f t="shared" si="3"/>
        <v>08 17b estradiol 34 ng_L</v>
      </c>
      <c r="B2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4" s="1" t="s">
        <v>702</v>
      </c>
      <c r="D244" s="1" t="s">
        <v>703</v>
      </c>
      <c r="E244" s="1" t="s">
        <v>704</v>
      </c>
      <c r="F244" s="1" t="s">
        <v>112</v>
      </c>
      <c r="G244" s="1">
        <v>118337</v>
      </c>
    </row>
    <row r="245" spans="1:7" x14ac:dyDescent="0.25">
      <c r="A245" s="1" t="str">
        <f t="shared" si="3"/>
        <v>08 17b estradiol 34 ng_L</v>
      </c>
      <c r="B2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5" s="1" t="s">
        <v>705</v>
      </c>
      <c r="D245" s="1" t="s">
        <v>706</v>
      </c>
      <c r="E245" s="1" t="s">
        <v>707</v>
      </c>
      <c r="F245" s="1" t="s">
        <v>112</v>
      </c>
      <c r="G245" s="1">
        <v>258737</v>
      </c>
    </row>
    <row r="246" spans="1:7" x14ac:dyDescent="0.25">
      <c r="A246" s="1" t="str">
        <f t="shared" si="3"/>
        <v>08 17b estradiol 34 ng_L</v>
      </c>
      <c r="B2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6" s="1" t="s">
        <v>708</v>
      </c>
      <c r="D246" s="1" t="s">
        <v>201</v>
      </c>
      <c r="E246" s="1" t="s">
        <v>709</v>
      </c>
      <c r="F246" s="1" t="s">
        <v>112</v>
      </c>
      <c r="G246" s="1">
        <v>23274</v>
      </c>
    </row>
    <row r="247" spans="1:7" x14ac:dyDescent="0.25">
      <c r="A247" s="1" t="str">
        <f t="shared" si="3"/>
        <v>08 17b estradiol 34 ng_L</v>
      </c>
      <c r="B2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7" s="1" t="s">
        <v>710</v>
      </c>
      <c r="D247" s="1" t="s">
        <v>711</v>
      </c>
      <c r="E247" s="1" t="s">
        <v>712</v>
      </c>
      <c r="F247" s="1" t="s">
        <v>112</v>
      </c>
      <c r="G247" s="1">
        <v>138972</v>
      </c>
    </row>
    <row r="248" spans="1:7" x14ac:dyDescent="0.25">
      <c r="A248" s="1" t="str">
        <f t="shared" si="3"/>
        <v>08 17b estradiol 34 ng_L</v>
      </c>
      <c r="B2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48" s="1" t="s">
        <v>713</v>
      </c>
      <c r="D248" s="1" t="s">
        <v>714</v>
      </c>
      <c r="E248" s="1" t="s">
        <v>715</v>
      </c>
      <c r="F248" s="1" t="s">
        <v>112</v>
      </c>
      <c r="G248" s="1">
        <v>287916</v>
      </c>
    </row>
    <row r="249" spans="1:7" x14ac:dyDescent="0.25">
      <c r="A249" s="1" t="str">
        <f t="shared" si="3"/>
        <v>08 17b estradiol 34 ng_L</v>
      </c>
      <c r="B2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49" s="1" t="s">
        <v>716</v>
      </c>
      <c r="D249" s="1" t="s">
        <v>717</v>
      </c>
      <c r="E249" s="1" t="s">
        <v>718</v>
      </c>
      <c r="F249" s="1" t="s">
        <v>112</v>
      </c>
      <c r="G249" s="1">
        <v>308897</v>
      </c>
    </row>
    <row r="250" spans="1:7" x14ac:dyDescent="0.25">
      <c r="A250" s="1" t="str">
        <f t="shared" si="3"/>
        <v>08 17b estradiol 34 ng_L</v>
      </c>
      <c r="B2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50" s="1" t="s">
        <v>719</v>
      </c>
      <c r="D250" s="1" t="s">
        <v>720</v>
      </c>
      <c r="E250" s="1" t="s">
        <v>721</v>
      </c>
      <c r="F250" s="1" t="s">
        <v>112</v>
      </c>
      <c r="G250" s="1">
        <v>185887</v>
      </c>
    </row>
    <row r="251" spans="1:7" x14ac:dyDescent="0.25">
      <c r="A251" s="1" t="str">
        <f t="shared" si="3"/>
        <v>08 17b estradiol 34 ng_L</v>
      </c>
      <c r="B2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1" s="1" t="s">
        <v>722</v>
      </c>
      <c r="D251" s="1" t="s">
        <v>227</v>
      </c>
      <c r="E251" s="1" t="s">
        <v>723</v>
      </c>
      <c r="F251" s="1" t="s">
        <v>112</v>
      </c>
      <c r="G251" s="1">
        <v>25502</v>
      </c>
    </row>
    <row r="252" spans="1:7" x14ac:dyDescent="0.25">
      <c r="A252" s="1" t="str">
        <f t="shared" si="3"/>
        <v>08 17b estradiol 34 ng_L</v>
      </c>
      <c r="B2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2" s="1" t="s">
        <v>724</v>
      </c>
      <c r="D252" s="1" t="s">
        <v>725</v>
      </c>
      <c r="E252" s="1" t="s">
        <v>726</v>
      </c>
      <c r="F252" s="1" t="s">
        <v>112</v>
      </c>
      <c r="G252" s="1">
        <v>19099</v>
      </c>
    </row>
    <row r="253" spans="1:7" x14ac:dyDescent="0.25">
      <c r="A253" s="1" t="str">
        <f t="shared" si="3"/>
        <v>08 17b estradiol 34 ng_L</v>
      </c>
      <c r="B2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3" s="1" t="s">
        <v>727</v>
      </c>
      <c r="D253" s="1" t="s">
        <v>725</v>
      </c>
      <c r="E253" s="1" t="s">
        <v>728</v>
      </c>
      <c r="F253" s="1" t="s">
        <v>112</v>
      </c>
      <c r="G253" s="1">
        <v>18602</v>
      </c>
    </row>
    <row r="254" spans="1:7" x14ac:dyDescent="0.25">
      <c r="A254" s="1" t="str">
        <f t="shared" si="3"/>
        <v>08 17b estradiol 34 ng_L</v>
      </c>
      <c r="B2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4" s="1" t="s">
        <v>729</v>
      </c>
      <c r="D254" s="1" t="s">
        <v>199</v>
      </c>
      <c r="E254" s="1" t="s">
        <v>730</v>
      </c>
      <c r="F254" s="1" t="s">
        <v>112</v>
      </c>
      <c r="G254" s="1">
        <v>173472</v>
      </c>
    </row>
    <row r="255" spans="1:7" x14ac:dyDescent="0.25">
      <c r="A255" s="1" t="str">
        <f t="shared" si="3"/>
        <v>08 17b estradiol 34 ng_L</v>
      </c>
      <c r="B2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5" s="1" t="s">
        <v>731</v>
      </c>
      <c r="D255" s="1" t="s">
        <v>732</v>
      </c>
      <c r="E255" s="1" t="s">
        <v>733</v>
      </c>
      <c r="F255" s="1" t="s">
        <v>112</v>
      </c>
      <c r="G255" s="1">
        <v>268687</v>
      </c>
    </row>
    <row r="256" spans="1:7" x14ac:dyDescent="0.25">
      <c r="A256" s="1" t="str">
        <f t="shared" si="3"/>
        <v>08 17b estradiol 34 ng_L</v>
      </c>
      <c r="B2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6" s="1" t="s">
        <v>734</v>
      </c>
      <c r="D256" s="1" t="s">
        <v>735</v>
      </c>
      <c r="E256" s="1" t="s">
        <v>736</v>
      </c>
      <c r="F256" s="1" t="s">
        <v>112</v>
      </c>
      <c r="G256" s="1">
        <v>164971</v>
      </c>
    </row>
    <row r="257" spans="1:10" x14ac:dyDescent="0.25">
      <c r="A257" s="1" t="str">
        <f t="shared" si="3"/>
        <v/>
      </c>
      <c r="B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57" s="1" t="s">
        <v>112</v>
      </c>
    </row>
    <row r="258" spans="1:10" x14ac:dyDescent="0.25">
      <c r="A258" s="1" t="str">
        <f t="shared" ref="A258:A321" si="4">IFERROR(LEFT(RIGHT(C258,LEN(C258)-SEARCH("@",C258)),SEARCH("/",RIGHT(C258,LEN(C258)-SEARCH("@",C258)-1))),"")</f>
        <v/>
      </c>
      <c r="B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58" s="1" t="s">
        <v>232</v>
      </c>
      <c r="D258" s="1" t="s">
        <v>112</v>
      </c>
      <c r="E258" s="1" t="s">
        <v>233</v>
      </c>
      <c r="F258" s="1" t="s">
        <v>234</v>
      </c>
      <c r="G258" s="1" t="s">
        <v>235</v>
      </c>
      <c r="H258" s="1" t="s">
        <v>236</v>
      </c>
      <c r="I258" s="1" t="s">
        <v>237</v>
      </c>
      <c r="J258" s="1" t="s">
        <v>238</v>
      </c>
    </row>
    <row r="259" spans="1:10" x14ac:dyDescent="0.25">
      <c r="A259" s="1" t="str">
        <f t="shared" si="4"/>
        <v>08 17b estradiol 34 ng_L</v>
      </c>
      <c r="B25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59" s="1" t="s">
        <v>737</v>
      </c>
      <c r="D259" s="1" t="s">
        <v>112</v>
      </c>
      <c r="E259" s="1" t="s">
        <v>738</v>
      </c>
      <c r="F259" s="1" t="s">
        <v>739</v>
      </c>
      <c r="G259" s="1" t="s">
        <v>740</v>
      </c>
      <c r="H259" s="1" t="s">
        <v>741</v>
      </c>
      <c r="I259" s="1">
        <v>24</v>
      </c>
      <c r="J259" s="1">
        <v>24</v>
      </c>
    </row>
    <row r="260" spans="1:10" x14ac:dyDescent="0.25">
      <c r="A260" s="1" t="str">
        <f t="shared" si="4"/>
        <v/>
      </c>
      <c r="B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0" s="1" t="s">
        <v>112</v>
      </c>
    </row>
    <row r="261" spans="1:10" x14ac:dyDescent="0.25">
      <c r="A261" s="1" t="str">
        <f t="shared" si="4"/>
        <v/>
      </c>
      <c r="B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1" s="1" t="s">
        <v>112</v>
      </c>
    </row>
    <row r="262" spans="1:10" x14ac:dyDescent="0.25">
      <c r="A262" s="1" t="str">
        <f t="shared" si="4"/>
        <v/>
      </c>
      <c r="B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2" s="1" t="s">
        <v>112</v>
      </c>
    </row>
    <row r="263" spans="1:10" x14ac:dyDescent="0.25">
      <c r="A263" s="1" t="str">
        <f t="shared" si="4"/>
        <v/>
      </c>
      <c r="B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3" s="1" t="s">
        <v>112</v>
      </c>
    </row>
    <row r="264" spans="1:10" x14ac:dyDescent="0.25">
      <c r="A264" s="1" t="str">
        <f t="shared" si="4"/>
        <v/>
      </c>
      <c r="B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4" s="1" t="s">
        <v>112</v>
      </c>
    </row>
    <row r="265" spans="1:10" x14ac:dyDescent="0.25">
      <c r="A265" s="1" t="str">
        <f t="shared" si="4"/>
        <v/>
      </c>
      <c r="B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5" s="1" t="s">
        <v>244</v>
      </c>
      <c r="D265" s="1" t="s">
        <v>110</v>
      </c>
      <c r="E265" s="1" t="s">
        <v>111</v>
      </c>
      <c r="F265" s="1" t="s">
        <v>112</v>
      </c>
      <c r="G265" s="1" t="s">
        <v>113</v>
      </c>
    </row>
    <row r="266" spans="1:10" x14ac:dyDescent="0.25">
      <c r="A266" s="1" t="str">
        <f t="shared" si="4"/>
        <v>09 17b estradiol 68</v>
      </c>
      <c r="B2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6" s="1" t="s">
        <v>742</v>
      </c>
      <c r="D266" s="1" t="s">
        <v>469</v>
      </c>
      <c r="E266" s="1" t="s">
        <v>743</v>
      </c>
      <c r="F266" s="1" t="s">
        <v>112</v>
      </c>
      <c r="G266" s="1">
        <v>21370</v>
      </c>
    </row>
    <row r="267" spans="1:10" x14ac:dyDescent="0.25">
      <c r="A267" s="1" t="str">
        <f t="shared" si="4"/>
        <v>09 17b estradiol 68</v>
      </c>
      <c r="B2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7" s="1" t="s">
        <v>744</v>
      </c>
      <c r="D267" s="1" t="s">
        <v>469</v>
      </c>
      <c r="E267" s="1" t="s">
        <v>745</v>
      </c>
      <c r="F267" s="1" t="s">
        <v>112</v>
      </c>
      <c r="G267" s="1">
        <v>22192</v>
      </c>
    </row>
    <row r="268" spans="1:10" x14ac:dyDescent="0.25">
      <c r="A268" s="1" t="str">
        <f t="shared" si="4"/>
        <v>09 17b estradiol 68</v>
      </c>
      <c r="B2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8" s="1" t="s">
        <v>746</v>
      </c>
      <c r="D268" s="1" t="s">
        <v>190</v>
      </c>
      <c r="E268" s="1" t="s">
        <v>747</v>
      </c>
      <c r="F268" s="1" t="s">
        <v>112</v>
      </c>
      <c r="G268" s="1">
        <v>24809</v>
      </c>
    </row>
    <row r="269" spans="1:10" x14ac:dyDescent="0.25">
      <c r="A269" s="1" t="str">
        <f t="shared" si="4"/>
        <v>09 17b estradiol 68</v>
      </c>
      <c r="B2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69" s="1" t="s">
        <v>748</v>
      </c>
      <c r="D269" s="1" t="s">
        <v>749</v>
      </c>
      <c r="E269" s="1" t="s">
        <v>750</v>
      </c>
      <c r="F269" s="1" t="s">
        <v>112</v>
      </c>
      <c r="G269" s="1">
        <v>504604</v>
      </c>
    </row>
    <row r="270" spans="1:10" x14ac:dyDescent="0.25">
      <c r="A270" s="1" t="str">
        <f t="shared" si="4"/>
        <v>09 17b estradiol 68</v>
      </c>
      <c r="B2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70" s="1" t="s">
        <v>751</v>
      </c>
      <c r="D270" s="1" t="s">
        <v>752</v>
      </c>
      <c r="E270" s="1" t="s">
        <v>753</v>
      </c>
      <c r="F270" s="1" t="s">
        <v>112</v>
      </c>
      <c r="G270" s="1">
        <v>563415</v>
      </c>
    </row>
    <row r="271" spans="1:10" x14ac:dyDescent="0.25">
      <c r="A271" s="1" t="str">
        <f t="shared" si="4"/>
        <v>09 17b estradiol 68</v>
      </c>
      <c r="B2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71" s="1" t="s">
        <v>754</v>
      </c>
      <c r="D271" s="1" t="s">
        <v>755</v>
      </c>
      <c r="E271" s="1" t="s">
        <v>756</v>
      </c>
      <c r="F271" s="1" t="s">
        <v>112</v>
      </c>
      <c r="G271" s="1">
        <v>585132</v>
      </c>
    </row>
    <row r="272" spans="1:10" x14ac:dyDescent="0.25">
      <c r="A272" s="1" t="str">
        <f t="shared" si="4"/>
        <v>09 17b estradiol 68</v>
      </c>
      <c r="B2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2" s="1" t="s">
        <v>757</v>
      </c>
      <c r="D272" s="1" t="s">
        <v>196</v>
      </c>
      <c r="E272" s="1" t="s">
        <v>758</v>
      </c>
      <c r="F272" s="1" t="s">
        <v>112</v>
      </c>
      <c r="G272" s="1">
        <v>85936</v>
      </c>
    </row>
    <row r="273" spans="1:7" x14ac:dyDescent="0.25">
      <c r="A273" s="1" t="str">
        <f t="shared" si="4"/>
        <v>09 17b estradiol 68</v>
      </c>
      <c r="B2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3" s="1" t="s">
        <v>759</v>
      </c>
      <c r="D273" s="1" t="s">
        <v>405</v>
      </c>
      <c r="E273" s="1" t="s">
        <v>760</v>
      </c>
      <c r="F273" s="1" t="s">
        <v>112</v>
      </c>
      <c r="G273" s="1">
        <v>51674</v>
      </c>
    </row>
    <row r="274" spans="1:7" x14ac:dyDescent="0.25">
      <c r="A274" s="1" t="str">
        <f t="shared" si="4"/>
        <v>09 17b estradiol 68</v>
      </c>
      <c r="B2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4" s="1" t="s">
        <v>761</v>
      </c>
      <c r="D274" s="1" t="s">
        <v>184</v>
      </c>
      <c r="E274" s="1" t="s">
        <v>762</v>
      </c>
      <c r="F274" s="1" t="s">
        <v>112</v>
      </c>
      <c r="G274" s="1">
        <v>54767</v>
      </c>
    </row>
    <row r="275" spans="1:7" x14ac:dyDescent="0.25">
      <c r="A275" s="1" t="str">
        <f t="shared" si="4"/>
        <v>09 17b estradiol 68</v>
      </c>
      <c r="B2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5" s="1" t="s">
        <v>763</v>
      </c>
      <c r="D275" s="1" t="s">
        <v>764</v>
      </c>
      <c r="E275" s="1" t="s">
        <v>765</v>
      </c>
      <c r="F275" s="1" t="s">
        <v>112</v>
      </c>
      <c r="G275" s="1">
        <v>141935</v>
      </c>
    </row>
    <row r="276" spans="1:7" x14ac:dyDescent="0.25">
      <c r="A276" s="1" t="str">
        <f t="shared" si="4"/>
        <v>09 17b estradiol 68</v>
      </c>
      <c r="B2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6" s="1" t="s">
        <v>766</v>
      </c>
      <c r="D276" s="1" t="s">
        <v>767</v>
      </c>
      <c r="E276" s="1" t="s">
        <v>768</v>
      </c>
      <c r="F276" s="1" t="s">
        <v>112</v>
      </c>
      <c r="G276" s="1">
        <v>43325</v>
      </c>
    </row>
    <row r="277" spans="1:7" x14ac:dyDescent="0.25">
      <c r="A277" s="1" t="str">
        <f t="shared" si="4"/>
        <v>09 17b estradiol 68</v>
      </c>
      <c r="B2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7" s="1" t="s">
        <v>769</v>
      </c>
      <c r="D277" s="1" t="s">
        <v>770</v>
      </c>
      <c r="E277" s="1" t="s">
        <v>771</v>
      </c>
      <c r="F277" s="1" t="s">
        <v>112</v>
      </c>
      <c r="G277" s="1">
        <v>86152</v>
      </c>
    </row>
    <row r="278" spans="1:7" x14ac:dyDescent="0.25">
      <c r="A278" s="1" t="str">
        <f t="shared" si="4"/>
        <v>09 17b estradiol 68</v>
      </c>
      <c r="B2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78" s="1" t="s">
        <v>772</v>
      </c>
      <c r="D278" s="1" t="s">
        <v>773</v>
      </c>
      <c r="E278" s="1" t="s">
        <v>774</v>
      </c>
      <c r="F278" s="1" t="s">
        <v>112</v>
      </c>
      <c r="G278" s="1">
        <v>47780</v>
      </c>
    </row>
    <row r="279" spans="1:7" x14ac:dyDescent="0.25">
      <c r="A279" s="1" t="str">
        <f t="shared" si="4"/>
        <v>09 17b estradiol 68</v>
      </c>
      <c r="B2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79" s="1" t="s">
        <v>775</v>
      </c>
      <c r="D279" s="1" t="s">
        <v>776</v>
      </c>
      <c r="E279" s="1" t="s">
        <v>777</v>
      </c>
      <c r="F279" s="1" t="s">
        <v>112</v>
      </c>
      <c r="G279" s="1">
        <v>33418</v>
      </c>
    </row>
    <row r="280" spans="1:7" x14ac:dyDescent="0.25">
      <c r="A280" s="1" t="str">
        <f t="shared" si="4"/>
        <v>09 17b estradiol 68</v>
      </c>
      <c r="B2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80" s="1" t="s">
        <v>778</v>
      </c>
    </row>
    <row r="281" spans="1:7" x14ac:dyDescent="0.25">
      <c r="A281" s="1" t="str">
        <f t="shared" si="4"/>
        <v>09 17b estradiol 68</v>
      </c>
      <c r="B2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1" s="1" t="s">
        <v>779</v>
      </c>
      <c r="D281" s="1" t="s">
        <v>780</v>
      </c>
      <c r="E281" s="1" t="s">
        <v>781</v>
      </c>
      <c r="F281" s="1" t="s">
        <v>112</v>
      </c>
      <c r="G281" s="1">
        <v>75294</v>
      </c>
    </row>
    <row r="282" spans="1:7" x14ac:dyDescent="0.25">
      <c r="A282" s="1" t="str">
        <f t="shared" si="4"/>
        <v>09 17b estradiol 68</v>
      </c>
      <c r="B2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2" s="1" t="s">
        <v>782</v>
      </c>
      <c r="D282" s="1" t="s">
        <v>258</v>
      </c>
      <c r="E282" s="1" t="s">
        <v>783</v>
      </c>
      <c r="F282" s="1" t="s">
        <v>112</v>
      </c>
      <c r="G282" s="1">
        <v>52171</v>
      </c>
    </row>
    <row r="283" spans="1:7" x14ac:dyDescent="0.25">
      <c r="A283" s="1" t="str">
        <f t="shared" si="4"/>
        <v>09 17b estradiol 68</v>
      </c>
      <c r="B2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3" s="1" t="s">
        <v>784</v>
      </c>
      <c r="D283" s="1" t="s">
        <v>258</v>
      </c>
      <c r="E283" s="1" t="s">
        <v>785</v>
      </c>
      <c r="F283" s="1" t="s">
        <v>112</v>
      </c>
      <c r="G283" s="1">
        <v>52690</v>
      </c>
    </row>
    <row r="284" spans="1:7" x14ac:dyDescent="0.25">
      <c r="A284" s="1" t="str">
        <f t="shared" si="4"/>
        <v>09 17b estradiol 68</v>
      </c>
      <c r="B2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4" s="1" t="s">
        <v>786</v>
      </c>
      <c r="D284" s="1" t="s">
        <v>255</v>
      </c>
      <c r="E284" s="1" t="s">
        <v>787</v>
      </c>
      <c r="F284" s="1" t="s">
        <v>112</v>
      </c>
      <c r="G284" s="1">
        <v>49208</v>
      </c>
    </row>
    <row r="285" spans="1:7" x14ac:dyDescent="0.25">
      <c r="A285" s="1" t="str">
        <f t="shared" si="4"/>
        <v>09 17b estradiol 68</v>
      </c>
      <c r="B2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5" s="1" t="s">
        <v>788</v>
      </c>
      <c r="D285" s="1" t="s">
        <v>789</v>
      </c>
      <c r="E285" s="1" t="s">
        <v>790</v>
      </c>
      <c r="F285" s="1" t="s">
        <v>112</v>
      </c>
      <c r="G285" s="1">
        <v>70362</v>
      </c>
    </row>
    <row r="286" spans="1:7" x14ac:dyDescent="0.25">
      <c r="A286" s="1" t="str">
        <f t="shared" si="4"/>
        <v>09 17b estradiol 68</v>
      </c>
      <c r="B2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6" s="1" t="s">
        <v>791</v>
      </c>
      <c r="D286" s="1" t="s">
        <v>789</v>
      </c>
      <c r="E286" s="1" t="s">
        <v>792</v>
      </c>
      <c r="F286" s="1" t="s">
        <v>112</v>
      </c>
      <c r="G286" s="1">
        <v>71530</v>
      </c>
    </row>
    <row r="287" spans="1:7" x14ac:dyDescent="0.25">
      <c r="A287" s="1" t="str">
        <f t="shared" si="4"/>
        <v>09 17b estradiol 68</v>
      </c>
      <c r="B2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7" s="1" t="s">
        <v>793</v>
      </c>
    </row>
    <row r="288" spans="1:7" x14ac:dyDescent="0.25">
      <c r="A288" s="1" t="str">
        <f t="shared" si="4"/>
        <v>09 17b estradiol 68</v>
      </c>
      <c r="B2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8" s="1" t="s">
        <v>794</v>
      </c>
    </row>
    <row r="289" spans="1:10" x14ac:dyDescent="0.25">
      <c r="A289" s="1" t="str">
        <f t="shared" si="4"/>
        <v>09 17b estradiol 68</v>
      </c>
      <c r="B2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9" s="1" t="s">
        <v>795</v>
      </c>
    </row>
    <row r="290" spans="1:10" x14ac:dyDescent="0.25">
      <c r="A290" s="1" t="str">
        <f t="shared" si="4"/>
        <v/>
      </c>
      <c r="B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0" s="1" t="s">
        <v>112</v>
      </c>
    </row>
    <row r="291" spans="1:10" x14ac:dyDescent="0.25">
      <c r="A291" s="1" t="str">
        <f t="shared" si="4"/>
        <v/>
      </c>
      <c r="B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1" s="1" t="s">
        <v>232</v>
      </c>
      <c r="D291" s="1" t="s">
        <v>112</v>
      </c>
      <c r="E291" s="1" t="s">
        <v>233</v>
      </c>
      <c r="F291" s="1" t="s">
        <v>234</v>
      </c>
      <c r="G291" s="1" t="s">
        <v>235</v>
      </c>
      <c r="H291" s="1" t="s">
        <v>236</v>
      </c>
      <c r="I291" s="1" t="s">
        <v>237</v>
      </c>
      <c r="J291" s="1" t="s">
        <v>238</v>
      </c>
    </row>
    <row r="292" spans="1:10" x14ac:dyDescent="0.25">
      <c r="A292" s="1" t="str">
        <f t="shared" si="4"/>
        <v>09 17b estradiol 68</v>
      </c>
      <c r="B29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92" s="1" t="s">
        <v>796</v>
      </c>
      <c r="D292" s="1" t="s">
        <v>112</v>
      </c>
      <c r="E292" s="1" t="s">
        <v>797</v>
      </c>
      <c r="F292" s="1" t="s">
        <v>798</v>
      </c>
      <c r="G292" s="1" t="s">
        <v>799</v>
      </c>
      <c r="H292" s="1" t="s">
        <v>800</v>
      </c>
      <c r="I292" s="1">
        <v>24</v>
      </c>
      <c r="J292" s="1">
        <v>24</v>
      </c>
    </row>
    <row r="293" spans="1:10" x14ac:dyDescent="0.25">
      <c r="A293" s="1" t="str">
        <f t="shared" si="4"/>
        <v/>
      </c>
      <c r="B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3" s="1" t="s">
        <v>112</v>
      </c>
    </row>
    <row r="294" spans="1:10" x14ac:dyDescent="0.25">
      <c r="A294" s="1" t="str">
        <f t="shared" si="4"/>
        <v/>
      </c>
      <c r="B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4" s="1" t="s">
        <v>112</v>
      </c>
    </row>
    <row r="295" spans="1:10" x14ac:dyDescent="0.25">
      <c r="A295" s="1" t="str">
        <f t="shared" si="4"/>
        <v/>
      </c>
      <c r="B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5" s="1" t="s">
        <v>112</v>
      </c>
    </row>
    <row r="296" spans="1:10" x14ac:dyDescent="0.25">
      <c r="A296" s="1" t="str">
        <f t="shared" si="4"/>
        <v/>
      </c>
      <c r="B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6" s="1" t="s">
        <v>112</v>
      </c>
    </row>
    <row r="297" spans="1:10" x14ac:dyDescent="0.25">
      <c r="A297" s="1" t="str">
        <f t="shared" si="4"/>
        <v/>
      </c>
      <c r="B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7" s="1" t="s">
        <v>112</v>
      </c>
    </row>
    <row r="298" spans="1:10" x14ac:dyDescent="0.25">
      <c r="A298" s="1" t="str">
        <f t="shared" si="4"/>
        <v/>
      </c>
      <c r="B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8" s="1" t="s">
        <v>244</v>
      </c>
      <c r="D298" s="1" t="s">
        <v>110</v>
      </c>
      <c r="E298" s="1" t="s">
        <v>111</v>
      </c>
      <c r="F298" s="1" t="s">
        <v>112</v>
      </c>
      <c r="G298" s="1" t="s">
        <v>113</v>
      </c>
    </row>
    <row r="299" spans="1:10" x14ac:dyDescent="0.25">
      <c r="A299" s="1" t="str">
        <f t="shared" si="4"/>
        <v>10 17b estradiol 135</v>
      </c>
      <c r="B2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99" s="1" t="s">
        <v>801</v>
      </c>
      <c r="D299" s="1" t="s">
        <v>802</v>
      </c>
      <c r="E299" s="1" t="s">
        <v>803</v>
      </c>
      <c r="F299" s="1" t="s">
        <v>112</v>
      </c>
      <c r="G299" s="1">
        <v>869954</v>
      </c>
    </row>
    <row r="300" spans="1:10" x14ac:dyDescent="0.25">
      <c r="A300" s="1" t="str">
        <f t="shared" si="4"/>
        <v>10 17b estradiol 135</v>
      </c>
      <c r="B3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00" s="1" t="s">
        <v>804</v>
      </c>
      <c r="D300" s="1" t="s">
        <v>805</v>
      </c>
      <c r="E300" s="1" t="s">
        <v>806</v>
      </c>
      <c r="F300" s="1" t="s">
        <v>112</v>
      </c>
      <c r="G300" s="1">
        <v>788388</v>
      </c>
    </row>
    <row r="301" spans="1:10" x14ac:dyDescent="0.25">
      <c r="A301" s="1" t="str">
        <f t="shared" si="4"/>
        <v>10 17b estradiol 135</v>
      </c>
      <c r="B3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01" s="1" t="s">
        <v>807</v>
      </c>
      <c r="D301" s="1" t="s">
        <v>808</v>
      </c>
      <c r="E301" s="1" t="s">
        <v>809</v>
      </c>
      <c r="F301" s="1" t="s">
        <v>112</v>
      </c>
      <c r="G301" s="1">
        <v>802642</v>
      </c>
    </row>
    <row r="302" spans="1:10" x14ac:dyDescent="0.25">
      <c r="A302" s="1" t="str">
        <f t="shared" si="4"/>
        <v>10 17b estradiol 135</v>
      </c>
      <c r="B3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2" s="1" t="s">
        <v>810</v>
      </c>
      <c r="D302" s="1" t="s">
        <v>811</v>
      </c>
      <c r="E302" s="1" t="s">
        <v>812</v>
      </c>
      <c r="F302" s="1" t="s">
        <v>112</v>
      </c>
      <c r="G302" s="1">
        <v>1719533</v>
      </c>
    </row>
    <row r="303" spans="1:10" x14ac:dyDescent="0.25">
      <c r="A303" s="1" t="str">
        <f t="shared" si="4"/>
        <v>10 17b estradiol 135</v>
      </c>
      <c r="B3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3" s="1" t="s">
        <v>813</v>
      </c>
      <c r="D303" s="1" t="s">
        <v>814</v>
      </c>
      <c r="E303" s="1" t="s">
        <v>815</v>
      </c>
      <c r="F303" s="1" t="s">
        <v>112</v>
      </c>
      <c r="G303" s="1">
        <v>1251441</v>
      </c>
    </row>
    <row r="304" spans="1:10" x14ac:dyDescent="0.25">
      <c r="A304" s="1" t="str">
        <f t="shared" si="4"/>
        <v>10 17b estradiol 135</v>
      </c>
      <c r="B3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4" s="1" t="s">
        <v>816</v>
      </c>
      <c r="D304" s="1" t="s">
        <v>817</v>
      </c>
      <c r="E304" s="1" t="s">
        <v>818</v>
      </c>
      <c r="F304" s="1" t="s">
        <v>112</v>
      </c>
      <c r="G304" s="1">
        <v>1710925</v>
      </c>
    </row>
    <row r="305" spans="1:7" x14ac:dyDescent="0.25">
      <c r="A305" s="1" t="str">
        <f t="shared" si="4"/>
        <v>10 17b estradiol 135</v>
      </c>
      <c r="B3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5" s="1" t="s">
        <v>819</v>
      </c>
      <c r="D305" s="1" t="s">
        <v>820</v>
      </c>
      <c r="E305" s="1" t="s">
        <v>821</v>
      </c>
      <c r="F305" s="1" t="s">
        <v>112</v>
      </c>
      <c r="G305" s="1">
        <v>473435</v>
      </c>
    </row>
    <row r="306" spans="1:7" x14ac:dyDescent="0.25">
      <c r="A306" s="1" t="str">
        <f t="shared" si="4"/>
        <v>10 17b estradiol 135</v>
      </c>
      <c r="B3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6" s="1" t="s">
        <v>822</v>
      </c>
      <c r="D306" s="1" t="s">
        <v>823</v>
      </c>
      <c r="E306" s="1" t="s">
        <v>824</v>
      </c>
      <c r="F306" s="1" t="s">
        <v>112</v>
      </c>
      <c r="G306" s="1">
        <v>592702</v>
      </c>
    </row>
    <row r="307" spans="1:7" x14ac:dyDescent="0.25">
      <c r="A307" s="1" t="str">
        <f t="shared" si="4"/>
        <v>10 17b estradiol 135</v>
      </c>
      <c r="B3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7" s="1" t="s">
        <v>825</v>
      </c>
      <c r="D307" s="1" t="s">
        <v>826</v>
      </c>
      <c r="E307" s="1" t="s">
        <v>827</v>
      </c>
      <c r="F307" s="1" t="s">
        <v>112</v>
      </c>
      <c r="G307" s="1">
        <v>423427</v>
      </c>
    </row>
    <row r="308" spans="1:7" x14ac:dyDescent="0.25">
      <c r="A308" s="1" t="str">
        <f t="shared" si="4"/>
        <v>10 17b estradiol 135</v>
      </c>
      <c r="B3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08" s="1" t="s">
        <v>828</v>
      </c>
      <c r="D308" s="1" t="s">
        <v>829</v>
      </c>
      <c r="E308" s="1" t="s">
        <v>830</v>
      </c>
      <c r="F308" s="1" t="s">
        <v>112</v>
      </c>
      <c r="G308" s="1">
        <v>553877</v>
      </c>
    </row>
    <row r="309" spans="1:7" x14ac:dyDescent="0.25">
      <c r="A309" s="1" t="str">
        <f t="shared" si="4"/>
        <v>10 17b estradiol 135</v>
      </c>
      <c r="B3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09" s="1" t="s">
        <v>831</v>
      </c>
      <c r="D309" s="1" t="s">
        <v>832</v>
      </c>
      <c r="E309" s="1" t="s">
        <v>833</v>
      </c>
      <c r="F309" s="1" t="s">
        <v>112</v>
      </c>
      <c r="G309" s="1">
        <v>959372</v>
      </c>
    </row>
    <row r="310" spans="1:7" x14ac:dyDescent="0.25">
      <c r="A310" s="1" t="str">
        <f t="shared" si="4"/>
        <v>10 17b estradiol 135</v>
      </c>
      <c r="B3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10" s="1" t="s">
        <v>834</v>
      </c>
      <c r="D310" s="1" t="s">
        <v>835</v>
      </c>
      <c r="E310" s="1" t="s">
        <v>836</v>
      </c>
      <c r="F310" s="1" t="s">
        <v>112</v>
      </c>
      <c r="G310" s="1">
        <v>969300</v>
      </c>
    </row>
    <row r="311" spans="1:7" x14ac:dyDescent="0.25">
      <c r="A311" s="1" t="str">
        <f t="shared" si="4"/>
        <v>10 17b estradiol 135</v>
      </c>
      <c r="B3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1" s="1" t="s">
        <v>837</v>
      </c>
      <c r="D311" s="1" t="s">
        <v>374</v>
      </c>
      <c r="E311" s="1" t="s">
        <v>838</v>
      </c>
      <c r="F311" s="1" t="s">
        <v>112</v>
      </c>
      <c r="G311" s="1">
        <v>31147</v>
      </c>
    </row>
    <row r="312" spans="1:7" x14ac:dyDescent="0.25">
      <c r="A312" s="1" t="str">
        <f t="shared" si="4"/>
        <v>10 17b estradiol 135</v>
      </c>
      <c r="B3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2" s="1" t="s">
        <v>839</v>
      </c>
      <c r="D312" s="1" t="s">
        <v>770</v>
      </c>
      <c r="E312" s="1" t="s">
        <v>840</v>
      </c>
      <c r="F312" s="1" t="s">
        <v>112</v>
      </c>
      <c r="G312" s="1">
        <v>87406</v>
      </c>
    </row>
    <row r="313" spans="1:7" x14ac:dyDescent="0.25">
      <c r="A313" s="1" t="str">
        <f t="shared" si="4"/>
        <v>10 17b estradiol 135</v>
      </c>
      <c r="B3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3" s="1" t="s">
        <v>841</v>
      </c>
      <c r="D313" s="1" t="s">
        <v>842</v>
      </c>
      <c r="E313" s="1" t="s">
        <v>843</v>
      </c>
      <c r="F313" s="1" t="s">
        <v>112</v>
      </c>
      <c r="G313" s="1">
        <v>75337</v>
      </c>
    </row>
    <row r="314" spans="1:7" x14ac:dyDescent="0.25">
      <c r="A314" s="1" t="str">
        <f t="shared" si="4"/>
        <v>10 17b estradiol 135</v>
      </c>
      <c r="B3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4" s="1" t="s">
        <v>844</v>
      </c>
      <c r="D314" s="1" t="s">
        <v>845</v>
      </c>
      <c r="E314" s="1" t="s">
        <v>846</v>
      </c>
      <c r="F314" s="1" t="s">
        <v>112</v>
      </c>
      <c r="G314" s="1">
        <v>551908</v>
      </c>
    </row>
    <row r="315" spans="1:7" x14ac:dyDescent="0.25">
      <c r="A315" s="1" t="str">
        <f t="shared" si="4"/>
        <v>10 17b estradiol 135</v>
      </c>
      <c r="B3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5" s="1" t="s">
        <v>847</v>
      </c>
      <c r="D315" s="1" t="s">
        <v>848</v>
      </c>
      <c r="E315" s="1" t="s">
        <v>849</v>
      </c>
      <c r="F315" s="1" t="s">
        <v>112</v>
      </c>
      <c r="G315" s="1">
        <v>747594</v>
      </c>
    </row>
    <row r="316" spans="1:7" x14ac:dyDescent="0.25">
      <c r="A316" s="1" t="str">
        <f t="shared" si="4"/>
        <v>10 17b estradiol 135</v>
      </c>
      <c r="B3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6" s="1" t="s">
        <v>850</v>
      </c>
      <c r="D316" s="1" t="s">
        <v>851</v>
      </c>
      <c r="E316" s="1" t="s">
        <v>852</v>
      </c>
      <c r="F316" s="1" t="s">
        <v>112</v>
      </c>
      <c r="G316" s="1">
        <v>446376</v>
      </c>
    </row>
    <row r="317" spans="1:7" x14ac:dyDescent="0.25">
      <c r="A317" s="1" t="str">
        <f t="shared" si="4"/>
        <v>10 17b estradiol 135</v>
      </c>
      <c r="B3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7" s="1" t="s">
        <v>853</v>
      </c>
      <c r="D317" s="1" t="s">
        <v>854</v>
      </c>
      <c r="E317" s="1" t="s">
        <v>855</v>
      </c>
      <c r="F317" s="1" t="s">
        <v>112</v>
      </c>
      <c r="G317" s="1">
        <v>597612</v>
      </c>
    </row>
    <row r="318" spans="1:7" x14ac:dyDescent="0.25">
      <c r="A318" s="1" t="str">
        <f t="shared" si="4"/>
        <v>10 17b estradiol 135</v>
      </c>
      <c r="B3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8" s="1" t="s">
        <v>856</v>
      </c>
      <c r="D318" s="1" t="s">
        <v>857</v>
      </c>
      <c r="E318" s="1" t="s">
        <v>858</v>
      </c>
      <c r="F318" s="1" t="s">
        <v>112</v>
      </c>
      <c r="G318" s="1">
        <v>1190185</v>
      </c>
    </row>
    <row r="319" spans="1:7" x14ac:dyDescent="0.25">
      <c r="A319" s="1" t="str">
        <f t="shared" si="4"/>
        <v>10 17b estradiol 135</v>
      </c>
      <c r="B3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9" s="1" t="s">
        <v>859</v>
      </c>
      <c r="D319" s="1" t="s">
        <v>860</v>
      </c>
      <c r="E319" s="1" t="s">
        <v>861</v>
      </c>
      <c r="F319" s="1" t="s">
        <v>112</v>
      </c>
      <c r="G319" s="1">
        <v>1165051</v>
      </c>
    </row>
    <row r="320" spans="1:7" x14ac:dyDescent="0.25">
      <c r="A320" s="1" t="str">
        <f t="shared" si="4"/>
        <v>10 17b estradiol 135</v>
      </c>
      <c r="B3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0" s="1" t="s">
        <v>862</v>
      </c>
      <c r="D320" s="1" t="s">
        <v>863</v>
      </c>
      <c r="E320" s="1" t="s">
        <v>864</v>
      </c>
      <c r="F320" s="1" t="s">
        <v>112</v>
      </c>
      <c r="G320" s="1">
        <v>1119434</v>
      </c>
    </row>
    <row r="321" spans="1:10" x14ac:dyDescent="0.25">
      <c r="A321" s="1" t="str">
        <f t="shared" si="4"/>
        <v>10 17b estradiol 135</v>
      </c>
      <c r="B3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1" s="1" t="s">
        <v>865</v>
      </c>
      <c r="D321" s="1" t="s">
        <v>866</v>
      </c>
      <c r="E321" s="1" t="s">
        <v>867</v>
      </c>
      <c r="F321" s="1" t="s">
        <v>112</v>
      </c>
      <c r="G321" s="1">
        <v>1593323</v>
      </c>
    </row>
    <row r="322" spans="1:10" x14ac:dyDescent="0.25">
      <c r="A322" s="1" t="str">
        <f t="shared" ref="A322:A385" si="5">IFERROR(LEFT(RIGHT(C322,LEN(C322)-SEARCH("@",C322)),SEARCH("/",RIGHT(C322,LEN(C322)-SEARCH("@",C322)-1))),"")</f>
        <v>10 17b estradiol 135</v>
      </c>
      <c r="B3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2" s="1" t="s">
        <v>868</v>
      </c>
      <c r="D322" s="1" t="s">
        <v>869</v>
      </c>
      <c r="E322" s="1" t="s">
        <v>870</v>
      </c>
      <c r="F322" s="1" t="s">
        <v>112</v>
      </c>
      <c r="G322" s="1">
        <v>1367831</v>
      </c>
    </row>
    <row r="323" spans="1:10" x14ac:dyDescent="0.25">
      <c r="A323" s="1" t="str">
        <f t="shared" si="5"/>
        <v/>
      </c>
      <c r="B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3" s="1" t="s">
        <v>112</v>
      </c>
    </row>
    <row r="324" spans="1:10" x14ac:dyDescent="0.25">
      <c r="A324" s="1" t="str">
        <f t="shared" si="5"/>
        <v/>
      </c>
      <c r="B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4" s="1" t="s">
        <v>232</v>
      </c>
      <c r="D324" s="1" t="s">
        <v>112</v>
      </c>
      <c r="E324" s="1" t="s">
        <v>233</v>
      </c>
      <c r="F324" s="1" t="s">
        <v>234</v>
      </c>
      <c r="G324" s="1" t="s">
        <v>235</v>
      </c>
      <c r="H324" s="1" t="s">
        <v>236</v>
      </c>
      <c r="I324" s="1" t="s">
        <v>237</v>
      </c>
      <c r="J324" s="1" t="s">
        <v>238</v>
      </c>
    </row>
    <row r="325" spans="1:10" x14ac:dyDescent="0.25">
      <c r="A325" s="1" t="str">
        <f t="shared" si="5"/>
        <v>10 17b estradiol 135</v>
      </c>
      <c r="B3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25" s="1" t="s">
        <v>871</v>
      </c>
      <c r="D325" s="1" t="s">
        <v>112</v>
      </c>
      <c r="E325" s="1" t="s">
        <v>872</v>
      </c>
      <c r="F325" s="1" t="s">
        <v>873</v>
      </c>
      <c r="G325" s="1" t="s">
        <v>874</v>
      </c>
      <c r="H325" s="1" t="s">
        <v>875</v>
      </c>
      <c r="I325" s="1">
        <v>24</v>
      </c>
      <c r="J325" s="1">
        <v>24</v>
      </c>
    </row>
    <row r="326" spans="1:10" x14ac:dyDescent="0.25">
      <c r="A326" s="1" t="str">
        <f t="shared" si="5"/>
        <v/>
      </c>
      <c r="B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6" s="1" t="s">
        <v>112</v>
      </c>
    </row>
    <row r="327" spans="1:10" x14ac:dyDescent="0.25">
      <c r="A327" s="1" t="str">
        <f t="shared" si="5"/>
        <v/>
      </c>
      <c r="B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7" s="1" t="s">
        <v>112</v>
      </c>
    </row>
    <row r="328" spans="1:10" x14ac:dyDescent="0.25">
      <c r="A328" s="1" t="str">
        <f t="shared" si="5"/>
        <v/>
      </c>
      <c r="B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8" s="1" t="s">
        <v>112</v>
      </c>
    </row>
    <row r="329" spans="1:10" x14ac:dyDescent="0.25">
      <c r="A329" s="1" t="str">
        <f t="shared" si="5"/>
        <v/>
      </c>
      <c r="B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9" s="1" t="s">
        <v>112</v>
      </c>
    </row>
    <row r="330" spans="1:10" x14ac:dyDescent="0.25">
      <c r="A330" s="1" t="str">
        <f t="shared" si="5"/>
        <v/>
      </c>
      <c r="B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0" s="1" t="s">
        <v>112</v>
      </c>
    </row>
    <row r="331" spans="1:10" x14ac:dyDescent="0.25">
      <c r="A331" s="1" t="str">
        <f t="shared" si="5"/>
        <v/>
      </c>
      <c r="B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1" s="1" t="s">
        <v>244</v>
      </c>
      <c r="D331" s="1" t="s">
        <v>110</v>
      </c>
      <c r="E331" s="1" t="s">
        <v>111</v>
      </c>
      <c r="F331" s="1" t="s">
        <v>112</v>
      </c>
      <c r="G331" s="1" t="s">
        <v>113</v>
      </c>
    </row>
    <row r="332" spans="1:10" x14ac:dyDescent="0.25">
      <c r="A332" s="1" t="str">
        <f t="shared" si="5"/>
        <v>11 17b estradiol 270</v>
      </c>
      <c r="B3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2" s="1" t="s">
        <v>876</v>
      </c>
      <c r="D332" s="1" t="s">
        <v>877</v>
      </c>
      <c r="E332" s="1" t="s">
        <v>878</v>
      </c>
      <c r="F332" s="1" t="s">
        <v>112</v>
      </c>
      <c r="G332" s="1">
        <v>4944421</v>
      </c>
    </row>
    <row r="333" spans="1:10" x14ac:dyDescent="0.25">
      <c r="A333" s="1" t="str">
        <f t="shared" si="5"/>
        <v>11 17b estradiol 270</v>
      </c>
      <c r="B3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3" s="1" t="s">
        <v>879</v>
      </c>
      <c r="D333" s="1" t="s">
        <v>880</v>
      </c>
      <c r="E333" s="1" t="s">
        <v>881</v>
      </c>
      <c r="F333" s="1" t="s">
        <v>112</v>
      </c>
      <c r="G333" s="1">
        <v>4988308</v>
      </c>
    </row>
    <row r="334" spans="1:10" x14ac:dyDescent="0.25">
      <c r="A334" s="1" t="str">
        <f t="shared" si="5"/>
        <v>11 17b estradiol 270</v>
      </c>
      <c r="B3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4" s="1" t="s">
        <v>882</v>
      </c>
      <c r="D334" s="1" t="s">
        <v>883</v>
      </c>
      <c r="E334" s="1" t="s">
        <v>884</v>
      </c>
      <c r="F334" s="1" t="s">
        <v>112</v>
      </c>
      <c r="G334" s="1">
        <v>5105672</v>
      </c>
    </row>
    <row r="335" spans="1:10" x14ac:dyDescent="0.25">
      <c r="A335" s="1" t="str">
        <f t="shared" si="5"/>
        <v>11 17b estradiol 270</v>
      </c>
      <c r="B3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5" s="1" t="s">
        <v>885</v>
      </c>
      <c r="D335" s="1" t="s">
        <v>886</v>
      </c>
      <c r="E335" s="1" t="s">
        <v>887</v>
      </c>
      <c r="F335" s="1" t="s">
        <v>112</v>
      </c>
      <c r="G335" s="1">
        <v>3758994</v>
      </c>
    </row>
    <row r="336" spans="1:10" x14ac:dyDescent="0.25">
      <c r="A336" s="1" t="str">
        <f t="shared" si="5"/>
        <v>11 17b estradiol 270</v>
      </c>
      <c r="B3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6" s="1" t="s">
        <v>888</v>
      </c>
      <c r="D336" s="1" t="s">
        <v>889</v>
      </c>
      <c r="E336" s="1" t="s">
        <v>890</v>
      </c>
      <c r="F336" s="1" t="s">
        <v>112</v>
      </c>
      <c r="G336" s="1">
        <v>3325813</v>
      </c>
    </row>
    <row r="337" spans="1:7" x14ac:dyDescent="0.25">
      <c r="A337" s="1" t="str">
        <f t="shared" si="5"/>
        <v>11 17b estradiol 270</v>
      </c>
      <c r="B3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7" s="1" t="s">
        <v>891</v>
      </c>
      <c r="D337" s="1" t="s">
        <v>892</v>
      </c>
      <c r="E337" s="1" t="s">
        <v>893</v>
      </c>
      <c r="F337" s="1" t="s">
        <v>112</v>
      </c>
      <c r="G337" s="1">
        <v>3734207</v>
      </c>
    </row>
    <row r="338" spans="1:7" x14ac:dyDescent="0.25">
      <c r="A338" s="1" t="str">
        <f t="shared" si="5"/>
        <v>11 17b estradiol 270</v>
      </c>
      <c r="B3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38" s="1" t="s">
        <v>894</v>
      </c>
      <c r="D338" s="1" t="s">
        <v>895</v>
      </c>
      <c r="E338" s="1" t="s">
        <v>896</v>
      </c>
      <c r="F338" s="1" t="s">
        <v>112</v>
      </c>
      <c r="G338" s="1">
        <v>3817720</v>
      </c>
    </row>
    <row r="339" spans="1:7" x14ac:dyDescent="0.25">
      <c r="A339" s="1" t="str">
        <f t="shared" si="5"/>
        <v>11 17b estradiol 270</v>
      </c>
      <c r="B3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39" s="1" t="s">
        <v>897</v>
      </c>
      <c r="D339" s="1" t="s">
        <v>898</v>
      </c>
      <c r="E339" s="1" t="s">
        <v>899</v>
      </c>
      <c r="F339" s="1" t="s">
        <v>112</v>
      </c>
      <c r="G339" s="1">
        <v>3677298</v>
      </c>
    </row>
    <row r="340" spans="1:7" x14ac:dyDescent="0.25">
      <c r="A340" s="1" t="str">
        <f t="shared" si="5"/>
        <v>11 17b estradiol 270</v>
      </c>
      <c r="B3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40" s="1" t="s">
        <v>900</v>
      </c>
      <c r="D340" s="1" t="s">
        <v>901</v>
      </c>
      <c r="E340" s="1" t="s">
        <v>902</v>
      </c>
      <c r="F340" s="1" t="s">
        <v>112</v>
      </c>
      <c r="G340" s="1">
        <v>3758973</v>
      </c>
    </row>
    <row r="341" spans="1:7" x14ac:dyDescent="0.25">
      <c r="A341" s="1" t="str">
        <f t="shared" si="5"/>
        <v>11 17b estradiol 270</v>
      </c>
      <c r="B3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1" s="1" t="s">
        <v>903</v>
      </c>
      <c r="D341" s="1" t="s">
        <v>904</v>
      </c>
      <c r="E341" s="1" t="s">
        <v>905</v>
      </c>
      <c r="F341" s="1" t="s">
        <v>112</v>
      </c>
      <c r="G341" s="1">
        <v>4309281</v>
      </c>
    </row>
    <row r="342" spans="1:7" x14ac:dyDescent="0.25">
      <c r="A342" s="1" t="str">
        <f t="shared" si="5"/>
        <v>11 17b estradiol 270</v>
      </c>
      <c r="B3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2" s="1" t="s">
        <v>906</v>
      </c>
      <c r="D342" s="1" t="s">
        <v>907</v>
      </c>
      <c r="E342" s="1" t="s">
        <v>908</v>
      </c>
      <c r="F342" s="1" t="s">
        <v>112</v>
      </c>
      <c r="G342" s="1">
        <v>4432528</v>
      </c>
    </row>
    <row r="343" spans="1:7" x14ac:dyDescent="0.25">
      <c r="A343" s="1" t="str">
        <f t="shared" si="5"/>
        <v>11 17b estradiol 270</v>
      </c>
      <c r="B3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3" s="1" t="s">
        <v>909</v>
      </c>
      <c r="D343" s="1" t="s">
        <v>910</v>
      </c>
      <c r="E343" s="1" t="s">
        <v>911</v>
      </c>
      <c r="F343" s="1" t="s">
        <v>112</v>
      </c>
      <c r="G343" s="1">
        <v>4545090</v>
      </c>
    </row>
    <row r="344" spans="1:7" x14ac:dyDescent="0.25">
      <c r="A344" s="1" t="str">
        <f t="shared" si="5"/>
        <v>11 17b estradiol 270</v>
      </c>
      <c r="B3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4" s="1" t="s">
        <v>912</v>
      </c>
      <c r="D344" s="1" t="s">
        <v>886</v>
      </c>
      <c r="E344" s="1" t="s">
        <v>913</v>
      </c>
      <c r="F344" s="1" t="s">
        <v>112</v>
      </c>
      <c r="G344" s="1">
        <v>3412959</v>
      </c>
    </row>
    <row r="345" spans="1:7" x14ac:dyDescent="0.25">
      <c r="A345" s="1" t="str">
        <f t="shared" si="5"/>
        <v>11 17b estradiol 270</v>
      </c>
      <c r="B3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5" s="1" t="s">
        <v>914</v>
      </c>
      <c r="D345" s="1" t="s">
        <v>915</v>
      </c>
      <c r="E345" s="1" t="s">
        <v>916</v>
      </c>
      <c r="F345" s="1" t="s">
        <v>112</v>
      </c>
      <c r="G345" s="1">
        <v>3075749</v>
      </c>
    </row>
    <row r="346" spans="1:7" x14ac:dyDescent="0.25">
      <c r="A346" s="1" t="str">
        <f t="shared" si="5"/>
        <v>11 17b estradiol 270</v>
      </c>
      <c r="B3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6" s="1" t="s">
        <v>917</v>
      </c>
      <c r="D346" s="1" t="s">
        <v>918</v>
      </c>
      <c r="E346" s="1" t="s">
        <v>919</v>
      </c>
      <c r="F346" s="1" t="s">
        <v>112</v>
      </c>
      <c r="G346" s="1">
        <v>2942315</v>
      </c>
    </row>
    <row r="347" spans="1:7" x14ac:dyDescent="0.25">
      <c r="A347" s="1" t="str">
        <f t="shared" si="5"/>
        <v>11 17b estradiol 270</v>
      </c>
      <c r="B3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7" s="1" t="s">
        <v>920</v>
      </c>
      <c r="D347" s="1" t="s">
        <v>921</v>
      </c>
      <c r="E347" s="1" t="s">
        <v>922</v>
      </c>
      <c r="F347" s="1" t="s">
        <v>112</v>
      </c>
      <c r="G347" s="1">
        <v>5930225</v>
      </c>
    </row>
    <row r="348" spans="1:7" x14ac:dyDescent="0.25">
      <c r="A348" s="1" t="str">
        <f t="shared" si="5"/>
        <v>11 17b estradiol 270</v>
      </c>
      <c r="B3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8" s="1" t="s">
        <v>923</v>
      </c>
      <c r="D348" s="1" t="s">
        <v>924</v>
      </c>
      <c r="E348" s="1" t="s">
        <v>925</v>
      </c>
      <c r="F348" s="1" t="s">
        <v>112</v>
      </c>
      <c r="G348" s="1">
        <v>6197614</v>
      </c>
    </row>
    <row r="349" spans="1:7" x14ac:dyDescent="0.25">
      <c r="A349" s="1" t="str">
        <f t="shared" si="5"/>
        <v>11 17b estradiol 270</v>
      </c>
      <c r="B3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9" s="1" t="s">
        <v>926</v>
      </c>
      <c r="D349" s="1" t="s">
        <v>927</v>
      </c>
      <c r="E349" s="1" t="s">
        <v>928</v>
      </c>
      <c r="F349" s="1" t="s">
        <v>112</v>
      </c>
      <c r="G349" s="1">
        <v>6155219</v>
      </c>
    </row>
    <row r="350" spans="1:7" x14ac:dyDescent="0.25">
      <c r="A350" s="1" t="str">
        <f t="shared" si="5"/>
        <v>11 17b estradiol 270</v>
      </c>
      <c r="B3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0" s="1" t="s">
        <v>929</v>
      </c>
      <c r="D350" s="1" t="s">
        <v>930</v>
      </c>
      <c r="E350" s="1" t="s">
        <v>931</v>
      </c>
      <c r="F350" s="1" t="s">
        <v>112</v>
      </c>
      <c r="G350" s="1">
        <v>2842860</v>
      </c>
    </row>
    <row r="351" spans="1:7" x14ac:dyDescent="0.25">
      <c r="A351" s="1" t="str">
        <f t="shared" si="5"/>
        <v>11 17b estradiol 270</v>
      </c>
      <c r="B3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1" s="1" t="s">
        <v>932</v>
      </c>
      <c r="D351" s="1" t="s">
        <v>933</v>
      </c>
      <c r="E351" s="1" t="s">
        <v>934</v>
      </c>
      <c r="F351" s="1" t="s">
        <v>112</v>
      </c>
      <c r="G351" s="1">
        <v>3030824</v>
      </c>
    </row>
    <row r="352" spans="1:7" x14ac:dyDescent="0.25">
      <c r="A352" s="1" t="str">
        <f t="shared" si="5"/>
        <v>11 17b estradiol 270</v>
      </c>
      <c r="B3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2" s="1" t="s">
        <v>935</v>
      </c>
      <c r="D352" s="1" t="s">
        <v>936</v>
      </c>
      <c r="E352" s="1" t="s">
        <v>937</v>
      </c>
      <c r="F352" s="1" t="s">
        <v>112</v>
      </c>
      <c r="G352" s="1">
        <v>3013066</v>
      </c>
    </row>
    <row r="353" spans="1:10" x14ac:dyDescent="0.25">
      <c r="A353" s="1" t="str">
        <f t="shared" si="5"/>
        <v>11 17b estradiol 270</v>
      </c>
      <c r="B3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3" s="1" t="s">
        <v>938</v>
      </c>
      <c r="D353" s="1" t="s">
        <v>939</v>
      </c>
      <c r="E353" s="1" t="s">
        <v>940</v>
      </c>
      <c r="F353" s="1" t="s">
        <v>112</v>
      </c>
      <c r="G353" s="1">
        <v>4062830</v>
      </c>
    </row>
    <row r="354" spans="1:10" x14ac:dyDescent="0.25">
      <c r="A354" s="1" t="str">
        <f t="shared" si="5"/>
        <v>11 17b estradiol 270</v>
      </c>
      <c r="B3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4" s="1" t="s">
        <v>941</v>
      </c>
      <c r="D354" s="1" t="s">
        <v>942</v>
      </c>
      <c r="E354" s="1" t="s">
        <v>943</v>
      </c>
      <c r="F354" s="1" t="s">
        <v>112</v>
      </c>
      <c r="G354" s="1">
        <v>4191398</v>
      </c>
    </row>
    <row r="355" spans="1:10" x14ac:dyDescent="0.25">
      <c r="A355" s="1" t="str">
        <f t="shared" si="5"/>
        <v>11 17b estradiol 270</v>
      </c>
      <c r="B3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5" s="1" t="s">
        <v>944</v>
      </c>
      <c r="D355" s="1" t="s">
        <v>945</v>
      </c>
      <c r="E355" s="1" t="s">
        <v>946</v>
      </c>
      <c r="F355" s="1" t="s">
        <v>112</v>
      </c>
      <c r="G355" s="1">
        <v>3931168</v>
      </c>
    </row>
    <row r="356" spans="1:10" x14ac:dyDescent="0.25">
      <c r="A356" s="1" t="str">
        <f t="shared" si="5"/>
        <v/>
      </c>
      <c r="B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6" s="1" t="s">
        <v>112</v>
      </c>
    </row>
    <row r="357" spans="1:10" x14ac:dyDescent="0.25">
      <c r="A357" s="1" t="str">
        <f t="shared" si="5"/>
        <v/>
      </c>
      <c r="B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7" s="1" t="s">
        <v>232</v>
      </c>
      <c r="D357" s="1" t="s">
        <v>112</v>
      </c>
      <c r="E357" s="1" t="s">
        <v>233</v>
      </c>
      <c r="F357" s="1" t="s">
        <v>234</v>
      </c>
      <c r="G357" s="1" t="s">
        <v>235</v>
      </c>
      <c r="H357" s="1" t="s">
        <v>236</v>
      </c>
      <c r="I357" s="1" t="s">
        <v>237</v>
      </c>
      <c r="J357" s="1" t="s">
        <v>238</v>
      </c>
    </row>
    <row r="358" spans="1:10" x14ac:dyDescent="0.25">
      <c r="A358" s="1" t="str">
        <f t="shared" si="5"/>
        <v>11 17b estradiol 270</v>
      </c>
      <c r="B3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58" s="1" t="s">
        <v>947</v>
      </c>
      <c r="D358" s="1" t="s">
        <v>112</v>
      </c>
      <c r="E358" s="1" t="s">
        <v>948</v>
      </c>
      <c r="F358" s="1" t="s">
        <v>949</v>
      </c>
      <c r="G358" s="1" t="s">
        <v>950</v>
      </c>
      <c r="H358" s="1" t="s">
        <v>951</v>
      </c>
      <c r="I358" s="1">
        <v>24</v>
      </c>
      <c r="J358" s="1">
        <v>24</v>
      </c>
    </row>
    <row r="359" spans="1:10" x14ac:dyDescent="0.25">
      <c r="A359" s="1" t="str">
        <f t="shared" si="5"/>
        <v/>
      </c>
      <c r="B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9" s="1" t="s">
        <v>112</v>
      </c>
    </row>
    <row r="360" spans="1:10" x14ac:dyDescent="0.25">
      <c r="A360" s="1" t="str">
        <f t="shared" si="5"/>
        <v/>
      </c>
      <c r="B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0" s="1" t="s">
        <v>112</v>
      </c>
    </row>
    <row r="361" spans="1:10" x14ac:dyDescent="0.25">
      <c r="A361" s="1" t="str">
        <f t="shared" si="5"/>
        <v/>
      </c>
      <c r="B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1" s="1" t="s">
        <v>112</v>
      </c>
    </row>
    <row r="362" spans="1:10" x14ac:dyDescent="0.25">
      <c r="A362" s="1" t="str">
        <f t="shared" si="5"/>
        <v/>
      </c>
      <c r="B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2" s="1" t="s">
        <v>112</v>
      </c>
    </row>
    <row r="363" spans="1:10" x14ac:dyDescent="0.25">
      <c r="A363" s="1" t="str">
        <f t="shared" si="5"/>
        <v/>
      </c>
      <c r="B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3" s="1" t="s">
        <v>112</v>
      </c>
    </row>
    <row r="364" spans="1:10" x14ac:dyDescent="0.25">
      <c r="A364" s="1" t="str">
        <f t="shared" si="5"/>
        <v/>
      </c>
      <c r="B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4" s="1" t="s">
        <v>244</v>
      </c>
      <c r="D364" s="1" t="s">
        <v>110</v>
      </c>
      <c r="E364" s="1" t="s">
        <v>111</v>
      </c>
      <c r="F364" s="1" t="s">
        <v>112</v>
      </c>
      <c r="G364" s="1" t="s">
        <v>113</v>
      </c>
    </row>
    <row r="365" spans="1:10" x14ac:dyDescent="0.25">
      <c r="A365" s="1" t="str">
        <f t="shared" si="5"/>
        <v>12 17b estradiol 540</v>
      </c>
      <c r="B3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5" s="1" t="s">
        <v>952</v>
      </c>
      <c r="D365" s="1" t="s">
        <v>953</v>
      </c>
      <c r="E365" s="1" t="s">
        <v>954</v>
      </c>
      <c r="F365" s="1" t="s">
        <v>112</v>
      </c>
      <c r="G365" s="1">
        <v>6244486</v>
      </c>
    </row>
    <row r="366" spans="1:10" x14ac:dyDescent="0.25">
      <c r="A366" s="1" t="str">
        <f t="shared" si="5"/>
        <v>12 17b estradiol 540</v>
      </c>
      <c r="B3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6" s="1" t="s">
        <v>955</v>
      </c>
    </row>
    <row r="367" spans="1:10" x14ac:dyDescent="0.25">
      <c r="A367" s="1" t="str">
        <f t="shared" si="5"/>
        <v>12 17b estradiol 540</v>
      </c>
      <c r="B3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7" s="1" t="s">
        <v>956</v>
      </c>
      <c r="D367" s="1" t="s">
        <v>957</v>
      </c>
      <c r="E367" s="1" t="s">
        <v>958</v>
      </c>
      <c r="F367" s="1" t="s">
        <v>112</v>
      </c>
      <c r="G367" s="1">
        <v>6335266</v>
      </c>
    </row>
    <row r="368" spans="1:10" x14ac:dyDescent="0.25">
      <c r="A368" s="1" t="str">
        <f t="shared" si="5"/>
        <v>12 17b estradiol 540</v>
      </c>
      <c r="B3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68" s="1" t="s">
        <v>959</v>
      </c>
      <c r="D368" s="1" t="s">
        <v>960</v>
      </c>
      <c r="E368" s="1" t="s">
        <v>961</v>
      </c>
      <c r="F368" s="1" t="s">
        <v>112</v>
      </c>
      <c r="G368" s="1">
        <v>5398822</v>
      </c>
    </row>
    <row r="369" spans="1:7" x14ac:dyDescent="0.25">
      <c r="A369" s="1" t="str">
        <f t="shared" si="5"/>
        <v>12 17b estradiol 540</v>
      </c>
      <c r="B3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69" s="1" t="s">
        <v>962</v>
      </c>
      <c r="D369" s="1" t="s">
        <v>963</v>
      </c>
      <c r="E369" s="1" t="s">
        <v>964</v>
      </c>
      <c r="F369" s="1" t="s">
        <v>112</v>
      </c>
      <c r="G369" s="1">
        <v>5132039</v>
      </c>
    </row>
    <row r="370" spans="1:7" x14ac:dyDescent="0.25">
      <c r="A370" s="1" t="str">
        <f t="shared" si="5"/>
        <v>12 17b estradiol 540</v>
      </c>
      <c r="B3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70" s="1" t="s">
        <v>965</v>
      </c>
      <c r="D370" s="1" t="s">
        <v>966</v>
      </c>
      <c r="E370" s="1" t="s">
        <v>967</v>
      </c>
      <c r="F370" s="1" t="s">
        <v>112</v>
      </c>
      <c r="G370" s="1">
        <v>5300795</v>
      </c>
    </row>
    <row r="371" spans="1:7" x14ac:dyDescent="0.25">
      <c r="A371" s="1" t="str">
        <f t="shared" si="5"/>
        <v>12 17b estradiol 540</v>
      </c>
      <c r="B3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1" s="1" t="s">
        <v>968</v>
      </c>
      <c r="D371" s="1" t="s">
        <v>969</v>
      </c>
      <c r="E371" s="1" t="s">
        <v>970</v>
      </c>
      <c r="F371" s="1" t="s">
        <v>112</v>
      </c>
      <c r="G371" s="1">
        <v>7284797</v>
      </c>
    </row>
    <row r="372" spans="1:7" x14ac:dyDescent="0.25">
      <c r="A372" s="1" t="str">
        <f t="shared" si="5"/>
        <v>12 17b estradiol 540</v>
      </c>
      <c r="B3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2" s="1" t="s">
        <v>971</v>
      </c>
      <c r="D372" s="1" t="s">
        <v>972</v>
      </c>
      <c r="E372" s="1" t="s">
        <v>973</v>
      </c>
      <c r="F372" s="1" t="s">
        <v>112</v>
      </c>
      <c r="G372" s="1">
        <v>7846807</v>
      </c>
    </row>
    <row r="373" spans="1:7" x14ac:dyDescent="0.25">
      <c r="A373" s="1" t="str">
        <f t="shared" si="5"/>
        <v>12 17b estradiol 540</v>
      </c>
      <c r="B3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3" s="1" t="s">
        <v>974</v>
      </c>
      <c r="D373" s="1" t="s">
        <v>975</v>
      </c>
      <c r="E373" s="1" t="s">
        <v>976</v>
      </c>
      <c r="F373" s="1" t="s">
        <v>112</v>
      </c>
      <c r="G373" s="1">
        <v>7585215</v>
      </c>
    </row>
    <row r="374" spans="1:7" x14ac:dyDescent="0.25">
      <c r="A374" s="1" t="str">
        <f t="shared" si="5"/>
        <v>12 17b estradiol 540</v>
      </c>
      <c r="B3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4" s="1" t="s">
        <v>977</v>
      </c>
      <c r="D374" s="1" t="s">
        <v>978</v>
      </c>
      <c r="E374" s="1" t="s">
        <v>979</v>
      </c>
      <c r="F374" s="1" t="s">
        <v>112</v>
      </c>
      <c r="G374" s="1">
        <v>4225119</v>
      </c>
    </row>
    <row r="375" spans="1:7" x14ac:dyDescent="0.25">
      <c r="A375" s="1" t="str">
        <f t="shared" si="5"/>
        <v>12 17b estradiol 540</v>
      </c>
      <c r="B3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5" s="1" t="s">
        <v>980</v>
      </c>
      <c r="D375" s="1" t="s">
        <v>981</v>
      </c>
      <c r="E375" s="1" t="s">
        <v>982</v>
      </c>
      <c r="F375" s="1" t="s">
        <v>112</v>
      </c>
      <c r="G375" s="1">
        <v>4485694</v>
      </c>
    </row>
    <row r="376" spans="1:7" x14ac:dyDescent="0.25">
      <c r="A376" s="1" t="str">
        <f t="shared" si="5"/>
        <v>12 17b estradiol 540</v>
      </c>
      <c r="B3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6" s="1" t="s">
        <v>983</v>
      </c>
      <c r="D376" s="1" t="s">
        <v>984</v>
      </c>
      <c r="E376" s="1" t="s">
        <v>985</v>
      </c>
      <c r="F376" s="1" t="s">
        <v>112</v>
      </c>
      <c r="G376" s="1">
        <v>5003081</v>
      </c>
    </row>
    <row r="377" spans="1:7" x14ac:dyDescent="0.25">
      <c r="A377" s="1" t="str">
        <f t="shared" si="5"/>
        <v>12 17b estradiol 540</v>
      </c>
      <c r="B3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7" s="1" t="s">
        <v>986</v>
      </c>
      <c r="D377" s="1" t="s">
        <v>987</v>
      </c>
      <c r="E377" s="1" t="s">
        <v>988</v>
      </c>
      <c r="F377" s="1" t="s">
        <v>112</v>
      </c>
      <c r="G377" s="1">
        <v>3344652</v>
      </c>
    </row>
    <row r="378" spans="1:7" x14ac:dyDescent="0.25">
      <c r="A378" s="1" t="str">
        <f t="shared" si="5"/>
        <v>12 17b estradiol 540</v>
      </c>
      <c r="B3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8" s="1" t="s">
        <v>989</v>
      </c>
      <c r="D378" s="1" t="s">
        <v>990</v>
      </c>
      <c r="E378" s="1" t="s">
        <v>991</v>
      </c>
      <c r="F378" s="1" t="s">
        <v>112</v>
      </c>
      <c r="G378" s="1">
        <v>3424488</v>
      </c>
    </row>
    <row r="379" spans="1:7" x14ac:dyDescent="0.25">
      <c r="A379" s="1" t="str">
        <f t="shared" si="5"/>
        <v>12 17b estradiol 540</v>
      </c>
      <c r="B3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9" s="1" t="s">
        <v>992</v>
      </c>
      <c r="D379" s="1" t="s">
        <v>993</v>
      </c>
      <c r="E379" s="1" t="s">
        <v>994</v>
      </c>
      <c r="F379" s="1" t="s">
        <v>112</v>
      </c>
      <c r="G379" s="1">
        <v>403549</v>
      </c>
    </row>
    <row r="380" spans="1:7" x14ac:dyDescent="0.25">
      <c r="A380" s="1" t="str">
        <f t="shared" si="5"/>
        <v>12 17b estradiol 540</v>
      </c>
      <c r="B3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0" s="1" t="s">
        <v>995</v>
      </c>
      <c r="D380" s="1" t="s">
        <v>996</v>
      </c>
      <c r="E380" s="1" t="s">
        <v>997</v>
      </c>
      <c r="F380" s="1" t="s">
        <v>112</v>
      </c>
      <c r="G380" s="1">
        <v>5998489</v>
      </c>
    </row>
    <row r="381" spans="1:7" x14ac:dyDescent="0.25">
      <c r="A381" s="1" t="str">
        <f t="shared" si="5"/>
        <v>12 17b estradiol 540</v>
      </c>
      <c r="B3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1" s="1" t="s">
        <v>998</v>
      </c>
      <c r="D381" s="1" t="s">
        <v>999</v>
      </c>
      <c r="E381" s="1" t="s">
        <v>1000</v>
      </c>
      <c r="F381" s="1" t="s">
        <v>112</v>
      </c>
      <c r="G381" s="1">
        <v>6661207</v>
      </c>
    </row>
    <row r="382" spans="1:7" x14ac:dyDescent="0.25">
      <c r="A382" s="1" t="str">
        <f t="shared" si="5"/>
        <v>12 17b estradiol 540</v>
      </c>
      <c r="B3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2" s="1" t="s">
        <v>1001</v>
      </c>
      <c r="D382" s="1" t="s">
        <v>1002</v>
      </c>
      <c r="E382" s="1" t="s">
        <v>1003</v>
      </c>
      <c r="F382" s="1" t="s">
        <v>112</v>
      </c>
      <c r="G382" s="1">
        <v>6187642</v>
      </c>
    </row>
    <row r="383" spans="1:7" x14ac:dyDescent="0.25">
      <c r="A383" s="1" t="str">
        <f t="shared" si="5"/>
        <v>12 17b estradiol 540</v>
      </c>
      <c r="B3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3" s="1" t="s">
        <v>1004</v>
      </c>
      <c r="D383" s="1" t="s">
        <v>1005</v>
      </c>
      <c r="E383" s="1" t="s">
        <v>1006</v>
      </c>
      <c r="F383" s="1" t="s">
        <v>112</v>
      </c>
      <c r="G383" s="1">
        <v>1063455</v>
      </c>
    </row>
    <row r="384" spans="1:7" x14ac:dyDescent="0.25">
      <c r="A384" s="1" t="str">
        <f t="shared" si="5"/>
        <v>12 17b estradiol 540</v>
      </c>
      <c r="B3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4" s="1" t="s">
        <v>1007</v>
      </c>
      <c r="D384" s="1" t="s">
        <v>1008</v>
      </c>
      <c r="E384" s="1" t="s">
        <v>1009</v>
      </c>
      <c r="F384" s="1" t="s">
        <v>112</v>
      </c>
      <c r="G384" s="1">
        <v>873869</v>
      </c>
    </row>
    <row r="385" spans="1:10" x14ac:dyDescent="0.25">
      <c r="A385" s="1" t="str">
        <f t="shared" si="5"/>
        <v>12 17b estradiol 540</v>
      </c>
      <c r="B3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5" s="1" t="s">
        <v>1010</v>
      </c>
      <c r="D385" s="1" t="s">
        <v>1011</v>
      </c>
      <c r="E385" s="1" t="s">
        <v>1012</v>
      </c>
      <c r="F385" s="1" t="s">
        <v>112</v>
      </c>
      <c r="G385" s="1">
        <v>1203877</v>
      </c>
    </row>
    <row r="386" spans="1:10" x14ac:dyDescent="0.25">
      <c r="A386" s="1" t="str">
        <f t="shared" ref="A386:A449" si="6">IFERROR(LEFT(RIGHT(C386,LEN(C386)-SEARCH("@",C386)),SEARCH("/",RIGHT(C386,LEN(C386)-SEARCH("@",C386)-1))),"")</f>
        <v>12 17b estradiol 540</v>
      </c>
      <c r="B3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6" s="1" t="s">
        <v>1013</v>
      </c>
      <c r="D386" s="1" t="s">
        <v>1014</v>
      </c>
      <c r="E386" s="1" t="s">
        <v>1015</v>
      </c>
      <c r="F386" s="1" t="s">
        <v>112</v>
      </c>
      <c r="G386" s="1">
        <v>5045238</v>
      </c>
    </row>
    <row r="387" spans="1:10" x14ac:dyDescent="0.25">
      <c r="A387" s="1" t="str">
        <f t="shared" si="6"/>
        <v>12 17b estradiol 540</v>
      </c>
      <c r="B3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7" s="1" t="s">
        <v>1016</v>
      </c>
      <c r="D387" s="1" t="s">
        <v>1017</v>
      </c>
      <c r="E387" s="1" t="s">
        <v>1018</v>
      </c>
      <c r="F387" s="1" t="s">
        <v>112</v>
      </c>
      <c r="G387" s="1">
        <v>4919806</v>
      </c>
    </row>
    <row r="388" spans="1:10" x14ac:dyDescent="0.25">
      <c r="A388" s="1" t="str">
        <f t="shared" si="6"/>
        <v>12 17b estradiol 540</v>
      </c>
      <c r="B3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8" s="1" t="s">
        <v>1019</v>
      </c>
      <c r="D388" s="1" t="s">
        <v>550</v>
      </c>
      <c r="E388" s="1" t="s">
        <v>1020</v>
      </c>
      <c r="F388" s="1" t="s">
        <v>112</v>
      </c>
      <c r="G388" s="1">
        <v>4585494</v>
      </c>
    </row>
    <row r="389" spans="1:10" x14ac:dyDescent="0.25">
      <c r="A389" s="1" t="str">
        <f t="shared" si="6"/>
        <v/>
      </c>
      <c r="B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89" s="1" t="s">
        <v>112</v>
      </c>
    </row>
    <row r="390" spans="1:10" x14ac:dyDescent="0.25">
      <c r="A390" s="1" t="str">
        <f t="shared" si="6"/>
        <v/>
      </c>
      <c r="B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0" s="1" t="s">
        <v>232</v>
      </c>
      <c r="D390" s="1" t="s">
        <v>112</v>
      </c>
      <c r="E390" s="1" t="s">
        <v>233</v>
      </c>
      <c r="F390" s="1" t="s">
        <v>234</v>
      </c>
      <c r="G390" s="1" t="s">
        <v>235</v>
      </c>
      <c r="H390" s="1" t="s">
        <v>236</v>
      </c>
      <c r="I390" s="1" t="s">
        <v>237</v>
      </c>
      <c r="J390" s="1" t="s">
        <v>238</v>
      </c>
    </row>
    <row r="391" spans="1:10" x14ac:dyDescent="0.25">
      <c r="A391" s="1" t="str">
        <f t="shared" si="6"/>
        <v>12 17b estradiol 540</v>
      </c>
      <c r="B3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91" s="1" t="s">
        <v>1021</v>
      </c>
      <c r="D391" s="1" t="s">
        <v>112</v>
      </c>
      <c r="E391" s="1" t="s">
        <v>1022</v>
      </c>
      <c r="F391" s="1" t="s">
        <v>1023</v>
      </c>
      <c r="G391" s="1" t="s">
        <v>1024</v>
      </c>
      <c r="H391" s="1" t="s">
        <v>1025</v>
      </c>
      <c r="I391" s="1">
        <v>24</v>
      </c>
      <c r="J391" s="1">
        <v>24</v>
      </c>
    </row>
    <row r="392" spans="1:10" x14ac:dyDescent="0.25">
      <c r="A392" s="1" t="str">
        <f t="shared" si="6"/>
        <v/>
      </c>
      <c r="B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2" s="1" t="s">
        <v>112</v>
      </c>
    </row>
    <row r="393" spans="1:10" x14ac:dyDescent="0.25">
      <c r="A393" s="1" t="str">
        <f t="shared" si="6"/>
        <v/>
      </c>
      <c r="B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3" s="1" t="s">
        <v>112</v>
      </c>
    </row>
    <row r="394" spans="1:10" x14ac:dyDescent="0.25">
      <c r="A394" s="1" t="str">
        <f t="shared" si="6"/>
        <v/>
      </c>
      <c r="B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4" s="1" t="s">
        <v>112</v>
      </c>
    </row>
    <row r="395" spans="1:10" x14ac:dyDescent="0.25">
      <c r="A395" s="1" t="str">
        <f t="shared" si="6"/>
        <v/>
      </c>
      <c r="B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5" s="1" t="s">
        <v>112</v>
      </c>
    </row>
    <row r="396" spans="1:10" x14ac:dyDescent="0.25">
      <c r="A396" s="1" t="str">
        <f t="shared" si="6"/>
        <v/>
      </c>
      <c r="B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6" s="1" t="s">
        <v>112</v>
      </c>
    </row>
    <row r="397" spans="1:10" x14ac:dyDescent="0.25">
      <c r="A397" s="1" t="str">
        <f t="shared" si="6"/>
        <v/>
      </c>
      <c r="B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7" s="1" t="s">
        <v>244</v>
      </c>
      <c r="D397" s="1" t="s">
        <v>110</v>
      </c>
      <c r="E397" s="1" t="s">
        <v>111</v>
      </c>
      <c r="F397" s="1" t="s">
        <v>112</v>
      </c>
      <c r="G397" s="1" t="s">
        <v>113</v>
      </c>
    </row>
    <row r="398" spans="1:10" x14ac:dyDescent="0.25">
      <c r="A398" s="1" t="str">
        <f t="shared" si="6"/>
        <v>01 Testo 30</v>
      </c>
      <c r="B3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98" s="1" t="s">
        <v>1026</v>
      </c>
      <c r="D398" s="1" t="s">
        <v>1027</v>
      </c>
      <c r="E398" s="1" t="s">
        <v>1028</v>
      </c>
      <c r="F398" s="1" t="s">
        <v>112</v>
      </c>
      <c r="G398" s="1">
        <v>4661740</v>
      </c>
    </row>
    <row r="399" spans="1:10" x14ac:dyDescent="0.25">
      <c r="A399" s="1" t="str">
        <f t="shared" si="6"/>
        <v>01 Testo 30</v>
      </c>
      <c r="B3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99" s="1" t="s">
        <v>1029</v>
      </c>
      <c r="D399" s="1" t="s">
        <v>1030</v>
      </c>
      <c r="E399" s="1" t="s">
        <v>1031</v>
      </c>
      <c r="F399" s="1" t="s">
        <v>112</v>
      </c>
      <c r="G399" s="1">
        <v>4208009</v>
      </c>
    </row>
    <row r="400" spans="1:10" x14ac:dyDescent="0.25">
      <c r="A400" s="1" t="str">
        <f t="shared" si="6"/>
        <v>01 Testo 30</v>
      </c>
      <c r="B4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00" s="1" t="s">
        <v>1032</v>
      </c>
      <c r="D400" s="1" t="s">
        <v>1033</v>
      </c>
      <c r="E400" s="1" t="s">
        <v>1034</v>
      </c>
      <c r="F400" s="1" t="s">
        <v>112</v>
      </c>
      <c r="G400" s="1">
        <v>3527922</v>
      </c>
    </row>
    <row r="401" spans="1:7" x14ac:dyDescent="0.25">
      <c r="A401" s="1" t="str">
        <f t="shared" si="6"/>
        <v>01 Testo 30</v>
      </c>
      <c r="B4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1" s="1" t="s">
        <v>1035</v>
      </c>
      <c r="D401" s="1" t="s">
        <v>1036</v>
      </c>
      <c r="E401" s="1" t="s">
        <v>1037</v>
      </c>
      <c r="F401" s="1" t="s">
        <v>112</v>
      </c>
      <c r="G401" s="1">
        <v>2604153</v>
      </c>
    </row>
    <row r="402" spans="1:7" x14ac:dyDescent="0.25">
      <c r="A402" s="1" t="str">
        <f t="shared" si="6"/>
        <v>01 Testo 30</v>
      </c>
      <c r="B4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2" s="1" t="s">
        <v>1038</v>
      </c>
      <c r="D402" s="1" t="s">
        <v>1039</v>
      </c>
      <c r="E402" s="1" t="s">
        <v>1040</v>
      </c>
      <c r="F402" s="1" t="s">
        <v>112</v>
      </c>
      <c r="G402" s="1">
        <v>2552306</v>
      </c>
    </row>
    <row r="403" spans="1:7" x14ac:dyDescent="0.25">
      <c r="A403" s="1" t="str">
        <f t="shared" si="6"/>
        <v>01 Testo 30</v>
      </c>
      <c r="B4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3" s="1" t="s">
        <v>1041</v>
      </c>
      <c r="D403" s="1" t="s">
        <v>1042</v>
      </c>
      <c r="E403" s="1" t="s">
        <v>1043</v>
      </c>
      <c r="F403" s="1" t="s">
        <v>112</v>
      </c>
      <c r="G403" s="1">
        <v>2462693</v>
      </c>
    </row>
    <row r="404" spans="1:7" x14ac:dyDescent="0.25">
      <c r="A404" s="1" t="str">
        <f t="shared" si="6"/>
        <v>01 Testo 30</v>
      </c>
      <c r="B4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4" s="1" t="s">
        <v>1044</v>
      </c>
      <c r="D404" s="1" t="s">
        <v>1045</v>
      </c>
      <c r="E404" s="1" t="s">
        <v>1046</v>
      </c>
      <c r="F404" s="1" t="s">
        <v>112</v>
      </c>
      <c r="G404" s="1">
        <v>1910569</v>
      </c>
    </row>
    <row r="405" spans="1:7" x14ac:dyDescent="0.25">
      <c r="A405" s="1" t="str">
        <f t="shared" si="6"/>
        <v>01 Testo 30</v>
      </c>
      <c r="B4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5" s="1" t="s">
        <v>1047</v>
      </c>
      <c r="D405" s="1" t="s">
        <v>1048</v>
      </c>
      <c r="E405" s="1" t="s">
        <v>1049</v>
      </c>
      <c r="F405" s="1" t="s">
        <v>112</v>
      </c>
      <c r="G405" s="1">
        <v>1724941</v>
      </c>
    </row>
    <row r="406" spans="1:7" x14ac:dyDescent="0.25">
      <c r="A406" s="1" t="str">
        <f t="shared" si="6"/>
        <v>01 Testo 30</v>
      </c>
      <c r="B4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6" s="1" t="s">
        <v>1050</v>
      </c>
    </row>
    <row r="407" spans="1:7" x14ac:dyDescent="0.25">
      <c r="A407" s="1" t="str">
        <f t="shared" si="6"/>
        <v>01 Testo 30</v>
      </c>
      <c r="B4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7" s="1" t="s">
        <v>1051</v>
      </c>
      <c r="D407" s="1" t="s">
        <v>1052</v>
      </c>
      <c r="E407" s="1" t="s">
        <v>1053</v>
      </c>
      <c r="F407" s="1" t="s">
        <v>112</v>
      </c>
      <c r="G407" s="1">
        <v>2203156</v>
      </c>
    </row>
    <row r="408" spans="1:7" x14ac:dyDescent="0.25">
      <c r="A408" s="1" t="str">
        <f t="shared" si="6"/>
        <v>01 Testo 30</v>
      </c>
      <c r="B4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8" s="1" t="s">
        <v>1054</v>
      </c>
      <c r="D408" s="1" t="s">
        <v>1055</v>
      </c>
      <c r="E408" s="1" t="s">
        <v>1056</v>
      </c>
      <c r="F408" s="1" t="s">
        <v>112</v>
      </c>
      <c r="G408" s="1">
        <v>2002344</v>
      </c>
    </row>
    <row r="409" spans="1:7" x14ac:dyDescent="0.25">
      <c r="A409" s="1" t="str">
        <f t="shared" si="6"/>
        <v>01 Testo 30</v>
      </c>
      <c r="B4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9" s="1" t="s">
        <v>1057</v>
      </c>
      <c r="D409" s="1" t="s">
        <v>889</v>
      </c>
      <c r="E409" s="1" t="s">
        <v>1058</v>
      </c>
      <c r="F409" s="1" t="s">
        <v>112</v>
      </c>
      <c r="G409" s="1">
        <v>2315307</v>
      </c>
    </row>
    <row r="410" spans="1:7" x14ac:dyDescent="0.25">
      <c r="A410" s="1" t="str">
        <f t="shared" si="6"/>
        <v>01 Testo 30</v>
      </c>
      <c r="B4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0" s="1" t="s">
        <v>1059</v>
      </c>
      <c r="D410" s="1" t="s">
        <v>1060</v>
      </c>
      <c r="E410" s="1" t="s">
        <v>1061</v>
      </c>
      <c r="F410" s="1" t="s">
        <v>112</v>
      </c>
      <c r="G410" s="1">
        <v>2194504</v>
      </c>
    </row>
    <row r="411" spans="1:7" x14ac:dyDescent="0.25">
      <c r="A411" s="1" t="str">
        <f t="shared" si="6"/>
        <v>01 Testo 30</v>
      </c>
      <c r="B4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1" s="1" t="s">
        <v>1062</v>
      </c>
      <c r="D411" s="1" t="s">
        <v>1063</v>
      </c>
      <c r="E411" s="1" t="s">
        <v>1064</v>
      </c>
      <c r="F411" s="1" t="s">
        <v>112</v>
      </c>
      <c r="G411" s="1">
        <v>1752216</v>
      </c>
    </row>
    <row r="412" spans="1:7" x14ac:dyDescent="0.25">
      <c r="A412" s="1" t="str">
        <f t="shared" si="6"/>
        <v>01 Testo 30</v>
      </c>
      <c r="B4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2" s="1" t="s">
        <v>1065</v>
      </c>
      <c r="D412" s="1" t="s">
        <v>1066</v>
      </c>
      <c r="E412" s="1" t="s">
        <v>1067</v>
      </c>
      <c r="F412" s="1" t="s">
        <v>112</v>
      </c>
      <c r="G412" s="1">
        <v>2081012</v>
      </c>
    </row>
    <row r="413" spans="1:7" x14ac:dyDescent="0.25">
      <c r="A413" s="1" t="str">
        <f t="shared" si="6"/>
        <v>01 Testo 30</v>
      </c>
      <c r="B4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3" s="1" t="s">
        <v>1068</v>
      </c>
      <c r="D413" s="1" t="s">
        <v>1069</v>
      </c>
      <c r="E413" s="1" t="s">
        <v>1070</v>
      </c>
      <c r="F413" s="1" t="s">
        <v>112</v>
      </c>
      <c r="G413" s="1">
        <v>2344962</v>
      </c>
    </row>
    <row r="414" spans="1:7" x14ac:dyDescent="0.25">
      <c r="A414" s="1" t="str">
        <f t="shared" si="6"/>
        <v>01 Testo 30</v>
      </c>
      <c r="B4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4" s="1" t="s">
        <v>1071</v>
      </c>
      <c r="D414" s="1" t="s">
        <v>1072</v>
      </c>
      <c r="E414" s="1" t="s">
        <v>1073</v>
      </c>
      <c r="F414" s="1" t="s">
        <v>112</v>
      </c>
      <c r="G414" s="1">
        <v>1688905</v>
      </c>
    </row>
    <row r="415" spans="1:7" x14ac:dyDescent="0.25">
      <c r="A415" s="1" t="str">
        <f t="shared" si="6"/>
        <v>01 Testo 30</v>
      </c>
      <c r="B4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5" s="1" t="s">
        <v>1074</v>
      </c>
      <c r="D415" s="1" t="s">
        <v>1075</v>
      </c>
      <c r="E415" s="1" t="s">
        <v>1076</v>
      </c>
      <c r="F415" s="1" t="s">
        <v>112</v>
      </c>
      <c r="G415" s="1">
        <v>2127625</v>
      </c>
    </row>
    <row r="416" spans="1:7" x14ac:dyDescent="0.25">
      <c r="A416" s="1" t="str">
        <f t="shared" si="6"/>
        <v>01 Testo 30</v>
      </c>
      <c r="B4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6" s="1" t="s">
        <v>1077</v>
      </c>
      <c r="D416" s="1" t="s">
        <v>1078</v>
      </c>
      <c r="E416" s="1" t="s">
        <v>1079</v>
      </c>
      <c r="F416" s="1" t="s">
        <v>112</v>
      </c>
      <c r="G416" s="1">
        <v>1298096</v>
      </c>
    </row>
    <row r="417" spans="1:10" x14ac:dyDescent="0.25">
      <c r="A417" s="1" t="str">
        <f t="shared" si="6"/>
        <v>01 Testo 30</v>
      </c>
      <c r="B4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7" s="1" t="s">
        <v>1080</v>
      </c>
      <c r="D417" s="1" t="s">
        <v>1081</v>
      </c>
      <c r="E417" s="1" t="s">
        <v>1082</v>
      </c>
      <c r="F417" s="1" t="s">
        <v>112</v>
      </c>
      <c r="G417" s="1">
        <v>1313086</v>
      </c>
    </row>
    <row r="418" spans="1:10" x14ac:dyDescent="0.25">
      <c r="A418" s="1" t="str">
        <f t="shared" si="6"/>
        <v>01 Testo 30</v>
      </c>
      <c r="B4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8" s="1" t="s">
        <v>1083</v>
      </c>
      <c r="D418" s="1" t="s">
        <v>1084</v>
      </c>
      <c r="E418" s="1" t="s">
        <v>1085</v>
      </c>
      <c r="F418" s="1" t="s">
        <v>112</v>
      </c>
      <c r="G418" s="1">
        <v>965558</v>
      </c>
    </row>
    <row r="419" spans="1:10" x14ac:dyDescent="0.25">
      <c r="A419" s="1" t="str">
        <f t="shared" si="6"/>
        <v>01 Testo 30</v>
      </c>
      <c r="B4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19" s="1" t="s">
        <v>1086</v>
      </c>
      <c r="D419" s="1" t="s">
        <v>1087</v>
      </c>
      <c r="E419" s="1" t="s">
        <v>1088</v>
      </c>
      <c r="F419" s="1" t="s">
        <v>112</v>
      </c>
      <c r="G419" s="1">
        <v>2085338</v>
      </c>
    </row>
    <row r="420" spans="1:10" x14ac:dyDescent="0.25">
      <c r="A420" s="1" t="str">
        <f t="shared" si="6"/>
        <v>01 Testo 30</v>
      </c>
      <c r="B4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20" s="1" t="s">
        <v>1089</v>
      </c>
      <c r="D420" s="1" t="s">
        <v>466</v>
      </c>
      <c r="E420" s="1" t="s">
        <v>1090</v>
      </c>
      <c r="F420" s="1" t="s">
        <v>112</v>
      </c>
      <c r="G420" s="1">
        <v>2115425</v>
      </c>
    </row>
    <row r="421" spans="1:10" x14ac:dyDescent="0.25">
      <c r="A421" s="1" t="str">
        <f t="shared" si="6"/>
        <v>01 Testo 30</v>
      </c>
      <c r="B4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21" s="1" t="s">
        <v>1091</v>
      </c>
      <c r="D421" s="1" t="s">
        <v>1092</v>
      </c>
      <c r="E421" s="1" t="s">
        <v>1093</v>
      </c>
      <c r="F421" s="1" t="s">
        <v>112</v>
      </c>
      <c r="G421" s="1">
        <v>1944225</v>
      </c>
    </row>
    <row r="422" spans="1:10" x14ac:dyDescent="0.25">
      <c r="A422" s="1" t="str">
        <f t="shared" si="6"/>
        <v/>
      </c>
      <c r="B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2" s="1" t="s">
        <v>112</v>
      </c>
    </row>
    <row r="423" spans="1:10" x14ac:dyDescent="0.25">
      <c r="A423" s="1" t="str">
        <f t="shared" si="6"/>
        <v/>
      </c>
      <c r="B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3" s="1" t="s">
        <v>232</v>
      </c>
      <c r="D423" s="1" t="s">
        <v>112</v>
      </c>
      <c r="E423" s="1" t="s">
        <v>233</v>
      </c>
      <c r="F423" s="1" t="s">
        <v>234</v>
      </c>
      <c r="G423" s="1" t="s">
        <v>235</v>
      </c>
      <c r="H423" s="1" t="s">
        <v>236</v>
      </c>
      <c r="I423" s="1" t="s">
        <v>237</v>
      </c>
      <c r="J423" s="1" t="s">
        <v>238</v>
      </c>
    </row>
    <row r="424" spans="1:10" x14ac:dyDescent="0.25">
      <c r="A424" s="1" t="str">
        <f t="shared" si="6"/>
        <v>01 Testo 30</v>
      </c>
      <c r="B4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24" s="1" t="s">
        <v>1094</v>
      </c>
      <c r="D424" s="1" t="s">
        <v>112</v>
      </c>
      <c r="E424" s="1" t="s">
        <v>1095</v>
      </c>
      <c r="F424" s="1" t="s">
        <v>1096</v>
      </c>
      <c r="G424" s="1" t="s">
        <v>1097</v>
      </c>
      <c r="H424" s="1" t="s">
        <v>1098</v>
      </c>
      <c r="I424" s="1">
        <v>24</v>
      </c>
      <c r="J424" s="1">
        <v>24</v>
      </c>
    </row>
    <row r="425" spans="1:10" x14ac:dyDescent="0.25">
      <c r="A425" s="1" t="str">
        <f t="shared" si="6"/>
        <v/>
      </c>
      <c r="B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5" s="1" t="s">
        <v>112</v>
      </c>
    </row>
    <row r="426" spans="1:10" x14ac:dyDescent="0.25">
      <c r="A426" s="1" t="str">
        <f t="shared" si="6"/>
        <v/>
      </c>
      <c r="B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6" s="1" t="s">
        <v>112</v>
      </c>
    </row>
    <row r="427" spans="1:10" x14ac:dyDescent="0.25">
      <c r="A427" s="1" t="str">
        <f t="shared" si="6"/>
        <v/>
      </c>
      <c r="B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7" s="1" t="s">
        <v>112</v>
      </c>
    </row>
    <row r="428" spans="1:10" x14ac:dyDescent="0.25">
      <c r="A428" s="1" t="str">
        <f t="shared" si="6"/>
        <v/>
      </c>
      <c r="B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8" s="1" t="s">
        <v>112</v>
      </c>
    </row>
    <row r="429" spans="1:10" x14ac:dyDescent="0.25">
      <c r="A429" s="1" t="str">
        <f t="shared" si="6"/>
        <v/>
      </c>
      <c r="B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9" s="1" t="s">
        <v>112</v>
      </c>
    </row>
    <row r="430" spans="1:10" x14ac:dyDescent="0.25">
      <c r="A430" s="1" t="str">
        <f t="shared" si="6"/>
        <v/>
      </c>
      <c r="B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30" s="1" t="s">
        <v>244</v>
      </c>
      <c r="D430" s="1" t="s">
        <v>110</v>
      </c>
      <c r="E430" s="1" t="s">
        <v>111</v>
      </c>
      <c r="F430" s="1" t="s">
        <v>112</v>
      </c>
      <c r="G430" s="1" t="s">
        <v>113</v>
      </c>
    </row>
    <row r="431" spans="1:10" x14ac:dyDescent="0.25">
      <c r="A431" s="1" t="str">
        <f t="shared" si="6"/>
        <v>02 Testo 30</v>
      </c>
      <c r="B4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1" s="1" t="s">
        <v>1099</v>
      </c>
    </row>
    <row r="432" spans="1:10" x14ac:dyDescent="0.25">
      <c r="A432" s="1" t="str">
        <f t="shared" si="6"/>
        <v>02 Testo 30</v>
      </c>
      <c r="B4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2" s="1" t="s">
        <v>1100</v>
      </c>
      <c r="D432" s="1" t="s">
        <v>1101</v>
      </c>
      <c r="E432" s="1" t="s">
        <v>1102</v>
      </c>
      <c r="F432" s="1" t="s">
        <v>112</v>
      </c>
      <c r="G432" s="1">
        <v>625666</v>
      </c>
    </row>
    <row r="433" spans="1:7" x14ac:dyDescent="0.25">
      <c r="A433" s="1" t="str">
        <f t="shared" si="6"/>
        <v>02 Testo 30</v>
      </c>
      <c r="B4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3" s="1" t="s">
        <v>1103</v>
      </c>
      <c r="D433" s="1" t="s">
        <v>1104</v>
      </c>
      <c r="E433" s="1" t="s">
        <v>1105</v>
      </c>
      <c r="F433" s="1" t="s">
        <v>112</v>
      </c>
      <c r="G433" s="1">
        <v>679676</v>
      </c>
    </row>
    <row r="434" spans="1:7" x14ac:dyDescent="0.25">
      <c r="A434" s="1" t="str">
        <f t="shared" si="6"/>
        <v>02 Testo 30</v>
      </c>
      <c r="B4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4" s="1" t="s">
        <v>1106</v>
      </c>
      <c r="D434" s="1" t="s">
        <v>1107</v>
      </c>
      <c r="E434" s="1" t="s">
        <v>1108</v>
      </c>
      <c r="F434" s="1" t="s">
        <v>112</v>
      </c>
      <c r="G434" s="1">
        <v>2675337</v>
      </c>
    </row>
    <row r="435" spans="1:7" x14ac:dyDescent="0.25">
      <c r="A435" s="1" t="str">
        <f t="shared" si="6"/>
        <v>02 Testo 30</v>
      </c>
      <c r="B4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5" s="1" t="s">
        <v>1109</v>
      </c>
      <c r="D435" s="1" t="s">
        <v>1110</v>
      </c>
      <c r="E435" s="1" t="s">
        <v>1111</v>
      </c>
      <c r="F435" s="1" t="s">
        <v>112</v>
      </c>
      <c r="G435" s="1">
        <v>2324154</v>
      </c>
    </row>
    <row r="436" spans="1:7" x14ac:dyDescent="0.25">
      <c r="A436" s="1" t="str">
        <f t="shared" si="6"/>
        <v>02 Testo 30</v>
      </c>
      <c r="B4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6" s="1" t="s">
        <v>1112</v>
      </c>
      <c r="D436" s="1" t="s">
        <v>1113</v>
      </c>
      <c r="E436" s="1" t="s">
        <v>1114</v>
      </c>
      <c r="F436" s="1" t="s">
        <v>112</v>
      </c>
      <c r="G436" s="1">
        <v>2587952</v>
      </c>
    </row>
    <row r="437" spans="1:7" x14ac:dyDescent="0.25">
      <c r="A437" s="1" t="str">
        <f t="shared" si="6"/>
        <v>02 Testo 30</v>
      </c>
      <c r="B4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7" s="1" t="s">
        <v>1115</v>
      </c>
      <c r="D437" s="1" t="s">
        <v>1116</v>
      </c>
      <c r="E437" s="1" t="s">
        <v>1117</v>
      </c>
      <c r="F437" s="1" t="s">
        <v>112</v>
      </c>
      <c r="G437" s="1">
        <v>3718633</v>
      </c>
    </row>
    <row r="438" spans="1:7" x14ac:dyDescent="0.25">
      <c r="A438" s="1" t="str">
        <f t="shared" si="6"/>
        <v>02 Testo 30</v>
      </c>
      <c r="B4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8" s="1" t="s">
        <v>1118</v>
      </c>
      <c r="D438" s="1" t="s">
        <v>1119</v>
      </c>
      <c r="E438" s="1" t="s">
        <v>1120</v>
      </c>
      <c r="F438" s="1" t="s">
        <v>112</v>
      </c>
      <c r="G438" s="1">
        <v>3524202</v>
      </c>
    </row>
    <row r="439" spans="1:7" x14ac:dyDescent="0.25">
      <c r="A439" s="1" t="str">
        <f t="shared" si="6"/>
        <v>02 Testo 30</v>
      </c>
      <c r="B4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9" s="1" t="s">
        <v>1121</v>
      </c>
      <c r="D439" s="1" t="s">
        <v>1122</v>
      </c>
      <c r="E439" s="1" t="s">
        <v>1123</v>
      </c>
      <c r="F439" s="1" t="s">
        <v>112</v>
      </c>
      <c r="G439" s="1">
        <v>3537980</v>
      </c>
    </row>
    <row r="440" spans="1:7" x14ac:dyDescent="0.25">
      <c r="A440" s="1" t="str">
        <f t="shared" si="6"/>
        <v>02 Testo 30</v>
      </c>
      <c r="B4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0" s="1" t="s">
        <v>1124</v>
      </c>
      <c r="D440" s="1" t="s">
        <v>1125</v>
      </c>
      <c r="E440" s="1" t="s">
        <v>1126</v>
      </c>
      <c r="F440" s="1" t="s">
        <v>112</v>
      </c>
      <c r="G440" s="1">
        <v>2631558</v>
      </c>
    </row>
    <row r="441" spans="1:7" x14ac:dyDescent="0.25">
      <c r="A441" s="1" t="str">
        <f t="shared" si="6"/>
        <v>02 Testo 30</v>
      </c>
      <c r="B4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1" s="1" t="s">
        <v>1127</v>
      </c>
      <c r="D441" s="1" t="s">
        <v>559</v>
      </c>
      <c r="E441" s="1" t="s">
        <v>1128</v>
      </c>
      <c r="F441" s="1" t="s">
        <v>112</v>
      </c>
      <c r="G441" s="1">
        <v>2744682</v>
      </c>
    </row>
    <row r="442" spans="1:7" x14ac:dyDescent="0.25">
      <c r="A442" s="1" t="str">
        <f t="shared" si="6"/>
        <v>02 Testo 30</v>
      </c>
      <c r="B4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2" s="1" t="s">
        <v>1129</v>
      </c>
      <c r="D442" s="1" t="s">
        <v>1130</v>
      </c>
      <c r="E442" s="1" t="s">
        <v>1131</v>
      </c>
      <c r="F442" s="1" t="s">
        <v>112</v>
      </c>
      <c r="G442" s="1">
        <v>2611334</v>
      </c>
    </row>
    <row r="443" spans="1:7" x14ac:dyDescent="0.25">
      <c r="A443" s="1" t="str">
        <f t="shared" si="6"/>
        <v>02 Testo 30</v>
      </c>
      <c r="B4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3" s="1" t="s">
        <v>1132</v>
      </c>
      <c r="D443" s="1" t="s">
        <v>1133</v>
      </c>
      <c r="E443" s="1" t="s">
        <v>1134</v>
      </c>
      <c r="F443" s="1" t="s">
        <v>112</v>
      </c>
      <c r="G443" s="1">
        <v>1905313</v>
      </c>
    </row>
    <row r="444" spans="1:7" x14ac:dyDescent="0.25">
      <c r="A444" s="1" t="str">
        <f t="shared" si="6"/>
        <v>02 Testo 30</v>
      </c>
      <c r="B4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4" s="1" t="s">
        <v>1135</v>
      </c>
      <c r="D444" s="1" t="s">
        <v>1136</v>
      </c>
      <c r="E444" s="1" t="s">
        <v>1137</v>
      </c>
      <c r="F444" s="1" t="s">
        <v>112</v>
      </c>
      <c r="G444" s="1">
        <v>1448641</v>
      </c>
    </row>
    <row r="445" spans="1:7" x14ac:dyDescent="0.25">
      <c r="A445" s="1" t="str">
        <f t="shared" si="6"/>
        <v>02 Testo 30</v>
      </c>
      <c r="B4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5" s="1" t="s">
        <v>1138</v>
      </c>
      <c r="D445" s="1" t="s">
        <v>1139</v>
      </c>
      <c r="E445" s="1" t="s">
        <v>1140</v>
      </c>
      <c r="F445" s="1" t="s">
        <v>112</v>
      </c>
      <c r="G445" s="1">
        <v>1508945</v>
      </c>
    </row>
    <row r="446" spans="1:7" x14ac:dyDescent="0.25">
      <c r="A446" s="1" t="str">
        <f t="shared" si="6"/>
        <v>02 Testo 30</v>
      </c>
      <c r="B4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6" s="1" t="s">
        <v>1141</v>
      </c>
      <c r="D446" s="1" t="s">
        <v>1142</v>
      </c>
      <c r="E446" s="1" t="s">
        <v>1143</v>
      </c>
      <c r="F446" s="1" t="s">
        <v>112</v>
      </c>
      <c r="G446" s="1">
        <v>2661148</v>
      </c>
    </row>
    <row r="447" spans="1:7" x14ac:dyDescent="0.25">
      <c r="A447" s="1" t="str">
        <f t="shared" si="6"/>
        <v>02 Testo 30</v>
      </c>
      <c r="B4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7" s="1" t="s">
        <v>1144</v>
      </c>
      <c r="D447" s="1" t="s">
        <v>1145</v>
      </c>
      <c r="E447" s="1" t="s">
        <v>1146</v>
      </c>
      <c r="F447" s="1" t="s">
        <v>112</v>
      </c>
      <c r="G447" s="1">
        <v>2461201</v>
      </c>
    </row>
    <row r="448" spans="1:7" x14ac:dyDescent="0.25">
      <c r="A448" s="1" t="str">
        <f t="shared" si="6"/>
        <v>02 Testo 30</v>
      </c>
      <c r="B4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8" s="1" t="s">
        <v>1147</v>
      </c>
      <c r="D448" s="1" t="s">
        <v>1148</v>
      </c>
      <c r="E448" s="1" t="s">
        <v>1149</v>
      </c>
      <c r="F448" s="1" t="s">
        <v>112</v>
      </c>
      <c r="G448" s="1">
        <v>2421467</v>
      </c>
    </row>
    <row r="449" spans="1:10" x14ac:dyDescent="0.25">
      <c r="A449" s="1" t="str">
        <f t="shared" si="6"/>
        <v>02 Testo 30</v>
      </c>
      <c r="B4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49" s="1" t="s">
        <v>1150</v>
      </c>
      <c r="D449" s="1" t="s">
        <v>1151</v>
      </c>
      <c r="E449" s="1" t="s">
        <v>1152</v>
      </c>
      <c r="F449" s="1" t="s">
        <v>112</v>
      </c>
      <c r="G449" s="1">
        <v>2407818</v>
      </c>
    </row>
    <row r="450" spans="1:10" x14ac:dyDescent="0.25">
      <c r="A450" s="1" t="str">
        <f t="shared" ref="A450:A513" si="7">IFERROR(LEFT(RIGHT(C450,LEN(C450)-SEARCH("@",C450)),SEARCH("/",RIGHT(C450,LEN(C450)-SEARCH("@",C450)-1))),"")</f>
        <v>02 Testo 30</v>
      </c>
      <c r="B4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50" s="1" t="s">
        <v>1153</v>
      </c>
      <c r="D450" s="1" t="s">
        <v>1154</v>
      </c>
      <c r="E450" s="1" t="s">
        <v>1155</v>
      </c>
      <c r="F450" s="1" t="s">
        <v>112</v>
      </c>
      <c r="G450" s="1">
        <v>2164071</v>
      </c>
    </row>
    <row r="451" spans="1:10" x14ac:dyDescent="0.25">
      <c r="A451" s="1" t="str">
        <f t="shared" si="7"/>
        <v>02 Testo 30</v>
      </c>
      <c r="B4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51" s="1" t="s">
        <v>1156</v>
      </c>
      <c r="D451" s="1" t="s">
        <v>466</v>
      </c>
      <c r="E451" s="1" t="s">
        <v>1157</v>
      </c>
      <c r="F451" s="1" t="s">
        <v>112</v>
      </c>
      <c r="G451" s="1">
        <v>2082202</v>
      </c>
    </row>
    <row r="452" spans="1:10" x14ac:dyDescent="0.25">
      <c r="A452" s="1" t="str">
        <f t="shared" si="7"/>
        <v>02 Testo 30</v>
      </c>
      <c r="B4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2" s="1" t="s">
        <v>1158</v>
      </c>
      <c r="D452" s="1" t="s">
        <v>1159</v>
      </c>
      <c r="E452" s="1" t="s">
        <v>1160</v>
      </c>
      <c r="F452" s="1" t="s">
        <v>112</v>
      </c>
      <c r="G452" s="1">
        <v>2180488</v>
      </c>
    </row>
    <row r="453" spans="1:10" x14ac:dyDescent="0.25">
      <c r="A453" s="1" t="str">
        <f t="shared" si="7"/>
        <v>02 Testo 30</v>
      </c>
      <c r="B4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3" s="1" t="s">
        <v>1161</v>
      </c>
      <c r="D453" s="1" t="s">
        <v>1092</v>
      </c>
      <c r="E453" s="1" t="s">
        <v>1162</v>
      </c>
      <c r="F453" s="1" t="s">
        <v>112</v>
      </c>
      <c r="G453" s="1">
        <v>1953353</v>
      </c>
    </row>
    <row r="454" spans="1:10" x14ac:dyDescent="0.25">
      <c r="A454" s="1" t="str">
        <f t="shared" si="7"/>
        <v>02 Testo 30</v>
      </c>
      <c r="B4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4" s="1" t="s">
        <v>1163</v>
      </c>
    </row>
    <row r="455" spans="1:10" x14ac:dyDescent="0.25">
      <c r="A455" s="1" t="str">
        <f t="shared" si="7"/>
        <v/>
      </c>
      <c r="B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5" s="1" t="s">
        <v>112</v>
      </c>
    </row>
    <row r="456" spans="1:10" x14ac:dyDescent="0.25">
      <c r="A456" s="1" t="str">
        <f t="shared" si="7"/>
        <v/>
      </c>
      <c r="B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6" s="1" t="s">
        <v>232</v>
      </c>
      <c r="D456" s="1" t="s">
        <v>112</v>
      </c>
      <c r="E456" s="1" t="s">
        <v>233</v>
      </c>
      <c r="F456" s="1" t="s">
        <v>234</v>
      </c>
      <c r="G456" s="1" t="s">
        <v>235</v>
      </c>
      <c r="H456" s="1" t="s">
        <v>236</v>
      </c>
      <c r="I456" s="1" t="s">
        <v>237</v>
      </c>
      <c r="J456" s="1" t="s">
        <v>238</v>
      </c>
    </row>
    <row r="457" spans="1:10" x14ac:dyDescent="0.25">
      <c r="A457" s="1" t="str">
        <f t="shared" si="7"/>
        <v>02 Testo 30</v>
      </c>
      <c r="B4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57" s="1" t="s">
        <v>1164</v>
      </c>
      <c r="D457" s="1" t="s">
        <v>112</v>
      </c>
      <c r="E457" s="1" t="s">
        <v>1165</v>
      </c>
      <c r="F457" s="1" t="s">
        <v>1166</v>
      </c>
      <c r="G457" s="1" t="s">
        <v>1167</v>
      </c>
      <c r="H457" s="1" t="s">
        <v>1168</v>
      </c>
      <c r="I457" s="1">
        <v>24</v>
      </c>
      <c r="J457" s="1">
        <v>24</v>
      </c>
    </row>
    <row r="458" spans="1:10" x14ac:dyDescent="0.25">
      <c r="A458" s="1" t="str">
        <f t="shared" si="7"/>
        <v/>
      </c>
      <c r="B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8" s="1" t="s">
        <v>112</v>
      </c>
    </row>
    <row r="459" spans="1:10" x14ac:dyDescent="0.25">
      <c r="A459" s="1" t="str">
        <f t="shared" si="7"/>
        <v/>
      </c>
      <c r="B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9" s="1" t="s">
        <v>112</v>
      </c>
    </row>
    <row r="460" spans="1:10" x14ac:dyDescent="0.25">
      <c r="A460" s="1" t="str">
        <f t="shared" si="7"/>
        <v/>
      </c>
      <c r="B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0" s="1" t="s">
        <v>112</v>
      </c>
    </row>
    <row r="461" spans="1:10" x14ac:dyDescent="0.25">
      <c r="A461" s="1" t="str">
        <f t="shared" si="7"/>
        <v/>
      </c>
      <c r="B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1" s="1" t="s">
        <v>112</v>
      </c>
    </row>
    <row r="462" spans="1:10" x14ac:dyDescent="0.25">
      <c r="A462" s="1" t="str">
        <f t="shared" si="7"/>
        <v/>
      </c>
      <c r="B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2" s="1" t="s">
        <v>112</v>
      </c>
    </row>
    <row r="463" spans="1:10" x14ac:dyDescent="0.25">
      <c r="A463" s="1" t="str">
        <f t="shared" si="7"/>
        <v/>
      </c>
      <c r="B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3" s="1" t="s">
        <v>244</v>
      </c>
      <c r="D463" s="1" t="s">
        <v>110</v>
      </c>
      <c r="E463" s="1" t="s">
        <v>111</v>
      </c>
      <c r="F463" s="1" t="s">
        <v>112</v>
      </c>
      <c r="G463" s="1" t="s">
        <v>113</v>
      </c>
    </row>
    <row r="464" spans="1:10" x14ac:dyDescent="0.25">
      <c r="A464" s="1" t="str">
        <f t="shared" si="7"/>
        <v>03 Testo+ EE2 64</v>
      </c>
      <c r="B4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4" s="1" t="s">
        <v>1169</v>
      </c>
      <c r="D464" s="1" t="s">
        <v>1170</v>
      </c>
      <c r="E464" s="1" t="s">
        <v>1171</v>
      </c>
      <c r="F464" s="1" t="s">
        <v>112</v>
      </c>
      <c r="G464" s="1">
        <v>191165</v>
      </c>
    </row>
    <row r="465" spans="1:7" x14ac:dyDescent="0.25">
      <c r="A465" s="1" t="str">
        <f t="shared" si="7"/>
        <v>03 Testo+ EE2 64</v>
      </c>
      <c r="B4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5" s="1" t="s">
        <v>1172</v>
      </c>
      <c r="D465" s="1" t="s">
        <v>1173</v>
      </c>
      <c r="E465" s="1" t="s">
        <v>1174</v>
      </c>
      <c r="F465" s="1" t="s">
        <v>112</v>
      </c>
      <c r="G465" s="1">
        <v>461474</v>
      </c>
    </row>
    <row r="466" spans="1:7" x14ac:dyDescent="0.25">
      <c r="A466" s="1" t="str">
        <f t="shared" si="7"/>
        <v>03 Testo+ EE2 64</v>
      </c>
      <c r="B4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6" s="1" t="s">
        <v>1175</v>
      </c>
      <c r="D466" s="1" t="s">
        <v>264</v>
      </c>
      <c r="E466" s="1" t="s">
        <v>1176</v>
      </c>
      <c r="F466" s="1" t="s">
        <v>112</v>
      </c>
      <c r="G466" s="1">
        <v>40167</v>
      </c>
    </row>
    <row r="467" spans="1:7" x14ac:dyDescent="0.25">
      <c r="A467" s="1" t="str">
        <f t="shared" si="7"/>
        <v>03 Testo+ EE2 64</v>
      </c>
      <c r="B4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7" s="1" t="s">
        <v>1177</v>
      </c>
      <c r="D467" s="1" t="s">
        <v>1178</v>
      </c>
      <c r="E467" s="1" t="s">
        <v>1179</v>
      </c>
      <c r="F467" s="1" t="s">
        <v>112</v>
      </c>
      <c r="G467" s="1">
        <v>3796825</v>
      </c>
    </row>
    <row r="468" spans="1:7" x14ac:dyDescent="0.25">
      <c r="A468" s="1" t="str">
        <f t="shared" si="7"/>
        <v>03 Testo+ EE2 64</v>
      </c>
      <c r="B4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8" s="1" t="s">
        <v>1180</v>
      </c>
      <c r="D468" s="1" t="s">
        <v>1181</v>
      </c>
      <c r="E468" s="1" t="s">
        <v>1182</v>
      </c>
      <c r="F468" s="1" t="s">
        <v>112</v>
      </c>
      <c r="G468" s="1">
        <v>3615588</v>
      </c>
    </row>
    <row r="469" spans="1:7" x14ac:dyDescent="0.25">
      <c r="A469" s="1" t="str">
        <f t="shared" si="7"/>
        <v>03 Testo+ EE2 64</v>
      </c>
      <c r="B4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9" s="1" t="s">
        <v>1183</v>
      </c>
      <c r="D469" s="1" t="s">
        <v>1184</v>
      </c>
      <c r="E469" s="1" t="s">
        <v>1185</v>
      </c>
      <c r="F469" s="1" t="s">
        <v>112</v>
      </c>
      <c r="G469" s="1">
        <v>3757632</v>
      </c>
    </row>
    <row r="470" spans="1:7" x14ac:dyDescent="0.25">
      <c r="A470" s="1" t="str">
        <f t="shared" si="7"/>
        <v>03 Testo+ EE2 64</v>
      </c>
      <c r="B4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0" s="1" t="s">
        <v>1186</v>
      </c>
    </row>
    <row r="471" spans="1:7" x14ac:dyDescent="0.25">
      <c r="A471" s="1" t="str">
        <f t="shared" si="7"/>
        <v>03 Testo+ EE2 64</v>
      </c>
      <c r="B4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1" s="1" t="s">
        <v>1187</v>
      </c>
      <c r="D471" s="1" t="s">
        <v>1188</v>
      </c>
      <c r="E471" s="1" t="s">
        <v>1189</v>
      </c>
      <c r="F471" s="1" t="s">
        <v>112</v>
      </c>
      <c r="G471" s="1">
        <v>4071395</v>
      </c>
    </row>
    <row r="472" spans="1:7" x14ac:dyDescent="0.25">
      <c r="A472" s="1" t="str">
        <f t="shared" si="7"/>
        <v>03 Testo+ EE2 64</v>
      </c>
      <c r="B4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2" s="1" t="s">
        <v>1190</v>
      </c>
      <c r="D472" s="1" t="s">
        <v>1191</v>
      </c>
      <c r="E472" s="1" t="s">
        <v>1192</v>
      </c>
      <c r="F472" s="1" t="s">
        <v>112</v>
      </c>
      <c r="G472" s="1">
        <v>4155406</v>
      </c>
    </row>
    <row r="473" spans="1:7" x14ac:dyDescent="0.25">
      <c r="A473" s="1" t="str">
        <f t="shared" si="7"/>
        <v>03 Testo+ EE2 64</v>
      </c>
      <c r="B4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3" s="1" t="s">
        <v>1193</v>
      </c>
      <c r="D473" s="1" t="s">
        <v>1194</v>
      </c>
      <c r="E473" s="1" t="s">
        <v>1195</v>
      </c>
      <c r="F473" s="1" t="s">
        <v>112</v>
      </c>
      <c r="G473" s="1">
        <v>4950304</v>
      </c>
    </row>
    <row r="474" spans="1:7" x14ac:dyDescent="0.25">
      <c r="A474" s="1" t="str">
        <f t="shared" si="7"/>
        <v>03 Testo+ EE2 64</v>
      </c>
      <c r="B4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4" s="1" t="s">
        <v>1196</v>
      </c>
      <c r="D474" s="1" t="s">
        <v>1197</v>
      </c>
      <c r="E474" s="1" t="s">
        <v>1198</v>
      </c>
      <c r="F474" s="1" t="s">
        <v>112</v>
      </c>
      <c r="G474" s="1">
        <v>4851131</v>
      </c>
    </row>
    <row r="475" spans="1:7" x14ac:dyDescent="0.25">
      <c r="A475" s="1" t="str">
        <f t="shared" si="7"/>
        <v>03 Testo+ EE2 64</v>
      </c>
      <c r="B4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5" s="1" t="s">
        <v>1199</v>
      </c>
      <c r="D475" s="1" t="s">
        <v>1200</v>
      </c>
      <c r="E475" s="1" t="s">
        <v>1201</v>
      </c>
      <c r="F475" s="1" t="s">
        <v>112</v>
      </c>
      <c r="G475" s="1">
        <v>4326087</v>
      </c>
    </row>
    <row r="476" spans="1:7" x14ac:dyDescent="0.25">
      <c r="A476" s="1" t="str">
        <f t="shared" si="7"/>
        <v>03 Testo+ EE2 64</v>
      </c>
      <c r="B4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6" s="1" t="s">
        <v>1202</v>
      </c>
      <c r="D476" s="1" t="s">
        <v>1203</v>
      </c>
      <c r="E476" s="1" t="s">
        <v>1204</v>
      </c>
      <c r="F476" s="1" t="s">
        <v>112</v>
      </c>
      <c r="G476" s="1">
        <v>4246143</v>
      </c>
    </row>
    <row r="477" spans="1:7" x14ac:dyDescent="0.25">
      <c r="A477" s="1" t="str">
        <f t="shared" si="7"/>
        <v>03 Testo+ EE2 64</v>
      </c>
      <c r="B4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7" s="1" t="s">
        <v>1205</v>
      </c>
      <c r="D477" s="1" t="s">
        <v>1206</v>
      </c>
      <c r="E477" s="1" t="s">
        <v>1207</v>
      </c>
      <c r="F477" s="1" t="s">
        <v>112</v>
      </c>
      <c r="G477" s="1">
        <v>3637088</v>
      </c>
    </row>
    <row r="478" spans="1:7" x14ac:dyDescent="0.25">
      <c r="A478" s="1" t="str">
        <f t="shared" si="7"/>
        <v>03 Testo+ EE2 64</v>
      </c>
      <c r="B4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8" s="1" t="s">
        <v>1208</v>
      </c>
      <c r="D478" s="1" t="s">
        <v>1209</v>
      </c>
      <c r="E478" s="1" t="s">
        <v>1210</v>
      </c>
      <c r="F478" s="1" t="s">
        <v>112</v>
      </c>
      <c r="G478" s="1">
        <v>3982799</v>
      </c>
    </row>
    <row r="479" spans="1:7" x14ac:dyDescent="0.25">
      <c r="A479" s="1" t="str">
        <f t="shared" si="7"/>
        <v>03 Testo+ EE2 64</v>
      </c>
      <c r="B4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79" s="1" t="s">
        <v>1211</v>
      </c>
      <c r="D479" s="1" t="s">
        <v>1212</v>
      </c>
      <c r="E479" s="1" t="s">
        <v>1213</v>
      </c>
      <c r="F479" s="1" t="s">
        <v>112</v>
      </c>
      <c r="G479" s="1">
        <v>4749536</v>
      </c>
    </row>
    <row r="480" spans="1:7" x14ac:dyDescent="0.25">
      <c r="A480" s="1" t="str">
        <f t="shared" si="7"/>
        <v>03 Testo+ EE2 64</v>
      </c>
      <c r="B4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80" s="1" t="s">
        <v>1214</v>
      </c>
      <c r="D480" s="1" t="s">
        <v>1215</v>
      </c>
      <c r="E480" s="1" t="s">
        <v>1216</v>
      </c>
      <c r="F480" s="1" t="s">
        <v>112</v>
      </c>
      <c r="G480" s="1">
        <v>4252805</v>
      </c>
    </row>
    <row r="481" spans="1:10" x14ac:dyDescent="0.25">
      <c r="A481" s="1" t="str">
        <f t="shared" si="7"/>
        <v>03 Testo+ EE2 64</v>
      </c>
      <c r="B4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81" s="1" t="s">
        <v>1217</v>
      </c>
      <c r="D481" s="1" t="s">
        <v>1218</v>
      </c>
      <c r="E481" s="1" t="s">
        <v>1219</v>
      </c>
      <c r="F481" s="1" t="s">
        <v>112</v>
      </c>
      <c r="G481" s="1">
        <v>4606497</v>
      </c>
    </row>
    <row r="482" spans="1:10" x14ac:dyDescent="0.25">
      <c r="A482" s="1" t="str">
        <f t="shared" si="7"/>
        <v>03 Testo+ EE2 64</v>
      </c>
      <c r="B4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2" s="1" t="s">
        <v>1220</v>
      </c>
      <c r="D482" s="1" t="s">
        <v>1221</v>
      </c>
      <c r="E482" s="1" t="s">
        <v>1222</v>
      </c>
      <c r="F482" s="1" t="s">
        <v>112</v>
      </c>
      <c r="G482" s="1">
        <v>3569884</v>
      </c>
    </row>
    <row r="483" spans="1:10" x14ac:dyDescent="0.25">
      <c r="A483" s="1" t="str">
        <f t="shared" si="7"/>
        <v>03 Testo+ EE2 64</v>
      </c>
      <c r="B4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3" s="1" t="s">
        <v>1223</v>
      </c>
      <c r="D483" s="1" t="s">
        <v>1224</v>
      </c>
      <c r="E483" s="1" t="s">
        <v>1225</v>
      </c>
      <c r="F483" s="1" t="s">
        <v>112</v>
      </c>
      <c r="G483" s="1">
        <v>3234145</v>
      </c>
    </row>
    <row r="484" spans="1:10" x14ac:dyDescent="0.25">
      <c r="A484" s="1" t="str">
        <f t="shared" si="7"/>
        <v>03 Testo+ EE2 64</v>
      </c>
      <c r="B4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4" s="1" t="s">
        <v>1226</v>
      </c>
      <c r="D484" s="1" t="s">
        <v>1227</v>
      </c>
      <c r="E484" s="1" t="s">
        <v>1228</v>
      </c>
      <c r="F484" s="1" t="s">
        <v>112</v>
      </c>
      <c r="G484" s="1">
        <v>3540706</v>
      </c>
    </row>
    <row r="485" spans="1:10" x14ac:dyDescent="0.25">
      <c r="A485" s="1" t="str">
        <f t="shared" si="7"/>
        <v>03 Testo+ EE2 64</v>
      </c>
      <c r="B4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5" s="1" t="s">
        <v>1229</v>
      </c>
      <c r="D485" s="1" t="s">
        <v>1230</v>
      </c>
      <c r="E485" s="1" t="s">
        <v>1231</v>
      </c>
      <c r="F485" s="1" t="s">
        <v>112</v>
      </c>
      <c r="G485" s="1">
        <v>1291045</v>
      </c>
    </row>
    <row r="486" spans="1:10" x14ac:dyDescent="0.25">
      <c r="A486" s="1" t="str">
        <f t="shared" si="7"/>
        <v>03 Testo+ EE2 64</v>
      </c>
      <c r="B4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6" s="1" t="s">
        <v>1232</v>
      </c>
      <c r="D486" s="1" t="s">
        <v>454</v>
      </c>
      <c r="E486" s="1" t="s">
        <v>1233</v>
      </c>
      <c r="F486" s="1" t="s">
        <v>112</v>
      </c>
      <c r="G486" s="1">
        <v>1497805</v>
      </c>
    </row>
    <row r="487" spans="1:10" x14ac:dyDescent="0.25">
      <c r="A487" s="1" t="str">
        <f t="shared" si="7"/>
        <v>03 Testo+ EE2 64</v>
      </c>
      <c r="B4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7" s="1" t="s">
        <v>1234</v>
      </c>
      <c r="D487" s="1" t="s">
        <v>1235</v>
      </c>
      <c r="E487" s="1" t="s">
        <v>1236</v>
      </c>
      <c r="F487" s="1" t="s">
        <v>112</v>
      </c>
      <c r="G487" s="1">
        <v>1541454</v>
      </c>
    </row>
    <row r="488" spans="1:10" x14ac:dyDescent="0.25">
      <c r="A488" s="1" t="str">
        <f t="shared" si="7"/>
        <v/>
      </c>
      <c r="B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8" s="1" t="s">
        <v>112</v>
      </c>
    </row>
    <row r="489" spans="1:10" x14ac:dyDescent="0.25">
      <c r="A489" s="1" t="str">
        <f t="shared" si="7"/>
        <v/>
      </c>
      <c r="B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9" s="1" t="s">
        <v>232</v>
      </c>
      <c r="D489" s="1" t="s">
        <v>112</v>
      </c>
      <c r="E489" s="1" t="s">
        <v>233</v>
      </c>
      <c r="F489" s="1" t="s">
        <v>234</v>
      </c>
      <c r="G489" s="1" t="s">
        <v>235</v>
      </c>
      <c r="H489" s="1" t="s">
        <v>236</v>
      </c>
      <c r="I489" s="1" t="s">
        <v>237</v>
      </c>
      <c r="J489" s="1" t="s">
        <v>238</v>
      </c>
    </row>
    <row r="490" spans="1:10" x14ac:dyDescent="0.25">
      <c r="A490" s="1" t="str">
        <f t="shared" si="7"/>
        <v>03 Testo+ EE2 64</v>
      </c>
      <c r="B4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90" s="1" t="s">
        <v>1237</v>
      </c>
      <c r="D490" s="1" t="s">
        <v>112</v>
      </c>
      <c r="E490" s="1" t="s">
        <v>1238</v>
      </c>
      <c r="F490" s="1" t="s">
        <v>1239</v>
      </c>
      <c r="G490" s="1" t="s">
        <v>1240</v>
      </c>
      <c r="H490" s="1" t="s">
        <v>1241</v>
      </c>
      <c r="I490" s="1">
        <v>24</v>
      </c>
      <c r="J490" s="1">
        <v>24</v>
      </c>
    </row>
    <row r="491" spans="1:10" x14ac:dyDescent="0.25">
      <c r="A491" s="1" t="str">
        <f t="shared" si="7"/>
        <v/>
      </c>
      <c r="B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1" s="1" t="s">
        <v>112</v>
      </c>
    </row>
    <row r="492" spans="1:10" x14ac:dyDescent="0.25">
      <c r="A492" s="1" t="str">
        <f t="shared" si="7"/>
        <v/>
      </c>
      <c r="B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2" s="1" t="s">
        <v>112</v>
      </c>
    </row>
    <row r="493" spans="1:10" x14ac:dyDescent="0.25">
      <c r="A493" s="1" t="str">
        <f t="shared" si="7"/>
        <v/>
      </c>
      <c r="B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3" s="1" t="s">
        <v>112</v>
      </c>
    </row>
    <row r="494" spans="1:10" x14ac:dyDescent="0.25">
      <c r="A494" s="1" t="str">
        <f t="shared" si="7"/>
        <v/>
      </c>
      <c r="B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4" s="1" t="s">
        <v>112</v>
      </c>
    </row>
    <row r="495" spans="1:10" x14ac:dyDescent="0.25">
      <c r="A495" s="1" t="str">
        <f t="shared" si="7"/>
        <v/>
      </c>
      <c r="B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5" s="1" t="s">
        <v>112</v>
      </c>
    </row>
    <row r="496" spans="1:10" x14ac:dyDescent="0.25">
      <c r="A496" s="1" t="str">
        <f t="shared" si="7"/>
        <v/>
      </c>
      <c r="B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6" s="1" t="s">
        <v>244</v>
      </c>
      <c r="D496" s="1" t="s">
        <v>110</v>
      </c>
      <c r="E496" s="1" t="s">
        <v>111</v>
      </c>
      <c r="F496" s="1" t="s">
        <v>112</v>
      </c>
      <c r="G496" s="1" t="s">
        <v>113</v>
      </c>
    </row>
    <row r="497" spans="1:7" x14ac:dyDescent="0.25">
      <c r="A497" s="1" t="str">
        <f t="shared" si="7"/>
        <v>04 Testo+ FAD</v>
      </c>
      <c r="B4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7" s="1" t="s">
        <v>1242</v>
      </c>
      <c r="D497" s="1" t="s">
        <v>224</v>
      </c>
      <c r="E497" s="1" t="s">
        <v>1243</v>
      </c>
      <c r="F497" s="1" t="s">
        <v>112</v>
      </c>
      <c r="G497" s="1">
        <v>220733</v>
      </c>
    </row>
    <row r="498" spans="1:7" x14ac:dyDescent="0.25">
      <c r="A498" s="1" t="str">
        <f t="shared" si="7"/>
        <v>04 Testo+ FAD</v>
      </c>
      <c r="B4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8" s="1" t="s">
        <v>1244</v>
      </c>
      <c r="D498" s="1" t="s">
        <v>1245</v>
      </c>
      <c r="E498" s="1" t="s">
        <v>1246</v>
      </c>
      <c r="F498" s="1" t="s">
        <v>112</v>
      </c>
      <c r="G498" s="1">
        <v>12243</v>
      </c>
    </row>
    <row r="499" spans="1:7" x14ac:dyDescent="0.25">
      <c r="A499" s="1" t="str">
        <f t="shared" si="7"/>
        <v>04 Testo+ FAD</v>
      </c>
      <c r="B4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9" s="1" t="s">
        <v>1247</v>
      </c>
      <c r="D499" s="1" t="s">
        <v>1248</v>
      </c>
      <c r="E499" s="1" t="s">
        <v>1249</v>
      </c>
      <c r="F499" s="1" t="s">
        <v>112</v>
      </c>
      <c r="G499" s="1">
        <v>289884</v>
      </c>
    </row>
    <row r="500" spans="1:7" x14ac:dyDescent="0.25">
      <c r="A500" s="1" t="str">
        <f t="shared" si="7"/>
        <v>04 Testo+ FAD</v>
      </c>
      <c r="B5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0" s="1" t="s">
        <v>1250</v>
      </c>
      <c r="D500" s="1" t="s">
        <v>1251</v>
      </c>
      <c r="E500" s="1" t="s">
        <v>1252</v>
      </c>
      <c r="F500" s="1" t="s">
        <v>112</v>
      </c>
      <c r="G500" s="1">
        <v>196551</v>
      </c>
    </row>
    <row r="501" spans="1:7" x14ac:dyDescent="0.25">
      <c r="A501" s="1" t="str">
        <f t="shared" si="7"/>
        <v>04 Testo+ FAD</v>
      </c>
      <c r="B5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1" s="1" t="s">
        <v>1253</v>
      </c>
      <c r="D501" s="1" t="s">
        <v>1254</v>
      </c>
      <c r="E501" s="1" t="s">
        <v>1255</v>
      </c>
      <c r="F501" s="1" t="s">
        <v>112</v>
      </c>
      <c r="G501" s="1">
        <v>332819</v>
      </c>
    </row>
    <row r="502" spans="1:7" x14ac:dyDescent="0.25">
      <c r="A502" s="1" t="str">
        <f t="shared" si="7"/>
        <v>04 Testo+ FAD</v>
      </c>
      <c r="B5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2" s="1" t="s">
        <v>1256</v>
      </c>
      <c r="D502" s="1" t="s">
        <v>1257</v>
      </c>
      <c r="E502" s="1" t="s">
        <v>1258</v>
      </c>
      <c r="F502" s="1" t="s">
        <v>112</v>
      </c>
      <c r="G502" s="1">
        <v>81761</v>
      </c>
    </row>
    <row r="503" spans="1:7" x14ac:dyDescent="0.25">
      <c r="A503" s="1" t="str">
        <f t="shared" si="7"/>
        <v>04 Testo+ FAD</v>
      </c>
      <c r="B5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3" s="1" t="s">
        <v>1259</v>
      </c>
      <c r="D503" s="1" t="s">
        <v>1260</v>
      </c>
      <c r="E503" s="1" t="s">
        <v>1261</v>
      </c>
      <c r="F503" s="1" t="s">
        <v>112</v>
      </c>
      <c r="G503" s="1">
        <v>519831</v>
      </c>
    </row>
    <row r="504" spans="1:7" x14ac:dyDescent="0.25">
      <c r="A504" s="1" t="str">
        <f t="shared" si="7"/>
        <v>04 Testo+ FAD</v>
      </c>
      <c r="B5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4" s="1" t="s">
        <v>1262</v>
      </c>
      <c r="D504" s="1" t="s">
        <v>405</v>
      </c>
      <c r="E504" s="1" t="s">
        <v>406</v>
      </c>
      <c r="F504" s="1" t="s">
        <v>112</v>
      </c>
      <c r="G504" s="1">
        <v>51436</v>
      </c>
    </row>
    <row r="505" spans="1:7" x14ac:dyDescent="0.25">
      <c r="A505" s="1" t="str">
        <f t="shared" si="7"/>
        <v>04 Testo+ FAD</v>
      </c>
      <c r="B5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5" s="1" t="s">
        <v>1263</v>
      </c>
      <c r="D505" s="1" t="s">
        <v>1264</v>
      </c>
      <c r="E505" s="1" t="s">
        <v>1265</v>
      </c>
      <c r="F505" s="1" t="s">
        <v>112</v>
      </c>
      <c r="G505" s="1">
        <v>382027</v>
      </c>
    </row>
    <row r="506" spans="1:7" x14ac:dyDescent="0.25">
      <c r="A506" s="1" t="str">
        <f t="shared" si="7"/>
        <v>04 Testo+ FAD</v>
      </c>
      <c r="B5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6" s="1" t="s">
        <v>1266</v>
      </c>
      <c r="D506" s="1" t="s">
        <v>1267</v>
      </c>
      <c r="E506" s="1" t="s">
        <v>1268</v>
      </c>
      <c r="F506" s="1" t="s">
        <v>112</v>
      </c>
      <c r="G506" s="1">
        <v>175354</v>
      </c>
    </row>
    <row r="507" spans="1:7" x14ac:dyDescent="0.25">
      <c r="A507" s="1" t="str">
        <f t="shared" si="7"/>
        <v>04 Testo+ FAD</v>
      </c>
      <c r="B5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7" s="1" t="s">
        <v>1269</v>
      </c>
      <c r="D507" s="1" t="s">
        <v>789</v>
      </c>
      <c r="E507" s="1" t="s">
        <v>1270</v>
      </c>
      <c r="F507" s="1" t="s">
        <v>112</v>
      </c>
      <c r="G507" s="1">
        <v>71595</v>
      </c>
    </row>
    <row r="508" spans="1:7" x14ac:dyDescent="0.25">
      <c r="A508" s="1" t="str">
        <f t="shared" si="7"/>
        <v>04 Testo+ FAD</v>
      </c>
      <c r="B5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8" s="1" t="s">
        <v>1271</v>
      </c>
      <c r="D508" s="1" t="s">
        <v>1245</v>
      </c>
      <c r="E508" s="1" t="s">
        <v>1272</v>
      </c>
      <c r="F508" s="1" t="s">
        <v>112</v>
      </c>
      <c r="G508" s="1">
        <v>12048</v>
      </c>
    </row>
    <row r="509" spans="1:7" x14ac:dyDescent="0.25">
      <c r="A509" s="1" t="str">
        <f t="shared" si="7"/>
        <v>04 Testo+ FAD</v>
      </c>
      <c r="B5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09" s="1" t="s">
        <v>1273</v>
      </c>
      <c r="D509" s="1" t="s">
        <v>334</v>
      </c>
      <c r="E509" s="1" t="s">
        <v>1274</v>
      </c>
      <c r="F509" s="1" t="s">
        <v>112</v>
      </c>
      <c r="G509" s="1">
        <v>263582</v>
      </c>
    </row>
    <row r="510" spans="1:7" x14ac:dyDescent="0.25">
      <c r="A510" s="1" t="str">
        <f t="shared" si="7"/>
        <v>04 Testo+ FAD</v>
      </c>
      <c r="B5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0" s="1" t="s">
        <v>1275</v>
      </c>
      <c r="D510" s="1" t="s">
        <v>1170</v>
      </c>
      <c r="E510" s="1" t="s">
        <v>1276</v>
      </c>
      <c r="F510" s="1" t="s">
        <v>112</v>
      </c>
      <c r="G510" s="1">
        <v>185065</v>
      </c>
    </row>
    <row r="511" spans="1:7" x14ac:dyDescent="0.25">
      <c r="A511" s="1" t="str">
        <f t="shared" si="7"/>
        <v>04 Testo+ FAD</v>
      </c>
      <c r="B5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1" s="1" t="s">
        <v>1277</v>
      </c>
      <c r="D511" s="1" t="s">
        <v>1278</v>
      </c>
      <c r="E511" s="1" t="s">
        <v>1279</v>
      </c>
      <c r="F511" s="1" t="s">
        <v>112</v>
      </c>
      <c r="G511" s="1">
        <v>140054</v>
      </c>
    </row>
    <row r="512" spans="1:7" x14ac:dyDescent="0.25">
      <c r="A512" s="1" t="str">
        <f t="shared" si="7"/>
        <v>04 Testo+ FAD</v>
      </c>
      <c r="B5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2" s="1" t="s">
        <v>1280</v>
      </c>
      <c r="D512" s="1" t="s">
        <v>1281</v>
      </c>
      <c r="E512" s="1" t="s">
        <v>1282</v>
      </c>
      <c r="F512" s="1" t="s">
        <v>112</v>
      </c>
      <c r="G512" s="1">
        <v>206284</v>
      </c>
    </row>
    <row r="513" spans="1:10" x14ac:dyDescent="0.25">
      <c r="A513" s="1" t="str">
        <f t="shared" si="7"/>
        <v>04 Testo+ FAD</v>
      </c>
      <c r="B5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3" s="1" t="s">
        <v>1283</v>
      </c>
      <c r="D513" s="1" t="s">
        <v>1284</v>
      </c>
      <c r="E513" s="1" t="s">
        <v>1285</v>
      </c>
      <c r="F513" s="1" t="s">
        <v>112</v>
      </c>
      <c r="G513" s="1">
        <v>229234</v>
      </c>
    </row>
    <row r="514" spans="1:10" x14ac:dyDescent="0.25">
      <c r="A514" s="1" t="str">
        <f t="shared" ref="A514:A577" si="8">IFERROR(LEFT(RIGHT(C514,LEN(C514)-SEARCH("@",C514)),SEARCH("/",RIGHT(C514,LEN(C514)-SEARCH("@",C514)-1))),"")</f>
        <v>04 Testo+ FAD</v>
      </c>
      <c r="B5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4" s="1" t="s">
        <v>1286</v>
      </c>
      <c r="D514" s="1" t="s">
        <v>319</v>
      </c>
      <c r="E514" s="1" t="s">
        <v>1287</v>
      </c>
      <c r="F514" s="1" t="s">
        <v>112</v>
      </c>
      <c r="G514" s="1">
        <v>113384</v>
      </c>
    </row>
    <row r="515" spans="1:10" x14ac:dyDescent="0.25">
      <c r="A515" s="1" t="str">
        <f t="shared" si="8"/>
        <v>04 Testo+ FAD</v>
      </c>
      <c r="B5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5" s="1" t="s">
        <v>1288</v>
      </c>
    </row>
    <row r="516" spans="1:10" x14ac:dyDescent="0.25">
      <c r="A516" s="1" t="str">
        <f t="shared" si="8"/>
        <v>04 Testo+ FAD</v>
      </c>
      <c r="B5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6" s="1" t="s">
        <v>1289</v>
      </c>
      <c r="D516" s="1" t="s">
        <v>1290</v>
      </c>
      <c r="E516" s="1" t="s">
        <v>1291</v>
      </c>
      <c r="F516" s="1" t="s">
        <v>112</v>
      </c>
      <c r="G516" s="1">
        <v>87428</v>
      </c>
    </row>
    <row r="517" spans="1:10" x14ac:dyDescent="0.25">
      <c r="A517" s="1" t="str">
        <f t="shared" si="8"/>
        <v>04 Testo+ FAD</v>
      </c>
      <c r="B5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7" s="1" t="s">
        <v>1292</v>
      </c>
      <c r="D517" s="1" t="s">
        <v>425</v>
      </c>
      <c r="E517" s="1" t="s">
        <v>1293</v>
      </c>
      <c r="F517" s="1" t="s">
        <v>112</v>
      </c>
      <c r="G517" s="1">
        <v>129585</v>
      </c>
    </row>
    <row r="518" spans="1:10" x14ac:dyDescent="0.25">
      <c r="A518" s="1" t="str">
        <f t="shared" si="8"/>
        <v>04 Testo+ FAD</v>
      </c>
      <c r="B5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18" s="1" t="s">
        <v>1294</v>
      </c>
      <c r="D518" s="1" t="s">
        <v>1295</v>
      </c>
      <c r="E518" s="1" t="s">
        <v>1296</v>
      </c>
      <c r="F518" s="1" t="s">
        <v>112</v>
      </c>
      <c r="G518" s="1">
        <v>136268</v>
      </c>
    </row>
    <row r="519" spans="1:10" x14ac:dyDescent="0.25">
      <c r="A519" s="1" t="str">
        <f t="shared" si="8"/>
        <v>04 Testo+ FAD</v>
      </c>
      <c r="B5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19" s="1" t="s">
        <v>1297</v>
      </c>
      <c r="D519" s="1" t="s">
        <v>1298</v>
      </c>
      <c r="E519" s="1" t="s">
        <v>1299</v>
      </c>
      <c r="F519" s="1" t="s">
        <v>112</v>
      </c>
      <c r="G519" s="1">
        <v>62575</v>
      </c>
    </row>
    <row r="520" spans="1:10" x14ac:dyDescent="0.25">
      <c r="A520" s="1" t="str">
        <f t="shared" si="8"/>
        <v>04 Testo+ FAD</v>
      </c>
      <c r="B5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20" s="1" t="s">
        <v>1300</v>
      </c>
      <c r="D520" s="1" t="s">
        <v>1245</v>
      </c>
      <c r="E520" s="1" t="s">
        <v>256</v>
      </c>
      <c r="F520" s="1" t="s">
        <v>112</v>
      </c>
      <c r="G520" s="1">
        <v>12437</v>
      </c>
    </row>
    <row r="521" spans="1:10" x14ac:dyDescent="0.25">
      <c r="A521" s="1" t="str">
        <f t="shared" si="8"/>
        <v/>
      </c>
      <c r="B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1" s="1" t="s">
        <v>112</v>
      </c>
    </row>
    <row r="522" spans="1:10" x14ac:dyDescent="0.25">
      <c r="A522" s="1" t="str">
        <f t="shared" si="8"/>
        <v/>
      </c>
      <c r="B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2" s="1" t="s">
        <v>232</v>
      </c>
      <c r="D522" s="1" t="s">
        <v>112</v>
      </c>
      <c r="E522" s="1" t="s">
        <v>233</v>
      </c>
      <c r="F522" s="1" t="s">
        <v>234</v>
      </c>
      <c r="G522" s="1" t="s">
        <v>235</v>
      </c>
      <c r="H522" s="1" t="s">
        <v>236</v>
      </c>
      <c r="I522" s="1" t="s">
        <v>237</v>
      </c>
      <c r="J522" s="1" t="s">
        <v>238</v>
      </c>
    </row>
    <row r="523" spans="1:10" x14ac:dyDescent="0.25">
      <c r="A523" s="1" t="str">
        <f t="shared" si="8"/>
        <v>04 Testo+ FAD</v>
      </c>
      <c r="B5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23" s="1" t="s">
        <v>1301</v>
      </c>
      <c r="D523" s="1" t="s">
        <v>112</v>
      </c>
      <c r="E523" s="1" t="s">
        <v>1302</v>
      </c>
      <c r="F523" s="1" t="s">
        <v>1303</v>
      </c>
      <c r="G523" s="1" t="s">
        <v>1304</v>
      </c>
      <c r="H523" s="1" t="s">
        <v>1305</v>
      </c>
      <c r="I523" s="1">
        <v>24</v>
      </c>
      <c r="J523" s="1">
        <v>24</v>
      </c>
    </row>
    <row r="524" spans="1:10" x14ac:dyDescent="0.25">
      <c r="A524" s="1" t="str">
        <f t="shared" si="8"/>
        <v/>
      </c>
      <c r="B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4" s="1" t="s">
        <v>112</v>
      </c>
    </row>
    <row r="525" spans="1:10" x14ac:dyDescent="0.25">
      <c r="A525" s="1" t="str">
        <f t="shared" si="8"/>
        <v/>
      </c>
      <c r="B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5" s="1" t="s">
        <v>112</v>
      </c>
    </row>
    <row r="526" spans="1:10" x14ac:dyDescent="0.25">
      <c r="A526" s="1" t="str">
        <f t="shared" si="8"/>
        <v/>
      </c>
      <c r="B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6" s="1" t="s">
        <v>112</v>
      </c>
    </row>
    <row r="527" spans="1:10" x14ac:dyDescent="0.25">
      <c r="A527" s="1" t="str">
        <f t="shared" si="8"/>
        <v/>
      </c>
      <c r="B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7" s="1" t="s">
        <v>112</v>
      </c>
    </row>
    <row r="528" spans="1:10" x14ac:dyDescent="0.25">
      <c r="A528" s="1" t="str">
        <f t="shared" si="8"/>
        <v/>
      </c>
      <c r="B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8" s="1" t="s">
        <v>112</v>
      </c>
    </row>
    <row r="529" spans="1:7" x14ac:dyDescent="0.25">
      <c r="A529" s="1" t="str">
        <f t="shared" si="8"/>
        <v/>
      </c>
      <c r="B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9" s="1" t="s">
        <v>244</v>
      </c>
      <c r="D529" s="1" t="s">
        <v>110</v>
      </c>
      <c r="E529" s="1" t="s">
        <v>111</v>
      </c>
      <c r="F529" s="1" t="s">
        <v>112</v>
      </c>
      <c r="G529" s="1" t="s">
        <v>113</v>
      </c>
    </row>
    <row r="530" spans="1:7" x14ac:dyDescent="0.25">
      <c r="A530" s="1" t="str">
        <f t="shared" si="8"/>
        <v>05 17b estradiol 34 dopé</v>
      </c>
      <c r="B5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0" s="1" t="s">
        <v>1306</v>
      </c>
      <c r="D530" s="1" t="s">
        <v>538</v>
      </c>
      <c r="E530" s="1" t="s">
        <v>1307</v>
      </c>
      <c r="F530" s="1" t="s">
        <v>112</v>
      </c>
      <c r="G530" s="1">
        <v>3423991</v>
      </c>
    </row>
    <row r="531" spans="1:7" x14ac:dyDescent="0.25">
      <c r="A531" s="1" t="str">
        <f t="shared" si="8"/>
        <v>05 17b estradiol 34 dopé</v>
      </c>
      <c r="B5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1" s="1" t="s">
        <v>1308</v>
      </c>
      <c r="D531" s="1" t="s">
        <v>1309</v>
      </c>
      <c r="E531" s="1" t="s">
        <v>1310</v>
      </c>
      <c r="F531" s="1" t="s">
        <v>112</v>
      </c>
      <c r="G531" s="1">
        <v>3078583</v>
      </c>
    </row>
    <row r="532" spans="1:7" x14ac:dyDescent="0.25">
      <c r="A532" s="1" t="str">
        <f t="shared" si="8"/>
        <v>05 17b estradiol 34 dopé</v>
      </c>
      <c r="B5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2" s="1" t="s">
        <v>1311</v>
      </c>
      <c r="D532" s="1" t="s">
        <v>1312</v>
      </c>
      <c r="E532" s="1" t="s">
        <v>1313</v>
      </c>
      <c r="F532" s="1" t="s">
        <v>112</v>
      </c>
      <c r="G532" s="1">
        <v>2999634</v>
      </c>
    </row>
    <row r="533" spans="1:7" x14ac:dyDescent="0.25">
      <c r="A533" s="1" t="str">
        <f t="shared" si="8"/>
        <v>05 17b estradiol 34 dopé</v>
      </c>
      <c r="B5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3" s="1" t="s">
        <v>1314</v>
      </c>
      <c r="D533" s="1" t="s">
        <v>1315</v>
      </c>
      <c r="E533" s="1" t="s">
        <v>1316</v>
      </c>
      <c r="F533" s="1" t="s">
        <v>112</v>
      </c>
      <c r="G533" s="1">
        <v>2775656</v>
      </c>
    </row>
    <row r="534" spans="1:7" x14ac:dyDescent="0.25">
      <c r="A534" s="1" t="str">
        <f t="shared" si="8"/>
        <v>05 17b estradiol 34 dopé</v>
      </c>
      <c r="B5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4" s="1" t="s">
        <v>1317</v>
      </c>
      <c r="D534" s="1" t="s">
        <v>1318</v>
      </c>
      <c r="E534" s="1" t="s">
        <v>1319</v>
      </c>
      <c r="F534" s="1" t="s">
        <v>112</v>
      </c>
      <c r="G534" s="1">
        <v>2503249</v>
      </c>
    </row>
    <row r="535" spans="1:7" x14ac:dyDescent="0.25">
      <c r="A535" s="1" t="str">
        <f t="shared" si="8"/>
        <v>05 17b estradiol 34 dopé</v>
      </c>
      <c r="B5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5" s="1" t="s">
        <v>1320</v>
      </c>
      <c r="D535" s="1" t="s">
        <v>1321</v>
      </c>
      <c r="E535" s="1" t="s">
        <v>1322</v>
      </c>
      <c r="F535" s="1" t="s">
        <v>112</v>
      </c>
      <c r="G535" s="1">
        <v>2500459</v>
      </c>
    </row>
    <row r="536" spans="1:7" x14ac:dyDescent="0.25">
      <c r="A536" s="1" t="str">
        <f t="shared" si="8"/>
        <v>05 17b estradiol 34 dopé</v>
      </c>
      <c r="B5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6" s="1" t="s">
        <v>1323</v>
      </c>
      <c r="D536" s="1" t="s">
        <v>1324</v>
      </c>
      <c r="E536" s="1" t="s">
        <v>1325</v>
      </c>
      <c r="F536" s="1" t="s">
        <v>112</v>
      </c>
      <c r="G536" s="1">
        <v>3042137</v>
      </c>
    </row>
    <row r="537" spans="1:7" x14ac:dyDescent="0.25">
      <c r="A537" s="1" t="str">
        <f t="shared" si="8"/>
        <v>05 17b estradiol 34 dopé</v>
      </c>
      <c r="B5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7" s="1" t="s">
        <v>1326</v>
      </c>
      <c r="D537" s="1" t="s">
        <v>1327</v>
      </c>
      <c r="E537" s="1" t="s">
        <v>1328</v>
      </c>
      <c r="F537" s="1" t="s">
        <v>112</v>
      </c>
      <c r="G537" s="1">
        <v>2264174</v>
      </c>
    </row>
    <row r="538" spans="1:7" x14ac:dyDescent="0.25">
      <c r="A538" s="1" t="str">
        <f t="shared" si="8"/>
        <v>05 17b estradiol 34 dopé</v>
      </c>
      <c r="B5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8" s="1" t="s">
        <v>1329</v>
      </c>
      <c r="D538" s="1" t="s">
        <v>1330</v>
      </c>
      <c r="E538" s="1" t="s">
        <v>1331</v>
      </c>
      <c r="F538" s="1" t="s">
        <v>112</v>
      </c>
      <c r="G538" s="1">
        <v>2654399</v>
      </c>
    </row>
    <row r="539" spans="1:7" x14ac:dyDescent="0.25">
      <c r="A539" s="1" t="str">
        <f t="shared" si="8"/>
        <v>05 17b estradiol 34 dopé</v>
      </c>
      <c r="B5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39" s="1" t="s">
        <v>1332</v>
      </c>
      <c r="D539" s="1" t="s">
        <v>1333</v>
      </c>
      <c r="E539" s="1" t="s">
        <v>1334</v>
      </c>
      <c r="F539" s="1" t="s">
        <v>112</v>
      </c>
      <c r="G539" s="1">
        <v>3495326</v>
      </c>
    </row>
    <row r="540" spans="1:7" x14ac:dyDescent="0.25">
      <c r="A540" s="1" t="str">
        <f t="shared" si="8"/>
        <v>05 17b estradiol 34 dopé</v>
      </c>
      <c r="B5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0" s="1" t="s">
        <v>1335</v>
      </c>
      <c r="D540" s="1" t="s">
        <v>1336</v>
      </c>
      <c r="E540" s="1" t="s">
        <v>1337</v>
      </c>
      <c r="F540" s="1" t="s">
        <v>112</v>
      </c>
      <c r="G540" s="1">
        <v>3703860</v>
      </c>
    </row>
    <row r="541" spans="1:7" x14ac:dyDescent="0.25">
      <c r="A541" s="1" t="str">
        <f t="shared" si="8"/>
        <v>05 17b estradiol 34 dopé</v>
      </c>
      <c r="B5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1" s="1" t="s">
        <v>1338</v>
      </c>
      <c r="D541" s="1" t="s">
        <v>1339</v>
      </c>
      <c r="E541" s="1" t="s">
        <v>1340</v>
      </c>
      <c r="F541" s="1" t="s">
        <v>112</v>
      </c>
      <c r="G541" s="1">
        <v>3323585</v>
      </c>
    </row>
    <row r="542" spans="1:7" x14ac:dyDescent="0.25">
      <c r="A542" s="1" t="str">
        <f t="shared" si="8"/>
        <v>05 17b estradiol 34 dopé</v>
      </c>
      <c r="B5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2" s="1" t="s">
        <v>1341</v>
      </c>
      <c r="D542" s="1" t="s">
        <v>1342</v>
      </c>
      <c r="E542" s="1" t="s">
        <v>1343</v>
      </c>
      <c r="F542" s="1" t="s">
        <v>112</v>
      </c>
      <c r="G542" s="1">
        <v>1699893</v>
      </c>
    </row>
    <row r="543" spans="1:7" x14ac:dyDescent="0.25">
      <c r="A543" s="1" t="str">
        <f t="shared" si="8"/>
        <v>05 17b estradiol 34 dopé</v>
      </c>
      <c r="B5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3" s="1" t="s">
        <v>1344</v>
      </c>
      <c r="D543" s="1" t="s">
        <v>1345</v>
      </c>
      <c r="E543" s="1" t="s">
        <v>1346</v>
      </c>
      <c r="F543" s="1" t="s">
        <v>112</v>
      </c>
      <c r="G543" s="1">
        <v>1525881</v>
      </c>
    </row>
    <row r="544" spans="1:7" x14ac:dyDescent="0.25">
      <c r="A544" s="1" t="str">
        <f t="shared" si="8"/>
        <v>05 17b estradiol 34 dopé</v>
      </c>
      <c r="B5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4" s="1" t="s">
        <v>1347</v>
      </c>
      <c r="D544" s="1" t="s">
        <v>1348</v>
      </c>
      <c r="E544" s="1" t="s">
        <v>1349</v>
      </c>
      <c r="F544" s="1" t="s">
        <v>112</v>
      </c>
      <c r="G544" s="1">
        <v>1694464</v>
      </c>
    </row>
    <row r="545" spans="1:10" x14ac:dyDescent="0.25">
      <c r="A545" s="1" t="str">
        <f t="shared" si="8"/>
        <v>05 17b estradiol 34 dopé</v>
      </c>
      <c r="B5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5" s="1" t="s">
        <v>1350</v>
      </c>
      <c r="D545" s="1" t="s">
        <v>1351</v>
      </c>
      <c r="E545" s="1" t="s">
        <v>1352</v>
      </c>
      <c r="F545" s="1" t="s">
        <v>112</v>
      </c>
      <c r="G545" s="1">
        <v>2875067</v>
      </c>
    </row>
    <row r="546" spans="1:10" x14ac:dyDescent="0.25">
      <c r="A546" s="1" t="str">
        <f t="shared" si="8"/>
        <v>05 17b estradiol 34 dopé</v>
      </c>
      <c r="B5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6" s="1" t="s">
        <v>1353</v>
      </c>
      <c r="D546" s="1" t="s">
        <v>1354</v>
      </c>
      <c r="E546" s="1" t="s">
        <v>1355</v>
      </c>
      <c r="F546" s="1" t="s">
        <v>112</v>
      </c>
      <c r="G546" s="1">
        <v>2900201</v>
      </c>
    </row>
    <row r="547" spans="1:10" x14ac:dyDescent="0.25">
      <c r="A547" s="1" t="str">
        <f t="shared" si="8"/>
        <v>05 17b estradiol 34 dopé</v>
      </c>
      <c r="B5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7" s="1" t="s">
        <v>1356</v>
      </c>
      <c r="D547" s="1" t="s">
        <v>1357</v>
      </c>
      <c r="E547" s="1" t="s">
        <v>1358</v>
      </c>
      <c r="F547" s="1" t="s">
        <v>112</v>
      </c>
      <c r="G547" s="1">
        <v>3131317</v>
      </c>
    </row>
    <row r="548" spans="1:10" x14ac:dyDescent="0.25">
      <c r="A548" s="1" t="str">
        <f t="shared" si="8"/>
        <v>05 17b estradiol 34 dopé</v>
      </c>
      <c r="B5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8" s="1" t="s">
        <v>1359</v>
      </c>
      <c r="D548" s="1" t="s">
        <v>1360</v>
      </c>
      <c r="E548" s="1" t="s">
        <v>1361</v>
      </c>
      <c r="F548" s="1" t="s">
        <v>112</v>
      </c>
      <c r="G548" s="1">
        <v>2738799</v>
      </c>
    </row>
    <row r="549" spans="1:10" x14ac:dyDescent="0.25">
      <c r="A549" s="1" t="str">
        <f t="shared" si="8"/>
        <v>05 17b estradiol 34 dopé</v>
      </c>
      <c r="B5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9" s="1" t="s">
        <v>1362</v>
      </c>
      <c r="D549" s="1" t="s">
        <v>1363</v>
      </c>
      <c r="E549" s="1" t="s">
        <v>1364</v>
      </c>
      <c r="F549" s="1" t="s">
        <v>112</v>
      </c>
      <c r="G549" s="1">
        <v>3253504</v>
      </c>
    </row>
    <row r="550" spans="1:10" x14ac:dyDescent="0.25">
      <c r="A550" s="1" t="str">
        <f t="shared" si="8"/>
        <v>05 17b estradiol 34 dopé</v>
      </c>
      <c r="B5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50" s="1" t="s">
        <v>1365</v>
      </c>
      <c r="D550" s="1" t="s">
        <v>1366</v>
      </c>
      <c r="E550" s="1" t="s">
        <v>1367</v>
      </c>
      <c r="F550" s="1" t="s">
        <v>112</v>
      </c>
      <c r="G550" s="1">
        <v>2618710</v>
      </c>
    </row>
    <row r="551" spans="1:10" x14ac:dyDescent="0.25">
      <c r="A551" s="1" t="str">
        <f t="shared" si="8"/>
        <v>05 17b estradiol 34 dopé</v>
      </c>
      <c r="B5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1" s="1" t="s">
        <v>1368</v>
      </c>
      <c r="D551" s="1" t="s">
        <v>1369</v>
      </c>
      <c r="E551" s="1" t="s">
        <v>1370</v>
      </c>
      <c r="F551" s="1" t="s">
        <v>112</v>
      </c>
      <c r="G551" s="1">
        <v>2279337</v>
      </c>
    </row>
    <row r="552" spans="1:10" x14ac:dyDescent="0.25">
      <c r="A552" s="1" t="str">
        <f t="shared" si="8"/>
        <v>05 17b estradiol 34 dopé</v>
      </c>
      <c r="B5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2" s="1" t="s">
        <v>1371</v>
      </c>
      <c r="D552" s="1" t="s">
        <v>1372</v>
      </c>
      <c r="E552" s="1" t="s">
        <v>1373</v>
      </c>
      <c r="F552" s="1" t="s">
        <v>112</v>
      </c>
      <c r="G552" s="1">
        <v>2032691</v>
      </c>
    </row>
    <row r="553" spans="1:10" x14ac:dyDescent="0.25">
      <c r="A553" s="1" t="str">
        <f t="shared" si="8"/>
        <v>05 17b estradiol 34 dopé</v>
      </c>
      <c r="B5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3" s="1" t="s">
        <v>1374</v>
      </c>
      <c r="D553" s="1" t="s">
        <v>1375</v>
      </c>
      <c r="E553" s="1" t="s">
        <v>1376</v>
      </c>
      <c r="F553" s="1" t="s">
        <v>112</v>
      </c>
      <c r="G553" s="1">
        <v>1926315</v>
      </c>
    </row>
    <row r="554" spans="1:10" x14ac:dyDescent="0.25">
      <c r="A554" s="1" t="str">
        <f t="shared" si="8"/>
        <v/>
      </c>
      <c r="B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4" s="1" t="s">
        <v>112</v>
      </c>
    </row>
    <row r="555" spans="1:10" x14ac:dyDescent="0.25">
      <c r="A555" s="1" t="str">
        <f t="shared" si="8"/>
        <v/>
      </c>
      <c r="B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5" s="1" t="s">
        <v>232</v>
      </c>
      <c r="D555" s="1" t="s">
        <v>112</v>
      </c>
      <c r="E555" s="1" t="s">
        <v>233</v>
      </c>
      <c r="F555" s="1" t="s">
        <v>234</v>
      </c>
      <c r="G555" s="1" t="s">
        <v>235</v>
      </c>
      <c r="H555" s="1" t="s">
        <v>236</v>
      </c>
      <c r="I555" s="1" t="s">
        <v>237</v>
      </c>
      <c r="J555" s="1" t="s">
        <v>238</v>
      </c>
    </row>
    <row r="556" spans="1:10" x14ac:dyDescent="0.25">
      <c r="A556" s="1" t="str">
        <f t="shared" si="8"/>
        <v>05 17b estradiol 34 dopé</v>
      </c>
      <c r="B5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56" s="1" t="s">
        <v>1377</v>
      </c>
      <c r="D556" s="1" t="s">
        <v>112</v>
      </c>
      <c r="E556" s="1" t="s">
        <v>1378</v>
      </c>
      <c r="F556" s="1" t="s">
        <v>1379</v>
      </c>
      <c r="G556" s="1" t="s">
        <v>1380</v>
      </c>
      <c r="H556" s="1" t="s">
        <v>1381</v>
      </c>
      <c r="I556" s="1">
        <v>24</v>
      </c>
      <c r="J556" s="1">
        <v>24</v>
      </c>
    </row>
    <row r="557" spans="1:10" x14ac:dyDescent="0.25">
      <c r="A557" s="1" t="str">
        <f t="shared" si="8"/>
        <v/>
      </c>
      <c r="B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7" s="1" t="s">
        <v>112</v>
      </c>
    </row>
    <row r="558" spans="1:10" x14ac:dyDescent="0.25">
      <c r="A558" s="1" t="str">
        <f t="shared" si="8"/>
        <v/>
      </c>
      <c r="B5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8" s="1" t="s">
        <v>112</v>
      </c>
    </row>
    <row r="559" spans="1:10" x14ac:dyDescent="0.25">
      <c r="A559" s="1" t="str">
        <f t="shared" si="8"/>
        <v/>
      </c>
      <c r="B5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9" s="1" t="s">
        <v>112</v>
      </c>
    </row>
    <row r="560" spans="1:10" x14ac:dyDescent="0.25">
      <c r="A560" s="1" t="str">
        <f t="shared" si="8"/>
        <v/>
      </c>
      <c r="B5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0" s="1" t="s">
        <v>112</v>
      </c>
    </row>
    <row r="561" spans="1:7" x14ac:dyDescent="0.25">
      <c r="A561" s="1" t="str">
        <f t="shared" si="8"/>
        <v/>
      </c>
      <c r="B5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1" s="1" t="s">
        <v>112</v>
      </c>
    </row>
    <row r="562" spans="1:7" x14ac:dyDescent="0.25">
      <c r="A562" s="1" t="str">
        <f t="shared" si="8"/>
        <v/>
      </c>
      <c r="B5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2" s="1" t="s">
        <v>244</v>
      </c>
      <c r="D562" s="1" t="s">
        <v>110</v>
      </c>
      <c r="E562" s="1" t="s">
        <v>111</v>
      </c>
      <c r="F562" s="1" t="s">
        <v>112</v>
      </c>
      <c r="G562" s="1" t="s">
        <v>113</v>
      </c>
    </row>
    <row r="563" spans="1:7" x14ac:dyDescent="0.25">
      <c r="A563" s="1" t="str">
        <f t="shared" si="8"/>
        <v>06 17b estradiol 68 dopé</v>
      </c>
      <c r="B5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3" s="1" t="s">
        <v>1382</v>
      </c>
      <c r="D563" s="1" t="s">
        <v>1383</v>
      </c>
      <c r="E563" s="1" t="s">
        <v>1384</v>
      </c>
      <c r="F563" s="1" t="s">
        <v>112</v>
      </c>
      <c r="G563" s="1">
        <v>4658863</v>
      </c>
    </row>
    <row r="564" spans="1:7" x14ac:dyDescent="0.25">
      <c r="A564" s="1" t="str">
        <f t="shared" si="8"/>
        <v>06 17b estradiol 68 dopé</v>
      </c>
      <c r="B5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4" s="1" t="s">
        <v>1385</v>
      </c>
      <c r="D564" s="1" t="s">
        <v>1386</v>
      </c>
      <c r="E564" s="1" t="s">
        <v>1387</v>
      </c>
      <c r="F564" s="1" t="s">
        <v>112</v>
      </c>
      <c r="G564" s="1">
        <v>4129428</v>
      </c>
    </row>
    <row r="565" spans="1:7" x14ac:dyDescent="0.25">
      <c r="A565" s="1" t="str">
        <f t="shared" si="8"/>
        <v>06 17b estradiol 68 dopé</v>
      </c>
      <c r="B5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5" s="1" t="s">
        <v>1388</v>
      </c>
      <c r="D565" s="1" t="s">
        <v>1389</v>
      </c>
      <c r="E565" s="1" t="s">
        <v>1390</v>
      </c>
      <c r="F565" s="1" t="s">
        <v>112</v>
      </c>
      <c r="G565" s="1">
        <v>4263858</v>
      </c>
    </row>
    <row r="566" spans="1:7" x14ac:dyDescent="0.25">
      <c r="A566" s="1" t="str">
        <f t="shared" si="8"/>
        <v>06 17b estradiol 68 dopé</v>
      </c>
      <c r="B5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6" s="1" t="s">
        <v>1391</v>
      </c>
      <c r="D566" s="1" t="s">
        <v>1392</v>
      </c>
      <c r="E566" s="1" t="s">
        <v>1393</v>
      </c>
      <c r="F566" s="1" t="s">
        <v>112</v>
      </c>
      <c r="G566" s="1">
        <v>4236172</v>
      </c>
    </row>
    <row r="567" spans="1:7" x14ac:dyDescent="0.25">
      <c r="A567" s="1" t="str">
        <f t="shared" si="8"/>
        <v>06 17b estradiol 68 dopé</v>
      </c>
      <c r="B5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7" s="1" t="s">
        <v>1394</v>
      </c>
      <c r="D567" s="1" t="s">
        <v>1395</v>
      </c>
      <c r="E567" s="1" t="s">
        <v>1396</v>
      </c>
      <c r="F567" s="1" t="s">
        <v>112</v>
      </c>
      <c r="G567" s="1">
        <v>3919510</v>
      </c>
    </row>
    <row r="568" spans="1:7" x14ac:dyDescent="0.25">
      <c r="A568" s="1" t="str">
        <f t="shared" si="8"/>
        <v>06 17b estradiol 68 dopé</v>
      </c>
      <c r="B5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8" s="1" t="s">
        <v>1397</v>
      </c>
      <c r="D568" s="1" t="s">
        <v>1398</v>
      </c>
      <c r="E568" s="1" t="s">
        <v>1399</v>
      </c>
      <c r="F568" s="1" t="s">
        <v>112</v>
      </c>
      <c r="G568" s="1">
        <v>3765483</v>
      </c>
    </row>
    <row r="569" spans="1:7" x14ac:dyDescent="0.25">
      <c r="A569" s="1" t="str">
        <f t="shared" si="8"/>
        <v>06 17b estradiol 68 dopé</v>
      </c>
      <c r="B5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69" s="1" t="s">
        <v>1400</v>
      </c>
      <c r="D569" s="1" t="s">
        <v>1401</v>
      </c>
      <c r="E569" s="1" t="s">
        <v>1402</v>
      </c>
      <c r="F569" s="1" t="s">
        <v>112</v>
      </c>
      <c r="G569" s="1">
        <v>2358524</v>
      </c>
    </row>
    <row r="570" spans="1:7" x14ac:dyDescent="0.25">
      <c r="A570" s="1" t="str">
        <f t="shared" si="8"/>
        <v>06 17b estradiol 68 dopé</v>
      </c>
      <c r="B5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70" s="1" t="s">
        <v>1403</v>
      </c>
    </row>
    <row r="571" spans="1:7" x14ac:dyDescent="0.25">
      <c r="A571" s="1" t="str">
        <f t="shared" si="8"/>
        <v>06 17b estradiol 68 dopé</v>
      </c>
      <c r="B5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71" s="1" t="s">
        <v>1404</v>
      </c>
      <c r="D571" s="1" t="s">
        <v>1405</v>
      </c>
      <c r="E571" s="1" t="s">
        <v>1406</v>
      </c>
      <c r="F571" s="1" t="s">
        <v>112</v>
      </c>
      <c r="G571" s="1">
        <v>2155787</v>
      </c>
    </row>
    <row r="572" spans="1:7" x14ac:dyDescent="0.25">
      <c r="A572" s="1" t="str">
        <f t="shared" si="8"/>
        <v>06 17b estradiol 68 dopé</v>
      </c>
      <c r="B5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2" s="1" t="s">
        <v>1407</v>
      </c>
    </row>
    <row r="573" spans="1:7" x14ac:dyDescent="0.25">
      <c r="A573" s="1" t="str">
        <f t="shared" si="8"/>
        <v>06 17b estradiol 68 dopé</v>
      </c>
      <c r="B5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3" s="1" t="s">
        <v>1408</v>
      </c>
    </row>
    <row r="574" spans="1:7" x14ac:dyDescent="0.25">
      <c r="A574" s="1" t="str">
        <f t="shared" si="8"/>
        <v>06 17b estradiol 68 dopé</v>
      </c>
      <c r="B5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4" s="1" t="s">
        <v>1409</v>
      </c>
    </row>
    <row r="575" spans="1:7" x14ac:dyDescent="0.25">
      <c r="A575" s="1" t="str">
        <f t="shared" si="8"/>
        <v>06 17b estradiol 68 dopé</v>
      </c>
      <c r="B5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5" s="1" t="s">
        <v>1410</v>
      </c>
      <c r="D575" s="1" t="s">
        <v>1411</v>
      </c>
      <c r="E575" s="1" t="s">
        <v>1412</v>
      </c>
      <c r="F575" s="1" t="s">
        <v>112</v>
      </c>
      <c r="G575" s="1">
        <v>1303331</v>
      </c>
    </row>
    <row r="576" spans="1:7" x14ac:dyDescent="0.25">
      <c r="A576" s="1" t="str">
        <f t="shared" si="8"/>
        <v>06 17b estradiol 68 dopé</v>
      </c>
      <c r="B5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6" s="1" t="s">
        <v>1413</v>
      </c>
      <c r="D576" s="1" t="s">
        <v>1414</v>
      </c>
      <c r="E576" s="1" t="s">
        <v>1415</v>
      </c>
      <c r="F576" s="1" t="s">
        <v>112</v>
      </c>
      <c r="G576" s="1">
        <v>1439729</v>
      </c>
    </row>
    <row r="577" spans="1:10" x14ac:dyDescent="0.25">
      <c r="A577" s="1" t="str">
        <f t="shared" si="8"/>
        <v>06 17b estradiol 68 dopé</v>
      </c>
      <c r="B5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7" s="1" t="s">
        <v>1416</v>
      </c>
      <c r="D577" s="1" t="s">
        <v>1417</v>
      </c>
      <c r="E577" s="1" t="s">
        <v>1418</v>
      </c>
      <c r="F577" s="1" t="s">
        <v>112</v>
      </c>
      <c r="G577" s="1">
        <v>1968666</v>
      </c>
    </row>
    <row r="578" spans="1:10" x14ac:dyDescent="0.25">
      <c r="A578" s="1" t="str">
        <f t="shared" ref="A578:A641" si="9">IFERROR(LEFT(RIGHT(C578,LEN(C578)-SEARCH("@",C578)),SEARCH("/",RIGHT(C578,LEN(C578)-SEARCH("@",C578)-1))),"")</f>
        <v>06 17b estradiol 68 dopé</v>
      </c>
      <c r="B5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78" s="1" t="s">
        <v>1419</v>
      </c>
    </row>
    <row r="579" spans="1:10" x14ac:dyDescent="0.25">
      <c r="A579" s="1" t="str">
        <f t="shared" si="9"/>
        <v>06 17b estradiol 68 dopé</v>
      </c>
      <c r="B5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79" s="1" t="s">
        <v>1420</v>
      </c>
    </row>
    <row r="580" spans="1:10" x14ac:dyDescent="0.25">
      <c r="A580" s="1" t="str">
        <f t="shared" si="9"/>
        <v>06 17b estradiol 68 dopé</v>
      </c>
      <c r="B5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80" s="1" t="s">
        <v>1421</v>
      </c>
    </row>
    <row r="581" spans="1:10" x14ac:dyDescent="0.25">
      <c r="A581" s="1" t="str">
        <f t="shared" si="9"/>
        <v>06 17b estradiol 68 dopé</v>
      </c>
      <c r="B5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1" s="1" t="s">
        <v>1422</v>
      </c>
      <c r="D581" s="1" t="s">
        <v>1423</v>
      </c>
      <c r="E581" s="1" t="s">
        <v>1424</v>
      </c>
      <c r="F581" s="1" t="s">
        <v>112</v>
      </c>
      <c r="G581" s="1">
        <v>3331955</v>
      </c>
    </row>
    <row r="582" spans="1:10" x14ac:dyDescent="0.25">
      <c r="A582" s="1" t="str">
        <f t="shared" si="9"/>
        <v>06 17b estradiol 68 dopé</v>
      </c>
      <c r="B5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2" s="1" t="s">
        <v>1425</v>
      </c>
      <c r="D582" s="1" t="s">
        <v>1426</v>
      </c>
      <c r="E582" s="1" t="s">
        <v>1427</v>
      </c>
      <c r="F582" s="1" t="s">
        <v>112</v>
      </c>
      <c r="G582" s="1">
        <v>3105599</v>
      </c>
    </row>
    <row r="583" spans="1:10" x14ac:dyDescent="0.25">
      <c r="A583" s="1" t="str">
        <f t="shared" si="9"/>
        <v>06 17b estradiol 68 dopé</v>
      </c>
      <c r="B5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3" s="1" t="s">
        <v>1428</v>
      </c>
      <c r="D583" s="1" t="s">
        <v>1224</v>
      </c>
      <c r="E583" s="1" t="s">
        <v>1429</v>
      </c>
      <c r="F583" s="1" t="s">
        <v>112</v>
      </c>
      <c r="G583" s="1">
        <v>3080248</v>
      </c>
    </row>
    <row r="584" spans="1:10" x14ac:dyDescent="0.25">
      <c r="A584" s="1" t="str">
        <f t="shared" si="9"/>
        <v>06 17b estradiol 68 dopé</v>
      </c>
      <c r="B5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4" s="1" t="s">
        <v>1430</v>
      </c>
      <c r="D584" s="1" t="s">
        <v>1431</v>
      </c>
      <c r="E584" s="1" t="s">
        <v>1432</v>
      </c>
      <c r="F584" s="1" t="s">
        <v>112</v>
      </c>
      <c r="G584" s="1">
        <v>37636</v>
      </c>
    </row>
    <row r="585" spans="1:10" x14ac:dyDescent="0.25">
      <c r="A585" s="1" t="str">
        <f t="shared" si="9"/>
        <v>06 17b estradiol 68 dopé</v>
      </c>
      <c r="B5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5" s="1" t="s">
        <v>1433</v>
      </c>
      <c r="D585" s="1" t="s">
        <v>1434</v>
      </c>
      <c r="E585" s="1" t="s">
        <v>1435</v>
      </c>
      <c r="F585" s="1" t="s">
        <v>112</v>
      </c>
      <c r="G585" s="1">
        <v>131596</v>
      </c>
    </row>
    <row r="586" spans="1:10" x14ac:dyDescent="0.25">
      <c r="A586" s="1" t="str">
        <f t="shared" si="9"/>
        <v>06 17b estradiol 68 dopé</v>
      </c>
      <c r="B5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6" s="1" t="s">
        <v>1436</v>
      </c>
      <c r="D586" s="1" t="s">
        <v>1437</v>
      </c>
      <c r="E586" s="1" t="s">
        <v>1438</v>
      </c>
      <c r="F586" s="1" t="s">
        <v>112</v>
      </c>
      <c r="G586" s="1">
        <v>214612</v>
      </c>
    </row>
    <row r="587" spans="1:10" x14ac:dyDescent="0.25">
      <c r="A587" s="1" t="str">
        <f t="shared" si="9"/>
        <v/>
      </c>
      <c r="B5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87" s="1" t="s">
        <v>112</v>
      </c>
    </row>
    <row r="588" spans="1:10" x14ac:dyDescent="0.25">
      <c r="A588" s="1" t="str">
        <f t="shared" si="9"/>
        <v/>
      </c>
      <c r="B5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88" s="1" t="s">
        <v>232</v>
      </c>
      <c r="D588" s="1" t="s">
        <v>112</v>
      </c>
      <c r="E588" s="1" t="s">
        <v>233</v>
      </c>
      <c r="F588" s="1" t="s">
        <v>234</v>
      </c>
      <c r="G588" s="1" t="s">
        <v>235</v>
      </c>
      <c r="H588" s="1" t="s">
        <v>236</v>
      </c>
      <c r="I588" s="1" t="s">
        <v>237</v>
      </c>
      <c r="J588" s="1" t="s">
        <v>238</v>
      </c>
    </row>
    <row r="589" spans="1:10" x14ac:dyDescent="0.25">
      <c r="A589" s="1" t="str">
        <f t="shared" si="9"/>
        <v>06 17b estradiol 68 dopé</v>
      </c>
      <c r="B5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89" s="1" t="s">
        <v>1439</v>
      </c>
      <c r="D589" s="1" t="s">
        <v>112</v>
      </c>
      <c r="E589" s="1" t="s">
        <v>1440</v>
      </c>
      <c r="F589" s="1" t="s">
        <v>1441</v>
      </c>
      <c r="G589" s="1" t="s">
        <v>1442</v>
      </c>
      <c r="H589" s="1" t="s">
        <v>1443</v>
      </c>
      <c r="I589" s="1">
        <v>24</v>
      </c>
      <c r="J589" s="1">
        <v>24</v>
      </c>
    </row>
    <row r="590" spans="1:10" x14ac:dyDescent="0.25">
      <c r="A590" s="1" t="str">
        <f t="shared" si="9"/>
        <v/>
      </c>
      <c r="B5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0" s="1" t="s">
        <v>112</v>
      </c>
    </row>
    <row r="591" spans="1:10" x14ac:dyDescent="0.25">
      <c r="A591" s="1" t="str">
        <f t="shared" si="9"/>
        <v/>
      </c>
      <c r="B5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1" s="1" t="s">
        <v>112</v>
      </c>
    </row>
    <row r="592" spans="1:10" x14ac:dyDescent="0.25">
      <c r="A592" s="1" t="str">
        <f t="shared" si="9"/>
        <v/>
      </c>
      <c r="B5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2" s="1" t="s">
        <v>112</v>
      </c>
    </row>
    <row r="593" spans="1:7" x14ac:dyDescent="0.25">
      <c r="A593" s="1" t="str">
        <f t="shared" si="9"/>
        <v/>
      </c>
      <c r="B5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3" s="1" t="s">
        <v>112</v>
      </c>
    </row>
    <row r="594" spans="1:7" x14ac:dyDescent="0.25">
      <c r="A594" s="1" t="str">
        <f t="shared" si="9"/>
        <v/>
      </c>
      <c r="B5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4" s="1" t="s">
        <v>112</v>
      </c>
    </row>
    <row r="595" spans="1:7" x14ac:dyDescent="0.25">
      <c r="A595" s="1" t="str">
        <f t="shared" si="9"/>
        <v/>
      </c>
      <c r="B5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5" s="1" t="s">
        <v>244</v>
      </c>
      <c r="D595" s="1" t="s">
        <v>110</v>
      </c>
      <c r="E595" s="1" t="s">
        <v>111</v>
      </c>
      <c r="F595" s="1" t="s">
        <v>112</v>
      </c>
      <c r="G595" s="1" t="s">
        <v>113</v>
      </c>
    </row>
    <row r="596" spans="1:7" x14ac:dyDescent="0.25">
      <c r="A596" s="1" t="str">
        <f t="shared" si="9"/>
        <v>07 17b estradiol 135 dopé</v>
      </c>
      <c r="B59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6" s="1" t="s">
        <v>1444</v>
      </c>
      <c r="D596" s="1" t="s">
        <v>1445</v>
      </c>
      <c r="E596" s="1" t="s">
        <v>1446</v>
      </c>
      <c r="F596" s="1" t="s">
        <v>112</v>
      </c>
      <c r="G596" s="1">
        <v>4616404</v>
      </c>
    </row>
    <row r="597" spans="1:7" x14ac:dyDescent="0.25">
      <c r="A597" s="1" t="str">
        <f t="shared" si="9"/>
        <v>07 17b estradiol 135 dopé</v>
      </c>
      <c r="B5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7" s="1" t="s">
        <v>1447</v>
      </c>
      <c r="D597" s="1" t="s">
        <v>1448</v>
      </c>
      <c r="E597" s="1" t="s">
        <v>1449</v>
      </c>
      <c r="F597" s="1" t="s">
        <v>112</v>
      </c>
      <c r="G597" s="1">
        <v>3906597</v>
      </c>
    </row>
    <row r="598" spans="1:7" x14ac:dyDescent="0.25">
      <c r="A598" s="1" t="str">
        <f t="shared" si="9"/>
        <v>07 17b estradiol 135 dopé</v>
      </c>
      <c r="B5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8" s="1" t="s">
        <v>1450</v>
      </c>
      <c r="D598" s="1" t="s">
        <v>1451</v>
      </c>
      <c r="E598" s="1" t="s">
        <v>1452</v>
      </c>
      <c r="F598" s="1" t="s">
        <v>112</v>
      </c>
      <c r="G598" s="1">
        <v>4168167</v>
      </c>
    </row>
    <row r="599" spans="1:7" x14ac:dyDescent="0.25">
      <c r="A599" s="1" t="str">
        <f t="shared" si="9"/>
        <v>07 17b estradiol 135 dopé</v>
      </c>
      <c r="B5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99" s="1" t="s">
        <v>1453</v>
      </c>
      <c r="D599" s="1" t="s">
        <v>1454</v>
      </c>
      <c r="E599" s="1" t="s">
        <v>1455</v>
      </c>
      <c r="F599" s="1" t="s">
        <v>112</v>
      </c>
      <c r="G599" s="1">
        <v>4934406</v>
      </c>
    </row>
    <row r="600" spans="1:7" x14ac:dyDescent="0.25">
      <c r="A600" s="1" t="str">
        <f t="shared" si="9"/>
        <v>07 17b estradiol 135 dopé</v>
      </c>
      <c r="B6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00" s="1" t="s">
        <v>1456</v>
      </c>
      <c r="D600" s="1" t="s">
        <v>1383</v>
      </c>
      <c r="E600" s="1" t="s">
        <v>1457</v>
      </c>
      <c r="F600" s="1" t="s">
        <v>112</v>
      </c>
      <c r="G600" s="1">
        <v>4925430</v>
      </c>
    </row>
    <row r="601" spans="1:7" x14ac:dyDescent="0.25">
      <c r="A601" s="1" t="str">
        <f t="shared" si="9"/>
        <v>07 17b estradiol 135 dopé</v>
      </c>
      <c r="B6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01" s="1" t="s">
        <v>1458</v>
      </c>
      <c r="D601" s="1" t="s">
        <v>1459</v>
      </c>
      <c r="E601" s="1" t="s">
        <v>1460</v>
      </c>
      <c r="F601" s="1" t="s">
        <v>112</v>
      </c>
      <c r="G601" s="1">
        <v>4831881</v>
      </c>
    </row>
    <row r="602" spans="1:7" x14ac:dyDescent="0.25">
      <c r="A602" s="1" t="str">
        <f t="shared" si="9"/>
        <v>07 17b estradiol 135 dopé</v>
      </c>
      <c r="B6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2" s="1" t="s">
        <v>1461</v>
      </c>
      <c r="D602" s="1" t="s">
        <v>1462</v>
      </c>
      <c r="E602" s="1" t="s">
        <v>1463</v>
      </c>
      <c r="F602" s="1" t="s">
        <v>112</v>
      </c>
      <c r="G602" s="1">
        <v>2966107</v>
      </c>
    </row>
    <row r="603" spans="1:7" x14ac:dyDescent="0.25">
      <c r="A603" s="1" t="str">
        <f t="shared" si="9"/>
        <v>07 17b estradiol 135 dopé</v>
      </c>
      <c r="B6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3" s="1" t="s">
        <v>1464</v>
      </c>
      <c r="D603" s="1" t="s">
        <v>1465</v>
      </c>
      <c r="E603" s="1" t="s">
        <v>1466</v>
      </c>
      <c r="F603" s="1" t="s">
        <v>112</v>
      </c>
      <c r="G603" s="1">
        <v>2847878</v>
      </c>
    </row>
    <row r="604" spans="1:7" x14ac:dyDescent="0.25">
      <c r="A604" s="1" t="str">
        <f t="shared" si="9"/>
        <v>07 17b estradiol 135 dopé</v>
      </c>
      <c r="B6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4" s="1" t="s">
        <v>1467</v>
      </c>
      <c r="D604" s="1" t="s">
        <v>1468</v>
      </c>
      <c r="E604" s="1" t="s">
        <v>1469</v>
      </c>
      <c r="F604" s="1" t="s">
        <v>112</v>
      </c>
      <c r="G604" s="1">
        <v>3167395</v>
      </c>
    </row>
    <row r="605" spans="1:7" x14ac:dyDescent="0.25">
      <c r="A605" s="1" t="str">
        <f t="shared" si="9"/>
        <v>07 17b estradiol 135 dopé</v>
      </c>
      <c r="B6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5" s="1" t="s">
        <v>1470</v>
      </c>
      <c r="D605" s="1" t="s">
        <v>1471</v>
      </c>
      <c r="E605" s="1" t="s">
        <v>1472</v>
      </c>
      <c r="F605" s="1" t="s">
        <v>112</v>
      </c>
      <c r="G605" s="1">
        <v>5288055</v>
      </c>
    </row>
    <row r="606" spans="1:7" x14ac:dyDescent="0.25">
      <c r="A606" s="1" t="str">
        <f t="shared" si="9"/>
        <v>07 17b estradiol 135 dopé</v>
      </c>
      <c r="B6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6" s="1" t="s">
        <v>1473</v>
      </c>
      <c r="D606" s="1" t="s">
        <v>1474</v>
      </c>
      <c r="E606" s="1" t="s">
        <v>1475</v>
      </c>
      <c r="F606" s="1" t="s">
        <v>112</v>
      </c>
      <c r="G606" s="1">
        <v>5299476</v>
      </c>
    </row>
    <row r="607" spans="1:7" x14ac:dyDescent="0.25">
      <c r="A607" s="1" t="str">
        <f t="shared" si="9"/>
        <v>07 17b estradiol 135 dopé</v>
      </c>
      <c r="B6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7" s="1" t="s">
        <v>1476</v>
      </c>
      <c r="D607" s="1" t="s">
        <v>1477</v>
      </c>
      <c r="E607" s="1" t="s">
        <v>1478</v>
      </c>
      <c r="F607" s="1" t="s">
        <v>112</v>
      </c>
      <c r="G607" s="1">
        <v>5233850</v>
      </c>
    </row>
    <row r="608" spans="1:7" x14ac:dyDescent="0.25">
      <c r="A608" s="1" t="str">
        <f t="shared" si="9"/>
        <v>07 17b estradiol 135 dopé</v>
      </c>
      <c r="B6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08" s="1" t="s">
        <v>1479</v>
      </c>
      <c r="D608" s="1" t="s">
        <v>1448</v>
      </c>
      <c r="E608" s="1" t="s">
        <v>1480</v>
      </c>
      <c r="F608" s="1" t="s">
        <v>112</v>
      </c>
      <c r="G608" s="1">
        <v>3528723</v>
      </c>
    </row>
    <row r="609" spans="1:10" x14ac:dyDescent="0.25">
      <c r="A609" s="1" t="str">
        <f t="shared" si="9"/>
        <v>07 17b estradiol 135 dopé</v>
      </c>
      <c r="B6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09" s="1" t="s">
        <v>1481</v>
      </c>
      <c r="D609" s="1" t="s">
        <v>1482</v>
      </c>
      <c r="E609" s="1" t="s">
        <v>1483</v>
      </c>
      <c r="F609" s="1" t="s">
        <v>112</v>
      </c>
      <c r="G609" s="1">
        <v>3212883</v>
      </c>
    </row>
    <row r="610" spans="1:10" x14ac:dyDescent="0.25">
      <c r="A610" s="1" t="str">
        <f t="shared" si="9"/>
        <v>07 17b estradiol 135 dopé</v>
      </c>
      <c r="B6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10" s="1" t="s">
        <v>1484</v>
      </c>
    </row>
    <row r="611" spans="1:10" x14ac:dyDescent="0.25">
      <c r="A611" s="1" t="str">
        <f t="shared" si="9"/>
        <v>07 17b estradiol 135 dopé</v>
      </c>
      <c r="B6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1" s="1" t="s">
        <v>1485</v>
      </c>
      <c r="D611" s="1" t="s">
        <v>1486</v>
      </c>
      <c r="E611" s="1" t="s">
        <v>1487</v>
      </c>
      <c r="F611" s="1" t="s">
        <v>112</v>
      </c>
      <c r="G611" s="1">
        <v>4629641</v>
      </c>
    </row>
    <row r="612" spans="1:10" x14ac:dyDescent="0.25">
      <c r="A612" s="1" t="str">
        <f t="shared" si="9"/>
        <v>07 17b estradiol 135 dopé</v>
      </c>
      <c r="B6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2" s="1" t="s">
        <v>1488</v>
      </c>
      <c r="D612" s="1" t="s">
        <v>1489</v>
      </c>
      <c r="E612" s="1" t="s">
        <v>1490</v>
      </c>
      <c r="F612" s="1" t="s">
        <v>112</v>
      </c>
      <c r="G612" s="1">
        <v>4811311</v>
      </c>
    </row>
    <row r="613" spans="1:10" x14ac:dyDescent="0.25">
      <c r="A613" s="1" t="str">
        <f t="shared" si="9"/>
        <v>07 17b estradiol 135 dopé</v>
      </c>
      <c r="B6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3" s="1" t="s">
        <v>1491</v>
      </c>
      <c r="D613" s="1" t="s">
        <v>1492</v>
      </c>
      <c r="E613" s="1" t="s">
        <v>1493</v>
      </c>
      <c r="F613" s="1" t="s">
        <v>112</v>
      </c>
      <c r="G613" s="1">
        <v>4573728</v>
      </c>
    </row>
    <row r="614" spans="1:10" x14ac:dyDescent="0.25">
      <c r="A614" s="1" t="str">
        <f t="shared" si="9"/>
        <v>07 17b estradiol 135 dopé</v>
      </c>
      <c r="B6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4" s="1" t="s">
        <v>1494</v>
      </c>
      <c r="D614" s="1" t="s">
        <v>1495</v>
      </c>
      <c r="E614" s="1" t="s">
        <v>1496</v>
      </c>
      <c r="F614" s="1" t="s">
        <v>112</v>
      </c>
      <c r="G614" s="1">
        <v>4114439</v>
      </c>
    </row>
    <row r="615" spans="1:10" x14ac:dyDescent="0.25">
      <c r="A615" s="1" t="str">
        <f t="shared" si="9"/>
        <v>07 17b estradiol 135 dopé</v>
      </c>
      <c r="B6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5" s="1" t="s">
        <v>1497</v>
      </c>
      <c r="D615" s="1" t="s">
        <v>1498</v>
      </c>
      <c r="E615" s="1" t="s">
        <v>1499</v>
      </c>
      <c r="F615" s="1" t="s">
        <v>112</v>
      </c>
      <c r="G615" s="1">
        <v>4076565</v>
      </c>
    </row>
    <row r="616" spans="1:10" x14ac:dyDescent="0.25">
      <c r="A616" s="1" t="str">
        <f t="shared" si="9"/>
        <v>07 17b estradiol 135 dopé</v>
      </c>
      <c r="B6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6" s="1" t="s">
        <v>1500</v>
      </c>
      <c r="D616" s="1" t="s">
        <v>1501</v>
      </c>
      <c r="E616" s="1" t="s">
        <v>1502</v>
      </c>
      <c r="F616" s="1" t="s">
        <v>112</v>
      </c>
      <c r="G616" s="1">
        <v>4393832</v>
      </c>
    </row>
    <row r="617" spans="1:10" x14ac:dyDescent="0.25">
      <c r="A617" s="1" t="str">
        <f t="shared" si="9"/>
        <v>07 17b estradiol 135 dopé</v>
      </c>
      <c r="B6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7" s="1" t="s">
        <v>1503</v>
      </c>
      <c r="D617" s="1" t="s">
        <v>1504</v>
      </c>
      <c r="E617" s="1" t="s">
        <v>1505</v>
      </c>
      <c r="F617" s="1" t="s">
        <v>112</v>
      </c>
      <c r="G617" s="1">
        <v>4993240</v>
      </c>
    </row>
    <row r="618" spans="1:10" x14ac:dyDescent="0.25">
      <c r="A618" s="1" t="str">
        <f t="shared" si="9"/>
        <v>07 17b estradiol 135 dopé</v>
      </c>
      <c r="B6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8" s="1" t="s">
        <v>1506</v>
      </c>
      <c r="D618" s="1" t="s">
        <v>1507</v>
      </c>
      <c r="E618" s="1" t="s">
        <v>1508</v>
      </c>
      <c r="F618" s="1" t="s">
        <v>112</v>
      </c>
      <c r="G618" s="1">
        <v>5340789</v>
      </c>
    </row>
    <row r="619" spans="1:10" x14ac:dyDescent="0.25">
      <c r="A619" s="1" t="str">
        <f t="shared" si="9"/>
        <v>07 17b estradiol 135 dopé</v>
      </c>
      <c r="B6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9" s="1" t="s">
        <v>1509</v>
      </c>
      <c r="D619" s="1" t="s">
        <v>1510</v>
      </c>
      <c r="E619" s="1" t="s">
        <v>1511</v>
      </c>
      <c r="F619" s="1" t="s">
        <v>112</v>
      </c>
      <c r="G619" s="1">
        <v>5306289</v>
      </c>
    </row>
    <row r="620" spans="1:10" x14ac:dyDescent="0.25">
      <c r="A620" s="1" t="str">
        <f t="shared" si="9"/>
        <v/>
      </c>
      <c r="B6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0" s="1" t="s">
        <v>112</v>
      </c>
    </row>
    <row r="621" spans="1:10" x14ac:dyDescent="0.25">
      <c r="A621" s="1" t="str">
        <f t="shared" si="9"/>
        <v/>
      </c>
      <c r="B6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1" s="1" t="s">
        <v>232</v>
      </c>
      <c r="D621" s="1" t="s">
        <v>112</v>
      </c>
      <c r="E621" s="1" t="s">
        <v>233</v>
      </c>
      <c r="F621" s="1" t="s">
        <v>234</v>
      </c>
      <c r="G621" s="1" t="s">
        <v>235</v>
      </c>
      <c r="H621" s="1" t="s">
        <v>236</v>
      </c>
      <c r="I621" s="1" t="s">
        <v>237</v>
      </c>
      <c r="J621" s="1" t="s">
        <v>238</v>
      </c>
    </row>
    <row r="622" spans="1:10" x14ac:dyDescent="0.25">
      <c r="A622" s="1" t="str">
        <f t="shared" si="9"/>
        <v>07 17b estradiol 135 dopé</v>
      </c>
      <c r="B6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22" s="1" t="s">
        <v>1512</v>
      </c>
      <c r="D622" s="1" t="s">
        <v>112</v>
      </c>
      <c r="E622" s="1" t="s">
        <v>1513</v>
      </c>
      <c r="F622" s="1" t="s">
        <v>1514</v>
      </c>
      <c r="G622" s="1" t="s">
        <v>1515</v>
      </c>
      <c r="H622" s="1" t="s">
        <v>1516</v>
      </c>
      <c r="I622" s="1">
        <v>24</v>
      </c>
      <c r="J622" s="1">
        <v>24</v>
      </c>
    </row>
    <row r="623" spans="1:10" x14ac:dyDescent="0.25">
      <c r="A623" s="1" t="str">
        <f t="shared" si="9"/>
        <v/>
      </c>
      <c r="B6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3" s="1" t="s">
        <v>112</v>
      </c>
    </row>
    <row r="624" spans="1:10" x14ac:dyDescent="0.25">
      <c r="A624" s="1" t="str">
        <f t="shared" si="9"/>
        <v/>
      </c>
      <c r="B6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4" s="1" t="s">
        <v>112</v>
      </c>
    </row>
    <row r="625" spans="1:7" x14ac:dyDescent="0.25">
      <c r="A625" s="1" t="str">
        <f t="shared" si="9"/>
        <v/>
      </c>
      <c r="B6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5" s="1" t="s">
        <v>112</v>
      </c>
    </row>
    <row r="626" spans="1:7" x14ac:dyDescent="0.25">
      <c r="A626" s="1" t="str">
        <f t="shared" si="9"/>
        <v/>
      </c>
      <c r="B6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6" s="1" t="s">
        <v>112</v>
      </c>
    </row>
    <row r="627" spans="1:7" x14ac:dyDescent="0.25">
      <c r="A627" s="1" t="str">
        <f t="shared" si="9"/>
        <v/>
      </c>
      <c r="B6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7" s="1" t="s">
        <v>112</v>
      </c>
    </row>
    <row r="628" spans="1:7" x14ac:dyDescent="0.25">
      <c r="A628" s="1" t="str">
        <f t="shared" si="9"/>
        <v/>
      </c>
      <c r="B6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8" s="1" t="s">
        <v>244</v>
      </c>
      <c r="D628" s="1" t="s">
        <v>110</v>
      </c>
      <c r="E628" s="1" t="s">
        <v>111</v>
      </c>
      <c r="F628" s="1" t="s">
        <v>112</v>
      </c>
      <c r="G628" s="1" t="s">
        <v>113</v>
      </c>
    </row>
    <row r="629" spans="1:7" x14ac:dyDescent="0.25">
      <c r="A629" s="1" t="str">
        <f t="shared" si="9"/>
        <v>08 17b estradiol 270 dopé</v>
      </c>
      <c r="B62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29" s="1" t="s">
        <v>1517</v>
      </c>
      <c r="D629" s="1" t="s">
        <v>1518</v>
      </c>
      <c r="E629" s="1" t="s">
        <v>1519</v>
      </c>
      <c r="F629" s="1" t="s">
        <v>112</v>
      </c>
      <c r="G629" s="1">
        <v>6944818</v>
      </c>
    </row>
    <row r="630" spans="1:7" x14ac:dyDescent="0.25">
      <c r="A630" s="1" t="str">
        <f t="shared" si="9"/>
        <v>08 17b estradiol 270 dopé</v>
      </c>
      <c r="B6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30" s="1" t="s">
        <v>1520</v>
      </c>
      <c r="D630" s="1" t="s">
        <v>1521</v>
      </c>
      <c r="E630" s="1" t="s">
        <v>1522</v>
      </c>
      <c r="F630" s="1" t="s">
        <v>112</v>
      </c>
      <c r="G630" s="1">
        <v>7585496</v>
      </c>
    </row>
    <row r="631" spans="1:7" x14ac:dyDescent="0.25">
      <c r="A631" s="1" t="str">
        <f t="shared" si="9"/>
        <v>08 17b estradiol 270 dopé</v>
      </c>
      <c r="B6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31" s="1" t="s">
        <v>1523</v>
      </c>
      <c r="D631" s="1" t="s">
        <v>1524</v>
      </c>
      <c r="E631" s="1" t="s">
        <v>1525</v>
      </c>
      <c r="F631" s="1" t="s">
        <v>112</v>
      </c>
      <c r="G631" s="1">
        <v>6831781</v>
      </c>
    </row>
    <row r="632" spans="1:7" x14ac:dyDescent="0.25">
      <c r="A632" s="1" t="str">
        <f t="shared" si="9"/>
        <v>08 17b estradiol 270 dopé</v>
      </c>
      <c r="B6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2" s="1" t="s">
        <v>1526</v>
      </c>
      <c r="D632" s="1" t="s">
        <v>1527</v>
      </c>
      <c r="E632" s="1" t="s">
        <v>1528</v>
      </c>
      <c r="F632" s="1" t="s">
        <v>112</v>
      </c>
      <c r="G632" s="1">
        <v>4403457</v>
      </c>
    </row>
    <row r="633" spans="1:7" x14ac:dyDescent="0.25">
      <c r="A633" s="1" t="str">
        <f t="shared" si="9"/>
        <v>08 17b estradiol 270 dopé</v>
      </c>
      <c r="B6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3" s="1" t="s">
        <v>1529</v>
      </c>
      <c r="D633" s="1" t="s">
        <v>1530</v>
      </c>
      <c r="E633" s="1" t="s">
        <v>1531</v>
      </c>
      <c r="F633" s="1" t="s">
        <v>112</v>
      </c>
      <c r="G633" s="1">
        <v>4522335</v>
      </c>
    </row>
    <row r="634" spans="1:7" x14ac:dyDescent="0.25">
      <c r="A634" s="1" t="str">
        <f t="shared" si="9"/>
        <v>08 17b estradiol 270 dopé</v>
      </c>
      <c r="B6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4" s="1" t="s">
        <v>1532</v>
      </c>
      <c r="D634" s="1" t="s">
        <v>648</v>
      </c>
      <c r="E634" s="1" t="s">
        <v>1533</v>
      </c>
      <c r="F634" s="1" t="s">
        <v>112</v>
      </c>
      <c r="G634" s="1">
        <v>4674393</v>
      </c>
    </row>
    <row r="635" spans="1:7" x14ac:dyDescent="0.25">
      <c r="A635" s="1" t="str">
        <f t="shared" si="9"/>
        <v>08 17b estradiol 270 dopé</v>
      </c>
      <c r="B6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5" s="1" t="s">
        <v>1534</v>
      </c>
      <c r="D635" s="1" t="s">
        <v>1535</v>
      </c>
      <c r="E635" s="1" t="s">
        <v>1536</v>
      </c>
      <c r="F635" s="1" t="s">
        <v>112</v>
      </c>
      <c r="G635" s="1">
        <v>4951299</v>
      </c>
    </row>
    <row r="636" spans="1:7" x14ac:dyDescent="0.25">
      <c r="A636" s="1" t="str">
        <f t="shared" si="9"/>
        <v>08 17b estradiol 270 dopé</v>
      </c>
      <c r="B6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6" s="1" t="s">
        <v>1537</v>
      </c>
      <c r="D636" s="1" t="s">
        <v>1538</v>
      </c>
      <c r="E636" s="1" t="s">
        <v>1539</v>
      </c>
      <c r="F636" s="1" t="s">
        <v>112</v>
      </c>
      <c r="G636" s="1">
        <v>4400991</v>
      </c>
    </row>
    <row r="637" spans="1:7" x14ac:dyDescent="0.25">
      <c r="A637" s="1" t="str">
        <f t="shared" si="9"/>
        <v>08 17b estradiol 270 dopé</v>
      </c>
      <c r="B6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7" s="1" t="s">
        <v>1540</v>
      </c>
      <c r="D637" s="1" t="s">
        <v>1541</v>
      </c>
      <c r="E637" s="1" t="s">
        <v>1542</v>
      </c>
      <c r="F637" s="1" t="s">
        <v>112</v>
      </c>
      <c r="G637" s="1">
        <v>4990341</v>
      </c>
    </row>
    <row r="638" spans="1:7" x14ac:dyDescent="0.25">
      <c r="A638" s="1" t="str">
        <f t="shared" si="9"/>
        <v>08 17b estradiol 270 dopé</v>
      </c>
      <c r="B6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38" s="1" t="s">
        <v>1543</v>
      </c>
      <c r="D638" s="1" t="s">
        <v>1544</v>
      </c>
      <c r="E638" s="1" t="s">
        <v>1545</v>
      </c>
      <c r="F638" s="1" t="s">
        <v>112</v>
      </c>
      <c r="G638" s="1">
        <v>3502139</v>
      </c>
    </row>
    <row r="639" spans="1:7" x14ac:dyDescent="0.25">
      <c r="A639" s="1" t="str">
        <f t="shared" si="9"/>
        <v>08 17b estradiol 270 dopé</v>
      </c>
      <c r="B6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39" s="1" t="s">
        <v>1546</v>
      </c>
      <c r="D639" s="1" t="s">
        <v>1547</v>
      </c>
      <c r="E639" s="1" t="s">
        <v>1548</v>
      </c>
      <c r="F639" s="1" t="s">
        <v>112</v>
      </c>
      <c r="G639" s="1">
        <v>3274052</v>
      </c>
    </row>
    <row r="640" spans="1:7" x14ac:dyDescent="0.25">
      <c r="A640" s="1" t="str">
        <f t="shared" si="9"/>
        <v>08 17b estradiol 270 dopé</v>
      </c>
      <c r="B6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40" s="1" t="s">
        <v>1549</v>
      </c>
      <c r="D640" s="1" t="s">
        <v>1550</v>
      </c>
      <c r="E640" s="1" t="s">
        <v>1551</v>
      </c>
      <c r="F640" s="1" t="s">
        <v>112</v>
      </c>
      <c r="G640" s="1">
        <v>3289107</v>
      </c>
    </row>
    <row r="641" spans="1:10" x14ac:dyDescent="0.25">
      <c r="A641" s="1" t="str">
        <f t="shared" si="9"/>
        <v>08 17b estradiol 270 dopé</v>
      </c>
      <c r="B6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1" s="1" t="s">
        <v>1552</v>
      </c>
      <c r="D641" s="1" t="s">
        <v>624</v>
      </c>
      <c r="E641" s="1" t="s">
        <v>1553</v>
      </c>
      <c r="F641" s="1" t="s">
        <v>112</v>
      </c>
      <c r="G641" s="1">
        <v>5425751</v>
      </c>
    </row>
    <row r="642" spans="1:10" x14ac:dyDescent="0.25">
      <c r="A642" s="1" t="str">
        <f t="shared" ref="A642:A705" si="10">IFERROR(LEFT(RIGHT(C642,LEN(C642)-SEARCH("@",C642)),SEARCH("/",RIGHT(C642,LEN(C642)-SEARCH("@",C642)-1))),"")</f>
        <v>08 17b estradiol 270 dopé</v>
      </c>
      <c r="B6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2" s="1" t="s">
        <v>1554</v>
      </c>
      <c r="D642" s="1" t="s">
        <v>1555</v>
      </c>
      <c r="E642" s="1" t="s">
        <v>1556</v>
      </c>
      <c r="F642" s="1" t="s">
        <v>112</v>
      </c>
      <c r="G642" s="1">
        <v>5423047</v>
      </c>
    </row>
    <row r="643" spans="1:10" x14ac:dyDescent="0.25">
      <c r="A643" s="1" t="str">
        <f t="shared" si="10"/>
        <v>08 17b estradiol 270 dopé</v>
      </c>
      <c r="B6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3" s="1" t="s">
        <v>1557</v>
      </c>
      <c r="D643" s="1" t="s">
        <v>1558</v>
      </c>
      <c r="E643" s="1" t="s">
        <v>1559</v>
      </c>
      <c r="F643" s="1" t="s">
        <v>112</v>
      </c>
      <c r="G643" s="1">
        <v>4943037</v>
      </c>
    </row>
    <row r="644" spans="1:10" x14ac:dyDescent="0.25">
      <c r="A644" s="1" t="str">
        <f t="shared" si="10"/>
        <v>08 17b estradiol 270 dopé</v>
      </c>
      <c r="B6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4" s="1" t="s">
        <v>1560</v>
      </c>
    </row>
    <row r="645" spans="1:10" x14ac:dyDescent="0.25">
      <c r="A645" s="1" t="str">
        <f t="shared" si="10"/>
        <v>08 17b estradiol 270 dopé</v>
      </c>
      <c r="B6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5" s="1" t="s">
        <v>1561</v>
      </c>
    </row>
    <row r="646" spans="1:10" x14ac:dyDescent="0.25">
      <c r="A646" s="1" t="str">
        <f t="shared" si="10"/>
        <v>08 17b estradiol 270 dopé</v>
      </c>
      <c r="B6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6" s="1" t="s">
        <v>1562</v>
      </c>
    </row>
    <row r="647" spans="1:10" x14ac:dyDescent="0.25">
      <c r="A647" s="1" t="str">
        <f t="shared" si="10"/>
        <v>08 17b estradiol 270 dopé</v>
      </c>
      <c r="B6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7" s="1" t="s">
        <v>1563</v>
      </c>
      <c r="D647" s="1" t="s">
        <v>1564</v>
      </c>
      <c r="E647" s="1" t="s">
        <v>1565</v>
      </c>
      <c r="F647" s="1" t="s">
        <v>112</v>
      </c>
      <c r="G647" s="1">
        <v>5506820</v>
      </c>
    </row>
    <row r="648" spans="1:10" x14ac:dyDescent="0.25">
      <c r="A648" s="1" t="str">
        <f t="shared" si="10"/>
        <v>08 17b estradiol 270 dopé</v>
      </c>
      <c r="B6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8" s="1" t="s">
        <v>1566</v>
      </c>
      <c r="D648" s="1" t="s">
        <v>1567</v>
      </c>
      <c r="E648" s="1" t="s">
        <v>1568</v>
      </c>
      <c r="F648" s="1" t="s">
        <v>112</v>
      </c>
      <c r="G648" s="1">
        <v>5326426</v>
      </c>
    </row>
    <row r="649" spans="1:10" x14ac:dyDescent="0.25">
      <c r="A649" s="1" t="str">
        <f t="shared" si="10"/>
        <v>08 17b estradiol 270 dopé</v>
      </c>
      <c r="B6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9" s="1" t="s">
        <v>1569</v>
      </c>
      <c r="D649" s="1" t="s">
        <v>1570</v>
      </c>
      <c r="E649" s="1" t="s">
        <v>1571</v>
      </c>
      <c r="F649" s="1" t="s">
        <v>112</v>
      </c>
      <c r="G649" s="1">
        <v>1498476</v>
      </c>
    </row>
    <row r="650" spans="1:10" x14ac:dyDescent="0.25">
      <c r="A650" s="1" t="str">
        <f t="shared" si="10"/>
        <v>08 17b estradiol 270 dopé</v>
      </c>
      <c r="B6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0" s="1" t="s">
        <v>1572</v>
      </c>
    </row>
    <row r="651" spans="1:10" x14ac:dyDescent="0.25">
      <c r="A651" s="1" t="str">
        <f t="shared" si="10"/>
        <v>08 17b estradiol 270 dopé</v>
      </c>
      <c r="B6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1" s="1" t="s">
        <v>1573</v>
      </c>
    </row>
    <row r="652" spans="1:10" x14ac:dyDescent="0.25">
      <c r="A652" s="1" t="str">
        <f t="shared" si="10"/>
        <v>08 17b estradiol 270 dopé</v>
      </c>
      <c r="B6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2" s="1" t="s">
        <v>1574</v>
      </c>
    </row>
    <row r="653" spans="1:10" x14ac:dyDescent="0.25">
      <c r="A653" s="1" t="str">
        <f t="shared" si="10"/>
        <v/>
      </c>
      <c r="B6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3" s="1" t="s">
        <v>112</v>
      </c>
    </row>
    <row r="654" spans="1:10" x14ac:dyDescent="0.25">
      <c r="A654" s="1" t="str">
        <f t="shared" si="10"/>
        <v/>
      </c>
      <c r="B6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4" s="1" t="s">
        <v>232</v>
      </c>
      <c r="D654" s="1" t="s">
        <v>112</v>
      </c>
      <c r="E654" s="1" t="s">
        <v>233</v>
      </c>
      <c r="F654" s="1" t="s">
        <v>234</v>
      </c>
      <c r="G654" s="1" t="s">
        <v>235</v>
      </c>
      <c r="H654" s="1" t="s">
        <v>236</v>
      </c>
      <c r="I654" s="1" t="s">
        <v>237</v>
      </c>
      <c r="J654" s="1" t="s">
        <v>238</v>
      </c>
    </row>
    <row r="655" spans="1:10" x14ac:dyDescent="0.25">
      <c r="A655" s="1" t="str">
        <f t="shared" si="10"/>
        <v>08 17b estradiol 270 dopé</v>
      </c>
      <c r="B6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55" s="1" t="s">
        <v>1575</v>
      </c>
      <c r="D655" s="1" t="s">
        <v>112</v>
      </c>
      <c r="E655" s="1" t="s">
        <v>1576</v>
      </c>
      <c r="F655" s="1" t="s">
        <v>1577</v>
      </c>
      <c r="G655" s="1" t="s">
        <v>1578</v>
      </c>
      <c r="H655" s="1" t="s">
        <v>1579</v>
      </c>
      <c r="I655" s="1">
        <v>24</v>
      </c>
      <c r="J655" s="1">
        <v>24</v>
      </c>
    </row>
    <row r="656" spans="1:10" x14ac:dyDescent="0.25">
      <c r="A656" s="1" t="str">
        <f t="shared" si="10"/>
        <v/>
      </c>
      <c r="B6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6" s="1" t="s">
        <v>112</v>
      </c>
    </row>
    <row r="657" spans="1:7" x14ac:dyDescent="0.25">
      <c r="A657" s="1" t="str">
        <f t="shared" si="10"/>
        <v/>
      </c>
      <c r="B6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7" s="1" t="s">
        <v>112</v>
      </c>
    </row>
    <row r="658" spans="1:7" x14ac:dyDescent="0.25">
      <c r="A658" s="1" t="str">
        <f t="shared" si="10"/>
        <v/>
      </c>
      <c r="B6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8" s="1" t="s">
        <v>112</v>
      </c>
    </row>
    <row r="659" spans="1:7" x14ac:dyDescent="0.25">
      <c r="A659" s="1" t="str">
        <f t="shared" si="10"/>
        <v/>
      </c>
      <c r="B6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9" s="1" t="s">
        <v>112</v>
      </c>
    </row>
    <row r="660" spans="1:7" x14ac:dyDescent="0.25">
      <c r="A660" s="1" t="str">
        <f t="shared" si="10"/>
        <v/>
      </c>
      <c r="B6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0" s="1" t="s">
        <v>112</v>
      </c>
    </row>
    <row r="661" spans="1:7" x14ac:dyDescent="0.25">
      <c r="A661" s="1" t="str">
        <f t="shared" si="10"/>
        <v/>
      </c>
      <c r="B6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1" s="1" t="s">
        <v>244</v>
      </c>
      <c r="D661" s="1" t="s">
        <v>110</v>
      </c>
      <c r="E661" s="1" t="s">
        <v>111</v>
      </c>
      <c r="F661" s="1" t="s">
        <v>112</v>
      </c>
      <c r="G661" s="1" t="s">
        <v>113</v>
      </c>
    </row>
    <row r="662" spans="1:7" x14ac:dyDescent="0.25">
      <c r="A662" s="1" t="str">
        <f t="shared" si="10"/>
        <v>09 17b estradiol 540 dopé</v>
      </c>
      <c r="B66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2" s="1" t="s">
        <v>1580</v>
      </c>
      <c r="D662" s="1" t="s">
        <v>1581</v>
      </c>
      <c r="E662" s="1" t="s">
        <v>1582</v>
      </c>
      <c r="F662" s="1" t="s">
        <v>112</v>
      </c>
      <c r="G662" s="1">
        <v>7323580</v>
      </c>
    </row>
    <row r="663" spans="1:7" x14ac:dyDescent="0.25">
      <c r="A663" s="1" t="str">
        <f t="shared" si="10"/>
        <v>09 17b estradiol 540 dopé</v>
      </c>
      <c r="B6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3" s="1" t="s">
        <v>1583</v>
      </c>
      <c r="D663" s="1" t="s">
        <v>1584</v>
      </c>
      <c r="E663" s="1" t="s">
        <v>1585</v>
      </c>
      <c r="F663" s="1" t="s">
        <v>112</v>
      </c>
      <c r="G663" s="1">
        <v>7168601</v>
      </c>
    </row>
    <row r="664" spans="1:7" x14ac:dyDescent="0.25">
      <c r="A664" s="1" t="str">
        <f t="shared" si="10"/>
        <v>09 17b estradiol 540 dopé</v>
      </c>
      <c r="B6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4" s="1" t="s">
        <v>1586</v>
      </c>
      <c r="D664" s="1" t="s">
        <v>1587</v>
      </c>
      <c r="E664" s="1" t="s">
        <v>1588</v>
      </c>
      <c r="F664" s="1" t="s">
        <v>112</v>
      </c>
      <c r="G664" s="1">
        <v>7362448</v>
      </c>
    </row>
    <row r="665" spans="1:7" x14ac:dyDescent="0.25">
      <c r="A665" s="1" t="str">
        <f t="shared" si="10"/>
        <v>09 17b estradiol 540 dopé</v>
      </c>
      <c r="B6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5" s="1" t="s">
        <v>1589</v>
      </c>
      <c r="D665" s="1" t="s">
        <v>1590</v>
      </c>
      <c r="E665" s="1" t="s">
        <v>1591</v>
      </c>
      <c r="F665" s="1" t="s">
        <v>112</v>
      </c>
      <c r="G665" s="1">
        <v>5128556</v>
      </c>
    </row>
    <row r="666" spans="1:7" x14ac:dyDescent="0.25">
      <c r="A666" s="1" t="str">
        <f t="shared" si="10"/>
        <v>09 17b estradiol 540 dopé</v>
      </c>
      <c r="B6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6" s="1" t="s">
        <v>1592</v>
      </c>
      <c r="D666" s="1" t="s">
        <v>1593</v>
      </c>
      <c r="E666" s="1" t="s">
        <v>1594</v>
      </c>
      <c r="F666" s="1" t="s">
        <v>112</v>
      </c>
      <c r="G666" s="1">
        <v>4658560</v>
      </c>
    </row>
    <row r="667" spans="1:7" x14ac:dyDescent="0.25">
      <c r="A667" s="1" t="str">
        <f t="shared" si="10"/>
        <v>09 17b estradiol 540 dopé</v>
      </c>
      <c r="B6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7" s="1" t="s">
        <v>1595</v>
      </c>
      <c r="D667" s="1" t="s">
        <v>1596</v>
      </c>
      <c r="E667" s="1" t="s">
        <v>1597</v>
      </c>
      <c r="F667" s="1" t="s">
        <v>112</v>
      </c>
      <c r="G667" s="1">
        <v>5073422</v>
      </c>
    </row>
    <row r="668" spans="1:7" x14ac:dyDescent="0.25">
      <c r="A668" s="1" t="str">
        <f t="shared" si="10"/>
        <v>09 17b estradiol 540 dopé</v>
      </c>
      <c r="B6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68" s="1" t="s">
        <v>1598</v>
      </c>
      <c r="D668" s="1" t="s">
        <v>1599</v>
      </c>
      <c r="E668" s="1" t="s">
        <v>1600</v>
      </c>
      <c r="F668" s="1" t="s">
        <v>112</v>
      </c>
      <c r="G668" s="1">
        <v>3582148</v>
      </c>
    </row>
    <row r="669" spans="1:7" x14ac:dyDescent="0.25">
      <c r="A669" s="1" t="str">
        <f t="shared" si="10"/>
        <v>09 17b estradiol 540 dopé</v>
      </c>
      <c r="B6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69" s="1" t="s">
        <v>1601</v>
      </c>
      <c r="D669" s="1" t="s">
        <v>1602</v>
      </c>
      <c r="E669" s="1" t="s">
        <v>1603</v>
      </c>
      <c r="F669" s="1" t="s">
        <v>112</v>
      </c>
      <c r="G669" s="1">
        <v>3160539</v>
      </c>
    </row>
    <row r="670" spans="1:7" x14ac:dyDescent="0.25">
      <c r="A670" s="1" t="str">
        <f t="shared" si="10"/>
        <v>09 17b estradiol 540 dopé</v>
      </c>
      <c r="B6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70" s="1" t="s">
        <v>1604</v>
      </c>
    </row>
    <row r="671" spans="1:7" x14ac:dyDescent="0.25">
      <c r="A671" s="1" t="str">
        <f t="shared" si="10"/>
        <v>09 17b estradiol 540 dopé</v>
      </c>
      <c r="B6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1" s="1" t="s">
        <v>1605</v>
      </c>
      <c r="D671" s="1" t="s">
        <v>1606</v>
      </c>
      <c r="E671" s="1" t="s">
        <v>1607</v>
      </c>
      <c r="F671" s="1" t="s">
        <v>112</v>
      </c>
      <c r="G671" s="1">
        <v>4610304</v>
      </c>
    </row>
    <row r="672" spans="1:7" x14ac:dyDescent="0.25">
      <c r="A672" s="1" t="str">
        <f t="shared" si="10"/>
        <v>09 17b estradiol 540 dopé</v>
      </c>
      <c r="B6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2" s="1" t="s">
        <v>1608</v>
      </c>
      <c r="D672" s="1" t="s">
        <v>1609</v>
      </c>
      <c r="E672" s="1" t="s">
        <v>1610</v>
      </c>
      <c r="F672" s="1" t="s">
        <v>112</v>
      </c>
      <c r="G672" s="1">
        <v>4441980</v>
      </c>
    </row>
    <row r="673" spans="1:10" x14ac:dyDescent="0.25">
      <c r="A673" s="1" t="str">
        <f t="shared" si="10"/>
        <v>09 17b estradiol 540 dopé</v>
      </c>
      <c r="B6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3" s="1" t="s">
        <v>1611</v>
      </c>
      <c r="D673" s="1" t="s">
        <v>1612</v>
      </c>
      <c r="E673" s="1" t="s">
        <v>1613</v>
      </c>
      <c r="F673" s="1" t="s">
        <v>112</v>
      </c>
      <c r="G673" s="1">
        <v>4405923</v>
      </c>
    </row>
    <row r="674" spans="1:10" x14ac:dyDescent="0.25">
      <c r="A674" s="1" t="str">
        <f t="shared" si="10"/>
        <v>09 17b estradiol 540 dopé</v>
      </c>
      <c r="B6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4" s="1" t="s">
        <v>1614</v>
      </c>
      <c r="D674" s="1" t="s">
        <v>1615</v>
      </c>
      <c r="E674" s="1" t="s">
        <v>1616</v>
      </c>
      <c r="F674" s="1" t="s">
        <v>112</v>
      </c>
      <c r="G674" s="1">
        <v>6097965</v>
      </c>
    </row>
    <row r="675" spans="1:10" x14ac:dyDescent="0.25">
      <c r="A675" s="1" t="str">
        <f t="shared" si="10"/>
        <v>09 17b estradiol 540 dopé</v>
      </c>
      <c r="B6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5" s="1" t="s">
        <v>1617</v>
      </c>
      <c r="D675" s="1" t="s">
        <v>1618</v>
      </c>
      <c r="E675" s="1" t="s">
        <v>1619</v>
      </c>
      <c r="F675" s="1" t="s">
        <v>112</v>
      </c>
      <c r="G675" s="1">
        <v>5622605</v>
      </c>
    </row>
    <row r="676" spans="1:10" x14ac:dyDescent="0.25">
      <c r="A676" s="1" t="str">
        <f t="shared" si="10"/>
        <v>09 17b estradiol 540 dopé</v>
      </c>
      <c r="B6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6" s="1" t="s">
        <v>1620</v>
      </c>
      <c r="D676" s="1" t="s">
        <v>1621</v>
      </c>
      <c r="E676" s="1" t="s">
        <v>1622</v>
      </c>
      <c r="F676" s="1" t="s">
        <v>112</v>
      </c>
      <c r="G676" s="1">
        <v>5251284</v>
      </c>
    </row>
    <row r="677" spans="1:10" x14ac:dyDescent="0.25">
      <c r="A677" s="1" t="str">
        <f t="shared" si="10"/>
        <v>09 17b estradiol 540 dopé</v>
      </c>
      <c r="B6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7" s="1" t="s">
        <v>1623</v>
      </c>
      <c r="D677" s="1" t="s">
        <v>1624</v>
      </c>
      <c r="E677" s="1" t="s">
        <v>1625</v>
      </c>
      <c r="F677" s="1" t="s">
        <v>112</v>
      </c>
      <c r="G677" s="1">
        <v>5409031</v>
      </c>
    </row>
    <row r="678" spans="1:10" x14ac:dyDescent="0.25">
      <c r="A678" s="1" t="str">
        <f t="shared" si="10"/>
        <v>09 17b estradiol 540 dopé</v>
      </c>
      <c r="B6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8" s="1" t="s">
        <v>1626</v>
      </c>
      <c r="D678" s="1" t="s">
        <v>1627</v>
      </c>
      <c r="E678" s="1" t="s">
        <v>1628</v>
      </c>
      <c r="F678" s="1" t="s">
        <v>112</v>
      </c>
      <c r="G678" s="1">
        <v>5565588</v>
      </c>
    </row>
    <row r="679" spans="1:10" x14ac:dyDescent="0.25">
      <c r="A679" s="1" t="str">
        <f t="shared" si="10"/>
        <v>09 17b estradiol 540 dopé</v>
      </c>
      <c r="B6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9" s="1" t="s">
        <v>1629</v>
      </c>
    </row>
    <row r="680" spans="1:10" x14ac:dyDescent="0.25">
      <c r="A680" s="1" t="str">
        <f t="shared" si="10"/>
        <v>09 17b estradiol 540 dopé</v>
      </c>
      <c r="B6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0" s="1" t="s">
        <v>1630</v>
      </c>
      <c r="D680" s="1" t="s">
        <v>1631</v>
      </c>
      <c r="E680" s="1" t="s">
        <v>1632</v>
      </c>
      <c r="F680" s="1" t="s">
        <v>112</v>
      </c>
      <c r="G680" s="1">
        <v>3375648</v>
      </c>
    </row>
    <row r="681" spans="1:10" x14ac:dyDescent="0.25">
      <c r="A681" s="1" t="str">
        <f t="shared" si="10"/>
        <v>09 17b estradiol 540 dopé</v>
      </c>
      <c r="B6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1" s="1" t="s">
        <v>1633</v>
      </c>
      <c r="D681" s="1" t="s">
        <v>1142</v>
      </c>
      <c r="E681" s="1" t="s">
        <v>1634</v>
      </c>
      <c r="F681" s="1" t="s">
        <v>112</v>
      </c>
      <c r="G681" s="1">
        <v>2893561</v>
      </c>
    </row>
    <row r="682" spans="1:10" x14ac:dyDescent="0.25">
      <c r="A682" s="1" t="str">
        <f t="shared" si="10"/>
        <v>09 17b estradiol 540 dopé</v>
      </c>
      <c r="B6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2" s="1" t="s">
        <v>1635</v>
      </c>
      <c r="D682" s="1" t="s">
        <v>889</v>
      </c>
      <c r="E682" s="1" t="s">
        <v>1636</v>
      </c>
      <c r="F682" s="1" t="s">
        <v>112</v>
      </c>
      <c r="G682" s="1">
        <v>2623187</v>
      </c>
    </row>
    <row r="683" spans="1:10" x14ac:dyDescent="0.25">
      <c r="A683" s="1" t="str">
        <f t="shared" si="10"/>
        <v>09 17b estradiol 540 dopé</v>
      </c>
      <c r="B6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3" s="1" t="s">
        <v>1637</v>
      </c>
      <c r="D683" s="1" t="s">
        <v>1638</v>
      </c>
      <c r="E683" s="1" t="s">
        <v>1639</v>
      </c>
      <c r="F683" s="1" t="s">
        <v>112</v>
      </c>
      <c r="G683" s="1">
        <v>7728210</v>
      </c>
    </row>
    <row r="684" spans="1:10" x14ac:dyDescent="0.25">
      <c r="A684" s="1" t="str">
        <f t="shared" si="10"/>
        <v>09 17b estradiol 540 dopé</v>
      </c>
      <c r="B6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4" s="1" t="s">
        <v>1640</v>
      </c>
      <c r="D684" s="1" t="s">
        <v>1641</v>
      </c>
      <c r="E684" s="1" t="s">
        <v>1642</v>
      </c>
      <c r="F684" s="1" t="s">
        <v>112</v>
      </c>
      <c r="G684" s="1">
        <v>6909086</v>
      </c>
    </row>
    <row r="685" spans="1:10" x14ac:dyDescent="0.25">
      <c r="A685" s="1" t="str">
        <f t="shared" si="10"/>
        <v>09 17b estradiol 540 dopé</v>
      </c>
      <c r="B6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5" s="1" t="s">
        <v>1643</v>
      </c>
      <c r="D685" s="1" t="s">
        <v>1644</v>
      </c>
      <c r="E685" s="1" t="s">
        <v>1645</v>
      </c>
      <c r="F685" s="1" t="s">
        <v>112</v>
      </c>
      <c r="G685" s="1">
        <v>7586577</v>
      </c>
    </row>
    <row r="686" spans="1:10" x14ac:dyDescent="0.25">
      <c r="A686" s="1" t="str">
        <f t="shared" si="10"/>
        <v/>
      </c>
      <c r="B6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6" s="1" t="s">
        <v>112</v>
      </c>
    </row>
    <row r="687" spans="1:10" x14ac:dyDescent="0.25">
      <c r="A687" s="1" t="str">
        <f t="shared" si="10"/>
        <v/>
      </c>
      <c r="B6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7" s="1" t="s">
        <v>232</v>
      </c>
      <c r="D687" s="1" t="s">
        <v>112</v>
      </c>
      <c r="E687" s="1" t="s">
        <v>233</v>
      </c>
      <c r="F687" s="1" t="s">
        <v>234</v>
      </c>
      <c r="G687" s="1" t="s">
        <v>235</v>
      </c>
      <c r="H687" s="1" t="s">
        <v>236</v>
      </c>
      <c r="I687" s="1" t="s">
        <v>237</v>
      </c>
      <c r="J687" s="1" t="s">
        <v>238</v>
      </c>
    </row>
    <row r="688" spans="1:10" x14ac:dyDescent="0.25">
      <c r="A688" s="1" t="str">
        <f t="shared" si="10"/>
        <v>09 17b estradiol 540 dopé</v>
      </c>
      <c r="B6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88" s="1" t="s">
        <v>1646</v>
      </c>
      <c r="D688" s="1" t="s">
        <v>112</v>
      </c>
      <c r="E688" s="1" t="s">
        <v>1647</v>
      </c>
      <c r="F688" s="1" t="s">
        <v>1648</v>
      </c>
      <c r="G688" s="1" t="s">
        <v>1649</v>
      </c>
      <c r="H688" s="1" t="s">
        <v>1650</v>
      </c>
      <c r="I688" s="1">
        <v>24</v>
      </c>
      <c r="J688" s="1">
        <v>24</v>
      </c>
    </row>
    <row r="689" spans="1:3" x14ac:dyDescent="0.25">
      <c r="A689" s="1" t="str">
        <f t="shared" si="10"/>
        <v/>
      </c>
      <c r="B6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9" s="1" t="s">
        <v>112</v>
      </c>
    </row>
    <row r="690" spans="1:3" x14ac:dyDescent="0.25">
      <c r="A690" s="1" t="str">
        <f t="shared" si="10"/>
        <v/>
      </c>
      <c r="B6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0" s="1" t="s">
        <v>112</v>
      </c>
    </row>
    <row r="691" spans="1:3" x14ac:dyDescent="0.25">
      <c r="A691" s="1" t="str">
        <f t="shared" si="10"/>
        <v/>
      </c>
      <c r="B6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1" s="1" t="s">
        <v>112</v>
      </c>
    </row>
    <row r="692" spans="1:3" x14ac:dyDescent="0.25">
      <c r="A692" s="1" t="str">
        <f t="shared" si="10"/>
        <v/>
      </c>
      <c r="B6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2" s="1" t="s">
        <v>112</v>
      </c>
    </row>
    <row r="693" spans="1:3" x14ac:dyDescent="0.25">
      <c r="A693" s="1" t="str">
        <f t="shared" si="10"/>
        <v/>
      </c>
      <c r="B6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4" spans="1:3" x14ac:dyDescent="0.25">
      <c r="A694" s="1" t="str">
        <f t="shared" si="10"/>
        <v/>
      </c>
      <c r="B6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5" spans="1:3" x14ac:dyDescent="0.25">
      <c r="A695" s="1" t="str">
        <f t="shared" si="10"/>
        <v/>
      </c>
      <c r="B6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6" spans="1:3" x14ac:dyDescent="0.25">
      <c r="A696" s="1" t="str">
        <f t="shared" si="10"/>
        <v/>
      </c>
      <c r="B6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7" spans="1:3" x14ac:dyDescent="0.25">
      <c r="A697" s="1" t="str">
        <f t="shared" si="10"/>
        <v/>
      </c>
      <c r="B6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8" spans="1:3" x14ac:dyDescent="0.25">
      <c r="A698" s="1" t="str">
        <f t="shared" si="10"/>
        <v/>
      </c>
      <c r="B6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9" spans="1:3" x14ac:dyDescent="0.25">
      <c r="A699" s="1" t="str">
        <f t="shared" si="10"/>
        <v/>
      </c>
      <c r="B6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0" spans="1:3" x14ac:dyDescent="0.25">
      <c r="A700" s="1" t="str">
        <f t="shared" si="10"/>
        <v/>
      </c>
      <c r="B7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1" spans="1:3" x14ac:dyDescent="0.25">
      <c r="A701" s="1" t="str">
        <f t="shared" si="10"/>
        <v/>
      </c>
      <c r="B7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2" spans="1:3" x14ac:dyDescent="0.25">
      <c r="A702" s="1" t="str">
        <f t="shared" si="10"/>
        <v/>
      </c>
      <c r="B7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3" spans="1:3" x14ac:dyDescent="0.25">
      <c r="A703" s="1" t="str">
        <f t="shared" si="10"/>
        <v/>
      </c>
      <c r="B7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4" spans="1:3" x14ac:dyDescent="0.25">
      <c r="A704" s="1" t="str">
        <f t="shared" si="10"/>
        <v/>
      </c>
      <c r="B7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5" spans="1:2" x14ac:dyDescent="0.25">
      <c r="A705" s="1" t="str">
        <f t="shared" si="10"/>
        <v/>
      </c>
      <c r="B7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6" spans="1:2" x14ac:dyDescent="0.25">
      <c r="A706" s="1" t="str">
        <f t="shared" ref="A706:A769" si="11">IFERROR(LEFT(RIGHT(C706,LEN(C706)-SEARCH("@",C706)),SEARCH("/",RIGHT(C706,LEN(C706)-SEARCH("@",C706)-1))),"")</f>
        <v/>
      </c>
      <c r="B7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7" spans="1:2" x14ac:dyDescent="0.25">
      <c r="A707" s="1" t="str">
        <f t="shared" si="11"/>
        <v/>
      </c>
      <c r="B7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8" spans="1:2" x14ac:dyDescent="0.25">
      <c r="A708" s="1" t="str">
        <f t="shared" si="11"/>
        <v/>
      </c>
      <c r="B7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9" spans="1:2" x14ac:dyDescent="0.25">
      <c r="A709" s="1" t="str">
        <f t="shared" si="11"/>
        <v/>
      </c>
      <c r="B7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0" spans="1:2" x14ac:dyDescent="0.25">
      <c r="A710" s="1" t="str">
        <f t="shared" si="11"/>
        <v/>
      </c>
      <c r="B7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1" spans="1:2" x14ac:dyDescent="0.25">
      <c r="A711" s="1" t="str">
        <f t="shared" si="11"/>
        <v/>
      </c>
      <c r="B7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2" spans="1:2" x14ac:dyDescent="0.25">
      <c r="A712" s="1" t="str">
        <f t="shared" si="11"/>
        <v/>
      </c>
      <c r="B7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3" spans="1:2" x14ac:dyDescent="0.25">
      <c r="A713" s="1" t="str">
        <f t="shared" si="11"/>
        <v/>
      </c>
      <c r="B7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4" spans="1:2" x14ac:dyDescent="0.25">
      <c r="A714" s="1" t="str">
        <f t="shared" si="11"/>
        <v/>
      </c>
      <c r="B7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5" spans="1:2" x14ac:dyDescent="0.25">
      <c r="A715" s="1" t="str">
        <f t="shared" si="11"/>
        <v/>
      </c>
      <c r="B7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6" spans="1:2" x14ac:dyDescent="0.25">
      <c r="A716" s="1" t="str">
        <f t="shared" si="11"/>
        <v/>
      </c>
      <c r="B7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7" spans="1:2" x14ac:dyDescent="0.25">
      <c r="A717" s="1" t="str">
        <f t="shared" si="11"/>
        <v/>
      </c>
      <c r="B7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8" spans="1:2" x14ac:dyDescent="0.25">
      <c r="A718" s="1" t="str">
        <f t="shared" si="11"/>
        <v/>
      </c>
      <c r="B7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9" spans="1:2" x14ac:dyDescent="0.25">
      <c r="A719" s="1" t="str">
        <f t="shared" si="11"/>
        <v/>
      </c>
      <c r="B7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0" spans="1:2" x14ac:dyDescent="0.25">
      <c r="A720" s="1" t="str">
        <f t="shared" si="11"/>
        <v/>
      </c>
      <c r="B7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1" spans="1:2" x14ac:dyDescent="0.25">
      <c r="A721" s="1" t="str">
        <f t="shared" si="11"/>
        <v/>
      </c>
      <c r="B7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2" spans="1:2" x14ac:dyDescent="0.25">
      <c r="A722" s="1" t="str">
        <f t="shared" si="11"/>
        <v/>
      </c>
      <c r="B7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3" spans="1:2" x14ac:dyDescent="0.25">
      <c r="A723" s="1" t="str">
        <f t="shared" si="11"/>
        <v/>
      </c>
      <c r="B7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4" spans="1:2" x14ac:dyDescent="0.25">
      <c r="A724" s="1" t="str">
        <f t="shared" si="11"/>
        <v/>
      </c>
      <c r="B7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5" spans="1:2" x14ac:dyDescent="0.25">
      <c r="A725" s="1" t="str">
        <f t="shared" si="11"/>
        <v/>
      </c>
      <c r="B7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6" spans="1:2" x14ac:dyDescent="0.25">
      <c r="A726" s="1" t="str">
        <f t="shared" si="11"/>
        <v/>
      </c>
      <c r="B7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7" spans="1:2" x14ac:dyDescent="0.25">
      <c r="A727" s="1" t="str">
        <f t="shared" si="11"/>
        <v/>
      </c>
      <c r="B7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8" spans="1:2" x14ac:dyDescent="0.25">
      <c r="A728" s="1" t="str">
        <f t="shared" si="11"/>
        <v/>
      </c>
      <c r="B7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9" spans="1:2" x14ac:dyDescent="0.25">
      <c r="A729" s="1" t="str">
        <f t="shared" si="11"/>
        <v/>
      </c>
      <c r="B7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0" spans="1:2" x14ac:dyDescent="0.25">
      <c r="A730" s="1" t="str">
        <f t="shared" si="11"/>
        <v/>
      </c>
      <c r="B7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1" spans="1:2" x14ac:dyDescent="0.25">
      <c r="A731" s="1" t="str">
        <f t="shared" si="11"/>
        <v/>
      </c>
      <c r="B7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2" spans="1:2" x14ac:dyDescent="0.25">
      <c r="A732" s="1" t="str">
        <f t="shared" si="11"/>
        <v/>
      </c>
      <c r="B7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3" spans="1:2" x14ac:dyDescent="0.25">
      <c r="A733" s="1" t="str">
        <f t="shared" si="11"/>
        <v/>
      </c>
      <c r="B7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4" spans="1:2" x14ac:dyDescent="0.25">
      <c r="A734" s="1" t="str">
        <f t="shared" si="11"/>
        <v/>
      </c>
      <c r="B7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5" spans="1:2" x14ac:dyDescent="0.25">
      <c r="A735" s="1" t="str">
        <f t="shared" si="11"/>
        <v/>
      </c>
      <c r="B7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6" spans="1:2" x14ac:dyDescent="0.25">
      <c r="A736" s="1" t="str">
        <f t="shared" si="11"/>
        <v/>
      </c>
      <c r="B7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7" spans="1:2" x14ac:dyDescent="0.25">
      <c r="A737" s="1" t="str">
        <f t="shared" si="11"/>
        <v/>
      </c>
      <c r="B7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8" spans="1:2" x14ac:dyDescent="0.25">
      <c r="A738" s="1" t="str">
        <f t="shared" si="11"/>
        <v/>
      </c>
      <c r="B7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9" spans="1:2" x14ac:dyDescent="0.25">
      <c r="A739" s="1" t="str">
        <f t="shared" si="11"/>
        <v/>
      </c>
      <c r="B7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0" spans="1:2" x14ac:dyDescent="0.25">
      <c r="A740" s="1" t="str">
        <f t="shared" si="11"/>
        <v/>
      </c>
      <c r="B7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1" spans="1:2" x14ac:dyDescent="0.25">
      <c r="A741" s="1" t="str">
        <f t="shared" si="11"/>
        <v/>
      </c>
      <c r="B7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2" spans="1:2" x14ac:dyDescent="0.25">
      <c r="A742" s="1" t="str">
        <f t="shared" si="11"/>
        <v/>
      </c>
      <c r="B7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3" spans="1:2" x14ac:dyDescent="0.25">
      <c r="A743" s="1" t="str">
        <f t="shared" si="11"/>
        <v/>
      </c>
      <c r="B7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4" spans="1:2" x14ac:dyDescent="0.25">
      <c r="A744" s="1" t="str">
        <f t="shared" si="11"/>
        <v/>
      </c>
      <c r="B7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5" spans="1:2" x14ac:dyDescent="0.25">
      <c r="A745" s="1" t="str">
        <f t="shared" si="11"/>
        <v/>
      </c>
      <c r="B7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6" spans="1:2" x14ac:dyDescent="0.25">
      <c r="A746" s="1" t="str">
        <f t="shared" si="11"/>
        <v/>
      </c>
      <c r="B7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7" spans="1:2" x14ac:dyDescent="0.25">
      <c r="A747" s="1" t="str">
        <f t="shared" si="11"/>
        <v/>
      </c>
      <c r="B7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8" spans="1:2" x14ac:dyDescent="0.25">
      <c r="A748" s="1" t="str">
        <f t="shared" si="11"/>
        <v/>
      </c>
      <c r="B7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9" spans="1:2" x14ac:dyDescent="0.25">
      <c r="A749" s="1" t="str">
        <f t="shared" si="11"/>
        <v/>
      </c>
      <c r="B7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0" spans="1:2" x14ac:dyDescent="0.25">
      <c r="A750" s="1" t="str">
        <f t="shared" si="11"/>
        <v/>
      </c>
      <c r="B7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1" spans="1:2" x14ac:dyDescent="0.25">
      <c r="A751" s="1" t="str">
        <f t="shared" si="11"/>
        <v/>
      </c>
      <c r="B7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2" spans="1:2" x14ac:dyDescent="0.25">
      <c r="A752" s="1" t="str">
        <f t="shared" si="11"/>
        <v/>
      </c>
      <c r="B7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3" spans="1:2" x14ac:dyDescent="0.25">
      <c r="A753" s="1" t="str">
        <f t="shared" si="11"/>
        <v/>
      </c>
      <c r="B7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4" spans="1:2" x14ac:dyDescent="0.25">
      <c r="A754" s="1" t="str">
        <f t="shared" si="11"/>
        <v/>
      </c>
      <c r="B7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5" spans="1:2" x14ac:dyDescent="0.25">
      <c r="A755" s="1" t="str">
        <f t="shared" si="11"/>
        <v/>
      </c>
      <c r="B7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6" spans="1:2" x14ac:dyDescent="0.25">
      <c r="A756" s="1" t="str">
        <f t="shared" si="11"/>
        <v/>
      </c>
      <c r="B7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7" spans="1:2" x14ac:dyDescent="0.25">
      <c r="A757" s="1" t="str">
        <f t="shared" si="11"/>
        <v/>
      </c>
      <c r="B7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8" spans="1:2" x14ac:dyDescent="0.25">
      <c r="A758" s="1" t="str">
        <f t="shared" si="11"/>
        <v/>
      </c>
      <c r="B7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9" spans="1:2" x14ac:dyDescent="0.25">
      <c r="A759" s="1" t="str">
        <f t="shared" si="11"/>
        <v/>
      </c>
      <c r="B7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0" spans="1:2" x14ac:dyDescent="0.25">
      <c r="A760" s="1" t="str">
        <f t="shared" si="11"/>
        <v/>
      </c>
      <c r="B7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1" spans="1:2" x14ac:dyDescent="0.25">
      <c r="A761" s="1" t="str">
        <f t="shared" si="11"/>
        <v/>
      </c>
      <c r="B7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2" spans="1:2" x14ac:dyDescent="0.25">
      <c r="A762" s="1" t="str">
        <f t="shared" si="11"/>
        <v/>
      </c>
      <c r="B7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3" spans="1:2" x14ac:dyDescent="0.25">
      <c r="A763" s="1" t="str">
        <f t="shared" si="11"/>
        <v/>
      </c>
      <c r="B7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4" spans="1:2" x14ac:dyDescent="0.25">
      <c r="A764" s="1" t="str">
        <f t="shared" si="11"/>
        <v/>
      </c>
      <c r="B7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5" spans="1:2" x14ac:dyDescent="0.25">
      <c r="A765" s="1" t="str">
        <f t="shared" si="11"/>
        <v/>
      </c>
      <c r="B7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6" spans="1:2" x14ac:dyDescent="0.25">
      <c r="A766" s="1" t="str">
        <f t="shared" si="11"/>
        <v/>
      </c>
      <c r="B7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7" spans="1:2" x14ac:dyDescent="0.25">
      <c r="A767" s="1" t="str">
        <f t="shared" si="11"/>
        <v/>
      </c>
      <c r="B7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8" spans="1:2" x14ac:dyDescent="0.25">
      <c r="A768" s="1" t="str">
        <f t="shared" si="11"/>
        <v/>
      </c>
      <c r="B7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9" spans="1:2" x14ac:dyDescent="0.25">
      <c r="A769" s="1" t="str">
        <f t="shared" si="11"/>
        <v/>
      </c>
      <c r="B7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0" spans="1:2" x14ac:dyDescent="0.25">
      <c r="A770" s="1" t="str">
        <f t="shared" ref="A770:A833" si="12">IFERROR(LEFT(RIGHT(C770,LEN(C770)-SEARCH("@",C770)),SEARCH("/",RIGHT(C770,LEN(C770)-SEARCH("@",C770)-1))),"")</f>
        <v/>
      </c>
      <c r="B7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1" spans="1:2" x14ac:dyDescent="0.25">
      <c r="A771" s="1" t="str">
        <f t="shared" si="12"/>
        <v/>
      </c>
      <c r="B7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2" spans="1:2" x14ac:dyDescent="0.25">
      <c r="A772" s="1" t="str">
        <f t="shared" si="12"/>
        <v/>
      </c>
      <c r="B7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3" spans="1:2" x14ac:dyDescent="0.25">
      <c r="A773" s="1" t="str">
        <f t="shared" si="12"/>
        <v/>
      </c>
      <c r="B7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4" spans="1:2" x14ac:dyDescent="0.25">
      <c r="A774" s="1" t="str">
        <f t="shared" si="12"/>
        <v/>
      </c>
      <c r="B7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5" spans="1:2" x14ac:dyDescent="0.25">
      <c r="A775" s="1" t="str">
        <f t="shared" si="12"/>
        <v/>
      </c>
      <c r="B7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6" spans="1:2" x14ac:dyDescent="0.25">
      <c r="A776" s="1" t="str">
        <f t="shared" si="12"/>
        <v/>
      </c>
      <c r="B7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7" spans="1:2" x14ac:dyDescent="0.25">
      <c r="A777" s="1" t="str">
        <f t="shared" si="12"/>
        <v/>
      </c>
      <c r="B7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8" spans="1:2" x14ac:dyDescent="0.25">
      <c r="A778" s="1" t="str">
        <f t="shared" si="12"/>
        <v/>
      </c>
      <c r="B7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9" spans="1:2" x14ac:dyDescent="0.25">
      <c r="A779" s="1" t="str">
        <f t="shared" si="12"/>
        <v/>
      </c>
      <c r="B7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0" spans="1:2" x14ac:dyDescent="0.25">
      <c r="A780" s="1" t="str">
        <f t="shared" si="12"/>
        <v/>
      </c>
      <c r="B7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1" spans="1:2" x14ac:dyDescent="0.25">
      <c r="A781" s="1" t="str">
        <f t="shared" si="12"/>
        <v/>
      </c>
      <c r="B7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2" spans="1:2" x14ac:dyDescent="0.25">
      <c r="A782" s="1" t="str">
        <f t="shared" si="12"/>
        <v/>
      </c>
      <c r="B7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3" spans="1:2" x14ac:dyDescent="0.25">
      <c r="A783" s="1" t="str">
        <f t="shared" si="12"/>
        <v/>
      </c>
      <c r="B7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4" spans="1:2" x14ac:dyDescent="0.25">
      <c r="A784" s="1" t="str">
        <f t="shared" si="12"/>
        <v/>
      </c>
      <c r="B7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5" spans="1:2" x14ac:dyDescent="0.25">
      <c r="A785" s="1" t="str">
        <f t="shared" si="12"/>
        <v/>
      </c>
      <c r="B7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6" spans="1:2" x14ac:dyDescent="0.25">
      <c r="A786" s="1" t="str">
        <f t="shared" si="12"/>
        <v/>
      </c>
      <c r="B7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7" spans="1:2" x14ac:dyDescent="0.25">
      <c r="A787" s="1" t="str">
        <f t="shared" si="12"/>
        <v/>
      </c>
      <c r="B7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8" spans="1:2" x14ac:dyDescent="0.25">
      <c r="A788" s="1" t="str">
        <f t="shared" si="12"/>
        <v/>
      </c>
      <c r="B7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9" spans="1:2" x14ac:dyDescent="0.25">
      <c r="A789" s="1" t="str">
        <f t="shared" si="12"/>
        <v/>
      </c>
      <c r="B7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0" spans="1:2" x14ac:dyDescent="0.25">
      <c r="A790" s="1" t="str">
        <f t="shared" si="12"/>
        <v/>
      </c>
      <c r="B7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1" spans="1:2" x14ac:dyDescent="0.25">
      <c r="A791" s="1" t="str">
        <f t="shared" si="12"/>
        <v/>
      </c>
      <c r="B7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2" spans="1:2" x14ac:dyDescent="0.25">
      <c r="A792" s="1" t="str">
        <f t="shared" si="12"/>
        <v/>
      </c>
      <c r="B7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3" spans="1:2" x14ac:dyDescent="0.25">
      <c r="A793" s="1" t="str">
        <f t="shared" si="12"/>
        <v/>
      </c>
      <c r="B7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4" spans="1:2" x14ac:dyDescent="0.25">
      <c r="A794" s="1" t="str">
        <f t="shared" si="12"/>
        <v/>
      </c>
      <c r="B7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5" spans="1:2" x14ac:dyDescent="0.25">
      <c r="A795" s="1" t="str">
        <f t="shared" si="12"/>
        <v/>
      </c>
      <c r="B7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6" spans="1:2" x14ac:dyDescent="0.25">
      <c r="A796" s="1" t="str">
        <f t="shared" si="12"/>
        <v/>
      </c>
      <c r="B7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7" spans="1:2" x14ac:dyDescent="0.25">
      <c r="A797" s="1" t="str">
        <f t="shared" si="12"/>
        <v/>
      </c>
      <c r="B7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8" spans="1:2" x14ac:dyDescent="0.25">
      <c r="A798" s="1" t="str">
        <f t="shared" si="12"/>
        <v/>
      </c>
      <c r="B7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9" spans="1:2" x14ac:dyDescent="0.25">
      <c r="A799" s="1" t="str">
        <f t="shared" si="12"/>
        <v/>
      </c>
      <c r="B7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0" spans="1:2" x14ac:dyDescent="0.25">
      <c r="A800" s="1" t="str">
        <f t="shared" si="12"/>
        <v/>
      </c>
      <c r="B8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1" spans="1:2" x14ac:dyDescent="0.25">
      <c r="A801" s="1" t="str">
        <f t="shared" si="12"/>
        <v/>
      </c>
      <c r="B8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2" spans="1:2" x14ac:dyDescent="0.25">
      <c r="A802" s="1" t="str">
        <f t="shared" si="12"/>
        <v/>
      </c>
      <c r="B8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3" spans="1:2" x14ac:dyDescent="0.25">
      <c r="A803" s="1" t="str">
        <f t="shared" si="12"/>
        <v/>
      </c>
      <c r="B8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4" spans="1:2" x14ac:dyDescent="0.25">
      <c r="A804" s="1" t="str">
        <f t="shared" si="12"/>
        <v/>
      </c>
      <c r="B8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5" spans="1:2" x14ac:dyDescent="0.25">
      <c r="A805" s="1" t="str">
        <f t="shared" si="12"/>
        <v/>
      </c>
      <c r="B8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6" spans="1:2" x14ac:dyDescent="0.25">
      <c r="A806" s="1" t="str">
        <f t="shared" si="12"/>
        <v/>
      </c>
      <c r="B8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7" spans="1:2" x14ac:dyDescent="0.25">
      <c r="A807" s="1" t="str">
        <f t="shared" si="12"/>
        <v/>
      </c>
      <c r="B8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8" spans="1:2" x14ac:dyDescent="0.25">
      <c r="A808" s="1" t="str">
        <f t="shared" si="12"/>
        <v/>
      </c>
      <c r="B8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9" spans="1:2" x14ac:dyDescent="0.25">
      <c r="A809" s="1" t="str">
        <f t="shared" si="12"/>
        <v/>
      </c>
      <c r="B8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0" spans="1:2" x14ac:dyDescent="0.25">
      <c r="A810" s="1" t="str">
        <f t="shared" si="12"/>
        <v/>
      </c>
      <c r="B8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1" spans="1:2" x14ac:dyDescent="0.25">
      <c r="A811" s="1" t="str">
        <f t="shared" si="12"/>
        <v/>
      </c>
      <c r="B8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2" spans="1:2" x14ac:dyDescent="0.25">
      <c r="A812" s="1" t="str">
        <f t="shared" si="12"/>
        <v/>
      </c>
      <c r="B8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3" spans="1:2" x14ac:dyDescent="0.25">
      <c r="A813" s="1" t="str">
        <f t="shared" si="12"/>
        <v/>
      </c>
      <c r="B8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4" spans="1:2" x14ac:dyDescent="0.25">
      <c r="A814" s="1" t="str">
        <f t="shared" si="12"/>
        <v/>
      </c>
      <c r="B8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5" spans="1:2" x14ac:dyDescent="0.25">
      <c r="A815" s="1" t="str">
        <f t="shared" si="12"/>
        <v/>
      </c>
      <c r="B8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6" spans="1:2" x14ac:dyDescent="0.25">
      <c r="A816" s="1" t="str">
        <f t="shared" si="12"/>
        <v/>
      </c>
      <c r="B8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7" spans="1:2" x14ac:dyDescent="0.25">
      <c r="A817" s="1" t="str">
        <f t="shared" si="12"/>
        <v/>
      </c>
      <c r="B8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8" spans="1:2" x14ac:dyDescent="0.25">
      <c r="A818" s="1" t="str">
        <f t="shared" si="12"/>
        <v/>
      </c>
      <c r="B8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9" spans="1:2" x14ac:dyDescent="0.25">
      <c r="A819" s="1" t="str">
        <f t="shared" si="12"/>
        <v/>
      </c>
      <c r="B8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0" spans="1:2" x14ac:dyDescent="0.25">
      <c r="A820" s="1" t="str">
        <f t="shared" si="12"/>
        <v/>
      </c>
      <c r="B8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1" spans="1:2" x14ac:dyDescent="0.25">
      <c r="A821" s="1" t="str">
        <f t="shared" si="12"/>
        <v/>
      </c>
      <c r="B8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2" spans="1:2" x14ac:dyDescent="0.25">
      <c r="A822" s="1" t="str">
        <f t="shared" si="12"/>
        <v/>
      </c>
      <c r="B8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3" spans="1:2" x14ac:dyDescent="0.25">
      <c r="A823" s="1" t="str">
        <f t="shared" si="12"/>
        <v/>
      </c>
      <c r="B8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4" spans="1:2" x14ac:dyDescent="0.25">
      <c r="A824" s="1" t="str">
        <f t="shared" si="12"/>
        <v/>
      </c>
      <c r="B8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5" spans="1:2" x14ac:dyDescent="0.25">
      <c r="A825" s="1" t="str">
        <f t="shared" si="12"/>
        <v/>
      </c>
      <c r="B8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6" spans="1:2" x14ac:dyDescent="0.25">
      <c r="A826" s="1" t="str">
        <f t="shared" si="12"/>
        <v/>
      </c>
      <c r="B8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7" spans="1:2" x14ac:dyDescent="0.25">
      <c r="A827" s="1" t="str">
        <f t="shared" si="12"/>
        <v/>
      </c>
      <c r="B8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8" spans="1:2" x14ac:dyDescent="0.25">
      <c r="A828" s="1" t="str">
        <f t="shared" si="12"/>
        <v/>
      </c>
      <c r="B8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9" spans="1:2" x14ac:dyDescent="0.25">
      <c r="A829" s="1" t="str">
        <f t="shared" si="12"/>
        <v/>
      </c>
      <c r="B8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0" spans="1:2" x14ac:dyDescent="0.25">
      <c r="A830" s="1" t="str">
        <f t="shared" si="12"/>
        <v/>
      </c>
      <c r="B8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1" spans="1:2" x14ac:dyDescent="0.25">
      <c r="A831" s="1" t="str">
        <f t="shared" si="12"/>
        <v/>
      </c>
      <c r="B8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2" spans="1:2" x14ac:dyDescent="0.25">
      <c r="A832" s="1" t="str">
        <f t="shared" si="12"/>
        <v/>
      </c>
      <c r="B8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3" spans="1:2" x14ac:dyDescent="0.25">
      <c r="A833" s="1" t="str">
        <f t="shared" si="12"/>
        <v/>
      </c>
      <c r="B8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4" spans="1:2" x14ac:dyDescent="0.25">
      <c r="A834" s="1" t="str">
        <f t="shared" ref="A834:A897" si="13">IFERROR(LEFT(RIGHT(C834,LEN(C834)-SEARCH("@",C834)),SEARCH("/",RIGHT(C834,LEN(C834)-SEARCH("@",C834)-1))),"")</f>
        <v/>
      </c>
      <c r="B8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5" spans="1:2" x14ac:dyDescent="0.25">
      <c r="A835" s="1" t="str">
        <f t="shared" si="13"/>
        <v/>
      </c>
      <c r="B8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6" spans="1:2" x14ac:dyDescent="0.25">
      <c r="A836" s="1" t="str">
        <f t="shared" si="13"/>
        <v/>
      </c>
      <c r="B8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7" spans="1:2" x14ac:dyDescent="0.25">
      <c r="A837" s="1" t="str">
        <f t="shared" si="13"/>
        <v/>
      </c>
      <c r="B8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8" spans="1:2" x14ac:dyDescent="0.25">
      <c r="A838" s="1" t="str">
        <f t="shared" si="13"/>
        <v/>
      </c>
      <c r="B8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9" spans="1:2" x14ac:dyDescent="0.25">
      <c r="A839" s="1" t="str">
        <f t="shared" si="13"/>
        <v/>
      </c>
      <c r="B8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0" spans="1:2" x14ac:dyDescent="0.25">
      <c r="A840" s="1" t="str">
        <f t="shared" si="13"/>
        <v/>
      </c>
      <c r="B8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1" spans="1:2" x14ac:dyDescent="0.25">
      <c r="A841" s="1" t="str">
        <f t="shared" si="13"/>
        <v/>
      </c>
      <c r="B8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2" spans="1:2" x14ac:dyDescent="0.25">
      <c r="A842" s="1" t="str">
        <f t="shared" si="13"/>
        <v/>
      </c>
      <c r="B8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3" spans="1:2" x14ac:dyDescent="0.25">
      <c r="A843" s="1" t="str">
        <f t="shared" si="13"/>
        <v/>
      </c>
      <c r="B8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4" spans="1:2" x14ac:dyDescent="0.25">
      <c r="A844" s="1" t="str">
        <f t="shared" si="13"/>
        <v/>
      </c>
      <c r="B8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5" spans="1:2" x14ac:dyDescent="0.25">
      <c r="A845" s="1" t="str">
        <f t="shared" si="13"/>
        <v/>
      </c>
      <c r="B8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6" spans="1:2" x14ac:dyDescent="0.25">
      <c r="A846" s="1" t="str">
        <f t="shared" si="13"/>
        <v/>
      </c>
      <c r="B8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7" spans="1:2" x14ac:dyDescent="0.25">
      <c r="A847" s="1" t="str">
        <f t="shared" si="13"/>
        <v/>
      </c>
      <c r="B8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8" spans="1:2" x14ac:dyDescent="0.25">
      <c r="A848" s="1" t="str">
        <f t="shared" si="13"/>
        <v/>
      </c>
      <c r="B8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9" spans="1:2" x14ac:dyDescent="0.25">
      <c r="A849" s="1" t="str">
        <f t="shared" si="13"/>
        <v/>
      </c>
      <c r="B8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0" spans="1:2" x14ac:dyDescent="0.25">
      <c r="A850" s="1" t="str">
        <f t="shared" si="13"/>
        <v/>
      </c>
      <c r="B8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1" spans="1:2" x14ac:dyDescent="0.25">
      <c r="A851" s="1" t="str">
        <f t="shared" si="13"/>
        <v/>
      </c>
      <c r="B8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2" spans="1:2" x14ac:dyDescent="0.25">
      <c r="A852" s="1" t="str">
        <f t="shared" si="13"/>
        <v/>
      </c>
      <c r="B8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3" spans="1:2" x14ac:dyDescent="0.25">
      <c r="A853" s="1" t="str">
        <f t="shared" si="13"/>
        <v/>
      </c>
      <c r="B8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4" spans="1:2" x14ac:dyDescent="0.25">
      <c r="A854" s="1" t="str">
        <f t="shared" si="13"/>
        <v/>
      </c>
      <c r="B8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5" spans="1:2" x14ac:dyDescent="0.25">
      <c r="A855" s="1" t="str">
        <f t="shared" si="13"/>
        <v/>
      </c>
      <c r="B8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6" spans="1:2" x14ac:dyDescent="0.25">
      <c r="A856" s="1" t="str">
        <f t="shared" si="13"/>
        <v/>
      </c>
      <c r="B8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7" spans="1:2" x14ac:dyDescent="0.25">
      <c r="A857" s="1" t="str">
        <f t="shared" si="13"/>
        <v/>
      </c>
      <c r="B8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8" spans="1:2" x14ac:dyDescent="0.25">
      <c r="A858" s="1" t="str">
        <f t="shared" si="13"/>
        <v/>
      </c>
      <c r="B8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9" spans="1:2" x14ac:dyDescent="0.25">
      <c r="A859" s="1" t="str">
        <f t="shared" si="13"/>
        <v/>
      </c>
      <c r="B8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0" spans="1:2" x14ac:dyDescent="0.25">
      <c r="A860" s="1" t="str">
        <f t="shared" si="13"/>
        <v/>
      </c>
      <c r="B8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1" spans="1:2" x14ac:dyDescent="0.25">
      <c r="A861" s="1" t="str">
        <f t="shared" si="13"/>
        <v/>
      </c>
      <c r="B8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2" spans="1:2" x14ac:dyDescent="0.25">
      <c r="A862" s="1" t="str">
        <f t="shared" si="13"/>
        <v/>
      </c>
      <c r="B8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3" spans="1:2" x14ac:dyDescent="0.25">
      <c r="A863" s="1" t="str">
        <f t="shared" si="13"/>
        <v/>
      </c>
      <c r="B8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4" spans="1:2" x14ac:dyDescent="0.25">
      <c r="A864" s="1" t="str">
        <f t="shared" si="13"/>
        <v/>
      </c>
      <c r="B8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5" spans="1:2" x14ac:dyDescent="0.25">
      <c r="A865" s="1" t="str">
        <f t="shared" si="13"/>
        <v/>
      </c>
      <c r="B8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6" spans="1:2" x14ac:dyDescent="0.25">
      <c r="A866" s="1" t="str">
        <f t="shared" si="13"/>
        <v/>
      </c>
      <c r="B8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7" spans="1:2" x14ac:dyDescent="0.25">
      <c r="A867" s="1" t="str">
        <f t="shared" si="13"/>
        <v/>
      </c>
      <c r="B8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8" spans="1:2" x14ac:dyDescent="0.25">
      <c r="A868" s="1" t="str">
        <f t="shared" si="13"/>
        <v/>
      </c>
      <c r="B8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9" spans="1:2" x14ac:dyDescent="0.25">
      <c r="A869" s="1" t="str">
        <f t="shared" si="13"/>
        <v/>
      </c>
      <c r="B8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0" spans="1:2" x14ac:dyDescent="0.25">
      <c r="A870" s="1" t="str">
        <f t="shared" si="13"/>
        <v/>
      </c>
      <c r="B8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1" spans="1:2" x14ac:dyDescent="0.25">
      <c r="A871" s="1" t="str">
        <f t="shared" si="13"/>
        <v/>
      </c>
      <c r="B8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2" spans="1:2" x14ac:dyDescent="0.25">
      <c r="A872" s="1" t="str">
        <f t="shared" si="13"/>
        <v/>
      </c>
      <c r="B8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3" spans="1:2" x14ac:dyDescent="0.25">
      <c r="A873" s="1" t="str">
        <f t="shared" si="13"/>
        <v/>
      </c>
      <c r="B8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4" spans="1:2" x14ac:dyDescent="0.25">
      <c r="A874" s="1" t="str">
        <f t="shared" si="13"/>
        <v/>
      </c>
      <c r="B8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5" spans="1:2" x14ac:dyDescent="0.25">
      <c r="A875" s="1" t="str">
        <f t="shared" si="13"/>
        <v/>
      </c>
      <c r="B8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6" spans="1:2" x14ac:dyDescent="0.25">
      <c r="A876" s="1" t="str">
        <f t="shared" si="13"/>
        <v/>
      </c>
      <c r="B8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7" spans="1:2" x14ac:dyDescent="0.25">
      <c r="A877" s="1" t="str">
        <f t="shared" si="13"/>
        <v/>
      </c>
      <c r="B8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8" spans="1:2" x14ac:dyDescent="0.25">
      <c r="A878" s="1" t="str">
        <f t="shared" si="13"/>
        <v/>
      </c>
      <c r="B8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9" spans="1:2" x14ac:dyDescent="0.25">
      <c r="A879" s="1" t="str">
        <f t="shared" si="13"/>
        <v/>
      </c>
      <c r="B8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0" spans="1:2" x14ac:dyDescent="0.25">
      <c r="A880" s="1" t="str">
        <f t="shared" si="13"/>
        <v/>
      </c>
      <c r="B8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1" spans="1:2" x14ac:dyDescent="0.25">
      <c r="A881" s="1" t="str">
        <f t="shared" si="13"/>
        <v/>
      </c>
      <c r="B8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2" spans="1:2" x14ac:dyDescent="0.25">
      <c r="A882" s="1" t="str">
        <f t="shared" si="13"/>
        <v/>
      </c>
      <c r="B8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3" spans="1:2" x14ac:dyDescent="0.25">
      <c r="A883" s="1" t="str">
        <f t="shared" si="13"/>
        <v/>
      </c>
      <c r="B8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4" spans="1:2" x14ac:dyDescent="0.25">
      <c r="A884" s="1" t="str">
        <f t="shared" si="13"/>
        <v/>
      </c>
      <c r="B8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5" spans="1:2" x14ac:dyDescent="0.25">
      <c r="A885" s="1" t="str">
        <f t="shared" si="13"/>
        <v/>
      </c>
      <c r="B8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6" spans="1:2" x14ac:dyDescent="0.25">
      <c r="A886" s="1" t="str">
        <f t="shared" si="13"/>
        <v/>
      </c>
      <c r="B8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7" spans="1:2" x14ac:dyDescent="0.25">
      <c r="A887" s="1" t="str">
        <f t="shared" si="13"/>
        <v/>
      </c>
      <c r="B8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8" spans="1:2" x14ac:dyDescent="0.25">
      <c r="A888" s="1" t="str">
        <f t="shared" si="13"/>
        <v/>
      </c>
      <c r="B8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9" spans="1:2" x14ac:dyDescent="0.25">
      <c r="A889" s="1" t="str">
        <f t="shared" si="13"/>
        <v/>
      </c>
      <c r="B8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0" spans="1:2" x14ac:dyDescent="0.25">
      <c r="A890" s="1" t="str">
        <f t="shared" si="13"/>
        <v/>
      </c>
      <c r="B8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1" spans="1:2" x14ac:dyDescent="0.25">
      <c r="A891" s="1" t="str">
        <f t="shared" si="13"/>
        <v/>
      </c>
      <c r="B8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2" spans="1:2" x14ac:dyDescent="0.25">
      <c r="A892" s="1" t="str">
        <f t="shared" si="13"/>
        <v/>
      </c>
      <c r="B8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3" spans="1:2" x14ac:dyDescent="0.25">
      <c r="A893" s="1" t="str">
        <f t="shared" si="13"/>
        <v/>
      </c>
      <c r="B8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4" spans="1:2" x14ac:dyDescent="0.25">
      <c r="A894" s="1" t="str">
        <f t="shared" si="13"/>
        <v/>
      </c>
      <c r="B8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5" spans="1:2" x14ac:dyDescent="0.25">
      <c r="A895" s="1" t="str">
        <f t="shared" si="13"/>
        <v/>
      </c>
      <c r="B8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6" spans="1:2" x14ac:dyDescent="0.25">
      <c r="A896" s="1" t="str">
        <f t="shared" si="13"/>
        <v/>
      </c>
      <c r="B8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7" spans="1:2" x14ac:dyDescent="0.25">
      <c r="A897" s="1" t="str">
        <f t="shared" si="13"/>
        <v/>
      </c>
      <c r="B8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8" spans="1:2" x14ac:dyDescent="0.25">
      <c r="A898" s="1" t="str">
        <f t="shared" ref="A898:A961" si="14">IFERROR(LEFT(RIGHT(C898,LEN(C898)-SEARCH("@",C898)),SEARCH("/",RIGHT(C898,LEN(C898)-SEARCH("@",C898)-1))),"")</f>
        <v/>
      </c>
      <c r="B8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9" spans="1:2" x14ac:dyDescent="0.25">
      <c r="A899" s="1" t="str">
        <f t="shared" si="14"/>
        <v/>
      </c>
      <c r="B8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0" spans="1:2" x14ac:dyDescent="0.25">
      <c r="A900" s="1" t="str">
        <f t="shared" si="14"/>
        <v/>
      </c>
      <c r="B9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1" spans="1:2" x14ac:dyDescent="0.25">
      <c r="A901" s="1" t="str">
        <f t="shared" si="14"/>
        <v/>
      </c>
      <c r="B9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2" spans="1:2" x14ac:dyDescent="0.25">
      <c r="A902" s="1" t="str">
        <f t="shared" si="14"/>
        <v/>
      </c>
      <c r="B9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3" spans="1:2" x14ac:dyDescent="0.25">
      <c r="A903" s="1" t="str">
        <f t="shared" si="14"/>
        <v/>
      </c>
      <c r="B9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4" spans="1:2" x14ac:dyDescent="0.25">
      <c r="A904" s="1" t="str">
        <f t="shared" si="14"/>
        <v/>
      </c>
      <c r="B9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5" spans="1:2" x14ac:dyDescent="0.25">
      <c r="A905" s="1" t="str">
        <f t="shared" si="14"/>
        <v/>
      </c>
      <c r="B9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6" spans="1:2" x14ac:dyDescent="0.25">
      <c r="A906" s="1" t="str">
        <f t="shared" si="14"/>
        <v/>
      </c>
      <c r="B9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7" spans="1:2" x14ac:dyDescent="0.25">
      <c r="A907" s="1" t="str">
        <f t="shared" si="14"/>
        <v/>
      </c>
      <c r="B9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8" spans="1:2" x14ac:dyDescent="0.25">
      <c r="A908" s="1" t="str">
        <f t="shared" si="14"/>
        <v/>
      </c>
      <c r="B9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9" spans="1:2" x14ac:dyDescent="0.25">
      <c r="A909" s="1" t="str">
        <f t="shared" si="14"/>
        <v/>
      </c>
      <c r="B9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0" spans="1:2" x14ac:dyDescent="0.25">
      <c r="A910" s="1" t="str">
        <f t="shared" si="14"/>
        <v/>
      </c>
      <c r="B9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1" spans="1:2" x14ac:dyDescent="0.25">
      <c r="A911" s="1" t="str">
        <f t="shared" si="14"/>
        <v/>
      </c>
      <c r="B9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2" spans="1:2" x14ac:dyDescent="0.25">
      <c r="A912" s="1" t="str">
        <f t="shared" si="14"/>
        <v/>
      </c>
      <c r="B9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3" spans="1:2" x14ac:dyDescent="0.25">
      <c r="A913" s="1" t="str">
        <f t="shared" si="14"/>
        <v/>
      </c>
      <c r="B9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4" spans="1:2" x14ac:dyDescent="0.25">
      <c r="A914" s="1" t="str">
        <f t="shared" si="14"/>
        <v/>
      </c>
      <c r="B9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5" spans="1:2" x14ac:dyDescent="0.25">
      <c r="A915" s="1" t="str">
        <f t="shared" si="14"/>
        <v/>
      </c>
      <c r="B9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6" spans="1:2" x14ac:dyDescent="0.25">
      <c r="A916" s="1" t="str">
        <f t="shared" si="14"/>
        <v/>
      </c>
      <c r="B9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7" spans="1:2" x14ac:dyDescent="0.25">
      <c r="A917" s="1" t="str">
        <f t="shared" si="14"/>
        <v/>
      </c>
      <c r="B9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8" spans="1:2" x14ac:dyDescent="0.25">
      <c r="A918" s="1" t="str">
        <f t="shared" si="14"/>
        <v/>
      </c>
      <c r="B9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9" spans="1:2" x14ac:dyDescent="0.25">
      <c r="A919" s="1" t="str">
        <f t="shared" si="14"/>
        <v/>
      </c>
      <c r="B9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0" spans="1:2" x14ac:dyDescent="0.25">
      <c r="A920" s="1" t="str">
        <f t="shared" si="14"/>
        <v/>
      </c>
      <c r="B9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1" spans="1:2" x14ac:dyDescent="0.25">
      <c r="A921" s="1" t="str">
        <f t="shared" si="14"/>
        <v/>
      </c>
      <c r="B9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2" spans="1:2" x14ac:dyDescent="0.25">
      <c r="A922" s="1" t="str">
        <f t="shared" si="14"/>
        <v/>
      </c>
      <c r="B9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3" spans="1:2" x14ac:dyDescent="0.25">
      <c r="A923" s="1" t="str">
        <f t="shared" si="14"/>
        <v/>
      </c>
      <c r="B9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4" spans="1:2" x14ac:dyDescent="0.25">
      <c r="A924" s="1" t="str">
        <f t="shared" si="14"/>
        <v/>
      </c>
      <c r="B9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5" spans="1:2" x14ac:dyDescent="0.25">
      <c r="A925" s="1" t="str">
        <f t="shared" si="14"/>
        <v/>
      </c>
      <c r="B9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6" spans="1:2" x14ac:dyDescent="0.25">
      <c r="A926" s="1" t="str">
        <f t="shared" si="14"/>
        <v/>
      </c>
      <c r="B9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7" spans="1:2" x14ac:dyDescent="0.25">
      <c r="A927" s="1" t="str">
        <f t="shared" si="14"/>
        <v/>
      </c>
      <c r="B9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8" spans="1:2" x14ac:dyDescent="0.25">
      <c r="A928" s="1" t="str">
        <f t="shared" si="14"/>
        <v/>
      </c>
      <c r="B9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9" spans="1:2" x14ac:dyDescent="0.25">
      <c r="A929" s="1" t="str">
        <f t="shared" si="14"/>
        <v/>
      </c>
      <c r="B9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0" spans="1:2" x14ac:dyDescent="0.25">
      <c r="A930" s="1" t="str">
        <f t="shared" si="14"/>
        <v/>
      </c>
      <c r="B9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1" spans="1:2" x14ac:dyDescent="0.25">
      <c r="A931" s="1" t="str">
        <f t="shared" si="14"/>
        <v/>
      </c>
      <c r="B9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2" spans="1:2" x14ac:dyDescent="0.25">
      <c r="A932" s="1" t="str">
        <f t="shared" si="14"/>
        <v/>
      </c>
      <c r="B9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3" spans="1:2" x14ac:dyDescent="0.25">
      <c r="A933" s="1" t="str">
        <f t="shared" si="14"/>
        <v/>
      </c>
      <c r="B9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4" spans="1:2" x14ac:dyDescent="0.25">
      <c r="A934" s="1" t="str">
        <f t="shared" si="14"/>
        <v/>
      </c>
      <c r="B9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5" spans="1:2" x14ac:dyDescent="0.25">
      <c r="A935" s="1" t="str">
        <f t="shared" si="14"/>
        <v/>
      </c>
      <c r="B9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6" spans="1:2" x14ac:dyDescent="0.25">
      <c r="A936" s="1" t="str">
        <f t="shared" si="14"/>
        <v/>
      </c>
      <c r="B9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7" spans="1:2" x14ac:dyDescent="0.25">
      <c r="A937" s="1" t="str">
        <f t="shared" si="14"/>
        <v/>
      </c>
      <c r="B9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8" spans="1:2" x14ac:dyDescent="0.25">
      <c r="A938" s="1" t="str">
        <f t="shared" si="14"/>
        <v/>
      </c>
      <c r="B9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9" spans="1:2" x14ac:dyDescent="0.25">
      <c r="A939" s="1" t="str">
        <f t="shared" si="14"/>
        <v/>
      </c>
      <c r="B9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0" spans="1:2" x14ac:dyDescent="0.25">
      <c r="A940" s="1" t="str">
        <f t="shared" si="14"/>
        <v/>
      </c>
      <c r="B9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1" spans="1:2" x14ac:dyDescent="0.25">
      <c r="A941" s="1" t="str">
        <f t="shared" si="14"/>
        <v/>
      </c>
      <c r="B9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2" spans="1:2" x14ac:dyDescent="0.25">
      <c r="A942" s="1" t="str">
        <f t="shared" si="14"/>
        <v/>
      </c>
      <c r="B9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3" spans="1:2" x14ac:dyDescent="0.25">
      <c r="A943" s="1" t="str">
        <f t="shared" si="14"/>
        <v/>
      </c>
      <c r="B9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4" spans="1:2" x14ac:dyDescent="0.25">
      <c r="A944" s="1" t="str">
        <f t="shared" si="14"/>
        <v/>
      </c>
      <c r="B9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5" spans="1:2" x14ac:dyDescent="0.25">
      <c r="A945" s="1" t="str">
        <f t="shared" si="14"/>
        <v/>
      </c>
      <c r="B9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6" spans="1:2" x14ac:dyDescent="0.25">
      <c r="A946" s="1" t="str">
        <f t="shared" si="14"/>
        <v/>
      </c>
      <c r="B9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7" spans="1:2" x14ac:dyDescent="0.25">
      <c r="A947" s="1" t="str">
        <f t="shared" si="14"/>
        <v/>
      </c>
      <c r="B9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8" spans="1:2" x14ac:dyDescent="0.25">
      <c r="A948" s="1" t="str">
        <f t="shared" si="14"/>
        <v/>
      </c>
      <c r="B9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9" spans="1:2" x14ac:dyDescent="0.25">
      <c r="A949" s="1" t="str">
        <f t="shared" si="14"/>
        <v/>
      </c>
      <c r="B9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0" spans="1:2" x14ac:dyDescent="0.25">
      <c r="A950" s="1" t="str">
        <f t="shared" si="14"/>
        <v/>
      </c>
      <c r="B9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1" spans="1:2" x14ac:dyDescent="0.25">
      <c r="A951" s="1" t="str">
        <f t="shared" si="14"/>
        <v/>
      </c>
      <c r="B9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2" spans="1:2" x14ac:dyDescent="0.25">
      <c r="A952" s="1" t="str">
        <f t="shared" si="14"/>
        <v/>
      </c>
      <c r="B9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3" spans="1:2" x14ac:dyDescent="0.25">
      <c r="A953" s="1" t="str">
        <f t="shared" si="14"/>
        <v/>
      </c>
      <c r="B9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4" spans="1:2" x14ac:dyDescent="0.25">
      <c r="A954" s="1" t="str">
        <f t="shared" si="14"/>
        <v/>
      </c>
      <c r="B9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5" spans="1:2" x14ac:dyDescent="0.25">
      <c r="A955" s="1" t="str">
        <f t="shared" si="14"/>
        <v/>
      </c>
      <c r="B9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6" spans="1:2" x14ac:dyDescent="0.25">
      <c r="A956" s="1" t="str">
        <f t="shared" si="14"/>
        <v/>
      </c>
      <c r="B9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7" spans="1:2" x14ac:dyDescent="0.25">
      <c r="A957" s="1" t="str">
        <f t="shared" si="14"/>
        <v/>
      </c>
      <c r="B9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8" spans="1:2" x14ac:dyDescent="0.25">
      <c r="A958" s="1" t="str">
        <f t="shared" si="14"/>
        <v/>
      </c>
      <c r="B9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9" spans="1:2" x14ac:dyDescent="0.25">
      <c r="A959" s="1" t="str">
        <f t="shared" si="14"/>
        <v/>
      </c>
      <c r="B9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0" spans="1:2" x14ac:dyDescent="0.25">
      <c r="A960" s="1" t="str">
        <f t="shared" si="14"/>
        <v/>
      </c>
      <c r="B9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1" spans="1:2" x14ac:dyDescent="0.25">
      <c r="A961" s="1" t="str">
        <f t="shared" si="14"/>
        <v/>
      </c>
      <c r="B9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2" spans="1:2" x14ac:dyDescent="0.25">
      <c r="A962" s="1" t="str">
        <f t="shared" ref="A962:A1025" si="15">IFERROR(LEFT(RIGHT(C962,LEN(C962)-SEARCH("@",C962)),SEARCH("/",RIGHT(C962,LEN(C962)-SEARCH("@",C962)-1))),"")</f>
        <v/>
      </c>
      <c r="B9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3" spans="1:2" x14ac:dyDescent="0.25">
      <c r="A963" s="1" t="str">
        <f t="shared" si="15"/>
        <v/>
      </c>
      <c r="B9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4" spans="1:2" x14ac:dyDescent="0.25">
      <c r="A964" s="1" t="str">
        <f t="shared" si="15"/>
        <v/>
      </c>
      <c r="B9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5" spans="1:2" x14ac:dyDescent="0.25">
      <c r="A965" s="1" t="str">
        <f t="shared" si="15"/>
        <v/>
      </c>
      <c r="B9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6" spans="1:2" x14ac:dyDescent="0.25">
      <c r="A966" s="1" t="str">
        <f t="shared" si="15"/>
        <v/>
      </c>
      <c r="B9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7" spans="1:2" x14ac:dyDescent="0.25">
      <c r="A967" s="1" t="str">
        <f t="shared" si="15"/>
        <v/>
      </c>
      <c r="B9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8" spans="1:2" x14ac:dyDescent="0.25">
      <c r="A968" s="1" t="str">
        <f t="shared" si="15"/>
        <v/>
      </c>
      <c r="B9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9" spans="1:2" x14ac:dyDescent="0.25">
      <c r="A969" s="1" t="str">
        <f t="shared" si="15"/>
        <v/>
      </c>
      <c r="B9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0" spans="1:2" x14ac:dyDescent="0.25">
      <c r="A970" s="1" t="str">
        <f t="shared" si="15"/>
        <v/>
      </c>
      <c r="B9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1" spans="1:2" x14ac:dyDescent="0.25">
      <c r="A971" s="1" t="str">
        <f t="shared" si="15"/>
        <v/>
      </c>
      <c r="B9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2" spans="1:2" x14ac:dyDescent="0.25">
      <c r="A972" s="1" t="str">
        <f t="shared" si="15"/>
        <v/>
      </c>
      <c r="B9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3" spans="1:2" x14ac:dyDescent="0.25">
      <c r="A973" s="1" t="str">
        <f t="shared" si="15"/>
        <v/>
      </c>
      <c r="B9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4" spans="1:2" x14ac:dyDescent="0.25">
      <c r="A974" s="1" t="str">
        <f t="shared" si="15"/>
        <v/>
      </c>
      <c r="B9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5" spans="1:2" x14ac:dyDescent="0.25">
      <c r="A975" s="1" t="str">
        <f t="shared" si="15"/>
        <v/>
      </c>
      <c r="B9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6" spans="1:2" x14ac:dyDescent="0.25">
      <c r="A976" s="1" t="str">
        <f t="shared" si="15"/>
        <v/>
      </c>
      <c r="B9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7" spans="1:2" x14ac:dyDescent="0.25">
      <c r="A977" s="1" t="str">
        <f t="shared" si="15"/>
        <v/>
      </c>
      <c r="B9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8" spans="1:2" x14ac:dyDescent="0.25">
      <c r="A978" s="1" t="str">
        <f t="shared" si="15"/>
        <v/>
      </c>
      <c r="B9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9" spans="1:2" x14ac:dyDescent="0.25">
      <c r="A979" s="1" t="str">
        <f t="shared" si="15"/>
        <v/>
      </c>
      <c r="B9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0" spans="1:2" x14ac:dyDescent="0.25">
      <c r="A980" s="1" t="str">
        <f t="shared" si="15"/>
        <v/>
      </c>
      <c r="B9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1" spans="1:2" x14ac:dyDescent="0.25">
      <c r="A981" s="1" t="str">
        <f t="shared" si="15"/>
        <v/>
      </c>
      <c r="B9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2" spans="1:2" x14ac:dyDescent="0.25">
      <c r="A982" s="1" t="str">
        <f t="shared" si="15"/>
        <v/>
      </c>
      <c r="B9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3" spans="1:2" x14ac:dyDescent="0.25">
      <c r="A983" s="1" t="str">
        <f t="shared" si="15"/>
        <v/>
      </c>
      <c r="B9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4" spans="1:2" x14ac:dyDescent="0.25">
      <c r="A984" s="1" t="str">
        <f t="shared" si="15"/>
        <v/>
      </c>
      <c r="B9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5" spans="1:2" x14ac:dyDescent="0.25">
      <c r="A985" s="1" t="str">
        <f t="shared" si="15"/>
        <v/>
      </c>
      <c r="B9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6" spans="1:2" x14ac:dyDescent="0.25">
      <c r="A986" s="1" t="str">
        <f t="shared" si="15"/>
        <v/>
      </c>
      <c r="B9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7" spans="1:2" x14ac:dyDescent="0.25">
      <c r="A987" s="1" t="str">
        <f t="shared" si="15"/>
        <v/>
      </c>
      <c r="B9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8" spans="1:2" x14ac:dyDescent="0.25">
      <c r="A988" s="1" t="str">
        <f t="shared" si="15"/>
        <v/>
      </c>
      <c r="B9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9" spans="1:2" x14ac:dyDescent="0.25">
      <c r="A989" s="1" t="str">
        <f t="shared" si="15"/>
        <v/>
      </c>
      <c r="B9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0" spans="1:2" x14ac:dyDescent="0.25">
      <c r="A990" s="1" t="str">
        <f t="shared" si="15"/>
        <v/>
      </c>
      <c r="B9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1" spans="1:2" x14ac:dyDescent="0.25">
      <c r="A991" s="1" t="str">
        <f t="shared" si="15"/>
        <v/>
      </c>
      <c r="B9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2" spans="1:2" x14ac:dyDescent="0.25">
      <c r="A992" s="1" t="str">
        <f t="shared" si="15"/>
        <v/>
      </c>
      <c r="B9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3" spans="1:2" x14ac:dyDescent="0.25">
      <c r="A993" s="1" t="str">
        <f t="shared" si="15"/>
        <v/>
      </c>
      <c r="B9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4" spans="1:2" x14ac:dyDescent="0.25">
      <c r="A994" s="1" t="str">
        <f t="shared" si="15"/>
        <v/>
      </c>
      <c r="B9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5" spans="1:2" x14ac:dyDescent="0.25">
      <c r="A995" s="1" t="str">
        <f t="shared" si="15"/>
        <v/>
      </c>
      <c r="B9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6" spans="1:2" x14ac:dyDescent="0.25">
      <c r="A996" s="1" t="str">
        <f t="shared" si="15"/>
        <v/>
      </c>
      <c r="B9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7" spans="1:2" x14ac:dyDescent="0.25">
      <c r="A997" s="1" t="str">
        <f t="shared" si="15"/>
        <v/>
      </c>
      <c r="B9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8" spans="1:2" x14ac:dyDescent="0.25">
      <c r="A998" s="1" t="str">
        <f t="shared" si="15"/>
        <v/>
      </c>
      <c r="B9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9" spans="1:2" x14ac:dyDescent="0.25">
      <c r="A999" s="1" t="str">
        <f t="shared" si="15"/>
        <v/>
      </c>
      <c r="B9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0" spans="1:2" x14ac:dyDescent="0.25">
      <c r="A1000" s="1" t="str">
        <f t="shared" si="15"/>
        <v/>
      </c>
      <c r="B10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1" spans="1:2" x14ac:dyDescent="0.25">
      <c r="A1001" s="1" t="str">
        <f t="shared" si="15"/>
        <v/>
      </c>
      <c r="B10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2" spans="1:2" x14ac:dyDescent="0.25">
      <c r="A1002" s="1" t="str">
        <f t="shared" si="15"/>
        <v/>
      </c>
      <c r="B10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3" spans="1:2" x14ac:dyDescent="0.25">
      <c r="A1003" s="1" t="str">
        <f t="shared" si="15"/>
        <v/>
      </c>
      <c r="B10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4" spans="1:2" x14ac:dyDescent="0.25">
      <c r="A1004" s="1" t="str">
        <f t="shared" si="15"/>
        <v/>
      </c>
      <c r="B10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5" spans="1:2" x14ac:dyDescent="0.25">
      <c r="A1005" s="1" t="str">
        <f t="shared" si="15"/>
        <v/>
      </c>
      <c r="B10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6" spans="1:2" x14ac:dyDescent="0.25">
      <c r="A1006" s="1" t="str">
        <f t="shared" si="15"/>
        <v/>
      </c>
      <c r="B10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7" spans="1:2" x14ac:dyDescent="0.25">
      <c r="A1007" s="1" t="str">
        <f t="shared" si="15"/>
        <v/>
      </c>
      <c r="B10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8" spans="1:2" x14ac:dyDescent="0.25">
      <c r="A1008" s="1" t="str">
        <f t="shared" si="15"/>
        <v/>
      </c>
      <c r="B10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9" spans="1:2" x14ac:dyDescent="0.25">
      <c r="A1009" s="1" t="str">
        <f t="shared" si="15"/>
        <v/>
      </c>
      <c r="B10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0" spans="1:2" x14ac:dyDescent="0.25">
      <c r="A1010" s="1" t="str">
        <f t="shared" si="15"/>
        <v/>
      </c>
      <c r="B10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1" spans="1:2" x14ac:dyDescent="0.25">
      <c r="A1011" s="1" t="str">
        <f t="shared" si="15"/>
        <v/>
      </c>
      <c r="B10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2" spans="1:2" x14ac:dyDescent="0.25">
      <c r="A1012" s="1" t="str">
        <f t="shared" si="15"/>
        <v/>
      </c>
      <c r="B10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3" spans="1:2" x14ac:dyDescent="0.25">
      <c r="A1013" s="1" t="str">
        <f t="shared" si="15"/>
        <v/>
      </c>
      <c r="B10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4" spans="1:2" x14ac:dyDescent="0.25">
      <c r="A1014" s="1" t="str">
        <f t="shared" si="15"/>
        <v/>
      </c>
      <c r="B10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5" spans="1:2" x14ac:dyDescent="0.25">
      <c r="A1015" s="1" t="str">
        <f t="shared" si="15"/>
        <v/>
      </c>
      <c r="B10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6" spans="1:2" x14ac:dyDescent="0.25">
      <c r="A1016" s="1" t="str">
        <f t="shared" si="15"/>
        <v/>
      </c>
      <c r="B10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7" spans="1:2" x14ac:dyDescent="0.25">
      <c r="A1017" s="1" t="str">
        <f t="shared" si="15"/>
        <v/>
      </c>
      <c r="B10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8" spans="1:2" x14ac:dyDescent="0.25">
      <c r="A1018" s="1" t="str">
        <f t="shared" si="15"/>
        <v/>
      </c>
      <c r="B10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9" spans="1:2" x14ac:dyDescent="0.25">
      <c r="A1019" s="1" t="str">
        <f t="shared" si="15"/>
        <v/>
      </c>
      <c r="B10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0" spans="1:2" x14ac:dyDescent="0.25">
      <c r="A1020" s="1" t="str">
        <f t="shared" si="15"/>
        <v/>
      </c>
      <c r="B10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1" spans="1:2" x14ac:dyDescent="0.25">
      <c r="A1021" s="1" t="str">
        <f t="shared" si="15"/>
        <v/>
      </c>
      <c r="B10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2" spans="1:2" x14ac:dyDescent="0.25">
      <c r="A1022" s="1" t="str">
        <f t="shared" si="15"/>
        <v/>
      </c>
      <c r="B10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3" spans="1:2" x14ac:dyDescent="0.25">
      <c r="A1023" s="1" t="str">
        <f t="shared" si="15"/>
        <v/>
      </c>
      <c r="B10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4" spans="1:2" x14ac:dyDescent="0.25">
      <c r="A1024" s="1" t="str">
        <f t="shared" si="15"/>
        <v/>
      </c>
      <c r="B10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5" spans="1:2" x14ac:dyDescent="0.25">
      <c r="A1025" s="1" t="str">
        <f t="shared" si="15"/>
        <v/>
      </c>
      <c r="B10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6" spans="1:2" x14ac:dyDescent="0.25">
      <c r="A1026" s="1" t="str">
        <f t="shared" ref="A1026:A1089" si="16">IFERROR(LEFT(RIGHT(C1026,LEN(C1026)-SEARCH("@",C1026)),SEARCH("/",RIGHT(C1026,LEN(C1026)-SEARCH("@",C1026)-1))),"")</f>
        <v/>
      </c>
      <c r="B10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7" spans="1:2" x14ac:dyDescent="0.25">
      <c r="A1027" s="1" t="str">
        <f t="shared" si="16"/>
        <v/>
      </c>
      <c r="B10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8" spans="1:2" x14ac:dyDescent="0.25">
      <c r="A1028" s="1" t="str">
        <f t="shared" si="16"/>
        <v/>
      </c>
      <c r="B10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9" spans="1:2" x14ac:dyDescent="0.25">
      <c r="A1029" s="1" t="str">
        <f t="shared" si="16"/>
        <v/>
      </c>
      <c r="B10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0" spans="1:2" x14ac:dyDescent="0.25">
      <c r="A1030" s="1" t="str">
        <f t="shared" si="16"/>
        <v/>
      </c>
      <c r="B10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1" spans="1:2" x14ac:dyDescent="0.25">
      <c r="A1031" s="1" t="str">
        <f t="shared" si="16"/>
        <v/>
      </c>
      <c r="B10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2" spans="1:2" x14ac:dyDescent="0.25">
      <c r="A1032" s="1" t="str">
        <f t="shared" si="16"/>
        <v/>
      </c>
      <c r="B10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3" spans="1:2" x14ac:dyDescent="0.25">
      <c r="A1033" s="1" t="str">
        <f t="shared" si="16"/>
        <v/>
      </c>
      <c r="B10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4" spans="1:2" x14ac:dyDescent="0.25">
      <c r="A1034" s="1" t="str">
        <f t="shared" si="16"/>
        <v/>
      </c>
      <c r="B10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5" spans="1:2" x14ac:dyDescent="0.25">
      <c r="A1035" s="1" t="str">
        <f t="shared" si="16"/>
        <v/>
      </c>
      <c r="B10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6" spans="1:2" x14ac:dyDescent="0.25">
      <c r="A1036" s="1" t="str">
        <f t="shared" si="16"/>
        <v/>
      </c>
      <c r="B10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7" spans="1:2" x14ac:dyDescent="0.25">
      <c r="A1037" s="1" t="str">
        <f t="shared" si="16"/>
        <v/>
      </c>
      <c r="B10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8" spans="1:2" x14ac:dyDescent="0.25">
      <c r="A1038" s="1" t="str">
        <f t="shared" si="16"/>
        <v/>
      </c>
      <c r="B10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9" spans="1:2" x14ac:dyDescent="0.25">
      <c r="A1039" s="1" t="str">
        <f t="shared" si="16"/>
        <v/>
      </c>
      <c r="B10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0" spans="1:2" x14ac:dyDescent="0.25">
      <c r="A1040" s="1" t="str">
        <f t="shared" si="16"/>
        <v/>
      </c>
      <c r="B10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1" spans="1:2" x14ac:dyDescent="0.25">
      <c r="A1041" s="1" t="str">
        <f t="shared" si="16"/>
        <v/>
      </c>
      <c r="B10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2" spans="1:2" x14ac:dyDescent="0.25">
      <c r="A1042" s="1" t="str">
        <f t="shared" si="16"/>
        <v/>
      </c>
      <c r="B10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3" spans="1:2" x14ac:dyDescent="0.25">
      <c r="A1043" s="1" t="str">
        <f t="shared" si="16"/>
        <v/>
      </c>
      <c r="B10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4" spans="1:2" x14ac:dyDescent="0.25">
      <c r="A1044" s="1" t="str">
        <f t="shared" si="16"/>
        <v/>
      </c>
      <c r="B10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5" spans="1:2" x14ac:dyDescent="0.25">
      <c r="A1045" s="1" t="str">
        <f t="shared" si="16"/>
        <v/>
      </c>
      <c r="B10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6" spans="1:2" x14ac:dyDescent="0.25">
      <c r="A1046" s="1" t="str">
        <f t="shared" si="16"/>
        <v/>
      </c>
      <c r="B10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7" spans="1:2" x14ac:dyDescent="0.25">
      <c r="A1047" s="1" t="str">
        <f t="shared" si="16"/>
        <v/>
      </c>
      <c r="B10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8" spans="1:2" x14ac:dyDescent="0.25">
      <c r="A1048" s="1" t="str">
        <f t="shared" si="16"/>
        <v/>
      </c>
      <c r="B10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9" spans="1:2" x14ac:dyDescent="0.25">
      <c r="A1049" s="1" t="str">
        <f t="shared" si="16"/>
        <v/>
      </c>
      <c r="B10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0" spans="1:2" x14ac:dyDescent="0.25">
      <c r="A1050" s="1" t="str">
        <f t="shared" si="16"/>
        <v/>
      </c>
      <c r="B10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1" spans="1:2" x14ac:dyDescent="0.25">
      <c r="A1051" s="1" t="str">
        <f t="shared" si="16"/>
        <v/>
      </c>
      <c r="B10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2" spans="1:2" x14ac:dyDescent="0.25">
      <c r="A1052" s="1" t="str">
        <f t="shared" si="16"/>
        <v/>
      </c>
      <c r="B10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3" spans="1:2" x14ac:dyDescent="0.25">
      <c r="A1053" s="1" t="str">
        <f t="shared" si="16"/>
        <v/>
      </c>
      <c r="B10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4" spans="1:2" x14ac:dyDescent="0.25">
      <c r="A1054" s="1" t="str">
        <f t="shared" si="16"/>
        <v/>
      </c>
      <c r="B10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5" spans="1:2" x14ac:dyDescent="0.25">
      <c r="A1055" s="1" t="str">
        <f t="shared" si="16"/>
        <v/>
      </c>
      <c r="B10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6" spans="1:2" x14ac:dyDescent="0.25">
      <c r="A1056" s="1" t="str">
        <f t="shared" si="16"/>
        <v/>
      </c>
      <c r="B10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7" spans="1:2" x14ac:dyDescent="0.25">
      <c r="A1057" s="1" t="str">
        <f t="shared" si="16"/>
        <v/>
      </c>
      <c r="B10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8" spans="1:2" x14ac:dyDescent="0.25">
      <c r="A1058" s="1" t="str">
        <f t="shared" si="16"/>
        <v/>
      </c>
      <c r="B10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9" spans="1:2" x14ac:dyDescent="0.25">
      <c r="A1059" s="1" t="str">
        <f t="shared" si="16"/>
        <v/>
      </c>
      <c r="B10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0" spans="1:2" x14ac:dyDescent="0.25">
      <c r="A1060" s="1" t="str">
        <f t="shared" si="16"/>
        <v/>
      </c>
      <c r="B10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1" spans="1:2" x14ac:dyDescent="0.25">
      <c r="A1061" s="1" t="str">
        <f t="shared" si="16"/>
        <v/>
      </c>
      <c r="B10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2" spans="1:2" x14ac:dyDescent="0.25">
      <c r="A1062" s="1" t="str">
        <f t="shared" si="16"/>
        <v/>
      </c>
      <c r="B10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3" spans="1:2" x14ac:dyDescent="0.25">
      <c r="A1063" s="1" t="str">
        <f t="shared" si="16"/>
        <v/>
      </c>
      <c r="B10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4" spans="1:2" x14ac:dyDescent="0.25">
      <c r="A1064" s="1" t="str">
        <f t="shared" si="16"/>
        <v/>
      </c>
      <c r="B10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5" spans="1:2" x14ac:dyDescent="0.25">
      <c r="A1065" s="1" t="str">
        <f t="shared" si="16"/>
        <v/>
      </c>
      <c r="B10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6" spans="1:2" x14ac:dyDescent="0.25">
      <c r="A1066" s="1" t="str">
        <f t="shared" si="16"/>
        <v/>
      </c>
      <c r="B10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7" spans="1:2" x14ac:dyDescent="0.25">
      <c r="A1067" s="1" t="str">
        <f t="shared" si="16"/>
        <v/>
      </c>
      <c r="B10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8" spans="1:2" x14ac:dyDescent="0.25">
      <c r="A1068" s="1" t="str">
        <f t="shared" si="16"/>
        <v/>
      </c>
      <c r="B10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9" spans="1:2" x14ac:dyDescent="0.25">
      <c r="A1069" s="1" t="str">
        <f t="shared" si="16"/>
        <v/>
      </c>
      <c r="B10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0" spans="1:2" x14ac:dyDescent="0.25">
      <c r="A1070" s="1" t="str">
        <f t="shared" si="16"/>
        <v/>
      </c>
      <c r="B10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1" spans="1:2" x14ac:dyDescent="0.25">
      <c r="A1071" s="1" t="str">
        <f t="shared" si="16"/>
        <v/>
      </c>
      <c r="B10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2" spans="1:2" x14ac:dyDescent="0.25">
      <c r="A1072" s="1" t="str">
        <f t="shared" si="16"/>
        <v/>
      </c>
      <c r="B10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3" spans="1:2" x14ac:dyDescent="0.25">
      <c r="A1073" s="1" t="str">
        <f t="shared" si="16"/>
        <v/>
      </c>
      <c r="B10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4" spans="1:2" x14ac:dyDescent="0.25">
      <c r="A1074" s="1" t="str">
        <f t="shared" si="16"/>
        <v/>
      </c>
      <c r="B10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5" spans="1:2" x14ac:dyDescent="0.25">
      <c r="A1075" s="1" t="str">
        <f t="shared" si="16"/>
        <v/>
      </c>
      <c r="B10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6" spans="1:2" x14ac:dyDescent="0.25">
      <c r="A1076" s="1" t="str">
        <f t="shared" si="16"/>
        <v/>
      </c>
      <c r="B10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7" spans="1:2" x14ac:dyDescent="0.25">
      <c r="A1077" s="1" t="str">
        <f t="shared" si="16"/>
        <v/>
      </c>
      <c r="B10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8" spans="1:2" x14ac:dyDescent="0.25">
      <c r="A1078" s="1" t="str">
        <f t="shared" si="16"/>
        <v/>
      </c>
      <c r="B10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9" spans="1:2" x14ac:dyDescent="0.25">
      <c r="A1079" s="1" t="str">
        <f t="shared" si="16"/>
        <v/>
      </c>
      <c r="B10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0" spans="1:2" x14ac:dyDescent="0.25">
      <c r="A1080" s="1" t="str">
        <f t="shared" si="16"/>
        <v/>
      </c>
      <c r="B10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1" spans="1:2" x14ac:dyDescent="0.25">
      <c r="A1081" s="1" t="str">
        <f t="shared" si="16"/>
        <v/>
      </c>
      <c r="B10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2" spans="1:2" x14ac:dyDescent="0.25">
      <c r="A1082" s="1" t="str">
        <f t="shared" si="16"/>
        <v/>
      </c>
      <c r="B10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3" spans="1:2" x14ac:dyDescent="0.25">
      <c r="A1083" s="1" t="str">
        <f t="shared" si="16"/>
        <v/>
      </c>
      <c r="B10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4" spans="1:2" x14ac:dyDescent="0.25">
      <c r="A1084" s="1" t="str">
        <f t="shared" si="16"/>
        <v/>
      </c>
      <c r="B10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5" spans="1:2" x14ac:dyDescent="0.25">
      <c r="A1085" s="1" t="str">
        <f t="shared" si="16"/>
        <v/>
      </c>
      <c r="B10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6" spans="1:2" x14ac:dyDescent="0.25">
      <c r="A1086" s="1" t="str">
        <f t="shared" si="16"/>
        <v/>
      </c>
      <c r="B10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7" spans="1:2" x14ac:dyDescent="0.25">
      <c r="A1087" s="1" t="str">
        <f t="shared" si="16"/>
        <v/>
      </c>
      <c r="B10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8" spans="1:2" x14ac:dyDescent="0.25">
      <c r="A1088" s="1" t="str">
        <f t="shared" si="16"/>
        <v/>
      </c>
      <c r="B10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9" spans="1:2" x14ac:dyDescent="0.25">
      <c r="A1089" s="1" t="str">
        <f t="shared" si="16"/>
        <v/>
      </c>
      <c r="B10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0" spans="1:2" x14ac:dyDescent="0.25">
      <c r="A1090" s="1" t="str">
        <f t="shared" ref="A1090:A1153" si="17">IFERROR(LEFT(RIGHT(C1090,LEN(C1090)-SEARCH("@",C1090)),SEARCH("/",RIGHT(C1090,LEN(C1090)-SEARCH("@",C1090)-1))),"")</f>
        <v/>
      </c>
      <c r="B10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1" spans="1:2" x14ac:dyDescent="0.25">
      <c r="A1091" s="1" t="str">
        <f t="shared" si="17"/>
        <v/>
      </c>
      <c r="B10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2" spans="1:2" x14ac:dyDescent="0.25">
      <c r="A1092" s="1" t="str">
        <f t="shared" si="17"/>
        <v/>
      </c>
      <c r="B10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3" spans="1:2" x14ac:dyDescent="0.25">
      <c r="A1093" s="1" t="str">
        <f t="shared" si="17"/>
        <v/>
      </c>
      <c r="B10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4" spans="1:2" x14ac:dyDescent="0.25">
      <c r="A1094" s="1" t="str">
        <f t="shared" si="17"/>
        <v/>
      </c>
      <c r="B10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5" spans="1:2" x14ac:dyDescent="0.25">
      <c r="A1095" s="1" t="str">
        <f t="shared" si="17"/>
        <v/>
      </c>
      <c r="B10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6" spans="1:2" x14ac:dyDescent="0.25">
      <c r="A1096" s="1" t="str">
        <f t="shared" si="17"/>
        <v/>
      </c>
      <c r="B10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7" spans="1:2" x14ac:dyDescent="0.25">
      <c r="A1097" s="1" t="str">
        <f t="shared" si="17"/>
        <v/>
      </c>
      <c r="B10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8" spans="1:2" x14ac:dyDescent="0.25">
      <c r="A1098" s="1" t="str">
        <f t="shared" si="17"/>
        <v/>
      </c>
      <c r="B10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9" spans="1:2" x14ac:dyDescent="0.25">
      <c r="A1099" s="1" t="str">
        <f t="shared" si="17"/>
        <v/>
      </c>
      <c r="B10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0" spans="1:2" x14ac:dyDescent="0.25">
      <c r="A1100" s="1" t="str">
        <f t="shared" si="17"/>
        <v/>
      </c>
      <c r="B1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1" spans="1:2" x14ac:dyDescent="0.25">
      <c r="A1101" s="1" t="str">
        <f t="shared" si="17"/>
        <v/>
      </c>
      <c r="B1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2" spans="1:2" x14ac:dyDescent="0.25">
      <c r="A1102" s="1" t="str">
        <f t="shared" si="17"/>
        <v/>
      </c>
      <c r="B11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3" spans="1:2" x14ac:dyDescent="0.25">
      <c r="A1103" s="1" t="str">
        <f t="shared" si="17"/>
        <v/>
      </c>
      <c r="B11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4" spans="1:2" x14ac:dyDescent="0.25">
      <c r="A1104" s="1" t="str">
        <f t="shared" si="17"/>
        <v/>
      </c>
      <c r="B11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5" spans="1:2" x14ac:dyDescent="0.25">
      <c r="A1105" s="1" t="str">
        <f t="shared" si="17"/>
        <v/>
      </c>
      <c r="B11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6" spans="1:2" x14ac:dyDescent="0.25">
      <c r="A1106" s="1" t="str">
        <f t="shared" si="17"/>
        <v/>
      </c>
      <c r="B11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7" spans="1:2" x14ac:dyDescent="0.25">
      <c r="A1107" s="1" t="str">
        <f t="shared" si="17"/>
        <v/>
      </c>
      <c r="B11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8" spans="1:2" x14ac:dyDescent="0.25">
      <c r="A1108" s="1" t="str">
        <f t="shared" si="17"/>
        <v/>
      </c>
      <c r="B11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9" spans="1:2" x14ac:dyDescent="0.25">
      <c r="A1109" s="1" t="str">
        <f t="shared" si="17"/>
        <v/>
      </c>
      <c r="B11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0" spans="1:2" x14ac:dyDescent="0.25">
      <c r="A1110" s="1" t="str">
        <f t="shared" si="17"/>
        <v/>
      </c>
      <c r="B11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1" spans="1:2" x14ac:dyDescent="0.25">
      <c r="A1111" s="1" t="str">
        <f t="shared" si="17"/>
        <v/>
      </c>
      <c r="B11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2" spans="1:2" x14ac:dyDescent="0.25">
      <c r="A1112" s="1" t="str">
        <f t="shared" si="17"/>
        <v/>
      </c>
      <c r="B11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3" spans="1:2" x14ac:dyDescent="0.25">
      <c r="A1113" s="1" t="str">
        <f t="shared" si="17"/>
        <v/>
      </c>
      <c r="B11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4" spans="1:2" x14ac:dyDescent="0.25">
      <c r="A1114" s="1" t="str">
        <f t="shared" si="17"/>
        <v/>
      </c>
      <c r="B11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5" spans="1:2" x14ac:dyDescent="0.25">
      <c r="A1115" s="1" t="str">
        <f t="shared" si="17"/>
        <v/>
      </c>
      <c r="B11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6" spans="1:2" x14ac:dyDescent="0.25">
      <c r="A1116" s="1" t="str">
        <f t="shared" si="17"/>
        <v/>
      </c>
      <c r="B11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7" spans="1:2" x14ac:dyDescent="0.25">
      <c r="A1117" s="1" t="str">
        <f t="shared" si="17"/>
        <v/>
      </c>
      <c r="B1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8" spans="1:2" x14ac:dyDescent="0.25">
      <c r="A1118" s="1" t="str">
        <f t="shared" si="17"/>
        <v/>
      </c>
      <c r="B1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9" spans="1:2" x14ac:dyDescent="0.25">
      <c r="A1119" s="1" t="str">
        <f t="shared" si="17"/>
        <v/>
      </c>
      <c r="B11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0" spans="1:2" x14ac:dyDescent="0.25">
      <c r="A1120" s="1" t="str">
        <f t="shared" si="17"/>
        <v/>
      </c>
      <c r="B1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1" spans="1:2" x14ac:dyDescent="0.25">
      <c r="A1121" s="1" t="str">
        <f t="shared" si="17"/>
        <v/>
      </c>
      <c r="B1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2" spans="1:2" x14ac:dyDescent="0.25">
      <c r="A1122" s="1" t="str">
        <f t="shared" si="17"/>
        <v/>
      </c>
      <c r="B11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3" spans="1:2" x14ac:dyDescent="0.25">
      <c r="A1123" s="1" t="str">
        <f t="shared" si="17"/>
        <v/>
      </c>
      <c r="B11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4" spans="1:2" x14ac:dyDescent="0.25">
      <c r="A1124" s="1" t="str">
        <f t="shared" si="17"/>
        <v/>
      </c>
      <c r="B11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5" spans="1:2" x14ac:dyDescent="0.25">
      <c r="A1125" s="1" t="str">
        <f t="shared" si="17"/>
        <v/>
      </c>
      <c r="B1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6" spans="1:2" x14ac:dyDescent="0.25">
      <c r="A1126" s="1" t="str">
        <f t="shared" si="17"/>
        <v/>
      </c>
      <c r="B1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7" spans="1:2" x14ac:dyDescent="0.25">
      <c r="A1127" s="1" t="str">
        <f t="shared" si="17"/>
        <v/>
      </c>
      <c r="B1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8" spans="1:2" x14ac:dyDescent="0.25">
      <c r="A1128" s="1" t="str">
        <f t="shared" si="17"/>
        <v/>
      </c>
      <c r="B1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9" spans="1:2" x14ac:dyDescent="0.25">
      <c r="A1129" s="1" t="str">
        <f t="shared" si="17"/>
        <v/>
      </c>
      <c r="B1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0" spans="1:2" x14ac:dyDescent="0.25">
      <c r="A1130" s="1" t="str">
        <f t="shared" si="17"/>
        <v/>
      </c>
      <c r="B1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1" spans="1:2" x14ac:dyDescent="0.25">
      <c r="A1131" s="1" t="str">
        <f t="shared" si="17"/>
        <v/>
      </c>
      <c r="B1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2" spans="1:2" x14ac:dyDescent="0.25">
      <c r="A1132" s="1" t="str">
        <f t="shared" si="17"/>
        <v/>
      </c>
      <c r="B1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3" spans="1:2" x14ac:dyDescent="0.25">
      <c r="A1133" s="1" t="str">
        <f t="shared" si="17"/>
        <v/>
      </c>
      <c r="B1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4" spans="1:2" x14ac:dyDescent="0.25">
      <c r="A1134" s="1" t="str">
        <f t="shared" si="17"/>
        <v/>
      </c>
      <c r="B1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5" spans="1:2" x14ac:dyDescent="0.25">
      <c r="A1135" s="1" t="str">
        <f t="shared" si="17"/>
        <v/>
      </c>
      <c r="B11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6" spans="1:2" x14ac:dyDescent="0.25">
      <c r="A1136" s="1" t="str">
        <f t="shared" si="17"/>
        <v/>
      </c>
      <c r="B11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7" spans="1:2" x14ac:dyDescent="0.25">
      <c r="A1137" s="1" t="str">
        <f t="shared" si="17"/>
        <v/>
      </c>
      <c r="B11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8" spans="1:2" x14ac:dyDescent="0.25">
      <c r="A1138" s="1" t="str">
        <f t="shared" si="17"/>
        <v/>
      </c>
      <c r="B11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9" spans="1:2" x14ac:dyDescent="0.25">
      <c r="A1139" s="1" t="str">
        <f t="shared" si="17"/>
        <v/>
      </c>
      <c r="B11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0" spans="1:2" x14ac:dyDescent="0.25">
      <c r="A1140" s="1" t="str">
        <f t="shared" si="17"/>
        <v/>
      </c>
      <c r="B11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1" spans="1:2" x14ac:dyDescent="0.25">
      <c r="A1141" s="1" t="str">
        <f t="shared" si="17"/>
        <v/>
      </c>
      <c r="B11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2" spans="1:2" x14ac:dyDescent="0.25">
      <c r="A1142" s="1" t="str">
        <f t="shared" si="17"/>
        <v/>
      </c>
      <c r="B11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3" spans="1:2" x14ac:dyDescent="0.25">
      <c r="A1143" s="1" t="str">
        <f t="shared" si="17"/>
        <v/>
      </c>
      <c r="B11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4" spans="1:2" x14ac:dyDescent="0.25">
      <c r="A1144" s="1" t="str">
        <f t="shared" si="17"/>
        <v/>
      </c>
      <c r="B11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5" spans="1:2" x14ac:dyDescent="0.25">
      <c r="A1145" s="1" t="str">
        <f t="shared" si="17"/>
        <v/>
      </c>
      <c r="B11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6" spans="1:2" x14ac:dyDescent="0.25">
      <c r="A1146" s="1" t="str">
        <f t="shared" si="17"/>
        <v/>
      </c>
      <c r="B11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7" spans="1:2" x14ac:dyDescent="0.25">
      <c r="A1147" s="1" t="str">
        <f t="shared" si="17"/>
        <v/>
      </c>
      <c r="B11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8" spans="1:2" x14ac:dyDescent="0.25">
      <c r="A1148" s="1" t="str">
        <f t="shared" si="17"/>
        <v/>
      </c>
      <c r="B11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9" spans="1:2" x14ac:dyDescent="0.25">
      <c r="A1149" s="1" t="str">
        <f t="shared" si="17"/>
        <v/>
      </c>
      <c r="B11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0" spans="1:2" x14ac:dyDescent="0.25">
      <c r="A1150" s="1" t="str">
        <f t="shared" si="17"/>
        <v/>
      </c>
      <c r="B11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1" spans="1:2" x14ac:dyDescent="0.25">
      <c r="A1151" s="1" t="str">
        <f t="shared" si="17"/>
        <v/>
      </c>
      <c r="B11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2" spans="1:2" x14ac:dyDescent="0.25">
      <c r="A1152" s="1" t="str">
        <f t="shared" si="17"/>
        <v/>
      </c>
      <c r="B11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3" spans="1:2" x14ac:dyDescent="0.25">
      <c r="A1153" s="1" t="str">
        <f t="shared" si="17"/>
        <v/>
      </c>
      <c r="B11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4" spans="1:2" x14ac:dyDescent="0.25">
      <c r="A1154" s="1" t="str">
        <f t="shared" ref="A1154:A1217" si="18">IFERROR(LEFT(RIGHT(C1154,LEN(C1154)-SEARCH("@",C1154)),SEARCH("/",RIGHT(C1154,LEN(C1154)-SEARCH("@",C1154)-1))),"")</f>
        <v/>
      </c>
      <c r="B11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5" spans="1:2" x14ac:dyDescent="0.25">
      <c r="A1155" s="1" t="str">
        <f t="shared" si="18"/>
        <v/>
      </c>
      <c r="B11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6" spans="1:2" x14ac:dyDescent="0.25">
      <c r="A1156" s="1" t="str">
        <f t="shared" si="18"/>
        <v/>
      </c>
      <c r="B11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7" spans="1:2" x14ac:dyDescent="0.25">
      <c r="A1157" s="1" t="str">
        <f t="shared" si="18"/>
        <v/>
      </c>
      <c r="B11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8" spans="1:2" x14ac:dyDescent="0.25">
      <c r="A1158" s="1" t="str">
        <f t="shared" si="18"/>
        <v/>
      </c>
      <c r="B1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9" spans="1:2" x14ac:dyDescent="0.25">
      <c r="A1159" s="1" t="str">
        <f t="shared" si="18"/>
        <v/>
      </c>
      <c r="B1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0" spans="1:2" x14ac:dyDescent="0.25">
      <c r="A1160" s="1" t="str">
        <f t="shared" si="18"/>
        <v/>
      </c>
      <c r="B1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1" spans="1:2" x14ac:dyDescent="0.25">
      <c r="A1161" s="1" t="str">
        <f t="shared" si="18"/>
        <v/>
      </c>
      <c r="B1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2" spans="1:2" x14ac:dyDescent="0.25">
      <c r="A1162" s="1" t="str">
        <f t="shared" si="18"/>
        <v/>
      </c>
      <c r="B1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3" spans="1:2" x14ac:dyDescent="0.25">
      <c r="A1163" s="1" t="str">
        <f t="shared" si="18"/>
        <v/>
      </c>
      <c r="B1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4" spans="1:2" x14ac:dyDescent="0.25">
      <c r="A1164" s="1" t="str">
        <f t="shared" si="18"/>
        <v/>
      </c>
      <c r="B1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5" spans="1:2" x14ac:dyDescent="0.25">
      <c r="A1165" s="1" t="str">
        <f t="shared" si="18"/>
        <v/>
      </c>
      <c r="B1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6" spans="1:2" x14ac:dyDescent="0.25">
      <c r="A1166" s="1" t="str">
        <f t="shared" si="18"/>
        <v/>
      </c>
      <c r="B1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7" spans="1:2" x14ac:dyDescent="0.25">
      <c r="A1167" s="1" t="str">
        <f t="shared" si="18"/>
        <v/>
      </c>
      <c r="B1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8" spans="1:2" x14ac:dyDescent="0.25">
      <c r="A1168" s="1" t="str">
        <f t="shared" si="18"/>
        <v/>
      </c>
      <c r="B11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9" spans="1:2" x14ac:dyDescent="0.25">
      <c r="A1169" s="1" t="str">
        <f t="shared" si="18"/>
        <v/>
      </c>
      <c r="B11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0" spans="1:2" x14ac:dyDescent="0.25">
      <c r="A1170" s="1" t="str">
        <f t="shared" si="18"/>
        <v/>
      </c>
      <c r="B11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1" spans="1:2" x14ac:dyDescent="0.25">
      <c r="A1171" s="1" t="str">
        <f t="shared" si="18"/>
        <v/>
      </c>
      <c r="B11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2" spans="1:2" x14ac:dyDescent="0.25">
      <c r="A1172" s="1" t="str">
        <f t="shared" si="18"/>
        <v/>
      </c>
      <c r="B11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3" spans="1:2" x14ac:dyDescent="0.25">
      <c r="A1173" s="1" t="str">
        <f t="shared" si="18"/>
        <v/>
      </c>
      <c r="B11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4" spans="1:2" x14ac:dyDescent="0.25">
      <c r="A1174" s="1" t="str">
        <f t="shared" si="18"/>
        <v/>
      </c>
      <c r="B11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5" spans="1:2" x14ac:dyDescent="0.25">
      <c r="A1175" s="1" t="str">
        <f t="shared" si="18"/>
        <v/>
      </c>
      <c r="B11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6" spans="1:2" x14ac:dyDescent="0.25">
      <c r="A1176" s="1" t="str">
        <f t="shared" si="18"/>
        <v/>
      </c>
      <c r="B11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7" spans="1:2" x14ac:dyDescent="0.25">
      <c r="A1177" s="1" t="str">
        <f t="shared" si="18"/>
        <v/>
      </c>
      <c r="B11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8" spans="1:2" x14ac:dyDescent="0.25">
      <c r="A1178" s="1" t="str">
        <f t="shared" si="18"/>
        <v/>
      </c>
      <c r="B11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9" spans="1:2" x14ac:dyDescent="0.25">
      <c r="A1179" s="1" t="str">
        <f t="shared" si="18"/>
        <v/>
      </c>
      <c r="B11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0" spans="1:2" x14ac:dyDescent="0.25">
      <c r="A1180" s="1" t="str">
        <f t="shared" si="18"/>
        <v/>
      </c>
      <c r="B11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1" spans="1:2" x14ac:dyDescent="0.25">
      <c r="A1181" s="1" t="str">
        <f t="shared" si="18"/>
        <v/>
      </c>
      <c r="B11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2" spans="1:2" x14ac:dyDescent="0.25">
      <c r="A1182" s="1" t="str">
        <f t="shared" si="18"/>
        <v/>
      </c>
      <c r="B11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3" spans="1:2" x14ac:dyDescent="0.25">
      <c r="A1183" s="1" t="str">
        <f t="shared" si="18"/>
        <v/>
      </c>
      <c r="B11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4" spans="1:2" x14ac:dyDescent="0.25">
      <c r="A1184" s="1" t="str">
        <f t="shared" si="18"/>
        <v/>
      </c>
      <c r="B11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5" spans="1:2" x14ac:dyDescent="0.25">
      <c r="A1185" s="1" t="str">
        <f t="shared" si="18"/>
        <v/>
      </c>
      <c r="B11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6" spans="1:2" x14ac:dyDescent="0.25">
      <c r="A1186" s="1" t="str">
        <f t="shared" si="18"/>
        <v/>
      </c>
      <c r="B11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7" spans="1:2" x14ac:dyDescent="0.25">
      <c r="A1187" s="1" t="str">
        <f t="shared" si="18"/>
        <v/>
      </c>
      <c r="B11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8" spans="1:2" x14ac:dyDescent="0.25">
      <c r="A1188" s="1" t="str">
        <f t="shared" si="18"/>
        <v/>
      </c>
      <c r="B11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9" spans="1:2" x14ac:dyDescent="0.25">
      <c r="A1189" s="1" t="str">
        <f t="shared" si="18"/>
        <v/>
      </c>
      <c r="B11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0" spans="1:2" x14ac:dyDescent="0.25">
      <c r="A1190" s="1" t="str">
        <f t="shared" si="18"/>
        <v/>
      </c>
      <c r="B11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1" spans="1:2" x14ac:dyDescent="0.25">
      <c r="A1191" s="1" t="str">
        <f t="shared" si="18"/>
        <v/>
      </c>
      <c r="B1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2" spans="1:2" x14ac:dyDescent="0.25">
      <c r="A1192" s="1" t="str">
        <f t="shared" si="18"/>
        <v/>
      </c>
      <c r="B1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3" spans="1:2" x14ac:dyDescent="0.25">
      <c r="A1193" s="1" t="str">
        <f t="shared" si="18"/>
        <v/>
      </c>
      <c r="B1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4" spans="1:2" x14ac:dyDescent="0.25">
      <c r="A1194" s="1" t="str">
        <f t="shared" si="18"/>
        <v/>
      </c>
      <c r="B1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5" spans="1:2" x14ac:dyDescent="0.25">
      <c r="A1195" s="1" t="str">
        <f t="shared" si="18"/>
        <v/>
      </c>
      <c r="B1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6" spans="1:2" x14ac:dyDescent="0.25">
      <c r="A1196" s="1" t="str">
        <f t="shared" si="18"/>
        <v/>
      </c>
      <c r="B1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7" spans="1:2" x14ac:dyDescent="0.25">
      <c r="A1197" s="1" t="str">
        <f t="shared" si="18"/>
        <v/>
      </c>
      <c r="B1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8" spans="1:2" x14ac:dyDescent="0.25">
      <c r="A1198" s="1" t="str">
        <f t="shared" si="18"/>
        <v/>
      </c>
      <c r="B1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9" spans="1:2" x14ac:dyDescent="0.25">
      <c r="A1199" s="1" t="str">
        <f t="shared" si="18"/>
        <v/>
      </c>
      <c r="B1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0" spans="1:2" x14ac:dyDescent="0.25">
      <c r="A1200" s="1" t="str">
        <f t="shared" si="18"/>
        <v/>
      </c>
      <c r="B1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1" spans="1:2" x14ac:dyDescent="0.25">
      <c r="A1201" s="1" t="str">
        <f t="shared" si="18"/>
        <v/>
      </c>
      <c r="B12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2" spans="1:2" x14ac:dyDescent="0.25">
      <c r="A1202" s="1" t="str">
        <f t="shared" si="18"/>
        <v/>
      </c>
      <c r="B1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3" spans="1:2" x14ac:dyDescent="0.25">
      <c r="A1203" s="1" t="str">
        <f t="shared" si="18"/>
        <v/>
      </c>
      <c r="B1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4" spans="1:2" x14ac:dyDescent="0.25">
      <c r="A1204" s="1" t="str">
        <f t="shared" si="18"/>
        <v/>
      </c>
      <c r="B1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5" spans="1:2" x14ac:dyDescent="0.25">
      <c r="A1205" s="1" t="str">
        <f t="shared" si="18"/>
        <v/>
      </c>
      <c r="B1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6" spans="1:2" x14ac:dyDescent="0.25">
      <c r="A1206" s="1" t="str">
        <f t="shared" si="18"/>
        <v/>
      </c>
      <c r="B1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7" spans="1:2" x14ac:dyDescent="0.25">
      <c r="A1207" s="1" t="str">
        <f t="shared" si="18"/>
        <v/>
      </c>
      <c r="B1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8" spans="1:2" x14ac:dyDescent="0.25">
      <c r="A1208" s="1" t="str">
        <f t="shared" si="18"/>
        <v/>
      </c>
      <c r="B12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9" spans="1:2" x14ac:dyDescent="0.25">
      <c r="A1209" s="1" t="str">
        <f t="shared" si="18"/>
        <v/>
      </c>
      <c r="B12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0" spans="1:2" x14ac:dyDescent="0.25">
      <c r="A1210" s="1" t="str">
        <f t="shared" si="18"/>
        <v/>
      </c>
      <c r="B12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1" spans="1:2" x14ac:dyDescent="0.25">
      <c r="A1211" s="1" t="str">
        <f t="shared" si="18"/>
        <v/>
      </c>
      <c r="B12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2" spans="1:2" x14ac:dyDescent="0.25">
      <c r="A1212" s="1" t="str">
        <f t="shared" si="18"/>
        <v/>
      </c>
      <c r="B12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3" spans="1:2" x14ac:dyDescent="0.25">
      <c r="A1213" s="1" t="str">
        <f t="shared" si="18"/>
        <v/>
      </c>
      <c r="B12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4" spans="1:2" x14ac:dyDescent="0.25">
      <c r="A1214" s="1" t="str">
        <f t="shared" si="18"/>
        <v/>
      </c>
      <c r="B12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5" spans="1:2" x14ac:dyDescent="0.25">
      <c r="A1215" s="1" t="str">
        <f t="shared" si="18"/>
        <v/>
      </c>
      <c r="B12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6" spans="1:2" x14ac:dyDescent="0.25">
      <c r="A1216" s="1" t="str">
        <f t="shared" si="18"/>
        <v/>
      </c>
      <c r="B12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7" spans="1:2" x14ac:dyDescent="0.25">
      <c r="A1217" s="1" t="str">
        <f t="shared" si="18"/>
        <v/>
      </c>
      <c r="B12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8" spans="1:2" x14ac:dyDescent="0.25">
      <c r="A1218" s="1" t="str">
        <f t="shared" ref="A1218:A1281" si="19">IFERROR(LEFT(RIGHT(C1218,LEN(C1218)-SEARCH("@",C1218)),SEARCH("/",RIGHT(C1218,LEN(C1218)-SEARCH("@",C1218)-1))),"")</f>
        <v/>
      </c>
      <c r="B12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9" spans="1:2" x14ac:dyDescent="0.25">
      <c r="A1219" s="1" t="str">
        <f t="shared" si="19"/>
        <v/>
      </c>
      <c r="B12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0" spans="1:2" x14ac:dyDescent="0.25">
      <c r="A1220" s="1" t="str">
        <f t="shared" si="19"/>
        <v/>
      </c>
      <c r="B12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1" spans="1:2" x14ac:dyDescent="0.25">
      <c r="A1221" s="1" t="str">
        <f t="shared" si="19"/>
        <v/>
      </c>
      <c r="B12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2" spans="1:2" x14ac:dyDescent="0.25">
      <c r="A1222" s="1" t="str">
        <f t="shared" si="19"/>
        <v/>
      </c>
      <c r="B12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3" spans="1:2" x14ac:dyDescent="0.25">
      <c r="A1223" s="1" t="str">
        <f t="shared" si="19"/>
        <v/>
      </c>
      <c r="B12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4" spans="1:2" x14ac:dyDescent="0.25">
      <c r="A1224" s="1" t="str">
        <f t="shared" si="19"/>
        <v/>
      </c>
      <c r="B1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5" spans="1:2" x14ac:dyDescent="0.25">
      <c r="A1225" s="1" t="str">
        <f t="shared" si="19"/>
        <v/>
      </c>
      <c r="B1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6" spans="1:2" x14ac:dyDescent="0.25">
      <c r="A1226" s="1" t="str">
        <f t="shared" si="19"/>
        <v/>
      </c>
      <c r="B1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7" spans="1:2" x14ac:dyDescent="0.25">
      <c r="A1227" s="1" t="str">
        <f t="shared" si="19"/>
        <v/>
      </c>
      <c r="B1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8" spans="1:2" x14ac:dyDescent="0.25">
      <c r="A1228" s="1" t="str">
        <f t="shared" si="19"/>
        <v/>
      </c>
      <c r="B1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9" spans="1:2" x14ac:dyDescent="0.25">
      <c r="A1229" s="1" t="str">
        <f t="shared" si="19"/>
        <v/>
      </c>
      <c r="B1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0" spans="1:2" x14ac:dyDescent="0.25">
      <c r="A1230" s="1" t="str">
        <f t="shared" si="19"/>
        <v/>
      </c>
      <c r="B1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1" spans="1:2" x14ac:dyDescent="0.25">
      <c r="A1231" s="1" t="str">
        <f t="shared" si="19"/>
        <v/>
      </c>
      <c r="B1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2" spans="1:2" x14ac:dyDescent="0.25">
      <c r="A1232" s="1" t="str">
        <f t="shared" si="19"/>
        <v/>
      </c>
      <c r="B1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3" spans="1:2" x14ac:dyDescent="0.25">
      <c r="A1233" s="1" t="str">
        <f t="shared" si="19"/>
        <v/>
      </c>
      <c r="B1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4" spans="1:2" x14ac:dyDescent="0.25">
      <c r="A1234" s="1" t="str">
        <f t="shared" si="19"/>
        <v/>
      </c>
      <c r="B12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5" spans="1:2" x14ac:dyDescent="0.25">
      <c r="A1235" s="1" t="str">
        <f t="shared" si="19"/>
        <v/>
      </c>
      <c r="B12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6" spans="1:2" x14ac:dyDescent="0.25">
      <c r="A1236" s="1" t="str">
        <f t="shared" si="19"/>
        <v/>
      </c>
      <c r="B12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7" spans="1:2" x14ac:dyDescent="0.25">
      <c r="A1237" s="1" t="str">
        <f t="shared" si="19"/>
        <v/>
      </c>
      <c r="B12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8" spans="1:2" x14ac:dyDescent="0.25">
      <c r="A1238" s="1" t="str">
        <f t="shared" si="19"/>
        <v/>
      </c>
      <c r="B12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9" spans="1:2" x14ac:dyDescent="0.25">
      <c r="A1239" s="1" t="str">
        <f t="shared" si="19"/>
        <v/>
      </c>
      <c r="B12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0" spans="1:2" x14ac:dyDescent="0.25">
      <c r="A1240" s="1" t="str">
        <f t="shared" si="19"/>
        <v/>
      </c>
      <c r="B1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1" spans="1:2" x14ac:dyDescent="0.25">
      <c r="A1241" s="1" t="str">
        <f t="shared" si="19"/>
        <v/>
      </c>
      <c r="B1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2" spans="1:2" x14ac:dyDescent="0.25">
      <c r="A1242" s="1" t="str">
        <f t="shared" si="19"/>
        <v/>
      </c>
      <c r="B12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3" spans="1:2" x14ac:dyDescent="0.25">
      <c r="A1243" s="1" t="str">
        <f t="shared" si="19"/>
        <v/>
      </c>
      <c r="B1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4" spans="1:2" x14ac:dyDescent="0.25">
      <c r="A1244" s="1" t="str">
        <f t="shared" si="19"/>
        <v/>
      </c>
      <c r="B1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5" spans="1:2" x14ac:dyDescent="0.25">
      <c r="A1245" s="1" t="str">
        <f t="shared" si="19"/>
        <v/>
      </c>
      <c r="B1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6" spans="1:2" x14ac:dyDescent="0.25">
      <c r="A1246" s="1" t="str">
        <f t="shared" si="19"/>
        <v/>
      </c>
      <c r="B1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7" spans="1:2" x14ac:dyDescent="0.25">
      <c r="A1247" s="1" t="str">
        <f t="shared" si="19"/>
        <v/>
      </c>
      <c r="B1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8" spans="1:2" x14ac:dyDescent="0.25">
      <c r="A1248" s="1" t="str">
        <f t="shared" si="19"/>
        <v/>
      </c>
      <c r="B1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9" spans="1:2" x14ac:dyDescent="0.25">
      <c r="A1249" s="1" t="str">
        <f t="shared" si="19"/>
        <v/>
      </c>
      <c r="B12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0" spans="1:2" x14ac:dyDescent="0.25">
      <c r="A1250" s="1" t="str">
        <f t="shared" si="19"/>
        <v/>
      </c>
      <c r="B12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1" spans="1:2" x14ac:dyDescent="0.25">
      <c r="A1251" s="1" t="str">
        <f t="shared" si="19"/>
        <v/>
      </c>
      <c r="B12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2" spans="1:2" x14ac:dyDescent="0.25">
      <c r="A1252" s="1" t="str">
        <f t="shared" si="19"/>
        <v/>
      </c>
      <c r="B12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3" spans="1:2" x14ac:dyDescent="0.25">
      <c r="A1253" s="1" t="str">
        <f t="shared" si="19"/>
        <v/>
      </c>
      <c r="B12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4" spans="1:2" x14ac:dyDescent="0.25">
      <c r="A1254" s="1" t="str">
        <f t="shared" si="19"/>
        <v/>
      </c>
      <c r="B12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5" spans="1:2" x14ac:dyDescent="0.25">
      <c r="A1255" s="1" t="str">
        <f t="shared" si="19"/>
        <v/>
      </c>
      <c r="B12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6" spans="1:2" x14ac:dyDescent="0.25">
      <c r="A1256" s="1" t="str">
        <f t="shared" si="19"/>
        <v/>
      </c>
      <c r="B12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7" spans="1:2" x14ac:dyDescent="0.25">
      <c r="A1257" s="1" t="str">
        <f t="shared" si="19"/>
        <v/>
      </c>
      <c r="B1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8" spans="1:2" x14ac:dyDescent="0.25">
      <c r="A1258" s="1" t="str">
        <f t="shared" si="19"/>
        <v/>
      </c>
      <c r="B1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9" spans="1:2" x14ac:dyDescent="0.25">
      <c r="A1259" s="1" t="str">
        <f t="shared" si="19"/>
        <v/>
      </c>
      <c r="B1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0" spans="1:2" x14ac:dyDescent="0.25">
      <c r="A1260" s="1" t="str">
        <f t="shared" si="19"/>
        <v/>
      </c>
      <c r="B1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1" spans="1:2" x14ac:dyDescent="0.25">
      <c r="A1261" s="1" t="str">
        <f t="shared" si="19"/>
        <v/>
      </c>
      <c r="B1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2" spans="1:2" x14ac:dyDescent="0.25">
      <c r="A1262" s="1" t="str">
        <f t="shared" si="19"/>
        <v/>
      </c>
      <c r="B1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3" spans="1:2" x14ac:dyDescent="0.25">
      <c r="A1263" s="1" t="str">
        <f t="shared" si="19"/>
        <v/>
      </c>
      <c r="B1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4" spans="1:2" x14ac:dyDescent="0.25">
      <c r="A1264" s="1" t="str">
        <f t="shared" si="19"/>
        <v/>
      </c>
      <c r="B1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5" spans="1:2" x14ac:dyDescent="0.25">
      <c r="A1265" s="1" t="str">
        <f t="shared" si="19"/>
        <v/>
      </c>
      <c r="B1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6" spans="1:2" x14ac:dyDescent="0.25">
      <c r="A1266" s="1" t="str">
        <f t="shared" si="19"/>
        <v/>
      </c>
      <c r="B1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7" spans="1:2" x14ac:dyDescent="0.25">
      <c r="A1267" s="1" t="str">
        <f t="shared" si="19"/>
        <v/>
      </c>
      <c r="B12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8" spans="1:2" x14ac:dyDescent="0.25">
      <c r="A1268" s="1" t="str">
        <f t="shared" si="19"/>
        <v/>
      </c>
      <c r="B12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9" spans="1:2" x14ac:dyDescent="0.25">
      <c r="A1269" s="1" t="str">
        <f t="shared" si="19"/>
        <v/>
      </c>
      <c r="B12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0" spans="1:2" x14ac:dyDescent="0.25">
      <c r="A1270" s="1" t="str">
        <f t="shared" si="19"/>
        <v/>
      </c>
      <c r="B12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1" spans="1:2" x14ac:dyDescent="0.25">
      <c r="A1271" s="1" t="str">
        <f t="shared" si="19"/>
        <v/>
      </c>
      <c r="B12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2" spans="1:2" x14ac:dyDescent="0.25">
      <c r="A1272" s="1" t="str">
        <f t="shared" si="19"/>
        <v/>
      </c>
      <c r="B12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3" spans="1:2" x14ac:dyDescent="0.25">
      <c r="A1273" s="1" t="str">
        <f t="shared" si="19"/>
        <v/>
      </c>
      <c r="B12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4" spans="1:2" x14ac:dyDescent="0.25">
      <c r="A1274" s="1" t="str">
        <f t="shared" si="19"/>
        <v/>
      </c>
      <c r="B12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5" spans="1:2" x14ac:dyDescent="0.25">
      <c r="A1275" s="1" t="str">
        <f t="shared" si="19"/>
        <v/>
      </c>
      <c r="B12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6" spans="1:2" x14ac:dyDescent="0.25">
      <c r="A1276" s="1" t="str">
        <f t="shared" si="19"/>
        <v/>
      </c>
      <c r="B12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7" spans="1:2" x14ac:dyDescent="0.25">
      <c r="A1277" s="1" t="str">
        <f t="shared" si="19"/>
        <v/>
      </c>
      <c r="B12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8" spans="1:2" x14ac:dyDescent="0.25">
      <c r="A1278" s="1" t="str">
        <f t="shared" si="19"/>
        <v/>
      </c>
      <c r="B12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9" spans="1:2" x14ac:dyDescent="0.25">
      <c r="A1279" s="1" t="str">
        <f t="shared" si="19"/>
        <v/>
      </c>
      <c r="B12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0" spans="1:2" x14ac:dyDescent="0.25">
      <c r="A1280" s="1" t="str">
        <f t="shared" si="19"/>
        <v/>
      </c>
      <c r="B12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1" spans="1:2" x14ac:dyDescent="0.25">
      <c r="A1281" s="1" t="str">
        <f t="shared" si="19"/>
        <v/>
      </c>
      <c r="B1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2" spans="1:2" x14ac:dyDescent="0.25">
      <c r="A1282" s="1" t="str">
        <f t="shared" ref="A1282:A1345" si="20">IFERROR(LEFT(RIGHT(C1282,LEN(C1282)-SEARCH("@",C1282)),SEARCH("/",RIGHT(C1282,LEN(C1282)-SEARCH("@",C1282)-1))),"")</f>
        <v/>
      </c>
      <c r="B1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3" spans="1:2" x14ac:dyDescent="0.25">
      <c r="A1283" s="1" t="str">
        <f t="shared" si="20"/>
        <v/>
      </c>
      <c r="B12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4" spans="1:2" x14ac:dyDescent="0.25">
      <c r="A1284" s="1" t="str">
        <f t="shared" si="20"/>
        <v/>
      </c>
      <c r="B1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5" spans="1:2" x14ac:dyDescent="0.25">
      <c r="A1285" s="1" t="str">
        <f t="shared" si="20"/>
        <v/>
      </c>
      <c r="B1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6" spans="1:2" x14ac:dyDescent="0.25">
      <c r="A1286" s="1" t="str">
        <f t="shared" si="20"/>
        <v/>
      </c>
      <c r="B1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7" spans="1:2" x14ac:dyDescent="0.25">
      <c r="A1287" s="1" t="str">
        <f t="shared" si="20"/>
        <v/>
      </c>
      <c r="B1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8" spans="1:2" x14ac:dyDescent="0.25">
      <c r="A1288" s="1" t="str">
        <f t="shared" si="20"/>
        <v/>
      </c>
      <c r="B1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9" spans="1:2" x14ac:dyDescent="0.25">
      <c r="A1289" s="1" t="str">
        <f t="shared" si="20"/>
        <v/>
      </c>
      <c r="B1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0" spans="1:2" x14ac:dyDescent="0.25">
      <c r="A1290" s="1" t="str">
        <f t="shared" si="20"/>
        <v/>
      </c>
      <c r="B1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1" spans="1:2" x14ac:dyDescent="0.25">
      <c r="A1291" s="1" t="str">
        <f t="shared" si="20"/>
        <v/>
      </c>
      <c r="B1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2" spans="1:2" x14ac:dyDescent="0.25">
      <c r="A1292" s="1" t="str">
        <f t="shared" si="20"/>
        <v/>
      </c>
      <c r="B1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3" spans="1:2" x14ac:dyDescent="0.25">
      <c r="A1293" s="1" t="str">
        <f t="shared" si="20"/>
        <v/>
      </c>
      <c r="B1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4" spans="1:2" x14ac:dyDescent="0.25">
      <c r="A1294" s="1" t="str">
        <f t="shared" si="20"/>
        <v/>
      </c>
      <c r="B1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5" spans="1:2" x14ac:dyDescent="0.25">
      <c r="A1295" s="1" t="str">
        <f t="shared" si="20"/>
        <v/>
      </c>
      <c r="B1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6" spans="1:2" x14ac:dyDescent="0.25">
      <c r="A1296" s="1" t="str">
        <f t="shared" si="20"/>
        <v/>
      </c>
      <c r="B1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7" spans="1:2" x14ac:dyDescent="0.25">
      <c r="A1297" s="1" t="str">
        <f t="shared" si="20"/>
        <v/>
      </c>
      <c r="B1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8" spans="1:2" x14ac:dyDescent="0.25">
      <c r="A1298" s="1" t="str">
        <f t="shared" si="20"/>
        <v/>
      </c>
      <c r="B1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9" spans="1:2" x14ac:dyDescent="0.25">
      <c r="A1299" s="1" t="str">
        <f t="shared" si="20"/>
        <v/>
      </c>
      <c r="B1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0" spans="1:2" x14ac:dyDescent="0.25">
      <c r="A1300" s="1" t="str">
        <f t="shared" si="20"/>
        <v/>
      </c>
      <c r="B13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1" spans="1:2" x14ac:dyDescent="0.25">
      <c r="A1301" s="1" t="str">
        <f t="shared" si="20"/>
        <v/>
      </c>
      <c r="B13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2" spans="1:2" x14ac:dyDescent="0.25">
      <c r="A1302" s="1" t="str">
        <f t="shared" si="20"/>
        <v/>
      </c>
      <c r="B13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3" spans="1:2" x14ac:dyDescent="0.25">
      <c r="A1303" s="1" t="str">
        <f t="shared" si="20"/>
        <v/>
      </c>
      <c r="B13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4" spans="1:2" x14ac:dyDescent="0.25">
      <c r="A1304" s="1" t="str">
        <f t="shared" si="20"/>
        <v/>
      </c>
      <c r="B13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5" spans="1:2" x14ac:dyDescent="0.25">
      <c r="A1305" s="1" t="str">
        <f t="shared" si="20"/>
        <v/>
      </c>
      <c r="B13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6" spans="1:2" x14ac:dyDescent="0.25">
      <c r="A1306" s="1" t="str">
        <f t="shared" si="20"/>
        <v/>
      </c>
      <c r="B13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7" spans="1:2" x14ac:dyDescent="0.25">
      <c r="A1307" s="1" t="str">
        <f t="shared" si="20"/>
        <v/>
      </c>
      <c r="B13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8" spans="1:2" x14ac:dyDescent="0.25">
      <c r="A1308" s="1" t="str">
        <f t="shared" si="20"/>
        <v/>
      </c>
      <c r="B13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9" spans="1:2" x14ac:dyDescent="0.25">
      <c r="A1309" s="1" t="str">
        <f t="shared" si="20"/>
        <v/>
      </c>
      <c r="B13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0" spans="1:2" x14ac:dyDescent="0.25">
      <c r="A1310" s="1" t="str">
        <f t="shared" si="20"/>
        <v/>
      </c>
      <c r="B13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1" spans="1:2" x14ac:dyDescent="0.25">
      <c r="A1311" s="1" t="str">
        <f t="shared" si="20"/>
        <v/>
      </c>
      <c r="B13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2" spans="1:2" x14ac:dyDescent="0.25">
      <c r="A1312" s="1" t="str">
        <f t="shared" si="20"/>
        <v/>
      </c>
      <c r="B13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3" spans="1:2" x14ac:dyDescent="0.25">
      <c r="A1313" s="1" t="str">
        <f t="shared" si="20"/>
        <v/>
      </c>
      <c r="B13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4" spans="1:2" x14ac:dyDescent="0.25">
      <c r="A1314" s="1" t="str">
        <f t="shared" si="20"/>
        <v/>
      </c>
      <c r="B13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5" spans="1:2" x14ac:dyDescent="0.25">
      <c r="A1315" s="1" t="str">
        <f t="shared" si="20"/>
        <v/>
      </c>
      <c r="B13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6" spans="1:2" x14ac:dyDescent="0.25">
      <c r="A1316" s="1" t="str">
        <f t="shared" si="20"/>
        <v/>
      </c>
      <c r="B13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7" spans="1:2" x14ac:dyDescent="0.25">
      <c r="A1317" s="1" t="str">
        <f t="shared" si="20"/>
        <v/>
      </c>
      <c r="B13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8" spans="1:2" x14ac:dyDescent="0.25">
      <c r="A1318" s="1" t="str">
        <f t="shared" si="20"/>
        <v/>
      </c>
      <c r="B13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9" spans="1:2" x14ac:dyDescent="0.25">
      <c r="A1319" s="1" t="str">
        <f t="shared" si="20"/>
        <v/>
      </c>
      <c r="B13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0" spans="1:2" x14ac:dyDescent="0.25">
      <c r="A1320" s="1" t="str">
        <f t="shared" si="20"/>
        <v/>
      </c>
      <c r="B13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1" spans="1:2" x14ac:dyDescent="0.25">
      <c r="A1321" s="1" t="str">
        <f t="shared" si="20"/>
        <v/>
      </c>
      <c r="B13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2" spans="1:2" x14ac:dyDescent="0.25">
      <c r="A1322" s="1" t="str">
        <f t="shared" si="20"/>
        <v/>
      </c>
      <c r="B1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3" spans="1:2" x14ac:dyDescent="0.25">
      <c r="A1323" s="1" t="str">
        <f t="shared" si="20"/>
        <v/>
      </c>
      <c r="B1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4" spans="1:2" x14ac:dyDescent="0.25">
      <c r="A1324" s="1" t="str">
        <f t="shared" si="20"/>
        <v/>
      </c>
      <c r="B1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5" spans="1:2" x14ac:dyDescent="0.25">
      <c r="A1325" s="1" t="str">
        <f t="shared" si="20"/>
        <v/>
      </c>
      <c r="B1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6" spans="1:2" x14ac:dyDescent="0.25">
      <c r="A1326" s="1" t="str">
        <f t="shared" si="20"/>
        <v/>
      </c>
      <c r="B1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7" spans="1:2" x14ac:dyDescent="0.25">
      <c r="A1327" s="1" t="str">
        <f t="shared" si="20"/>
        <v/>
      </c>
      <c r="B1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8" spans="1:2" x14ac:dyDescent="0.25">
      <c r="A1328" s="1" t="str">
        <f t="shared" si="20"/>
        <v/>
      </c>
      <c r="B1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9" spans="1:2" x14ac:dyDescent="0.25">
      <c r="A1329" s="1" t="str">
        <f t="shared" si="20"/>
        <v/>
      </c>
      <c r="B1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0" spans="1:2" x14ac:dyDescent="0.25">
      <c r="A1330" s="1" t="str">
        <f t="shared" si="20"/>
        <v/>
      </c>
      <c r="B1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1" spans="1:2" x14ac:dyDescent="0.25">
      <c r="A1331" s="1" t="str">
        <f t="shared" si="20"/>
        <v/>
      </c>
      <c r="B1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2" spans="1:2" x14ac:dyDescent="0.25">
      <c r="A1332" s="1" t="str">
        <f t="shared" si="20"/>
        <v/>
      </c>
      <c r="B1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3" spans="1:2" x14ac:dyDescent="0.25">
      <c r="A1333" s="1" t="str">
        <f t="shared" si="20"/>
        <v/>
      </c>
      <c r="B13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4" spans="1:2" x14ac:dyDescent="0.25">
      <c r="A1334" s="1" t="str">
        <f t="shared" si="20"/>
        <v/>
      </c>
      <c r="B13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5" spans="1:2" x14ac:dyDescent="0.25">
      <c r="A1335" s="1" t="str">
        <f t="shared" si="20"/>
        <v/>
      </c>
      <c r="B13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6" spans="1:2" x14ac:dyDescent="0.25">
      <c r="A1336" s="1" t="str">
        <f t="shared" si="20"/>
        <v/>
      </c>
      <c r="B13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7" spans="1:2" x14ac:dyDescent="0.25">
      <c r="A1337" s="1" t="str">
        <f t="shared" si="20"/>
        <v/>
      </c>
      <c r="B13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8" spans="1:2" x14ac:dyDescent="0.25">
      <c r="A1338" s="1" t="str">
        <f t="shared" si="20"/>
        <v/>
      </c>
      <c r="B13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9" spans="1:2" x14ac:dyDescent="0.25">
      <c r="A1339" s="1" t="str">
        <f t="shared" si="20"/>
        <v/>
      </c>
      <c r="B13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0" spans="1:2" x14ac:dyDescent="0.25">
      <c r="A1340" s="1" t="str">
        <f t="shared" si="20"/>
        <v/>
      </c>
      <c r="B13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1" spans="1:2" x14ac:dyDescent="0.25">
      <c r="A1341" s="1" t="str">
        <f t="shared" si="20"/>
        <v/>
      </c>
      <c r="B13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2" spans="1:2" x14ac:dyDescent="0.25">
      <c r="A1342" s="1" t="str">
        <f t="shared" si="20"/>
        <v/>
      </c>
      <c r="B13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3" spans="1:2" x14ac:dyDescent="0.25">
      <c r="A1343" s="1" t="str">
        <f t="shared" si="20"/>
        <v/>
      </c>
      <c r="B13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4" spans="1:2" x14ac:dyDescent="0.25">
      <c r="A1344" s="1" t="str">
        <f t="shared" si="20"/>
        <v/>
      </c>
      <c r="B13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5" spans="1:2" x14ac:dyDescent="0.25">
      <c r="A1345" s="1" t="str">
        <f t="shared" si="20"/>
        <v/>
      </c>
      <c r="B13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6" spans="1:2" x14ac:dyDescent="0.25">
      <c r="A1346" s="1" t="str">
        <f t="shared" ref="A1346:A1409" si="21">IFERROR(LEFT(RIGHT(C1346,LEN(C1346)-SEARCH("@",C1346)),SEARCH("/",RIGHT(C1346,LEN(C1346)-SEARCH("@",C1346)-1))),"")</f>
        <v/>
      </c>
      <c r="B13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7" spans="1:2" x14ac:dyDescent="0.25">
      <c r="A1347" s="1" t="str">
        <f t="shared" si="21"/>
        <v/>
      </c>
      <c r="B13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8" spans="1:2" x14ac:dyDescent="0.25">
      <c r="A1348" s="1" t="str">
        <f t="shared" si="21"/>
        <v/>
      </c>
      <c r="B13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9" spans="1:2" x14ac:dyDescent="0.25">
      <c r="A1349" s="1" t="str">
        <f t="shared" si="21"/>
        <v/>
      </c>
      <c r="B13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0" spans="1:2" x14ac:dyDescent="0.25">
      <c r="A1350" s="1" t="str">
        <f t="shared" si="21"/>
        <v/>
      </c>
      <c r="B13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1" spans="1:2" x14ac:dyDescent="0.25">
      <c r="A1351" s="1" t="str">
        <f t="shared" si="21"/>
        <v/>
      </c>
      <c r="B13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2" spans="1:2" x14ac:dyDescent="0.25">
      <c r="A1352" s="1" t="str">
        <f t="shared" si="21"/>
        <v/>
      </c>
      <c r="B13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3" spans="1:2" x14ac:dyDescent="0.25">
      <c r="A1353" s="1" t="str">
        <f t="shared" si="21"/>
        <v/>
      </c>
      <c r="B13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4" spans="1:2" x14ac:dyDescent="0.25">
      <c r="A1354" s="1" t="str">
        <f t="shared" si="21"/>
        <v/>
      </c>
      <c r="B13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5" spans="1:2" x14ac:dyDescent="0.25">
      <c r="A1355" s="1" t="str">
        <f t="shared" si="21"/>
        <v/>
      </c>
      <c r="B13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6" spans="1:2" x14ac:dyDescent="0.25">
      <c r="A1356" s="1" t="str">
        <f t="shared" si="21"/>
        <v/>
      </c>
      <c r="B1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7" spans="1:2" x14ac:dyDescent="0.25">
      <c r="A1357" s="1" t="str">
        <f t="shared" si="21"/>
        <v/>
      </c>
      <c r="B1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8" spans="1:2" x14ac:dyDescent="0.25">
      <c r="A1358" s="1" t="str">
        <f t="shared" si="21"/>
        <v/>
      </c>
      <c r="B1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9" spans="1:2" x14ac:dyDescent="0.25">
      <c r="A1359" s="1" t="str">
        <f t="shared" si="21"/>
        <v/>
      </c>
      <c r="B1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0" spans="1:2" x14ac:dyDescent="0.25">
      <c r="A1360" s="1" t="str">
        <f t="shared" si="21"/>
        <v/>
      </c>
      <c r="B1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1" spans="1:2" x14ac:dyDescent="0.25">
      <c r="A1361" s="1" t="str">
        <f t="shared" si="21"/>
        <v/>
      </c>
      <c r="B1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2" spans="1:2" x14ac:dyDescent="0.25">
      <c r="A1362" s="1" t="str">
        <f t="shared" si="21"/>
        <v/>
      </c>
      <c r="B1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3" spans="1:2" x14ac:dyDescent="0.25">
      <c r="A1363" s="1" t="str">
        <f t="shared" si="21"/>
        <v/>
      </c>
      <c r="B1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4" spans="1:2" x14ac:dyDescent="0.25">
      <c r="A1364" s="1" t="str">
        <f t="shared" si="21"/>
        <v/>
      </c>
      <c r="B1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5" spans="1:2" x14ac:dyDescent="0.25">
      <c r="A1365" s="1" t="str">
        <f t="shared" si="21"/>
        <v/>
      </c>
      <c r="B1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6" spans="1:2" x14ac:dyDescent="0.25">
      <c r="A1366" s="1" t="str">
        <f t="shared" si="21"/>
        <v/>
      </c>
      <c r="B1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7" spans="1:2" x14ac:dyDescent="0.25">
      <c r="A1367" s="1" t="str">
        <f t="shared" si="21"/>
        <v/>
      </c>
      <c r="B1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8" spans="1:2" x14ac:dyDescent="0.25">
      <c r="A1368" s="1" t="str">
        <f t="shared" si="21"/>
        <v/>
      </c>
      <c r="B1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9" spans="1:2" x14ac:dyDescent="0.25">
      <c r="A1369" s="1" t="str">
        <f t="shared" si="21"/>
        <v/>
      </c>
      <c r="B1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0" spans="1:2" x14ac:dyDescent="0.25">
      <c r="A1370" s="1" t="str">
        <f t="shared" si="21"/>
        <v/>
      </c>
      <c r="B1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1" spans="1:2" x14ac:dyDescent="0.25">
      <c r="A1371" s="1" t="str">
        <f t="shared" si="21"/>
        <v/>
      </c>
      <c r="B1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2" spans="1:2" x14ac:dyDescent="0.25">
      <c r="A1372" s="1" t="str">
        <f t="shared" si="21"/>
        <v/>
      </c>
      <c r="B13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3" spans="1:2" x14ac:dyDescent="0.25">
      <c r="A1373" s="1" t="str">
        <f t="shared" si="21"/>
        <v/>
      </c>
      <c r="B13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4" spans="1:2" x14ac:dyDescent="0.25">
      <c r="A1374" s="1" t="str">
        <f t="shared" si="21"/>
        <v/>
      </c>
      <c r="B13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5" spans="1:2" x14ac:dyDescent="0.25">
      <c r="A1375" s="1" t="str">
        <f t="shared" si="21"/>
        <v/>
      </c>
      <c r="B13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6" spans="1:2" x14ac:dyDescent="0.25">
      <c r="A1376" s="1" t="str">
        <f t="shared" si="21"/>
        <v/>
      </c>
      <c r="B13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7" spans="1:2" x14ac:dyDescent="0.25">
      <c r="A1377" s="1" t="str">
        <f t="shared" si="21"/>
        <v/>
      </c>
      <c r="B13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8" spans="1:2" x14ac:dyDescent="0.25">
      <c r="A1378" s="1" t="str">
        <f t="shared" si="21"/>
        <v/>
      </c>
      <c r="B13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9" spans="1:2" x14ac:dyDescent="0.25">
      <c r="A1379" s="1" t="str">
        <f t="shared" si="21"/>
        <v/>
      </c>
      <c r="B13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0" spans="1:2" x14ac:dyDescent="0.25">
      <c r="A1380" s="1" t="str">
        <f t="shared" si="21"/>
        <v/>
      </c>
      <c r="B13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1" spans="1:2" x14ac:dyDescent="0.25">
      <c r="A1381" s="1" t="str">
        <f t="shared" si="21"/>
        <v/>
      </c>
      <c r="B13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2" spans="1:2" x14ac:dyDescent="0.25">
      <c r="A1382" s="1" t="str">
        <f t="shared" si="21"/>
        <v/>
      </c>
      <c r="B13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3" spans="1:2" x14ac:dyDescent="0.25">
      <c r="A1383" s="1" t="str">
        <f t="shared" si="21"/>
        <v/>
      </c>
      <c r="B13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4" spans="1:2" x14ac:dyDescent="0.25">
      <c r="A1384" s="1" t="str">
        <f t="shared" si="21"/>
        <v/>
      </c>
      <c r="B13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5" spans="1:2" x14ac:dyDescent="0.25">
      <c r="A1385" s="1" t="str">
        <f t="shared" si="21"/>
        <v/>
      </c>
      <c r="B13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6" spans="1:2" x14ac:dyDescent="0.25">
      <c r="A1386" s="1" t="str">
        <f t="shared" si="21"/>
        <v/>
      </c>
      <c r="B13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7" spans="1:2" x14ac:dyDescent="0.25">
      <c r="A1387" s="1" t="str">
        <f t="shared" si="21"/>
        <v/>
      </c>
      <c r="B13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8" spans="1:2" x14ac:dyDescent="0.25">
      <c r="A1388" s="1" t="str">
        <f t="shared" si="21"/>
        <v/>
      </c>
      <c r="B13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9" spans="1:2" x14ac:dyDescent="0.25">
      <c r="A1389" s="1" t="str">
        <f t="shared" si="21"/>
        <v/>
      </c>
      <c r="B1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0" spans="1:2" x14ac:dyDescent="0.25">
      <c r="A1390" s="1" t="str">
        <f t="shared" si="21"/>
        <v/>
      </c>
      <c r="B1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1" spans="1:2" x14ac:dyDescent="0.25">
      <c r="A1391" s="1" t="str">
        <f t="shared" si="21"/>
        <v/>
      </c>
      <c r="B1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2" spans="1:2" x14ac:dyDescent="0.25">
      <c r="A1392" s="1" t="str">
        <f t="shared" si="21"/>
        <v/>
      </c>
      <c r="B1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3" spans="1:2" x14ac:dyDescent="0.25">
      <c r="A1393" s="1" t="str">
        <f t="shared" si="21"/>
        <v/>
      </c>
      <c r="B1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4" spans="1:2" x14ac:dyDescent="0.25">
      <c r="A1394" s="1" t="str">
        <f t="shared" si="21"/>
        <v/>
      </c>
      <c r="B1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5" spans="1:2" x14ac:dyDescent="0.25">
      <c r="A1395" s="1" t="str">
        <f t="shared" si="21"/>
        <v/>
      </c>
      <c r="B1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6" spans="1:2" x14ac:dyDescent="0.25">
      <c r="A1396" s="1" t="str">
        <f t="shared" si="21"/>
        <v/>
      </c>
      <c r="B1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7" spans="1:2" x14ac:dyDescent="0.25">
      <c r="A1397" s="1" t="str">
        <f t="shared" si="21"/>
        <v/>
      </c>
      <c r="B1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8" spans="1:2" x14ac:dyDescent="0.25">
      <c r="A1398" s="1" t="str">
        <f t="shared" si="21"/>
        <v/>
      </c>
      <c r="B1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9" spans="1:2" x14ac:dyDescent="0.25">
      <c r="A1399" s="1" t="str">
        <f t="shared" si="21"/>
        <v/>
      </c>
      <c r="B13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0" spans="1:2" x14ac:dyDescent="0.25">
      <c r="A1400" s="1" t="str">
        <f t="shared" si="21"/>
        <v/>
      </c>
      <c r="B14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1" spans="1:2" x14ac:dyDescent="0.25">
      <c r="A1401" s="1" t="str">
        <f t="shared" si="21"/>
        <v/>
      </c>
      <c r="B14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2" spans="1:2" x14ac:dyDescent="0.25">
      <c r="A1402" s="1" t="str">
        <f t="shared" si="21"/>
        <v/>
      </c>
      <c r="B14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3" spans="1:2" x14ac:dyDescent="0.25">
      <c r="A1403" s="1" t="str">
        <f t="shared" si="21"/>
        <v/>
      </c>
      <c r="B14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4" spans="1:2" x14ac:dyDescent="0.25">
      <c r="A1404" s="1" t="str">
        <f t="shared" si="21"/>
        <v/>
      </c>
      <c r="B1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5" spans="1:2" x14ac:dyDescent="0.25">
      <c r="A1405" s="1" t="str">
        <f t="shared" si="21"/>
        <v/>
      </c>
      <c r="B1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6" spans="1:2" x14ac:dyDescent="0.25">
      <c r="A1406" s="1" t="str">
        <f t="shared" si="21"/>
        <v/>
      </c>
      <c r="B14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7" spans="1:2" x14ac:dyDescent="0.25">
      <c r="A1407" s="1" t="str">
        <f t="shared" si="21"/>
        <v/>
      </c>
      <c r="B1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8" spans="1:2" x14ac:dyDescent="0.25">
      <c r="A1408" s="1" t="str">
        <f t="shared" si="21"/>
        <v/>
      </c>
      <c r="B1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9" spans="1:2" x14ac:dyDescent="0.25">
      <c r="A1409" s="1" t="str">
        <f t="shared" si="21"/>
        <v/>
      </c>
      <c r="B1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0" spans="1:2" x14ac:dyDescent="0.25">
      <c r="A1410" s="1" t="str">
        <f t="shared" ref="A1410:A1473" si="22">IFERROR(LEFT(RIGHT(C1410,LEN(C1410)-SEARCH("@",C1410)),SEARCH("/",RIGHT(C1410,LEN(C1410)-SEARCH("@",C1410)-1))),"")</f>
        <v/>
      </c>
      <c r="B1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1" spans="1:2" x14ac:dyDescent="0.25">
      <c r="A1411" s="1" t="str">
        <f t="shared" si="22"/>
        <v/>
      </c>
      <c r="B1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2" spans="1:2" x14ac:dyDescent="0.25">
      <c r="A1412" s="1" t="str">
        <f t="shared" si="22"/>
        <v/>
      </c>
      <c r="B1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3" spans="1:2" x14ac:dyDescent="0.25">
      <c r="A1413" s="1" t="str">
        <f t="shared" si="22"/>
        <v/>
      </c>
      <c r="B14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4" spans="1:2" x14ac:dyDescent="0.25">
      <c r="A1414" s="1" t="str">
        <f t="shared" si="22"/>
        <v/>
      </c>
      <c r="B14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5" spans="1:2" x14ac:dyDescent="0.25">
      <c r="A1415" s="1" t="str">
        <f t="shared" si="22"/>
        <v/>
      </c>
      <c r="B14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6" spans="1:2" x14ac:dyDescent="0.25">
      <c r="A1416" s="1" t="str">
        <f t="shared" si="22"/>
        <v/>
      </c>
      <c r="B14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7" spans="1:2" x14ac:dyDescent="0.25">
      <c r="A1417" s="1" t="str">
        <f t="shared" si="22"/>
        <v/>
      </c>
      <c r="B14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8" spans="1:2" x14ac:dyDescent="0.25">
      <c r="A1418" s="1" t="str">
        <f t="shared" si="22"/>
        <v/>
      </c>
      <c r="B14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9" spans="1:2" x14ac:dyDescent="0.25">
      <c r="A1419" s="1" t="str">
        <f t="shared" si="22"/>
        <v/>
      </c>
      <c r="B14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0" spans="1:2" x14ac:dyDescent="0.25">
      <c r="A1420" s="1" t="str">
        <f t="shared" si="22"/>
        <v/>
      </c>
      <c r="B14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1" spans="1:2" x14ac:dyDescent="0.25">
      <c r="A1421" s="1" t="str">
        <f t="shared" si="22"/>
        <v/>
      </c>
      <c r="B14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2" spans="1:2" x14ac:dyDescent="0.25">
      <c r="A1422" s="1" t="str">
        <f t="shared" si="22"/>
        <v/>
      </c>
      <c r="B1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3" spans="1:2" x14ac:dyDescent="0.25">
      <c r="A1423" s="1" t="str">
        <f t="shared" si="22"/>
        <v/>
      </c>
      <c r="B1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4" spans="1:2" x14ac:dyDescent="0.25">
      <c r="A1424" s="1" t="str">
        <f t="shared" si="22"/>
        <v/>
      </c>
      <c r="B1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5" spans="1:2" x14ac:dyDescent="0.25">
      <c r="A1425" s="1" t="str">
        <f t="shared" si="22"/>
        <v/>
      </c>
      <c r="B1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6" spans="1:2" x14ac:dyDescent="0.25">
      <c r="A1426" s="1" t="str">
        <f t="shared" si="22"/>
        <v/>
      </c>
      <c r="B1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7" spans="1:2" x14ac:dyDescent="0.25">
      <c r="A1427" s="1" t="str">
        <f t="shared" si="22"/>
        <v/>
      </c>
      <c r="B1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8" spans="1:2" x14ac:dyDescent="0.25">
      <c r="A1428" s="1" t="str">
        <f t="shared" si="22"/>
        <v/>
      </c>
      <c r="B1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9" spans="1:2" x14ac:dyDescent="0.25">
      <c r="A1429" s="1" t="str">
        <f t="shared" si="22"/>
        <v/>
      </c>
      <c r="B1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0" spans="1:2" x14ac:dyDescent="0.25">
      <c r="A1430" s="1" t="str">
        <f t="shared" si="22"/>
        <v/>
      </c>
      <c r="B1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1" spans="1:2" x14ac:dyDescent="0.25">
      <c r="A1431" s="1" t="str">
        <f t="shared" si="22"/>
        <v/>
      </c>
      <c r="B1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2" spans="1:2" x14ac:dyDescent="0.25">
      <c r="A1432" s="1" t="str">
        <f t="shared" si="22"/>
        <v/>
      </c>
      <c r="B14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3" spans="1:2" x14ac:dyDescent="0.25">
      <c r="A1433" s="1" t="str">
        <f t="shared" si="22"/>
        <v/>
      </c>
      <c r="B14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4" spans="1:2" x14ac:dyDescent="0.25">
      <c r="A1434" s="1" t="str">
        <f t="shared" si="22"/>
        <v/>
      </c>
      <c r="B14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5" spans="1:2" x14ac:dyDescent="0.25">
      <c r="A1435" s="1" t="str">
        <f t="shared" si="22"/>
        <v/>
      </c>
      <c r="B14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6" spans="1:2" x14ac:dyDescent="0.25">
      <c r="A1436" s="1" t="str">
        <f t="shared" si="22"/>
        <v/>
      </c>
      <c r="B14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7" spans="1:2" x14ac:dyDescent="0.25">
      <c r="A1437" s="1" t="str">
        <f t="shared" si="22"/>
        <v/>
      </c>
      <c r="B14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8" spans="1:2" x14ac:dyDescent="0.25">
      <c r="A1438" s="1" t="str">
        <f t="shared" si="22"/>
        <v/>
      </c>
      <c r="B14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9" spans="1:2" x14ac:dyDescent="0.25">
      <c r="A1439" s="1" t="str">
        <f t="shared" si="22"/>
        <v/>
      </c>
      <c r="B14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0" spans="1:2" x14ac:dyDescent="0.25">
      <c r="A1440" s="1" t="str">
        <f t="shared" si="22"/>
        <v/>
      </c>
      <c r="B14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1" spans="1:2" x14ac:dyDescent="0.25">
      <c r="A1441" s="1" t="str">
        <f t="shared" si="22"/>
        <v/>
      </c>
      <c r="B14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2" spans="1:2" x14ac:dyDescent="0.25">
      <c r="A1442" s="1" t="str">
        <f t="shared" si="22"/>
        <v/>
      </c>
      <c r="B14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3" spans="1:2" x14ac:dyDescent="0.25">
      <c r="A1443" s="1" t="str">
        <f t="shared" si="22"/>
        <v/>
      </c>
      <c r="B14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4" spans="1:2" x14ac:dyDescent="0.25">
      <c r="A1444" s="1" t="str">
        <f t="shared" si="22"/>
        <v/>
      </c>
      <c r="B14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5" spans="1:2" x14ac:dyDescent="0.25">
      <c r="A1445" s="1" t="str">
        <f t="shared" si="22"/>
        <v/>
      </c>
      <c r="B1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6" spans="1:2" x14ac:dyDescent="0.25">
      <c r="A1446" s="1" t="str">
        <f t="shared" si="22"/>
        <v/>
      </c>
      <c r="B1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7" spans="1:2" x14ac:dyDescent="0.25">
      <c r="A1447" s="1" t="str">
        <f t="shared" si="22"/>
        <v/>
      </c>
      <c r="B14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8" spans="1:2" x14ac:dyDescent="0.25">
      <c r="A1448" s="1" t="str">
        <f t="shared" si="22"/>
        <v/>
      </c>
      <c r="B1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9" spans="1:2" x14ac:dyDescent="0.25">
      <c r="A1449" s="1" t="str">
        <f t="shared" si="22"/>
        <v/>
      </c>
      <c r="B1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0" spans="1:2" x14ac:dyDescent="0.25">
      <c r="A1450" s="1" t="str">
        <f t="shared" si="22"/>
        <v/>
      </c>
      <c r="B1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1" spans="1:2" x14ac:dyDescent="0.25">
      <c r="A1451" s="1" t="str">
        <f t="shared" si="22"/>
        <v/>
      </c>
      <c r="B1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2" spans="1:2" x14ac:dyDescent="0.25">
      <c r="A1452" s="1" t="str">
        <f t="shared" si="22"/>
        <v/>
      </c>
      <c r="B1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3" spans="1:2" x14ac:dyDescent="0.25">
      <c r="A1453" s="1" t="str">
        <f t="shared" si="22"/>
        <v/>
      </c>
      <c r="B1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4" spans="1:2" x14ac:dyDescent="0.25">
      <c r="A1454" s="1" t="str">
        <f t="shared" si="22"/>
        <v/>
      </c>
      <c r="B14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5" spans="1:2" x14ac:dyDescent="0.25">
      <c r="A1455" s="1" t="str">
        <f t="shared" si="22"/>
        <v/>
      </c>
      <c r="B1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6" spans="1:2" x14ac:dyDescent="0.25">
      <c r="A1456" s="1" t="str">
        <f t="shared" si="22"/>
        <v/>
      </c>
      <c r="B1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7" spans="1:2" x14ac:dyDescent="0.25">
      <c r="A1457" s="1" t="str">
        <f t="shared" si="22"/>
        <v/>
      </c>
      <c r="B1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8" spans="1:2" x14ac:dyDescent="0.25">
      <c r="A1458" s="1" t="str">
        <f t="shared" si="22"/>
        <v/>
      </c>
      <c r="B1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9" spans="1:2" x14ac:dyDescent="0.25">
      <c r="A1459" s="1" t="str">
        <f t="shared" si="22"/>
        <v/>
      </c>
      <c r="B1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0" spans="1:2" x14ac:dyDescent="0.25">
      <c r="A1460" s="1" t="str">
        <f t="shared" si="22"/>
        <v/>
      </c>
      <c r="B1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1" spans="1:2" x14ac:dyDescent="0.25">
      <c r="A1461" s="1" t="str">
        <f t="shared" si="22"/>
        <v/>
      </c>
      <c r="B1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2" spans="1:2" x14ac:dyDescent="0.25">
      <c r="A1462" s="1" t="str">
        <f t="shared" si="22"/>
        <v/>
      </c>
      <c r="B1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3" spans="1:2" x14ac:dyDescent="0.25">
      <c r="A1463" s="1" t="str">
        <f t="shared" si="22"/>
        <v/>
      </c>
      <c r="B1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4" spans="1:2" x14ac:dyDescent="0.25">
      <c r="A1464" s="1" t="str">
        <f t="shared" si="22"/>
        <v/>
      </c>
      <c r="B1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5" spans="1:2" x14ac:dyDescent="0.25">
      <c r="A1465" s="1" t="str">
        <f t="shared" si="22"/>
        <v/>
      </c>
      <c r="B14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6" spans="1:2" x14ac:dyDescent="0.25">
      <c r="A1466" s="1" t="str">
        <f t="shared" si="22"/>
        <v/>
      </c>
      <c r="B14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7" spans="1:2" x14ac:dyDescent="0.25">
      <c r="A1467" s="1" t="str">
        <f t="shared" si="22"/>
        <v/>
      </c>
      <c r="B14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8" spans="1:2" x14ac:dyDescent="0.25">
      <c r="A1468" s="1" t="str">
        <f t="shared" si="22"/>
        <v/>
      </c>
      <c r="B14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9" spans="1:2" x14ac:dyDescent="0.25">
      <c r="A1469" s="1" t="str">
        <f t="shared" si="22"/>
        <v/>
      </c>
      <c r="B14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0" spans="1:2" x14ac:dyDescent="0.25">
      <c r="A1470" s="1" t="str">
        <f t="shared" si="22"/>
        <v/>
      </c>
      <c r="B14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1" spans="1:2" x14ac:dyDescent="0.25">
      <c r="A1471" s="1" t="str">
        <f t="shared" si="22"/>
        <v/>
      </c>
      <c r="B14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2" spans="1:2" x14ac:dyDescent="0.25">
      <c r="A1472" s="1" t="str">
        <f t="shared" si="22"/>
        <v/>
      </c>
      <c r="B14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3" spans="1:2" x14ac:dyDescent="0.25">
      <c r="A1473" s="1" t="str">
        <f t="shared" si="22"/>
        <v/>
      </c>
      <c r="B14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4" spans="1:2" x14ac:dyDescent="0.25">
      <c r="A1474" s="1" t="str">
        <f t="shared" ref="A1474:A1537" si="23">IFERROR(LEFT(RIGHT(C1474,LEN(C1474)-SEARCH("@",C1474)),SEARCH("/",RIGHT(C1474,LEN(C1474)-SEARCH("@",C1474)-1))),"")</f>
        <v/>
      </c>
      <c r="B14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5" spans="1:2" x14ac:dyDescent="0.25">
      <c r="A1475" s="1" t="str">
        <f t="shared" si="23"/>
        <v/>
      </c>
      <c r="B14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6" spans="1:2" x14ac:dyDescent="0.25">
      <c r="A1476" s="1" t="str">
        <f t="shared" si="23"/>
        <v/>
      </c>
      <c r="B14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7" spans="1:2" x14ac:dyDescent="0.25">
      <c r="A1477" s="1" t="str">
        <f t="shared" si="23"/>
        <v/>
      </c>
      <c r="B14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8" spans="1:2" x14ac:dyDescent="0.25">
      <c r="A1478" s="1" t="str">
        <f t="shared" si="23"/>
        <v/>
      </c>
      <c r="B14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9" spans="1:2" x14ac:dyDescent="0.25">
      <c r="A1479" s="1" t="str">
        <f t="shared" si="23"/>
        <v/>
      </c>
      <c r="B14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0" spans="1:2" x14ac:dyDescent="0.25">
      <c r="A1480" s="1" t="str">
        <f t="shared" si="23"/>
        <v/>
      </c>
      <c r="B14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1" spans="1:2" x14ac:dyDescent="0.25">
      <c r="A1481" s="1" t="str">
        <f t="shared" si="23"/>
        <v/>
      </c>
      <c r="B14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2" spans="1:2" x14ac:dyDescent="0.25">
      <c r="A1482" s="1" t="str">
        <f t="shared" si="23"/>
        <v/>
      </c>
      <c r="B14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3" spans="1:2" x14ac:dyDescent="0.25">
      <c r="A1483" s="1" t="str">
        <f t="shared" si="23"/>
        <v/>
      </c>
      <c r="B14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4" spans="1:2" x14ac:dyDescent="0.25">
      <c r="A1484" s="1" t="str">
        <f t="shared" si="23"/>
        <v/>
      </c>
      <c r="B14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5" spans="1:2" x14ac:dyDescent="0.25">
      <c r="A1485" s="1" t="str">
        <f t="shared" si="23"/>
        <v/>
      </c>
      <c r="B14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6" spans="1:2" x14ac:dyDescent="0.25">
      <c r="A1486" s="1" t="str">
        <f t="shared" si="23"/>
        <v/>
      </c>
      <c r="B1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7" spans="1:2" x14ac:dyDescent="0.25">
      <c r="A1487" s="1" t="str">
        <f t="shared" si="23"/>
        <v/>
      </c>
      <c r="B1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8" spans="1:2" x14ac:dyDescent="0.25">
      <c r="A1488" s="1" t="str">
        <f t="shared" si="23"/>
        <v/>
      </c>
      <c r="B1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9" spans="1:2" x14ac:dyDescent="0.25">
      <c r="A1489" s="1" t="str">
        <f t="shared" si="23"/>
        <v/>
      </c>
      <c r="B1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0" spans="1:2" x14ac:dyDescent="0.25">
      <c r="A1490" s="1" t="str">
        <f t="shared" si="23"/>
        <v/>
      </c>
      <c r="B1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1" spans="1:2" x14ac:dyDescent="0.25">
      <c r="A1491" s="1" t="str">
        <f t="shared" si="23"/>
        <v/>
      </c>
      <c r="B1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2" spans="1:2" x14ac:dyDescent="0.25">
      <c r="A1492" s="1" t="str">
        <f t="shared" si="23"/>
        <v/>
      </c>
      <c r="B1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3" spans="1:2" x14ac:dyDescent="0.25">
      <c r="A1493" s="1" t="str">
        <f t="shared" si="23"/>
        <v/>
      </c>
      <c r="B1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4" spans="1:2" x14ac:dyDescent="0.25">
      <c r="A1494" s="1" t="str">
        <f t="shared" si="23"/>
        <v/>
      </c>
      <c r="B1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5" spans="1:2" x14ac:dyDescent="0.25">
      <c r="A1495" s="1" t="str">
        <f t="shared" si="23"/>
        <v/>
      </c>
      <c r="B1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6" spans="1:2" x14ac:dyDescent="0.25">
      <c r="A1496" s="1" t="str">
        <f t="shared" si="23"/>
        <v/>
      </c>
      <c r="B1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7" spans="1:2" x14ac:dyDescent="0.25">
      <c r="A1497" s="1" t="str">
        <f t="shared" si="23"/>
        <v/>
      </c>
      <c r="B1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8" spans="1:2" x14ac:dyDescent="0.25">
      <c r="A1498" s="1" t="str">
        <f t="shared" si="23"/>
        <v/>
      </c>
      <c r="B14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9" spans="1:2" x14ac:dyDescent="0.25">
      <c r="A1499" s="1" t="str">
        <f t="shared" si="23"/>
        <v/>
      </c>
      <c r="B14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0" spans="1:2" x14ac:dyDescent="0.25">
      <c r="A1500" s="1" t="str">
        <f t="shared" si="23"/>
        <v/>
      </c>
      <c r="B15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1" spans="1:2" x14ac:dyDescent="0.25">
      <c r="A1501" s="1" t="str">
        <f t="shared" si="23"/>
        <v/>
      </c>
      <c r="B15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2" spans="1:2" x14ac:dyDescent="0.25">
      <c r="A1502" s="1" t="str">
        <f t="shared" si="23"/>
        <v/>
      </c>
      <c r="B15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3" spans="1:2" x14ac:dyDescent="0.25">
      <c r="A1503" s="1" t="str">
        <f t="shared" si="23"/>
        <v/>
      </c>
      <c r="B15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4" spans="1:2" x14ac:dyDescent="0.25">
      <c r="A1504" s="1" t="str">
        <f t="shared" si="23"/>
        <v/>
      </c>
      <c r="B15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5" spans="1:2" x14ac:dyDescent="0.25">
      <c r="A1505" s="1" t="str">
        <f t="shared" si="23"/>
        <v/>
      </c>
      <c r="B15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6" spans="1:2" x14ac:dyDescent="0.25">
      <c r="A1506" s="1" t="str">
        <f t="shared" si="23"/>
        <v/>
      </c>
      <c r="B15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7" spans="1:2" x14ac:dyDescent="0.25">
      <c r="A1507" s="1" t="str">
        <f t="shared" si="23"/>
        <v/>
      </c>
      <c r="B15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8" spans="1:2" x14ac:dyDescent="0.25">
      <c r="A1508" s="1" t="str">
        <f t="shared" si="23"/>
        <v/>
      </c>
      <c r="B15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9" spans="1:2" x14ac:dyDescent="0.25">
      <c r="A1509" s="1" t="str">
        <f t="shared" si="23"/>
        <v/>
      </c>
      <c r="B15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0" spans="1:2" x14ac:dyDescent="0.25">
      <c r="A1510" s="1" t="str">
        <f t="shared" si="23"/>
        <v/>
      </c>
      <c r="B15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1" spans="1:2" x14ac:dyDescent="0.25">
      <c r="A1511" s="1" t="str">
        <f t="shared" si="23"/>
        <v/>
      </c>
      <c r="B15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2" spans="1:2" x14ac:dyDescent="0.25">
      <c r="A1512" s="1" t="str">
        <f t="shared" si="23"/>
        <v/>
      </c>
      <c r="B15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3" spans="1:2" x14ac:dyDescent="0.25">
      <c r="A1513" s="1" t="str">
        <f t="shared" si="23"/>
        <v/>
      </c>
      <c r="B15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4" spans="1:2" x14ac:dyDescent="0.25">
      <c r="A1514" s="1" t="str">
        <f t="shared" si="23"/>
        <v/>
      </c>
      <c r="B15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5" spans="1:2" x14ac:dyDescent="0.25">
      <c r="A1515" s="1" t="str">
        <f t="shared" si="23"/>
        <v/>
      </c>
      <c r="B15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6" spans="1:2" x14ac:dyDescent="0.25">
      <c r="A1516" s="1" t="str">
        <f t="shared" si="23"/>
        <v/>
      </c>
      <c r="B15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7" spans="1:2" x14ac:dyDescent="0.25">
      <c r="A1517" s="1" t="str">
        <f t="shared" si="23"/>
        <v/>
      </c>
      <c r="B15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8" spans="1:2" x14ac:dyDescent="0.25">
      <c r="A1518" s="1" t="str">
        <f t="shared" si="23"/>
        <v/>
      </c>
      <c r="B15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9" spans="1:2" x14ac:dyDescent="0.25">
      <c r="A1519" s="1" t="str">
        <f t="shared" si="23"/>
        <v/>
      </c>
      <c r="B15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0" spans="1:2" x14ac:dyDescent="0.25">
      <c r="A1520" s="1" t="str">
        <f t="shared" si="23"/>
        <v/>
      </c>
      <c r="B15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1" spans="1:2" x14ac:dyDescent="0.25">
      <c r="A1521" s="1" t="str">
        <f t="shared" si="23"/>
        <v/>
      </c>
      <c r="B1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2" spans="1:2" x14ac:dyDescent="0.25">
      <c r="A1522" s="1" t="str">
        <f t="shared" si="23"/>
        <v/>
      </c>
      <c r="B1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3" spans="1:2" x14ac:dyDescent="0.25">
      <c r="A1523" s="1" t="str">
        <f t="shared" si="23"/>
        <v/>
      </c>
      <c r="B1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4" spans="1:2" x14ac:dyDescent="0.25">
      <c r="A1524" s="1" t="str">
        <f t="shared" si="23"/>
        <v/>
      </c>
      <c r="B1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5" spans="1:2" x14ac:dyDescent="0.25">
      <c r="A1525" s="1" t="str">
        <f t="shared" si="23"/>
        <v/>
      </c>
      <c r="B1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6" spans="1:2" x14ac:dyDescent="0.25">
      <c r="A1526" s="1" t="str">
        <f t="shared" si="23"/>
        <v/>
      </c>
      <c r="B1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7" spans="1:2" x14ac:dyDescent="0.25">
      <c r="A1527" s="1" t="str">
        <f t="shared" si="23"/>
        <v/>
      </c>
      <c r="B1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8" spans="1:2" x14ac:dyDescent="0.25">
      <c r="A1528" s="1" t="str">
        <f t="shared" si="23"/>
        <v/>
      </c>
      <c r="B1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9" spans="1:2" x14ac:dyDescent="0.25">
      <c r="A1529" s="1" t="str">
        <f t="shared" si="23"/>
        <v/>
      </c>
      <c r="B1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0" spans="1:2" x14ac:dyDescent="0.25">
      <c r="A1530" s="1" t="str">
        <f t="shared" si="23"/>
        <v/>
      </c>
      <c r="B1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1" spans="1:2" x14ac:dyDescent="0.25">
      <c r="A1531" s="1" t="str">
        <f t="shared" si="23"/>
        <v/>
      </c>
      <c r="B1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2" spans="1:2" x14ac:dyDescent="0.25">
      <c r="A1532" s="1" t="str">
        <f t="shared" si="23"/>
        <v/>
      </c>
      <c r="B1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3" spans="1:2" x14ac:dyDescent="0.25">
      <c r="A1533" s="1" t="str">
        <f t="shared" si="23"/>
        <v/>
      </c>
      <c r="B1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4" spans="1:2" x14ac:dyDescent="0.25">
      <c r="A1534" s="1" t="str">
        <f t="shared" si="23"/>
        <v/>
      </c>
      <c r="B1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5" spans="1:2" x14ac:dyDescent="0.25">
      <c r="A1535" s="1" t="str">
        <f t="shared" si="23"/>
        <v/>
      </c>
      <c r="B1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6" spans="1:2" x14ac:dyDescent="0.25">
      <c r="A1536" s="1" t="str">
        <f t="shared" si="23"/>
        <v/>
      </c>
      <c r="B15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7" spans="1:2" x14ac:dyDescent="0.25">
      <c r="A1537" s="1" t="str">
        <f t="shared" si="23"/>
        <v/>
      </c>
      <c r="B15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8" spans="1:2" x14ac:dyDescent="0.25">
      <c r="A1538" s="1" t="str">
        <f t="shared" ref="A1538:A1557" si="24">IFERROR(LEFT(RIGHT(C1538,LEN(C1538)-SEARCH("@",C1538)),SEARCH("/",RIGHT(C1538,LEN(C1538)-SEARCH("@",C1538)-1))),"")</f>
        <v/>
      </c>
      <c r="B15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9" spans="1:2" x14ac:dyDescent="0.25">
      <c r="A1539" s="1" t="str">
        <f t="shared" si="24"/>
        <v/>
      </c>
      <c r="B15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0" spans="1:2" x14ac:dyDescent="0.25">
      <c r="A1540" s="1" t="str">
        <f t="shared" si="24"/>
        <v/>
      </c>
      <c r="B15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1" spans="1:2" x14ac:dyDescent="0.25">
      <c r="A1541" s="1" t="str">
        <f t="shared" si="24"/>
        <v/>
      </c>
      <c r="B15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2" spans="1:2" x14ac:dyDescent="0.25">
      <c r="A1542" s="1" t="str">
        <f t="shared" si="24"/>
        <v/>
      </c>
      <c r="B15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3" spans="1:2" x14ac:dyDescent="0.25">
      <c r="A1543" s="1" t="str">
        <f t="shared" si="24"/>
        <v/>
      </c>
      <c r="B15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4" spans="1:2" x14ac:dyDescent="0.25">
      <c r="A1544" s="1" t="str">
        <f t="shared" si="24"/>
        <v/>
      </c>
      <c r="B15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5" spans="1:2" x14ac:dyDescent="0.25">
      <c r="A1545" s="1" t="str">
        <f t="shared" si="24"/>
        <v/>
      </c>
      <c r="B15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6" spans="1:2" x14ac:dyDescent="0.25">
      <c r="A1546" s="1" t="str">
        <f t="shared" si="24"/>
        <v/>
      </c>
      <c r="B15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7" spans="1:2" x14ac:dyDescent="0.25">
      <c r="A1547" s="1" t="str">
        <f t="shared" si="24"/>
        <v/>
      </c>
      <c r="B15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8" spans="1:2" x14ac:dyDescent="0.25">
      <c r="A1548" s="1" t="str">
        <f t="shared" si="24"/>
        <v/>
      </c>
      <c r="B15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9" spans="1:2" x14ac:dyDescent="0.25">
      <c r="A1549" s="1" t="str">
        <f t="shared" si="24"/>
        <v/>
      </c>
      <c r="B15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0" spans="1:2" x14ac:dyDescent="0.25">
      <c r="A1550" s="1" t="str">
        <f t="shared" si="24"/>
        <v/>
      </c>
      <c r="B15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1" spans="1:2" x14ac:dyDescent="0.25">
      <c r="A1551" s="1" t="str">
        <f t="shared" si="24"/>
        <v/>
      </c>
      <c r="B15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2" spans="1:2" x14ac:dyDescent="0.25">
      <c r="A1552" s="1" t="str">
        <f t="shared" si="24"/>
        <v/>
      </c>
      <c r="B15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3" spans="1:2" x14ac:dyDescent="0.25">
      <c r="A1553" s="1" t="str">
        <f t="shared" si="24"/>
        <v/>
      </c>
      <c r="B15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4" spans="1:2" x14ac:dyDescent="0.25">
      <c r="A1554" s="1" t="str">
        <f t="shared" si="24"/>
        <v/>
      </c>
      <c r="B1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5" spans="1:2" x14ac:dyDescent="0.25">
      <c r="A1555" s="1" t="str">
        <f t="shared" si="24"/>
        <v/>
      </c>
      <c r="B1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6" spans="1:2" x14ac:dyDescent="0.25">
      <c r="A1556" s="1" t="str">
        <f t="shared" si="24"/>
        <v/>
      </c>
      <c r="B1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7" spans="1:2" x14ac:dyDescent="0.25">
      <c r="A1557" s="1" t="str">
        <f t="shared" si="24"/>
        <v/>
      </c>
      <c r="B1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sheetData>
  <conditionalFormatting sqref="A1:J2 A1558:XFD1048576 AI18:XFD38 C39:XFD1557 C3:J10 EO1:XFD10 C19:K38 K5 C11:K13 C14:J18 M15:XFD17 K1:L4 A3:B1557 AH11:XFD14">
    <cfRule type="containsText" dxfId="32" priority="1" operator="containsText" text="ERREUR">
      <formula>NOT(ISERROR(SEARCH("ERREUR",A1)))</formula>
    </cfRule>
    <cfRule type="containsText" dxfId="31" priority="2" operator="containsText" text="OK">
      <formula>NOT(ISERROR(SEARCH("OK",A1)))</formula>
    </cfRule>
  </conditionalFormatting>
  <pageMargins left="0.7" right="0.7" top="0.75" bottom="0.75" header="0.3" footer="0.3"/>
  <pageSetup paperSize="9" orientation="portrait" horizontalDpi="300" verticalDpi="300" r:id="rId2"/>
  <headerFooter>
    <oddFooter>&amp;C&amp;1#&amp;"Arial"&amp;10&amp;K000000Internal</oddFooter>
  </headerFooter>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76"/>
  <sheetViews>
    <sheetView showGridLines="0" tabSelected="1" zoomScale="110" zoomScaleNormal="110" zoomScaleSheetLayoutView="40" zoomScalePageLayoutView="30" workbookViewId="0">
      <pane xSplit="1" topLeftCell="M1" activePane="topRight" state="frozen"/>
      <selection pane="topRight" activeCell="R4" sqref="R4"/>
    </sheetView>
  </sheetViews>
  <sheetFormatPr defaultColWidth="9.140625" defaultRowHeight="15" x14ac:dyDescent="0.25"/>
  <cols>
    <col min="1" max="1" width="29.5703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3" width="26.42578125" style="1" customWidth="1"/>
    <col min="14" max="14" width="18.28515625" bestFit="1" customWidth="1"/>
    <col min="15" max="15" width="14.85546875" customWidth="1"/>
    <col min="16" max="16" width="17.7109375" customWidth="1"/>
    <col min="17" max="18" width="25.85546875" bestFit="1" customWidth="1"/>
    <col min="19" max="22" width="25.85546875" style="1" customWidth="1"/>
  </cols>
  <sheetData>
    <row r="1" spans="1:22" s="1" customFormat="1" ht="27" thickBot="1" x14ac:dyDescent="0.45">
      <c r="A1" s="218" t="s">
        <v>40</v>
      </c>
      <c r="B1" s="219"/>
      <c r="C1" s="219"/>
      <c r="D1" s="219"/>
      <c r="E1" s="219"/>
      <c r="F1" s="219"/>
      <c r="G1" s="219"/>
      <c r="H1" s="219"/>
      <c r="I1" s="219"/>
      <c r="J1" s="219"/>
      <c r="K1" s="219"/>
      <c r="L1" s="219"/>
      <c r="M1" s="219"/>
      <c r="N1" s="219"/>
      <c r="O1" s="219"/>
      <c r="P1" s="219"/>
      <c r="Q1" s="219"/>
      <c r="R1" s="219"/>
      <c r="S1" s="219"/>
      <c r="T1" s="219"/>
      <c r="U1" s="219"/>
      <c r="V1" s="219"/>
    </row>
    <row r="2" spans="1:22" ht="15.75" thickBot="1" x14ac:dyDescent="0.3">
      <c r="A2"/>
      <c r="B2"/>
      <c r="C2"/>
      <c r="D2"/>
      <c r="E2"/>
      <c r="F2"/>
      <c r="G2"/>
      <c r="H2"/>
      <c r="I2"/>
      <c r="J2"/>
      <c r="K2"/>
      <c r="L2"/>
      <c r="M2"/>
      <c r="S2"/>
      <c r="T2"/>
      <c r="U2"/>
      <c r="V2"/>
    </row>
    <row r="3" spans="1:22" ht="15.75" thickBot="1" x14ac:dyDescent="0.3">
      <c r="A3" s="51" t="s">
        <v>17</v>
      </c>
      <c r="B3" s="226" t="s">
        <v>6</v>
      </c>
      <c r="C3" s="227"/>
      <c r="D3" s="227"/>
      <c r="E3" s="227"/>
      <c r="F3" s="227"/>
      <c r="G3" s="227"/>
      <c r="H3" s="227"/>
      <c r="I3" s="227"/>
      <c r="J3" s="227"/>
      <c r="K3" s="227"/>
      <c r="L3" s="227"/>
      <c r="M3" s="227"/>
      <c r="O3" s="226" t="s">
        <v>3</v>
      </c>
      <c r="P3" s="227"/>
      <c r="Q3" s="227"/>
      <c r="R3" s="227"/>
      <c r="S3" s="227"/>
      <c r="T3" s="227"/>
      <c r="U3" s="227"/>
      <c r="V3" s="227"/>
    </row>
    <row r="4" spans="1:22" x14ac:dyDescent="0.2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estradiol 34ng/L</v>
      </c>
      <c r="J4" s="35" t="str">
        <f>'Page de garde'!A16</f>
        <v>estradiol 68ng/L</v>
      </c>
      <c r="K4" s="35" t="str">
        <f>'Page de garde'!A17</f>
        <v>estradiol 135ng/L</v>
      </c>
      <c r="L4" s="35" t="str">
        <f>'Page de garde'!A18</f>
        <v>estradiol 270ng/L</v>
      </c>
      <c r="M4" s="35" t="str">
        <f>'Page de garde'!A19</f>
        <v>estradiol 540ng/L</v>
      </c>
      <c r="N4" s="3"/>
      <c r="O4" s="36" t="str">
        <f>'Page de garde'!A36</f>
        <v>Testo -30µg/L</v>
      </c>
      <c r="P4" s="36" t="str">
        <f>'Page de garde'!A37</f>
        <v>Testo 30µg/L + EE2 -64ng/L</v>
      </c>
      <c r="Q4" s="36" t="str">
        <f>'Page de garde'!A38</f>
        <v>Testo 30µg/L + FAD-10µg/L</v>
      </c>
      <c r="R4" s="36" t="str">
        <f>'Page de garde'!A39</f>
        <v>estradiol-34ng/L + Testosterone</v>
      </c>
      <c r="S4" s="36" t="str">
        <f>'Page de garde'!A40</f>
        <v>estradiol-68ng/L + Testosterone</v>
      </c>
      <c r="T4" s="36" t="str">
        <f>'Page de garde'!A41</f>
        <v>estradiol-135ng/L + Testosterone</v>
      </c>
      <c r="U4" s="36" t="str">
        <f>'Page de garde'!A42</f>
        <v>estradiol-270ng/L + Testosterone</v>
      </c>
      <c r="V4" s="36" t="str">
        <f>'Page de garde'!A43</f>
        <v>estradiol-540ng/L + Testosterone</v>
      </c>
    </row>
    <row r="5" spans="1:22" x14ac:dyDescent="0.25">
      <c r="A5" s="222" t="s">
        <v>33</v>
      </c>
      <c r="B5" s="195">
        <v>227517.66666666666</v>
      </c>
      <c r="C5" s="195">
        <v>99440</v>
      </c>
      <c r="D5" s="195">
        <v>635973</v>
      </c>
      <c r="E5" s="195">
        <v>526788.66666666663</v>
      </c>
      <c r="F5" s="195">
        <v>1817228.6666666667</v>
      </c>
      <c r="G5" s="195">
        <v>2179071.5</v>
      </c>
      <c r="H5" s="195">
        <v>2382172.3333333335</v>
      </c>
      <c r="I5" s="195">
        <v>342790.66666666669</v>
      </c>
      <c r="J5" s="195">
        <v>22790.333333333332</v>
      </c>
      <c r="K5" s="195">
        <v>820328</v>
      </c>
      <c r="L5" s="195">
        <v>5012800.333333333</v>
      </c>
      <c r="M5" s="195">
        <v>6289876</v>
      </c>
      <c r="N5" s="3"/>
      <c r="O5" s="195">
        <v>4132557</v>
      </c>
      <c r="P5" s="195">
        <v>230935.33333333334</v>
      </c>
      <c r="Q5" s="195">
        <v>174286.66666666666</v>
      </c>
      <c r="R5" s="195">
        <v>3167402.6666666665</v>
      </c>
      <c r="S5" s="195">
        <v>4350716.333333333</v>
      </c>
      <c r="T5" s="195">
        <v>4230389.333333333</v>
      </c>
      <c r="U5" s="195">
        <v>7120698.333333333</v>
      </c>
      <c r="V5" s="195">
        <v>7284876.333333333</v>
      </c>
    </row>
    <row r="6" spans="1:22" x14ac:dyDescent="0.25">
      <c r="A6" s="223"/>
      <c r="B6" s="195">
        <v>523941</v>
      </c>
      <c r="C6" s="195">
        <v>39655</v>
      </c>
      <c r="D6" s="195">
        <v>261289</v>
      </c>
      <c r="E6" s="195">
        <v>209774</v>
      </c>
      <c r="F6" s="195">
        <v>1707197</v>
      </c>
      <c r="G6" s="195">
        <v>3616655</v>
      </c>
      <c r="H6" s="195">
        <v>7453669</v>
      </c>
      <c r="I6" s="195">
        <v>15833</v>
      </c>
      <c r="J6" s="195">
        <v>551050.33333333337</v>
      </c>
      <c r="K6" s="195">
        <v>1560633</v>
      </c>
      <c r="L6" s="195">
        <v>3606338</v>
      </c>
      <c r="M6" s="195">
        <v>5277218.666666667</v>
      </c>
      <c r="N6" s="3"/>
      <c r="O6" s="195">
        <v>2539717.3333333335</v>
      </c>
      <c r="P6" s="195">
        <v>3723348.3333333335</v>
      </c>
      <c r="Q6" s="195">
        <v>203710.33333333334</v>
      </c>
      <c r="R6" s="195">
        <v>2593121.3333333335</v>
      </c>
      <c r="S6" s="195">
        <v>3973721.6666666665</v>
      </c>
      <c r="T6" s="195">
        <v>4897239</v>
      </c>
      <c r="U6" s="195">
        <v>4533395</v>
      </c>
      <c r="V6" s="195">
        <v>4953512.666666667</v>
      </c>
    </row>
    <row r="7" spans="1:22" x14ac:dyDescent="0.25">
      <c r="A7" s="223"/>
      <c r="B7" s="195">
        <v>61061</v>
      </c>
      <c r="C7" s="195">
        <v>150443.33333333334</v>
      </c>
      <c r="D7" s="195">
        <v>152267.33333333334</v>
      </c>
      <c r="E7" s="195">
        <v>82669.5</v>
      </c>
      <c r="F7" s="195">
        <v>26064</v>
      </c>
      <c r="G7" s="195">
        <v>3448338.6666666665</v>
      </c>
      <c r="H7" s="195">
        <v>5746248.333333333</v>
      </c>
      <c r="I7" s="195">
        <v>107118.66666666667</v>
      </c>
      <c r="J7" s="195">
        <v>64125.666666666664</v>
      </c>
      <c r="K7" s="195">
        <v>496521.33333333331</v>
      </c>
      <c r="L7" s="195">
        <v>3751330.3333333335</v>
      </c>
      <c r="M7" s="195">
        <v>7572273</v>
      </c>
      <c r="N7" s="3"/>
      <c r="O7" s="195">
        <v>1817755</v>
      </c>
      <c r="P7" s="195">
        <v>4113400.5</v>
      </c>
      <c r="Q7" s="195">
        <v>317764.66666666669</v>
      </c>
      <c r="R7" s="195">
        <v>2653570</v>
      </c>
      <c r="S7" s="195">
        <v>2257155.5</v>
      </c>
      <c r="T7" s="195">
        <v>2993793.3333333335</v>
      </c>
      <c r="U7" s="195">
        <v>4780877</v>
      </c>
      <c r="V7" s="195">
        <v>3371343.5</v>
      </c>
    </row>
    <row r="8" spans="1:22" x14ac:dyDescent="0.25">
      <c r="A8" s="223"/>
      <c r="B8" s="195">
        <v>147919.33333333334</v>
      </c>
      <c r="C8" s="195">
        <v>243697</v>
      </c>
      <c r="D8" s="195">
        <v>231440</v>
      </c>
      <c r="E8" s="195">
        <v>478727</v>
      </c>
      <c r="F8" s="195">
        <v>835043.66666666663</v>
      </c>
      <c r="G8" s="195">
        <v>4079989.3333333335</v>
      </c>
      <c r="H8" s="195">
        <v>5798088</v>
      </c>
      <c r="I8" s="195">
        <v>110363</v>
      </c>
      <c r="J8" s="195">
        <v>90470.666666666672</v>
      </c>
      <c r="K8" s="195">
        <v>827516.33333333337</v>
      </c>
      <c r="L8" s="195">
        <v>4428966.333333333</v>
      </c>
      <c r="M8" s="195">
        <v>4571298</v>
      </c>
      <c r="N8" s="3"/>
      <c r="O8" s="195">
        <v>2173602.3333333335</v>
      </c>
      <c r="P8" s="195">
        <v>4709174</v>
      </c>
      <c r="Q8" s="195">
        <v>86332.333333333328</v>
      </c>
      <c r="R8" s="195">
        <v>3507590.3333333335</v>
      </c>
      <c r="S8" s="195"/>
      <c r="T8" s="195">
        <v>5273793.666666667</v>
      </c>
      <c r="U8" s="195">
        <v>3355099.3333333335</v>
      </c>
      <c r="V8" s="195">
        <v>4486069</v>
      </c>
    </row>
    <row r="9" spans="1:22" x14ac:dyDescent="0.25">
      <c r="A9" s="223"/>
      <c r="B9" s="195">
        <v>44680</v>
      </c>
      <c r="C9" s="195">
        <v>180991.66666666666</v>
      </c>
      <c r="D9" s="195">
        <v>47809.333333333336</v>
      </c>
      <c r="E9" s="195">
        <v>338897.33333333331</v>
      </c>
      <c r="F9" s="195">
        <v>886011</v>
      </c>
      <c r="G9" s="195">
        <v>2882947.6666666665</v>
      </c>
      <c r="H9" s="195">
        <v>6238444</v>
      </c>
      <c r="I9" s="195">
        <v>140327.66666666666</v>
      </c>
      <c r="J9" s="195">
        <v>40599</v>
      </c>
      <c r="K9" s="195">
        <v>64630</v>
      </c>
      <c r="L9" s="195">
        <v>3143674.3333333335</v>
      </c>
      <c r="M9" s="195">
        <v>2390896.3333333335</v>
      </c>
      <c r="N9" s="3"/>
      <c r="O9" s="195">
        <v>2009244</v>
      </c>
      <c r="P9" s="195">
        <v>3955343.3333333335</v>
      </c>
      <c r="Q9" s="195">
        <v>196233.66666666666</v>
      </c>
      <c r="R9" s="195">
        <v>1640079.3333333333</v>
      </c>
      <c r="S9" s="195">
        <v>1570575.3333333333</v>
      </c>
      <c r="T9" s="195">
        <v>3370803</v>
      </c>
      <c r="U9" s="195">
        <v>5263945</v>
      </c>
      <c r="V9" s="195">
        <v>5657284.666666667</v>
      </c>
    </row>
    <row r="10" spans="1:22" x14ac:dyDescent="0.25">
      <c r="A10" s="223"/>
      <c r="B10" s="195">
        <v>470774.5</v>
      </c>
      <c r="C10" s="195">
        <v>43411.333333333336</v>
      </c>
      <c r="D10" s="195">
        <v>101278.33333333333</v>
      </c>
      <c r="E10" s="195">
        <v>114162.66666666667</v>
      </c>
      <c r="F10" s="195">
        <v>2905147</v>
      </c>
      <c r="G10" s="195">
        <v>1994600.6666666667</v>
      </c>
      <c r="H10" s="195">
        <v>4960924.333333333</v>
      </c>
      <c r="I10" s="195">
        <v>260900</v>
      </c>
      <c r="J10" s="195">
        <v>60051.666666666664</v>
      </c>
      <c r="K10" s="195">
        <v>581959.33333333337</v>
      </c>
      <c r="L10" s="195">
        <v>6094352.666666667</v>
      </c>
      <c r="M10" s="195">
        <v>6282446</v>
      </c>
      <c r="N10" s="3"/>
      <c r="O10" s="195">
        <v>2053830.6666666667</v>
      </c>
      <c r="P10" s="195">
        <v>4536279.333333333</v>
      </c>
      <c r="Q10" s="195">
        <v>182967.33333333334</v>
      </c>
      <c r="R10" s="195">
        <v>2968861.6666666665</v>
      </c>
      <c r="S10" s="195"/>
      <c r="T10" s="195">
        <v>4671560</v>
      </c>
      <c r="U10" s="195"/>
      <c r="V10" s="195">
        <v>5487309.5</v>
      </c>
    </row>
    <row r="11" spans="1:22" x14ac:dyDescent="0.25">
      <c r="A11" s="223"/>
      <c r="B11" s="195">
        <v>22740</v>
      </c>
      <c r="C11" s="195">
        <v>11896.333333333334</v>
      </c>
      <c r="D11" s="195">
        <v>123809.66666666667</v>
      </c>
      <c r="E11" s="195">
        <v>745265.33333333337</v>
      </c>
      <c r="F11" s="195">
        <v>1566069</v>
      </c>
      <c r="G11" s="195">
        <v>2180910</v>
      </c>
      <c r="H11" s="195">
        <v>6190980.333333333</v>
      </c>
      <c r="I11" s="195">
        <v>21067.666666666668</v>
      </c>
      <c r="J11" s="195">
        <v>63700</v>
      </c>
      <c r="K11" s="195">
        <v>984282.66666666663</v>
      </c>
      <c r="L11" s="195">
        <v>2962250</v>
      </c>
      <c r="M11" s="195">
        <v>1047067</v>
      </c>
      <c r="N11" s="3"/>
      <c r="O11" s="195">
        <v>1192246.6666666667</v>
      </c>
      <c r="P11" s="195">
        <v>3448245</v>
      </c>
      <c r="Q11" s="195">
        <v>108506.5</v>
      </c>
      <c r="R11" s="195">
        <v>2870337.6666666665</v>
      </c>
      <c r="S11" s="195">
        <v>3172600.6666666665</v>
      </c>
      <c r="T11" s="195">
        <v>4194945.333333333</v>
      </c>
      <c r="U11" s="195">
        <v>4110574</v>
      </c>
      <c r="V11" s="195">
        <v>2964132</v>
      </c>
    </row>
    <row r="12" spans="1:22" x14ac:dyDescent="0.25">
      <c r="A12" s="223"/>
      <c r="B12" s="195">
        <v>141243.33333333334</v>
      </c>
      <c r="C12" s="195">
        <v>356244.33333333331</v>
      </c>
      <c r="D12" s="195">
        <v>71407.333333333328</v>
      </c>
      <c r="E12" s="195"/>
      <c r="F12" s="195">
        <v>387233</v>
      </c>
      <c r="G12" s="195">
        <v>2440407.3333333335</v>
      </c>
      <c r="H12" s="195">
        <v>6936909</v>
      </c>
      <c r="I12" s="195">
        <v>202376.66666666666</v>
      </c>
      <c r="J12" s="195"/>
      <c r="K12" s="195">
        <v>1360196</v>
      </c>
      <c r="L12" s="195">
        <v>4061798.6666666665</v>
      </c>
      <c r="M12" s="195">
        <v>4850179.333333333</v>
      </c>
      <c r="N12" s="3"/>
      <c r="O12" s="195">
        <v>2048329.3333333333</v>
      </c>
      <c r="P12" s="195">
        <v>1443434.6666666667</v>
      </c>
      <c r="Q12" s="195">
        <v>70426.666666666672</v>
      </c>
      <c r="R12" s="195">
        <v>2079447.6666666667</v>
      </c>
      <c r="S12" s="195">
        <v>127948</v>
      </c>
      <c r="T12" s="195">
        <v>5213439.333333333</v>
      </c>
      <c r="U12" s="195"/>
      <c r="V12" s="195">
        <v>7407957.666666667</v>
      </c>
    </row>
    <row r="13" spans="1:22" ht="16.5" x14ac:dyDescent="0.25">
      <c r="A13" s="223"/>
      <c r="B13" s="14"/>
      <c r="C13" s="13"/>
      <c r="D13" s="16"/>
      <c r="E13" s="16"/>
      <c r="F13" s="16"/>
      <c r="G13" s="16"/>
      <c r="H13" s="16"/>
      <c r="I13" s="32"/>
      <c r="J13" s="16"/>
      <c r="K13" s="13"/>
      <c r="L13" s="13"/>
      <c r="M13" s="13"/>
      <c r="N13" s="3"/>
      <c r="O13" s="195">
        <v>652671</v>
      </c>
      <c r="P13" s="13"/>
      <c r="Q13" s="13"/>
      <c r="R13" s="4"/>
      <c r="S13" s="32"/>
      <c r="T13" s="32"/>
      <c r="U13" s="32"/>
      <c r="V13" s="32"/>
    </row>
    <row r="14" spans="1:22" ht="16.5" x14ac:dyDescent="0.25">
      <c r="A14" s="223"/>
      <c r="B14" s="14"/>
      <c r="C14" s="16"/>
      <c r="D14" s="16"/>
      <c r="E14" s="16"/>
      <c r="F14" s="16"/>
      <c r="G14" s="16"/>
      <c r="H14" s="16"/>
      <c r="I14" s="32"/>
      <c r="J14" s="16"/>
      <c r="K14" s="13"/>
      <c r="L14" s="13"/>
      <c r="M14" s="13"/>
      <c r="N14" s="3"/>
      <c r="O14" s="195">
        <v>2529147.6666666665</v>
      </c>
      <c r="P14" s="13"/>
      <c r="Q14" s="13"/>
      <c r="R14" s="4"/>
      <c r="S14" s="32"/>
      <c r="T14" s="32"/>
      <c r="U14" s="32"/>
      <c r="V14" s="32"/>
    </row>
    <row r="15" spans="1:22" ht="16.5" x14ac:dyDescent="0.25">
      <c r="A15" s="223"/>
      <c r="B15" s="14"/>
      <c r="C15" s="16"/>
      <c r="D15" s="16"/>
      <c r="E15" s="16"/>
      <c r="F15" s="16"/>
      <c r="G15" s="16"/>
      <c r="H15" s="16"/>
      <c r="I15" s="32"/>
      <c r="J15" s="16"/>
      <c r="K15" s="13"/>
      <c r="L15" s="13"/>
      <c r="M15" s="13"/>
      <c r="N15" s="3"/>
      <c r="O15" s="195">
        <v>3593605</v>
      </c>
      <c r="P15" s="13"/>
      <c r="Q15" s="13"/>
      <c r="R15" s="4"/>
      <c r="S15" s="32"/>
      <c r="T15" s="32"/>
      <c r="U15" s="32"/>
      <c r="V15" s="32"/>
    </row>
    <row r="16" spans="1:22" ht="16.5" x14ac:dyDescent="0.25">
      <c r="A16" s="223"/>
      <c r="B16" s="14"/>
      <c r="C16" s="16"/>
      <c r="D16" s="16"/>
      <c r="E16" s="16"/>
      <c r="F16" s="16"/>
      <c r="G16" s="16"/>
      <c r="H16" s="16"/>
      <c r="I16" s="32"/>
      <c r="J16" s="16"/>
      <c r="K16" s="13"/>
      <c r="L16" s="13"/>
      <c r="M16" s="13"/>
      <c r="N16" s="3"/>
      <c r="O16" s="195">
        <v>2662524.6666666665</v>
      </c>
      <c r="P16" s="13"/>
      <c r="Q16" s="13"/>
      <c r="R16" s="4"/>
      <c r="S16" s="32"/>
      <c r="T16" s="32"/>
      <c r="U16" s="32"/>
      <c r="V16" s="32"/>
    </row>
    <row r="17" spans="1:22" s="1" customFormat="1" ht="16.5" x14ac:dyDescent="0.25">
      <c r="A17" s="223"/>
      <c r="B17" s="14"/>
      <c r="C17" s="32"/>
      <c r="D17" s="32"/>
      <c r="E17" s="32"/>
      <c r="F17" s="32"/>
      <c r="G17" s="32"/>
      <c r="H17" s="32"/>
      <c r="I17" s="32"/>
      <c r="J17" s="32"/>
      <c r="K17" s="13"/>
      <c r="L17" s="13"/>
      <c r="M17" s="13"/>
      <c r="N17" s="3"/>
      <c r="O17" s="195">
        <v>1620966.3333333333</v>
      </c>
      <c r="P17" s="13"/>
      <c r="Q17" s="13"/>
      <c r="R17" s="32"/>
      <c r="S17" s="32"/>
      <c r="T17" s="32"/>
      <c r="U17" s="32"/>
      <c r="V17" s="32"/>
    </row>
    <row r="18" spans="1:22" s="1" customFormat="1" ht="16.5" x14ac:dyDescent="0.25">
      <c r="A18" s="223"/>
      <c r="B18" s="14"/>
      <c r="C18" s="32"/>
      <c r="D18" s="32"/>
      <c r="E18" s="32"/>
      <c r="F18" s="32"/>
      <c r="G18" s="32"/>
      <c r="H18" s="32"/>
      <c r="I18" s="32"/>
      <c r="J18" s="32"/>
      <c r="K18" s="13"/>
      <c r="L18" s="13"/>
      <c r="M18" s="13"/>
      <c r="N18" s="3"/>
      <c r="O18" s="195">
        <v>2514605.3333333335</v>
      </c>
      <c r="P18" s="13"/>
      <c r="Q18" s="13"/>
      <c r="R18" s="32"/>
      <c r="S18" s="32"/>
      <c r="T18" s="32"/>
      <c r="U18" s="32"/>
      <c r="V18" s="32"/>
    </row>
    <row r="19" spans="1:22" s="1" customFormat="1" ht="16.5" x14ac:dyDescent="0.25">
      <c r="A19" s="223"/>
      <c r="B19" s="14"/>
      <c r="C19" s="32"/>
      <c r="D19" s="32"/>
      <c r="E19" s="32"/>
      <c r="F19" s="32"/>
      <c r="G19" s="32"/>
      <c r="H19" s="32"/>
      <c r="I19" s="32"/>
      <c r="J19" s="32"/>
      <c r="K19" s="13"/>
      <c r="L19" s="13"/>
      <c r="M19" s="13"/>
      <c r="N19" s="3"/>
      <c r="O19" s="195">
        <v>2218030.3333333335</v>
      </c>
      <c r="P19" s="13"/>
      <c r="Q19" s="13"/>
      <c r="R19" s="32"/>
      <c r="S19" s="32"/>
      <c r="T19" s="32"/>
      <c r="U19" s="32"/>
      <c r="V19" s="32"/>
    </row>
    <row r="20" spans="1:22" ht="16.5" x14ac:dyDescent="0.25">
      <c r="A20" s="223"/>
      <c r="B20" s="14"/>
      <c r="C20" s="16"/>
      <c r="D20" s="16"/>
      <c r="E20" s="16"/>
      <c r="F20" s="16"/>
      <c r="G20" s="16"/>
      <c r="H20" s="16"/>
      <c r="I20" s="32"/>
      <c r="J20" s="16"/>
      <c r="K20" s="13"/>
      <c r="L20" s="13"/>
      <c r="M20" s="13"/>
      <c r="N20" s="3"/>
      <c r="O20" s="195">
        <v>2066920.5</v>
      </c>
      <c r="P20" s="13"/>
      <c r="Q20" s="13"/>
      <c r="R20" s="4"/>
      <c r="S20" s="32"/>
      <c r="T20" s="32"/>
      <c r="U20" s="32"/>
      <c r="V20" s="32"/>
    </row>
    <row r="21" spans="1:22" s="1" customFormat="1" ht="16.5" x14ac:dyDescent="0.25">
      <c r="A21" s="66"/>
      <c r="B21" s="67"/>
      <c r="C21" s="7"/>
      <c r="D21" s="7"/>
      <c r="E21" s="7"/>
      <c r="F21" s="7"/>
      <c r="G21" s="7"/>
      <c r="H21" s="7"/>
      <c r="I21" s="7"/>
      <c r="J21" s="7"/>
      <c r="K21" s="33"/>
      <c r="L21" s="33"/>
      <c r="M21" s="33"/>
      <c r="N21" s="3"/>
      <c r="O21" s="7"/>
      <c r="P21" s="33"/>
      <c r="Q21" s="33"/>
      <c r="R21" s="7"/>
      <c r="S21" s="7"/>
      <c r="T21" s="7"/>
      <c r="U21" s="7"/>
      <c r="V21" s="7"/>
    </row>
    <row r="22" spans="1:22" s="69" customFormat="1" x14ac:dyDescent="0.25">
      <c r="A22" s="68" t="str">
        <f t="shared" ref="A22:M22" si="0">A4</f>
        <v>Noms des groupes</v>
      </c>
      <c r="B22" s="68" t="str">
        <f t="shared" si="0"/>
        <v>Témoin solvant</v>
      </c>
      <c r="C22" s="68" t="str">
        <f t="shared" si="0"/>
        <v>EE2-33.8ng/L</v>
      </c>
      <c r="D22" s="68" t="str">
        <f t="shared" si="0"/>
        <v>EE2-50.6ng/L</v>
      </c>
      <c r="E22" s="68" t="str">
        <f t="shared" si="0"/>
        <v>EE2-76ng/L</v>
      </c>
      <c r="F22" s="68" t="str">
        <f t="shared" si="0"/>
        <v>EE2-114ng/L</v>
      </c>
      <c r="G22" s="68" t="str">
        <f t="shared" si="0"/>
        <v>EE2-170.9ng/L</v>
      </c>
      <c r="H22" s="68" t="str">
        <f t="shared" si="0"/>
        <v>EE2-488ng/L</v>
      </c>
      <c r="I22" s="68" t="str">
        <f t="shared" si="0"/>
        <v>estradiol 34ng/L</v>
      </c>
      <c r="J22" s="68" t="str">
        <f t="shared" si="0"/>
        <v>estradiol 68ng/L</v>
      </c>
      <c r="K22" s="68" t="str">
        <f t="shared" si="0"/>
        <v>estradiol 135ng/L</v>
      </c>
      <c r="L22" s="68" t="str">
        <f t="shared" si="0"/>
        <v>estradiol 270ng/L</v>
      </c>
      <c r="M22" s="68" t="str">
        <f t="shared" si="0"/>
        <v>estradiol 540ng/L</v>
      </c>
      <c r="N22" s="68" t="s">
        <v>47</v>
      </c>
      <c r="O22" s="68" t="str">
        <f t="shared" ref="O22:V22" si="1">O4</f>
        <v>Testo -30µg/L</v>
      </c>
      <c r="P22" s="68" t="str">
        <f t="shared" si="1"/>
        <v>Testo 30µg/L + EE2 -64ng/L</v>
      </c>
      <c r="Q22" s="68" t="str">
        <f t="shared" si="1"/>
        <v>Testo 30µg/L + FAD-10µg/L</v>
      </c>
      <c r="R22" s="68" t="str">
        <f t="shared" si="1"/>
        <v>estradiol-34ng/L + Testosterone</v>
      </c>
      <c r="S22" s="68" t="str">
        <f t="shared" si="1"/>
        <v>estradiol-68ng/L + Testosterone</v>
      </c>
      <c r="T22" s="68" t="str">
        <f t="shared" si="1"/>
        <v>estradiol-135ng/L + Testosterone</v>
      </c>
      <c r="U22" s="68" t="str">
        <f t="shared" si="1"/>
        <v>estradiol-270ng/L + Testosterone</v>
      </c>
      <c r="V22" s="68" t="str">
        <f t="shared" si="1"/>
        <v>estradiol-540ng/L + Testosterone</v>
      </c>
    </row>
    <row r="23" spans="1:22" x14ac:dyDescent="0.25">
      <c r="A23" s="5" t="s">
        <v>0</v>
      </c>
      <c r="B23" s="5">
        <f t="shared" ref="B23:M23" si="2">AVERAGE(B5:B20)</f>
        <v>204984.60416666666</v>
      </c>
      <c r="C23" s="5">
        <f t="shared" si="2"/>
        <v>140722.375</v>
      </c>
      <c r="D23" s="5">
        <f t="shared" si="2"/>
        <v>203159.24999999997</v>
      </c>
      <c r="E23" s="5">
        <f t="shared" si="2"/>
        <v>356612.07142857142</v>
      </c>
      <c r="F23" s="5">
        <f t="shared" si="2"/>
        <v>1266249.1666666667</v>
      </c>
      <c r="G23" s="5">
        <f t="shared" si="2"/>
        <v>2852865.020833333</v>
      </c>
      <c r="H23" s="5">
        <f t="shared" si="2"/>
        <v>5713429.416666667</v>
      </c>
      <c r="I23" s="5">
        <f t="shared" si="2"/>
        <v>150097.16666666666</v>
      </c>
      <c r="J23" s="5">
        <f t="shared" si="2"/>
        <v>127541.09523809524</v>
      </c>
      <c r="K23" s="5">
        <f t="shared" si="2"/>
        <v>837008.33333333337</v>
      </c>
      <c r="L23" s="5">
        <f t="shared" si="2"/>
        <v>4132688.8333333335</v>
      </c>
      <c r="M23" s="5">
        <f t="shared" si="2"/>
        <v>4785156.791666667</v>
      </c>
      <c r="N23" s="5" t="s">
        <v>0</v>
      </c>
      <c r="O23" s="5">
        <f t="shared" ref="O23:V23" si="3">AVERAGE(O5:O20)</f>
        <v>2239109.5729166665</v>
      </c>
      <c r="P23" s="5">
        <f t="shared" si="3"/>
        <v>3270020.0625000005</v>
      </c>
      <c r="Q23" s="5">
        <f t="shared" si="3"/>
        <v>167528.52083333334</v>
      </c>
      <c r="R23" s="5">
        <f t="shared" si="3"/>
        <v>2685051.3333333335</v>
      </c>
      <c r="S23" s="5">
        <f t="shared" si="3"/>
        <v>2575452.9166666665</v>
      </c>
      <c r="T23" s="5">
        <f t="shared" si="3"/>
        <v>4355745.375</v>
      </c>
      <c r="U23" s="5">
        <f t="shared" si="3"/>
        <v>4860764.7777777771</v>
      </c>
      <c r="V23" s="5">
        <f t="shared" si="3"/>
        <v>5201560.666666667</v>
      </c>
    </row>
    <row r="24" spans="1:22" x14ac:dyDescent="0.25">
      <c r="A24" s="3" t="s">
        <v>1</v>
      </c>
      <c r="B24" s="3">
        <f t="shared" ref="B24:M24" si="4">STDEV(B5:B20)</f>
        <v>192661.52797056263</v>
      </c>
      <c r="C24" s="3">
        <f t="shared" si="4"/>
        <v>117567.02490601683</v>
      </c>
      <c r="D24" s="3">
        <f t="shared" si="4"/>
        <v>189836.33542621811</v>
      </c>
      <c r="E24" s="3">
        <f t="shared" si="4"/>
        <v>241738.48294282539</v>
      </c>
      <c r="F24" s="3">
        <f t="shared" si="4"/>
        <v>919249.64409705985</v>
      </c>
      <c r="G24" s="3">
        <f t="shared" si="4"/>
        <v>779831.78986766818</v>
      </c>
      <c r="H24" s="3">
        <f t="shared" si="4"/>
        <v>1544613.3636276405</v>
      </c>
      <c r="I24" s="3">
        <f t="shared" si="4"/>
        <v>113602.1100478919</v>
      </c>
      <c r="J24" s="3">
        <f t="shared" si="4"/>
        <v>187935.25767379403</v>
      </c>
      <c r="K24" s="3">
        <f t="shared" si="4"/>
        <v>477637.89825949317</v>
      </c>
      <c r="L24" s="3">
        <f t="shared" si="4"/>
        <v>1034137.547444001</v>
      </c>
      <c r="M24" s="3">
        <f t="shared" si="4"/>
        <v>2147156.207754828</v>
      </c>
      <c r="N24" s="3" t="s">
        <v>1</v>
      </c>
      <c r="O24" s="3">
        <f t="shared" ref="O24:V24" si="5">STDEV(O5:O20)</f>
        <v>823802.75119757757</v>
      </c>
      <c r="P24" s="3">
        <f t="shared" si="5"/>
        <v>1588586.7930560948</v>
      </c>
      <c r="Q24" s="3">
        <f t="shared" si="5"/>
        <v>79725.625764562588</v>
      </c>
      <c r="R24" s="3">
        <f t="shared" si="5"/>
        <v>596690.51885365194</v>
      </c>
      <c r="S24" s="3">
        <f t="shared" si="5"/>
        <v>1585223.8738526271</v>
      </c>
      <c r="T24" s="3">
        <f t="shared" si="5"/>
        <v>831350.14556581341</v>
      </c>
      <c r="U24" s="3">
        <f t="shared" si="5"/>
        <v>1281656.8674348523</v>
      </c>
      <c r="V24" s="3">
        <f t="shared" si="5"/>
        <v>1622474.5958597446</v>
      </c>
    </row>
    <row r="25" spans="1:22" ht="15.75" thickBot="1" x14ac:dyDescent="0.3"/>
    <row r="26" spans="1:22" ht="15.75" thickBot="1" x14ac:dyDescent="0.3">
      <c r="B26" s="226" t="s">
        <v>6</v>
      </c>
      <c r="C26" s="227"/>
      <c r="D26" s="227"/>
      <c r="E26" s="227"/>
      <c r="F26" s="227"/>
      <c r="G26" s="227"/>
      <c r="H26" s="227"/>
      <c r="I26" s="227"/>
      <c r="J26" s="227"/>
      <c r="K26" s="227"/>
      <c r="L26" s="227"/>
      <c r="M26" s="227"/>
      <c r="N26" s="1"/>
      <c r="O26" s="226" t="s">
        <v>3</v>
      </c>
      <c r="P26" s="227"/>
      <c r="Q26" s="227"/>
      <c r="R26" s="227"/>
      <c r="S26" s="227"/>
      <c r="T26" s="227"/>
      <c r="U26" s="227"/>
      <c r="V26" s="227"/>
    </row>
    <row r="27" spans="1:22" s="1" customFormat="1" x14ac:dyDescent="0.25">
      <c r="A27" s="34" t="s">
        <v>41</v>
      </c>
      <c r="B27" s="35" t="str">
        <f t="shared" ref="B27:M27" si="6">B4</f>
        <v>Témoin solvant</v>
      </c>
      <c r="C27" s="35" t="str">
        <f t="shared" si="6"/>
        <v>EE2-33.8ng/L</v>
      </c>
      <c r="D27" s="35" t="str">
        <f t="shared" si="6"/>
        <v>EE2-50.6ng/L</v>
      </c>
      <c r="E27" s="35" t="str">
        <f t="shared" si="6"/>
        <v>EE2-76ng/L</v>
      </c>
      <c r="F27" s="35" t="str">
        <f t="shared" si="6"/>
        <v>EE2-114ng/L</v>
      </c>
      <c r="G27" s="35" t="str">
        <f t="shared" si="6"/>
        <v>EE2-170.9ng/L</v>
      </c>
      <c r="H27" s="35" t="str">
        <f t="shared" si="6"/>
        <v>EE2-488ng/L</v>
      </c>
      <c r="I27" s="35" t="str">
        <f t="shared" si="6"/>
        <v>estradiol 34ng/L</v>
      </c>
      <c r="J27" s="35" t="str">
        <f t="shared" si="6"/>
        <v>estradiol 68ng/L</v>
      </c>
      <c r="K27" s="35" t="str">
        <f t="shared" si="6"/>
        <v>estradiol 135ng/L</v>
      </c>
      <c r="L27" s="35" t="str">
        <f t="shared" si="6"/>
        <v>estradiol 270ng/L</v>
      </c>
      <c r="M27" s="35" t="str">
        <f t="shared" si="6"/>
        <v>estradiol 540ng/L</v>
      </c>
      <c r="N27" s="3"/>
      <c r="O27" s="36" t="str">
        <f t="shared" ref="O27:V27" si="7">O4</f>
        <v>Testo -30µg/L</v>
      </c>
      <c r="P27" s="36" t="str">
        <f t="shared" si="7"/>
        <v>Testo 30µg/L + EE2 -64ng/L</v>
      </c>
      <c r="Q27" s="36" t="str">
        <f t="shared" si="7"/>
        <v>Testo 30µg/L + FAD-10µg/L</v>
      </c>
      <c r="R27" s="36" t="str">
        <f t="shared" si="7"/>
        <v>estradiol-34ng/L + Testosterone</v>
      </c>
      <c r="S27" s="36" t="str">
        <f t="shared" si="7"/>
        <v>estradiol-68ng/L + Testosterone</v>
      </c>
      <c r="T27" s="36" t="str">
        <f t="shared" si="7"/>
        <v>estradiol-135ng/L + Testosterone</v>
      </c>
      <c r="U27" s="36" t="str">
        <f t="shared" si="7"/>
        <v>estradiol-270ng/L + Testosterone</v>
      </c>
      <c r="V27" s="36" t="str">
        <f t="shared" si="7"/>
        <v>estradiol-540ng/L + Testosterone</v>
      </c>
    </row>
    <row r="28" spans="1:22" x14ac:dyDescent="0.25">
      <c r="A28" s="224" t="s">
        <v>34</v>
      </c>
      <c r="B28" s="11">
        <f t="shared" ref="B28:M28" si="8">IF(B5="","",(B5/$O$23))</f>
        <v>0.1016107784177359</v>
      </c>
      <c r="C28" s="11">
        <f t="shared" si="8"/>
        <v>4.4410510857880593E-2</v>
      </c>
      <c r="D28" s="11">
        <f t="shared" si="8"/>
        <v>0.28402942298691569</v>
      </c>
      <c r="E28" s="11">
        <f t="shared" si="8"/>
        <v>0.23526703339509694</v>
      </c>
      <c r="F28" s="11">
        <f t="shared" si="8"/>
        <v>0.81158541263326511</v>
      </c>
      <c r="G28" s="11">
        <f t="shared" si="8"/>
        <v>0.97318663023781327</v>
      </c>
      <c r="H28" s="11">
        <f t="shared" si="8"/>
        <v>1.0638927018789497</v>
      </c>
      <c r="I28" s="11">
        <f t="shared" si="8"/>
        <v>0.15309240370052421</v>
      </c>
      <c r="J28" s="11">
        <f t="shared" si="8"/>
        <v>1.0178301950469811E-2</v>
      </c>
      <c r="K28" s="11">
        <f t="shared" si="8"/>
        <v>0.36636349106017169</v>
      </c>
      <c r="L28" s="11">
        <f t="shared" si="8"/>
        <v>2.2387472207551031</v>
      </c>
      <c r="M28" s="11">
        <f t="shared" si="8"/>
        <v>2.8090970071673631</v>
      </c>
      <c r="N28" s="6"/>
      <c r="O28" s="11">
        <f t="shared" ref="O28:V28" si="9">IF(O5="","",(O5/$O$23))</f>
        <v>1.8456251761797109</v>
      </c>
      <c r="P28" s="11">
        <f t="shared" si="9"/>
        <v>0.10313712920824894</v>
      </c>
      <c r="Q28" s="11">
        <f t="shared" si="9"/>
        <v>7.7837488962025497E-2</v>
      </c>
      <c r="R28" s="11">
        <f t="shared" si="9"/>
        <v>1.4145813608133542</v>
      </c>
      <c r="S28" s="11">
        <f t="shared" si="9"/>
        <v>1.9430564658191718</v>
      </c>
      <c r="T28" s="11">
        <f t="shared" si="9"/>
        <v>1.8893176932930635</v>
      </c>
      <c r="U28" s="11">
        <f t="shared" si="9"/>
        <v>3.1801473315385382</v>
      </c>
      <c r="V28" s="11">
        <f t="shared" si="9"/>
        <v>3.2534702282765222</v>
      </c>
    </row>
    <row r="29" spans="1:22" x14ac:dyDescent="0.25">
      <c r="A29" s="225"/>
      <c r="B29" s="11">
        <f t="shared" ref="B29:M29" si="10">IF(B6="","",(B6/$O$23))</f>
        <v>0.23399524808315383</v>
      </c>
      <c r="C29" s="11">
        <f t="shared" si="10"/>
        <v>1.7710165004718975E-2</v>
      </c>
      <c r="D29" s="11">
        <f t="shared" si="10"/>
        <v>0.11669326198254991</v>
      </c>
      <c r="E29" s="11">
        <f t="shared" si="10"/>
        <v>9.3686348599165761E-2</v>
      </c>
      <c r="F29" s="11">
        <f t="shared" si="10"/>
        <v>0.76244459880371263</v>
      </c>
      <c r="G29" s="11">
        <f t="shared" si="10"/>
        <v>1.6152201945565985</v>
      </c>
      <c r="H29" s="11">
        <f t="shared" si="10"/>
        <v>3.3288540633100161</v>
      </c>
      <c r="I29" s="11">
        <f t="shared" si="10"/>
        <v>7.0711144249077183E-3</v>
      </c>
      <c r="J29" s="11">
        <f t="shared" si="10"/>
        <v>0.24610244179141919</v>
      </c>
      <c r="K29" s="11">
        <f t="shared" si="10"/>
        <v>0.69698822195964161</v>
      </c>
      <c r="L29" s="11">
        <f t="shared" si="10"/>
        <v>1.6106125593944829</v>
      </c>
      <c r="M29" s="11">
        <f t="shared" si="10"/>
        <v>2.3568380621018723</v>
      </c>
      <c r="N29" s="6"/>
      <c r="O29" s="11">
        <f t="shared" ref="O29:V29" si="11">IF(O6="","",(O6/$O$23))</f>
        <v>1.1342532603373647</v>
      </c>
      <c r="P29" s="11">
        <f t="shared" si="11"/>
        <v>1.6628700883464564</v>
      </c>
      <c r="Q29" s="11">
        <f t="shared" si="11"/>
        <v>9.0978278060765042E-2</v>
      </c>
      <c r="R29" s="11">
        <f t="shared" si="11"/>
        <v>1.1581038126488516</v>
      </c>
      <c r="S29" s="11">
        <f t="shared" si="11"/>
        <v>1.7746883469800419</v>
      </c>
      <c r="T29" s="11">
        <f t="shared" si="11"/>
        <v>2.1871368240460209</v>
      </c>
      <c r="U29" s="11">
        <f t="shared" si="11"/>
        <v>2.0246418731955109</v>
      </c>
      <c r="V29" s="11">
        <f t="shared" si="11"/>
        <v>2.2122689870037116</v>
      </c>
    </row>
    <row r="30" spans="1:22" x14ac:dyDescent="0.25">
      <c r="A30" s="225"/>
      <c r="B30" s="11">
        <f t="shared" ref="B30:M30" si="12">IF(B7="","",(B7/$O$23))</f>
        <v>2.7270215240276015E-2</v>
      </c>
      <c r="C30" s="11">
        <f t="shared" si="12"/>
        <v>6.7188910785355493E-2</v>
      </c>
      <c r="D30" s="11">
        <f t="shared" si="12"/>
        <v>6.8003520316779212E-2</v>
      </c>
      <c r="E30" s="11">
        <f t="shared" si="12"/>
        <v>3.6920703211640787E-2</v>
      </c>
      <c r="F30" s="11">
        <f t="shared" si="12"/>
        <v>1.1640341462186241E-2</v>
      </c>
      <c r="G30" s="11">
        <f t="shared" si="12"/>
        <v>1.5400490928967165</v>
      </c>
      <c r="H30" s="11">
        <f t="shared" si="12"/>
        <v>2.5663095736079873</v>
      </c>
      <c r="I30" s="11">
        <f t="shared" si="12"/>
        <v>4.7839850252229407E-2</v>
      </c>
      <c r="J30" s="11">
        <f t="shared" si="12"/>
        <v>2.8638914076516812E-2</v>
      </c>
      <c r="K30" s="11">
        <f t="shared" si="12"/>
        <v>0.22174945761433376</v>
      </c>
      <c r="L30" s="11">
        <f t="shared" si="12"/>
        <v>1.6753670203137252</v>
      </c>
      <c r="M30" s="11">
        <f t="shared" si="12"/>
        <v>3.3818233335210786</v>
      </c>
      <c r="N30" s="6"/>
      <c r="O30" s="11">
        <f t="shared" ref="O30:V30" si="13">IF(O7="","",(O7/$O$23))</f>
        <v>0.8118204763120147</v>
      </c>
      <c r="P30" s="11">
        <f t="shared" si="13"/>
        <v>1.8370697663722995</v>
      </c>
      <c r="Q30" s="11">
        <f t="shared" si="13"/>
        <v>0.14191563937299687</v>
      </c>
      <c r="R30" s="11">
        <f t="shared" si="13"/>
        <v>1.1851005560855412</v>
      </c>
      <c r="S30" s="11">
        <f t="shared" si="13"/>
        <v>1.0080594211652745</v>
      </c>
      <c r="T30" s="11">
        <f t="shared" si="13"/>
        <v>1.3370463730515945</v>
      </c>
      <c r="U30" s="11">
        <f t="shared" si="13"/>
        <v>2.1351688447173331</v>
      </c>
      <c r="V30" s="11">
        <f t="shared" si="13"/>
        <v>1.5056625815808042</v>
      </c>
    </row>
    <row r="31" spans="1:22" x14ac:dyDescent="0.25">
      <c r="A31" s="225"/>
      <c r="B31" s="11">
        <f t="shared" ref="B31:M31" si="14">IF(B8="","",(B8/$O$23))</f>
        <v>6.6061676982003811E-2</v>
      </c>
      <c r="C31" s="11">
        <f t="shared" si="14"/>
        <v>0.1088365674228975</v>
      </c>
      <c r="D31" s="11">
        <f t="shared" si="14"/>
        <v>0.10336251642143891</v>
      </c>
      <c r="E31" s="11">
        <f t="shared" si="14"/>
        <v>0.2138023997532241</v>
      </c>
      <c r="F31" s="11">
        <f t="shared" si="14"/>
        <v>0.37293559759960199</v>
      </c>
      <c r="G31" s="11">
        <f t="shared" si="14"/>
        <v>1.8221481354388276</v>
      </c>
      <c r="H31" s="11">
        <f t="shared" si="14"/>
        <v>2.589461485106066</v>
      </c>
      <c r="I31" s="11">
        <f t="shared" si="14"/>
        <v>4.9288789318265046E-2</v>
      </c>
      <c r="J31" s="11">
        <f t="shared" si="14"/>
        <v>4.0404751853576996E-2</v>
      </c>
      <c r="K31" s="11">
        <f t="shared" si="14"/>
        <v>0.36957384459547005</v>
      </c>
      <c r="L31" s="11">
        <f t="shared" si="14"/>
        <v>1.9780033933596901</v>
      </c>
      <c r="M31" s="11">
        <f t="shared" si="14"/>
        <v>2.0415695843082045</v>
      </c>
      <c r="N31" s="6"/>
      <c r="O31" s="11">
        <f t="shared" ref="O31:V31" si="15">IF(O8="","",(O8/$O$23))</f>
        <v>0.97074406702750005</v>
      </c>
      <c r="P31" s="11">
        <f t="shared" si="15"/>
        <v>2.1031458473315467</v>
      </c>
      <c r="Q31" s="11">
        <f t="shared" si="15"/>
        <v>3.8556546931679071E-2</v>
      </c>
      <c r="R31" s="11">
        <f t="shared" si="15"/>
        <v>1.5665112488284094</v>
      </c>
      <c r="S31" s="11" t="str">
        <f t="shared" si="15"/>
        <v/>
      </c>
      <c r="T31" s="11">
        <f t="shared" si="15"/>
        <v>2.3553084361999388</v>
      </c>
      <c r="U31" s="11">
        <f t="shared" si="15"/>
        <v>1.4984078376133141</v>
      </c>
      <c r="V31" s="11">
        <f t="shared" si="15"/>
        <v>2.003505792776564</v>
      </c>
    </row>
    <row r="32" spans="1:22" x14ac:dyDescent="0.25">
      <c r="A32" s="225"/>
      <c r="B32" s="11">
        <f t="shared" ref="B32:M32" si="16">IF(B9="","",(B9/$O$23))</f>
        <v>1.995436067105898E-2</v>
      </c>
      <c r="C32" s="11">
        <f t="shared" si="16"/>
        <v>8.0831982880992609E-2</v>
      </c>
      <c r="D32" s="11">
        <f t="shared" si="16"/>
        <v>2.1351940035277885E-2</v>
      </c>
      <c r="E32" s="11">
        <f t="shared" si="16"/>
        <v>0.15135361727380106</v>
      </c>
      <c r="F32" s="11">
        <f t="shared" si="16"/>
        <v>0.39569791970737778</v>
      </c>
      <c r="G32" s="11">
        <f t="shared" si="16"/>
        <v>1.2875420218543998</v>
      </c>
      <c r="H32" s="11">
        <f t="shared" si="16"/>
        <v>2.7861271620905073</v>
      </c>
      <c r="I32" s="11">
        <f t="shared" si="16"/>
        <v>6.267119231859461E-2</v>
      </c>
      <c r="J32" s="11">
        <f t="shared" si="16"/>
        <v>1.813176116571897E-2</v>
      </c>
      <c r="K32" s="11">
        <f t="shared" si="16"/>
        <v>2.8864152421005863E-2</v>
      </c>
      <c r="L32" s="11">
        <f t="shared" si="16"/>
        <v>1.4039841423385011</v>
      </c>
      <c r="M32" s="11">
        <f t="shared" si="16"/>
        <v>1.0677888935193776</v>
      </c>
      <c r="N32" s="6"/>
      <c r="O32" s="11">
        <f t="shared" ref="O32:V32" si="17">IF(O9="","",(O9/$O$23))</f>
        <v>0.89734063232231942</v>
      </c>
      <c r="P32" s="11">
        <f t="shared" si="17"/>
        <v>1.7664804711549238</v>
      </c>
      <c r="Q32" s="11">
        <f t="shared" si="17"/>
        <v>8.763915309917257E-2</v>
      </c>
      <c r="R32" s="11">
        <f t="shared" si="17"/>
        <v>0.7324694392677551</v>
      </c>
      <c r="S32" s="11">
        <f t="shared" si="17"/>
        <v>0.70142852870192507</v>
      </c>
      <c r="T32" s="11">
        <f t="shared" si="17"/>
        <v>1.5054211909822655</v>
      </c>
      <c r="U32" s="11">
        <f t="shared" si="17"/>
        <v>2.3509099615626132</v>
      </c>
      <c r="V32" s="11">
        <f t="shared" si="17"/>
        <v>2.5265778571512612</v>
      </c>
    </row>
    <row r="33" spans="1:22" x14ac:dyDescent="0.25">
      <c r="A33" s="225"/>
      <c r="B33" s="11">
        <f t="shared" ref="B33:M33" si="18">IF(B10="","",(B10/$O$23))</f>
        <v>0.21025076472107107</v>
      </c>
      <c r="C33" s="11">
        <f t="shared" si="18"/>
        <v>1.9387766395364783E-2</v>
      </c>
      <c r="D33" s="11">
        <f t="shared" si="18"/>
        <v>4.5231521743443782E-2</v>
      </c>
      <c r="E33" s="11">
        <f t="shared" si="18"/>
        <v>5.0985743640030202E-2</v>
      </c>
      <c r="F33" s="11">
        <f t="shared" si="18"/>
        <v>1.297456379598142</v>
      </c>
      <c r="G33" s="11">
        <f t="shared" si="18"/>
        <v>0.89080083029098833</v>
      </c>
      <c r="H33" s="11">
        <f t="shared" si="18"/>
        <v>2.2155790825686248</v>
      </c>
      <c r="I33" s="11">
        <f t="shared" si="18"/>
        <v>0.11651953220857851</v>
      </c>
      <c r="J33" s="11">
        <f t="shared" si="18"/>
        <v>2.6819440813896079E-2</v>
      </c>
      <c r="K33" s="11">
        <f t="shared" si="18"/>
        <v>0.25990658982144965</v>
      </c>
      <c r="L33" s="11">
        <f t="shared" si="18"/>
        <v>2.721775093269847</v>
      </c>
      <c r="M33" s="11">
        <f t="shared" si="18"/>
        <v>2.8057787238238991</v>
      </c>
      <c r="N33" s="6"/>
      <c r="O33" s="11">
        <f t="shared" ref="O33:V33" si="19">IF(O10="","",(O10/$O$23))</f>
        <v>0.91725330975712127</v>
      </c>
      <c r="P33" s="11">
        <f t="shared" si="19"/>
        <v>2.025930034064555</v>
      </c>
      <c r="Q33" s="11">
        <f t="shared" si="19"/>
        <v>8.1714327671334061E-2</v>
      </c>
      <c r="R33" s="11">
        <f t="shared" si="19"/>
        <v>1.3259117385664267</v>
      </c>
      <c r="S33" s="11" t="str">
        <f t="shared" si="19"/>
        <v/>
      </c>
      <c r="T33" s="11">
        <f t="shared" si="19"/>
        <v>2.0863472053825491</v>
      </c>
      <c r="U33" s="11" t="str">
        <f t="shared" si="19"/>
        <v/>
      </c>
      <c r="V33" s="11">
        <f t="shared" si="19"/>
        <v>2.4506659104012605</v>
      </c>
    </row>
    <row r="34" spans="1:22" x14ac:dyDescent="0.25">
      <c r="A34" s="225"/>
      <c r="B34" s="11">
        <f t="shared" ref="B34:M34" si="20">IF(B11="","",(B11/$O$23))</f>
        <v>1.0155822776631181E-2</v>
      </c>
      <c r="C34" s="11">
        <f t="shared" si="20"/>
        <v>5.3129750670652337E-3</v>
      </c>
      <c r="D34" s="11">
        <f t="shared" si="20"/>
        <v>5.5294152713300258E-2</v>
      </c>
      <c r="E34" s="11">
        <f t="shared" si="20"/>
        <v>0.3328400460378319</v>
      </c>
      <c r="F34" s="11">
        <f t="shared" si="20"/>
        <v>0.69941597273421363</v>
      </c>
      <c r="G34" s="11">
        <f t="shared" si="20"/>
        <v>0.97400771555772692</v>
      </c>
      <c r="H34" s="11">
        <f t="shared" si="20"/>
        <v>2.7649295988980813</v>
      </c>
      <c r="I34" s="11">
        <f t="shared" si="20"/>
        <v>9.4089485041251933E-3</v>
      </c>
      <c r="J34" s="11">
        <f t="shared" si="20"/>
        <v>2.8448808745444427E-2</v>
      </c>
      <c r="K34" s="11">
        <f t="shared" si="20"/>
        <v>0.43958664576854045</v>
      </c>
      <c r="L34" s="11">
        <f t="shared" si="20"/>
        <v>1.3229589278837168</v>
      </c>
      <c r="M34" s="11">
        <f t="shared" si="20"/>
        <v>0.46762651219256296</v>
      </c>
      <c r="N34" s="6"/>
      <c r="O34" s="11">
        <f t="shared" ref="O34:V34" si="21">IF(O11="","",(O11/$O$23))</f>
        <v>0.53246463732172111</v>
      </c>
      <c r="P34" s="11">
        <f t="shared" si="21"/>
        <v>1.5400072607917585</v>
      </c>
      <c r="Q34" s="11">
        <f t="shared" si="21"/>
        <v>4.8459665088501816E-2</v>
      </c>
      <c r="R34" s="11">
        <f t="shared" si="21"/>
        <v>1.2819103188986689</v>
      </c>
      <c r="S34" s="11">
        <f t="shared" si="21"/>
        <v>1.4169028193354707</v>
      </c>
      <c r="T34" s="11">
        <f t="shared" si="21"/>
        <v>1.8734881865870425</v>
      </c>
      <c r="U34" s="11">
        <f t="shared" si="21"/>
        <v>1.8358074342228647</v>
      </c>
      <c r="V34" s="11">
        <f t="shared" si="21"/>
        <v>1.3237994405691003</v>
      </c>
    </row>
    <row r="35" spans="1:22" x14ac:dyDescent="0.25">
      <c r="A35" s="225"/>
      <c r="B35" s="11">
        <f t="shared" ref="B35:M35" si="22">IF(B12="","",(B12/$O$23))</f>
        <v>6.3080134640016577E-2</v>
      </c>
      <c r="C35" s="11">
        <f t="shared" si="22"/>
        <v>0.1591008933382787</v>
      </c>
      <c r="D35" s="11">
        <f t="shared" si="22"/>
        <v>3.189095084807219E-2</v>
      </c>
      <c r="E35" s="11" t="str">
        <f t="shared" si="22"/>
        <v/>
      </c>
      <c r="F35" s="11">
        <f t="shared" si="22"/>
        <v>0.17294062098782861</v>
      </c>
      <c r="G35" s="11">
        <f t="shared" si="22"/>
        <v>1.0899008082728423</v>
      </c>
      <c r="H35" s="11">
        <f t="shared" si="22"/>
        <v>3.0980658936507401</v>
      </c>
      <c r="I35" s="11">
        <f t="shared" si="22"/>
        <v>9.0382654388391812E-2</v>
      </c>
      <c r="J35" s="11" t="str">
        <f t="shared" si="22"/>
        <v/>
      </c>
      <c r="K35" s="11">
        <f t="shared" si="22"/>
        <v>0.60747183454189213</v>
      </c>
      <c r="L35" s="11">
        <f t="shared" si="22"/>
        <v>1.8140240726923262</v>
      </c>
      <c r="M35" s="11">
        <f t="shared" si="22"/>
        <v>2.1661196897191077</v>
      </c>
      <c r="N35" s="6"/>
      <c r="O35" s="11">
        <f t="shared" ref="O35:V35" si="23">IF(O12="","",(O12/$O$23))</f>
        <v>0.91479638071716929</v>
      </c>
      <c r="P35" s="11">
        <f t="shared" si="23"/>
        <v>0.64464673106035053</v>
      </c>
      <c r="Q35" s="11">
        <f t="shared" si="23"/>
        <v>3.1452979129971213E-2</v>
      </c>
      <c r="R35" s="11">
        <f t="shared" si="23"/>
        <v>0.92869401829137643</v>
      </c>
      <c r="S35" s="11">
        <f t="shared" si="23"/>
        <v>5.7142357635198177E-2</v>
      </c>
      <c r="T35" s="11">
        <f t="shared" si="23"/>
        <v>2.3283538226056089</v>
      </c>
      <c r="U35" s="11" t="str">
        <f t="shared" si="23"/>
        <v/>
      </c>
      <c r="V35" s="11">
        <f t="shared" si="23"/>
        <v>3.3084391028783169</v>
      </c>
    </row>
    <row r="36" spans="1:22" s="1" customFormat="1" x14ac:dyDescent="0.25">
      <c r="A36" s="225"/>
      <c r="B36" s="11" t="str">
        <f t="shared" ref="B36:M36" si="24">IF(B13="","",(B13/$O$23))</f>
        <v/>
      </c>
      <c r="C36" s="11" t="str">
        <f t="shared" si="24"/>
        <v/>
      </c>
      <c r="D36" s="11" t="str">
        <f t="shared" si="24"/>
        <v/>
      </c>
      <c r="E36" s="11" t="str">
        <f t="shared" si="24"/>
        <v/>
      </c>
      <c r="F36" s="11" t="str">
        <f t="shared" si="24"/>
        <v/>
      </c>
      <c r="G36" s="11" t="str">
        <f t="shared" si="24"/>
        <v/>
      </c>
      <c r="H36" s="11" t="str">
        <f t="shared" si="24"/>
        <v/>
      </c>
      <c r="I36" s="11" t="str">
        <f t="shared" si="24"/>
        <v/>
      </c>
      <c r="J36" s="11" t="str">
        <f t="shared" si="24"/>
        <v/>
      </c>
      <c r="K36" s="11" t="str">
        <f t="shared" si="24"/>
        <v/>
      </c>
      <c r="L36" s="11" t="str">
        <f t="shared" si="24"/>
        <v/>
      </c>
      <c r="M36" s="11" t="str">
        <f t="shared" si="24"/>
        <v/>
      </c>
      <c r="N36" s="6"/>
      <c r="O36" s="11">
        <f t="shared" ref="O36:V36" si="25">IF(O13="","",(O13/$O$23))</f>
        <v>0.29148685169070582</v>
      </c>
      <c r="P36" s="11" t="str">
        <f t="shared" si="25"/>
        <v/>
      </c>
      <c r="Q36" s="11" t="str">
        <f t="shared" si="25"/>
        <v/>
      </c>
      <c r="R36" s="11" t="str">
        <f t="shared" si="25"/>
        <v/>
      </c>
      <c r="S36" s="11" t="str">
        <f t="shared" si="25"/>
        <v/>
      </c>
      <c r="T36" s="11" t="str">
        <f t="shared" si="25"/>
        <v/>
      </c>
      <c r="U36" s="11" t="str">
        <f t="shared" si="25"/>
        <v/>
      </c>
      <c r="V36" s="11" t="str">
        <f t="shared" si="25"/>
        <v/>
      </c>
    </row>
    <row r="37" spans="1:22" s="1" customFormat="1" x14ac:dyDescent="0.25">
      <c r="A37" s="225"/>
      <c r="B37" s="11" t="str">
        <f t="shared" ref="B37:M37" si="26">IF(B14="","",(B14/$O$23))</f>
        <v/>
      </c>
      <c r="C37" s="11" t="str">
        <f t="shared" si="26"/>
        <v/>
      </c>
      <c r="D37" s="11" t="str">
        <f t="shared" si="26"/>
        <v/>
      </c>
      <c r="E37" s="11" t="str">
        <f t="shared" si="26"/>
        <v/>
      </c>
      <c r="F37" s="11" t="str">
        <f t="shared" si="26"/>
        <v/>
      </c>
      <c r="G37" s="11" t="str">
        <f t="shared" si="26"/>
        <v/>
      </c>
      <c r="H37" s="11" t="str">
        <f t="shared" si="26"/>
        <v/>
      </c>
      <c r="I37" s="11" t="str">
        <f t="shared" si="26"/>
        <v/>
      </c>
      <c r="J37" s="11" t="str">
        <f t="shared" si="26"/>
        <v/>
      </c>
      <c r="K37" s="11" t="str">
        <f t="shared" si="26"/>
        <v/>
      </c>
      <c r="L37" s="11" t="str">
        <f t="shared" si="26"/>
        <v/>
      </c>
      <c r="M37" s="11" t="str">
        <f t="shared" si="26"/>
        <v/>
      </c>
      <c r="N37" s="6"/>
      <c r="O37" s="11">
        <f t="shared" ref="O37:V37" si="27">IF(O14="","",(O14/$O$23))</f>
        <v>1.1295327826999535</v>
      </c>
      <c r="P37" s="11" t="str">
        <f t="shared" si="27"/>
        <v/>
      </c>
      <c r="Q37" s="11" t="str">
        <f t="shared" si="27"/>
        <v/>
      </c>
      <c r="R37" s="11" t="str">
        <f t="shared" si="27"/>
        <v/>
      </c>
      <c r="S37" s="11" t="str">
        <f t="shared" si="27"/>
        <v/>
      </c>
      <c r="T37" s="11" t="str">
        <f t="shared" si="27"/>
        <v/>
      </c>
      <c r="U37" s="11" t="str">
        <f t="shared" si="27"/>
        <v/>
      </c>
      <c r="V37" s="11" t="str">
        <f t="shared" si="27"/>
        <v/>
      </c>
    </row>
    <row r="38" spans="1:22" s="1" customFormat="1" x14ac:dyDescent="0.25">
      <c r="A38" s="225"/>
      <c r="B38" s="11" t="str">
        <f t="shared" ref="B38:M38" si="28">IF(B15="","",(B15/$O$23))</f>
        <v/>
      </c>
      <c r="C38" s="11" t="str">
        <f t="shared" si="28"/>
        <v/>
      </c>
      <c r="D38" s="11" t="str">
        <f t="shared" si="28"/>
        <v/>
      </c>
      <c r="E38" s="11" t="str">
        <f t="shared" si="28"/>
        <v/>
      </c>
      <c r="F38" s="11" t="str">
        <f t="shared" si="28"/>
        <v/>
      </c>
      <c r="G38" s="11" t="str">
        <f t="shared" si="28"/>
        <v/>
      </c>
      <c r="H38" s="11" t="str">
        <f t="shared" si="28"/>
        <v/>
      </c>
      <c r="I38" s="11" t="str">
        <f t="shared" si="28"/>
        <v/>
      </c>
      <c r="J38" s="11" t="str">
        <f t="shared" si="28"/>
        <v/>
      </c>
      <c r="K38" s="11" t="str">
        <f t="shared" si="28"/>
        <v/>
      </c>
      <c r="L38" s="11" t="str">
        <f t="shared" si="28"/>
        <v/>
      </c>
      <c r="M38" s="11" t="str">
        <f t="shared" si="28"/>
        <v/>
      </c>
      <c r="N38" s="6"/>
      <c r="O38" s="11">
        <f t="shared" ref="O38:R38" si="29">IF(O15="","",(O15/$O$23))</f>
        <v>1.6049259238881133</v>
      </c>
      <c r="P38" s="11" t="str">
        <f t="shared" si="29"/>
        <v/>
      </c>
      <c r="Q38" s="11" t="str">
        <f t="shared" si="29"/>
        <v/>
      </c>
      <c r="R38" s="11" t="str">
        <f t="shared" si="29"/>
        <v/>
      </c>
      <c r="S38" s="11" t="str">
        <f t="shared" ref="S38:V38" si="30">IF(S15="","",(S15/$O$23))</f>
        <v/>
      </c>
      <c r="T38" s="11" t="str">
        <f t="shared" si="30"/>
        <v/>
      </c>
      <c r="U38" s="11" t="str">
        <f t="shared" si="30"/>
        <v/>
      </c>
      <c r="V38" s="11" t="str">
        <f t="shared" si="30"/>
        <v/>
      </c>
    </row>
    <row r="39" spans="1:22" s="1" customFormat="1" x14ac:dyDescent="0.25">
      <c r="A39" s="225"/>
      <c r="B39" s="11" t="str">
        <f t="shared" ref="B39:M39" si="31">IF(B16="","",(B16/$O$23))</f>
        <v/>
      </c>
      <c r="C39" s="11" t="str">
        <f t="shared" si="31"/>
        <v/>
      </c>
      <c r="D39" s="11" t="str">
        <f t="shared" si="31"/>
        <v/>
      </c>
      <c r="E39" s="11" t="str">
        <f t="shared" si="31"/>
        <v/>
      </c>
      <c r="F39" s="11" t="str">
        <f t="shared" si="31"/>
        <v/>
      </c>
      <c r="G39" s="11" t="str">
        <f t="shared" si="31"/>
        <v/>
      </c>
      <c r="H39" s="11" t="str">
        <f t="shared" si="31"/>
        <v/>
      </c>
      <c r="I39" s="11" t="str">
        <f t="shared" si="31"/>
        <v/>
      </c>
      <c r="J39" s="11" t="str">
        <f t="shared" si="31"/>
        <v/>
      </c>
      <c r="K39" s="11" t="str">
        <f t="shared" si="31"/>
        <v/>
      </c>
      <c r="L39" s="11" t="str">
        <f t="shared" si="31"/>
        <v/>
      </c>
      <c r="M39" s="11" t="str">
        <f t="shared" si="31"/>
        <v/>
      </c>
      <c r="N39" s="6"/>
      <c r="O39" s="11">
        <f t="shared" ref="O39:R39" si="32">IF(O16="","",(O16/$O$23))</f>
        <v>1.1890997648670043</v>
      </c>
      <c r="P39" s="11" t="str">
        <f t="shared" si="32"/>
        <v/>
      </c>
      <c r="Q39" s="11" t="str">
        <f t="shared" si="32"/>
        <v/>
      </c>
      <c r="R39" s="11" t="str">
        <f t="shared" si="32"/>
        <v/>
      </c>
      <c r="S39" s="11" t="str">
        <f t="shared" ref="S39:V39" si="33">IF(S16="","",(S16/$O$23))</f>
        <v/>
      </c>
      <c r="T39" s="11" t="str">
        <f t="shared" si="33"/>
        <v/>
      </c>
      <c r="U39" s="11" t="str">
        <f t="shared" si="33"/>
        <v/>
      </c>
      <c r="V39" s="11" t="str">
        <f t="shared" si="33"/>
        <v/>
      </c>
    </row>
    <row r="40" spans="1:22" s="1" customFormat="1" x14ac:dyDescent="0.25">
      <c r="A40" s="225"/>
      <c r="B40" s="11" t="str">
        <f t="shared" ref="B40:M40" si="34">IF(B17="","",(B17/$O$23))</f>
        <v/>
      </c>
      <c r="C40" s="11" t="str">
        <f t="shared" si="34"/>
        <v/>
      </c>
      <c r="D40" s="11" t="str">
        <f t="shared" si="34"/>
        <v/>
      </c>
      <c r="E40" s="11" t="str">
        <f t="shared" si="34"/>
        <v/>
      </c>
      <c r="F40" s="11" t="str">
        <f t="shared" si="34"/>
        <v/>
      </c>
      <c r="G40" s="11" t="str">
        <f t="shared" si="34"/>
        <v/>
      </c>
      <c r="H40" s="11" t="str">
        <f t="shared" si="34"/>
        <v/>
      </c>
      <c r="I40" s="11" t="str">
        <f t="shared" si="34"/>
        <v/>
      </c>
      <c r="J40" s="11" t="str">
        <f t="shared" si="34"/>
        <v/>
      </c>
      <c r="K40" s="11" t="str">
        <f t="shared" si="34"/>
        <v/>
      </c>
      <c r="L40" s="11" t="str">
        <f t="shared" si="34"/>
        <v/>
      </c>
      <c r="M40" s="11" t="str">
        <f t="shared" si="34"/>
        <v/>
      </c>
      <c r="N40" s="6"/>
      <c r="O40" s="11">
        <f t="shared" ref="O40:R40" si="35">IF(O17="","",(O17/$O$23))</f>
        <v>0.72393345682581345</v>
      </c>
      <c r="P40" s="11" t="str">
        <f t="shared" si="35"/>
        <v/>
      </c>
      <c r="Q40" s="11" t="str">
        <f t="shared" si="35"/>
        <v/>
      </c>
      <c r="R40" s="11" t="str">
        <f t="shared" si="35"/>
        <v/>
      </c>
      <c r="S40" s="11" t="str">
        <f t="shared" ref="S40:V40" si="36">IF(S17="","",(S17/$O$23))</f>
        <v/>
      </c>
      <c r="T40" s="11" t="str">
        <f t="shared" si="36"/>
        <v/>
      </c>
      <c r="U40" s="11" t="str">
        <f t="shared" si="36"/>
        <v/>
      </c>
      <c r="V40" s="11" t="str">
        <f t="shared" si="36"/>
        <v/>
      </c>
    </row>
    <row r="41" spans="1:22" s="1" customFormat="1" x14ac:dyDescent="0.25">
      <c r="A41" s="225"/>
      <c r="B41" s="11" t="str">
        <f t="shared" ref="B41:M41" si="37">IF(B18="","",(B18/$O$23))</f>
        <v/>
      </c>
      <c r="C41" s="11" t="str">
        <f t="shared" si="37"/>
        <v/>
      </c>
      <c r="D41" s="11" t="str">
        <f t="shared" si="37"/>
        <v/>
      </c>
      <c r="E41" s="11" t="str">
        <f t="shared" si="37"/>
        <v/>
      </c>
      <c r="F41" s="11" t="str">
        <f t="shared" si="37"/>
        <v/>
      </c>
      <c r="G41" s="11" t="str">
        <f t="shared" si="37"/>
        <v/>
      </c>
      <c r="H41" s="11" t="str">
        <f t="shared" si="37"/>
        <v/>
      </c>
      <c r="I41" s="11" t="str">
        <f t="shared" si="37"/>
        <v/>
      </c>
      <c r="J41" s="11" t="str">
        <f t="shared" si="37"/>
        <v/>
      </c>
      <c r="K41" s="11" t="str">
        <f t="shared" si="37"/>
        <v/>
      </c>
      <c r="L41" s="11" t="str">
        <f t="shared" si="37"/>
        <v/>
      </c>
      <c r="M41" s="11" t="str">
        <f t="shared" si="37"/>
        <v/>
      </c>
      <c r="N41" s="6"/>
      <c r="O41" s="11">
        <f t="shared" ref="O41:R41" si="38">IF(O18="","",(O18/$O$23))</f>
        <v>1.1230380878850006</v>
      </c>
      <c r="P41" s="11" t="str">
        <f t="shared" si="38"/>
        <v/>
      </c>
      <c r="Q41" s="11" t="str">
        <f t="shared" si="38"/>
        <v/>
      </c>
      <c r="R41" s="11" t="str">
        <f t="shared" si="38"/>
        <v/>
      </c>
      <c r="S41" s="11" t="str">
        <f t="shared" ref="S41:V41" si="39">IF(S18="","",(S18/$O$23))</f>
        <v/>
      </c>
      <c r="T41" s="11" t="str">
        <f t="shared" si="39"/>
        <v/>
      </c>
      <c r="U41" s="11" t="str">
        <f t="shared" si="39"/>
        <v/>
      </c>
      <c r="V41" s="11" t="str">
        <f t="shared" si="39"/>
        <v/>
      </c>
    </row>
    <row r="42" spans="1:22" s="1" customFormat="1" x14ac:dyDescent="0.25">
      <c r="A42" s="225"/>
      <c r="B42" s="11" t="str">
        <f t="shared" ref="B42:M42" si="40">IF(B19="","",(B19/$O$23))</f>
        <v/>
      </c>
      <c r="C42" s="11" t="str">
        <f t="shared" si="40"/>
        <v/>
      </c>
      <c r="D42" s="11" t="str">
        <f t="shared" si="40"/>
        <v/>
      </c>
      <c r="E42" s="11" t="str">
        <f t="shared" si="40"/>
        <v/>
      </c>
      <c r="F42" s="11" t="str">
        <f t="shared" si="40"/>
        <v/>
      </c>
      <c r="G42" s="11" t="str">
        <f t="shared" si="40"/>
        <v/>
      </c>
      <c r="H42" s="11" t="str">
        <f t="shared" si="40"/>
        <v/>
      </c>
      <c r="I42" s="11" t="str">
        <f t="shared" si="40"/>
        <v/>
      </c>
      <c r="J42" s="11" t="str">
        <f t="shared" si="40"/>
        <v/>
      </c>
      <c r="K42" s="11" t="str">
        <f t="shared" si="40"/>
        <v/>
      </c>
      <c r="L42" s="11" t="str">
        <f t="shared" si="40"/>
        <v/>
      </c>
      <c r="M42" s="11" t="str">
        <f t="shared" si="40"/>
        <v/>
      </c>
      <c r="N42" s="6"/>
      <c r="O42" s="11">
        <f t="shared" ref="O42:R42" si="41">IF(O19="","",(O19/$O$23))</f>
        <v>0.99058588296066497</v>
      </c>
      <c r="P42" s="11" t="str">
        <f t="shared" si="41"/>
        <v/>
      </c>
      <c r="Q42" s="11" t="str">
        <f t="shared" si="41"/>
        <v/>
      </c>
      <c r="R42" s="11" t="str">
        <f t="shared" si="41"/>
        <v/>
      </c>
      <c r="S42" s="11" t="str">
        <f t="shared" ref="S42:V42" si="42">IF(S19="","",(S19/$O$23))</f>
        <v/>
      </c>
      <c r="T42" s="11" t="str">
        <f t="shared" si="42"/>
        <v/>
      </c>
      <c r="U42" s="11" t="str">
        <f t="shared" si="42"/>
        <v/>
      </c>
      <c r="V42" s="11" t="str">
        <f t="shared" si="42"/>
        <v/>
      </c>
    </row>
    <row r="43" spans="1:22" s="1" customFormat="1" x14ac:dyDescent="0.25">
      <c r="A43" s="225"/>
      <c r="B43" s="11" t="str">
        <f t="shared" ref="B43:M43" si="43">IF(B20="","",(B20/$O$23))</f>
        <v/>
      </c>
      <c r="C43" s="11" t="str">
        <f t="shared" si="43"/>
        <v/>
      </c>
      <c r="D43" s="11" t="str">
        <f t="shared" si="43"/>
        <v/>
      </c>
      <c r="E43" s="11" t="str">
        <f t="shared" si="43"/>
        <v/>
      </c>
      <c r="F43" s="11" t="str">
        <f t="shared" si="43"/>
        <v/>
      </c>
      <c r="G43" s="11" t="str">
        <f t="shared" si="43"/>
        <v/>
      </c>
      <c r="H43" s="11" t="str">
        <f t="shared" si="43"/>
        <v/>
      </c>
      <c r="I43" s="11" t="str">
        <f t="shared" si="43"/>
        <v/>
      </c>
      <c r="J43" s="11" t="str">
        <f t="shared" si="43"/>
        <v/>
      </c>
      <c r="K43" s="11" t="str">
        <f t="shared" si="43"/>
        <v/>
      </c>
      <c r="L43" s="11" t="str">
        <f t="shared" si="43"/>
        <v/>
      </c>
      <c r="M43" s="11" t="str">
        <f t="shared" si="43"/>
        <v/>
      </c>
      <c r="N43" s="6"/>
      <c r="O43" s="11">
        <f t="shared" ref="O43:R43" si="44">IF(O20="","",(O20/$O$23))</f>
        <v>0.92309930920782368</v>
      </c>
      <c r="P43" s="11" t="str">
        <f t="shared" si="44"/>
        <v/>
      </c>
      <c r="Q43" s="11" t="str">
        <f t="shared" si="44"/>
        <v/>
      </c>
      <c r="R43" s="11" t="str">
        <f t="shared" si="44"/>
        <v/>
      </c>
      <c r="S43" s="11" t="str">
        <f t="shared" ref="S43:V43" si="45">IF(S20="","",(S20/$O$23))</f>
        <v/>
      </c>
      <c r="T43" s="11" t="str">
        <f t="shared" si="45"/>
        <v/>
      </c>
      <c r="U43" s="11" t="str">
        <f t="shared" si="45"/>
        <v/>
      </c>
      <c r="V43" s="11" t="str">
        <f t="shared" si="45"/>
        <v/>
      </c>
    </row>
    <row r="44" spans="1:22" x14ac:dyDescent="0.25">
      <c r="A44" s="7"/>
      <c r="B44" s="3"/>
      <c r="C44" s="3"/>
      <c r="D44" s="3"/>
      <c r="E44" s="3"/>
      <c r="F44" s="3"/>
      <c r="G44" s="3"/>
      <c r="H44" s="3"/>
      <c r="I44" s="3"/>
      <c r="J44" s="3"/>
      <c r="N44" s="7"/>
      <c r="O44" s="3"/>
      <c r="P44" s="3"/>
      <c r="Q44" s="3"/>
      <c r="R44" s="3"/>
      <c r="S44" s="3"/>
      <c r="T44" s="3"/>
      <c r="U44" s="3"/>
      <c r="V44" s="3"/>
    </row>
    <row r="45" spans="1:22" s="69" customFormat="1" x14ac:dyDescent="0.25">
      <c r="A45" s="70" t="str">
        <f t="shared" ref="A45:M45" si="46">A4</f>
        <v>Noms des groupes</v>
      </c>
      <c r="B45" s="70" t="str">
        <f t="shared" si="46"/>
        <v>Témoin solvant</v>
      </c>
      <c r="C45" s="70" t="str">
        <f t="shared" si="46"/>
        <v>EE2-33.8ng/L</v>
      </c>
      <c r="D45" s="70" t="str">
        <f t="shared" si="46"/>
        <v>EE2-50.6ng/L</v>
      </c>
      <c r="E45" s="70" t="str">
        <f t="shared" si="46"/>
        <v>EE2-76ng/L</v>
      </c>
      <c r="F45" s="70" t="str">
        <f t="shared" si="46"/>
        <v>EE2-114ng/L</v>
      </c>
      <c r="G45" s="70" t="str">
        <f t="shared" si="46"/>
        <v>EE2-170.9ng/L</v>
      </c>
      <c r="H45" s="70" t="str">
        <f t="shared" si="46"/>
        <v>EE2-488ng/L</v>
      </c>
      <c r="I45" s="70" t="str">
        <f t="shared" si="46"/>
        <v>estradiol 34ng/L</v>
      </c>
      <c r="J45" s="70" t="str">
        <f t="shared" si="46"/>
        <v>estradiol 68ng/L</v>
      </c>
      <c r="K45" s="70" t="str">
        <f t="shared" si="46"/>
        <v>estradiol 135ng/L</v>
      </c>
      <c r="L45" s="70" t="str">
        <f t="shared" si="46"/>
        <v>estradiol 270ng/L</v>
      </c>
      <c r="M45" s="70" t="str">
        <f t="shared" si="46"/>
        <v>estradiol 540ng/L</v>
      </c>
      <c r="N45" s="70" t="str">
        <f>N22</f>
        <v>Nom des groupes</v>
      </c>
      <c r="O45" s="70" t="str">
        <f t="shared" ref="O45:V45" si="47">O4</f>
        <v>Testo -30µg/L</v>
      </c>
      <c r="P45" s="70" t="str">
        <f t="shared" si="47"/>
        <v>Testo 30µg/L + EE2 -64ng/L</v>
      </c>
      <c r="Q45" s="70" t="str">
        <f t="shared" si="47"/>
        <v>Testo 30µg/L + FAD-10µg/L</v>
      </c>
      <c r="R45" s="70" t="str">
        <f t="shared" si="47"/>
        <v>estradiol-34ng/L + Testosterone</v>
      </c>
      <c r="S45" s="70" t="str">
        <f t="shared" si="47"/>
        <v>estradiol-68ng/L + Testosterone</v>
      </c>
      <c r="T45" s="70" t="str">
        <f t="shared" si="47"/>
        <v>estradiol-135ng/L + Testosterone</v>
      </c>
      <c r="U45" s="70" t="str">
        <f t="shared" si="47"/>
        <v>estradiol-270ng/L + Testosterone</v>
      </c>
      <c r="V45" s="70" t="str">
        <f t="shared" si="47"/>
        <v>estradiol-540ng/L + Testosterone</v>
      </c>
    </row>
    <row r="46" spans="1:22" x14ac:dyDescent="0.25">
      <c r="A46" s="8" t="s">
        <v>0</v>
      </c>
      <c r="B46" s="10">
        <f t="shared" ref="B46:H46" si="48">AVERAGE(B28:B43)</f>
        <v>9.1547375191493433E-2</v>
      </c>
      <c r="C46" s="10">
        <f t="shared" si="48"/>
        <v>6.2847471469069244E-2</v>
      </c>
      <c r="D46" s="10">
        <f t="shared" si="48"/>
        <v>9.0732160880972232E-2</v>
      </c>
      <c r="E46" s="10">
        <f t="shared" si="48"/>
        <v>0.15926512741582724</v>
      </c>
      <c r="F46" s="10">
        <f t="shared" si="48"/>
        <v>0.56551460544079091</v>
      </c>
      <c r="G46" s="10">
        <f t="shared" si="48"/>
        <v>1.2741069286382392</v>
      </c>
      <c r="H46" s="10">
        <f t="shared" si="48"/>
        <v>2.5516524451388718</v>
      </c>
      <c r="I46" s="10">
        <f>AVERAGE(I28:I43)</f>
        <v>6.703431063945206E-2</v>
      </c>
      <c r="J46" s="9">
        <f>AVERAGE(J28:J43)</f>
        <v>5.6960631485291749E-2</v>
      </c>
      <c r="K46" s="9">
        <f>AVERAGE(K28:K43)</f>
        <v>0.37381302972281316</v>
      </c>
      <c r="L46" s="9">
        <f t="shared" ref="L46:M46" si="49">AVERAGE(L28:L43)</f>
        <v>1.8456840537509238</v>
      </c>
      <c r="M46" s="9">
        <f t="shared" si="49"/>
        <v>2.137080225794183</v>
      </c>
      <c r="N46" s="8" t="s">
        <v>0</v>
      </c>
      <c r="O46" s="10">
        <f>AVERAGE(O28:O43)</f>
        <v>1.0000000000000002</v>
      </c>
      <c r="P46" s="10">
        <f>AVERAGE(P28:P43)</f>
        <v>1.4604109160412675</v>
      </c>
      <c r="Q46" s="10">
        <f>AVERAGE(Q28:Q43)</f>
        <v>7.4819259789555781E-2</v>
      </c>
      <c r="R46" s="10">
        <f>AVERAGE(R28:R43)</f>
        <v>1.199160311675048</v>
      </c>
      <c r="S46" s="10">
        <f t="shared" ref="S46:V46" si="50">AVERAGE(S28:S43)</f>
        <v>1.1502129899395137</v>
      </c>
      <c r="T46" s="10">
        <f t="shared" si="50"/>
        <v>1.9453024665185106</v>
      </c>
      <c r="U46" s="10">
        <f t="shared" si="50"/>
        <v>2.1708472138083628</v>
      </c>
      <c r="V46" s="10">
        <f t="shared" si="50"/>
        <v>2.3230487375796929</v>
      </c>
    </row>
    <row r="47" spans="1:22" x14ac:dyDescent="0.25">
      <c r="A47" s="8" t="s">
        <v>1</v>
      </c>
      <c r="B47" s="8">
        <f t="shared" ref="B47:K47" si="51">STDEV(B28:B43)</f>
        <v>8.6043814157607965E-2</v>
      </c>
      <c r="C47" s="8">
        <f t="shared" si="51"/>
        <v>5.2506150805685631E-2</v>
      </c>
      <c r="D47" s="8">
        <f t="shared" si="51"/>
        <v>8.478206592584793E-2</v>
      </c>
      <c r="E47" s="8">
        <f t="shared" si="51"/>
        <v>0.10796188175281511</v>
      </c>
      <c r="F47" s="8">
        <f t="shared" si="51"/>
        <v>0.41054250100840078</v>
      </c>
      <c r="G47" s="8">
        <f t="shared" si="51"/>
        <v>0.34827763647665427</v>
      </c>
      <c r="H47" s="8">
        <f t="shared" si="51"/>
        <v>0.68983375459184293</v>
      </c>
      <c r="I47" s="8">
        <f>STDEV(I28:I43)</f>
        <v>5.0735395633146094E-2</v>
      </c>
      <c r="J47" s="8">
        <f t="shared" si="51"/>
        <v>8.3933032999805091E-2</v>
      </c>
      <c r="K47" s="8">
        <f t="shared" si="51"/>
        <v>0.21331600026939357</v>
      </c>
      <c r="L47" s="8">
        <f t="shared" ref="L47:M47" si="52">STDEV(L28:L43)</f>
        <v>0.46185213977578354</v>
      </c>
      <c r="M47" s="8">
        <f t="shared" si="52"/>
        <v>0.95893306594993533</v>
      </c>
      <c r="N47" s="8" t="s">
        <v>1</v>
      </c>
      <c r="O47" s="8">
        <f>STDEV(O28:O43)</f>
        <v>0.36791533615056127</v>
      </c>
      <c r="P47" s="8">
        <f>STDEV(P28:P43)</f>
        <v>0.70947255653362307</v>
      </c>
      <c r="Q47" s="8">
        <f>STDEV(Q28:Q43)</f>
        <v>3.560595101235349E-2</v>
      </c>
      <c r="R47" s="8">
        <f>STDEV(R28:R43)</f>
        <v>0.26648562717562879</v>
      </c>
      <c r="S47" s="8">
        <f t="shared" ref="S47:V47" si="53">STDEV(S28:S43)</f>
        <v>0.70797065629428424</v>
      </c>
      <c r="T47" s="8">
        <f t="shared" si="53"/>
        <v>0.37128604853530872</v>
      </c>
      <c r="U47" s="8">
        <f t="shared" si="53"/>
        <v>0.5723957786332724</v>
      </c>
      <c r="V47" s="8">
        <f t="shared" si="53"/>
        <v>0.72460705607466436</v>
      </c>
    </row>
    <row r="48" spans="1:22" x14ac:dyDescent="0.25">
      <c r="A48" s="8" t="s">
        <v>2</v>
      </c>
      <c r="B48" s="8">
        <f t="shared" ref="B48:K48" si="54" xml:space="preserve"> B47/SQRT(COUNT(B28:B43))</f>
        <v>3.0421082234999824E-2</v>
      </c>
      <c r="C48" s="8">
        <f t="shared" si="54"/>
        <v>1.8563727644351907E-2</v>
      </c>
      <c r="D48" s="8">
        <f t="shared" si="54"/>
        <v>2.9974986869585999E-2</v>
      </c>
      <c r="E48" s="8">
        <f t="shared" si="54"/>
        <v>4.080575574178727E-2</v>
      </c>
      <c r="F48" s="8">
        <f t="shared" si="54"/>
        <v>0.1451486932141626</v>
      </c>
      <c r="G48" s="8">
        <f t="shared" si="54"/>
        <v>0.12313473924413275</v>
      </c>
      <c r="H48" s="8">
        <f t="shared" si="54"/>
        <v>0.24389306288163437</v>
      </c>
      <c r="I48" s="8">
        <f xml:space="preserve"> I47/SQRT(COUNT(I28:I43))</f>
        <v>1.7937671149189975E-2</v>
      </c>
      <c r="J48" s="8">
        <f t="shared" si="54"/>
        <v>3.1723704585837405E-2</v>
      </c>
      <c r="K48" s="8">
        <f t="shared" si="54"/>
        <v>7.5418595163039795E-2</v>
      </c>
      <c r="L48" s="8">
        <f t="shared" ref="L48:M48" si="55" xml:space="preserve"> L47/SQRT(COUNT(L28:L43))</f>
        <v>0.16328938997048686</v>
      </c>
      <c r="M48" s="8">
        <f t="shared" si="55"/>
        <v>0.339034036818603</v>
      </c>
      <c r="N48" s="8" t="s">
        <v>2</v>
      </c>
      <c r="O48" s="8">
        <f xml:space="preserve"> O47/SQRT(COUNT(O28:O43))</f>
        <v>9.1978834037640317E-2</v>
      </c>
      <c r="P48" s="8">
        <f xml:space="preserve"> P47/SQRT(COUNT(P28:P43))</f>
        <v>0.2508364278953405</v>
      </c>
      <c r="Q48" s="8">
        <f xml:space="preserve"> Q47/SQRT(COUNT(Q28:Q43))</f>
        <v>1.2588604705715585E-2</v>
      </c>
      <c r="R48" s="8">
        <f xml:space="preserve"> R47/SQRT(COUNT(R28:R43))</f>
        <v>9.4216897032318614E-2</v>
      </c>
      <c r="S48" s="8">
        <f t="shared" ref="S48:V48" si="56" xml:space="preserve"> S47/SQRT(COUNT(S28:S43))</f>
        <v>0.28902781013072071</v>
      </c>
      <c r="T48" s="8">
        <f t="shared" si="56"/>
        <v>0.13126944133963719</v>
      </c>
      <c r="U48" s="8">
        <f t="shared" si="56"/>
        <v>0.23367959809576525</v>
      </c>
      <c r="V48" s="8">
        <f t="shared" si="56"/>
        <v>0.25618728152300801</v>
      </c>
    </row>
    <row r="49" spans="1:22" s="1" customFormat="1" ht="15.75" thickBot="1" x14ac:dyDescent="0.3">
      <c r="A49" s="8"/>
      <c r="B49" s="8"/>
      <c r="C49" s="8"/>
      <c r="D49" s="8"/>
      <c r="E49" s="8"/>
      <c r="F49" s="8"/>
      <c r="G49" s="8"/>
      <c r="H49" s="8"/>
      <c r="I49" s="8"/>
      <c r="J49" s="8"/>
      <c r="K49" s="8"/>
      <c r="L49" s="8"/>
      <c r="M49" s="8"/>
      <c r="N49" s="8"/>
      <c r="O49" s="8"/>
      <c r="P49" s="8"/>
      <c r="Q49" s="8"/>
      <c r="R49" s="8"/>
      <c r="S49" s="8"/>
      <c r="T49" s="8"/>
      <c r="U49" s="8"/>
      <c r="V49" s="8"/>
    </row>
    <row r="50" spans="1:22" ht="27" thickBot="1" x14ac:dyDescent="0.45">
      <c r="A50" s="220" t="s">
        <v>38</v>
      </c>
      <c r="B50" s="221"/>
      <c r="C50" s="221"/>
      <c r="D50" s="221"/>
      <c r="E50" s="221"/>
      <c r="F50" s="221"/>
      <c r="G50" s="221"/>
      <c r="H50" s="221"/>
      <c r="I50" s="221"/>
      <c r="J50" s="221"/>
      <c r="K50" s="221"/>
      <c r="L50" s="221"/>
      <c r="M50" s="221"/>
      <c r="N50" s="221"/>
      <c r="O50" s="221"/>
      <c r="P50" s="221"/>
      <c r="Q50" s="221"/>
      <c r="R50" s="221"/>
      <c r="S50" s="221"/>
      <c r="T50" s="221"/>
      <c r="U50" s="221"/>
      <c r="V50" s="221"/>
    </row>
    <row r="51" spans="1:22" ht="15.75" thickBot="1" x14ac:dyDescent="0.3">
      <c r="A51"/>
      <c r="B51"/>
      <c r="C51"/>
      <c r="D51"/>
      <c r="E51"/>
      <c r="F51"/>
      <c r="G51"/>
      <c r="H51"/>
      <c r="I51"/>
      <c r="J51"/>
      <c r="K51"/>
      <c r="L51"/>
      <c r="M51"/>
      <c r="S51"/>
      <c r="T51"/>
      <c r="U51"/>
      <c r="V51"/>
    </row>
    <row r="52" spans="1:22" x14ac:dyDescent="0.25">
      <c r="A52" s="45" t="str">
        <f t="shared" ref="A52:H52" si="57">A27</f>
        <v>Noms des groupes</v>
      </c>
      <c r="B52" s="46" t="str">
        <f t="shared" si="57"/>
        <v>Témoin solvant</v>
      </c>
      <c r="C52" s="46" t="str">
        <f t="shared" si="57"/>
        <v>EE2-33.8ng/L</v>
      </c>
      <c r="D52" s="46" t="str">
        <f t="shared" si="57"/>
        <v>EE2-50.6ng/L</v>
      </c>
      <c r="E52" s="46" t="str">
        <f t="shared" si="57"/>
        <v>EE2-76ng/L</v>
      </c>
      <c r="F52" s="46" t="str">
        <f t="shared" si="57"/>
        <v>EE2-114ng/L</v>
      </c>
      <c r="G52" s="46" t="str">
        <f t="shared" si="57"/>
        <v>EE2-170.9ng/L</v>
      </c>
      <c r="H52" s="46" t="str">
        <f t="shared" si="57"/>
        <v>EE2-488ng/L</v>
      </c>
      <c r="I52" s="46" t="str">
        <f>I4</f>
        <v>estradiol 34ng/L</v>
      </c>
      <c r="J52" s="46" t="str">
        <f>J4</f>
        <v>estradiol 68ng/L</v>
      </c>
      <c r="K52" s="46" t="str">
        <f>K27</f>
        <v>estradiol 135ng/L</v>
      </c>
      <c r="L52" s="46" t="str">
        <f t="shared" ref="L52:M52" si="58">L27</f>
        <v>estradiol 270ng/L</v>
      </c>
      <c r="M52" s="46" t="str">
        <f t="shared" si="58"/>
        <v>estradiol 540ng/L</v>
      </c>
      <c r="N52" s="47"/>
      <c r="O52" s="46" t="str">
        <f>O27</f>
        <v>Testo -30µg/L</v>
      </c>
      <c r="P52" s="46" t="str">
        <f>P27</f>
        <v>Testo 30µg/L + EE2 -64ng/L</v>
      </c>
      <c r="Q52" s="46" t="str">
        <f>Q27</f>
        <v>Testo 30µg/L + FAD-10µg/L</v>
      </c>
      <c r="R52" s="46" t="str">
        <f>R27</f>
        <v>estradiol-34ng/L + Testosterone</v>
      </c>
      <c r="S52" s="46" t="str">
        <f t="shared" ref="S52:V52" si="59">S27</f>
        <v>estradiol-68ng/L + Testosterone</v>
      </c>
      <c r="T52" s="46" t="str">
        <f t="shared" si="59"/>
        <v>estradiol-135ng/L + Testosterone</v>
      </c>
      <c r="U52" s="46" t="str">
        <f t="shared" si="59"/>
        <v>estradiol-270ng/L + Testosterone</v>
      </c>
      <c r="V52" s="46" t="str">
        <f t="shared" si="59"/>
        <v>estradiol-540ng/L + Testosterone</v>
      </c>
    </row>
    <row r="53" spans="1:22" s="3" customFormat="1" x14ac:dyDescent="0.25">
      <c r="A53" s="61" t="s">
        <v>32</v>
      </c>
      <c r="B53" s="141">
        <f t="shared" ref="B53:M53" si="60">B46</f>
        <v>9.1547375191493433E-2</v>
      </c>
      <c r="C53" s="141">
        <f t="shared" si="60"/>
        <v>6.2847471469069244E-2</v>
      </c>
      <c r="D53" s="141">
        <f t="shared" si="60"/>
        <v>9.0732160880972232E-2</v>
      </c>
      <c r="E53" s="141">
        <f t="shared" si="60"/>
        <v>0.15926512741582724</v>
      </c>
      <c r="F53" s="141">
        <f t="shared" si="60"/>
        <v>0.56551460544079091</v>
      </c>
      <c r="G53" s="141">
        <f t="shared" si="60"/>
        <v>1.2741069286382392</v>
      </c>
      <c r="H53" s="141">
        <f t="shared" si="60"/>
        <v>2.5516524451388718</v>
      </c>
      <c r="I53" s="141">
        <f t="shared" si="60"/>
        <v>6.703431063945206E-2</v>
      </c>
      <c r="J53" s="141">
        <f t="shared" si="60"/>
        <v>5.6960631485291749E-2</v>
      </c>
      <c r="K53" s="141">
        <f t="shared" si="60"/>
        <v>0.37381302972281316</v>
      </c>
      <c r="L53" s="141">
        <f t="shared" si="60"/>
        <v>1.8456840537509238</v>
      </c>
      <c r="M53" s="141">
        <f t="shared" si="60"/>
        <v>2.137080225794183</v>
      </c>
      <c r="N53" s="141"/>
      <c r="O53" s="141">
        <f t="shared" ref="O53:V53" si="61">O46</f>
        <v>1.0000000000000002</v>
      </c>
      <c r="P53" s="141">
        <f t="shared" si="61"/>
        <v>1.4604109160412675</v>
      </c>
      <c r="Q53" s="141">
        <f t="shared" si="61"/>
        <v>7.4819259789555781E-2</v>
      </c>
      <c r="R53" s="141">
        <f t="shared" si="61"/>
        <v>1.199160311675048</v>
      </c>
      <c r="S53" s="141">
        <f t="shared" si="61"/>
        <v>1.1502129899395137</v>
      </c>
      <c r="T53" s="141">
        <f t="shared" si="61"/>
        <v>1.9453024665185106</v>
      </c>
      <c r="U53" s="141">
        <f t="shared" si="61"/>
        <v>2.1708472138083628</v>
      </c>
      <c r="V53" s="141">
        <f t="shared" si="61"/>
        <v>2.3230487375796929</v>
      </c>
    </row>
    <row r="54" spans="1:22" s="3" customFormat="1" x14ac:dyDescent="0.25">
      <c r="A54" s="61" t="s">
        <v>2</v>
      </c>
      <c r="B54" s="141">
        <f t="shared" ref="B54:M54" si="62">B48</f>
        <v>3.0421082234999824E-2</v>
      </c>
      <c r="C54" s="141">
        <f t="shared" si="62"/>
        <v>1.8563727644351907E-2</v>
      </c>
      <c r="D54" s="141">
        <f t="shared" si="62"/>
        <v>2.9974986869585999E-2</v>
      </c>
      <c r="E54" s="141">
        <f t="shared" si="62"/>
        <v>4.080575574178727E-2</v>
      </c>
      <c r="F54" s="141">
        <f t="shared" si="62"/>
        <v>0.1451486932141626</v>
      </c>
      <c r="G54" s="141">
        <f t="shared" si="62"/>
        <v>0.12313473924413275</v>
      </c>
      <c r="H54" s="141">
        <f t="shared" si="62"/>
        <v>0.24389306288163437</v>
      </c>
      <c r="I54" s="141">
        <f t="shared" si="62"/>
        <v>1.7937671149189975E-2</v>
      </c>
      <c r="J54" s="141">
        <f t="shared" si="62"/>
        <v>3.1723704585837405E-2</v>
      </c>
      <c r="K54" s="141">
        <f t="shared" si="62"/>
        <v>7.5418595163039795E-2</v>
      </c>
      <c r="L54" s="141">
        <f t="shared" si="62"/>
        <v>0.16328938997048686</v>
      </c>
      <c r="M54" s="141">
        <f t="shared" si="62"/>
        <v>0.339034036818603</v>
      </c>
      <c r="N54" s="141"/>
      <c r="O54" s="141">
        <f t="shared" ref="O54:V54" si="63">O48</f>
        <v>9.1978834037640317E-2</v>
      </c>
      <c r="P54" s="141">
        <f t="shared" si="63"/>
        <v>0.2508364278953405</v>
      </c>
      <c r="Q54" s="141">
        <f t="shared" si="63"/>
        <v>1.2588604705715585E-2</v>
      </c>
      <c r="R54" s="141">
        <f t="shared" si="63"/>
        <v>9.4216897032318614E-2</v>
      </c>
      <c r="S54" s="141">
        <f t="shared" si="63"/>
        <v>0.28902781013072071</v>
      </c>
      <c r="T54" s="141">
        <f t="shared" si="63"/>
        <v>0.13126944133963719</v>
      </c>
      <c r="U54" s="141">
        <f t="shared" si="63"/>
        <v>0.23367959809576525</v>
      </c>
      <c r="V54" s="141">
        <f t="shared" si="63"/>
        <v>0.25618728152300801</v>
      </c>
    </row>
    <row r="55" spans="1:22" s="3" customFormat="1" x14ac:dyDescent="0.25">
      <c r="A55" s="61" t="s">
        <v>79</v>
      </c>
      <c r="B55" s="141">
        <f t="shared" ref="B55:M55" si="64">(B53*100/$B$53)-100</f>
        <v>0</v>
      </c>
      <c r="C55" s="141">
        <f t="shared" si="64"/>
        <v>-31.349783281488314</v>
      </c>
      <c r="D55" s="141">
        <f t="shared" si="64"/>
        <v>-0.89048354342872926</v>
      </c>
      <c r="E55" s="141">
        <f t="shared" si="64"/>
        <v>73.97017345684219</v>
      </c>
      <c r="F55" s="141">
        <f t="shared" si="64"/>
        <v>517.7289127709895</v>
      </c>
      <c r="G55" s="141">
        <f t="shared" si="64"/>
        <v>1291.7459959645341</v>
      </c>
      <c r="H55" s="141">
        <f t="shared" si="64"/>
        <v>2687.2480666993183</v>
      </c>
      <c r="I55" s="141">
        <f t="shared" si="64"/>
        <v>-26.776370705076346</v>
      </c>
      <c r="J55" s="141">
        <f t="shared" si="64"/>
        <v>-37.780158779926957</v>
      </c>
      <c r="K55" s="141">
        <f t="shared" si="64"/>
        <v>308.32741402021958</v>
      </c>
      <c r="L55" s="141">
        <f t="shared" si="64"/>
        <v>1916.0971845344882</v>
      </c>
      <c r="M55" s="141">
        <f t="shared" si="64"/>
        <v>2234.3981422995075</v>
      </c>
      <c r="N55" s="141"/>
      <c r="O55" s="141">
        <f>(O53*100/$O$53)-100</f>
        <v>0</v>
      </c>
      <c r="P55" s="141">
        <f t="shared" ref="P55:V55" si="65">(P53*100/$O$53)-100</f>
        <v>46.041091604126734</v>
      </c>
      <c r="Q55" s="141">
        <f t="shared" si="65"/>
        <v>-92.518074021044427</v>
      </c>
      <c r="R55" s="141">
        <f t="shared" si="65"/>
        <v>19.916031167504769</v>
      </c>
      <c r="S55" s="141">
        <f t="shared" si="65"/>
        <v>15.021298993951348</v>
      </c>
      <c r="T55" s="141">
        <f t="shared" si="65"/>
        <v>94.530246651851002</v>
      </c>
      <c r="U55" s="141">
        <f t="shared" si="65"/>
        <v>117.08472138083621</v>
      </c>
      <c r="V55" s="141">
        <f t="shared" si="65"/>
        <v>132.30487375796923</v>
      </c>
    </row>
    <row r="56" spans="1:22" s="3" customFormat="1" x14ac:dyDescent="0.25">
      <c r="A56" s="61" t="s">
        <v>81</v>
      </c>
      <c r="B56" s="141" t="e">
        <f ca="1">[1]!SWTEST(B28:B43)</f>
        <v>#NAME?</v>
      </c>
      <c r="C56" s="141" t="e">
        <f ca="1">[1]!SWTEST(C28:C43)</f>
        <v>#NAME?</v>
      </c>
      <c r="D56" s="141" t="e">
        <f ca="1">[1]!SWTEST(D28:D43)</f>
        <v>#NAME?</v>
      </c>
      <c r="E56" s="141" t="e">
        <f ca="1">[1]!SWTEST(E28:E43)</f>
        <v>#NAME?</v>
      </c>
      <c r="F56" s="141" t="e">
        <f ca="1">[1]!SWTEST(F28:F43)</f>
        <v>#NAME?</v>
      </c>
      <c r="G56" s="141" t="e">
        <f ca="1">[1]!SWTEST(G28:G43)</f>
        <v>#NAME?</v>
      </c>
      <c r="H56" s="141" t="e">
        <f ca="1">[1]!SWTEST(H28:H43)</f>
        <v>#NAME?</v>
      </c>
      <c r="I56" s="141" t="e">
        <f ca="1">[1]!SWTEST(I28:I43)</f>
        <v>#NAME?</v>
      </c>
      <c r="J56" s="141" t="e">
        <f ca="1">[1]!SWTEST(J28:J43)</f>
        <v>#NAME?</v>
      </c>
      <c r="K56" s="141" t="e">
        <f ca="1">[1]!SWTEST(K28:K43)</f>
        <v>#NAME?</v>
      </c>
      <c r="L56" s="141" t="e">
        <f ca="1">[1]!SWTEST(L28:L43)</f>
        <v>#NAME?</v>
      </c>
      <c r="M56" s="141" t="e">
        <f ca="1">[1]!SWTEST(M28:M43)</f>
        <v>#NAME?</v>
      </c>
      <c r="N56" s="141"/>
      <c r="O56" s="141" t="e">
        <f ca="1">[1]!SWTEST(O28:O43)</f>
        <v>#NAME?</v>
      </c>
      <c r="P56" s="141" t="e">
        <f ca="1">[1]!SWTEST(P28:P43)</f>
        <v>#NAME?</v>
      </c>
      <c r="Q56" s="141" t="e">
        <f ca="1">[1]!SWTEST(Q28:Q43)</f>
        <v>#NAME?</v>
      </c>
      <c r="R56" s="141" t="e">
        <f ca="1">[1]!SWTEST(R28:R43)</f>
        <v>#NAME?</v>
      </c>
      <c r="S56" s="141" t="e">
        <f ca="1">[1]!SWTEST(S28:S43)</f>
        <v>#NAME?</v>
      </c>
      <c r="T56" s="141" t="e">
        <f ca="1">[1]!SWTEST(T28:T43)</f>
        <v>#NAME?</v>
      </c>
      <c r="U56" s="141" t="e">
        <f ca="1">[1]!SWTEST(U28:U43)</f>
        <v>#NAME?</v>
      </c>
      <c r="V56" s="141" t="e">
        <f ca="1">[1]!SWTEST(V28:V43)</f>
        <v>#NAME?</v>
      </c>
    </row>
    <row r="57" spans="1:22" s="3" customFormat="1" x14ac:dyDescent="0.25">
      <c r="A57" s="61" t="s">
        <v>85</v>
      </c>
      <c r="B57" s="141" t="e">
        <f t="shared" ref="B57:M57" ca="1" si="66">IF(B56&gt;0.05,"Oui","Non")</f>
        <v>#NAME?</v>
      </c>
      <c r="C57" s="141" t="e">
        <f t="shared" ca="1" si="66"/>
        <v>#NAME?</v>
      </c>
      <c r="D57" s="141" t="e">
        <f t="shared" ca="1" si="66"/>
        <v>#NAME?</v>
      </c>
      <c r="E57" s="141" t="e">
        <f t="shared" ca="1" si="66"/>
        <v>#NAME?</v>
      </c>
      <c r="F57" s="141" t="e">
        <f t="shared" ca="1" si="66"/>
        <v>#NAME?</v>
      </c>
      <c r="G57" s="141" t="e">
        <f t="shared" ca="1" si="66"/>
        <v>#NAME?</v>
      </c>
      <c r="H57" s="141" t="e">
        <f t="shared" ca="1" si="66"/>
        <v>#NAME?</v>
      </c>
      <c r="I57" s="141" t="e">
        <f t="shared" ca="1" si="66"/>
        <v>#NAME?</v>
      </c>
      <c r="J57" s="141" t="e">
        <f t="shared" ca="1" si="66"/>
        <v>#NAME?</v>
      </c>
      <c r="K57" s="141" t="e">
        <f t="shared" ca="1" si="66"/>
        <v>#NAME?</v>
      </c>
      <c r="L57" s="141" t="e">
        <f t="shared" ca="1" si="66"/>
        <v>#NAME?</v>
      </c>
      <c r="M57" s="141" t="e">
        <f t="shared" ca="1" si="66"/>
        <v>#NAME?</v>
      </c>
      <c r="N57" s="141"/>
      <c r="O57" s="141" t="e">
        <f t="shared" ref="O57:V57" ca="1" si="67">IF(O56&gt;0.05,"Oui","Non")</f>
        <v>#NAME?</v>
      </c>
      <c r="P57" s="141" t="e">
        <f t="shared" ca="1" si="67"/>
        <v>#NAME?</v>
      </c>
      <c r="Q57" s="141" t="e">
        <f t="shared" ca="1" si="67"/>
        <v>#NAME?</v>
      </c>
      <c r="R57" s="141" t="e">
        <f t="shared" ca="1" si="67"/>
        <v>#NAME?</v>
      </c>
      <c r="S57" s="141" t="e">
        <f t="shared" ca="1" si="67"/>
        <v>#NAME?</v>
      </c>
      <c r="T57" s="141" t="e">
        <f t="shared" ca="1" si="67"/>
        <v>#NAME?</v>
      </c>
      <c r="U57" s="141" t="e">
        <f t="shared" ca="1" si="67"/>
        <v>#NAME?</v>
      </c>
      <c r="V57" s="141" t="e">
        <f t="shared" ca="1" si="67"/>
        <v>#NAME?</v>
      </c>
    </row>
    <row r="58" spans="1:22" s="3" customFormat="1" x14ac:dyDescent="0.25">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25">
      <c r="A59" s="61" t="s">
        <v>82</v>
      </c>
      <c r="B59" s="150"/>
      <c r="C59" s="150" t="s">
        <v>4433</v>
      </c>
      <c r="D59" s="150" t="s">
        <v>4433</v>
      </c>
      <c r="E59" s="150" t="s">
        <v>4433</v>
      </c>
      <c r="F59" s="150" t="s">
        <v>4433</v>
      </c>
      <c r="G59" s="150" t="s">
        <v>4433</v>
      </c>
      <c r="H59" s="150" t="s">
        <v>4433</v>
      </c>
      <c r="I59" s="150" t="s">
        <v>4433</v>
      </c>
      <c r="J59" s="150" t="s">
        <v>4433</v>
      </c>
      <c r="K59" s="150" t="s">
        <v>4433</v>
      </c>
      <c r="L59" s="150" t="s">
        <v>4433</v>
      </c>
      <c r="M59" s="150" t="s">
        <v>4433</v>
      </c>
      <c r="N59" s="150"/>
      <c r="O59" s="150" t="e">
        <f ca="1">IF($B57="Non",IF(O$57="Non","Mann Withney",IF(O$57="Oui","Mann Withney","")),IF($B$57="Oui",IF(O$57="Oui","T-Test Welch",IF(O$57="Non","Mann Withney",""))))</f>
        <v>#NAME?</v>
      </c>
      <c r="P59" s="150" t="e">
        <f ca="1">IF($O57="Non",IF(P$57="Non","Mann Withney",IF(P$57="Oui","Mann Withney","")),IF($O$57="Oui",IF(P$57="Oui","T-Test Welch",IF(P$57="Non","Mann Withney",""))))</f>
        <v>#NAME?</v>
      </c>
      <c r="Q59" s="150" t="e">
        <f t="shared" ref="Q59" ca="1" si="68">IF($O57="Non",IF(Q$57="Non","Mann Withney",IF(Q$57="Oui","Mann Withney","")),IF($O$57="Oui",IF(Q$57="Oui","T-Test Welch",IF(Q$57="Non","Mann Withney",""))))</f>
        <v>#NAME?</v>
      </c>
      <c r="R59" s="150" t="s">
        <v>4434</v>
      </c>
      <c r="S59" s="150" t="s">
        <v>4434</v>
      </c>
      <c r="T59" s="150" t="s">
        <v>4434</v>
      </c>
      <c r="U59" s="150" t="s">
        <v>4434</v>
      </c>
      <c r="V59" s="150" t="s">
        <v>4434</v>
      </c>
    </row>
    <row r="60" spans="1:22" s="3" customFormat="1" ht="15.75" x14ac:dyDescent="0.25">
      <c r="A60" s="61" t="s">
        <v>83</v>
      </c>
      <c r="B60" s="151"/>
      <c r="C60" s="196">
        <v>0.99990000000000001</v>
      </c>
      <c r="D60" s="196">
        <v>0.99990000000000001</v>
      </c>
      <c r="E60" s="196">
        <v>0.99990000000000001</v>
      </c>
      <c r="F60" s="196">
        <v>0.26469999999999999</v>
      </c>
      <c r="G60" s="196">
        <v>3.2000000000000002E-3</v>
      </c>
      <c r="H60" s="196">
        <v>1E-4</v>
      </c>
      <c r="I60" s="196">
        <v>0.99990000000000001</v>
      </c>
      <c r="J60" s="196">
        <v>0.99990000000000001</v>
      </c>
      <c r="K60" s="196">
        <v>0.47620000000000001</v>
      </c>
      <c r="L60" s="196">
        <v>2.7000000000000001E-3</v>
      </c>
      <c r="M60" s="196">
        <v>6.9999999999999999E-4</v>
      </c>
      <c r="N60" s="151"/>
      <c r="O60" s="196">
        <v>1E-4</v>
      </c>
      <c r="P60" s="196">
        <v>0.1192</v>
      </c>
      <c r="Q60" s="196">
        <v>1E-4</v>
      </c>
      <c r="R60" s="196">
        <v>0.8196</v>
      </c>
      <c r="S60" s="196">
        <v>0.9536</v>
      </c>
      <c r="T60" s="196">
        <v>2.9999999999999997E-4</v>
      </c>
      <c r="U60" s="196">
        <v>1E-4</v>
      </c>
      <c r="V60" s="196">
        <v>1E-4</v>
      </c>
    </row>
    <row r="61" spans="1:22" s="3" customFormat="1" ht="15.75" thickBot="1" x14ac:dyDescent="0.3">
      <c r="A61" s="62" t="s">
        <v>84</v>
      </c>
      <c r="B61" s="142"/>
      <c r="C61" s="142" t="str">
        <f t="shared" ref="C61:M61" si="69">IF(C60&gt;0.05,"NS",IF(C60&gt;0.01,"*",IF(C60&gt;0.001,"**","***")))</f>
        <v>NS</v>
      </c>
      <c r="D61" s="142" t="str">
        <f t="shared" si="69"/>
        <v>NS</v>
      </c>
      <c r="E61" s="142" t="str">
        <f t="shared" si="69"/>
        <v>NS</v>
      </c>
      <c r="F61" s="142" t="str">
        <f t="shared" si="69"/>
        <v>NS</v>
      </c>
      <c r="G61" s="142" t="str">
        <f t="shared" si="69"/>
        <v>**</v>
      </c>
      <c r="H61" s="142" t="str">
        <f t="shared" si="69"/>
        <v>***</v>
      </c>
      <c r="I61" s="142" t="str">
        <f t="shared" si="69"/>
        <v>NS</v>
      </c>
      <c r="J61" s="142" t="str">
        <f t="shared" si="69"/>
        <v>NS</v>
      </c>
      <c r="K61" s="142" t="str">
        <f t="shared" si="69"/>
        <v>NS</v>
      </c>
      <c r="L61" s="142" t="str">
        <f t="shared" si="69"/>
        <v>**</v>
      </c>
      <c r="M61" s="142" t="str">
        <f t="shared" si="69"/>
        <v>***</v>
      </c>
      <c r="N61" s="142"/>
      <c r="O61" s="142" t="str">
        <f>IF(O60&gt;0.05,"NS",IF(O60&gt;0.01,"*",IF(O60&gt;0.001,"**","***")))</f>
        <v>***</v>
      </c>
      <c r="P61" s="142" t="str">
        <f>IF(P60&gt;0.05,"NS",IF(P60&gt;0.01,"*",IF(P60&gt;0.001,"**","***")))</f>
        <v>NS</v>
      </c>
      <c r="Q61" s="142" t="str">
        <f t="shared" ref="Q61" si="70">IF(Q60&gt;0.05,"NS",IF(Q60&gt;0.01,"*",IF(Q60&gt;0.001,"**","***")))</f>
        <v>***</v>
      </c>
      <c r="R61" s="142" t="str">
        <f t="shared" ref="R61" si="71">IF(R60&gt;0.05,"NS",IF(R60&gt;0.01,"*",IF(R60&gt;0.001,"**","***")))</f>
        <v>NS</v>
      </c>
      <c r="S61" s="142" t="str">
        <f t="shared" ref="S61" si="72">IF(S60&gt;0.05,"NS",IF(S60&gt;0.01,"*",IF(S60&gt;0.001,"**","***")))</f>
        <v>NS</v>
      </c>
      <c r="T61" s="142" t="str">
        <f t="shared" ref="T61" si="73">IF(T60&gt;0.05,"NS",IF(T60&gt;0.01,"*",IF(T60&gt;0.001,"**","***")))</f>
        <v>***</v>
      </c>
      <c r="U61" s="142" t="str">
        <f t="shared" ref="U61" si="74">IF(U60&gt;0.05,"NS",IF(U60&gt;0.01,"*",IF(U60&gt;0.001,"**","***")))</f>
        <v>***</v>
      </c>
      <c r="V61" s="142" t="str">
        <f t="shared" ref="V61" si="75">IF(V60&gt;0.05,"NS",IF(V60&gt;0.01,"*",IF(V60&gt;0.001,"**","***")))</f>
        <v>***</v>
      </c>
    </row>
    <row r="63" spans="1:22" x14ac:dyDescent="0.25">
      <c r="A63" s="2" t="s">
        <v>39</v>
      </c>
    </row>
    <row r="64" spans="1:22" x14ac:dyDescent="0.25">
      <c r="A64" s="1" t="s">
        <v>23</v>
      </c>
      <c r="B64" s="1">
        <f>B46+(3*B47)</f>
        <v>0.3496788176643173</v>
      </c>
    </row>
    <row r="65" spans="1:22" x14ac:dyDescent="0.25">
      <c r="A65" s="1" t="s">
        <v>24</v>
      </c>
      <c r="B65" s="1">
        <f>B46+(10*B47)</f>
        <v>0.95198551676757315</v>
      </c>
    </row>
    <row r="66" spans="1:22" ht="15.75" thickBot="1" x14ac:dyDescent="0.3"/>
    <row r="67" spans="1:22" s="1" customFormat="1" ht="27" thickBot="1" x14ac:dyDescent="0.45">
      <c r="A67" s="220" t="s">
        <v>52</v>
      </c>
      <c r="B67" s="221"/>
      <c r="C67" s="221"/>
      <c r="D67" s="221"/>
      <c r="E67" s="221"/>
      <c r="F67" s="221"/>
      <c r="G67" s="221"/>
      <c r="H67" s="221"/>
      <c r="I67" s="221"/>
      <c r="J67" s="221"/>
      <c r="K67" s="221"/>
      <c r="L67" s="221"/>
      <c r="M67" s="221"/>
      <c r="N67" s="221"/>
      <c r="O67" s="221"/>
      <c r="P67" s="221"/>
      <c r="Q67" s="221"/>
      <c r="R67" s="221"/>
      <c r="S67" s="221"/>
      <c r="T67" s="221"/>
      <c r="U67" s="221"/>
      <c r="V67" s="221"/>
    </row>
    <row r="68" spans="1:22" ht="16.5" x14ac:dyDescent="0.25">
      <c r="A68" s="12"/>
      <c r="B68" s="12"/>
      <c r="C68" s="12"/>
      <c r="D68" s="12"/>
      <c r="E68" s="12"/>
      <c r="F68" s="12"/>
      <c r="J68" s="196"/>
      <c r="N68" s="12"/>
      <c r="O68" s="12"/>
      <c r="P68" s="12"/>
      <c r="Q68" s="12"/>
      <c r="R68" s="12"/>
      <c r="S68" s="12"/>
      <c r="T68" s="12"/>
      <c r="U68" s="12"/>
      <c r="V68" s="12"/>
    </row>
    <row r="69" spans="1:22" ht="16.5" x14ac:dyDescent="0.25">
      <c r="A69" s="12"/>
      <c r="B69" s="12"/>
      <c r="C69" s="12"/>
      <c r="D69" s="12"/>
      <c r="E69" s="12"/>
      <c r="F69" s="12"/>
      <c r="J69" s="196"/>
      <c r="N69" s="12"/>
      <c r="O69" s="12"/>
      <c r="P69" s="12"/>
      <c r="Q69" s="12"/>
      <c r="R69" s="196" t="s">
        <v>3082</v>
      </c>
      <c r="S69" s="12"/>
      <c r="T69" s="12"/>
      <c r="U69" s="12"/>
      <c r="V69" s="12"/>
    </row>
    <row r="70" spans="1:22" ht="16.5" x14ac:dyDescent="0.25">
      <c r="A70" s="12"/>
      <c r="B70" s="12"/>
      <c r="C70" s="12"/>
      <c r="D70" s="12"/>
      <c r="E70" s="12"/>
      <c r="F70" s="12"/>
      <c r="J70" s="196"/>
      <c r="N70" s="12"/>
      <c r="O70" s="12"/>
      <c r="P70" s="12"/>
      <c r="Q70" s="12"/>
      <c r="R70" s="196" t="s">
        <v>112</v>
      </c>
      <c r="S70" s="12"/>
      <c r="T70" s="12"/>
      <c r="U70" s="12"/>
      <c r="V70" s="12"/>
    </row>
    <row r="71" spans="1:22" ht="16.5" x14ac:dyDescent="0.25">
      <c r="A71" s="12"/>
      <c r="B71" s="12"/>
      <c r="C71" s="12"/>
      <c r="D71" s="12"/>
      <c r="E71" s="12"/>
      <c r="F71" s="196"/>
      <c r="J71" s="196"/>
      <c r="N71" s="12"/>
      <c r="O71" s="12"/>
      <c r="P71" s="12"/>
      <c r="Q71" s="12"/>
      <c r="R71" s="196" t="s">
        <v>112</v>
      </c>
      <c r="S71" s="12"/>
      <c r="T71" s="12"/>
      <c r="U71" s="12"/>
      <c r="V71" s="12"/>
    </row>
    <row r="72" spans="1:22" ht="16.5" x14ac:dyDescent="0.25">
      <c r="A72" s="12"/>
      <c r="B72" s="12"/>
      <c r="C72" s="12"/>
      <c r="D72" s="12"/>
      <c r="E72" s="12"/>
      <c r="F72" s="196"/>
      <c r="J72" s="196"/>
      <c r="N72" s="12"/>
      <c r="O72" s="12"/>
      <c r="P72" s="12"/>
      <c r="Q72" s="12"/>
      <c r="R72" s="196" t="s">
        <v>112</v>
      </c>
      <c r="S72" s="12"/>
      <c r="T72" s="12"/>
      <c r="U72" s="12"/>
      <c r="V72" s="12"/>
    </row>
    <row r="73" spans="1:22" ht="16.5" x14ac:dyDescent="0.25">
      <c r="A73" s="12"/>
      <c r="B73" s="12"/>
      <c r="C73" s="12"/>
      <c r="D73" s="12"/>
      <c r="E73" s="12"/>
      <c r="F73" s="196"/>
      <c r="N73" s="12"/>
      <c r="O73" s="12"/>
      <c r="P73" s="12"/>
      <c r="Q73" s="12"/>
      <c r="R73" s="196" t="s">
        <v>112</v>
      </c>
      <c r="S73" s="12"/>
      <c r="T73" s="12"/>
      <c r="U73" s="12"/>
      <c r="V73" s="12"/>
    </row>
    <row r="74" spans="1:22" ht="16.5" x14ac:dyDescent="0.25">
      <c r="A74" s="12"/>
      <c r="B74" s="12"/>
      <c r="C74" s="12"/>
      <c r="D74" s="12"/>
      <c r="E74" s="12"/>
      <c r="F74" s="196"/>
      <c r="N74" s="12"/>
      <c r="O74" s="12"/>
      <c r="P74" s="12"/>
      <c r="Q74" s="12"/>
      <c r="R74" s="12"/>
      <c r="S74" s="12"/>
      <c r="T74" s="12"/>
      <c r="U74" s="12"/>
      <c r="V74" s="12"/>
    </row>
    <row r="75" spans="1:22" ht="15.75" x14ac:dyDescent="0.25">
      <c r="F75" s="196"/>
    </row>
    <row r="76" spans="1:22" ht="15.75" x14ac:dyDescent="0.25">
      <c r="F76" s="196"/>
      <c r="R76" t="s">
        <v>3082</v>
      </c>
    </row>
  </sheetData>
  <protectedRanges>
    <protectedRange sqref="O51:V51" name="Plage2"/>
    <protectedRange sqref="R5:V21" name="Plage1"/>
    <protectedRange sqref="B51:J51" name="Plage2_1"/>
    <protectedRange sqref="O5:O21 J5:J12 B13:J21" name="Plage1_1"/>
    <protectedRange sqref="B5:I12" name="Plage1_1_1"/>
  </protectedRanges>
  <mergeCells count="9">
    <mergeCell ref="A1:V1"/>
    <mergeCell ref="A67:V67"/>
    <mergeCell ref="A50:V50"/>
    <mergeCell ref="A5:A20"/>
    <mergeCell ref="A28:A43"/>
    <mergeCell ref="B3:M3"/>
    <mergeCell ref="B26:M26"/>
    <mergeCell ref="O26:V26"/>
    <mergeCell ref="O3:V3"/>
  </mergeCells>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N1531"/>
  <sheetViews>
    <sheetView showGridLines="0" topLeftCell="P1" zoomScale="80" zoomScaleNormal="80" workbookViewId="0">
      <selection activeCell="AB5" sqref="AB5:AF12"/>
    </sheetView>
  </sheetViews>
  <sheetFormatPr defaultColWidth="11.42578125" defaultRowHeight="15" x14ac:dyDescent="0.25"/>
  <cols>
    <col min="1" max="2" width="15" style="1" customWidth="1"/>
    <col min="3" max="3" width="25.42578125" style="1" customWidth="1"/>
    <col min="4" max="4" width="14" style="1" customWidth="1"/>
    <col min="5" max="5" width="21.140625" style="1" customWidth="1"/>
    <col min="6" max="6" width="11.42578125" style="1"/>
    <col min="7" max="7" width="21.42578125" style="1" customWidth="1"/>
    <col min="8" max="8" width="12.28515625" style="1" customWidth="1"/>
    <col min="9" max="9" width="17.140625" style="1" customWidth="1"/>
    <col min="10" max="10" width="11.42578125" style="1"/>
    <col min="11" max="11" width="37.42578125" style="1" bestFit="1" customWidth="1"/>
    <col min="12" max="12" width="38.42578125" style="1" bestFit="1" customWidth="1"/>
    <col min="13" max="14" width="12.85546875" style="1" customWidth="1"/>
    <col min="15" max="25" width="12.28515625" style="1" customWidth="1"/>
    <col min="26" max="16384" width="11.42578125" style="1"/>
  </cols>
  <sheetData>
    <row r="1" spans="1:144" x14ac:dyDescent="0.25">
      <c r="A1" s="1" t="s">
        <v>107</v>
      </c>
      <c r="B1" s="1" t="s">
        <v>108</v>
      </c>
      <c r="C1" s="1" t="s">
        <v>109</v>
      </c>
      <c r="D1" s="1" t="s">
        <v>110</v>
      </c>
      <c r="E1" s="1" t="s">
        <v>111</v>
      </c>
      <c r="F1" s="1" t="s">
        <v>112</v>
      </c>
      <c r="G1" s="1" t="s">
        <v>113</v>
      </c>
      <c r="H1" s="1" t="s">
        <v>117</v>
      </c>
      <c r="I1" s="1" t="s">
        <v>118</v>
      </c>
      <c r="J1" s="1" t="s">
        <v>1651</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25">
      <c r="A2" s="1" t="str">
        <f t="shared" ref="A2:A65" si="0">IFERROR(LEFT(RIGHT(C2,LEN(C2)-SEARCH("@",C2)),SEARCH("/",RIGHT(C2,LEN(C2)-SEARCH("@",C2)-1))),"")</f>
        <v>01 Evian + 0.2% DMSO</v>
      </c>
      <c r="B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 s="1" t="s">
        <v>1680</v>
      </c>
      <c r="D2" s="1" t="s">
        <v>1681</v>
      </c>
      <c r="E2" s="1" t="s">
        <v>1682</v>
      </c>
      <c r="F2" s="1" t="s">
        <v>112</v>
      </c>
      <c r="G2" s="1">
        <v>837358</v>
      </c>
      <c r="K2" s="155" t="s">
        <v>120</v>
      </c>
      <c r="L2" s="155"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25">
      <c r="A3" s="1" t="str">
        <f t="shared" si="0"/>
        <v>01 Evian + 0.2% DMSO</v>
      </c>
      <c r="B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 s="1" t="s">
        <v>1683</v>
      </c>
      <c r="K3" s="118" t="s">
        <v>153</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25">
      <c r="A4" s="1" t="str">
        <f t="shared" si="0"/>
        <v>01 Evian + 0.2% DMSO</v>
      </c>
      <c r="B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 s="1" t="s">
        <v>1684</v>
      </c>
      <c r="D4" s="1" t="s">
        <v>1685</v>
      </c>
      <c r="E4" s="1" t="s">
        <v>1686</v>
      </c>
      <c r="F4" s="1" t="s">
        <v>112</v>
      </c>
      <c r="G4" s="1">
        <v>529846</v>
      </c>
      <c r="K4" s="118" t="s">
        <v>100</v>
      </c>
      <c r="L4" s="1" t="s">
        <v>1652</v>
      </c>
      <c r="M4" s="1" t="s">
        <v>1653</v>
      </c>
      <c r="N4" s="1" t="s">
        <v>1654</v>
      </c>
      <c r="O4" s="1" t="s">
        <v>1655</v>
      </c>
      <c r="P4" s="1" t="s">
        <v>1656</v>
      </c>
      <c r="Q4" s="1" t="s">
        <v>1657</v>
      </c>
      <c r="R4" s="1" t="s">
        <v>1658</v>
      </c>
      <c r="S4" s="1" t="s">
        <v>1659</v>
      </c>
      <c r="T4" s="1" t="s">
        <v>1660</v>
      </c>
      <c r="U4" s="1" t="s">
        <v>1661</v>
      </c>
      <c r="V4" s="1" t="s">
        <v>1662</v>
      </c>
      <c r="W4" s="1" t="s">
        <v>1663</v>
      </c>
      <c r="X4" s="1" t="s">
        <v>1664</v>
      </c>
      <c r="Y4" s="1" t="s">
        <v>1665</v>
      </c>
      <c r="Z4" s="1" t="s">
        <v>1666</v>
      </c>
      <c r="AA4" s="1" t="s">
        <v>1667</v>
      </c>
      <c r="AB4" s="1" t="s">
        <v>1668</v>
      </c>
      <c r="AC4" s="1" t="s">
        <v>1669</v>
      </c>
      <c r="AD4" s="1" t="s">
        <v>1670</v>
      </c>
      <c r="AE4" s="1" t="s">
        <v>1671</v>
      </c>
      <c r="AF4" s="1" t="s">
        <v>1672</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25">
      <c r="A5" s="1" t="str">
        <f t="shared" si="0"/>
        <v>01 Evian + 0.2% DMSO</v>
      </c>
      <c r="B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 s="1" t="s">
        <v>1687</v>
      </c>
      <c r="D5" s="1" t="s">
        <v>1688</v>
      </c>
      <c r="E5" s="1" t="s">
        <v>1689</v>
      </c>
      <c r="F5" s="1" t="s">
        <v>112</v>
      </c>
      <c r="G5" s="1">
        <v>86022</v>
      </c>
      <c r="K5" s="145" t="s">
        <v>163</v>
      </c>
      <c r="L5" s="44">
        <v>683602</v>
      </c>
      <c r="M5" s="44">
        <v>370816</v>
      </c>
      <c r="N5" s="44">
        <v>223631.33333333334</v>
      </c>
      <c r="O5" s="44">
        <v>407496</v>
      </c>
      <c r="P5" s="44">
        <v>1740745</v>
      </c>
      <c r="Q5" s="44">
        <v>2886971</v>
      </c>
      <c r="R5" s="44">
        <v>2083997</v>
      </c>
      <c r="S5" s="44">
        <v>116650</v>
      </c>
      <c r="T5" s="44">
        <v>756621</v>
      </c>
      <c r="U5" s="44">
        <v>317973.66666666669</v>
      </c>
      <c r="V5" s="44">
        <v>5092960.666666667</v>
      </c>
      <c r="W5" s="44">
        <v>4669779</v>
      </c>
      <c r="X5" s="44">
        <v>3629010</v>
      </c>
      <c r="Y5" s="44">
        <v>1852802</v>
      </c>
      <c r="Z5" s="44">
        <v>2941233</v>
      </c>
      <c r="AA5" s="44">
        <v>250020</v>
      </c>
      <c r="AB5" s="44">
        <v>4121230.3333333335</v>
      </c>
      <c r="AC5" s="44">
        <v>3952488.3333333335</v>
      </c>
      <c r="AD5" s="44">
        <v>120709.33333333333</v>
      </c>
      <c r="AE5" s="44">
        <v>5314537.333333333</v>
      </c>
      <c r="AF5" s="44">
        <v>4699787</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25">
      <c r="A6" s="1" t="str">
        <f t="shared" si="0"/>
        <v>01 Evian + 0.2% DMSO</v>
      </c>
      <c r="B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 s="1" t="s">
        <v>1690</v>
      </c>
      <c r="D6" s="1" t="s">
        <v>1691</v>
      </c>
      <c r="E6" s="1" t="s">
        <v>1692</v>
      </c>
      <c r="F6" s="1" t="s">
        <v>112</v>
      </c>
      <c r="G6" s="1">
        <v>45293</v>
      </c>
      <c r="K6" s="145" t="s">
        <v>1673</v>
      </c>
      <c r="L6" s="44">
        <v>59251.333333333336</v>
      </c>
      <c r="M6" s="44">
        <v>243617.66666666666</v>
      </c>
      <c r="N6" s="44">
        <v>239991</v>
      </c>
      <c r="O6" s="44">
        <v>420103</v>
      </c>
      <c r="P6" s="44">
        <v>799123.66666666663</v>
      </c>
      <c r="Q6" s="44">
        <v>3092851.3333333335</v>
      </c>
      <c r="R6" s="44">
        <v>5272149.666666667</v>
      </c>
      <c r="S6" s="44">
        <v>646193</v>
      </c>
      <c r="T6" s="44">
        <v>183990.66666666666</v>
      </c>
      <c r="U6" s="44">
        <v>1456982.6666666667</v>
      </c>
      <c r="V6" s="44">
        <v>3510748</v>
      </c>
      <c r="W6" s="44">
        <v>7626383.333333333</v>
      </c>
      <c r="X6" s="44">
        <v>4316894</v>
      </c>
      <c r="Y6" s="44"/>
      <c r="Z6" s="44">
        <v>5455730</v>
      </c>
      <c r="AA6" s="44">
        <v>118034.33333333333</v>
      </c>
      <c r="AB6" s="44">
        <v>3422671</v>
      </c>
      <c r="AC6" s="44">
        <v>5944407</v>
      </c>
      <c r="AD6" s="44">
        <v>4439543</v>
      </c>
      <c r="AE6" s="44">
        <v>4378316.333333333</v>
      </c>
      <c r="AF6" s="44">
        <v>6017552</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25">
      <c r="A7" s="1" t="str">
        <f t="shared" si="0"/>
        <v>01 Evian + 0.2% DMSO</v>
      </c>
      <c r="B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 s="1" t="s">
        <v>1693</v>
      </c>
      <c r="D7" s="1" t="s">
        <v>281</v>
      </c>
      <c r="E7" s="1" t="s">
        <v>1694</v>
      </c>
      <c r="F7" s="1" t="s">
        <v>112</v>
      </c>
      <c r="G7" s="1">
        <v>46439</v>
      </c>
      <c r="K7" s="145" t="s">
        <v>1674</v>
      </c>
      <c r="L7" s="44">
        <v>69078.666666666672</v>
      </c>
      <c r="M7" s="44">
        <v>228930.66666666666</v>
      </c>
      <c r="N7" s="44">
        <v>141885</v>
      </c>
      <c r="O7" s="44">
        <v>265932.33333333331</v>
      </c>
      <c r="P7" s="44">
        <v>751927</v>
      </c>
      <c r="Q7" s="44">
        <v>3770566.6666666665</v>
      </c>
      <c r="R7" s="44">
        <v>5916893.666666667</v>
      </c>
      <c r="S7" s="44">
        <v>364276.33333333331</v>
      </c>
      <c r="T7" s="44">
        <v>120053</v>
      </c>
      <c r="U7" s="44">
        <v>126373</v>
      </c>
      <c r="V7" s="44">
        <v>3505333.6666666665</v>
      </c>
      <c r="W7" s="44">
        <v>6631423</v>
      </c>
      <c r="X7" s="44">
        <v>1325609.6666666667</v>
      </c>
      <c r="Y7" s="44">
        <v>153540</v>
      </c>
      <c r="Z7" s="44">
        <v>5723688.333333333</v>
      </c>
      <c r="AA7" s="44">
        <v>152166.33333333334</v>
      </c>
      <c r="AB7" s="44">
        <v>1936409</v>
      </c>
      <c r="AC7" s="44">
        <v>4257159.666666667</v>
      </c>
      <c r="AD7" s="44">
        <v>4816610</v>
      </c>
      <c r="AE7" s="44">
        <v>6997999</v>
      </c>
      <c r="AF7" s="44">
        <v>2949722.5</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25">
      <c r="A8" s="1" t="str">
        <f t="shared" si="0"/>
        <v>01 Evian + 0.2% DMSO</v>
      </c>
      <c r="B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8" s="1" t="s">
        <v>1695</v>
      </c>
      <c r="D8" s="1" t="s">
        <v>1696</v>
      </c>
      <c r="E8" s="1" t="s">
        <v>1697</v>
      </c>
      <c r="F8" s="1" t="s">
        <v>112</v>
      </c>
      <c r="G8" s="1">
        <v>56649</v>
      </c>
      <c r="K8" s="145" t="s">
        <v>1675</v>
      </c>
      <c r="L8" s="44">
        <v>98423</v>
      </c>
      <c r="M8" s="44">
        <v>504438</v>
      </c>
      <c r="N8" s="44">
        <v>222744.66666666666</v>
      </c>
      <c r="O8" s="44">
        <v>369856.66666666669</v>
      </c>
      <c r="P8" s="44">
        <v>1708798</v>
      </c>
      <c r="Q8" s="44">
        <v>3534930</v>
      </c>
      <c r="R8" s="44">
        <v>7221198</v>
      </c>
      <c r="S8" s="44">
        <v>136095.33333333334</v>
      </c>
      <c r="T8" s="44">
        <v>863920</v>
      </c>
      <c r="U8" s="44">
        <v>1481474.6666666667</v>
      </c>
      <c r="V8" s="44">
        <v>5752261.333333333</v>
      </c>
      <c r="W8" s="44">
        <v>4591774.333333333</v>
      </c>
      <c r="X8" s="44">
        <v>2388683.3333333335</v>
      </c>
      <c r="Y8" s="44">
        <v>1848296</v>
      </c>
      <c r="Z8" s="44">
        <v>4235739</v>
      </c>
      <c r="AA8" s="44"/>
      <c r="AB8" s="44">
        <v>2308342.6666666665</v>
      </c>
      <c r="AC8" s="44">
        <v>3181296</v>
      </c>
      <c r="AD8" s="44">
        <v>4626922.666666667</v>
      </c>
      <c r="AE8" s="44">
        <v>5995929.333333333</v>
      </c>
      <c r="AF8" s="44">
        <v>3106932.3333333335</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25">
      <c r="A9" s="1" t="str">
        <f t="shared" si="0"/>
        <v>01 Evian + 0.2% DMSO</v>
      </c>
      <c r="B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9" s="1" t="s">
        <v>1698</v>
      </c>
      <c r="D9" s="1" t="s">
        <v>1699</v>
      </c>
      <c r="E9" s="1" t="s">
        <v>1700</v>
      </c>
      <c r="F9" s="1" t="s">
        <v>112</v>
      </c>
      <c r="G9" s="1">
        <v>111091</v>
      </c>
      <c r="K9" s="145" t="s">
        <v>1676</v>
      </c>
      <c r="L9" s="44">
        <v>36598</v>
      </c>
      <c r="M9" s="44">
        <v>280676.66666666669</v>
      </c>
      <c r="N9" s="44">
        <v>241786.33333333334</v>
      </c>
      <c r="O9" s="44">
        <v>162541.66666666666</v>
      </c>
      <c r="P9" s="44">
        <v>567092.66666666663</v>
      </c>
      <c r="Q9" s="44">
        <v>2775418.3333333335</v>
      </c>
      <c r="R9" s="44">
        <v>5148304.333333333</v>
      </c>
      <c r="S9" s="44">
        <v>443102.66666666669</v>
      </c>
      <c r="T9" s="44">
        <v>366980</v>
      </c>
      <c r="U9" s="44">
        <v>546068</v>
      </c>
      <c r="V9" s="44">
        <v>5154440</v>
      </c>
      <c r="W9" s="44">
        <v>4957009.666666667</v>
      </c>
      <c r="X9" s="44">
        <v>997297</v>
      </c>
      <c r="Y9" s="44">
        <v>3958602</v>
      </c>
      <c r="Z9" s="44"/>
      <c r="AA9" s="44">
        <v>521410</v>
      </c>
      <c r="AB9" s="44">
        <v>3693124</v>
      </c>
      <c r="AC9" s="44">
        <v>4373261.666666667</v>
      </c>
      <c r="AD9" s="44">
        <v>5149443.666666667</v>
      </c>
      <c r="AE9" s="44">
        <v>6236014</v>
      </c>
      <c r="AF9" s="44">
        <v>5298177.666666667</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25">
      <c r="A10" s="1" t="str">
        <f t="shared" si="0"/>
        <v>01 Evian + 0.2% DMSO</v>
      </c>
      <c r="B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 s="1" t="s">
        <v>1701</v>
      </c>
      <c r="D10" s="1" t="s">
        <v>264</v>
      </c>
      <c r="E10" s="1" t="s">
        <v>1702</v>
      </c>
      <c r="F10" s="1" t="s">
        <v>112</v>
      </c>
      <c r="G10" s="1">
        <v>39496</v>
      </c>
      <c r="K10" s="145" t="s">
        <v>1677</v>
      </c>
      <c r="L10" s="44">
        <v>138099.66666666666</v>
      </c>
      <c r="M10" s="44">
        <v>91271</v>
      </c>
      <c r="N10" s="44">
        <v>58876.666666666664</v>
      </c>
      <c r="O10" s="44">
        <v>749721</v>
      </c>
      <c r="P10" s="44">
        <v>1924729</v>
      </c>
      <c r="Q10" s="44">
        <v>3512947</v>
      </c>
      <c r="R10" s="44">
        <v>4180445.6666666665</v>
      </c>
      <c r="S10" s="44">
        <v>420715.66666666669</v>
      </c>
      <c r="T10" s="44">
        <v>215816</v>
      </c>
      <c r="U10" s="44">
        <v>3037507.6666666665</v>
      </c>
      <c r="V10" s="44">
        <v>4852501</v>
      </c>
      <c r="W10" s="44">
        <v>5790914</v>
      </c>
      <c r="X10" s="44">
        <v>1881930.5</v>
      </c>
      <c r="Y10" s="44">
        <v>2506580.3333333335</v>
      </c>
      <c r="Z10" s="44">
        <v>3020715.6666666665</v>
      </c>
      <c r="AA10" s="44">
        <v>114822</v>
      </c>
      <c r="AB10" s="44">
        <v>4221456</v>
      </c>
      <c r="AC10" s="44">
        <v>4220172.666666667</v>
      </c>
      <c r="AD10" s="44">
        <v>5439255.333333333</v>
      </c>
      <c r="AE10" s="44">
        <v>6943650.333333333</v>
      </c>
      <c r="AF10" s="44">
        <v>3993253.3333333335</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25">
      <c r="A11" s="1" t="str">
        <f t="shared" si="0"/>
        <v>01 Evian + 0.2% DMSO</v>
      </c>
      <c r="B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 s="1" t="s">
        <v>1703</v>
      </c>
      <c r="D11" s="1" t="s">
        <v>1704</v>
      </c>
      <c r="E11" s="1" t="s">
        <v>1705</v>
      </c>
      <c r="F11" s="1" t="s">
        <v>112</v>
      </c>
      <c r="G11" s="1">
        <v>21024</v>
      </c>
      <c r="K11" s="145" t="s">
        <v>1678</v>
      </c>
      <c r="L11" s="44">
        <v>39712.666666666664</v>
      </c>
      <c r="M11" s="44">
        <v>26525.333333333332</v>
      </c>
      <c r="N11" s="44">
        <v>195469.5</v>
      </c>
      <c r="O11" s="44">
        <v>1014096</v>
      </c>
      <c r="P11" s="44">
        <v>2098237</v>
      </c>
      <c r="Q11" s="44">
        <v>4260757.666666667</v>
      </c>
      <c r="R11" s="44">
        <v>6950817.333333333</v>
      </c>
      <c r="S11" s="44">
        <v>208894.33333333334</v>
      </c>
      <c r="T11" s="44">
        <v>284916.33333333331</v>
      </c>
      <c r="U11" s="44">
        <v>344557</v>
      </c>
      <c r="V11" s="44">
        <v>3836119.6666666665</v>
      </c>
      <c r="W11" s="44">
        <v>4794533</v>
      </c>
      <c r="X11" s="44">
        <v>1960980.3333333333</v>
      </c>
      <c r="Y11" s="44">
        <v>157386.33333333334</v>
      </c>
      <c r="Z11" s="44">
        <v>4337731</v>
      </c>
      <c r="AA11" s="44">
        <v>102886</v>
      </c>
      <c r="AB11" s="44">
        <v>4719823.333333333</v>
      </c>
      <c r="AC11" s="44">
        <v>3246322.3333333335</v>
      </c>
      <c r="AD11" s="44">
        <v>4586020.333333333</v>
      </c>
      <c r="AE11" s="44">
        <v>4090105</v>
      </c>
      <c r="AF11" s="44">
        <v>3650412.5</v>
      </c>
      <c r="AG11"/>
    </row>
    <row r="12" spans="1:144" x14ac:dyDescent="0.25">
      <c r="A12" s="1" t="str">
        <f t="shared" si="0"/>
        <v>01 Evian + 0.2% DMSO</v>
      </c>
      <c r="B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2" s="1" t="s">
        <v>1706</v>
      </c>
      <c r="D12" s="1" t="s">
        <v>1707</v>
      </c>
      <c r="E12" s="1" t="s">
        <v>1708</v>
      </c>
      <c r="F12" s="1" t="s">
        <v>112</v>
      </c>
      <c r="G12" s="1">
        <v>136982</v>
      </c>
      <c r="K12" s="145" t="s">
        <v>1679</v>
      </c>
      <c r="L12" s="44"/>
      <c r="M12" s="44">
        <v>456563.66666666669</v>
      </c>
      <c r="N12" s="44">
        <v>151084.66666666666</v>
      </c>
      <c r="O12" s="44">
        <v>1208606.3333333333</v>
      </c>
      <c r="P12" s="44"/>
      <c r="Q12" s="44">
        <v>2860978.6666666665</v>
      </c>
      <c r="R12" s="44">
        <v>3953728.6666666665</v>
      </c>
      <c r="S12" s="44">
        <v>183883</v>
      </c>
      <c r="T12" s="44">
        <v>343699</v>
      </c>
      <c r="U12" s="44">
        <v>677996.33333333337</v>
      </c>
      <c r="V12" s="44">
        <v>2034277.3333333333</v>
      </c>
      <c r="W12" s="44">
        <v>6933794.333333333</v>
      </c>
      <c r="X12" s="44">
        <v>3187240.5</v>
      </c>
      <c r="Y12" s="44">
        <v>3606893</v>
      </c>
      <c r="Z12" s="44">
        <v>4327370.666666667</v>
      </c>
      <c r="AA12" s="44">
        <v>30310.666666666668</v>
      </c>
      <c r="AB12" s="44">
        <v>674881.66666666663</v>
      </c>
      <c r="AC12" s="44">
        <v>3698236</v>
      </c>
      <c r="AD12" s="44">
        <v>4145650.3333333335</v>
      </c>
      <c r="AE12" s="44">
        <v>1401083.6666666667</v>
      </c>
      <c r="AF12" s="44">
        <v>6738952</v>
      </c>
      <c r="AG12"/>
    </row>
    <row r="13" spans="1:144" x14ac:dyDescent="0.25">
      <c r="A13" s="1" t="str">
        <f t="shared" si="0"/>
        <v>01 Evian + 0.2% DMSO</v>
      </c>
      <c r="B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3" s="1" t="s">
        <v>1709</v>
      </c>
      <c r="D13" s="1" t="s">
        <v>1710</v>
      </c>
      <c r="E13" s="1" t="s">
        <v>1711</v>
      </c>
      <c r="F13" s="1" t="s">
        <v>112</v>
      </c>
      <c r="G13" s="1">
        <v>137263</v>
      </c>
      <c r="K13"/>
      <c r="L13"/>
      <c r="M13"/>
      <c r="N13"/>
      <c r="O13"/>
      <c r="P13"/>
      <c r="Q13"/>
      <c r="R13"/>
      <c r="S13"/>
      <c r="T13"/>
      <c r="U13"/>
      <c r="V13"/>
      <c r="W13"/>
      <c r="X13"/>
      <c r="Y13"/>
      <c r="Z13"/>
      <c r="AA13"/>
      <c r="AB13"/>
      <c r="AC13"/>
      <c r="AD13"/>
      <c r="AE13"/>
      <c r="AF13"/>
      <c r="AG13"/>
    </row>
    <row r="14" spans="1:144" x14ac:dyDescent="0.25">
      <c r="A14" s="1" t="str">
        <f t="shared" si="0"/>
        <v>01 Evian + 0.2% DMSO</v>
      </c>
      <c r="B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 s="1" t="s">
        <v>1712</v>
      </c>
      <c r="D14" s="1" t="s">
        <v>252</v>
      </c>
      <c r="E14" s="1" t="s">
        <v>1713</v>
      </c>
      <c r="F14" s="1" t="s">
        <v>112</v>
      </c>
      <c r="G14" s="1">
        <v>68913</v>
      </c>
      <c r="K14"/>
      <c r="L14"/>
      <c r="M14"/>
      <c r="N14"/>
      <c r="O14"/>
      <c r="P14"/>
      <c r="Q14"/>
      <c r="R14"/>
      <c r="S14"/>
      <c r="T14"/>
      <c r="U14"/>
      <c r="V14"/>
      <c r="W14"/>
      <c r="X14"/>
      <c r="Y14"/>
      <c r="Z14"/>
      <c r="AA14"/>
      <c r="AB14"/>
      <c r="AC14"/>
      <c r="AD14"/>
      <c r="AE14"/>
      <c r="AF14"/>
      <c r="AG14"/>
    </row>
    <row r="15" spans="1:144" x14ac:dyDescent="0.25">
      <c r="A15" s="1" t="str">
        <f t="shared" si="0"/>
        <v>01 Evian + 0.2% DMSO</v>
      </c>
      <c r="B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5" s="1" t="s">
        <v>1714</v>
      </c>
      <c r="D15" s="1" t="s">
        <v>1715</v>
      </c>
      <c r="E15" s="1" t="s">
        <v>1716</v>
      </c>
      <c r="F15" s="1" t="s">
        <v>112</v>
      </c>
      <c r="G15" s="1">
        <v>27189</v>
      </c>
    </row>
    <row r="16" spans="1:144" x14ac:dyDescent="0.25">
      <c r="A16" s="1" t="str">
        <f t="shared" si="0"/>
        <v>01 Evian + 0.2% DMSO</v>
      </c>
      <c r="B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6" s="1" t="s">
        <v>1717</v>
      </c>
      <c r="D16" s="1" t="s">
        <v>261</v>
      </c>
      <c r="E16" s="1" t="s">
        <v>762</v>
      </c>
      <c r="F16" s="1" t="s">
        <v>112</v>
      </c>
      <c r="G16" s="1">
        <v>13692</v>
      </c>
    </row>
    <row r="17" spans="1:10" x14ac:dyDescent="0.25">
      <c r="A17" s="1" t="str">
        <f t="shared" si="0"/>
        <v>01 Evian + 0.2% DMSO</v>
      </c>
      <c r="B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7" s="1" t="s">
        <v>1718</v>
      </c>
      <c r="D17" s="1" t="s">
        <v>1719</v>
      </c>
      <c r="E17" s="1" t="s">
        <v>1720</v>
      </c>
      <c r="F17" s="1" t="s">
        <v>112</v>
      </c>
      <c r="G17" s="1">
        <v>29784</v>
      </c>
    </row>
    <row r="18" spans="1:10" x14ac:dyDescent="0.25">
      <c r="A18" s="1" t="str">
        <f t="shared" si="0"/>
        <v>01 Evian + 0.2% DMSO</v>
      </c>
      <c r="B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 s="1" t="s">
        <v>1721</v>
      </c>
      <c r="D18" s="1" t="s">
        <v>1722</v>
      </c>
      <c r="E18" s="1" t="s">
        <v>1723</v>
      </c>
      <c r="F18" s="1" t="s">
        <v>112</v>
      </c>
      <c r="G18" s="1">
        <v>346879</v>
      </c>
    </row>
    <row r="19" spans="1:10" x14ac:dyDescent="0.25">
      <c r="A19" s="1" t="str">
        <f t="shared" si="0"/>
        <v>01 Evian + 0.2% DMSO</v>
      </c>
      <c r="B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9" s="1" t="s">
        <v>1724</v>
      </c>
      <c r="D19" s="1" t="s">
        <v>1725</v>
      </c>
      <c r="E19" s="1" t="s">
        <v>1726</v>
      </c>
      <c r="F19" s="1" t="s">
        <v>112</v>
      </c>
      <c r="G19" s="1">
        <v>37636</v>
      </c>
    </row>
    <row r="20" spans="1:10" x14ac:dyDescent="0.25">
      <c r="A20" s="1" t="str">
        <f t="shared" si="0"/>
        <v>01 Evian + 0.2% DMSO</v>
      </c>
      <c r="B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0" s="1" t="s">
        <v>1727</v>
      </c>
      <c r="D20" s="1" t="s">
        <v>682</v>
      </c>
      <c r="E20" s="1">
        <v>63</v>
      </c>
      <c r="F20" s="1" t="s">
        <v>112</v>
      </c>
      <c r="G20" s="1">
        <v>17715</v>
      </c>
    </row>
    <row r="21" spans="1:10" x14ac:dyDescent="0.25">
      <c r="A21" s="1" t="str">
        <f t="shared" si="0"/>
        <v>01 Evian + 0.2% DMSO</v>
      </c>
      <c r="B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 s="1" t="s">
        <v>1728</v>
      </c>
      <c r="D21" s="1" t="s">
        <v>281</v>
      </c>
      <c r="E21" s="1" t="s">
        <v>1729</v>
      </c>
      <c r="F21" s="1" t="s">
        <v>112</v>
      </c>
      <c r="G21" s="1">
        <v>47240</v>
      </c>
    </row>
    <row r="22" spans="1:10" x14ac:dyDescent="0.25">
      <c r="A22" s="1" t="str">
        <f t="shared" si="0"/>
        <v>01 Evian + 0.2% DMSO</v>
      </c>
      <c r="B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 s="1" t="s">
        <v>1730</v>
      </c>
      <c r="D22" s="1" t="s">
        <v>258</v>
      </c>
      <c r="E22" s="1" t="s">
        <v>683</v>
      </c>
      <c r="F22" s="1" t="s">
        <v>112</v>
      </c>
      <c r="G22" s="1">
        <v>54183</v>
      </c>
    </row>
    <row r="23" spans="1:10" x14ac:dyDescent="0.25">
      <c r="A23" s="1" t="str">
        <f t="shared" si="0"/>
        <v>01 Evian + 0.2% DMSO</v>
      </c>
      <c r="B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3" s="1" t="s">
        <v>1731</v>
      </c>
    </row>
    <row r="24" spans="1:10" x14ac:dyDescent="0.25">
      <c r="A24" s="1" t="str">
        <f t="shared" si="0"/>
        <v>01 Evian + 0.2% DMSO</v>
      </c>
      <c r="B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4" s="1" t="s">
        <v>1732</v>
      </c>
    </row>
    <row r="25" spans="1:10" x14ac:dyDescent="0.25">
      <c r="A25" s="1" t="str">
        <f t="shared" si="0"/>
        <v>01 Evian + 0.2% DMSO</v>
      </c>
      <c r="B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 s="1" t="s">
        <v>1733</v>
      </c>
    </row>
    <row r="26" spans="1:10" x14ac:dyDescent="0.25">
      <c r="A26" s="1" t="str">
        <f t="shared" si="0"/>
        <v/>
      </c>
      <c r="B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 s="1" t="s">
        <v>112</v>
      </c>
    </row>
    <row r="27" spans="1:10" x14ac:dyDescent="0.25">
      <c r="A27" s="1" t="str">
        <f t="shared" si="0"/>
        <v/>
      </c>
      <c r="B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7" s="1" t="s">
        <v>232</v>
      </c>
      <c r="D27" s="1" t="s">
        <v>112</v>
      </c>
      <c r="E27" s="1" t="s">
        <v>233</v>
      </c>
      <c r="F27" s="1" t="s">
        <v>234</v>
      </c>
      <c r="G27" s="1" t="s">
        <v>235</v>
      </c>
      <c r="H27" s="1" t="s">
        <v>236</v>
      </c>
      <c r="I27" s="1" t="s">
        <v>237</v>
      </c>
      <c r="J27" s="1" t="s">
        <v>238</v>
      </c>
    </row>
    <row r="28" spans="1:10" x14ac:dyDescent="0.25">
      <c r="A28" s="1" t="str">
        <f t="shared" si="0"/>
        <v>01 Evian + 0.2% DMSO</v>
      </c>
      <c r="B2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8" s="1" t="s">
        <v>1734</v>
      </c>
      <c r="D28" s="1" t="s">
        <v>112</v>
      </c>
      <c r="E28" s="1" t="s">
        <v>1735</v>
      </c>
      <c r="F28" s="1" t="s">
        <v>1736</v>
      </c>
      <c r="G28" s="1" t="s">
        <v>1737</v>
      </c>
      <c r="H28" s="1" t="s">
        <v>1738</v>
      </c>
      <c r="I28" s="1">
        <v>24</v>
      </c>
      <c r="J28" s="1">
        <v>24</v>
      </c>
    </row>
    <row r="29" spans="1:10" x14ac:dyDescent="0.25">
      <c r="A29" s="1" t="str">
        <f t="shared" si="0"/>
        <v/>
      </c>
      <c r="B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 s="1" t="s">
        <v>112</v>
      </c>
    </row>
    <row r="30" spans="1:10" x14ac:dyDescent="0.25">
      <c r="A30" s="1" t="str">
        <f t="shared" si="0"/>
        <v/>
      </c>
      <c r="B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0" s="1" t="s">
        <v>112</v>
      </c>
    </row>
    <row r="31" spans="1:10" x14ac:dyDescent="0.25">
      <c r="A31" s="1" t="str">
        <f t="shared" si="0"/>
        <v/>
      </c>
      <c r="B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1" s="1" t="s">
        <v>112</v>
      </c>
    </row>
    <row r="32" spans="1:10" x14ac:dyDescent="0.25">
      <c r="A32" s="1" t="str">
        <f t="shared" si="0"/>
        <v/>
      </c>
      <c r="B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 s="1" t="s">
        <v>112</v>
      </c>
    </row>
    <row r="33" spans="1:7" x14ac:dyDescent="0.25">
      <c r="A33" s="1" t="str">
        <f t="shared" si="0"/>
        <v/>
      </c>
      <c r="B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 s="1" t="s">
        <v>112</v>
      </c>
    </row>
    <row r="34" spans="1:7" x14ac:dyDescent="0.25">
      <c r="A34" s="1" t="str">
        <f t="shared" si="0"/>
        <v/>
      </c>
      <c r="B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4" s="1" t="s">
        <v>244</v>
      </c>
      <c r="D34" s="1" t="s">
        <v>110</v>
      </c>
      <c r="E34" s="1" t="s">
        <v>111</v>
      </c>
      <c r="F34" s="1" t="s">
        <v>112</v>
      </c>
      <c r="G34" s="1" t="s">
        <v>113</v>
      </c>
    </row>
    <row r="35" spans="1:7" x14ac:dyDescent="0.25">
      <c r="A35" s="1" t="str">
        <f t="shared" si="0"/>
        <v>02 EE2 33.8</v>
      </c>
      <c r="B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5" s="1" t="s">
        <v>1739</v>
      </c>
      <c r="D35" s="1" t="s">
        <v>1740</v>
      </c>
      <c r="E35" s="1" t="s">
        <v>1741</v>
      </c>
      <c r="F35" s="1" t="s">
        <v>112</v>
      </c>
      <c r="G35" s="1">
        <v>502549</v>
      </c>
    </row>
    <row r="36" spans="1:7" x14ac:dyDescent="0.25">
      <c r="A36" s="1" t="str">
        <f t="shared" si="0"/>
        <v>02 EE2 33.8</v>
      </c>
      <c r="B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 s="1" t="s">
        <v>1742</v>
      </c>
      <c r="D36" s="1" t="s">
        <v>398</v>
      </c>
      <c r="E36" s="1" t="s">
        <v>1743</v>
      </c>
      <c r="F36" s="1" t="s">
        <v>112</v>
      </c>
      <c r="G36" s="1">
        <v>296676</v>
      </c>
    </row>
    <row r="37" spans="1:7" x14ac:dyDescent="0.25">
      <c r="A37" s="1" t="str">
        <f t="shared" si="0"/>
        <v>02 EE2 33.8</v>
      </c>
      <c r="B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7" s="1" t="s">
        <v>1744</v>
      </c>
      <c r="D37" s="1" t="s">
        <v>1745</v>
      </c>
      <c r="E37" s="1" t="s">
        <v>1746</v>
      </c>
      <c r="F37" s="1" t="s">
        <v>112</v>
      </c>
      <c r="G37" s="1">
        <v>313223</v>
      </c>
    </row>
    <row r="38" spans="1:7" x14ac:dyDescent="0.25">
      <c r="A38" s="1" t="str">
        <f t="shared" si="0"/>
        <v>02 EE2 33.8</v>
      </c>
      <c r="B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8" s="1" t="s">
        <v>1747</v>
      </c>
      <c r="D38" s="1" t="s">
        <v>1748</v>
      </c>
      <c r="E38" s="1" t="s">
        <v>1749</v>
      </c>
      <c r="F38" s="1" t="s">
        <v>112</v>
      </c>
      <c r="G38" s="1">
        <v>340217</v>
      </c>
    </row>
    <row r="39" spans="1:7" x14ac:dyDescent="0.25">
      <c r="A39" s="1" t="str">
        <f t="shared" si="0"/>
        <v>02 EE2 33.8</v>
      </c>
      <c r="B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9" s="1" t="s">
        <v>1750</v>
      </c>
      <c r="D39" s="1" t="s">
        <v>272</v>
      </c>
      <c r="E39" s="1" t="s">
        <v>1751</v>
      </c>
      <c r="F39" s="1" t="s">
        <v>112</v>
      </c>
      <c r="G39" s="1">
        <v>93117</v>
      </c>
    </row>
    <row r="40" spans="1:7" x14ac:dyDescent="0.25">
      <c r="A40" s="1" t="str">
        <f t="shared" si="0"/>
        <v>02 EE2 33.8</v>
      </c>
      <c r="B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 s="1" t="s">
        <v>1752</v>
      </c>
      <c r="D40" s="1" t="s">
        <v>172</v>
      </c>
      <c r="E40" s="1" t="s">
        <v>1753</v>
      </c>
      <c r="F40" s="1" t="s">
        <v>112</v>
      </c>
      <c r="G40" s="1">
        <v>297519</v>
      </c>
    </row>
    <row r="41" spans="1:7" x14ac:dyDescent="0.25">
      <c r="A41" s="1" t="str">
        <f t="shared" si="0"/>
        <v>02 EE2 33.8</v>
      </c>
      <c r="B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1" s="1" t="s">
        <v>1754</v>
      </c>
      <c r="D41" s="1" t="s">
        <v>1755</v>
      </c>
      <c r="E41" s="1" t="s">
        <v>1756</v>
      </c>
      <c r="F41" s="1" t="s">
        <v>112</v>
      </c>
      <c r="G41" s="1">
        <v>230704</v>
      </c>
    </row>
    <row r="42" spans="1:7" x14ac:dyDescent="0.25">
      <c r="A42" s="1" t="str">
        <f t="shared" si="0"/>
        <v>02 EE2 33.8</v>
      </c>
      <c r="B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2" s="1" t="s">
        <v>1757</v>
      </c>
      <c r="D42" s="1" t="s">
        <v>1758</v>
      </c>
      <c r="E42" s="1" t="s">
        <v>1759</v>
      </c>
      <c r="F42" s="1" t="s">
        <v>112</v>
      </c>
      <c r="G42" s="1">
        <v>216667</v>
      </c>
    </row>
    <row r="43" spans="1:7" x14ac:dyDescent="0.25">
      <c r="A43" s="1" t="str">
        <f t="shared" si="0"/>
        <v>02 EE2 33.8</v>
      </c>
      <c r="B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 s="1" t="s">
        <v>1760</v>
      </c>
      <c r="D43" s="1" t="s">
        <v>1761</v>
      </c>
      <c r="E43" s="1" t="s">
        <v>1762</v>
      </c>
      <c r="F43" s="1" t="s">
        <v>112</v>
      </c>
      <c r="G43" s="1">
        <v>239421</v>
      </c>
    </row>
    <row r="44" spans="1:7" x14ac:dyDescent="0.25">
      <c r="A44" s="1" t="str">
        <f t="shared" si="0"/>
        <v>02 EE2 33.8</v>
      </c>
      <c r="B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 s="1" t="s">
        <v>1763</v>
      </c>
      <c r="D44" s="1" t="s">
        <v>1764</v>
      </c>
      <c r="E44" s="1" t="s">
        <v>1765</v>
      </c>
      <c r="F44" s="1" t="s">
        <v>112</v>
      </c>
      <c r="G44" s="1">
        <v>488771</v>
      </c>
    </row>
    <row r="45" spans="1:7" x14ac:dyDescent="0.25">
      <c r="A45" s="1" t="str">
        <f t="shared" si="0"/>
        <v>02 EE2 33.8</v>
      </c>
      <c r="B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5" s="1" t="s">
        <v>1766</v>
      </c>
      <c r="D45" s="1" t="s">
        <v>1767</v>
      </c>
      <c r="E45" s="1" t="s">
        <v>1768</v>
      </c>
      <c r="F45" s="1" t="s">
        <v>112</v>
      </c>
      <c r="G45" s="1">
        <v>576977</v>
      </c>
    </row>
    <row r="46" spans="1:7" x14ac:dyDescent="0.25">
      <c r="A46" s="1" t="str">
        <f t="shared" si="0"/>
        <v>02 EE2 33.8</v>
      </c>
      <c r="B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6" s="1" t="s">
        <v>1769</v>
      </c>
      <c r="D46" s="1" t="s">
        <v>1770</v>
      </c>
      <c r="E46" s="1" t="s">
        <v>1771</v>
      </c>
      <c r="F46" s="1" t="s">
        <v>112</v>
      </c>
      <c r="G46" s="1">
        <v>447566</v>
      </c>
    </row>
    <row r="47" spans="1:7" x14ac:dyDescent="0.25">
      <c r="A47" s="1" t="str">
        <f t="shared" si="0"/>
        <v>02 EE2 33.8</v>
      </c>
      <c r="B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 s="1" t="s">
        <v>1772</v>
      </c>
      <c r="D47" s="1" t="s">
        <v>1278</v>
      </c>
      <c r="E47" s="1" t="s">
        <v>1773</v>
      </c>
      <c r="F47" s="1" t="s">
        <v>112</v>
      </c>
      <c r="G47" s="1">
        <v>139599</v>
      </c>
    </row>
    <row r="48" spans="1:7" x14ac:dyDescent="0.25">
      <c r="A48" s="1" t="str">
        <f t="shared" si="0"/>
        <v>02 EE2 33.8</v>
      </c>
      <c r="B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8" s="1" t="s">
        <v>1774</v>
      </c>
      <c r="D48" s="1" t="s">
        <v>1775</v>
      </c>
      <c r="E48" s="1" t="s">
        <v>1776</v>
      </c>
      <c r="F48" s="1" t="s">
        <v>112</v>
      </c>
      <c r="G48" s="1">
        <v>421415</v>
      </c>
    </row>
    <row r="49" spans="1:10" x14ac:dyDescent="0.25">
      <c r="A49" s="1" t="str">
        <f t="shared" si="0"/>
        <v>02 EE2 33.8</v>
      </c>
      <c r="B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9" s="1" t="s">
        <v>1777</v>
      </c>
      <c r="D49" s="1" t="s">
        <v>1778</v>
      </c>
      <c r="E49" s="1" t="s">
        <v>1779</v>
      </c>
      <c r="F49" s="1" t="s">
        <v>112</v>
      </c>
      <c r="G49" s="1">
        <v>281016</v>
      </c>
    </row>
    <row r="50" spans="1:10" x14ac:dyDescent="0.25">
      <c r="A50" s="1" t="str">
        <f t="shared" si="0"/>
        <v>02 EE2 33.8</v>
      </c>
      <c r="B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0" s="1" t="s">
        <v>1780</v>
      </c>
      <c r="D50" s="1" t="s">
        <v>1431</v>
      </c>
      <c r="E50" s="1" t="s">
        <v>1781</v>
      </c>
      <c r="F50" s="1" t="s">
        <v>112</v>
      </c>
      <c r="G50" s="1">
        <v>38285</v>
      </c>
    </row>
    <row r="51" spans="1:10" x14ac:dyDescent="0.25">
      <c r="A51" s="1" t="str">
        <f t="shared" si="0"/>
        <v>02 EE2 33.8</v>
      </c>
      <c r="B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 s="1" t="s">
        <v>1782</v>
      </c>
      <c r="D51" s="1" t="s">
        <v>190</v>
      </c>
      <c r="E51" s="1" t="s">
        <v>351</v>
      </c>
      <c r="F51" s="1" t="s">
        <v>112</v>
      </c>
      <c r="G51" s="1">
        <v>24334</v>
      </c>
    </row>
    <row r="52" spans="1:10" x14ac:dyDescent="0.25">
      <c r="A52" s="1" t="str">
        <f t="shared" si="0"/>
        <v>02 EE2 33.8</v>
      </c>
      <c r="B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2" s="1" t="s">
        <v>1783</v>
      </c>
      <c r="D52" s="1" t="s">
        <v>1784</v>
      </c>
      <c r="E52" s="1" t="s">
        <v>1785</v>
      </c>
      <c r="F52" s="1" t="s">
        <v>112</v>
      </c>
      <c r="G52" s="1">
        <v>211194</v>
      </c>
    </row>
    <row r="53" spans="1:10" x14ac:dyDescent="0.25">
      <c r="A53" s="1" t="str">
        <f t="shared" si="0"/>
        <v>02 EE2 33.8</v>
      </c>
      <c r="B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3" s="1" t="s">
        <v>1786</v>
      </c>
      <c r="D53" s="1" t="s">
        <v>776</v>
      </c>
      <c r="E53" s="1" t="s">
        <v>1787</v>
      </c>
      <c r="F53" s="1" t="s">
        <v>112</v>
      </c>
      <c r="G53" s="1">
        <v>34413</v>
      </c>
    </row>
    <row r="54" spans="1:10" x14ac:dyDescent="0.25">
      <c r="A54" s="1" t="str">
        <f t="shared" si="0"/>
        <v>02 EE2 33.8</v>
      </c>
      <c r="B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 s="1" t="s">
        <v>1788</v>
      </c>
      <c r="D54" s="1" t="s">
        <v>302</v>
      </c>
      <c r="E54" s="1" t="s">
        <v>474</v>
      </c>
      <c r="F54" s="1" t="s">
        <v>112</v>
      </c>
      <c r="G54" s="1">
        <v>10988</v>
      </c>
    </row>
    <row r="55" spans="1:10" x14ac:dyDescent="0.25">
      <c r="A55" s="1" t="str">
        <f t="shared" si="0"/>
        <v>02 EE2 33.8</v>
      </c>
      <c r="B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 s="1" t="s">
        <v>1789</v>
      </c>
      <c r="D55" s="1" t="s">
        <v>776</v>
      </c>
      <c r="E55" s="1" t="s">
        <v>262</v>
      </c>
      <c r="F55" s="1" t="s">
        <v>112</v>
      </c>
      <c r="G55" s="1">
        <v>34175</v>
      </c>
    </row>
    <row r="56" spans="1:10" x14ac:dyDescent="0.25">
      <c r="A56" s="1" t="str">
        <f t="shared" si="0"/>
        <v>02 EE2 33.8</v>
      </c>
      <c r="B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6" s="1" t="s">
        <v>1790</v>
      </c>
      <c r="D56" s="1" t="s">
        <v>1791</v>
      </c>
      <c r="E56" s="1" t="s">
        <v>1792</v>
      </c>
      <c r="F56" s="1" t="s">
        <v>112</v>
      </c>
      <c r="G56" s="1">
        <v>566076</v>
      </c>
    </row>
    <row r="57" spans="1:10" x14ac:dyDescent="0.25">
      <c r="A57" s="1" t="str">
        <f t="shared" si="0"/>
        <v>02 EE2 33.8</v>
      </c>
      <c r="B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7" s="1" t="s">
        <v>1793</v>
      </c>
      <c r="D57" s="1" t="s">
        <v>1794</v>
      </c>
      <c r="E57" s="1" t="s">
        <v>1795</v>
      </c>
      <c r="F57" s="1" t="s">
        <v>112</v>
      </c>
      <c r="G57" s="1">
        <v>568325</v>
      </c>
    </row>
    <row r="58" spans="1:10" x14ac:dyDescent="0.25">
      <c r="A58" s="1" t="str">
        <f t="shared" si="0"/>
        <v>02 EE2 33.8</v>
      </c>
      <c r="B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 s="1" t="s">
        <v>1796</v>
      </c>
      <c r="D58" s="1" t="s">
        <v>1797</v>
      </c>
      <c r="E58" s="1" t="s">
        <v>1798</v>
      </c>
      <c r="F58" s="1" t="s">
        <v>112</v>
      </c>
      <c r="G58" s="1">
        <v>235290</v>
      </c>
    </row>
    <row r="59" spans="1:10" x14ac:dyDescent="0.25">
      <c r="A59" s="1" t="str">
        <f t="shared" si="0"/>
        <v/>
      </c>
      <c r="B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 s="1" t="s">
        <v>112</v>
      </c>
    </row>
    <row r="60" spans="1:10" x14ac:dyDescent="0.25">
      <c r="A60" s="1" t="str">
        <f t="shared" si="0"/>
        <v/>
      </c>
      <c r="B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0" s="1" t="s">
        <v>232</v>
      </c>
      <c r="D60" s="1" t="s">
        <v>112</v>
      </c>
      <c r="E60" s="1" t="s">
        <v>233</v>
      </c>
      <c r="F60" s="1" t="s">
        <v>234</v>
      </c>
      <c r="G60" s="1" t="s">
        <v>235</v>
      </c>
      <c r="H60" s="1" t="s">
        <v>236</v>
      </c>
      <c r="I60" s="1" t="s">
        <v>237</v>
      </c>
      <c r="J60" s="1" t="s">
        <v>238</v>
      </c>
    </row>
    <row r="61" spans="1:10" x14ac:dyDescent="0.25">
      <c r="A61" s="1" t="str">
        <f t="shared" si="0"/>
        <v>02 EE2 33.8</v>
      </c>
      <c r="B6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1" s="1" t="s">
        <v>1799</v>
      </c>
      <c r="D61" s="1" t="s">
        <v>112</v>
      </c>
      <c r="E61" s="1" t="s">
        <v>1800</v>
      </c>
      <c r="F61" s="1" t="s">
        <v>1801</v>
      </c>
      <c r="G61" s="1" t="s">
        <v>1802</v>
      </c>
      <c r="H61" s="1" t="s">
        <v>1803</v>
      </c>
      <c r="I61" s="1">
        <v>24</v>
      </c>
      <c r="J61" s="1">
        <v>24</v>
      </c>
    </row>
    <row r="62" spans="1:10" x14ac:dyDescent="0.25">
      <c r="A62" s="1" t="str">
        <f t="shared" si="0"/>
        <v/>
      </c>
      <c r="B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 s="1" t="s">
        <v>112</v>
      </c>
    </row>
    <row r="63" spans="1:10" x14ac:dyDescent="0.25">
      <c r="A63" s="1" t="str">
        <f t="shared" si="0"/>
        <v/>
      </c>
      <c r="B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3" s="1" t="s">
        <v>112</v>
      </c>
    </row>
    <row r="64" spans="1:10" x14ac:dyDescent="0.25">
      <c r="A64" s="1" t="str">
        <f t="shared" si="0"/>
        <v/>
      </c>
      <c r="B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4" s="1" t="s">
        <v>112</v>
      </c>
    </row>
    <row r="65" spans="1:7" x14ac:dyDescent="0.25">
      <c r="A65" s="1" t="str">
        <f t="shared" si="0"/>
        <v/>
      </c>
      <c r="B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 s="1" t="s">
        <v>112</v>
      </c>
    </row>
    <row r="66" spans="1:7" x14ac:dyDescent="0.25">
      <c r="A66" s="1" t="str">
        <f t="shared" ref="A66:A129" si="1">IFERROR(LEFT(RIGHT(C66,LEN(C66)-SEARCH("@",C66)),SEARCH("/",RIGHT(C66,LEN(C66)-SEARCH("@",C66)-1))),"")</f>
        <v/>
      </c>
      <c r="B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 s="1" t="s">
        <v>112</v>
      </c>
    </row>
    <row r="67" spans="1:7" x14ac:dyDescent="0.25">
      <c r="A67" s="1" t="str">
        <f t="shared" si="1"/>
        <v/>
      </c>
      <c r="B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7" s="1" t="s">
        <v>244</v>
      </c>
      <c r="D67" s="1" t="s">
        <v>110</v>
      </c>
      <c r="E67" s="1" t="s">
        <v>111</v>
      </c>
      <c r="F67" s="1" t="s">
        <v>112</v>
      </c>
      <c r="G67" s="1" t="s">
        <v>113</v>
      </c>
    </row>
    <row r="68" spans="1:7" x14ac:dyDescent="0.25">
      <c r="A68" s="1" t="str">
        <f t="shared" si="1"/>
        <v>03 EE2 50.6</v>
      </c>
      <c r="B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8" s="1" t="s">
        <v>1804</v>
      </c>
      <c r="D68" s="1" t="s">
        <v>1805</v>
      </c>
      <c r="E68" s="1" t="s">
        <v>1798</v>
      </c>
      <c r="F68" s="1" t="s">
        <v>112</v>
      </c>
      <c r="G68" s="1">
        <v>392150</v>
      </c>
    </row>
    <row r="69" spans="1:7" x14ac:dyDescent="0.25">
      <c r="A69" s="1" t="str">
        <f t="shared" si="1"/>
        <v>03 EE2 50.6</v>
      </c>
      <c r="B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9" s="1" t="s">
        <v>1806</v>
      </c>
      <c r="D69" s="1" t="s">
        <v>1437</v>
      </c>
      <c r="E69" s="1" t="s">
        <v>1807</v>
      </c>
      <c r="F69" s="1" t="s">
        <v>112</v>
      </c>
      <c r="G69" s="1">
        <v>218678</v>
      </c>
    </row>
    <row r="70" spans="1:7" x14ac:dyDescent="0.25">
      <c r="A70" s="1" t="str">
        <f t="shared" si="1"/>
        <v>03 EE2 50.6</v>
      </c>
      <c r="B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70" s="1" t="s">
        <v>1808</v>
      </c>
      <c r="D70" s="1" t="s">
        <v>290</v>
      </c>
      <c r="E70" s="1" t="s">
        <v>1809</v>
      </c>
      <c r="F70" s="1" t="s">
        <v>112</v>
      </c>
      <c r="G70" s="1">
        <v>60066</v>
      </c>
    </row>
    <row r="71" spans="1:7" x14ac:dyDescent="0.25">
      <c r="A71" s="1" t="str">
        <f t="shared" si="1"/>
        <v>03 EE2 50.6</v>
      </c>
      <c r="B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1" s="1" t="s">
        <v>1810</v>
      </c>
      <c r="D71" s="1" t="s">
        <v>1811</v>
      </c>
      <c r="E71" s="1" t="s">
        <v>1812</v>
      </c>
      <c r="F71" s="1" t="s">
        <v>112</v>
      </c>
      <c r="G71" s="1">
        <v>401018</v>
      </c>
    </row>
    <row r="72" spans="1:7" x14ac:dyDescent="0.25">
      <c r="A72" s="1" t="str">
        <f t="shared" si="1"/>
        <v>03 EE2 50.6</v>
      </c>
      <c r="B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2" s="1" t="s">
        <v>1813</v>
      </c>
      <c r="D72" s="1" t="s">
        <v>1814</v>
      </c>
      <c r="E72" s="1" t="s">
        <v>1815</v>
      </c>
      <c r="F72" s="1" t="s">
        <v>112</v>
      </c>
      <c r="G72" s="1">
        <v>107782</v>
      </c>
    </row>
    <row r="73" spans="1:7" x14ac:dyDescent="0.25">
      <c r="A73" s="1" t="str">
        <f t="shared" si="1"/>
        <v>03 EE2 50.6</v>
      </c>
      <c r="B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3" s="1" t="s">
        <v>1816</v>
      </c>
      <c r="D73" s="1" t="s">
        <v>1758</v>
      </c>
      <c r="E73" s="1" t="s">
        <v>1817</v>
      </c>
      <c r="F73" s="1" t="s">
        <v>112</v>
      </c>
      <c r="G73" s="1">
        <v>211173</v>
      </c>
    </row>
    <row r="74" spans="1:7" x14ac:dyDescent="0.25">
      <c r="A74" s="1" t="str">
        <f t="shared" si="1"/>
        <v>03 EE2 50.6</v>
      </c>
      <c r="B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4" s="1" t="s">
        <v>1818</v>
      </c>
      <c r="D74" s="1" t="s">
        <v>334</v>
      </c>
      <c r="E74" s="1" t="s">
        <v>1819</v>
      </c>
      <c r="F74" s="1" t="s">
        <v>112</v>
      </c>
      <c r="G74" s="1">
        <v>270590</v>
      </c>
    </row>
    <row r="75" spans="1:7" x14ac:dyDescent="0.25">
      <c r="A75" s="1" t="str">
        <f t="shared" si="1"/>
        <v>03 EE2 50.6</v>
      </c>
      <c r="B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5" s="1" t="s">
        <v>1820</v>
      </c>
      <c r="D75" s="1" t="s">
        <v>249</v>
      </c>
      <c r="E75" s="1" t="s">
        <v>1705</v>
      </c>
      <c r="F75" s="1" t="s">
        <v>112</v>
      </c>
      <c r="G75" s="1">
        <v>98113</v>
      </c>
    </row>
    <row r="76" spans="1:7" x14ac:dyDescent="0.25">
      <c r="A76" s="1" t="str">
        <f t="shared" si="1"/>
        <v>03 EE2 50.6</v>
      </c>
      <c r="B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6" s="1" t="s">
        <v>1821</v>
      </c>
      <c r="D76" s="1" t="s">
        <v>688</v>
      </c>
      <c r="E76" s="1" t="s">
        <v>1822</v>
      </c>
      <c r="F76" s="1" t="s">
        <v>112</v>
      </c>
      <c r="G76" s="1">
        <v>56952</v>
      </c>
    </row>
    <row r="77" spans="1:7" x14ac:dyDescent="0.25">
      <c r="A77" s="1" t="str">
        <f t="shared" si="1"/>
        <v>03 EE2 50.6</v>
      </c>
      <c r="B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7" s="1" t="s">
        <v>1823</v>
      </c>
      <c r="D77" s="1" t="s">
        <v>308</v>
      </c>
      <c r="E77" s="1" t="s">
        <v>1824</v>
      </c>
      <c r="F77" s="1" t="s">
        <v>112</v>
      </c>
      <c r="G77" s="1">
        <v>262955</v>
      </c>
    </row>
    <row r="78" spans="1:7" x14ac:dyDescent="0.25">
      <c r="A78" s="1" t="str">
        <f t="shared" si="1"/>
        <v>03 EE2 50.6</v>
      </c>
      <c r="B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8" s="1" t="s">
        <v>1825</v>
      </c>
      <c r="D78" s="1" t="s">
        <v>1826</v>
      </c>
      <c r="E78" s="1" t="s">
        <v>1827</v>
      </c>
      <c r="F78" s="1" t="s">
        <v>112</v>
      </c>
      <c r="G78" s="1">
        <v>174250</v>
      </c>
    </row>
    <row r="79" spans="1:7" x14ac:dyDescent="0.25">
      <c r="A79" s="1" t="str">
        <f t="shared" si="1"/>
        <v>03 EE2 50.6</v>
      </c>
      <c r="B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9" s="1" t="s">
        <v>1828</v>
      </c>
      <c r="D79" s="1" t="s">
        <v>278</v>
      </c>
      <c r="E79" s="1" t="s">
        <v>1829</v>
      </c>
      <c r="F79" s="1" t="s">
        <v>112</v>
      </c>
      <c r="G79" s="1">
        <v>231029</v>
      </c>
    </row>
    <row r="80" spans="1:7" x14ac:dyDescent="0.25">
      <c r="A80" s="1" t="str">
        <f t="shared" si="1"/>
        <v>03 EE2 50.6</v>
      </c>
      <c r="B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0" s="1" t="s">
        <v>1830</v>
      </c>
      <c r="D80" s="1" t="s">
        <v>1831</v>
      </c>
      <c r="E80" s="1" t="s">
        <v>1832</v>
      </c>
      <c r="F80" s="1" t="s">
        <v>112</v>
      </c>
      <c r="G80" s="1">
        <v>266935</v>
      </c>
    </row>
    <row r="81" spans="1:10" x14ac:dyDescent="0.25">
      <c r="A81" s="1" t="str">
        <f t="shared" si="1"/>
        <v>03 EE2 50.6</v>
      </c>
      <c r="B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1" s="1" t="s">
        <v>1833</v>
      </c>
      <c r="D81" s="1" t="s">
        <v>1691</v>
      </c>
      <c r="E81" s="1" t="s">
        <v>1834</v>
      </c>
      <c r="F81" s="1" t="s">
        <v>112</v>
      </c>
      <c r="G81" s="1">
        <v>44687</v>
      </c>
    </row>
    <row r="82" spans="1:10" x14ac:dyDescent="0.25">
      <c r="A82" s="1" t="str">
        <f t="shared" si="1"/>
        <v>03 EE2 50.6</v>
      </c>
      <c r="B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2" s="1" t="s">
        <v>1835</v>
      </c>
      <c r="D82" s="1" t="s">
        <v>1836</v>
      </c>
      <c r="E82" s="1" t="s">
        <v>1837</v>
      </c>
      <c r="F82" s="1" t="s">
        <v>112</v>
      </c>
      <c r="G82" s="1">
        <v>413737</v>
      </c>
    </row>
    <row r="83" spans="1:10" x14ac:dyDescent="0.25">
      <c r="A83" s="1" t="str">
        <f t="shared" si="1"/>
        <v>03 EE2 50.6</v>
      </c>
      <c r="B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3" s="1" t="s">
        <v>1838</v>
      </c>
      <c r="D83" s="1" t="s">
        <v>1839</v>
      </c>
      <c r="E83" s="1" t="s">
        <v>1840</v>
      </c>
      <c r="F83" s="1" t="s">
        <v>112</v>
      </c>
      <c r="G83" s="1">
        <v>101704</v>
      </c>
    </row>
    <row r="84" spans="1:10" x14ac:dyDescent="0.25">
      <c r="A84" s="1" t="str">
        <f t="shared" si="1"/>
        <v>03 EE2 50.6</v>
      </c>
      <c r="B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4" s="1" t="s">
        <v>1841</v>
      </c>
      <c r="D84" s="1" t="s">
        <v>1725</v>
      </c>
      <c r="E84" s="1" t="s">
        <v>1842</v>
      </c>
      <c r="F84" s="1" t="s">
        <v>112</v>
      </c>
      <c r="G84" s="1">
        <v>36187</v>
      </c>
    </row>
    <row r="85" spans="1:10" x14ac:dyDescent="0.25">
      <c r="A85" s="1" t="str">
        <f t="shared" si="1"/>
        <v>03 EE2 50.6</v>
      </c>
      <c r="B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5" s="1" t="s">
        <v>1843</v>
      </c>
      <c r="D85" s="1" t="s">
        <v>264</v>
      </c>
      <c r="E85" s="1" t="s">
        <v>1844</v>
      </c>
      <c r="F85" s="1" t="s">
        <v>112</v>
      </c>
      <c r="G85" s="1">
        <v>38739</v>
      </c>
    </row>
    <row r="86" spans="1:10" x14ac:dyDescent="0.25">
      <c r="A86" s="1" t="str">
        <f t="shared" si="1"/>
        <v>03 EE2 50.6</v>
      </c>
      <c r="B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6" s="1" t="s">
        <v>1845</v>
      </c>
    </row>
    <row r="87" spans="1:10" x14ac:dyDescent="0.25">
      <c r="A87" s="1" t="str">
        <f t="shared" si="1"/>
        <v>03 EE2 50.6</v>
      </c>
      <c r="B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7" s="1" t="s">
        <v>1846</v>
      </c>
      <c r="D87" s="1" t="s">
        <v>1847</v>
      </c>
      <c r="E87" s="1" t="s">
        <v>1848</v>
      </c>
      <c r="F87" s="1" t="s">
        <v>112</v>
      </c>
      <c r="G87" s="1">
        <v>155930</v>
      </c>
    </row>
    <row r="88" spans="1:10" x14ac:dyDescent="0.25">
      <c r="A88" s="1" t="str">
        <f t="shared" si="1"/>
        <v>03 EE2 50.6</v>
      </c>
      <c r="B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8" s="1" t="s">
        <v>1849</v>
      </c>
      <c r="D88" s="1" t="s">
        <v>1850</v>
      </c>
      <c r="E88" s="1" t="s">
        <v>1851</v>
      </c>
      <c r="F88" s="1" t="s">
        <v>112</v>
      </c>
      <c r="G88" s="1">
        <v>235009</v>
      </c>
    </row>
    <row r="89" spans="1:10" x14ac:dyDescent="0.25">
      <c r="A89" s="1" t="str">
        <f t="shared" si="1"/>
        <v>03 EE2 50.6</v>
      </c>
      <c r="B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89" s="1" t="s">
        <v>1852</v>
      </c>
      <c r="D89" s="1" t="s">
        <v>258</v>
      </c>
      <c r="E89" s="1" t="s">
        <v>1853</v>
      </c>
      <c r="F89" s="1" t="s">
        <v>112</v>
      </c>
      <c r="G89" s="1">
        <v>52928</v>
      </c>
    </row>
    <row r="90" spans="1:10" x14ac:dyDescent="0.25">
      <c r="A90" s="1" t="str">
        <f t="shared" si="1"/>
        <v>03 EE2 50.6</v>
      </c>
      <c r="B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0" s="1" t="s">
        <v>1854</v>
      </c>
      <c r="D90" s="1" t="s">
        <v>1715</v>
      </c>
      <c r="E90" s="1" t="s">
        <v>1855</v>
      </c>
      <c r="F90" s="1" t="s">
        <v>112</v>
      </c>
      <c r="G90" s="1">
        <v>27427</v>
      </c>
    </row>
    <row r="91" spans="1:10" x14ac:dyDescent="0.25">
      <c r="A91" s="1" t="str">
        <f t="shared" si="1"/>
        <v>03 EE2 50.6</v>
      </c>
      <c r="B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1" s="1" t="s">
        <v>1856</v>
      </c>
      <c r="D91" s="1" t="s">
        <v>1857</v>
      </c>
      <c r="E91" s="1" t="s">
        <v>1858</v>
      </c>
      <c r="F91" s="1" t="s">
        <v>112</v>
      </c>
      <c r="G91" s="1">
        <v>372899</v>
      </c>
    </row>
    <row r="92" spans="1:10" x14ac:dyDescent="0.25">
      <c r="A92" s="1" t="str">
        <f t="shared" si="1"/>
        <v/>
      </c>
      <c r="B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2" s="1" t="s">
        <v>112</v>
      </c>
    </row>
    <row r="93" spans="1:10" x14ac:dyDescent="0.25">
      <c r="A93" s="1" t="str">
        <f t="shared" si="1"/>
        <v/>
      </c>
      <c r="B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3" s="1" t="s">
        <v>232</v>
      </c>
      <c r="D93" s="1" t="s">
        <v>112</v>
      </c>
      <c r="E93" s="1" t="s">
        <v>233</v>
      </c>
      <c r="F93" s="1" t="s">
        <v>234</v>
      </c>
      <c r="G93" s="1" t="s">
        <v>235</v>
      </c>
      <c r="H93" s="1" t="s">
        <v>236</v>
      </c>
      <c r="I93" s="1" t="s">
        <v>237</v>
      </c>
      <c r="J93" s="1" t="s">
        <v>238</v>
      </c>
    </row>
    <row r="94" spans="1:10" x14ac:dyDescent="0.25">
      <c r="A94" s="1" t="str">
        <f t="shared" si="1"/>
        <v>03 EE2 50.6</v>
      </c>
      <c r="B9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94" s="1" t="s">
        <v>1859</v>
      </c>
      <c r="D94" s="1" t="s">
        <v>112</v>
      </c>
      <c r="E94" s="1" t="s">
        <v>1860</v>
      </c>
      <c r="F94" s="1" t="s">
        <v>1861</v>
      </c>
      <c r="G94" s="1" t="s">
        <v>1862</v>
      </c>
      <c r="H94" s="1" t="s">
        <v>1863</v>
      </c>
      <c r="I94" s="1">
        <v>24</v>
      </c>
      <c r="J94" s="1">
        <v>24</v>
      </c>
    </row>
    <row r="95" spans="1:10" x14ac:dyDescent="0.25">
      <c r="A95" s="1" t="str">
        <f t="shared" si="1"/>
        <v/>
      </c>
      <c r="B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5" s="1" t="s">
        <v>112</v>
      </c>
    </row>
    <row r="96" spans="1:10" x14ac:dyDescent="0.25">
      <c r="A96" s="1" t="str">
        <f t="shared" si="1"/>
        <v/>
      </c>
      <c r="B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6" s="1" t="s">
        <v>112</v>
      </c>
    </row>
    <row r="97" spans="1:7" x14ac:dyDescent="0.25">
      <c r="A97" s="1" t="str">
        <f t="shared" si="1"/>
        <v/>
      </c>
      <c r="B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7" s="1" t="s">
        <v>112</v>
      </c>
    </row>
    <row r="98" spans="1:7" x14ac:dyDescent="0.25">
      <c r="A98" s="1" t="str">
        <f t="shared" si="1"/>
        <v/>
      </c>
      <c r="B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8" s="1" t="s">
        <v>112</v>
      </c>
    </row>
    <row r="99" spans="1:7" x14ac:dyDescent="0.25">
      <c r="A99" s="1" t="str">
        <f t="shared" si="1"/>
        <v/>
      </c>
      <c r="B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9" s="1" t="s">
        <v>112</v>
      </c>
    </row>
    <row r="100" spans="1:7" x14ac:dyDescent="0.25">
      <c r="A100" s="1" t="str">
        <f t="shared" si="1"/>
        <v/>
      </c>
      <c r="B1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00" s="1" t="s">
        <v>244</v>
      </c>
      <c r="D100" s="1" t="s">
        <v>110</v>
      </c>
      <c r="E100" s="1" t="s">
        <v>111</v>
      </c>
      <c r="F100" s="1" t="s">
        <v>112</v>
      </c>
      <c r="G100" s="1" t="s">
        <v>113</v>
      </c>
    </row>
    <row r="101" spans="1:7" x14ac:dyDescent="0.25">
      <c r="A101" s="1" t="str">
        <f t="shared" si="1"/>
        <v>04 EE2 76</v>
      </c>
      <c r="B1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1" s="1" t="s">
        <v>1864</v>
      </c>
    </row>
    <row r="102" spans="1:7" x14ac:dyDescent="0.25">
      <c r="A102" s="1" t="str">
        <f t="shared" si="1"/>
        <v>04 EE2 76</v>
      </c>
      <c r="B1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2" s="1" t="s">
        <v>1865</v>
      </c>
      <c r="D102" s="1" t="s">
        <v>1866</v>
      </c>
      <c r="E102" s="1" t="s">
        <v>1867</v>
      </c>
      <c r="F102" s="1" t="s">
        <v>112</v>
      </c>
      <c r="G102" s="1">
        <v>694211</v>
      </c>
    </row>
    <row r="103" spans="1:7" x14ac:dyDescent="0.25">
      <c r="A103" s="1" t="str">
        <f t="shared" si="1"/>
        <v>04 EE2 76</v>
      </c>
      <c r="B1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3" s="1" t="s">
        <v>1868</v>
      </c>
      <c r="D103" s="1" t="s">
        <v>1869</v>
      </c>
      <c r="E103" s="1" t="s">
        <v>1692</v>
      </c>
      <c r="F103" s="1" t="s">
        <v>112</v>
      </c>
      <c r="G103" s="1">
        <v>120781</v>
      </c>
    </row>
    <row r="104" spans="1:7" x14ac:dyDescent="0.25">
      <c r="A104" s="1" t="str">
        <f t="shared" si="1"/>
        <v>04 EE2 76</v>
      </c>
      <c r="B1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4" s="1" t="s">
        <v>1870</v>
      </c>
      <c r="D104" s="1" t="s">
        <v>1871</v>
      </c>
      <c r="E104" s="1" t="s">
        <v>1872</v>
      </c>
      <c r="F104" s="1" t="s">
        <v>112</v>
      </c>
      <c r="G104" s="1">
        <v>458727</v>
      </c>
    </row>
    <row r="105" spans="1:7" x14ac:dyDescent="0.25">
      <c r="A105" s="1" t="str">
        <f t="shared" si="1"/>
        <v>04 EE2 76</v>
      </c>
      <c r="B1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5" s="1" t="s">
        <v>1873</v>
      </c>
      <c r="D105" s="1" t="s">
        <v>1874</v>
      </c>
      <c r="E105" s="1" t="s">
        <v>1875</v>
      </c>
      <c r="F105" s="1" t="s">
        <v>112</v>
      </c>
      <c r="G105" s="1">
        <v>370174</v>
      </c>
    </row>
    <row r="106" spans="1:7" x14ac:dyDescent="0.25">
      <c r="A106" s="1" t="str">
        <f t="shared" si="1"/>
        <v>04 EE2 76</v>
      </c>
      <c r="B1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6" s="1" t="s">
        <v>1876</v>
      </c>
      <c r="D106" s="1" t="s">
        <v>1811</v>
      </c>
      <c r="E106" s="1" t="s">
        <v>1877</v>
      </c>
      <c r="F106" s="1" t="s">
        <v>112</v>
      </c>
      <c r="G106" s="1">
        <v>431408</v>
      </c>
    </row>
    <row r="107" spans="1:7" x14ac:dyDescent="0.25">
      <c r="A107" s="1" t="str">
        <f t="shared" si="1"/>
        <v>04 EE2 76</v>
      </c>
      <c r="B1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7" s="1" t="s">
        <v>1878</v>
      </c>
      <c r="D107" s="1" t="s">
        <v>1879</v>
      </c>
      <c r="E107" s="1" t="s">
        <v>1880</v>
      </c>
      <c r="F107" s="1" t="s">
        <v>112</v>
      </c>
      <c r="G107" s="1">
        <v>401732</v>
      </c>
    </row>
    <row r="108" spans="1:7" x14ac:dyDescent="0.25">
      <c r="A108" s="1" t="str">
        <f t="shared" si="1"/>
        <v>04 EE2 76</v>
      </c>
      <c r="B1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8" s="1" t="s">
        <v>1881</v>
      </c>
      <c r="D108" s="1" t="s">
        <v>1882</v>
      </c>
      <c r="E108" s="1" t="s">
        <v>1883</v>
      </c>
      <c r="F108" s="1" t="s">
        <v>112</v>
      </c>
      <c r="G108" s="1">
        <v>296957</v>
      </c>
    </row>
    <row r="109" spans="1:7" x14ac:dyDescent="0.25">
      <c r="A109" s="1" t="str">
        <f t="shared" si="1"/>
        <v>04 EE2 76</v>
      </c>
      <c r="B1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9" s="1" t="s">
        <v>1884</v>
      </c>
      <c r="D109" s="1" t="s">
        <v>1885</v>
      </c>
      <c r="E109" s="1" t="s">
        <v>1886</v>
      </c>
      <c r="F109" s="1" t="s">
        <v>112</v>
      </c>
      <c r="G109" s="1">
        <v>99108</v>
      </c>
    </row>
    <row r="110" spans="1:7" x14ac:dyDescent="0.25">
      <c r="A110" s="1" t="str">
        <f t="shared" si="1"/>
        <v>04 EE2 76</v>
      </c>
      <c r="B1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0" s="1" t="s">
        <v>1887</v>
      </c>
      <c r="D110" s="1" t="s">
        <v>1888</v>
      </c>
      <c r="E110" s="1" t="s">
        <v>1889</v>
      </c>
      <c r="F110" s="1" t="s">
        <v>112</v>
      </c>
      <c r="G110" s="1">
        <v>579097</v>
      </c>
    </row>
    <row r="111" spans="1:7" x14ac:dyDescent="0.25">
      <c r="A111" s="1" t="str">
        <f t="shared" si="1"/>
        <v>04 EE2 76</v>
      </c>
      <c r="B1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1" s="1" t="s">
        <v>1890</v>
      </c>
      <c r="D111" s="1" t="s">
        <v>1891</v>
      </c>
      <c r="E111" s="1" t="s">
        <v>1892</v>
      </c>
      <c r="F111" s="1" t="s">
        <v>112</v>
      </c>
      <c r="G111" s="1">
        <v>291787</v>
      </c>
    </row>
    <row r="112" spans="1:7" x14ac:dyDescent="0.25">
      <c r="A112" s="1" t="str">
        <f t="shared" si="1"/>
        <v>04 EE2 76</v>
      </c>
      <c r="B1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2" s="1" t="s">
        <v>1893</v>
      </c>
      <c r="D112" s="1" t="s">
        <v>367</v>
      </c>
      <c r="E112" s="1" t="s">
        <v>1894</v>
      </c>
      <c r="F112" s="1" t="s">
        <v>112</v>
      </c>
      <c r="G112" s="1">
        <v>238686</v>
      </c>
    </row>
    <row r="113" spans="1:10" x14ac:dyDescent="0.25">
      <c r="A113" s="1" t="str">
        <f t="shared" si="1"/>
        <v>04 EE2 76</v>
      </c>
      <c r="B1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3" s="1" t="s">
        <v>1895</v>
      </c>
      <c r="D113" s="1" t="s">
        <v>1896</v>
      </c>
      <c r="E113" s="1" t="s">
        <v>1897</v>
      </c>
      <c r="F113" s="1" t="s">
        <v>112</v>
      </c>
      <c r="G113" s="1">
        <v>220171</v>
      </c>
    </row>
    <row r="114" spans="1:10" x14ac:dyDescent="0.25">
      <c r="A114" s="1" t="str">
        <f t="shared" si="1"/>
        <v>04 EE2 76</v>
      </c>
      <c r="B1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4" s="1" t="s">
        <v>1898</v>
      </c>
      <c r="D114" s="1" t="s">
        <v>199</v>
      </c>
      <c r="E114" s="1" t="s">
        <v>1899</v>
      </c>
      <c r="F114" s="1" t="s">
        <v>112</v>
      </c>
      <c r="G114" s="1">
        <v>177560</v>
      </c>
    </row>
    <row r="115" spans="1:10" x14ac:dyDescent="0.25">
      <c r="A115" s="1" t="str">
        <f t="shared" si="1"/>
        <v>04 EE2 76</v>
      </c>
      <c r="B1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5" s="1" t="s">
        <v>1900</v>
      </c>
      <c r="D115" s="1" t="s">
        <v>1901</v>
      </c>
      <c r="E115" s="1" t="s">
        <v>1902</v>
      </c>
      <c r="F115" s="1" t="s">
        <v>112</v>
      </c>
      <c r="G115" s="1">
        <v>89894</v>
      </c>
    </row>
    <row r="116" spans="1:10" x14ac:dyDescent="0.25">
      <c r="A116" s="1" t="str">
        <f t="shared" si="1"/>
        <v>04 EE2 76</v>
      </c>
      <c r="B1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6" s="1" t="s">
        <v>1903</v>
      </c>
      <c r="D116" s="1" t="s">
        <v>1904</v>
      </c>
      <c r="E116" s="1" t="s">
        <v>1905</v>
      </c>
      <c r="F116" s="1" t="s">
        <v>112</v>
      </c>
      <c r="G116" s="1">
        <v>907569</v>
      </c>
    </row>
    <row r="117" spans="1:10" x14ac:dyDescent="0.25">
      <c r="A117" s="1" t="str">
        <f t="shared" si="1"/>
        <v>04 EE2 76</v>
      </c>
      <c r="B1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7" s="1" t="s">
        <v>1906</v>
      </c>
      <c r="D117" s="1" t="s">
        <v>1907</v>
      </c>
      <c r="E117" s="1" t="s">
        <v>1908</v>
      </c>
      <c r="F117" s="1" t="s">
        <v>112</v>
      </c>
      <c r="G117" s="1">
        <v>955933</v>
      </c>
    </row>
    <row r="118" spans="1:10" x14ac:dyDescent="0.25">
      <c r="A118" s="1" t="str">
        <f t="shared" si="1"/>
        <v>04 EE2 76</v>
      </c>
      <c r="B1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8" s="1" t="s">
        <v>1909</v>
      </c>
      <c r="D118" s="1" t="s">
        <v>1910</v>
      </c>
      <c r="E118" s="1" t="s">
        <v>1911</v>
      </c>
      <c r="F118" s="1" t="s">
        <v>112</v>
      </c>
      <c r="G118" s="1">
        <v>385661</v>
      </c>
    </row>
    <row r="119" spans="1:10" x14ac:dyDescent="0.25">
      <c r="A119" s="1" t="str">
        <f t="shared" si="1"/>
        <v>04 EE2 76</v>
      </c>
      <c r="B1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19" s="1" t="s">
        <v>1912</v>
      </c>
      <c r="D119" s="1" t="s">
        <v>1913</v>
      </c>
      <c r="E119" s="1" t="s">
        <v>1914</v>
      </c>
      <c r="F119" s="1" t="s">
        <v>112</v>
      </c>
      <c r="G119" s="1">
        <v>1198210</v>
      </c>
    </row>
    <row r="120" spans="1:10" x14ac:dyDescent="0.25">
      <c r="A120" s="1" t="str">
        <f t="shared" si="1"/>
        <v>04 EE2 76</v>
      </c>
      <c r="B1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0" s="1" t="s">
        <v>1915</v>
      </c>
      <c r="D120" s="1" t="s">
        <v>1916</v>
      </c>
      <c r="E120" s="1" t="s">
        <v>1917</v>
      </c>
      <c r="F120" s="1" t="s">
        <v>112</v>
      </c>
      <c r="G120" s="1">
        <v>947735</v>
      </c>
    </row>
    <row r="121" spans="1:10" x14ac:dyDescent="0.25">
      <c r="A121" s="1" t="str">
        <f t="shared" si="1"/>
        <v>04 EE2 76</v>
      </c>
      <c r="B1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1" s="1" t="s">
        <v>1918</v>
      </c>
      <c r="D121" s="1" t="s">
        <v>1919</v>
      </c>
      <c r="E121" s="1" t="s">
        <v>1920</v>
      </c>
      <c r="F121" s="1" t="s">
        <v>112</v>
      </c>
      <c r="G121" s="1">
        <v>896343</v>
      </c>
    </row>
    <row r="122" spans="1:10" x14ac:dyDescent="0.25">
      <c r="A122" s="1" t="str">
        <f t="shared" si="1"/>
        <v>04 EE2 76</v>
      </c>
      <c r="B1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2" s="1" t="s">
        <v>1921</v>
      </c>
      <c r="D122" s="1" t="s">
        <v>1922</v>
      </c>
      <c r="E122" s="1" t="s">
        <v>1923</v>
      </c>
      <c r="F122" s="1" t="s">
        <v>112</v>
      </c>
      <c r="G122" s="1">
        <v>1393073</v>
      </c>
    </row>
    <row r="123" spans="1:10" x14ac:dyDescent="0.25">
      <c r="A123" s="1" t="str">
        <f t="shared" si="1"/>
        <v>04 EE2 76</v>
      </c>
      <c r="B1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3" s="1" t="s">
        <v>1924</v>
      </c>
      <c r="D123" s="1" t="s">
        <v>1925</v>
      </c>
      <c r="E123" s="1" t="s">
        <v>1926</v>
      </c>
      <c r="F123" s="1" t="s">
        <v>112</v>
      </c>
      <c r="G123" s="1">
        <v>1144416</v>
      </c>
    </row>
    <row r="124" spans="1:10" x14ac:dyDescent="0.25">
      <c r="A124" s="1" t="str">
        <f t="shared" si="1"/>
        <v>04 EE2 76</v>
      </c>
      <c r="B1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4" s="1" t="s">
        <v>1927</v>
      </c>
      <c r="D124" s="1" t="s">
        <v>1928</v>
      </c>
      <c r="E124" s="1" t="s">
        <v>1929</v>
      </c>
      <c r="F124" s="1" t="s">
        <v>112</v>
      </c>
      <c r="G124" s="1">
        <v>1088330</v>
      </c>
    </row>
    <row r="125" spans="1:10" x14ac:dyDescent="0.25">
      <c r="A125" s="1" t="str">
        <f t="shared" si="1"/>
        <v/>
      </c>
      <c r="B1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5" s="1" t="s">
        <v>112</v>
      </c>
    </row>
    <row r="126" spans="1:10" x14ac:dyDescent="0.25">
      <c r="A126" s="1" t="str">
        <f t="shared" si="1"/>
        <v/>
      </c>
      <c r="B1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6" s="1" t="s">
        <v>232</v>
      </c>
      <c r="D126" s="1" t="s">
        <v>112</v>
      </c>
      <c r="E126" s="1" t="s">
        <v>233</v>
      </c>
      <c r="F126" s="1" t="s">
        <v>234</v>
      </c>
      <c r="G126" s="1" t="s">
        <v>235</v>
      </c>
      <c r="H126" s="1" t="s">
        <v>236</v>
      </c>
      <c r="I126" s="1" t="s">
        <v>237</v>
      </c>
      <c r="J126" s="1" t="s">
        <v>238</v>
      </c>
    </row>
    <row r="127" spans="1:10" x14ac:dyDescent="0.25">
      <c r="A127" s="1" t="str">
        <f t="shared" si="1"/>
        <v>04 EE2 76</v>
      </c>
      <c r="B12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27" s="1" t="s">
        <v>1930</v>
      </c>
      <c r="D127" s="1" t="s">
        <v>112</v>
      </c>
      <c r="E127" s="1" t="s">
        <v>1931</v>
      </c>
      <c r="F127" s="1" t="s">
        <v>1932</v>
      </c>
      <c r="G127" s="1" t="s">
        <v>1933</v>
      </c>
      <c r="H127" s="1" t="s">
        <v>1934</v>
      </c>
      <c r="I127" s="1">
        <v>24</v>
      </c>
      <c r="J127" s="1">
        <v>24</v>
      </c>
    </row>
    <row r="128" spans="1:10" x14ac:dyDescent="0.25">
      <c r="A128" s="1" t="str">
        <f t="shared" si="1"/>
        <v/>
      </c>
      <c r="B1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8" s="1" t="s">
        <v>112</v>
      </c>
    </row>
    <row r="129" spans="1:7" x14ac:dyDescent="0.25">
      <c r="A129" s="1" t="str">
        <f t="shared" si="1"/>
        <v/>
      </c>
      <c r="B1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9" s="1" t="s">
        <v>112</v>
      </c>
    </row>
    <row r="130" spans="1:7" x14ac:dyDescent="0.25">
      <c r="A130" s="1" t="str">
        <f t="shared" ref="A130:A193" si="2">IFERROR(LEFT(RIGHT(C130,LEN(C130)-SEARCH("@",C130)),SEARCH("/",RIGHT(C130,LEN(C130)-SEARCH("@",C130)-1))),"")</f>
        <v/>
      </c>
      <c r="B1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0" s="1" t="s">
        <v>112</v>
      </c>
    </row>
    <row r="131" spans="1:7" x14ac:dyDescent="0.25">
      <c r="A131" s="1" t="str">
        <f t="shared" si="2"/>
        <v/>
      </c>
      <c r="B1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1" s="1" t="s">
        <v>112</v>
      </c>
    </row>
    <row r="132" spans="1:7" x14ac:dyDescent="0.25">
      <c r="A132" s="1" t="str">
        <f t="shared" si="2"/>
        <v/>
      </c>
      <c r="B1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2" s="1" t="s">
        <v>112</v>
      </c>
    </row>
    <row r="133" spans="1:7" x14ac:dyDescent="0.25">
      <c r="A133" s="1" t="str">
        <f t="shared" si="2"/>
        <v/>
      </c>
      <c r="B1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3" s="1" t="s">
        <v>244</v>
      </c>
      <c r="D133" s="1" t="s">
        <v>110</v>
      </c>
      <c r="E133" s="1" t="s">
        <v>111</v>
      </c>
      <c r="F133" s="1" t="s">
        <v>112</v>
      </c>
      <c r="G133" s="1" t="s">
        <v>113</v>
      </c>
    </row>
    <row r="134" spans="1:7" x14ac:dyDescent="0.25">
      <c r="A134" s="1" t="str">
        <f t="shared" si="2"/>
        <v>05 EE2 114</v>
      </c>
      <c r="B1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4" s="1" t="s">
        <v>1935</v>
      </c>
      <c r="D134" s="1" t="s">
        <v>1936</v>
      </c>
      <c r="E134" s="1" t="s">
        <v>1937</v>
      </c>
      <c r="F134" s="1" t="s">
        <v>112</v>
      </c>
      <c r="G134" s="1">
        <v>1856364</v>
      </c>
    </row>
    <row r="135" spans="1:7" x14ac:dyDescent="0.25">
      <c r="A135" s="1" t="str">
        <f t="shared" si="2"/>
        <v>05 EE2 114</v>
      </c>
      <c r="B1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5" s="1" t="s">
        <v>1938</v>
      </c>
      <c r="D135" s="1" t="s">
        <v>1939</v>
      </c>
      <c r="E135" s="1" t="s">
        <v>1940</v>
      </c>
      <c r="F135" s="1" t="s">
        <v>112</v>
      </c>
      <c r="G135" s="1">
        <v>1573986</v>
      </c>
    </row>
    <row r="136" spans="1:7" x14ac:dyDescent="0.25">
      <c r="A136" s="1" t="str">
        <f t="shared" si="2"/>
        <v>05 EE2 114</v>
      </c>
      <c r="B1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6" s="1" t="s">
        <v>1941</v>
      </c>
      <c r="D136" s="1" t="s">
        <v>1942</v>
      </c>
      <c r="E136" s="1" t="s">
        <v>1943</v>
      </c>
      <c r="F136" s="1" t="s">
        <v>112</v>
      </c>
      <c r="G136" s="1">
        <v>1791885</v>
      </c>
    </row>
    <row r="137" spans="1:7" x14ac:dyDescent="0.25">
      <c r="A137" s="1" t="str">
        <f t="shared" si="2"/>
        <v>05 EE2 114</v>
      </c>
      <c r="B1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7" s="1" t="s">
        <v>1944</v>
      </c>
      <c r="D137" s="1" t="s">
        <v>1945</v>
      </c>
      <c r="E137" s="1" t="s">
        <v>1946</v>
      </c>
      <c r="F137" s="1" t="s">
        <v>112</v>
      </c>
      <c r="G137" s="1">
        <v>838872</v>
      </c>
    </row>
    <row r="138" spans="1:7" x14ac:dyDescent="0.25">
      <c r="A138" s="1" t="str">
        <f t="shared" si="2"/>
        <v>05 EE2 114</v>
      </c>
      <c r="B1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8" s="1" t="s">
        <v>1947</v>
      </c>
      <c r="D138" s="1" t="s">
        <v>1948</v>
      </c>
      <c r="E138" s="1" t="s">
        <v>1949</v>
      </c>
      <c r="F138" s="1" t="s">
        <v>112</v>
      </c>
      <c r="G138" s="1">
        <v>761394</v>
      </c>
    </row>
    <row r="139" spans="1:7" x14ac:dyDescent="0.25">
      <c r="A139" s="1" t="str">
        <f t="shared" si="2"/>
        <v>05 EE2 114</v>
      </c>
      <c r="B1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9" s="1" t="s">
        <v>1950</v>
      </c>
      <c r="D139" s="1" t="s">
        <v>1951</v>
      </c>
      <c r="E139" s="1" t="s">
        <v>1952</v>
      </c>
      <c r="F139" s="1" t="s">
        <v>112</v>
      </c>
      <c r="G139" s="1">
        <v>797105</v>
      </c>
    </row>
    <row r="140" spans="1:7" x14ac:dyDescent="0.25">
      <c r="A140" s="1" t="str">
        <f t="shared" si="2"/>
        <v>05 EE2 114</v>
      </c>
      <c r="B1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0" s="1" t="s">
        <v>1953</v>
      </c>
      <c r="D140" s="1" t="s">
        <v>1954</v>
      </c>
      <c r="E140" s="1" t="s">
        <v>1955</v>
      </c>
      <c r="F140" s="1" t="s">
        <v>112</v>
      </c>
      <c r="G140" s="1">
        <v>729338</v>
      </c>
    </row>
    <row r="141" spans="1:7" x14ac:dyDescent="0.25">
      <c r="A141" s="1" t="str">
        <f t="shared" si="2"/>
        <v>05 EE2 114</v>
      </c>
      <c r="B1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1" s="1" t="s">
        <v>1956</v>
      </c>
      <c r="D141" s="1" t="s">
        <v>1957</v>
      </c>
      <c r="E141" s="1" t="s">
        <v>1958</v>
      </c>
      <c r="F141" s="1" t="s">
        <v>112</v>
      </c>
      <c r="G141" s="1">
        <v>731393</v>
      </c>
    </row>
    <row r="142" spans="1:7" x14ac:dyDescent="0.25">
      <c r="A142" s="1" t="str">
        <f t="shared" si="2"/>
        <v>05 EE2 114</v>
      </c>
      <c r="B1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2" s="1" t="s">
        <v>1959</v>
      </c>
      <c r="D142" s="1" t="s">
        <v>1960</v>
      </c>
      <c r="E142" s="1" t="s">
        <v>1961</v>
      </c>
      <c r="F142" s="1" t="s">
        <v>112</v>
      </c>
      <c r="G142" s="1">
        <v>795050</v>
      </c>
    </row>
    <row r="143" spans="1:7" x14ac:dyDescent="0.25">
      <c r="A143" s="1" t="str">
        <f t="shared" si="2"/>
        <v>05 EE2 114</v>
      </c>
      <c r="B1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3" s="1" t="s">
        <v>1962</v>
      </c>
      <c r="D143" s="1" t="s">
        <v>1963</v>
      </c>
      <c r="E143" s="1" t="s">
        <v>1964</v>
      </c>
      <c r="F143" s="1" t="s">
        <v>112</v>
      </c>
      <c r="G143" s="1">
        <v>1930360</v>
      </c>
    </row>
    <row r="144" spans="1:7" x14ac:dyDescent="0.25">
      <c r="A144" s="1" t="str">
        <f t="shared" si="2"/>
        <v>05 EE2 114</v>
      </c>
      <c r="B1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4" s="1" t="s">
        <v>1965</v>
      </c>
      <c r="D144" s="1" t="s">
        <v>1966</v>
      </c>
      <c r="E144" s="1" t="s">
        <v>1967</v>
      </c>
      <c r="F144" s="1" t="s">
        <v>112</v>
      </c>
      <c r="G144" s="1">
        <v>1555709</v>
      </c>
    </row>
    <row r="145" spans="1:10" x14ac:dyDescent="0.25">
      <c r="A145" s="1" t="str">
        <f t="shared" si="2"/>
        <v>05 EE2 114</v>
      </c>
      <c r="B1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5" s="1" t="s">
        <v>1968</v>
      </c>
      <c r="D145" s="1" t="s">
        <v>1348</v>
      </c>
      <c r="E145" s="1" t="s">
        <v>1969</v>
      </c>
      <c r="F145" s="1" t="s">
        <v>112</v>
      </c>
      <c r="G145" s="1">
        <v>1640325</v>
      </c>
    </row>
    <row r="146" spans="1:10" x14ac:dyDescent="0.25">
      <c r="A146" s="1" t="str">
        <f t="shared" si="2"/>
        <v>05 EE2 114</v>
      </c>
      <c r="B1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6" s="1" t="s">
        <v>1970</v>
      </c>
      <c r="D146" s="1" t="s">
        <v>1971</v>
      </c>
      <c r="E146" s="1" t="s">
        <v>1972</v>
      </c>
      <c r="F146" s="1" t="s">
        <v>112</v>
      </c>
      <c r="G146" s="1">
        <v>450118</v>
      </c>
    </row>
    <row r="147" spans="1:10" x14ac:dyDescent="0.25">
      <c r="A147" s="1" t="str">
        <f t="shared" si="2"/>
        <v>05 EE2 114</v>
      </c>
      <c r="B1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7" s="1" t="s">
        <v>1973</v>
      </c>
      <c r="D147" s="1" t="s">
        <v>1974</v>
      </c>
      <c r="E147" s="1" t="s">
        <v>1975</v>
      </c>
      <c r="F147" s="1" t="s">
        <v>112</v>
      </c>
      <c r="G147" s="1">
        <v>721011</v>
      </c>
    </row>
    <row r="148" spans="1:10" x14ac:dyDescent="0.25">
      <c r="A148" s="1" t="str">
        <f t="shared" si="2"/>
        <v>05 EE2 114</v>
      </c>
      <c r="B1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8" s="1" t="s">
        <v>1976</v>
      </c>
      <c r="D148" s="1" t="s">
        <v>1977</v>
      </c>
      <c r="E148" s="1" t="s">
        <v>1978</v>
      </c>
      <c r="F148" s="1" t="s">
        <v>112</v>
      </c>
      <c r="G148" s="1">
        <v>530149</v>
      </c>
    </row>
    <row r="149" spans="1:10" x14ac:dyDescent="0.25">
      <c r="A149" s="1" t="str">
        <f t="shared" si="2"/>
        <v>05 EE2 114</v>
      </c>
      <c r="B1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49" s="1" t="s">
        <v>1979</v>
      </c>
      <c r="D149" s="1" t="s">
        <v>1980</v>
      </c>
      <c r="E149" s="1" t="s">
        <v>1981</v>
      </c>
      <c r="F149" s="1" t="s">
        <v>112</v>
      </c>
      <c r="G149" s="1">
        <v>2075107</v>
      </c>
    </row>
    <row r="150" spans="1:10" x14ac:dyDescent="0.25">
      <c r="A150" s="1" t="str">
        <f t="shared" si="2"/>
        <v>05 EE2 114</v>
      </c>
      <c r="B1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0" s="1" t="s">
        <v>1982</v>
      </c>
      <c r="D150" s="1" t="s">
        <v>1983</v>
      </c>
      <c r="E150" s="1" t="s">
        <v>1984</v>
      </c>
      <c r="F150" s="1" t="s">
        <v>112</v>
      </c>
      <c r="G150" s="1">
        <v>1622004</v>
      </c>
    </row>
    <row r="151" spans="1:10" x14ac:dyDescent="0.25">
      <c r="A151" s="1" t="str">
        <f t="shared" si="2"/>
        <v>05 EE2 114</v>
      </c>
      <c r="B1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1" s="1" t="s">
        <v>1985</v>
      </c>
      <c r="D151" s="1" t="s">
        <v>1986</v>
      </c>
      <c r="E151" s="1" t="s">
        <v>1987</v>
      </c>
      <c r="F151" s="1" t="s">
        <v>112</v>
      </c>
      <c r="G151" s="1">
        <v>2077076</v>
      </c>
    </row>
    <row r="152" spans="1:10" x14ac:dyDescent="0.25">
      <c r="A152" s="1" t="str">
        <f t="shared" si="2"/>
        <v>05 EE2 114</v>
      </c>
      <c r="B1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2" s="1" t="s">
        <v>1988</v>
      </c>
      <c r="D152" s="1" t="s">
        <v>1989</v>
      </c>
      <c r="E152" s="1" t="s">
        <v>1990</v>
      </c>
      <c r="F152" s="1" t="s">
        <v>112</v>
      </c>
      <c r="G152" s="1">
        <v>2578154</v>
      </c>
    </row>
    <row r="153" spans="1:10" x14ac:dyDescent="0.25">
      <c r="A153" s="1" t="str">
        <f t="shared" si="2"/>
        <v>05 EE2 114</v>
      </c>
      <c r="B1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3" s="1" t="s">
        <v>1991</v>
      </c>
      <c r="D153" s="1" t="s">
        <v>1992</v>
      </c>
      <c r="E153" s="1" t="s">
        <v>1993</v>
      </c>
      <c r="F153" s="1" t="s">
        <v>112</v>
      </c>
      <c r="G153" s="1">
        <v>1734004</v>
      </c>
    </row>
    <row r="154" spans="1:10" x14ac:dyDescent="0.25">
      <c r="A154" s="1" t="str">
        <f t="shared" si="2"/>
        <v>05 EE2 114</v>
      </c>
      <c r="B1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4" s="1" t="s">
        <v>1994</v>
      </c>
      <c r="D154" s="1" t="s">
        <v>1995</v>
      </c>
      <c r="E154" s="1" t="s">
        <v>1996</v>
      </c>
      <c r="F154" s="1" t="s">
        <v>112</v>
      </c>
      <c r="G154" s="1">
        <v>1982553</v>
      </c>
    </row>
    <row r="155" spans="1:10" x14ac:dyDescent="0.25">
      <c r="A155" s="1" t="str">
        <f t="shared" si="2"/>
        <v>05 EE2 114</v>
      </c>
      <c r="B1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5" s="1" t="s">
        <v>1997</v>
      </c>
    </row>
    <row r="156" spans="1:10" x14ac:dyDescent="0.25">
      <c r="A156" s="1" t="str">
        <f t="shared" si="2"/>
        <v>05 EE2 114</v>
      </c>
      <c r="B1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6" s="1" t="s">
        <v>1998</v>
      </c>
    </row>
    <row r="157" spans="1:10" x14ac:dyDescent="0.25">
      <c r="A157" s="1" t="str">
        <f t="shared" si="2"/>
        <v>05 EE2 114</v>
      </c>
      <c r="B1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7" s="1" t="s">
        <v>1999</v>
      </c>
    </row>
    <row r="158" spans="1:10" x14ac:dyDescent="0.25">
      <c r="A158" s="1" t="str">
        <f t="shared" si="2"/>
        <v/>
      </c>
      <c r="B1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58" s="1" t="s">
        <v>112</v>
      </c>
    </row>
    <row r="159" spans="1:10" x14ac:dyDescent="0.25">
      <c r="A159" s="1" t="str">
        <f t="shared" si="2"/>
        <v/>
      </c>
      <c r="B1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59" s="1" t="s">
        <v>232</v>
      </c>
      <c r="D159" s="1" t="s">
        <v>112</v>
      </c>
      <c r="E159" s="1" t="s">
        <v>233</v>
      </c>
      <c r="F159" s="1" t="s">
        <v>234</v>
      </c>
      <c r="G159" s="1" t="s">
        <v>235</v>
      </c>
      <c r="H159" s="1" t="s">
        <v>236</v>
      </c>
      <c r="I159" s="1" t="s">
        <v>237</v>
      </c>
      <c r="J159" s="1" t="s">
        <v>238</v>
      </c>
    </row>
    <row r="160" spans="1:10" x14ac:dyDescent="0.25">
      <c r="A160" s="1" t="str">
        <f t="shared" si="2"/>
        <v>05 EE2 114</v>
      </c>
      <c r="B16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60" s="1" t="s">
        <v>2000</v>
      </c>
      <c r="D160" s="1" t="s">
        <v>112</v>
      </c>
      <c r="E160" s="1" t="s">
        <v>2001</v>
      </c>
      <c r="F160" s="1" t="s">
        <v>2002</v>
      </c>
      <c r="G160" s="1" t="s">
        <v>2003</v>
      </c>
      <c r="H160" s="1" t="s">
        <v>2004</v>
      </c>
      <c r="I160" s="1">
        <v>24</v>
      </c>
      <c r="J160" s="1">
        <v>24</v>
      </c>
    </row>
    <row r="161" spans="1:7" x14ac:dyDescent="0.25">
      <c r="A161" s="1" t="str">
        <f t="shared" si="2"/>
        <v/>
      </c>
      <c r="B1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1" s="1" t="s">
        <v>112</v>
      </c>
    </row>
    <row r="162" spans="1:7" x14ac:dyDescent="0.25">
      <c r="A162" s="1" t="str">
        <f t="shared" si="2"/>
        <v/>
      </c>
      <c r="B1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2" s="1" t="s">
        <v>112</v>
      </c>
    </row>
    <row r="163" spans="1:7" x14ac:dyDescent="0.25">
      <c r="A163" s="1" t="str">
        <f t="shared" si="2"/>
        <v/>
      </c>
      <c r="B1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3" s="1" t="s">
        <v>112</v>
      </c>
    </row>
    <row r="164" spans="1:7" x14ac:dyDescent="0.25">
      <c r="A164" s="1" t="str">
        <f t="shared" si="2"/>
        <v/>
      </c>
      <c r="B1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4" s="1" t="s">
        <v>112</v>
      </c>
    </row>
    <row r="165" spans="1:7" x14ac:dyDescent="0.25">
      <c r="A165" s="1" t="str">
        <f t="shared" si="2"/>
        <v/>
      </c>
      <c r="B1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5" s="1" t="s">
        <v>112</v>
      </c>
    </row>
    <row r="166" spans="1:7" x14ac:dyDescent="0.25">
      <c r="A166" s="1" t="str">
        <f t="shared" si="2"/>
        <v/>
      </c>
      <c r="B1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6" s="1" t="s">
        <v>244</v>
      </c>
      <c r="D166" s="1" t="s">
        <v>110</v>
      </c>
      <c r="E166" s="1" t="s">
        <v>111</v>
      </c>
      <c r="F166" s="1" t="s">
        <v>112</v>
      </c>
      <c r="G166" s="1" t="s">
        <v>113</v>
      </c>
    </row>
    <row r="167" spans="1:7" x14ac:dyDescent="0.25">
      <c r="A167" s="1" t="str">
        <f t="shared" si="2"/>
        <v>06 EE2 170.9</v>
      </c>
      <c r="B1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7" s="1" t="s">
        <v>2005</v>
      </c>
      <c r="D167" s="1" t="s">
        <v>981</v>
      </c>
      <c r="E167" s="1" t="s">
        <v>2006</v>
      </c>
      <c r="F167" s="1" t="s">
        <v>112</v>
      </c>
      <c r="G167" s="1">
        <v>3289864</v>
      </c>
    </row>
    <row r="168" spans="1:7" x14ac:dyDescent="0.25">
      <c r="A168" s="1" t="str">
        <f t="shared" si="2"/>
        <v>06 EE2 170.9</v>
      </c>
      <c r="B1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8" s="1" t="s">
        <v>2007</v>
      </c>
      <c r="D168" s="1" t="s">
        <v>2008</v>
      </c>
      <c r="E168" s="1" t="s">
        <v>2009</v>
      </c>
      <c r="F168" s="1" t="s">
        <v>112</v>
      </c>
      <c r="G168" s="1">
        <v>2595025</v>
      </c>
    </row>
    <row r="169" spans="1:7" x14ac:dyDescent="0.25">
      <c r="A169" s="1" t="str">
        <f t="shared" si="2"/>
        <v>06 EE2 170.9</v>
      </c>
      <c r="B1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9" s="1" t="s">
        <v>2010</v>
      </c>
      <c r="D169" s="1" t="s">
        <v>1224</v>
      </c>
      <c r="E169" s="1" t="s">
        <v>2011</v>
      </c>
      <c r="F169" s="1" t="s">
        <v>112</v>
      </c>
      <c r="G169" s="1">
        <v>2776024</v>
      </c>
    </row>
    <row r="170" spans="1:7" x14ac:dyDescent="0.25">
      <c r="A170" s="1" t="str">
        <f t="shared" si="2"/>
        <v>06 EE2 170.9</v>
      </c>
      <c r="B1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0" s="1" t="s">
        <v>2012</v>
      </c>
      <c r="D170" s="1" t="s">
        <v>2013</v>
      </c>
      <c r="E170" s="1" t="s">
        <v>2014</v>
      </c>
      <c r="F170" s="1" t="s">
        <v>112</v>
      </c>
      <c r="G170" s="1">
        <v>3469197</v>
      </c>
    </row>
    <row r="171" spans="1:7" x14ac:dyDescent="0.25">
      <c r="A171" s="1" t="str">
        <f t="shared" si="2"/>
        <v>06 EE2 170.9</v>
      </c>
      <c r="B1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1" s="1" t="s">
        <v>2015</v>
      </c>
      <c r="D171" s="1" t="s">
        <v>2016</v>
      </c>
      <c r="E171" s="1" t="s">
        <v>2017</v>
      </c>
      <c r="F171" s="1" t="s">
        <v>112</v>
      </c>
      <c r="G171" s="1">
        <v>2866826</v>
      </c>
    </row>
    <row r="172" spans="1:7" x14ac:dyDescent="0.25">
      <c r="A172" s="1" t="str">
        <f t="shared" si="2"/>
        <v>06 EE2 170.9</v>
      </c>
      <c r="B1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2" s="1" t="s">
        <v>2018</v>
      </c>
      <c r="D172" s="1" t="s">
        <v>2019</v>
      </c>
      <c r="E172" s="1" t="s">
        <v>2020</v>
      </c>
      <c r="F172" s="1" t="s">
        <v>112</v>
      </c>
      <c r="G172" s="1">
        <v>2942531</v>
      </c>
    </row>
    <row r="173" spans="1:7" x14ac:dyDescent="0.25">
      <c r="A173" s="1" t="str">
        <f t="shared" si="2"/>
        <v>06 EE2 170.9</v>
      </c>
      <c r="B1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3" s="1" t="s">
        <v>2021</v>
      </c>
      <c r="D173" s="1" t="s">
        <v>2022</v>
      </c>
      <c r="E173" s="1" t="s">
        <v>2023</v>
      </c>
      <c r="F173" s="1" t="s">
        <v>112</v>
      </c>
      <c r="G173" s="1">
        <v>3750970</v>
      </c>
    </row>
    <row r="174" spans="1:7" x14ac:dyDescent="0.25">
      <c r="A174" s="1" t="str">
        <f t="shared" si="2"/>
        <v>06 EE2 170.9</v>
      </c>
      <c r="B1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4" s="1" t="s">
        <v>2024</v>
      </c>
      <c r="D174" s="1" t="s">
        <v>2025</v>
      </c>
      <c r="E174" s="1" t="s">
        <v>2026</v>
      </c>
      <c r="F174" s="1" t="s">
        <v>112</v>
      </c>
      <c r="G174" s="1">
        <v>3867382</v>
      </c>
    </row>
    <row r="175" spans="1:7" x14ac:dyDescent="0.25">
      <c r="A175" s="1" t="str">
        <f t="shared" si="2"/>
        <v>06 EE2 170.9</v>
      </c>
      <c r="B1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5" s="1" t="s">
        <v>2027</v>
      </c>
      <c r="D175" s="1" t="s">
        <v>2028</v>
      </c>
      <c r="E175" s="1" t="s">
        <v>2029</v>
      </c>
      <c r="F175" s="1" t="s">
        <v>112</v>
      </c>
      <c r="G175" s="1">
        <v>3693348</v>
      </c>
    </row>
    <row r="176" spans="1:7" x14ac:dyDescent="0.25">
      <c r="A176" s="1" t="str">
        <f t="shared" si="2"/>
        <v>06 EE2 170.9</v>
      </c>
      <c r="B1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6" s="1" t="s">
        <v>2030</v>
      </c>
      <c r="D176" s="1" t="s">
        <v>2031</v>
      </c>
      <c r="E176" s="1" t="s">
        <v>2032</v>
      </c>
      <c r="F176" s="1" t="s">
        <v>112</v>
      </c>
      <c r="G176" s="1">
        <v>3780386</v>
      </c>
    </row>
    <row r="177" spans="1:10" x14ac:dyDescent="0.25">
      <c r="A177" s="1" t="str">
        <f t="shared" si="2"/>
        <v>06 EE2 170.9</v>
      </c>
      <c r="B1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7" s="1" t="s">
        <v>2033</v>
      </c>
    </row>
    <row r="178" spans="1:10" x14ac:dyDescent="0.25">
      <c r="A178" s="1" t="str">
        <f t="shared" si="2"/>
        <v>06 EE2 170.9</v>
      </c>
      <c r="B1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8" s="1" t="s">
        <v>2034</v>
      </c>
      <c r="D178" s="1" t="s">
        <v>532</v>
      </c>
      <c r="E178" s="1" t="s">
        <v>2035</v>
      </c>
      <c r="F178" s="1" t="s">
        <v>112</v>
      </c>
      <c r="G178" s="1">
        <v>3289474</v>
      </c>
    </row>
    <row r="179" spans="1:10" x14ac:dyDescent="0.25">
      <c r="A179" s="1" t="str">
        <f t="shared" si="2"/>
        <v>06 EE2 170.9</v>
      </c>
      <c r="B1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79" s="1" t="s">
        <v>2036</v>
      </c>
      <c r="D179" s="1" t="s">
        <v>930</v>
      </c>
      <c r="E179" s="1" t="s">
        <v>2037</v>
      </c>
      <c r="F179" s="1" t="s">
        <v>112</v>
      </c>
      <c r="G179" s="1">
        <v>2830401</v>
      </c>
    </row>
    <row r="180" spans="1:10" x14ac:dyDescent="0.25">
      <c r="A180" s="1" t="str">
        <f t="shared" si="2"/>
        <v>06 EE2 170.9</v>
      </c>
      <c r="B1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0" s="1" t="s">
        <v>2038</v>
      </c>
      <c r="D180" s="1" t="s">
        <v>2039</v>
      </c>
      <c r="E180" s="1" t="s">
        <v>2040</v>
      </c>
      <c r="F180" s="1" t="s">
        <v>112</v>
      </c>
      <c r="G180" s="1">
        <v>2836415</v>
      </c>
    </row>
    <row r="181" spans="1:10" x14ac:dyDescent="0.25">
      <c r="A181" s="1" t="str">
        <f t="shared" si="2"/>
        <v>06 EE2 170.9</v>
      </c>
      <c r="B1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1" s="1" t="s">
        <v>2041</v>
      </c>
      <c r="D181" s="1" t="s">
        <v>2042</v>
      </c>
      <c r="E181" s="1" t="s">
        <v>2043</v>
      </c>
      <c r="F181" s="1" t="s">
        <v>112</v>
      </c>
      <c r="G181" s="1">
        <v>2659439</v>
      </c>
    </row>
    <row r="182" spans="1:10" x14ac:dyDescent="0.25">
      <c r="A182" s="1" t="str">
        <f t="shared" si="2"/>
        <v>06 EE2 170.9</v>
      </c>
      <c r="B1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2" s="1" t="s">
        <v>2044</v>
      </c>
      <c r="D182" s="1" t="s">
        <v>2045</v>
      </c>
      <c r="E182" s="1" t="s">
        <v>2046</v>
      </c>
      <c r="F182" s="1" t="s">
        <v>112</v>
      </c>
      <c r="G182" s="1">
        <v>3758129</v>
      </c>
    </row>
    <row r="183" spans="1:10" x14ac:dyDescent="0.25">
      <c r="A183" s="1" t="str">
        <f t="shared" si="2"/>
        <v>06 EE2 170.9</v>
      </c>
      <c r="B1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3" s="1" t="s">
        <v>2047</v>
      </c>
      <c r="D183" s="1" t="s">
        <v>2048</v>
      </c>
      <c r="E183" s="1" t="s">
        <v>2049</v>
      </c>
      <c r="F183" s="1" t="s">
        <v>112</v>
      </c>
      <c r="G183" s="1">
        <v>3129586</v>
      </c>
    </row>
    <row r="184" spans="1:10" x14ac:dyDescent="0.25">
      <c r="A184" s="1" t="str">
        <f t="shared" si="2"/>
        <v>06 EE2 170.9</v>
      </c>
      <c r="B1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4" s="1" t="s">
        <v>2050</v>
      </c>
      <c r="D184" s="1" t="s">
        <v>2051</v>
      </c>
      <c r="E184" s="1" t="s">
        <v>2052</v>
      </c>
      <c r="F184" s="1" t="s">
        <v>112</v>
      </c>
      <c r="G184" s="1">
        <v>3651126</v>
      </c>
    </row>
    <row r="185" spans="1:10" x14ac:dyDescent="0.25">
      <c r="A185" s="1" t="str">
        <f t="shared" si="2"/>
        <v>06 EE2 170.9</v>
      </c>
      <c r="B1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5" s="1" t="s">
        <v>2053</v>
      </c>
      <c r="D185" s="1" t="s">
        <v>1489</v>
      </c>
      <c r="E185" s="1" t="s">
        <v>2054</v>
      </c>
      <c r="F185" s="1" t="s">
        <v>112</v>
      </c>
      <c r="G185" s="1">
        <v>4414056</v>
      </c>
    </row>
    <row r="186" spans="1:10" x14ac:dyDescent="0.25">
      <c r="A186" s="1" t="str">
        <f t="shared" si="2"/>
        <v>06 EE2 170.9</v>
      </c>
      <c r="B1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6" s="1" t="s">
        <v>2055</v>
      </c>
      <c r="D186" s="1" t="s">
        <v>2056</v>
      </c>
      <c r="E186" s="1" t="s">
        <v>2057</v>
      </c>
      <c r="F186" s="1" t="s">
        <v>112</v>
      </c>
      <c r="G186" s="1">
        <v>3921651</v>
      </c>
    </row>
    <row r="187" spans="1:10" x14ac:dyDescent="0.25">
      <c r="A187" s="1" t="str">
        <f t="shared" si="2"/>
        <v>06 EE2 170.9</v>
      </c>
      <c r="B1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7" s="1" t="s">
        <v>2058</v>
      </c>
      <c r="D187" s="1" t="s">
        <v>2059</v>
      </c>
      <c r="E187" s="1" t="s">
        <v>2060</v>
      </c>
      <c r="F187" s="1" t="s">
        <v>112</v>
      </c>
      <c r="G187" s="1">
        <v>4446566</v>
      </c>
    </row>
    <row r="188" spans="1:10" x14ac:dyDescent="0.25">
      <c r="A188" s="1" t="str">
        <f t="shared" si="2"/>
        <v>06 EE2 170.9</v>
      </c>
      <c r="B1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88" s="1" t="s">
        <v>2061</v>
      </c>
      <c r="D188" s="1" t="s">
        <v>2062</v>
      </c>
      <c r="E188" s="1" t="s">
        <v>2063</v>
      </c>
      <c r="F188" s="1" t="s">
        <v>112</v>
      </c>
      <c r="G188" s="1">
        <v>2849652</v>
      </c>
    </row>
    <row r="189" spans="1:10" x14ac:dyDescent="0.25">
      <c r="A189" s="1" t="str">
        <f t="shared" si="2"/>
        <v>06 EE2 170.9</v>
      </c>
      <c r="B1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89" s="1" t="s">
        <v>2064</v>
      </c>
      <c r="D189" s="1" t="s">
        <v>2065</v>
      </c>
      <c r="E189" s="1" t="s">
        <v>2066</v>
      </c>
      <c r="F189" s="1" t="s">
        <v>112</v>
      </c>
      <c r="G189" s="1">
        <v>2784243</v>
      </c>
    </row>
    <row r="190" spans="1:10" x14ac:dyDescent="0.25">
      <c r="A190" s="1" t="str">
        <f t="shared" si="2"/>
        <v>06 EE2 170.9</v>
      </c>
      <c r="B1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90" s="1" t="s">
        <v>2067</v>
      </c>
      <c r="D190" s="1" t="s">
        <v>2068</v>
      </c>
      <c r="E190" s="1" t="s">
        <v>2069</v>
      </c>
      <c r="F190" s="1" t="s">
        <v>112</v>
      </c>
      <c r="G190" s="1">
        <v>2949041</v>
      </c>
    </row>
    <row r="191" spans="1:10" x14ac:dyDescent="0.25">
      <c r="A191" s="1" t="str">
        <f t="shared" si="2"/>
        <v/>
      </c>
      <c r="B1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1" s="1" t="s">
        <v>112</v>
      </c>
    </row>
    <row r="192" spans="1:10" x14ac:dyDescent="0.25">
      <c r="A192" s="1" t="str">
        <f t="shared" si="2"/>
        <v/>
      </c>
      <c r="B1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2" s="1" t="s">
        <v>232</v>
      </c>
      <c r="D192" s="1" t="s">
        <v>112</v>
      </c>
      <c r="E192" s="1" t="s">
        <v>233</v>
      </c>
      <c r="F192" s="1" t="s">
        <v>234</v>
      </c>
      <c r="G192" s="1" t="s">
        <v>235</v>
      </c>
      <c r="H192" s="1" t="s">
        <v>236</v>
      </c>
      <c r="I192" s="1" t="s">
        <v>237</v>
      </c>
      <c r="J192" s="1" t="s">
        <v>238</v>
      </c>
    </row>
    <row r="193" spans="1:10" x14ac:dyDescent="0.25">
      <c r="A193" s="1" t="str">
        <f t="shared" si="2"/>
        <v>06 EE2 170.9</v>
      </c>
      <c r="B19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93" s="1" t="s">
        <v>2070</v>
      </c>
      <c r="D193" s="1" t="s">
        <v>112</v>
      </c>
      <c r="E193" s="1" t="s">
        <v>2071</v>
      </c>
      <c r="F193" s="1" t="s">
        <v>2072</v>
      </c>
      <c r="G193" s="1" t="s">
        <v>2073</v>
      </c>
      <c r="H193" s="1" t="s">
        <v>2074</v>
      </c>
      <c r="I193" s="1">
        <v>24</v>
      </c>
      <c r="J193" s="1">
        <v>24</v>
      </c>
    </row>
    <row r="194" spans="1:10" x14ac:dyDescent="0.25">
      <c r="A194" s="1" t="str">
        <f t="shared" ref="A194:A257" si="3">IFERROR(LEFT(RIGHT(C194,LEN(C194)-SEARCH("@",C194)),SEARCH("/",RIGHT(C194,LEN(C194)-SEARCH("@",C194)-1))),"")</f>
        <v/>
      </c>
      <c r="B1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4" s="1" t="s">
        <v>112</v>
      </c>
    </row>
    <row r="195" spans="1:10" x14ac:dyDescent="0.25">
      <c r="A195" s="1" t="str">
        <f t="shared" si="3"/>
        <v/>
      </c>
      <c r="B1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5" s="1" t="s">
        <v>112</v>
      </c>
    </row>
    <row r="196" spans="1:10" x14ac:dyDescent="0.25">
      <c r="A196" s="1" t="str">
        <f t="shared" si="3"/>
        <v/>
      </c>
      <c r="B1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6" s="1" t="s">
        <v>112</v>
      </c>
    </row>
    <row r="197" spans="1:10" x14ac:dyDescent="0.25">
      <c r="A197" s="1" t="str">
        <f t="shared" si="3"/>
        <v/>
      </c>
      <c r="B1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7" s="1" t="s">
        <v>112</v>
      </c>
    </row>
    <row r="198" spans="1:10" x14ac:dyDescent="0.25">
      <c r="A198" s="1" t="str">
        <f t="shared" si="3"/>
        <v/>
      </c>
      <c r="B1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8" s="1" t="s">
        <v>112</v>
      </c>
    </row>
    <row r="199" spans="1:10" x14ac:dyDescent="0.25">
      <c r="A199" s="1" t="str">
        <f t="shared" si="3"/>
        <v/>
      </c>
      <c r="B1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9" s="1" t="s">
        <v>244</v>
      </c>
      <c r="D199" s="1" t="s">
        <v>110</v>
      </c>
      <c r="E199" s="1" t="s">
        <v>111</v>
      </c>
      <c r="F199" s="1" t="s">
        <v>112</v>
      </c>
      <c r="G199" s="1" t="s">
        <v>113</v>
      </c>
    </row>
    <row r="200" spans="1:10" x14ac:dyDescent="0.25">
      <c r="A200" s="1" t="str">
        <f t="shared" si="3"/>
        <v>07 EE2 488</v>
      </c>
      <c r="B2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0" s="1" t="s">
        <v>2075</v>
      </c>
      <c r="D200" s="1" t="s">
        <v>2076</v>
      </c>
      <c r="E200" s="1" t="s">
        <v>2077</v>
      </c>
      <c r="F200" s="1" t="s">
        <v>112</v>
      </c>
      <c r="G200" s="1">
        <v>2104243</v>
      </c>
    </row>
    <row r="201" spans="1:10" x14ac:dyDescent="0.25">
      <c r="A201" s="1" t="str">
        <f t="shared" si="3"/>
        <v>07 EE2 488</v>
      </c>
      <c r="B2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1" s="1" t="s">
        <v>2078</v>
      </c>
      <c r="D201" s="1" t="s">
        <v>2079</v>
      </c>
      <c r="E201" s="1" t="s">
        <v>2080</v>
      </c>
      <c r="F201" s="1" t="s">
        <v>112</v>
      </c>
      <c r="G201" s="1">
        <v>2149557</v>
      </c>
    </row>
    <row r="202" spans="1:10" x14ac:dyDescent="0.25">
      <c r="A202" s="1" t="str">
        <f t="shared" si="3"/>
        <v>07 EE2 488</v>
      </c>
      <c r="B2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2" s="1" t="s">
        <v>2081</v>
      </c>
      <c r="D202" s="1" t="s">
        <v>2082</v>
      </c>
      <c r="E202" s="1" t="s">
        <v>2083</v>
      </c>
      <c r="F202" s="1" t="s">
        <v>112</v>
      </c>
      <c r="G202" s="1">
        <v>1998191</v>
      </c>
    </row>
    <row r="203" spans="1:10" x14ac:dyDescent="0.25">
      <c r="A203" s="1" t="str">
        <f t="shared" si="3"/>
        <v>07 EE2 488</v>
      </c>
      <c r="B2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3" s="1" t="s">
        <v>2084</v>
      </c>
      <c r="D203" s="1" t="s">
        <v>2085</v>
      </c>
      <c r="E203" s="1" t="s">
        <v>2086</v>
      </c>
      <c r="F203" s="1" t="s">
        <v>112</v>
      </c>
      <c r="G203" s="1">
        <v>5631992</v>
      </c>
    </row>
    <row r="204" spans="1:10" x14ac:dyDescent="0.25">
      <c r="A204" s="1" t="str">
        <f t="shared" si="3"/>
        <v>07 EE2 488</v>
      </c>
      <c r="B2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4" s="1" t="s">
        <v>2087</v>
      </c>
      <c r="D204" s="1" t="s">
        <v>2088</v>
      </c>
      <c r="E204" s="1" t="s">
        <v>2089</v>
      </c>
      <c r="F204" s="1" t="s">
        <v>112</v>
      </c>
      <c r="G204" s="1">
        <v>5267636</v>
      </c>
    </row>
    <row r="205" spans="1:10" x14ac:dyDescent="0.25">
      <c r="A205" s="1" t="str">
        <f t="shared" si="3"/>
        <v>07 EE2 488</v>
      </c>
      <c r="B2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5" s="1" t="s">
        <v>2090</v>
      </c>
      <c r="D205" s="1" t="s">
        <v>2091</v>
      </c>
      <c r="E205" s="1" t="s">
        <v>2092</v>
      </c>
      <c r="F205" s="1" t="s">
        <v>112</v>
      </c>
      <c r="G205" s="1">
        <v>4916821</v>
      </c>
    </row>
    <row r="206" spans="1:10" x14ac:dyDescent="0.25">
      <c r="A206" s="1" t="str">
        <f t="shared" si="3"/>
        <v>07 EE2 488</v>
      </c>
      <c r="B2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6" s="1" t="s">
        <v>2093</v>
      </c>
      <c r="D206" s="1" t="s">
        <v>2094</v>
      </c>
      <c r="E206" s="1" t="s">
        <v>2095</v>
      </c>
      <c r="F206" s="1" t="s">
        <v>112</v>
      </c>
      <c r="G206" s="1">
        <v>5566453</v>
      </c>
    </row>
    <row r="207" spans="1:10" x14ac:dyDescent="0.25">
      <c r="A207" s="1" t="str">
        <f t="shared" si="3"/>
        <v>07 EE2 488</v>
      </c>
      <c r="B2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7" s="1" t="s">
        <v>2096</v>
      </c>
      <c r="D207" s="1" t="s">
        <v>2097</v>
      </c>
      <c r="E207" s="1" t="s">
        <v>2098</v>
      </c>
      <c r="F207" s="1" t="s">
        <v>112</v>
      </c>
      <c r="G207" s="1">
        <v>6114404</v>
      </c>
    </row>
    <row r="208" spans="1:10" x14ac:dyDescent="0.25">
      <c r="A208" s="1" t="str">
        <f t="shared" si="3"/>
        <v>07 EE2 488</v>
      </c>
      <c r="B2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8" s="1" t="s">
        <v>2099</v>
      </c>
      <c r="D208" s="1" t="s">
        <v>2100</v>
      </c>
      <c r="E208" s="1" t="s">
        <v>2101</v>
      </c>
      <c r="F208" s="1" t="s">
        <v>112</v>
      </c>
      <c r="G208" s="1">
        <v>6069824</v>
      </c>
    </row>
    <row r="209" spans="1:7" x14ac:dyDescent="0.25">
      <c r="A209" s="1" t="str">
        <f t="shared" si="3"/>
        <v>07 EE2 488</v>
      </c>
      <c r="B2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09" s="1" t="s">
        <v>2102</v>
      </c>
      <c r="D209" s="1" t="s">
        <v>2103</v>
      </c>
      <c r="E209" s="1" t="s">
        <v>2104</v>
      </c>
      <c r="F209" s="1" t="s">
        <v>112</v>
      </c>
      <c r="G209" s="1">
        <v>7373069</v>
      </c>
    </row>
    <row r="210" spans="1:7" x14ac:dyDescent="0.25">
      <c r="A210" s="1" t="str">
        <f t="shared" si="3"/>
        <v>07 EE2 488</v>
      </c>
      <c r="B2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0" s="1" t="s">
        <v>2105</v>
      </c>
      <c r="D210" s="1" t="s">
        <v>1518</v>
      </c>
      <c r="E210" s="1" t="s">
        <v>2106</v>
      </c>
      <c r="F210" s="1" t="s">
        <v>112</v>
      </c>
      <c r="G210" s="1">
        <v>7086559</v>
      </c>
    </row>
    <row r="211" spans="1:7" x14ac:dyDescent="0.25">
      <c r="A211" s="1" t="str">
        <f t="shared" si="3"/>
        <v>07 EE2 488</v>
      </c>
      <c r="B2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1" s="1" t="s">
        <v>2107</v>
      </c>
      <c r="D211" s="1" t="s">
        <v>2108</v>
      </c>
      <c r="E211" s="1" t="s">
        <v>2109</v>
      </c>
      <c r="F211" s="1" t="s">
        <v>112</v>
      </c>
      <c r="G211" s="1">
        <v>7203966</v>
      </c>
    </row>
    <row r="212" spans="1:7" x14ac:dyDescent="0.25">
      <c r="A212" s="1" t="str">
        <f t="shared" si="3"/>
        <v>07 EE2 488</v>
      </c>
      <c r="B2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2" s="1" t="s">
        <v>2110</v>
      </c>
      <c r="D212" s="1" t="s">
        <v>2111</v>
      </c>
      <c r="E212" s="1" t="s">
        <v>2112</v>
      </c>
      <c r="F212" s="1" t="s">
        <v>112</v>
      </c>
      <c r="G212" s="1">
        <v>5159984</v>
      </c>
    </row>
    <row r="213" spans="1:7" x14ac:dyDescent="0.25">
      <c r="A213" s="1" t="str">
        <f t="shared" si="3"/>
        <v>07 EE2 488</v>
      </c>
      <c r="B2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3" s="1" t="s">
        <v>2113</v>
      </c>
      <c r="D213" s="1" t="s">
        <v>2114</v>
      </c>
      <c r="E213" s="1" t="s">
        <v>2115</v>
      </c>
      <c r="F213" s="1" t="s">
        <v>112</v>
      </c>
      <c r="G213" s="1">
        <v>5165284</v>
      </c>
    </row>
    <row r="214" spans="1:7" x14ac:dyDescent="0.25">
      <c r="A214" s="1" t="str">
        <f t="shared" si="3"/>
        <v>07 EE2 488</v>
      </c>
      <c r="B2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4" s="1" t="s">
        <v>2116</v>
      </c>
      <c r="D214" s="1" t="s">
        <v>2117</v>
      </c>
      <c r="E214" s="1" t="s">
        <v>2118</v>
      </c>
      <c r="F214" s="1" t="s">
        <v>112</v>
      </c>
      <c r="G214" s="1">
        <v>5119645</v>
      </c>
    </row>
    <row r="215" spans="1:7" x14ac:dyDescent="0.25">
      <c r="A215" s="1" t="str">
        <f t="shared" si="3"/>
        <v>07 EE2 488</v>
      </c>
      <c r="B2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5" s="1" t="s">
        <v>2119</v>
      </c>
      <c r="D215" s="1" t="s">
        <v>1612</v>
      </c>
      <c r="E215" s="1" t="s">
        <v>2120</v>
      </c>
      <c r="F215" s="1" t="s">
        <v>112</v>
      </c>
      <c r="G215" s="1">
        <v>4159277</v>
      </c>
    </row>
    <row r="216" spans="1:7" x14ac:dyDescent="0.25">
      <c r="A216" s="1" t="str">
        <f t="shared" si="3"/>
        <v>07 EE2 488</v>
      </c>
      <c r="B2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6" s="1" t="s">
        <v>2121</v>
      </c>
      <c r="D216" s="1" t="s">
        <v>2122</v>
      </c>
      <c r="E216" s="1" t="s">
        <v>2123</v>
      </c>
      <c r="F216" s="1" t="s">
        <v>112</v>
      </c>
      <c r="G216" s="1">
        <v>4131699</v>
      </c>
    </row>
    <row r="217" spans="1:7" x14ac:dyDescent="0.25">
      <c r="A217" s="1" t="str">
        <f t="shared" si="3"/>
        <v>07 EE2 488</v>
      </c>
      <c r="B2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7" s="1" t="s">
        <v>2124</v>
      </c>
      <c r="D217" s="1" t="s">
        <v>2125</v>
      </c>
      <c r="E217" s="1" t="s">
        <v>2126</v>
      </c>
      <c r="F217" s="1" t="s">
        <v>112</v>
      </c>
      <c r="G217" s="1">
        <v>4250361</v>
      </c>
    </row>
    <row r="218" spans="1:7" x14ac:dyDescent="0.25">
      <c r="A218" s="1" t="str">
        <f t="shared" si="3"/>
        <v>07 EE2 488</v>
      </c>
      <c r="B2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8" s="1" t="s">
        <v>2127</v>
      </c>
      <c r="D218" s="1" t="s">
        <v>2128</v>
      </c>
      <c r="E218" s="1" t="s">
        <v>2129</v>
      </c>
      <c r="F218" s="1" t="s">
        <v>112</v>
      </c>
      <c r="G218" s="1">
        <v>7329052</v>
      </c>
    </row>
    <row r="219" spans="1:7" x14ac:dyDescent="0.25">
      <c r="A219" s="1" t="str">
        <f t="shared" si="3"/>
        <v>07 EE2 488</v>
      </c>
      <c r="B2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9" s="1" t="s">
        <v>2130</v>
      </c>
      <c r="D219" s="1" t="s">
        <v>2131</v>
      </c>
      <c r="E219" s="1" t="s">
        <v>2132</v>
      </c>
      <c r="F219" s="1" t="s">
        <v>112</v>
      </c>
      <c r="G219" s="1">
        <v>6787894</v>
      </c>
    </row>
    <row r="220" spans="1:7" x14ac:dyDescent="0.25">
      <c r="A220" s="1" t="str">
        <f t="shared" si="3"/>
        <v>07 EE2 488</v>
      </c>
      <c r="B2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0" s="1" t="s">
        <v>2133</v>
      </c>
      <c r="D220" s="1" t="s">
        <v>2134</v>
      </c>
      <c r="E220" s="1" t="s">
        <v>2135</v>
      </c>
      <c r="F220" s="1" t="s">
        <v>112</v>
      </c>
      <c r="G220" s="1">
        <v>6735506</v>
      </c>
    </row>
    <row r="221" spans="1:7" x14ac:dyDescent="0.25">
      <c r="A221" s="1" t="str">
        <f t="shared" si="3"/>
        <v>07 EE2 488</v>
      </c>
      <c r="B2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1" s="1" t="s">
        <v>2136</v>
      </c>
      <c r="D221" s="1" t="s">
        <v>2137</v>
      </c>
      <c r="E221" s="1" t="s">
        <v>2138</v>
      </c>
      <c r="F221" s="1" t="s">
        <v>112</v>
      </c>
      <c r="G221" s="1">
        <v>4190295</v>
      </c>
    </row>
    <row r="222" spans="1:7" x14ac:dyDescent="0.25">
      <c r="A222" s="1" t="str">
        <f t="shared" si="3"/>
        <v>07 EE2 488</v>
      </c>
      <c r="B2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2" s="1" t="s">
        <v>2139</v>
      </c>
      <c r="D222" s="1" t="s">
        <v>2140</v>
      </c>
      <c r="E222" s="1" t="s">
        <v>2141</v>
      </c>
      <c r="F222" s="1" t="s">
        <v>112</v>
      </c>
      <c r="G222" s="1">
        <v>3866279</v>
      </c>
    </row>
    <row r="223" spans="1:7" x14ac:dyDescent="0.25">
      <c r="A223" s="1" t="str">
        <f t="shared" si="3"/>
        <v>07 EE2 488</v>
      </c>
      <c r="B2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3" s="1" t="s">
        <v>2142</v>
      </c>
      <c r="D223" s="1" t="s">
        <v>886</v>
      </c>
      <c r="E223" s="1" t="s">
        <v>2143</v>
      </c>
      <c r="F223" s="1" t="s">
        <v>112</v>
      </c>
      <c r="G223" s="1">
        <v>3804612</v>
      </c>
    </row>
    <row r="224" spans="1:7" x14ac:dyDescent="0.25">
      <c r="A224" s="1" t="str">
        <f t="shared" si="3"/>
        <v/>
      </c>
      <c r="B2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4" s="1" t="s">
        <v>112</v>
      </c>
    </row>
    <row r="225" spans="1:10" x14ac:dyDescent="0.25">
      <c r="A225" s="1" t="str">
        <f t="shared" si="3"/>
        <v/>
      </c>
      <c r="B2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5" s="1" t="s">
        <v>232</v>
      </c>
      <c r="D225" s="1" t="s">
        <v>112</v>
      </c>
      <c r="E225" s="1" t="s">
        <v>233</v>
      </c>
      <c r="F225" s="1" t="s">
        <v>234</v>
      </c>
      <c r="G225" s="1" t="s">
        <v>235</v>
      </c>
      <c r="H225" s="1" t="s">
        <v>236</v>
      </c>
      <c r="I225" s="1" t="s">
        <v>237</v>
      </c>
      <c r="J225" s="1" t="s">
        <v>238</v>
      </c>
    </row>
    <row r="226" spans="1:10" x14ac:dyDescent="0.25">
      <c r="A226" s="1" t="str">
        <f t="shared" si="3"/>
        <v>07 EE2 488</v>
      </c>
      <c r="B22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26" s="1" t="s">
        <v>2144</v>
      </c>
      <c r="D226" s="1" t="s">
        <v>112</v>
      </c>
      <c r="E226" s="1" t="s">
        <v>2145</v>
      </c>
      <c r="F226" s="1" t="s">
        <v>2146</v>
      </c>
      <c r="G226" s="1" t="s">
        <v>2147</v>
      </c>
      <c r="H226" s="1" t="s">
        <v>2148</v>
      </c>
      <c r="I226" s="1">
        <v>24</v>
      </c>
      <c r="J226" s="1">
        <v>24</v>
      </c>
    </row>
    <row r="227" spans="1:10" x14ac:dyDescent="0.25">
      <c r="A227" s="1" t="str">
        <f t="shared" si="3"/>
        <v/>
      </c>
      <c r="B2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7" s="1" t="s">
        <v>112</v>
      </c>
    </row>
    <row r="228" spans="1:10" x14ac:dyDescent="0.25">
      <c r="A228" s="1" t="str">
        <f t="shared" si="3"/>
        <v/>
      </c>
      <c r="B2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8" s="1" t="s">
        <v>112</v>
      </c>
    </row>
    <row r="229" spans="1:10" x14ac:dyDescent="0.25">
      <c r="A229" s="1" t="str">
        <f t="shared" si="3"/>
        <v/>
      </c>
      <c r="B2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9" s="1" t="s">
        <v>112</v>
      </c>
    </row>
    <row r="230" spans="1:10" x14ac:dyDescent="0.25">
      <c r="A230" s="1" t="str">
        <f t="shared" si="3"/>
        <v/>
      </c>
      <c r="B2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0" s="1" t="s">
        <v>112</v>
      </c>
    </row>
    <row r="231" spans="1:10" x14ac:dyDescent="0.25">
      <c r="A231" s="1" t="str">
        <f t="shared" si="3"/>
        <v/>
      </c>
      <c r="B2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1" s="1" t="s">
        <v>112</v>
      </c>
    </row>
    <row r="232" spans="1:10" x14ac:dyDescent="0.25">
      <c r="A232" s="1" t="str">
        <f t="shared" si="3"/>
        <v/>
      </c>
      <c r="B2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2" s="1" t="s">
        <v>244</v>
      </c>
      <c r="D232" s="1" t="s">
        <v>110</v>
      </c>
      <c r="E232" s="1" t="s">
        <v>111</v>
      </c>
      <c r="F232" s="1" t="s">
        <v>112</v>
      </c>
      <c r="G232" s="1" t="s">
        <v>113</v>
      </c>
    </row>
    <row r="233" spans="1:10" x14ac:dyDescent="0.25">
      <c r="A233" s="1" t="str">
        <f t="shared" si="3"/>
        <v>08 17b estradiol 34 ng_L</v>
      </c>
      <c r="B2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3" s="1" t="s">
        <v>2149</v>
      </c>
      <c r="D233" s="1" t="s">
        <v>290</v>
      </c>
      <c r="E233" s="1" t="s">
        <v>2150</v>
      </c>
      <c r="F233" s="1" t="s">
        <v>112</v>
      </c>
      <c r="G233" s="1">
        <v>60261</v>
      </c>
    </row>
    <row r="234" spans="1:10" x14ac:dyDescent="0.25">
      <c r="A234" s="1" t="str">
        <f t="shared" si="3"/>
        <v>08 17b estradiol 34 ng_L</v>
      </c>
      <c r="B2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4" s="1" t="s">
        <v>2151</v>
      </c>
      <c r="D234" s="1" t="s">
        <v>2152</v>
      </c>
      <c r="E234" s="1" t="s">
        <v>2153</v>
      </c>
      <c r="F234" s="1" t="s">
        <v>112</v>
      </c>
      <c r="G234" s="1">
        <v>266632</v>
      </c>
    </row>
    <row r="235" spans="1:10" x14ac:dyDescent="0.25">
      <c r="A235" s="1" t="str">
        <f t="shared" si="3"/>
        <v>08 17b estradiol 34 ng_L</v>
      </c>
      <c r="B2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5" s="1" t="s">
        <v>2154</v>
      </c>
      <c r="D235" s="1" t="s">
        <v>201</v>
      </c>
      <c r="E235" s="1" t="s">
        <v>2155</v>
      </c>
      <c r="F235" s="1" t="s">
        <v>112</v>
      </c>
      <c r="G235" s="1">
        <v>23057</v>
      </c>
    </row>
    <row r="236" spans="1:10" x14ac:dyDescent="0.25">
      <c r="A236" s="1" t="str">
        <f t="shared" si="3"/>
        <v>08 17b estradiol 34 ng_L</v>
      </c>
      <c r="B2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6" s="1" t="s">
        <v>2156</v>
      </c>
    </row>
    <row r="237" spans="1:10" x14ac:dyDescent="0.25">
      <c r="A237" s="1" t="str">
        <f t="shared" si="3"/>
        <v>08 17b estradiol 34 ng_L</v>
      </c>
      <c r="B2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7" s="1" t="s">
        <v>2157</v>
      </c>
      <c r="D237" s="1" t="s">
        <v>2158</v>
      </c>
      <c r="E237" s="1" t="s">
        <v>2159</v>
      </c>
      <c r="F237" s="1" t="s">
        <v>112</v>
      </c>
      <c r="G237" s="1">
        <v>854986</v>
      </c>
    </row>
    <row r="238" spans="1:10" x14ac:dyDescent="0.25">
      <c r="A238" s="1" t="str">
        <f t="shared" si="3"/>
        <v>08 17b estradiol 34 ng_L</v>
      </c>
      <c r="B2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8" s="1" t="s">
        <v>2160</v>
      </c>
      <c r="D238" s="1" t="s">
        <v>2161</v>
      </c>
      <c r="E238" s="1" t="s">
        <v>2162</v>
      </c>
      <c r="F238" s="1" t="s">
        <v>112</v>
      </c>
      <c r="G238" s="1">
        <v>437400</v>
      </c>
    </row>
    <row r="239" spans="1:10" x14ac:dyDescent="0.25">
      <c r="A239" s="1" t="str">
        <f t="shared" si="3"/>
        <v>08 17b estradiol 34 ng_L</v>
      </c>
      <c r="B2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39" s="1" t="s">
        <v>2163</v>
      </c>
      <c r="D239" s="1" t="s">
        <v>414</v>
      </c>
      <c r="E239" s="1" t="s">
        <v>2164</v>
      </c>
      <c r="F239" s="1" t="s">
        <v>112</v>
      </c>
      <c r="G239" s="1">
        <v>514272</v>
      </c>
    </row>
    <row r="240" spans="1:10" x14ac:dyDescent="0.25">
      <c r="A240" s="1" t="str">
        <f t="shared" si="3"/>
        <v>08 17b estradiol 34 ng_L</v>
      </c>
      <c r="B2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0" s="1" t="s">
        <v>2165</v>
      </c>
      <c r="D240" s="1" t="s">
        <v>2166</v>
      </c>
      <c r="E240" s="1" t="s">
        <v>2167</v>
      </c>
      <c r="F240" s="1" t="s">
        <v>112</v>
      </c>
      <c r="G240" s="1">
        <v>391047</v>
      </c>
    </row>
    <row r="241" spans="1:7" x14ac:dyDescent="0.25">
      <c r="A241" s="1" t="str">
        <f t="shared" si="3"/>
        <v>08 17b estradiol 34 ng_L</v>
      </c>
      <c r="B2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1" s="1" t="s">
        <v>2168</v>
      </c>
      <c r="D241" s="1" t="s">
        <v>2169</v>
      </c>
      <c r="E241" s="1" t="s">
        <v>2170</v>
      </c>
      <c r="F241" s="1" t="s">
        <v>112</v>
      </c>
      <c r="G241" s="1">
        <v>187510</v>
      </c>
    </row>
    <row r="242" spans="1:7" x14ac:dyDescent="0.25">
      <c r="A242" s="1" t="str">
        <f t="shared" si="3"/>
        <v>08 17b estradiol 34 ng_L</v>
      </c>
      <c r="B2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2" s="1" t="s">
        <v>2171</v>
      </c>
      <c r="D242" s="1" t="s">
        <v>187</v>
      </c>
      <c r="E242" s="1" t="s">
        <v>2172</v>
      </c>
      <c r="F242" s="1" t="s">
        <v>112</v>
      </c>
      <c r="G242" s="1">
        <v>108993</v>
      </c>
    </row>
    <row r="243" spans="1:7" x14ac:dyDescent="0.25">
      <c r="A243" s="1" t="str">
        <f t="shared" si="3"/>
        <v>08 17b estradiol 34 ng_L</v>
      </c>
      <c r="B2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3" s="1" t="s">
        <v>2173</v>
      </c>
      <c r="D243" s="1" t="s">
        <v>2174</v>
      </c>
      <c r="E243" s="1" t="s">
        <v>2175</v>
      </c>
      <c r="F243" s="1" t="s">
        <v>112</v>
      </c>
      <c r="G243" s="1">
        <v>231721</v>
      </c>
    </row>
    <row r="244" spans="1:7" x14ac:dyDescent="0.25">
      <c r="A244" s="1" t="str">
        <f t="shared" si="3"/>
        <v>08 17b estradiol 34 ng_L</v>
      </c>
      <c r="B2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4" s="1" t="s">
        <v>2176</v>
      </c>
      <c r="D244" s="1" t="s">
        <v>252</v>
      </c>
      <c r="E244" s="1" t="s">
        <v>2177</v>
      </c>
      <c r="F244" s="1" t="s">
        <v>112</v>
      </c>
      <c r="G244" s="1">
        <v>67572</v>
      </c>
    </row>
    <row r="245" spans="1:7" x14ac:dyDescent="0.25">
      <c r="A245" s="1" t="str">
        <f t="shared" si="3"/>
        <v>08 17b estradiol 34 ng_L</v>
      </c>
      <c r="B2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5" s="1" t="s">
        <v>2178</v>
      </c>
      <c r="D245" s="1" t="s">
        <v>2179</v>
      </c>
      <c r="E245" s="1" t="s">
        <v>2180</v>
      </c>
      <c r="F245" s="1" t="s">
        <v>112</v>
      </c>
      <c r="G245" s="1">
        <v>571289</v>
      </c>
    </row>
    <row r="246" spans="1:7" x14ac:dyDescent="0.25">
      <c r="A246" s="1" t="str">
        <f t="shared" si="3"/>
        <v>08 17b estradiol 34 ng_L</v>
      </c>
      <c r="B2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6" s="1" t="s">
        <v>2181</v>
      </c>
      <c r="D246" s="1" t="s">
        <v>172</v>
      </c>
      <c r="E246" s="1" t="s">
        <v>2182</v>
      </c>
      <c r="F246" s="1" t="s">
        <v>112</v>
      </c>
      <c r="G246" s="1">
        <v>304527</v>
      </c>
    </row>
    <row r="247" spans="1:7" x14ac:dyDescent="0.25">
      <c r="A247" s="1" t="str">
        <f t="shared" si="3"/>
        <v>08 17b estradiol 34 ng_L</v>
      </c>
      <c r="B2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7" s="1" t="s">
        <v>2183</v>
      </c>
      <c r="D247" s="1" t="s">
        <v>2184</v>
      </c>
      <c r="E247" s="1" t="s">
        <v>2185</v>
      </c>
      <c r="F247" s="1" t="s">
        <v>112</v>
      </c>
      <c r="G247" s="1">
        <v>453492</v>
      </c>
    </row>
    <row r="248" spans="1:7" x14ac:dyDescent="0.25">
      <c r="A248" s="1" t="str">
        <f t="shared" si="3"/>
        <v>08 17b estradiol 34 ng_L</v>
      </c>
      <c r="B2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48" s="1" t="s">
        <v>2186</v>
      </c>
      <c r="D248" s="1" t="s">
        <v>1722</v>
      </c>
      <c r="E248" s="1" t="s">
        <v>2187</v>
      </c>
      <c r="F248" s="1" t="s">
        <v>112</v>
      </c>
      <c r="G248" s="1">
        <v>337188</v>
      </c>
    </row>
    <row r="249" spans="1:7" x14ac:dyDescent="0.25">
      <c r="A249" s="1" t="str">
        <f t="shared" si="3"/>
        <v>08 17b estradiol 34 ng_L</v>
      </c>
      <c r="B2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49" s="1" t="s">
        <v>2188</v>
      </c>
      <c r="D249" s="1" t="s">
        <v>2189</v>
      </c>
      <c r="E249" s="1" t="s">
        <v>2190</v>
      </c>
      <c r="F249" s="1" t="s">
        <v>112</v>
      </c>
      <c r="G249" s="1">
        <v>562853</v>
      </c>
    </row>
    <row r="250" spans="1:7" x14ac:dyDescent="0.25">
      <c r="A250" s="1" t="str">
        <f t="shared" si="3"/>
        <v>08 17b estradiol 34 ng_L</v>
      </c>
      <c r="B2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50" s="1" t="s">
        <v>2191</v>
      </c>
      <c r="D250" s="1" t="s">
        <v>2192</v>
      </c>
      <c r="E250" s="1" t="s">
        <v>2193</v>
      </c>
      <c r="F250" s="1" t="s">
        <v>112</v>
      </c>
      <c r="G250" s="1">
        <v>362106</v>
      </c>
    </row>
    <row r="251" spans="1:7" x14ac:dyDescent="0.25">
      <c r="A251" s="1" t="str">
        <f t="shared" si="3"/>
        <v>08 17b estradiol 34 ng_L</v>
      </c>
      <c r="B2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1" s="1" t="s">
        <v>2194</v>
      </c>
      <c r="D251" s="1" t="s">
        <v>1910</v>
      </c>
      <c r="E251" s="1" t="s">
        <v>2195</v>
      </c>
      <c r="F251" s="1" t="s">
        <v>112</v>
      </c>
      <c r="G251" s="1">
        <v>398185</v>
      </c>
    </row>
    <row r="252" spans="1:7" x14ac:dyDescent="0.25">
      <c r="A252" s="1" t="str">
        <f t="shared" si="3"/>
        <v>08 17b estradiol 34 ng_L</v>
      </c>
      <c r="B2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2" s="1" t="s">
        <v>2196</v>
      </c>
      <c r="D252" s="1" t="s">
        <v>1707</v>
      </c>
      <c r="E252" s="1" t="s">
        <v>2197</v>
      </c>
      <c r="F252" s="1" t="s">
        <v>112</v>
      </c>
      <c r="G252" s="1">
        <v>133240</v>
      </c>
    </row>
    <row r="253" spans="1:7" x14ac:dyDescent="0.25">
      <c r="A253" s="1" t="str">
        <f t="shared" si="3"/>
        <v>08 17b estradiol 34 ng_L</v>
      </c>
      <c r="B2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3" s="1" t="s">
        <v>2198</v>
      </c>
      <c r="D253" s="1" t="s">
        <v>272</v>
      </c>
      <c r="E253" s="1" t="s">
        <v>2199</v>
      </c>
      <c r="F253" s="1" t="s">
        <v>112</v>
      </c>
      <c r="G253" s="1">
        <v>95258</v>
      </c>
    </row>
    <row r="254" spans="1:7" x14ac:dyDescent="0.25">
      <c r="A254" s="1" t="str">
        <f t="shared" si="3"/>
        <v>08 17b estradiol 34 ng_L</v>
      </c>
      <c r="B2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4" s="1" t="s">
        <v>2200</v>
      </c>
      <c r="D254" s="1" t="s">
        <v>356</v>
      </c>
      <c r="E254" s="1" t="s">
        <v>2201</v>
      </c>
      <c r="F254" s="1" t="s">
        <v>112</v>
      </c>
      <c r="G254" s="1">
        <v>68761</v>
      </c>
    </row>
    <row r="255" spans="1:7" x14ac:dyDescent="0.25">
      <c r="A255" s="1" t="str">
        <f t="shared" si="3"/>
        <v>08 17b estradiol 34 ng_L</v>
      </c>
      <c r="B2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5" s="1" t="s">
        <v>2202</v>
      </c>
      <c r="D255" s="1" t="s">
        <v>1295</v>
      </c>
      <c r="E255" s="1" t="s">
        <v>2203</v>
      </c>
      <c r="F255" s="1" t="s">
        <v>112</v>
      </c>
      <c r="G255" s="1">
        <v>126535</v>
      </c>
    </row>
    <row r="256" spans="1:7" x14ac:dyDescent="0.25">
      <c r="A256" s="1" t="str">
        <f t="shared" si="3"/>
        <v>08 17b estradiol 34 ng_L</v>
      </c>
      <c r="B2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6" s="1" t="s">
        <v>2204</v>
      </c>
      <c r="D256" s="1" t="s">
        <v>2205</v>
      </c>
      <c r="E256" s="1" t="s">
        <v>2206</v>
      </c>
      <c r="F256" s="1" t="s">
        <v>112</v>
      </c>
      <c r="G256" s="1">
        <v>356353</v>
      </c>
    </row>
    <row r="257" spans="1:10" x14ac:dyDescent="0.25">
      <c r="A257" s="1" t="str">
        <f t="shared" si="3"/>
        <v/>
      </c>
      <c r="B2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57" s="1" t="s">
        <v>112</v>
      </c>
    </row>
    <row r="258" spans="1:10" x14ac:dyDescent="0.25">
      <c r="A258" s="1" t="str">
        <f t="shared" ref="A258:A321" si="4">IFERROR(LEFT(RIGHT(C258,LEN(C258)-SEARCH("@",C258)),SEARCH("/",RIGHT(C258,LEN(C258)-SEARCH("@",C258)-1))),"")</f>
        <v/>
      </c>
      <c r="B2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58" s="1" t="s">
        <v>232</v>
      </c>
      <c r="D258" s="1" t="s">
        <v>112</v>
      </c>
      <c r="E258" s="1" t="s">
        <v>233</v>
      </c>
      <c r="F258" s="1" t="s">
        <v>234</v>
      </c>
      <c r="G258" s="1" t="s">
        <v>235</v>
      </c>
      <c r="H258" s="1" t="s">
        <v>236</v>
      </c>
      <c r="I258" s="1" t="s">
        <v>237</v>
      </c>
      <c r="J258" s="1" t="s">
        <v>238</v>
      </c>
    </row>
    <row r="259" spans="1:10" x14ac:dyDescent="0.25">
      <c r="A259" s="1" t="str">
        <f t="shared" si="4"/>
        <v>08 17b estradiol 34 ng_L</v>
      </c>
      <c r="B25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59" s="1" t="s">
        <v>2207</v>
      </c>
      <c r="D259" s="1" t="s">
        <v>112</v>
      </c>
      <c r="E259" s="1" t="s">
        <v>2208</v>
      </c>
      <c r="F259" s="1" t="s">
        <v>2209</v>
      </c>
      <c r="G259" s="1" t="s">
        <v>2210</v>
      </c>
      <c r="H259" s="1" t="s">
        <v>2211</v>
      </c>
      <c r="I259" s="1">
        <v>24</v>
      </c>
      <c r="J259" s="1">
        <v>24</v>
      </c>
    </row>
    <row r="260" spans="1:10" x14ac:dyDescent="0.25">
      <c r="A260" s="1" t="str">
        <f t="shared" si="4"/>
        <v/>
      </c>
      <c r="B2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0" s="1" t="s">
        <v>112</v>
      </c>
    </row>
    <row r="261" spans="1:10" x14ac:dyDescent="0.25">
      <c r="A261" s="1" t="str">
        <f t="shared" si="4"/>
        <v/>
      </c>
      <c r="B2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1" s="1" t="s">
        <v>112</v>
      </c>
    </row>
    <row r="262" spans="1:10" x14ac:dyDescent="0.25">
      <c r="A262" s="1" t="str">
        <f t="shared" si="4"/>
        <v/>
      </c>
      <c r="B2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2" s="1" t="s">
        <v>112</v>
      </c>
    </row>
    <row r="263" spans="1:10" x14ac:dyDescent="0.25">
      <c r="A263" s="1" t="str">
        <f t="shared" si="4"/>
        <v/>
      </c>
      <c r="B2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3" s="1" t="s">
        <v>112</v>
      </c>
    </row>
    <row r="264" spans="1:10" x14ac:dyDescent="0.25">
      <c r="A264" s="1" t="str">
        <f t="shared" si="4"/>
        <v/>
      </c>
      <c r="B2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4" s="1" t="s">
        <v>112</v>
      </c>
    </row>
    <row r="265" spans="1:10" x14ac:dyDescent="0.25">
      <c r="A265" s="1" t="str">
        <f t="shared" si="4"/>
        <v/>
      </c>
      <c r="B2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5" s="1" t="s">
        <v>244</v>
      </c>
      <c r="D265" s="1" t="s">
        <v>110</v>
      </c>
      <c r="E265" s="1" t="s">
        <v>111</v>
      </c>
      <c r="F265" s="1" t="s">
        <v>112</v>
      </c>
      <c r="G265" s="1" t="s">
        <v>113</v>
      </c>
    </row>
    <row r="266" spans="1:10" x14ac:dyDescent="0.25">
      <c r="A266" s="1" t="str">
        <f t="shared" si="4"/>
        <v>09 17b estradiol 68</v>
      </c>
      <c r="B2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6" s="1" t="s">
        <v>2212</v>
      </c>
      <c r="D266" s="1" t="s">
        <v>2213</v>
      </c>
      <c r="E266" s="1" t="s">
        <v>2214</v>
      </c>
      <c r="F266" s="1" t="s">
        <v>112</v>
      </c>
      <c r="G266" s="1">
        <v>875816</v>
      </c>
    </row>
    <row r="267" spans="1:10" x14ac:dyDescent="0.25">
      <c r="A267" s="1" t="str">
        <f t="shared" si="4"/>
        <v>09 17b estradiol 68</v>
      </c>
      <c r="B2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7" s="1" t="s">
        <v>2215</v>
      </c>
      <c r="D267" s="1" t="s">
        <v>2216</v>
      </c>
      <c r="E267" s="1" t="s">
        <v>2217</v>
      </c>
      <c r="F267" s="1" t="s">
        <v>112</v>
      </c>
      <c r="G267" s="1">
        <v>645220</v>
      </c>
    </row>
    <row r="268" spans="1:10" x14ac:dyDescent="0.25">
      <c r="A268" s="1" t="str">
        <f t="shared" si="4"/>
        <v>09 17b estradiol 68</v>
      </c>
      <c r="B2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8" s="1" t="s">
        <v>2218</v>
      </c>
      <c r="D268" s="1" t="s">
        <v>2219</v>
      </c>
      <c r="E268" s="1" t="s">
        <v>2220</v>
      </c>
      <c r="F268" s="1" t="s">
        <v>112</v>
      </c>
      <c r="G268" s="1">
        <v>748827</v>
      </c>
    </row>
    <row r="269" spans="1:10" x14ac:dyDescent="0.25">
      <c r="A269" s="1" t="str">
        <f t="shared" si="4"/>
        <v>09 17b estradiol 68</v>
      </c>
      <c r="B2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69" s="1" t="s">
        <v>2221</v>
      </c>
      <c r="D269" s="1" t="s">
        <v>2222</v>
      </c>
      <c r="E269" s="1" t="s">
        <v>2223</v>
      </c>
      <c r="F269" s="1" t="s">
        <v>112</v>
      </c>
      <c r="G269" s="1">
        <v>387153</v>
      </c>
    </row>
    <row r="270" spans="1:10" x14ac:dyDescent="0.25">
      <c r="A270" s="1" t="str">
        <f t="shared" si="4"/>
        <v>09 17b estradiol 68</v>
      </c>
      <c r="B2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0" s="1" t="s">
        <v>2224</v>
      </c>
      <c r="D270" s="1" t="s">
        <v>2225</v>
      </c>
      <c r="E270" s="1" t="s">
        <v>2226</v>
      </c>
      <c r="F270" s="1" t="s">
        <v>112</v>
      </c>
      <c r="G270" s="1">
        <v>60931</v>
      </c>
    </row>
    <row r="271" spans="1:10" x14ac:dyDescent="0.25">
      <c r="A271" s="1" t="str">
        <f t="shared" si="4"/>
        <v>09 17b estradiol 68</v>
      </c>
      <c r="B2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1" s="1" t="s">
        <v>2227</v>
      </c>
      <c r="D271" s="1" t="s">
        <v>1885</v>
      </c>
      <c r="E271" s="1" t="s">
        <v>2228</v>
      </c>
      <c r="F271" s="1" t="s">
        <v>112</v>
      </c>
      <c r="G271" s="1">
        <v>103888</v>
      </c>
    </row>
    <row r="272" spans="1:10" x14ac:dyDescent="0.25">
      <c r="A272" s="1" t="str">
        <f t="shared" si="4"/>
        <v>09 17b estradiol 68</v>
      </c>
      <c r="B2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2" s="1" t="s">
        <v>2229</v>
      </c>
      <c r="D272" s="1" t="s">
        <v>1725</v>
      </c>
      <c r="E272" s="1" t="s">
        <v>2230</v>
      </c>
      <c r="F272" s="1" t="s">
        <v>112</v>
      </c>
      <c r="G272" s="1">
        <v>36857</v>
      </c>
    </row>
    <row r="273" spans="1:7" x14ac:dyDescent="0.25">
      <c r="A273" s="1" t="str">
        <f t="shared" si="4"/>
        <v>09 17b estradiol 68</v>
      </c>
      <c r="B2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3" s="1" t="s">
        <v>2231</v>
      </c>
      <c r="D273" s="1" t="s">
        <v>308</v>
      </c>
      <c r="E273" s="1" t="s">
        <v>2232</v>
      </c>
      <c r="F273" s="1" t="s">
        <v>112</v>
      </c>
      <c r="G273" s="1">
        <v>274202</v>
      </c>
    </row>
    <row r="274" spans="1:7" x14ac:dyDescent="0.25">
      <c r="A274" s="1" t="str">
        <f t="shared" si="4"/>
        <v>09 17b estradiol 68</v>
      </c>
      <c r="B2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4" s="1" t="s">
        <v>2233</v>
      </c>
      <c r="D274" s="1" t="s">
        <v>255</v>
      </c>
      <c r="E274" s="1" t="s">
        <v>2234</v>
      </c>
      <c r="F274" s="1" t="s">
        <v>112</v>
      </c>
      <c r="G274" s="1">
        <v>49100</v>
      </c>
    </row>
    <row r="275" spans="1:7" x14ac:dyDescent="0.25">
      <c r="A275" s="1" t="str">
        <f t="shared" si="4"/>
        <v>09 17b estradiol 68</v>
      </c>
      <c r="B2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5" s="1" t="s">
        <v>2235</v>
      </c>
    </row>
    <row r="276" spans="1:7" x14ac:dyDescent="0.25">
      <c r="A276" s="1" t="str">
        <f t="shared" si="4"/>
        <v>09 17b estradiol 68</v>
      </c>
      <c r="B2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6" s="1" t="s">
        <v>2236</v>
      </c>
    </row>
    <row r="277" spans="1:7" x14ac:dyDescent="0.25">
      <c r="A277" s="1" t="str">
        <f t="shared" si="4"/>
        <v>09 17b estradiol 68</v>
      </c>
      <c r="B2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7" s="1" t="s">
        <v>2237</v>
      </c>
      <c r="D277" s="1" t="s">
        <v>1974</v>
      </c>
      <c r="E277" s="1" t="s">
        <v>2238</v>
      </c>
      <c r="F277" s="1" t="s">
        <v>112</v>
      </c>
      <c r="G277" s="1">
        <v>863920</v>
      </c>
    </row>
    <row r="278" spans="1:7" x14ac:dyDescent="0.25">
      <c r="A278" s="1" t="str">
        <f t="shared" si="4"/>
        <v>09 17b estradiol 68</v>
      </c>
      <c r="B2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78" s="1" t="s">
        <v>2239</v>
      </c>
      <c r="D278" s="1" t="s">
        <v>2240</v>
      </c>
      <c r="E278" s="1" t="s">
        <v>2241</v>
      </c>
      <c r="F278" s="1" t="s">
        <v>112</v>
      </c>
      <c r="G278" s="1">
        <v>298730</v>
      </c>
    </row>
    <row r="279" spans="1:7" x14ac:dyDescent="0.25">
      <c r="A279" s="1" t="str">
        <f t="shared" si="4"/>
        <v>09 17b estradiol 68</v>
      </c>
      <c r="B2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79" s="1" t="s">
        <v>2242</v>
      </c>
      <c r="D279" s="1" t="s">
        <v>2243</v>
      </c>
      <c r="E279" s="1" t="s">
        <v>2244</v>
      </c>
      <c r="F279" s="1" t="s">
        <v>112</v>
      </c>
      <c r="G279" s="1">
        <v>466038</v>
      </c>
    </row>
    <row r="280" spans="1:7" x14ac:dyDescent="0.25">
      <c r="A280" s="1" t="str">
        <f t="shared" si="4"/>
        <v>09 17b estradiol 68</v>
      </c>
      <c r="B2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80" s="1" t="s">
        <v>2245</v>
      </c>
      <c r="D280" s="1" t="s">
        <v>2246</v>
      </c>
      <c r="E280" s="1" t="s">
        <v>2247</v>
      </c>
      <c r="F280" s="1" t="s">
        <v>112</v>
      </c>
      <c r="G280" s="1">
        <v>336172</v>
      </c>
    </row>
    <row r="281" spans="1:7" x14ac:dyDescent="0.25">
      <c r="A281" s="1" t="str">
        <f t="shared" si="4"/>
        <v>09 17b estradiol 68</v>
      </c>
      <c r="B2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1" s="1" t="s">
        <v>2248</v>
      </c>
      <c r="D281" s="1" t="s">
        <v>2249</v>
      </c>
      <c r="E281" s="1" t="s">
        <v>2250</v>
      </c>
      <c r="F281" s="1" t="s">
        <v>112</v>
      </c>
      <c r="G281" s="1">
        <v>305566</v>
      </c>
    </row>
    <row r="282" spans="1:7" x14ac:dyDescent="0.25">
      <c r="A282" s="1" t="str">
        <f t="shared" si="4"/>
        <v>09 17b estradiol 68</v>
      </c>
      <c r="B2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2" s="1" t="s">
        <v>2251</v>
      </c>
      <c r="D282" s="1" t="s">
        <v>1434</v>
      </c>
      <c r="E282" s="1" t="s">
        <v>2252</v>
      </c>
      <c r="F282" s="1" t="s">
        <v>112</v>
      </c>
      <c r="G282" s="1">
        <v>132137</v>
      </c>
    </row>
    <row r="283" spans="1:7" x14ac:dyDescent="0.25">
      <c r="A283" s="1" t="str">
        <f t="shared" si="4"/>
        <v>09 17b estradiol 68</v>
      </c>
      <c r="B2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3" s="1" t="s">
        <v>2253</v>
      </c>
      <c r="D283" s="1" t="s">
        <v>1784</v>
      </c>
      <c r="E283" s="1" t="s">
        <v>2254</v>
      </c>
      <c r="F283" s="1" t="s">
        <v>112</v>
      </c>
      <c r="G283" s="1">
        <v>209745</v>
      </c>
    </row>
    <row r="284" spans="1:7" x14ac:dyDescent="0.25">
      <c r="A284" s="1" t="str">
        <f t="shared" si="4"/>
        <v>09 17b estradiol 68</v>
      </c>
      <c r="B2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4" s="1" t="s">
        <v>2255</v>
      </c>
      <c r="D284" s="1" t="s">
        <v>2256</v>
      </c>
      <c r="E284" s="1" t="s">
        <v>2257</v>
      </c>
      <c r="F284" s="1" t="s">
        <v>112</v>
      </c>
      <c r="G284" s="1">
        <v>354363</v>
      </c>
    </row>
    <row r="285" spans="1:7" x14ac:dyDescent="0.25">
      <c r="A285" s="1" t="str">
        <f t="shared" si="4"/>
        <v>09 17b estradiol 68</v>
      </c>
      <c r="B2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5" s="1" t="s">
        <v>2258</v>
      </c>
      <c r="D285" s="1" t="s">
        <v>2259</v>
      </c>
      <c r="E285" s="1" t="s">
        <v>2260</v>
      </c>
      <c r="F285" s="1" t="s">
        <v>112</v>
      </c>
      <c r="G285" s="1">
        <v>218678</v>
      </c>
    </row>
    <row r="286" spans="1:7" x14ac:dyDescent="0.25">
      <c r="A286" s="1" t="str">
        <f t="shared" si="4"/>
        <v>09 17b estradiol 68</v>
      </c>
      <c r="B2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6" s="1" t="s">
        <v>2261</v>
      </c>
      <c r="D286" s="1" t="s">
        <v>1248</v>
      </c>
      <c r="E286" s="1" t="s">
        <v>2262</v>
      </c>
      <c r="F286" s="1" t="s">
        <v>112</v>
      </c>
      <c r="G286" s="1">
        <v>281708</v>
      </c>
    </row>
    <row r="287" spans="1:7" x14ac:dyDescent="0.25">
      <c r="A287" s="1" t="str">
        <f t="shared" si="4"/>
        <v>09 17b estradiol 68</v>
      </c>
      <c r="B2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7" s="1" t="s">
        <v>2263</v>
      </c>
      <c r="D287" s="1" t="s">
        <v>703</v>
      </c>
      <c r="E287" s="1" t="s">
        <v>2264</v>
      </c>
      <c r="F287" s="1" t="s">
        <v>112</v>
      </c>
      <c r="G287" s="1">
        <v>121149</v>
      </c>
    </row>
    <row r="288" spans="1:7" x14ac:dyDescent="0.25">
      <c r="A288" s="1" t="str">
        <f t="shared" si="4"/>
        <v>09 17b estradiol 68</v>
      </c>
      <c r="B2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8" s="1" t="s">
        <v>2265</v>
      </c>
      <c r="D288" s="1" t="s">
        <v>2266</v>
      </c>
      <c r="E288" s="1" t="s">
        <v>2267</v>
      </c>
      <c r="F288" s="1" t="s">
        <v>112</v>
      </c>
      <c r="G288" s="1">
        <v>566249</v>
      </c>
    </row>
    <row r="289" spans="1:10" x14ac:dyDescent="0.25">
      <c r="A289" s="1" t="str">
        <f t="shared" si="4"/>
        <v>09 17b estradiol 68</v>
      </c>
      <c r="B2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9" s="1" t="s">
        <v>2268</v>
      </c>
    </row>
    <row r="290" spans="1:10" x14ac:dyDescent="0.25">
      <c r="A290" s="1" t="str">
        <f t="shared" si="4"/>
        <v/>
      </c>
      <c r="B2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0" s="1" t="s">
        <v>112</v>
      </c>
    </row>
    <row r="291" spans="1:10" x14ac:dyDescent="0.25">
      <c r="A291" s="1" t="str">
        <f t="shared" si="4"/>
        <v/>
      </c>
      <c r="B2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1" s="1" t="s">
        <v>232</v>
      </c>
      <c r="D291" s="1" t="s">
        <v>112</v>
      </c>
      <c r="E291" s="1" t="s">
        <v>233</v>
      </c>
      <c r="F291" s="1" t="s">
        <v>234</v>
      </c>
      <c r="G291" s="1" t="s">
        <v>235</v>
      </c>
      <c r="H291" s="1" t="s">
        <v>236</v>
      </c>
      <c r="I291" s="1" t="s">
        <v>237</v>
      </c>
      <c r="J291" s="1" t="s">
        <v>238</v>
      </c>
    </row>
    <row r="292" spans="1:10" x14ac:dyDescent="0.25">
      <c r="A292" s="1" t="str">
        <f t="shared" si="4"/>
        <v>09 17b estradiol 68</v>
      </c>
      <c r="B29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92" s="1" t="s">
        <v>2269</v>
      </c>
      <c r="D292" s="1" t="s">
        <v>112</v>
      </c>
      <c r="E292" s="1" t="s">
        <v>2270</v>
      </c>
      <c r="F292" s="1" t="s">
        <v>2271</v>
      </c>
      <c r="G292" s="1" t="s">
        <v>2272</v>
      </c>
      <c r="H292" s="1" t="s">
        <v>2273</v>
      </c>
      <c r="I292" s="1">
        <v>24</v>
      </c>
      <c r="J292" s="1">
        <v>24</v>
      </c>
    </row>
    <row r="293" spans="1:10" x14ac:dyDescent="0.25">
      <c r="A293" s="1" t="str">
        <f t="shared" si="4"/>
        <v/>
      </c>
      <c r="B2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3" s="1" t="s">
        <v>112</v>
      </c>
    </row>
    <row r="294" spans="1:10" x14ac:dyDescent="0.25">
      <c r="A294" s="1" t="str">
        <f t="shared" si="4"/>
        <v/>
      </c>
      <c r="B2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4" s="1" t="s">
        <v>112</v>
      </c>
    </row>
    <row r="295" spans="1:10" x14ac:dyDescent="0.25">
      <c r="A295" s="1" t="str">
        <f t="shared" si="4"/>
        <v/>
      </c>
      <c r="B2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5" s="1" t="s">
        <v>112</v>
      </c>
    </row>
    <row r="296" spans="1:10" x14ac:dyDescent="0.25">
      <c r="A296" s="1" t="str">
        <f t="shared" si="4"/>
        <v/>
      </c>
      <c r="B2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6" s="1" t="s">
        <v>112</v>
      </c>
    </row>
    <row r="297" spans="1:10" x14ac:dyDescent="0.25">
      <c r="A297" s="1" t="str">
        <f t="shared" si="4"/>
        <v/>
      </c>
      <c r="B2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7" s="1" t="s">
        <v>112</v>
      </c>
    </row>
    <row r="298" spans="1:10" x14ac:dyDescent="0.25">
      <c r="A298" s="1" t="str">
        <f t="shared" si="4"/>
        <v/>
      </c>
      <c r="B2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8" s="1" t="s">
        <v>244</v>
      </c>
      <c r="D298" s="1" t="s">
        <v>110</v>
      </c>
      <c r="E298" s="1" t="s">
        <v>111</v>
      </c>
      <c r="F298" s="1" t="s">
        <v>112</v>
      </c>
      <c r="G298" s="1" t="s">
        <v>113</v>
      </c>
    </row>
    <row r="299" spans="1:10" x14ac:dyDescent="0.25">
      <c r="A299" s="1" t="str">
        <f t="shared" si="4"/>
        <v>10 17b estradiol 135</v>
      </c>
      <c r="B2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99" s="1" t="s">
        <v>2274</v>
      </c>
      <c r="D299" s="1" t="s">
        <v>169</v>
      </c>
      <c r="E299" s="1" t="s">
        <v>2275</v>
      </c>
      <c r="F299" s="1" t="s">
        <v>112</v>
      </c>
      <c r="G299" s="1">
        <v>230012</v>
      </c>
    </row>
    <row r="300" spans="1:10" x14ac:dyDescent="0.25">
      <c r="A300" s="1" t="str">
        <f t="shared" si="4"/>
        <v>10 17b estradiol 135</v>
      </c>
      <c r="B3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0" s="1" t="s">
        <v>2276</v>
      </c>
      <c r="D300" s="1" t="s">
        <v>717</v>
      </c>
      <c r="E300" s="1" t="s">
        <v>2277</v>
      </c>
      <c r="F300" s="1" t="s">
        <v>112</v>
      </c>
      <c r="G300" s="1">
        <v>297389</v>
      </c>
    </row>
    <row r="301" spans="1:10" x14ac:dyDescent="0.25">
      <c r="A301" s="1" t="str">
        <f t="shared" si="4"/>
        <v>10 17b estradiol 135</v>
      </c>
      <c r="B3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1" s="1" t="s">
        <v>2278</v>
      </c>
      <c r="D301" s="1" t="s">
        <v>2279</v>
      </c>
      <c r="E301" s="1" t="s">
        <v>2280</v>
      </c>
      <c r="F301" s="1" t="s">
        <v>112</v>
      </c>
      <c r="G301" s="1">
        <v>426520</v>
      </c>
    </row>
    <row r="302" spans="1:10" x14ac:dyDescent="0.25">
      <c r="A302" s="1" t="str">
        <f t="shared" si="4"/>
        <v>10 17b estradiol 135</v>
      </c>
      <c r="B3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2" s="1" t="s">
        <v>2281</v>
      </c>
      <c r="D302" s="1" t="s">
        <v>2282</v>
      </c>
      <c r="E302" s="1" t="s">
        <v>2283</v>
      </c>
      <c r="F302" s="1" t="s">
        <v>112</v>
      </c>
      <c r="G302" s="1">
        <v>1673310</v>
      </c>
    </row>
    <row r="303" spans="1:10" x14ac:dyDescent="0.25">
      <c r="A303" s="1" t="str">
        <f t="shared" si="4"/>
        <v>10 17b estradiol 135</v>
      </c>
      <c r="B3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3" s="1" t="s">
        <v>2284</v>
      </c>
      <c r="D303" s="1" t="s">
        <v>2285</v>
      </c>
      <c r="E303" s="1" t="s">
        <v>2286</v>
      </c>
      <c r="F303" s="1" t="s">
        <v>112</v>
      </c>
      <c r="G303" s="1">
        <v>1778605</v>
      </c>
    </row>
    <row r="304" spans="1:10" x14ac:dyDescent="0.25">
      <c r="A304" s="1" t="str">
        <f t="shared" si="4"/>
        <v>10 17b estradiol 135</v>
      </c>
      <c r="B3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4" s="1" t="s">
        <v>2287</v>
      </c>
      <c r="D304" s="1" t="s">
        <v>2288</v>
      </c>
      <c r="E304" s="1" t="s">
        <v>2289</v>
      </c>
      <c r="F304" s="1" t="s">
        <v>112</v>
      </c>
      <c r="G304" s="1">
        <v>919033</v>
      </c>
    </row>
    <row r="305" spans="1:7" x14ac:dyDescent="0.25">
      <c r="A305" s="1" t="str">
        <f t="shared" si="4"/>
        <v>10 17b estradiol 135</v>
      </c>
      <c r="B3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5" s="1" t="s">
        <v>2290</v>
      </c>
      <c r="D305" s="1" t="s">
        <v>187</v>
      </c>
      <c r="E305" s="1" t="s">
        <v>2291</v>
      </c>
      <c r="F305" s="1" t="s">
        <v>112</v>
      </c>
      <c r="G305" s="1">
        <v>103997</v>
      </c>
    </row>
    <row r="306" spans="1:7" x14ac:dyDescent="0.25">
      <c r="A306" s="1" t="str">
        <f t="shared" si="4"/>
        <v>10 17b estradiol 135</v>
      </c>
      <c r="B3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6" s="1" t="s">
        <v>2292</v>
      </c>
      <c r="D306" s="1" t="s">
        <v>328</v>
      </c>
      <c r="E306" s="1" t="s">
        <v>2293</v>
      </c>
      <c r="F306" s="1" t="s">
        <v>112</v>
      </c>
      <c r="G306" s="1">
        <v>148749</v>
      </c>
    </row>
    <row r="307" spans="1:7" x14ac:dyDescent="0.25">
      <c r="A307" s="1" t="str">
        <f t="shared" si="4"/>
        <v>10 17b estradiol 135</v>
      </c>
      <c r="B3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7" s="1" t="s">
        <v>2294</v>
      </c>
    </row>
    <row r="308" spans="1:7" x14ac:dyDescent="0.25">
      <c r="A308" s="1" t="str">
        <f t="shared" si="4"/>
        <v>10 17b estradiol 135</v>
      </c>
      <c r="B3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08" s="1" t="s">
        <v>2295</v>
      </c>
      <c r="D308" s="1" t="s">
        <v>2296</v>
      </c>
      <c r="E308" s="1" t="s">
        <v>2297</v>
      </c>
      <c r="F308" s="1" t="s">
        <v>112</v>
      </c>
      <c r="G308" s="1">
        <v>1725979</v>
      </c>
    </row>
    <row r="309" spans="1:7" x14ac:dyDescent="0.25">
      <c r="A309" s="1" t="str">
        <f t="shared" si="4"/>
        <v>10 17b estradiol 135</v>
      </c>
      <c r="B3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09" s="1" t="s">
        <v>2298</v>
      </c>
      <c r="D309" s="1" t="s">
        <v>2299</v>
      </c>
      <c r="E309" s="1" t="s">
        <v>2300</v>
      </c>
      <c r="F309" s="1" t="s">
        <v>112</v>
      </c>
      <c r="G309" s="1">
        <v>1323425</v>
      </c>
    </row>
    <row r="310" spans="1:7" x14ac:dyDescent="0.25">
      <c r="A310" s="1" t="str">
        <f t="shared" si="4"/>
        <v>10 17b estradiol 135</v>
      </c>
      <c r="B3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10" s="1" t="s">
        <v>2301</v>
      </c>
      <c r="D310" s="1" t="s">
        <v>506</v>
      </c>
      <c r="E310" s="1" t="s">
        <v>2302</v>
      </c>
      <c r="F310" s="1" t="s">
        <v>112</v>
      </c>
      <c r="G310" s="1">
        <v>1395020</v>
      </c>
    </row>
    <row r="311" spans="1:7" x14ac:dyDescent="0.25">
      <c r="A311" s="1" t="str">
        <f t="shared" si="4"/>
        <v>10 17b estradiol 135</v>
      </c>
      <c r="B3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1" s="1" t="s">
        <v>2303</v>
      </c>
      <c r="D311" s="1" t="s">
        <v>2304</v>
      </c>
      <c r="E311" s="1" t="s">
        <v>2305</v>
      </c>
      <c r="F311" s="1" t="s">
        <v>112</v>
      </c>
      <c r="G311" s="1">
        <v>596682</v>
      </c>
    </row>
    <row r="312" spans="1:7" x14ac:dyDescent="0.25">
      <c r="A312" s="1" t="str">
        <f t="shared" si="4"/>
        <v>10 17b estradiol 135</v>
      </c>
      <c r="B3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2" s="1" t="s">
        <v>2306</v>
      </c>
      <c r="D312" s="1" t="s">
        <v>414</v>
      </c>
      <c r="E312" s="1" t="s">
        <v>2307</v>
      </c>
      <c r="F312" s="1" t="s">
        <v>112</v>
      </c>
      <c r="G312" s="1">
        <v>495454</v>
      </c>
    </row>
    <row r="313" spans="1:7" x14ac:dyDescent="0.25">
      <c r="A313" s="1" t="str">
        <f t="shared" si="4"/>
        <v>10 17b estradiol 135</v>
      </c>
      <c r="B3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3" s="1" t="s">
        <v>2308</v>
      </c>
    </row>
    <row r="314" spans="1:7" x14ac:dyDescent="0.25">
      <c r="A314" s="1" t="str">
        <f t="shared" si="4"/>
        <v>10 17b estradiol 135</v>
      </c>
      <c r="B3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4" s="1" t="s">
        <v>2309</v>
      </c>
      <c r="D314" s="1" t="s">
        <v>2310</v>
      </c>
      <c r="E314" s="1" t="s">
        <v>2311</v>
      </c>
      <c r="F314" s="1" t="s">
        <v>112</v>
      </c>
      <c r="G314" s="1">
        <v>3019274</v>
      </c>
    </row>
    <row r="315" spans="1:7" x14ac:dyDescent="0.25">
      <c r="A315" s="1" t="str">
        <f t="shared" si="4"/>
        <v>10 17b estradiol 135</v>
      </c>
      <c r="B3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5" s="1" t="s">
        <v>2312</v>
      </c>
      <c r="D315" s="1" t="s">
        <v>2313</v>
      </c>
      <c r="E315" s="1" t="s">
        <v>2314</v>
      </c>
      <c r="F315" s="1" t="s">
        <v>112</v>
      </c>
      <c r="G315" s="1">
        <v>3344241</v>
      </c>
    </row>
    <row r="316" spans="1:7" x14ac:dyDescent="0.25">
      <c r="A316" s="1" t="str">
        <f t="shared" si="4"/>
        <v>10 17b estradiol 135</v>
      </c>
      <c r="B3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6" s="1" t="s">
        <v>2315</v>
      </c>
      <c r="D316" s="1" t="s">
        <v>2316</v>
      </c>
      <c r="E316" s="1" t="s">
        <v>2317</v>
      </c>
      <c r="F316" s="1" t="s">
        <v>112</v>
      </c>
      <c r="G316" s="1">
        <v>2749008</v>
      </c>
    </row>
    <row r="317" spans="1:7" x14ac:dyDescent="0.25">
      <c r="A317" s="1" t="str">
        <f t="shared" si="4"/>
        <v>10 17b estradiol 135</v>
      </c>
      <c r="B3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7" s="1" t="s">
        <v>2318</v>
      </c>
      <c r="D317" s="1" t="s">
        <v>1437</v>
      </c>
      <c r="E317" s="1" t="s">
        <v>2319</v>
      </c>
      <c r="F317" s="1" t="s">
        <v>112</v>
      </c>
      <c r="G317" s="1">
        <v>201050</v>
      </c>
    </row>
    <row r="318" spans="1:7" x14ac:dyDescent="0.25">
      <c r="A318" s="1" t="str">
        <f t="shared" si="4"/>
        <v>10 17b estradiol 135</v>
      </c>
      <c r="B3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8" s="1" t="s">
        <v>2320</v>
      </c>
      <c r="D318" s="1" t="s">
        <v>2321</v>
      </c>
      <c r="E318" s="1" t="s">
        <v>2322</v>
      </c>
      <c r="F318" s="1" t="s">
        <v>112</v>
      </c>
      <c r="G318" s="1">
        <v>414429</v>
      </c>
    </row>
    <row r="319" spans="1:7" x14ac:dyDescent="0.25">
      <c r="A319" s="1" t="str">
        <f t="shared" si="4"/>
        <v>10 17b estradiol 135</v>
      </c>
      <c r="B3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9" s="1" t="s">
        <v>2323</v>
      </c>
      <c r="D319" s="1" t="s">
        <v>676</v>
      </c>
      <c r="E319" s="1" t="s">
        <v>2324</v>
      </c>
      <c r="F319" s="1" t="s">
        <v>112</v>
      </c>
      <c r="G319" s="1">
        <v>418192</v>
      </c>
    </row>
    <row r="320" spans="1:7" x14ac:dyDescent="0.25">
      <c r="A320" s="1" t="str">
        <f t="shared" si="4"/>
        <v>10 17b estradiol 135</v>
      </c>
      <c r="B3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0" s="1" t="s">
        <v>2325</v>
      </c>
      <c r="D320" s="1" t="s">
        <v>2326</v>
      </c>
      <c r="E320" s="1" t="s">
        <v>2327</v>
      </c>
      <c r="F320" s="1" t="s">
        <v>112</v>
      </c>
      <c r="G320" s="1">
        <v>637476</v>
      </c>
    </row>
    <row r="321" spans="1:10" x14ac:dyDescent="0.25">
      <c r="A321" s="1" t="str">
        <f t="shared" si="4"/>
        <v>10 17b estradiol 135</v>
      </c>
      <c r="B3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1" s="1" t="s">
        <v>2328</v>
      </c>
      <c r="D321" s="1" t="s">
        <v>2329</v>
      </c>
      <c r="E321" s="1" t="s">
        <v>2330</v>
      </c>
      <c r="F321" s="1" t="s">
        <v>112</v>
      </c>
      <c r="G321" s="1">
        <v>614722</v>
      </c>
    </row>
    <row r="322" spans="1:10" x14ac:dyDescent="0.25">
      <c r="A322" s="1" t="str">
        <f t="shared" ref="A322:A385" si="5">IFERROR(LEFT(RIGHT(C322,LEN(C322)-SEARCH("@",C322)),SEARCH("/",RIGHT(C322,LEN(C322)-SEARCH("@",C322)-1))),"")</f>
        <v>10 17b estradiol 135</v>
      </c>
      <c r="B3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2" s="1" t="s">
        <v>2331</v>
      </c>
      <c r="D322" s="1" t="s">
        <v>2332</v>
      </c>
      <c r="E322" s="1" t="s">
        <v>2333</v>
      </c>
      <c r="F322" s="1" t="s">
        <v>112</v>
      </c>
      <c r="G322" s="1">
        <v>781791</v>
      </c>
    </row>
    <row r="323" spans="1:10" x14ac:dyDescent="0.25">
      <c r="A323" s="1" t="str">
        <f t="shared" si="5"/>
        <v/>
      </c>
      <c r="B3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3" s="1" t="s">
        <v>112</v>
      </c>
    </row>
    <row r="324" spans="1:10" x14ac:dyDescent="0.25">
      <c r="A324" s="1" t="str">
        <f t="shared" si="5"/>
        <v/>
      </c>
      <c r="B3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4" s="1" t="s">
        <v>232</v>
      </c>
      <c r="D324" s="1" t="s">
        <v>112</v>
      </c>
      <c r="E324" s="1" t="s">
        <v>233</v>
      </c>
      <c r="F324" s="1" t="s">
        <v>234</v>
      </c>
      <c r="G324" s="1" t="s">
        <v>235</v>
      </c>
      <c r="H324" s="1" t="s">
        <v>236</v>
      </c>
      <c r="I324" s="1" t="s">
        <v>237</v>
      </c>
      <c r="J324" s="1" t="s">
        <v>238</v>
      </c>
    </row>
    <row r="325" spans="1:10" x14ac:dyDescent="0.25">
      <c r="A325" s="1" t="str">
        <f t="shared" si="5"/>
        <v>10 17b estradiol 135</v>
      </c>
      <c r="B3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25" s="1" t="s">
        <v>2334</v>
      </c>
      <c r="D325" s="1" t="s">
        <v>112</v>
      </c>
      <c r="E325" s="1" t="s">
        <v>2335</v>
      </c>
      <c r="F325" s="1" t="s">
        <v>2336</v>
      </c>
      <c r="G325" s="1" t="s">
        <v>2337</v>
      </c>
      <c r="H325" s="1" t="s">
        <v>2338</v>
      </c>
      <c r="I325" s="1">
        <v>24</v>
      </c>
      <c r="J325" s="1">
        <v>24</v>
      </c>
    </row>
    <row r="326" spans="1:10" x14ac:dyDescent="0.25">
      <c r="A326" s="1" t="str">
        <f t="shared" si="5"/>
        <v/>
      </c>
      <c r="B3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6" s="1" t="s">
        <v>112</v>
      </c>
    </row>
    <row r="327" spans="1:10" x14ac:dyDescent="0.25">
      <c r="A327" s="1" t="str">
        <f t="shared" si="5"/>
        <v/>
      </c>
      <c r="B3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7" s="1" t="s">
        <v>112</v>
      </c>
    </row>
    <row r="328" spans="1:10" x14ac:dyDescent="0.25">
      <c r="A328" s="1" t="str">
        <f t="shared" si="5"/>
        <v/>
      </c>
      <c r="B3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8" s="1" t="s">
        <v>112</v>
      </c>
    </row>
    <row r="329" spans="1:10" x14ac:dyDescent="0.25">
      <c r="A329" s="1" t="str">
        <f t="shared" si="5"/>
        <v/>
      </c>
      <c r="B3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9" s="1" t="s">
        <v>112</v>
      </c>
    </row>
    <row r="330" spans="1:10" x14ac:dyDescent="0.25">
      <c r="A330" s="1" t="str">
        <f t="shared" si="5"/>
        <v/>
      </c>
      <c r="B3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0" s="1" t="s">
        <v>112</v>
      </c>
    </row>
    <row r="331" spans="1:10" x14ac:dyDescent="0.25">
      <c r="A331" s="1" t="str">
        <f t="shared" si="5"/>
        <v/>
      </c>
      <c r="B3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1" s="1" t="s">
        <v>244</v>
      </c>
      <c r="D331" s="1" t="s">
        <v>110</v>
      </c>
      <c r="E331" s="1" t="s">
        <v>111</v>
      </c>
      <c r="F331" s="1" t="s">
        <v>112</v>
      </c>
      <c r="G331" s="1" t="s">
        <v>113</v>
      </c>
    </row>
    <row r="332" spans="1:10" x14ac:dyDescent="0.25">
      <c r="A332" s="1" t="str">
        <f t="shared" si="5"/>
        <v>11 17b estradiol 270</v>
      </c>
      <c r="B3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2" s="1" t="s">
        <v>2339</v>
      </c>
      <c r="D332" s="1" t="s">
        <v>2340</v>
      </c>
      <c r="E332" s="1" t="s">
        <v>2341</v>
      </c>
      <c r="F332" s="1" t="s">
        <v>112</v>
      </c>
      <c r="G332" s="1">
        <v>5417640</v>
      </c>
    </row>
    <row r="333" spans="1:10" x14ac:dyDescent="0.25">
      <c r="A333" s="1" t="str">
        <f t="shared" si="5"/>
        <v>11 17b estradiol 270</v>
      </c>
      <c r="B3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3" s="1" t="s">
        <v>2342</v>
      </c>
      <c r="D333" s="1" t="s">
        <v>2343</v>
      </c>
      <c r="E333" s="1" t="s">
        <v>2344</v>
      </c>
      <c r="F333" s="1" t="s">
        <v>112</v>
      </c>
      <c r="G333" s="1">
        <v>4980673</v>
      </c>
    </row>
    <row r="334" spans="1:10" x14ac:dyDescent="0.25">
      <c r="A334" s="1" t="str">
        <f t="shared" si="5"/>
        <v>11 17b estradiol 270</v>
      </c>
      <c r="B3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4" s="1" t="s">
        <v>2345</v>
      </c>
      <c r="D334" s="1" t="s">
        <v>2346</v>
      </c>
      <c r="E334" s="1" t="s">
        <v>2347</v>
      </c>
      <c r="F334" s="1" t="s">
        <v>112</v>
      </c>
      <c r="G334" s="1">
        <v>4880569</v>
      </c>
    </row>
    <row r="335" spans="1:10" x14ac:dyDescent="0.25">
      <c r="A335" s="1" t="str">
        <f t="shared" si="5"/>
        <v>11 17b estradiol 270</v>
      </c>
      <c r="B3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5" s="1" t="s">
        <v>2348</v>
      </c>
      <c r="D335" s="1" t="s">
        <v>981</v>
      </c>
      <c r="E335" s="1" t="s">
        <v>2349</v>
      </c>
      <c r="F335" s="1" t="s">
        <v>112</v>
      </c>
      <c r="G335" s="1">
        <v>3473912</v>
      </c>
    </row>
    <row r="336" spans="1:10" x14ac:dyDescent="0.25">
      <c r="A336" s="1" t="str">
        <f t="shared" si="5"/>
        <v>11 17b estradiol 270</v>
      </c>
      <c r="B3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6" s="1" t="s">
        <v>2350</v>
      </c>
      <c r="D336" s="1" t="s">
        <v>2351</v>
      </c>
      <c r="E336" s="1" t="s">
        <v>2352</v>
      </c>
      <c r="F336" s="1" t="s">
        <v>112</v>
      </c>
      <c r="G336" s="1">
        <v>3216019</v>
      </c>
    </row>
    <row r="337" spans="1:7" x14ac:dyDescent="0.25">
      <c r="A337" s="1" t="str">
        <f t="shared" si="5"/>
        <v>11 17b estradiol 270</v>
      </c>
      <c r="B3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7" s="1" t="s">
        <v>2353</v>
      </c>
      <c r="D337" s="1" t="s">
        <v>2354</v>
      </c>
      <c r="E337" s="1" t="s">
        <v>2355</v>
      </c>
      <c r="F337" s="1" t="s">
        <v>112</v>
      </c>
      <c r="G337" s="1">
        <v>3842313</v>
      </c>
    </row>
    <row r="338" spans="1:7" x14ac:dyDescent="0.25">
      <c r="A338" s="1" t="str">
        <f t="shared" si="5"/>
        <v>11 17b estradiol 270</v>
      </c>
      <c r="B3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38" s="1" t="s">
        <v>2356</v>
      </c>
      <c r="D338" s="1" t="s">
        <v>2357</v>
      </c>
      <c r="E338" s="1" t="s">
        <v>2358</v>
      </c>
      <c r="F338" s="1" t="s">
        <v>112</v>
      </c>
      <c r="G338" s="1">
        <v>3667695</v>
      </c>
    </row>
    <row r="339" spans="1:7" x14ac:dyDescent="0.25">
      <c r="A339" s="1" t="str">
        <f t="shared" si="5"/>
        <v>11 17b estradiol 270</v>
      </c>
      <c r="B3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39" s="1" t="s">
        <v>2359</v>
      </c>
      <c r="D339" s="1" t="s">
        <v>981</v>
      </c>
      <c r="E339" s="1" t="s">
        <v>2360</v>
      </c>
      <c r="F339" s="1" t="s">
        <v>112</v>
      </c>
      <c r="G339" s="1">
        <v>3505168</v>
      </c>
    </row>
    <row r="340" spans="1:7" x14ac:dyDescent="0.25">
      <c r="A340" s="1" t="str">
        <f t="shared" si="5"/>
        <v>11 17b estradiol 270</v>
      </c>
      <c r="B3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40" s="1" t="s">
        <v>2361</v>
      </c>
      <c r="D340" s="1" t="s">
        <v>2362</v>
      </c>
      <c r="E340" s="1" t="s">
        <v>2363</v>
      </c>
      <c r="F340" s="1" t="s">
        <v>112</v>
      </c>
      <c r="G340" s="1">
        <v>3343138</v>
      </c>
    </row>
    <row r="341" spans="1:7" x14ac:dyDescent="0.25">
      <c r="A341" s="1" t="str">
        <f t="shared" si="5"/>
        <v>11 17b estradiol 270</v>
      </c>
      <c r="B3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1" s="1" t="s">
        <v>2364</v>
      </c>
      <c r="D341" s="1" t="s">
        <v>2365</v>
      </c>
      <c r="E341" s="1" t="s">
        <v>2366</v>
      </c>
      <c r="F341" s="1" t="s">
        <v>112</v>
      </c>
      <c r="G341" s="1">
        <v>6052823</v>
      </c>
    </row>
    <row r="342" spans="1:7" x14ac:dyDescent="0.25">
      <c r="A342" s="1" t="str">
        <f t="shared" si="5"/>
        <v>11 17b estradiol 270</v>
      </c>
      <c r="B3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2" s="1" t="s">
        <v>2367</v>
      </c>
      <c r="D342" s="1" t="s">
        <v>2368</v>
      </c>
      <c r="E342" s="1" t="s">
        <v>2369</v>
      </c>
      <c r="F342" s="1" t="s">
        <v>112</v>
      </c>
      <c r="G342" s="1">
        <v>5789133</v>
      </c>
    </row>
    <row r="343" spans="1:7" x14ac:dyDescent="0.25">
      <c r="A343" s="1" t="str">
        <f t="shared" si="5"/>
        <v>11 17b estradiol 270</v>
      </c>
      <c r="B3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3" s="1" t="s">
        <v>2370</v>
      </c>
      <c r="D343" s="1" t="s">
        <v>2371</v>
      </c>
      <c r="E343" s="1" t="s">
        <v>2372</v>
      </c>
      <c r="F343" s="1" t="s">
        <v>112</v>
      </c>
      <c r="G343" s="1">
        <v>5414828</v>
      </c>
    </row>
    <row r="344" spans="1:7" x14ac:dyDescent="0.25">
      <c r="A344" s="1" t="str">
        <f t="shared" si="5"/>
        <v>11 17b estradiol 270</v>
      </c>
      <c r="B3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4" s="1" t="s">
        <v>2373</v>
      </c>
      <c r="D344" s="1" t="s">
        <v>2374</v>
      </c>
      <c r="E344" s="1" t="s">
        <v>2375</v>
      </c>
      <c r="F344" s="1" t="s">
        <v>112</v>
      </c>
      <c r="G344" s="1">
        <v>5594983</v>
      </c>
    </row>
    <row r="345" spans="1:7" x14ac:dyDescent="0.25">
      <c r="A345" s="1" t="str">
        <f t="shared" si="5"/>
        <v>11 17b estradiol 270</v>
      </c>
      <c r="B3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5" s="1" t="s">
        <v>2376</v>
      </c>
      <c r="D345" s="1" t="s">
        <v>2377</v>
      </c>
      <c r="E345" s="1" t="s">
        <v>2378</v>
      </c>
      <c r="F345" s="1" t="s">
        <v>112</v>
      </c>
      <c r="G345" s="1">
        <v>4941393</v>
      </c>
    </row>
    <row r="346" spans="1:7" x14ac:dyDescent="0.25">
      <c r="A346" s="1" t="str">
        <f t="shared" si="5"/>
        <v>11 17b estradiol 270</v>
      </c>
      <c r="B3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6" s="1" t="s">
        <v>2379</v>
      </c>
      <c r="D346" s="1" t="s">
        <v>2380</v>
      </c>
      <c r="E346" s="1" t="s">
        <v>2381</v>
      </c>
      <c r="F346" s="1" t="s">
        <v>112</v>
      </c>
      <c r="G346" s="1">
        <v>4926944</v>
      </c>
    </row>
    <row r="347" spans="1:7" x14ac:dyDescent="0.25">
      <c r="A347" s="1" t="str">
        <f t="shared" si="5"/>
        <v>11 17b estradiol 270</v>
      </c>
      <c r="B3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7" s="1" t="s">
        <v>2382</v>
      </c>
      <c r="D347" s="1" t="s">
        <v>2383</v>
      </c>
      <c r="E347" s="1" t="s">
        <v>2384</v>
      </c>
      <c r="F347" s="1" t="s">
        <v>112</v>
      </c>
      <c r="G347" s="1">
        <v>4686246</v>
      </c>
    </row>
    <row r="348" spans="1:7" x14ac:dyDescent="0.25">
      <c r="A348" s="1" t="str">
        <f t="shared" si="5"/>
        <v>11 17b estradiol 270</v>
      </c>
      <c r="B3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8" s="1" t="s">
        <v>2385</v>
      </c>
      <c r="D348" s="1" t="s">
        <v>2386</v>
      </c>
      <c r="E348" s="1" t="s">
        <v>2387</v>
      </c>
      <c r="F348" s="1" t="s">
        <v>112</v>
      </c>
      <c r="G348" s="1">
        <v>4866099</v>
      </c>
    </row>
    <row r="349" spans="1:7" x14ac:dyDescent="0.25">
      <c r="A349" s="1" t="str">
        <f t="shared" si="5"/>
        <v>11 17b estradiol 270</v>
      </c>
      <c r="B3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9" s="1" t="s">
        <v>2388</v>
      </c>
      <c r="D349" s="1" t="s">
        <v>2389</v>
      </c>
      <c r="E349" s="1" t="s">
        <v>2390</v>
      </c>
      <c r="F349" s="1" t="s">
        <v>112</v>
      </c>
      <c r="G349" s="1">
        <v>5005158</v>
      </c>
    </row>
    <row r="350" spans="1:7" x14ac:dyDescent="0.25">
      <c r="A350" s="1" t="str">
        <f t="shared" si="5"/>
        <v>11 17b estradiol 270</v>
      </c>
      <c r="B3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0" s="1" t="s">
        <v>2391</v>
      </c>
      <c r="D350" s="1" t="s">
        <v>2392</v>
      </c>
      <c r="E350" s="1" t="s">
        <v>2393</v>
      </c>
      <c r="F350" s="1" t="s">
        <v>112</v>
      </c>
      <c r="G350" s="1">
        <v>3635272</v>
      </c>
    </row>
    <row r="351" spans="1:7" x14ac:dyDescent="0.25">
      <c r="A351" s="1" t="str">
        <f t="shared" si="5"/>
        <v>11 17b estradiol 270</v>
      </c>
      <c r="B3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1" s="1" t="s">
        <v>2394</v>
      </c>
      <c r="D351" s="1" t="s">
        <v>1398</v>
      </c>
      <c r="E351" s="1" t="s">
        <v>2395</v>
      </c>
      <c r="F351" s="1" t="s">
        <v>112</v>
      </c>
      <c r="G351" s="1">
        <v>3926258</v>
      </c>
    </row>
    <row r="352" spans="1:7" x14ac:dyDescent="0.25">
      <c r="A352" s="1" t="str">
        <f t="shared" si="5"/>
        <v>11 17b estradiol 270</v>
      </c>
      <c r="B3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2" s="1" t="s">
        <v>2396</v>
      </c>
      <c r="D352" s="1" t="s">
        <v>2397</v>
      </c>
      <c r="E352" s="1" t="s">
        <v>2398</v>
      </c>
      <c r="F352" s="1" t="s">
        <v>112</v>
      </c>
      <c r="G352" s="1">
        <v>3946829</v>
      </c>
    </row>
    <row r="353" spans="1:10" x14ac:dyDescent="0.25">
      <c r="A353" s="1" t="str">
        <f t="shared" si="5"/>
        <v>11 17b estradiol 270</v>
      </c>
      <c r="B3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3" s="1" t="s">
        <v>2399</v>
      </c>
      <c r="D353" s="1" t="s">
        <v>1045</v>
      </c>
      <c r="E353" s="1" t="s">
        <v>2400</v>
      </c>
      <c r="F353" s="1" t="s">
        <v>112</v>
      </c>
      <c r="G353" s="1">
        <v>2097602</v>
      </c>
    </row>
    <row r="354" spans="1:10" x14ac:dyDescent="0.25">
      <c r="A354" s="1" t="str">
        <f t="shared" si="5"/>
        <v>11 17b estradiol 270</v>
      </c>
      <c r="B3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4" s="1" t="s">
        <v>2401</v>
      </c>
      <c r="D354" s="1" t="s">
        <v>1966</v>
      </c>
      <c r="E354" s="1" t="s">
        <v>2402</v>
      </c>
      <c r="F354" s="1" t="s">
        <v>112</v>
      </c>
      <c r="G354" s="1">
        <v>1935292</v>
      </c>
    </row>
    <row r="355" spans="1:10" x14ac:dyDescent="0.25">
      <c r="A355" s="1" t="str">
        <f t="shared" si="5"/>
        <v>11 17b estradiol 270</v>
      </c>
      <c r="B3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5" s="1" t="s">
        <v>2403</v>
      </c>
      <c r="D355" s="1" t="s">
        <v>2404</v>
      </c>
      <c r="E355" s="1" t="s">
        <v>2405</v>
      </c>
      <c r="F355" s="1" t="s">
        <v>112</v>
      </c>
      <c r="G355" s="1">
        <v>2069938</v>
      </c>
    </row>
    <row r="356" spans="1:10" x14ac:dyDescent="0.25">
      <c r="A356" s="1" t="str">
        <f t="shared" si="5"/>
        <v/>
      </c>
      <c r="B3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6" s="1" t="s">
        <v>112</v>
      </c>
    </row>
    <row r="357" spans="1:10" x14ac:dyDescent="0.25">
      <c r="A357" s="1" t="str">
        <f t="shared" si="5"/>
        <v/>
      </c>
      <c r="B3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7" s="1" t="s">
        <v>232</v>
      </c>
      <c r="D357" s="1" t="s">
        <v>112</v>
      </c>
      <c r="E357" s="1" t="s">
        <v>233</v>
      </c>
      <c r="F357" s="1" t="s">
        <v>234</v>
      </c>
      <c r="G357" s="1" t="s">
        <v>235</v>
      </c>
      <c r="H357" s="1" t="s">
        <v>236</v>
      </c>
      <c r="I357" s="1" t="s">
        <v>237</v>
      </c>
      <c r="J357" s="1" t="s">
        <v>238</v>
      </c>
    </row>
    <row r="358" spans="1:10" x14ac:dyDescent="0.25">
      <c r="A358" s="1" t="str">
        <f t="shared" si="5"/>
        <v>11 17b estradiol 270</v>
      </c>
      <c r="B3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58" s="1" t="s">
        <v>2406</v>
      </c>
      <c r="D358" s="1" t="s">
        <v>112</v>
      </c>
      <c r="E358" s="1" t="s">
        <v>2407</v>
      </c>
      <c r="F358" s="1" t="s">
        <v>2408</v>
      </c>
      <c r="G358" s="1" t="s">
        <v>2409</v>
      </c>
      <c r="H358" s="1" t="s">
        <v>2410</v>
      </c>
      <c r="I358" s="1">
        <v>24</v>
      </c>
      <c r="J358" s="1">
        <v>24</v>
      </c>
    </row>
    <row r="359" spans="1:10" x14ac:dyDescent="0.25">
      <c r="A359" s="1" t="str">
        <f t="shared" si="5"/>
        <v/>
      </c>
      <c r="B3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9" s="1" t="s">
        <v>112</v>
      </c>
    </row>
    <row r="360" spans="1:10" x14ac:dyDescent="0.25">
      <c r="A360" s="1" t="str">
        <f t="shared" si="5"/>
        <v/>
      </c>
      <c r="B3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0" s="1" t="s">
        <v>112</v>
      </c>
    </row>
    <row r="361" spans="1:10" x14ac:dyDescent="0.25">
      <c r="A361" s="1" t="str">
        <f t="shared" si="5"/>
        <v/>
      </c>
      <c r="B3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1" s="1" t="s">
        <v>112</v>
      </c>
    </row>
    <row r="362" spans="1:10" x14ac:dyDescent="0.25">
      <c r="A362" s="1" t="str">
        <f t="shared" si="5"/>
        <v/>
      </c>
      <c r="B3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2" s="1" t="s">
        <v>112</v>
      </c>
    </row>
    <row r="363" spans="1:10" x14ac:dyDescent="0.25">
      <c r="A363" s="1" t="str">
        <f t="shared" si="5"/>
        <v/>
      </c>
      <c r="B3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3" s="1" t="s">
        <v>112</v>
      </c>
    </row>
    <row r="364" spans="1:10" x14ac:dyDescent="0.25">
      <c r="A364" s="1" t="str">
        <f t="shared" si="5"/>
        <v/>
      </c>
      <c r="B3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4" s="1" t="s">
        <v>244</v>
      </c>
      <c r="D364" s="1" t="s">
        <v>110</v>
      </c>
      <c r="E364" s="1" t="s">
        <v>111</v>
      </c>
      <c r="F364" s="1" t="s">
        <v>112</v>
      </c>
      <c r="G364" s="1" t="s">
        <v>113</v>
      </c>
    </row>
    <row r="365" spans="1:10" x14ac:dyDescent="0.25">
      <c r="A365" s="1" t="str">
        <f t="shared" si="5"/>
        <v>12 17b estradiol 540</v>
      </c>
      <c r="B3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5" s="1" t="s">
        <v>2411</v>
      </c>
      <c r="D365" s="1" t="s">
        <v>2412</v>
      </c>
      <c r="E365" s="1" t="s">
        <v>2413</v>
      </c>
      <c r="F365" s="1" t="s">
        <v>112</v>
      </c>
      <c r="G365" s="1">
        <v>4869603</v>
      </c>
    </row>
    <row r="366" spans="1:10" x14ac:dyDescent="0.25">
      <c r="A366" s="1" t="str">
        <f t="shared" si="5"/>
        <v>12 17b estradiol 540</v>
      </c>
      <c r="B3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6" s="1" t="s">
        <v>2414</v>
      </c>
      <c r="D366" s="1" t="s">
        <v>2415</v>
      </c>
      <c r="E366" s="1" t="s">
        <v>2416</v>
      </c>
      <c r="F366" s="1" t="s">
        <v>112</v>
      </c>
      <c r="G366" s="1">
        <v>4692303</v>
      </c>
    </row>
    <row r="367" spans="1:10" x14ac:dyDescent="0.25">
      <c r="A367" s="1" t="str">
        <f t="shared" si="5"/>
        <v>12 17b estradiol 540</v>
      </c>
      <c r="B3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7" s="1" t="s">
        <v>2417</v>
      </c>
      <c r="D367" s="1" t="s">
        <v>2418</v>
      </c>
      <c r="E367" s="1" t="s">
        <v>2419</v>
      </c>
      <c r="F367" s="1" t="s">
        <v>112</v>
      </c>
      <c r="G367" s="1">
        <v>4447431</v>
      </c>
    </row>
    <row r="368" spans="1:10" x14ac:dyDescent="0.25">
      <c r="A368" s="1" t="str">
        <f t="shared" si="5"/>
        <v>12 17b estradiol 540</v>
      </c>
      <c r="B3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68" s="1" t="s">
        <v>2420</v>
      </c>
      <c r="D368" s="1" t="s">
        <v>2421</v>
      </c>
      <c r="E368" s="1" t="s">
        <v>2422</v>
      </c>
      <c r="F368" s="1" t="s">
        <v>112</v>
      </c>
      <c r="G368" s="1">
        <v>7640868</v>
      </c>
    </row>
    <row r="369" spans="1:7" x14ac:dyDescent="0.25">
      <c r="A369" s="1" t="str">
        <f t="shared" si="5"/>
        <v>12 17b estradiol 540</v>
      </c>
      <c r="B3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69" s="1" t="s">
        <v>2423</v>
      </c>
      <c r="D369" s="1" t="s">
        <v>2424</v>
      </c>
      <c r="E369" s="1" t="s">
        <v>2425</v>
      </c>
      <c r="F369" s="1" t="s">
        <v>112</v>
      </c>
      <c r="G369" s="1">
        <v>7615756</v>
      </c>
    </row>
    <row r="370" spans="1:7" x14ac:dyDescent="0.25">
      <c r="A370" s="1" t="str">
        <f t="shared" si="5"/>
        <v>12 17b estradiol 540</v>
      </c>
      <c r="B3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70" s="1" t="s">
        <v>2426</v>
      </c>
      <c r="D370" s="1" t="s">
        <v>2427</v>
      </c>
      <c r="E370" s="1" t="s">
        <v>2428</v>
      </c>
      <c r="F370" s="1" t="s">
        <v>112</v>
      </c>
      <c r="G370" s="1">
        <v>7622526</v>
      </c>
    </row>
    <row r="371" spans="1:7" x14ac:dyDescent="0.25">
      <c r="A371" s="1" t="str">
        <f t="shared" si="5"/>
        <v>12 17b estradiol 540</v>
      </c>
      <c r="B3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1" s="1" t="s">
        <v>2429</v>
      </c>
    </row>
    <row r="372" spans="1:7" x14ac:dyDescent="0.25">
      <c r="A372" s="1" t="str">
        <f t="shared" si="5"/>
        <v>12 17b estradiol 540</v>
      </c>
      <c r="B3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2" s="1" t="s">
        <v>2430</v>
      </c>
      <c r="D372" s="1" t="s">
        <v>2431</v>
      </c>
      <c r="E372" s="1" t="s">
        <v>2432</v>
      </c>
      <c r="F372" s="1" t="s">
        <v>112</v>
      </c>
      <c r="G372" s="1">
        <v>6631423</v>
      </c>
    </row>
    <row r="373" spans="1:7" x14ac:dyDescent="0.25">
      <c r="A373" s="1" t="str">
        <f t="shared" si="5"/>
        <v>12 17b estradiol 540</v>
      </c>
      <c r="B3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3" s="1" t="s">
        <v>2433</v>
      </c>
    </row>
    <row r="374" spans="1:7" x14ac:dyDescent="0.25">
      <c r="A374" s="1" t="str">
        <f t="shared" si="5"/>
        <v>12 17b estradiol 540</v>
      </c>
      <c r="B3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4" s="1" t="s">
        <v>2434</v>
      </c>
      <c r="D374" s="1" t="s">
        <v>2088</v>
      </c>
      <c r="E374" s="1" t="s">
        <v>2435</v>
      </c>
      <c r="F374" s="1" t="s">
        <v>112</v>
      </c>
      <c r="G374" s="1">
        <v>4672014</v>
      </c>
    </row>
    <row r="375" spans="1:7" x14ac:dyDescent="0.25">
      <c r="A375" s="1" t="str">
        <f t="shared" si="5"/>
        <v>12 17b estradiol 540</v>
      </c>
      <c r="B3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5" s="1" t="s">
        <v>2436</v>
      </c>
      <c r="D375" s="1" t="s">
        <v>2437</v>
      </c>
      <c r="E375" s="1" t="s">
        <v>2438</v>
      </c>
      <c r="F375" s="1" t="s">
        <v>112</v>
      </c>
      <c r="G375" s="1">
        <v>4615279</v>
      </c>
    </row>
    <row r="376" spans="1:7" x14ac:dyDescent="0.25">
      <c r="A376" s="1" t="str">
        <f t="shared" si="5"/>
        <v>12 17b estradiol 540</v>
      </c>
      <c r="B3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6" s="1" t="s">
        <v>2439</v>
      </c>
      <c r="D376" s="1" t="s">
        <v>2440</v>
      </c>
      <c r="E376" s="1" t="s">
        <v>2441</v>
      </c>
      <c r="F376" s="1" t="s">
        <v>112</v>
      </c>
      <c r="G376" s="1">
        <v>4488030</v>
      </c>
    </row>
    <row r="377" spans="1:7" x14ac:dyDescent="0.25">
      <c r="A377" s="1" t="str">
        <f t="shared" si="5"/>
        <v>12 17b estradiol 540</v>
      </c>
      <c r="B3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7" s="1" t="s">
        <v>2442</v>
      </c>
      <c r="D377" s="1" t="s">
        <v>2443</v>
      </c>
      <c r="E377" s="1" t="s">
        <v>2444</v>
      </c>
      <c r="F377" s="1" t="s">
        <v>112</v>
      </c>
      <c r="G377" s="1">
        <v>4792817</v>
      </c>
    </row>
    <row r="378" spans="1:7" x14ac:dyDescent="0.25">
      <c r="A378" s="1" t="str">
        <f t="shared" si="5"/>
        <v>12 17b estradiol 540</v>
      </c>
      <c r="B3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8" s="1" t="s">
        <v>2445</v>
      </c>
      <c r="D378" s="1" t="s">
        <v>2446</v>
      </c>
      <c r="E378" s="1" t="s">
        <v>2447</v>
      </c>
      <c r="F378" s="1" t="s">
        <v>112</v>
      </c>
      <c r="G378" s="1">
        <v>5199416</v>
      </c>
    </row>
    <row r="379" spans="1:7" x14ac:dyDescent="0.25">
      <c r="A379" s="1" t="str">
        <f t="shared" si="5"/>
        <v>12 17b estradiol 540</v>
      </c>
      <c r="B3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9" s="1" t="s">
        <v>2448</v>
      </c>
      <c r="D379" s="1" t="s">
        <v>2449</v>
      </c>
      <c r="E379" s="1" t="s">
        <v>2450</v>
      </c>
      <c r="F379" s="1" t="s">
        <v>112</v>
      </c>
      <c r="G379" s="1">
        <v>4878796</v>
      </c>
    </row>
    <row r="380" spans="1:7" x14ac:dyDescent="0.25">
      <c r="A380" s="1" t="str">
        <f t="shared" si="5"/>
        <v>12 17b estradiol 540</v>
      </c>
      <c r="B3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0" s="1" t="s">
        <v>2451</v>
      </c>
      <c r="D380" s="1" t="s">
        <v>2452</v>
      </c>
      <c r="E380" s="1" t="s">
        <v>2453</v>
      </c>
      <c r="F380" s="1" t="s">
        <v>112</v>
      </c>
      <c r="G380" s="1">
        <v>5890772</v>
      </c>
    </row>
    <row r="381" spans="1:7" x14ac:dyDescent="0.25">
      <c r="A381" s="1" t="str">
        <f t="shared" si="5"/>
        <v>12 17b estradiol 540</v>
      </c>
      <c r="B3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1" s="1" t="s">
        <v>2454</v>
      </c>
      <c r="D381" s="1" t="s">
        <v>2455</v>
      </c>
      <c r="E381" s="1" t="s">
        <v>2456</v>
      </c>
      <c r="F381" s="1" t="s">
        <v>112</v>
      </c>
      <c r="G381" s="1">
        <v>5952006</v>
      </c>
    </row>
    <row r="382" spans="1:7" x14ac:dyDescent="0.25">
      <c r="A382" s="1" t="str">
        <f t="shared" si="5"/>
        <v>12 17b estradiol 540</v>
      </c>
      <c r="B3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2" s="1" t="s">
        <v>2457</v>
      </c>
      <c r="D382" s="1" t="s">
        <v>1389</v>
      </c>
      <c r="E382" s="1" t="s">
        <v>2458</v>
      </c>
      <c r="F382" s="1" t="s">
        <v>112</v>
      </c>
      <c r="G382" s="1">
        <v>5529964</v>
      </c>
    </row>
    <row r="383" spans="1:7" x14ac:dyDescent="0.25">
      <c r="A383" s="1" t="str">
        <f t="shared" si="5"/>
        <v>12 17b estradiol 540</v>
      </c>
      <c r="B3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3" s="1" t="s">
        <v>2459</v>
      </c>
      <c r="D383" s="1" t="s">
        <v>2460</v>
      </c>
      <c r="E383" s="1" t="s">
        <v>2461</v>
      </c>
      <c r="F383" s="1" t="s">
        <v>112</v>
      </c>
      <c r="G383" s="1">
        <v>4782478</v>
      </c>
    </row>
    <row r="384" spans="1:7" x14ac:dyDescent="0.25">
      <c r="A384" s="1" t="str">
        <f t="shared" si="5"/>
        <v>12 17b estradiol 540</v>
      </c>
      <c r="B3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4" s="1" t="s">
        <v>2462</v>
      </c>
      <c r="D384" s="1" t="s">
        <v>2463</v>
      </c>
      <c r="E384" s="1" t="s">
        <v>2464</v>
      </c>
      <c r="F384" s="1" t="s">
        <v>112</v>
      </c>
      <c r="G384" s="1">
        <v>4897571</v>
      </c>
    </row>
    <row r="385" spans="1:10" x14ac:dyDescent="0.25">
      <c r="A385" s="1" t="str">
        <f t="shared" si="5"/>
        <v>12 17b estradiol 540</v>
      </c>
      <c r="B3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5" s="1" t="s">
        <v>2465</v>
      </c>
      <c r="D385" s="1" t="s">
        <v>2466</v>
      </c>
      <c r="E385" s="1" t="s">
        <v>2467</v>
      </c>
      <c r="F385" s="1" t="s">
        <v>112</v>
      </c>
      <c r="G385" s="1">
        <v>4703550</v>
      </c>
    </row>
    <row r="386" spans="1:10" x14ac:dyDescent="0.25">
      <c r="A386" s="1" t="str">
        <f t="shared" ref="A386:A449" si="6">IFERROR(LEFT(RIGHT(C386,LEN(C386)-SEARCH("@",C386)),SEARCH("/",RIGHT(C386,LEN(C386)-SEARCH("@",C386)-1))),"")</f>
        <v>12 17b estradiol 540</v>
      </c>
      <c r="B3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6" s="1" t="s">
        <v>2468</v>
      </c>
      <c r="D386" s="1" t="s">
        <v>2469</v>
      </c>
      <c r="E386" s="1" t="s">
        <v>2470</v>
      </c>
      <c r="F386" s="1" t="s">
        <v>112</v>
      </c>
      <c r="G386" s="1">
        <v>7280212</v>
      </c>
    </row>
    <row r="387" spans="1:10" x14ac:dyDescent="0.25">
      <c r="A387" s="1" t="str">
        <f t="shared" si="6"/>
        <v>12 17b estradiol 540</v>
      </c>
      <c r="B3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7" s="1" t="s">
        <v>2471</v>
      </c>
      <c r="D387" s="1" t="s">
        <v>2472</v>
      </c>
      <c r="E387" s="1" t="s">
        <v>2473</v>
      </c>
      <c r="F387" s="1" t="s">
        <v>112</v>
      </c>
      <c r="G387" s="1">
        <v>6390206</v>
      </c>
    </row>
    <row r="388" spans="1:10" x14ac:dyDescent="0.25">
      <c r="A388" s="1" t="str">
        <f t="shared" si="6"/>
        <v>12 17b estradiol 540</v>
      </c>
      <c r="B3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8" s="1" t="s">
        <v>2474</v>
      </c>
      <c r="D388" s="1" t="s">
        <v>2475</v>
      </c>
      <c r="E388" s="1" t="s">
        <v>2476</v>
      </c>
      <c r="F388" s="1" t="s">
        <v>112</v>
      </c>
      <c r="G388" s="1">
        <v>7130965</v>
      </c>
    </row>
    <row r="389" spans="1:10" x14ac:dyDescent="0.25">
      <c r="A389" s="1" t="str">
        <f t="shared" si="6"/>
        <v/>
      </c>
      <c r="B3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89" s="1" t="s">
        <v>112</v>
      </c>
    </row>
    <row r="390" spans="1:10" x14ac:dyDescent="0.25">
      <c r="A390" s="1" t="str">
        <f t="shared" si="6"/>
        <v/>
      </c>
      <c r="B3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0" s="1" t="s">
        <v>232</v>
      </c>
      <c r="D390" s="1" t="s">
        <v>112</v>
      </c>
      <c r="E390" s="1" t="s">
        <v>233</v>
      </c>
      <c r="F390" s="1" t="s">
        <v>234</v>
      </c>
      <c r="G390" s="1" t="s">
        <v>235</v>
      </c>
      <c r="H390" s="1" t="s">
        <v>236</v>
      </c>
      <c r="I390" s="1" t="s">
        <v>237</v>
      </c>
      <c r="J390" s="1" t="s">
        <v>238</v>
      </c>
    </row>
    <row r="391" spans="1:10" x14ac:dyDescent="0.25">
      <c r="A391" s="1" t="str">
        <f t="shared" si="6"/>
        <v>12 17b estradiol 540</v>
      </c>
      <c r="B3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91" s="1" t="s">
        <v>2477</v>
      </c>
      <c r="D391" s="1" t="s">
        <v>112</v>
      </c>
      <c r="E391" s="1" t="s">
        <v>2478</v>
      </c>
      <c r="F391" s="1" t="s">
        <v>2479</v>
      </c>
      <c r="G391" s="1" t="s">
        <v>2480</v>
      </c>
      <c r="H391" s="1" t="s">
        <v>2481</v>
      </c>
      <c r="I391" s="1">
        <v>24</v>
      </c>
      <c r="J391" s="1">
        <v>24</v>
      </c>
    </row>
    <row r="392" spans="1:10" x14ac:dyDescent="0.25">
      <c r="A392" s="1" t="str">
        <f t="shared" si="6"/>
        <v/>
      </c>
      <c r="B3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2" s="1" t="s">
        <v>112</v>
      </c>
    </row>
    <row r="393" spans="1:10" x14ac:dyDescent="0.25">
      <c r="A393" s="1" t="str">
        <f t="shared" si="6"/>
        <v/>
      </c>
      <c r="B3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3" s="1" t="s">
        <v>112</v>
      </c>
    </row>
    <row r="394" spans="1:10" x14ac:dyDescent="0.25">
      <c r="A394" s="1" t="str">
        <f t="shared" si="6"/>
        <v/>
      </c>
      <c r="B3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4" s="1" t="s">
        <v>112</v>
      </c>
    </row>
    <row r="395" spans="1:10" x14ac:dyDescent="0.25">
      <c r="A395" s="1" t="str">
        <f t="shared" si="6"/>
        <v/>
      </c>
      <c r="B3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5" s="1" t="s">
        <v>112</v>
      </c>
    </row>
    <row r="396" spans="1:10" x14ac:dyDescent="0.25">
      <c r="A396" s="1" t="str">
        <f t="shared" si="6"/>
        <v/>
      </c>
      <c r="B3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6" s="1" t="s">
        <v>112</v>
      </c>
    </row>
    <row r="397" spans="1:10" x14ac:dyDescent="0.25">
      <c r="A397" s="1" t="str">
        <f t="shared" si="6"/>
        <v/>
      </c>
      <c r="B3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7" s="1" t="s">
        <v>244</v>
      </c>
      <c r="D397" s="1" t="s">
        <v>110</v>
      </c>
      <c r="E397" s="1" t="s">
        <v>111</v>
      </c>
      <c r="F397" s="1" t="s">
        <v>112</v>
      </c>
      <c r="G397" s="1" t="s">
        <v>113</v>
      </c>
    </row>
    <row r="398" spans="1:10" x14ac:dyDescent="0.25">
      <c r="A398" s="1" t="str">
        <f t="shared" si="6"/>
        <v>01 Testo 30</v>
      </c>
      <c r="B3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98" s="1" t="s">
        <v>2482</v>
      </c>
      <c r="D398" s="1" t="s">
        <v>2025</v>
      </c>
      <c r="E398" s="1" t="s">
        <v>2483</v>
      </c>
      <c r="F398" s="1" t="s">
        <v>112</v>
      </c>
      <c r="G398" s="1">
        <v>3827194</v>
      </c>
    </row>
    <row r="399" spans="1:10" x14ac:dyDescent="0.25">
      <c r="A399" s="1" t="str">
        <f t="shared" si="6"/>
        <v>01 Testo 30</v>
      </c>
      <c r="B3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99" s="1" t="s">
        <v>2484</v>
      </c>
    </row>
    <row r="400" spans="1:10" x14ac:dyDescent="0.25">
      <c r="A400" s="1" t="str">
        <f t="shared" si="6"/>
        <v>01 Testo 30</v>
      </c>
      <c r="B4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00" s="1" t="s">
        <v>2485</v>
      </c>
      <c r="D400" s="1" t="s">
        <v>2486</v>
      </c>
      <c r="E400" s="1" t="s">
        <v>2487</v>
      </c>
      <c r="F400" s="1" t="s">
        <v>112</v>
      </c>
      <c r="G400" s="1">
        <v>3430826</v>
      </c>
    </row>
    <row r="401" spans="1:7" x14ac:dyDescent="0.25">
      <c r="A401" s="1" t="str">
        <f t="shared" si="6"/>
        <v>01 Testo 30</v>
      </c>
      <c r="B4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1" s="1" t="s">
        <v>2488</v>
      </c>
      <c r="D401" s="1" t="s">
        <v>2489</v>
      </c>
      <c r="E401" s="1" t="s">
        <v>2490</v>
      </c>
      <c r="F401" s="1" t="s">
        <v>112</v>
      </c>
      <c r="G401" s="1">
        <v>4622546</v>
      </c>
    </row>
    <row r="402" spans="1:7" x14ac:dyDescent="0.25">
      <c r="A402" s="1" t="str">
        <f t="shared" si="6"/>
        <v>01 Testo 30</v>
      </c>
      <c r="B4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2" s="1" t="s">
        <v>2491</v>
      </c>
      <c r="D402" s="1" t="s">
        <v>2492</v>
      </c>
      <c r="E402" s="1" t="s">
        <v>2493</v>
      </c>
      <c r="F402" s="1" t="s">
        <v>112</v>
      </c>
      <c r="G402" s="1">
        <v>3940707</v>
      </c>
    </row>
    <row r="403" spans="1:7" x14ac:dyDescent="0.25">
      <c r="A403" s="1" t="str">
        <f t="shared" si="6"/>
        <v>01 Testo 30</v>
      </c>
      <c r="B4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3" s="1" t="s">
        <v>2494</v>
      </c>
      <c r="D403" s="1" t="s">
        <v>2495</v>
      </c>
      <c r="E403" s="1" t="s">
        <v>2496</v>
      </c>
      <c r="F403" s="1" t="s">
        <v>112</v>
      </c>
      <c r="G403" s="1">
        <v>4387429</v>
      </c>
    </row>
    <row r="404" spans="1:7" x14ac:dyDescent="0.25">
      <c r="A404" s="1" t="str">
        <f t="shared" si="6"/>
        <v>01 Testo 30</v>
      </c>
      <c r="B4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4" s="1" t="s">
        <v>2497</v>
      </c>
      <c r="D404" s="1" t="s">
        <v>2498</v>
      </c>
      <c r="E404" s="1" t="s">
        <v>2499</v>
      </c>
      <c r="F404" s="1" t="s">
        <v>112</v>
      </c>
      <c r="G404" s="1">
        <v>1875420</v>
      </c>
    </row>
    <row r="405" spans="1:7" x14ac:dyDescent="0.25">
      <c r="A405" s="1" t="str">
        <f t="shared" si="6"/>
        <v>01 Testo 30</v>
      </c>
      <c r="B4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5" s="1" t="s">
        <v>2500</v>
      </c>
      <c r="D405" s="1" t="s">
        <v>2501</v>
      </c>
      <c r="E405" s="1" t="s">
        <v>2502</v>
      </c>
      <c r="F405" s="1" t="s">
        <v>112</v>
      </c>
      <c r="G405" s="1">
        <v>1144221</v>
      </c>
    </row>
    <row r="406" spans="1:7" x14ac:dyDescent="0.25">
      <c r="A406" s="1" t="str">
        <f t="shared" si="6"/>
        <v>01 Testo 30</v>
      </c>
      <c r="B4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6" s="1" t="s">
        <v>2503</v>
      </c>
      <c r="D406" s="1" t="s">
        <v>1084</v>
      </c>
      <c r="E406" s="1" t="s">
        <v>2504</v>
      </c>
      <c r="F406" s="1" t="s">
        <v>112</v>
      </c>
      <c r="G406" s="1">
        <v>957188</v>
      </c>
    </row>
    <row r="407" spans="1:7" x14ac:dyDescent="0.25">
      <c r="A407" s="1" t="str">
        <f t="shared" si="6"/>
        <v>01 Testo 30</v>
      </c>
      <c r="B4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7" s="1" t="s">
        <v>2505</v>
      </c>
      <c r="D407" s="1" t="s">
        <v>2506</v>
      </c>
      <c r="E407" s="1" t="s">
        <v>2507</v>
      </c>
      <c r="F407" s="1" t="s">
        <v>112</v>
      </c>
      <c r="G407" s="1">
        <v>3057732</v>
      </c>
    </row>
    <row r="408" spans="1:7" x14ac:dyDescent="0.25">
      <c r="A408" s="1" t="str">
        <f t="shared" si="6"/>
        <v>01 Testo 30</v>
      </c>
      <c r="B4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8" s="1" t="s">
        <v>2508</v>
      </c>
      <c r="D408" s="1" t="s">
        <v>2509</v>
      </c>
      <c r="E408" s="1" t="s">
        <v>836</v>
      </c>
      <c r="F408" s="1" t="s">
        <v>112</v>
      </c>
      <c r="G408" s="1">
        <v>1323685</v>
      </c>
    </row>
    <row r="409" spans="1:7" x14ac:dyDescent="0.25">
      <c r="A409" s="1" t="str">
        <f t="shared" si="6"/>
        <v>01 Testo 30</v>
      </c>
      <c r="B4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9" s="1" t="s">
        <v>2510</v>
      </c>
      <c r="D409" s="1" t="s">
        <v>2511</v>
      </c>
      <c r="E409" s="1" t="s">
        <v>2512</v>
      </c>
      <c r="F409" s="1" t="s">
        <v>112</v>
      </c>
      <c r="G409" s="1">
        <v>2784633</v>
      </c>
    </row>
    <row r="410" spans="1:7" x14ac:dyDescent="0.25">
      <c r="A410" s="1" t="str">
        <f t="shared" si="6"/>
        <v>01 Testo 30</v>
      </c>
      <c r="B4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0" s="1" t="s">
        <v>2513</v>
      </c>
      <c r="D410" s="1" t="s">
        <v>2514</v>
      </c>
      <c r="E410" s="1" t="s">
        <v>2515</v>
      </c>
      <c r="F410" s="1" t="s">
        <v>112</v>
      </c>
      <c r="G410" s="1">
        <v>1063499</v>
      </c>
    </row>
    <row r="411" spans="1:7" x14ac:dyDescent="0.25">
      <c r="A411" s="1" t="str">
        <f t="shared" si="6"/>
        <v>01 Testo 30</v>
      </c>
      <c r="B4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1" s="1" t="s">
        <v>2516</v>
      </c>
      <c r="D411" s="1" t="s">
        <v>2517</v>
      </c>
      <c r="E411" s="1" t="s">
        <v>2518</v>
      </c>
      <c r="F411" s="1" t="s">
        <v>112</v>
      </c>
      <c r="G411" s="1">
        <v>812873</v>
      </c>
    </row>
    <row r="412" spans="1:7" x14ac:dyDescent="0.25">
      <c r="A412" s="1" t="str">
        <f t="shared" si="6"/>
        <v>01 Testo 30</v>
      </c>
      <c r="B4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2" s="1" t="s">
        <v>2519</v>
      </c>
      <c r="D412" s="1" t="s">
        <v>2520</v>
      </c>
      <c r="E412" s="1" t="s">
        <v>2521</v>
      </c>
      <c r="F412" s="1" t="s">
        <v>112</v>
      </c>
      <c r="G412" s="1">
        <v>1115519</v>
      </c>
    </row>
    <row r="413" spans="1:7" x14ac:dyDescent="0.25">
      <c r="A413" s="1" t="str">
        <f t="shared" si="6"/>
        <v>01 Testo 30</v>
      </c>
      <c r="B4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3" s="1" t="s">
        <v>2522</v>
      </c>
      <c r="D413" s="1" t="s">
        <v>2523</v>
      </c>
      <c r="E413" s="1" t="s">
        <v>2524</v>
      </c>
      <c r="F413" s="1" t="s">
        <v>112</v>
      </c>
      <c r="G413" s="1">
        <v>1866292</v>
      </c>
    </row>
    <row r="414" spans="1:7" x14ac:dyDescent="0.25">
      <c r="A414" s="1" t="str">
        <f t="shared" si="6"/>
        <v>01 Testo 30</v>
      </c>
      <c r="B4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4" s="1" t="s">
        <v>2525</v>
      </c>
    </row>
    <row r="415" spans="1:7" x14ac:dyDescent="0.25">
      <c r="A415" s="1" t="str">
        <f t="shared" si="6"/>
        <v>01 Testo 30</v>
      </c>
      <c r="B4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5" s="1" t="s">
        <v>2526</v>
      </c>
      <c r="D415" s="1" t="s">
        <v>2527</v>
      </c>
      <c r="E415" s="1" t="s">
        <v>2528</v>
      </c>
      <c r="F415" s="1" t="s">
        <v>112</v>
      </c>
      <c r="G415" s="1">
        <v>1897569</v>
      </c>
    </row>
    <row r="416" spans="1:7" x14ac:dyDescent="0.25">
      <c r="A416" s="1" t="str">
        <f t="shared" si="6"/>
        <v>01 Testo 30</v>
      </c>
      <c r="B4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6" s="1" t="s">
        <v>2529</v>
      </c>
      <c r="D416" s="1" t="s">
        <v>2530</v>
      </c>
      <c r="E416" s="1" t="s">
        <v>2531</v>
      </c>
      <c r="F416" s="1" t="s">
        <v>112</v>
      </c>
      <c r="G416" s="1">
        <v>2146702</v>
      </c>
    </row>
    <row r="417" spans="1:10" x14ac:dyDescent="0.25">
      <c r="A417" s="1" t="str">
        <f t="shared" si="6"/>
        <v>01 Testo 30</v>
      </c>
      <c r="B4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7" s="1" t="s">
        <v>2532</v>
      </c>
      <c r="D417" s="1" t="s">
        <v>2533</v>
      </c>
      <c r="E417" s="1" t="s">
        <v>2534</v>
      </c>
      <c r="F417" s="1" t="s">
        <v>112</v>
      </c>
      <c r="G417" s="1">
        <v>1981060</v>
      </c>
    </row>
    <row r="418" spans="1:10" x14ac:dyDescent="0.25">
      <c r="A418" s="1" t="str">
        <f t="shared" si="6"/>
        <v>01 Testo 30</v>
      </c>
      <c r="B4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8" s="1" t="s">
        <v>2535</v>
      </c>
      <c r="D418" s="1" t="s">
        <v>2536</v>
      </c>
      <c r="E418" s="1" t="s">
        <v>2537</v>
      </c>
      <c r="F418" s="1" t="s">
        <v>112</v>
      </c>
      <c r="G418" s="1">
        <v>1755179</v>
      </c>
    </row>
    <row r="419" spans="1:10" x14ac:dyDescent="0.25">
      <c r="A419" s="1" t="str">
        <f t="shared" si="6"/>
        <v>01 Testo 30</v>
      </c>
      <c r="B4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19" s="1" t="s">
        <v>2538</v>
      </c>
    </row>
    <row r="420" spans="1:10" x14ac:dyDescent="0.25">
      <c r="A420" s="1" t="str">
        <f t="shared" si="6"/>
        <v>01 Testo 30</v>
      </c>
      <c r="B4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0" s="1" t="s">
        <v>2539</v>
      </c>
      <c r="D420" s="1" t="s">
        <v>2540</v>
      </c>
      <c r="E420" s="1" t="s">
        <v>2541</v>
      </c>
      <c r="F420" s="1" t="s">
        <v>112</v>
      </c>
      <c r="G420" s="1">
        <v>3157748</v>
      </c>
    </row>
    <row r="421" spans="1:10" x14ac:dyDescent="0.25">
      <c r="A421" s="1" t="str">
        <f t="shared" si="6"/>
        <v>01 Testo 30</v>
      </c>
      <c r="B4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1" s="1" t="s">
        <v>2542</v>
      </c>
      <c r="D421" s="1" t="s">
        <v>2543</v>
      </c>
      <c r="E421" s="1" t="s">
        <v>2544</v>
      </c>
      <c r="F421" s="1" t="s">
        <v>112</v>
      </c>
      <c r="G421" s="1">
        <v>3216733</v>
      </c>
    </row>
    <row r="422" spans="1:10" x14ac:dyDescent="0.25">
      <c r="A422" s="1" t="str">
        <f t="shared" si="6"/>
        <v/>
      </c>
      <c r="B4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2" s="1" t="s">
        <v>112</v>
      </c>
    </row>
    <row r="423" spans="1:10" x14ac:dyDescent="0.25">
      <c r="A423" s="1" t="str">
        <f t="shared" si="6"/>
        <v/>
      </c>
      <c r="B4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3" s="1" t="s">
        <v>232</v>
      </c>
      <c r="D423" s="1" t="s">
        <v>112</v>
      </c>
      <c r="E423" s="1" t="s">
        <v>233</v>
      </c>
      <c r="F423" s="1" t="s">
        <v>234</v>
      </c>
      <c r="G423" s="1" t="s">
        <v>235</v>
      </c>
      <c r="H423" s="1" t="s">
        <v>236</v>
      </c>
      <c r="I423" s="1" t="s">
        <v>237</v>
      </c>
      <c r="J423" s="1" t="s">
        <v>238</v>
      </c>
    </row>
    <row r="424" spans="1:10" x14ac:dyDescent="0.25">
      <c r="A424" s="1" t="str">
        <f t="shared" si="6"/>
        <v>01 Testo 30</v>
      </c>
      <c r="B4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24" s="1" t="s">
        <v>2545</v>
      </c>
      <c r="D424" s="1" t="s">
        <v>112</v>
      </c>
      <c r="E424" s="1" t="s">
        <v>2546</v>
      </c>
      <c r="F424" s="1" t="s">
        <v>2547</v>
      </c>
      <c r="G424" s="1" t="s">
        <v>2548</v>
      </c>
      <c r="H424" s="1" t="s">
        <v>2549</v>
      </c>
      <c r="I424" s="1">
        <v>24</v>
      </c>
      <c r="J424" s="1">
        <v>24</v>
      </c>
    </row>
    <row r="425" spans="1:10" x14ac:dyDescent="0.25">
      <c r="A425" s="1" t="str">
        <f t="shared" si="6"/>
        <v/>
      </c>
      <c r="B4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5" s="1" t="s">
        <v>112</v>
      </c>
    </row>
    <row r="426" spans="1:10" x14ac:dyDescent="0.25">
      <c r="A426" s="1" t="str">
        <f t="shared" si="6"/>
        <v/>
      </c>
      <c r="B4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6" s="1" t="s">
        <v>112</v>
      </c>
    </row>
    <row r="427" spans="1:10" x14ac:dyDescent="0.25">
      <c r="A427" s="1" t="str">
        <f t="shared" si="6"/>
        <v/>
      </c>
      <c r="B4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7" s="1" t="s">
        <v>112</v>
      </c>
    </row>
    <row r="428" spans="1:10" x14ac:dyDescent="0.25">
      <c r="A428" s="1" t="str">
        <f t="shared" si="6"/>
        <v/>
      </c>
      <c r="B4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8" s="1" t="s">
        <v>112</v>
      </c>
    </row>
    <row r="429" spans="1:10" x14ac:dyDescent="0.25">
      <c r="A429" s="1" t="str">
        <f t="shared" si="6"/>
        <v/>
      </c>
      <c r="B4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9" s="1" t="s">
        <v>112</v>
      </c>
    </row>
    <row r="430" spans="1:10" x14ac:dyDescent="0.25">
      <c r="A430" s="1" t="str">
        <f t="shared" si="6"/>
        <v/>
      </c>
      <c r="B4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30" s="1" t="s">
        <v>244</v>
      </c>
      <c r="D430" s="1" t="s">
        <v>110</v>
      </c>
      <c r="E430" s="1" t="s">
        <v>111</v>
      </c>
      <c r="F430" s="1" t="s">
        <v>112</v>
      </c>
      <c r="G430" s="1" t="s">
        <v>113</v>
      </c>
    </row>
    <row r="431" spans="1:10" x14ac:dyDescent="0.25">
      <c r="A431" s="1" t="str">
        <f t="shared" si="6"/>
        <v>02 Testo 30</v>
      </c>
      <c r="B4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1" s="1" t="s">
        <v>2550</v>
      </c>
      <c r="D431" s="1" t="s">
        <v>2551</v>
      </c>
      <c r="E431" s="1" t="s">
        <v>2552</v>
      </c>
      <c r="F431" s="1" t="s">
        <v>112</v>
      </c>
      <c r="G431" s="1">
        <v>1963540</v>
      </c>
    </row>
    <row r="432" spans="1:10" x14ac:dyDescent="0.25">
      <c r="A432" s="1" t="str">
        <f t="shared" si="6"/>
        <v>02 Testo 30</v>
      </c>
      <c r="B4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2" s="1" t="s">
        <v>2553</v>
      </c>
      <c r="D432" s="1" t="s">
        <v>2554</v>
      </c>
      <c r="E432" s="1" t="s">
        <v>2555</v>
      </c>
      <c r="F432" s="1" t="s">
        <v>112</v>
      </c>
      <c r="G432" s="1">
        <v>2118345</v>
      </c>
    </row>
    <row r="433" spans="1:7" x14ac:dyDescent="0.25">
      <c r="A433" s="1" t="str">
        <f t="shared" si="6"/>
        <v>02 Testo 30</v>
      </c>
      <c r="B4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3" s="1" t="s">
        <v>2556</v>
      </c>
      <c r="D433" s="1" t="s">
        <v>2557</v>
      </c>
      <c r="E433" s="1" t="s">
        <v>2558</v>
      </c>
      <c r="F433" s="1" t="s">
        <v>112</v>
      </c>
      <c r="G433" s="1">
        <v>1476521</v>
      </c>
    </row>
    <row r="434" spans="1:7" x14ac:dyDescent="0.25">
      <c r="A434" s="1" t="str">
        <f t="shared" si="6"/>
        <v>02 Testo 30</v>
      </c>
      <c r="B4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4" s="1" t="s">
        <v>2559</v>
      </c>
    </row>
    <row r="435" spans="1:7" x14ac:dyDescent="0.25">
      <c r="A435" s="1" t="str">
        <f t="shared" si="6"/>
        <v>02 Testo 30</v>
      </c>
      <c r="B4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5" s="1" t="s">
        <v>2560</v>
      </c>
    </row>
    <row r="436" spans="1:7" x14ac:dyDescent="0.25">
      <c r="A436" s="1" t="str">
        <f t="shared" si="6"/>
        <v>02 Testo 30</v>
      </c>
      <c r="B4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6" s="1" t="s">
        <v>2561</v>
      </c>
    </row>
    <row r="437" spans="1:7" x14ac:dyDescent="0.25">
      <c r="A437" s="1" t="str">
        <f t="shared" si="6"/>
        <v>02 Testo 30</v>
      </c>
      <c r="B4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7" s="1" t="s">
        <v>2562</v>
      </c>
    </row>
    <row r="438" spans="1:7" x14ac:dyDescent="0.25">
      <c r="A438" s="1" t="str">
        <f t="shared" si="6"/>
        <v>02 Testo 30</v>
      </c>
      <c r="B4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8" s="1" t="s">
        <v>2563</v>
      </c>
      <c r="D438" s="1" t="s">
        <v>2564</v>
      </c>
      <c r="E438" s="1" t="s">
        <v>2565</v>
      </c>
      <c r="F438" s="1" t="s">
        <v>112</v>
      </c>
      <c r="G438" s="1">
        <v>203970</v>
      </c>
    </row>
    <row r="439" spans="1:7" x14ac:dyDescent="0.25">
      <c r="A439" s="1" t="str">
        <f t="shared" si="6"/>
        <v>02 Testo 30</v>
      </c>
      <c r="B4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9" s="1" t="s">
        <v>2566</v>
      </c>
      <c r="D439" s="1" t="s">
        <v>1839</v>
      </c>
      <c r="E439" s="1" t="s">
        <v>2567</v>
      </c>
      <c r="F439" s="1" t="s">
        <v>112</v>
      </c>
      <c r="G439" s="1">
        <v>103110</v>
      </c>
    </row>
    <row r="440" spans="1:7" x14ac:dyDescent="0.25">
      <c r="A440" s="1" t="str">
        <f t="shared" si="6"/>
        <v>02 Testo 30</v>
      </c>
      <c r="B4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0" s="1" t="s">
        <v>2568</v>
      </c>
      <c r="D440" s="1" t="s">
        <v>2523</v>
      </c>
      <c r="E440" s="1" t="s">
        <v>2569</v>
      </c>
      <c r="F440" s="1" t="s">
        <v>112</v>
      </c>
      <c r="G440" s="1">
        <v>1848296</v>
      </c>
    </row>
    <row r="441" spans="1:7" x14ac:dyDescent="0.25">
      <c r="A441" s="1" t="str">
        <f t="shared" si="6"/>
        <v>02 Testo 30</v>
      </c>
      <c r="B4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1" s="1" t="s">
        <v>2570</v>
      </c>
    </row>
    <row r="442" spans="1:7" x14ac:dyDescent="0.25">
      <c r="A442" s="1" t="str">
        <f t="shared" si="6"/>
        <v>02 Testo 30</v>
      </c>
      <c r="B4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2" s="1" t="s">
        <v>2571</v>
      </c>
    </row>
    <row r="443" spans="1:7" x14ac:dyDescent="0.25">
      <c r="A443" s="1" t="str">
        <f t="shared" si="6"/>
        <v>02 Testo 30</v>
      </c>
      <c r="B4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3" s="1" t="s">
        <v>2572</v>
      </c>
      <c r="D443" s="1" t="s">
        <v>1116</v>
      </c>
      <c r="E443" s="1" t="s">
        <v>2573</v>
      </c>
      <c r="F443" s="1" t="s">
        <v>112</v>
      </c>
      <c r="G443" s="1">
        <v>3948234</v>
      </c>
    </row>
    <row r="444" spans="1:7" x14ac:dyDescent="0.25">
      <c r="A444" s="1" t="str">
        <f t="shared" si="6"/>
        <v>02 Testo 30</v>
      </c>
      <c r="B4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4" s="1" t="s">
        <v>2574</v>
      </c>
      <c r="D444" s="1" t="s">
        <v>2575</v>
      </c>
      <c r="E444" s="1" t="s">
        <v>2576</v>
      </c>
      <c r="F444" s="1" t="s">
        <v>112</v>
      </c>
      <c r="G444" s="1">
        <v>3959114</v>
      </c>
    </row>
    <row r="445" spans="1:7" x14ac:dyDescent="0.25">
      <c r="A445" s="1" t="str">
        <f t="shared" si="6"/>
        <v>02 Testo 30</v>
      </c>
      <c r="B4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5" s="1" t="s">
        <v>2577</v>
      </c>
      <c r="D445" s="1" t="s">
        <v>2578</v>
      </c>
      <c r="E445" s="1" t="s">
        <v>2579</v>
      </c>
      <c r="F445" s="1" t="s">
        <v>112</v>
      </c>
      <c r="G445" s="1">
        <v>3968458</v>
      </c>
    </row>
    <row r="446" spans="1:7" x14ac:dyDescent="0.25">
      <c r="A446" s="1" t="str">
        <f t="shared" si="6"/>
        <v>02 Testo 30</v>
      </c>
      <c r="B4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6" s="1" t="s">
        <v>2580</v>
      </c>
      <c r="D446" s="1" t="s">
        <v>2581</v>
      </c>
      <c r="E446" s="1" t="s">
        <v>2582</v>
      </c>
      <c r="F446" s="1" t="s">
        <v>112</v>
      </c>
      <c r="G446" s="1">
        <v>2438987</v>
      </c>
    </row>
    <row r="447" spans="1:7" x14ac:dyDescent="0.25">
      <c r="A447" s="1" t="str">
        <f t="shared" si="6"/>
        <v>02 Testo 30</v>
      </c>
      <c r="B4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7" s="1" t="s">
        <v>2583</v>
      </c>
      <c r="D447" s="1" t="s">
        <v>2584</v>
      </c>
      <c r="E447" s="1" t="s">
        <v>2585</v>
      </c>
      <c r="F447" s="1" t="s">
        <v>112</v>
      </c>
      <c r="G447" s="1">
        <v>2525528</v>
      </c>
    </row>
    <row r="448" spans="1:7" x14ac:dyDescent="0.25">
      <c r="A448" s="1" t="str">
        <f t="shared" si="6"/>
        <v>02 Testo 30</v>
      </c>
      <c r="B4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8" s="1" t="s">
        <v>2586</v>
      </c>
      <c r="D448" s="1" t="s">
        <v>2584</v>
      </c>
      <c r="E448" s="1" t="s">
        <v>2587</v>
      </c>
      <c r="F448" s="1" t="s">
        <v>112</v>
      </c>
      <c r="G448" s="1">
        <v>2555226</v>
      </c>
    </row>
    <row r="449" spans="1:10" x14ac:dyDescent="0.25">
      <c r="A449" s="1" t="str">
        <f t="shared" si="6"/>
        <v>02 Testo 30</v>
      </c>
      <c r="B4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49" s="1" t="s">
        <v>2588</v>
      </c>
      <c r="D449" s="1" t="s">
        <v>290</v>
      </c>
      <c r="E449" s="1" t="s">
        <v>2589</v>
      </c>
      <c r="F449" s="1" t="s">
        <v>112</v>
      </c>
      <c r="G449" s="1">
        <v>61883</v>
      </c>
    </row>
    <row r="450" spans="1:10" x14ac:dyDescent="0.25">
      <c r="A450" s="1" t="str">
        <f t="shared" ref="A450:A513" si="7">IFERROR(LEFT(RIGHT(C450,LEN(C450)-SEARCH("@",C450)),SEARCH("/",RIGHT(C450,LEN(C450)-SEARCH("@",C450)-1))),"")</f>
        <v>02 Testo 30</v>
      </c>
      <c r="B4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0" s="1" t="s">
        <v>2590</v>
      </c>
      <c r="D450" s="1" t="s">
        <v>2564</v>
      </c>
      <c r="E450" s="1" t="s">
        <v>2591</v>
      </c>
      <c r="F450" s="1" t="s">
        <v>112</v>
      </c>
      <c r="G450" s="1">
        <v>210783</v>
      </c>
    </row>
    <row r="451" spans="1:10" x14ac:dyDescent="0.25">
      <c r="A451" s="1" t="str">
        <f t="shared" si="7"/>
        <v>02 Testo 30</v>
      </c>
      <c r="B4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1" s="1" t="s">
        <v>2592</v>
      </c>
      <c r="D451" s="1" t="s">
        <v>2169</v>
      </c>
      <c r="E451" s="1" t="s">
        <v>2593</v>
      </c>
      <c r="F451" s="1" t="s">
        <v>112</v>
      </c>
      <c r="G451" s="1">
        <v>199493</v>
      </c>
    </row>
    <row r="452" spans="1:10" x14ac:dyDescent="0.25">
      <c r="A452" s="1" t="str">
        <f t="shared" si="7"/>
        <v>02 Testo 30</v>
      </c>
      <c r="B4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2" s="1" t="s">
        <v>2594</v>
      </c>
      <c r="D452" s="1" t="s">
        <v>2595</v>
      </c>
      <c r="E452" s="1" t="s">
        <v>2596</v>
      </c>
      <c r="F452" s="1" t="s">
        <v>112</v>
      </c>
      <c r="G452" s="1">
        <v>4065663</v>
      </c>
    </row>
    <row r="453" spans="1:10" x14ac:dyDescent="0.25">
      <c r="A453" s="1" t="str">
        <f t="shared" si="7"/>
        <v>02 Testo 30</v>
      </c>
      <c r="B4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3" s="1" t="s">
        <v>2597</v>
      </c>
      <c r="D453" s="1" t="s">
        <v>2313</v>
      </c>
      <c r="E453" s="1" t="s">
        <v>2598</v>
      </c>
      <c r="F453" s="1" t="s">
        <v>112</v>
      </c>
      <c r="G453" s="1">
        <v>3498484</v>
      </c>
    </row>
    <row r="454" spans="1:10" x14ac:dyDescent="0.25">
      <c r="A454" s="1" t="str">
        <f t="shared" si="7"/>
        <v>02 Testo 30</v>
      </c>
      <c r="B4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4" s="1" t="s">
        <v>2599</v>
      </c>
      <c r="D454" s="1" t="s">
        <v>1181</v>
      </c>
      <c r="E454" s="1" t="s">
        <v>2600</v>
      </c>
      <c r="F454" s="1" t="s">
        <v>112</v>
      </c>
      <c r="G454" s="1">
        <v>3256532</v>
      </c>
    </row>
    <row r="455" spans="1:10" x14ac:dyDescent="0.25">
      <c r="A455" s="1" t="str">
        <f t="shared" si="7"/>
        <v/>
      </c>
      <c r="B4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5" s="1" t="s">
        <v>112</v>
      </c>
    </row>
    <row r="456" spans="1:10" x14ac:dyDescent="0.25">
      <c r="A456" s="1" t="str">
        <f t="shared" si="7"/>
        <v/>
      </c>
      <c r="B4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6" s="1" t="s">
        <v>232</v>
      </c>
      <c r="D456" s="1" t="s">
        <v>112</v>
      </c>
      <c r="E456" s="1" t="s">
        <v>233</v>
      </c>
      <c r="F456" s="1" t="s">
        <v>234</v>
      </c>
      <c r="G456" s="1" t="s">
        <v>235</v>
      </c>
      <c r="H456" s="1" t="s">
        <v>236</v>
      </c>
      <c r="I456" s="1" t="s">
        <v>237</v>
      </c>
      <c r="J456" s="1" t="s">
        <v>238</v>
      </c>
    </row>
    <row r="457" spans="1:10" x14ac:dyDescent="0.25">
      <c r="A457" s="1" t="str">
        <f t="shared" si="7"/>
        <v>02 Testo 30</v>
      </c>
      <c r="B4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57" s="1" t="s">
        <v>2601</v>
      </c>
      <c r="D457" s="1" t="s">
        <v>112</v>
      </c>
      <c r="E457" s="1" t="s">
        <v>2602</v>
      </c>
      <c r="F457" s="1" t="s">
        <v>2603</v>
      </c>
      <c r="G457" s="1" t="s">
        <v>2604</v>
      </c>
      <c r="H457" s="1" t="s">
        <v>2605</v>
      </c>
      <c r="I457" s="1">
        <v>24</v>
      </c>
      <c r="J457" s="1">
        <v>24</v>
      </c>
    </row>
    <row r="458" spans="1:10" x14ac:dyDescent="0.25">
      <c r="A458" s="1" t="str">
        <f t="shared" si="7"/>
        <v/>
      </c>
      <c r="B4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8" s="1" t="s">
        <v>112</v>
      </c>
    </row>
    <row r="459" spans="1:10" x14ac:dyDescent="0.25">
      <c r="A459" s="1" t="str">
        <f t="shared" si="7"/>
        <v/>
      </c>
      <c r="B4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9" s="1" t="s">
        <v>112</v>
      </c>
    </row>
    <row r="460" spans="1:10" x14ac:dyDescent="0.25">
      <c r="A460" s="1" t="str">
        <f t="shared" si="7"/>
        <v/>
      </c>
      <c r="B4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0" s="1" t="s">
        <v>112</v>
      </c>
    </row>
    <row r="461" spans="1:10" x14ac:dyDescent="0.25">
      <c r="A461" s="1" t="str">
        <f t="shared" si="7"/>
        <v/>
      </c>
      <c r="B4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1" s="1" t="s">
        <v>112</v>
      </c>
    </row>
    <row r="462" spans="1:10" x14ac:dyDescent="0.25">
      <c r="A462" s="1" t="str">
        <f t="shared" si="7"/>
        <v/>
      </c>
      <c r="B4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2" s="1" t="s">
        <v>112</v>
      </c>
    </row>
    <row r="463" spans="1:10" x14ac:dyDescent="0.25">
      <c r="A463" s="1" t="str">
        <f t="shared" si="7"/>
        <v/>
      </c>
      <c r="B4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3" s="1" t="s">
        <v>244</v>
      </c>
      <c r="D463" s="1" t="s">
        <v>110</v>
      </c>
      <c r="E463" s="1" t="s">
        <v>111</v>
      </c>
      <c r="F463" s="1" t="s">
        <v>112</v>
      </c>
      <c r="G463" s="1" t="s">
        <v>113</v>
      </c>
    </row>
    <row r="464" spans="1:10" x14ac:dyDescent="0.25">
      <c r="A464" s="1" t="str">
        <f t="shared" si="7"/>
        <v>03 Testo+ EE2 64</v>
      </c>
      <c r="B4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4" s="1" t="s">
        <v>2606</v>
      </c>
      <c r="D464" s="1" t="s">
        <v>2607</v>
      </c>
      <c r="E464" s="1" t="s">
        <v>2608</v>
      </c>
      <c r="F464" s="1" t="s">
        <v>112</v>
      </c>
      <c r="G464" s="1">
        <v>3245652</v>
      </c>
    </row>
    <row r="465" spans="1:7" x14ac:dyDescent="0.25">
      <c r="A465" s="1" t="str">
        <f t="shared" si="7"/>
        <v>03 Testo+ EE2 64</v>
      </c>
      <c r="B4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5" s="1" t="s">
        <v>2609</v>
      </c>
      <c r="D465" s="1" t="s">
        <v>2610</v>
      </c>
      <c r="E465" s="1" t="s">
        <v>2611</v>
      </c>
      <c r="F465" s="1" t="s">
        <v>112</v>
      </c>
      <c r="G465" s="1">
        <v>2786212</v>
      </c>
    </row>
    <row r="466" spans="1:7" x14ac:dyDescent="0.25">
      <c r="A466" s="1" t="str">
        <f t="shared" si="7"/>
        <v>03 Testo+ EE2 64</v>
      </c>
      <c r="B4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6" s="1" t="s">
        <v>2612</v>
      </c>
      <c r="D466" s="1" t="s">
        <v>2613</v>
      </c>
      <c r="E466" s="1" t="s">
        <v>2614</v>
      </c>
      <c r="F466" s="1" t="s">
        <v>112</v>
      </c>
      <c r="G466" s="1">
        <v>2791835</v>
      </c>
    </row>
    <row r="467" spans="1:7" x14ac:dyDescent="0.25">
      <c r="A467" s="1" t="str">
        <f t="shared" si="7"/>
        <v>03 Testo+ EE2 64</v>
      </c>
      <c r="B4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7" s="1" t="s">
        <v>2615</v>
      </c>
      <c r="D467" s="1" t="s">
        <v>2616</v>
      </c>
      <c r="E467" s="1" t="s">
        <v>2617</v>
      </c>
      <c r="F467" s="1" t="s">
        <v>112</v>
      </c>
      <c r="G467" s="1">
        <v>5642915</v>
      </c>
    </row>
    <row r="468" spans="1:7" x14ac:dyDescent="0.25">
      <c r="A468" s="1" t="str">
        <f t="shared" si="7"/>
        <v>03 Testo+ EE2 64</v>
      </c>
      <c r="B4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8" s="1" t="s">
        <v>2618</v>
      </c>
      <c r="D468" s="1" t="s">
        <v>2619</v>
      </c>
      <c r="E468" s="1" t="s">
        <v>2620</v>
      </c>
      <c r="F468" s="1" t="s">
        <v>112</v>
      </c>
      <c r="G468" s="1">
        <v>5268545</v>
      </c>
    </row>
    <row r="469" spans="1:7" x14ac:dyDescent="0.25">
      <c r="A469" s="1" t="str">
        <f t="shared" si="7"/>
        <v>03 Testo+ EE2 64</v>
      </c>
      <c r="B4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9" s="1" t="s">
        <v>2621</v>
      </c>
    </row>
    <row r="470" spans="1:7" x14ac:dyDescent="0.25">
      <c r="A470" s="1" t="str">
        <f t="shared" si="7"/>
        <v>03 Testo+ EE2 64</v>
      </c>
      <c r="B4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0" s="1" t="s">
        <v>2622</v>
      </c>
      <c r="D470" s="1" t="s">
        <v>2623</v>
      </c>
      <c r="E470" s="1" t="s">
        <v>2624</v>
      </c>
      <c r="F470" s="1" t="s">
        <v>112</v>
      </c>
      <c r="G470" s="1">
        <v>6023017</v>
      </c>
    </row>
    <row r="471" spans="1:7" x14ac:dyDescent="0.25">
      <c r="A471" s="1" t="str">
        <f t="shared" si="7"/>
        <v>03 Testo+ EE2 64</v>
      </c>
      <c r="B4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1" s="1" t="s">
        <v>2625</v>
      </c>
      <c r="D471" s="1" t="s">
        <v>2626</v>
      </c>
      <c r="E471" s="1" t="s">
        <v>2627</v>
      </c>
      <c r="F471" s="1" t="s">
        <v>112</v>
      </c>
      <c r="G471" s="1">
        <v>5827548</v>
      </c>
    </row>
    <row r="472" spans="1:7" x14ac:dyDescent="0.25">
      <c r="A472" s="1" t="str">
        <f t="shared" si="7"/>
        <v>03 Testo+ EE2 64</v>
      </c>
      <c r="B4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2" s="1" t="s">
        <v>2628</v>
      </c>
      <c r="D472" s="1" t="s">
        <v>2629</v>
      </c>
      <c r="E472" s="1" t="s">
        <v>2630</v>
      </c>
      <c r="F472" s="1" t="s">
        <v>112</v>
      </c>
      <c r="G472" s="1">
        <v>5320500</v>
      </c>
    </row>
    <row r="473" spans="1:7" x14ac:dyDescent="0.25">
      <c r="A473" s="1" t="str">
        <f t="shared" si="7"/>
        <v>03 Testo+ EE2 64</v>
      </c>
      <c r="B4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3" s="1" t="s">
        <v>2631</v>
      </c>
      <c r="D473" s="1" t="s">
        <v>2632</v>
      </c>
      <c r="E473" s="1" t="s">
        <v>2633</v>
      </c>
      <c r="F473" s="1" t="s">
        <v>112</v>
      </c>
      <c r="G473" s="1">
        <v>4148484</v>
      </c>
    </row>
    <row r="474" spans="1:7" x14ac:dyDescent="0.25">
      <c r="A474" s="1" t="str">
        <f t="shared" si="7"/>
        <v>03 Testo+ EE2 64</v>
      </c>
      <c r="B4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4" s="1" t="s">
        <v>2634</v>
      </c>
      <c r="D474" s="1" t="s">
        <v>2635</v>
      </c>
      <c r="E474" s="1" t="s">
        <v>2636</v>
      </c>
      <c r="F474" s="1" t="s">
        <v>112</v>
      </c>
      <c r="G474" s="1">
        <v>4264680</v>
      </c>
    </row>
    <row r="475" spans="1:7" x14ac:dyDescent="0.25">
      <c r="A475" s="1" t="str">
        <f t="shared" si="7"/>
        <v>03 Testo+ EE2 64</v>
      </c>
      <c r="B4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5" s="1" t="s">
        <v>2637</v>
      </c>
      <c r="D475" s="1" t="s">
        <v>2638</v>
      </c>
      <c r="E475" s="1" t="s">
        <v>2639</v>
      </c>
      <c r="F475" s="1" t="s">
        <v>112</v>
      </c>
      <c r="G475" s="1">
        <v>4294053</v>
      </c>
    </row>
    <row r="476" spans="1:7" x14ac:dyDescent="0.25">
      <c r="A476" s="1" t="str">
        <f t="shared" si="7"/>
        <v>03 Testo+ EE2 64</v>
      </c>
      <c r="B4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6" s="1" t="s">
        <v>2640</v>
      </c>
    </row>
    <row r="477" spans="1:7" x14ac:dyDescent="0.25">
      <c r="A477" s="1" t="str">
        <f t="shared" si="7"/>
        <v>03 Testo+ EE2 64</v>
      </c>
      <c r="B4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7" s="1" t="s">
        <v>2641</v>
      </c>
    </row>
    <row r="478" spans="1:7" x14ac:dyDescent="0.25">
      <c r="A478" s="1" t="str">
        <f t="shared" si="7"/>
        <v>03 Testo+ EE2 64</v>
      </c>
      <c r="B4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8" s="1" t="s">
        <v>2642</v>
      </c>
    </row>
    <row r="479" spans="1:7" x14ac:dyDescent="0.25">
      <c r="A479" s="1" t="str">
        <f t="shared" si="7"/>
        <v>03 Testo+ EE2 64</v>
      </c>
      <c r="B4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79" s="1" t="s">
        <v>2643</v>
      </c>
      <c r="D479" s="1" t="s">
        <v>2644</v>
      </c>
      <c r="E479" s="1" t="s">
        <v>2645</v>
      </c>
      <c r="F479" s="1" t="s">
        <v>112</v>
      </c>
      <c r="G479" s="1">
        <v>3148426</v>
      </c>
    </row>
    <row r="480" spans="1:7" x14ac:dyDescent="0.25">
      <c r="A480" s="1" t="str">
        <f t="shared" si="7"/>
        <v>03 Testo+ EE2 64</v>
      </c>
      <c r="B4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0" s="1" t="s">
        <v>2646</v>
      </c>
      <c r="D480" s="1" t="s">
        <v>2647</v>
      </c>
      <c r="E480" s="1" t="s">
        <v>2648</v>
      </c>
      <c r="F480" s="1" t="s">
        <v>112</v>
      </c>
      <c r="G480" s="1">
        <v>3034285</v>
      </c>
    </row>
    <row r="481" spans="1:10" x14ac:dyDescent="0.25">
      <c r="A481" s="1" t="str">
        <f t="shared" si="7"/>
        <v>03 Testo+ EE2 64</v>
      </c>
      <c r="B4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1" s="1" t="s">
        <v>2649</v>
      </c>
      <c r="D481" s="1" t="s">
        <v>2650</v>
      </c>
      <c r="E481" s="1" t="s">
        <v>2651</v>
      </c>
      <c r="F481" s="1" t="s">
        <v>112</v>
      </c>
      <c r="G481" s="1">
        <v>2879436</v>
      </c>
    </row>
    <row r="482" spans="1:10" x14ac:dyDescent="0.25">
      <c r="A482" s="1" t="str">
        <f t="shared" si="7"/>
        <v>03 Testo+ EE2 64</v>
      </c>
      <c r="B4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2" s="1" t="s">
        <v>2652</v>
      </c>
      <c r="D482" s="1" t="s">
        <v>2653</v>
      </c>
      <c r="E482" s="1" t="s">
        <v>2654</v>
      </c>
      <c r="F482" s="1" t="s">
        <v>112</v>
      </c>
      <c r="G482" s="1">
        <v>4377501</v>
      </c>
    </row>
    <row r="483" spans="1:10" x14ac:dyDescent="0.25">
      <c r="A483" s="1" t="str">
        <f t="shared" si="7"/>
        <v>03 Testo+ EE2 64</v>
      </c>
      <c r="B4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3" s="1" t="s">
        <v>2655</v>
      </c>
      <c r="D483" s="1" t="s">
        <v>2656</v>
      </c>
      <c r="E483" s="1" t="s">
        <v>2657</v>
      </c>
      <c r="F483" s="1" t="s">
        <v>112</v>
      </c>
      <c r="G483" s="1">
        <v>4377328</v>
      </c>
    </row>
    <row r="484" spans="1:10" x14ac:dyDescent="0.25">
      <c r="A484" s="1" t="str">
        <f t="shared" si="7"/>
        <v>03 Testo+ EE2 64</v>
      </c>
      <c r="B4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4" s="1" t="s">
        <v>2658</v>
      </c>
      <c r="D484" s="1" t="s">
        <v>2659</v>
      </c>
      <c r="E484" s="1" t="s">
        <v>2660</v>
      </c>
      <c r="F484" s="1" t="s">
        <v>112</v>
      </c>
      <c r="G484" s="1">
        <v>4258364</v>
      </c>
    </row>
    <row r="485" spans="1:10" x14ac:dyDescent="0.25">
      <c r="A485" s="1" t="str">
        <f t="shared" si="7"/>
        <v>03 Testo+ EE2 64</v>
      </c>
      <c r="B4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5" s="1" t="s">
        <v>2661</v>
      </c>
      <c r="D485" s="1" t="s">
        <v>2662</v>
      </c>
      <c r="E485" s="1" t="s">
        <v>2663</v>
      </c>
      <c r="F485" s="1" t="s">
        <v>112</v>
      </c>
      <c r="G485" s="1">
        <v>4080069</v>
      </c>
    </row>
    <row r="486" spans="1:10" x14ac:dyDescent="0.25">
      <c r="A486" s="1" t="str">
        <f t="shared" si="7"/>
        <v>03 Testo+ EE2 64</v>
      </c>
      <c r="B4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6" s="1" t="s">
        <v>2664</v>
      </c>
      <c r="D486" s="1" t="s">
        <v>2665</v>
      </c>
      <c r="E486" s="1" t="s">
        <v>2666</v>
      </c>
      <c r="F486" s="1" t="s">
        <v>112</v>
      </c>
      <c r="G486" s="1">
        <v>4554304</v>
      </c>
    </row>
    <row r="487" spans="1:10" x14ac:dyDescent="0.25">
      <c r="A487" s="1" t="str">
        <f t="shared" si="7"/>
        <v>03 Testo+ EE2 64</v>
      </c>
      <c r="B4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7" s="1" t="s">
        <v>2667</v>
      </c>
      <c r="D487" s="1" t="s">
        <v>2668</v>
      </c>
      <c r="E487" s="1" t="s">
        <v>2669</v>
      </c>
      <c r="F487" s="1" t="s">
        <v>112</v>
      </c>
      <c r="G487" s="1">
        <v>4347739</v>
      </c>
    </row>
    <row r="488" spans="1:10" x14ac:dyDescent="0.25">
      <c r="A488" s="1" t="str">
        <f t="shared" si="7"/>
        <v/>
      </c>
      <c r="B4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8" s="1" t="s">
        <v>112</v>
      </c>
    </row>
    <row r="489" spans="1:10" x14ac:dyDescent="0.25">
      <c r="A489" s="1" t="str">
        <f t="shared" si="7"/>
        <v/>
      </c>
      <c r="B4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9" s="1" t="s">
        <v>232</v>
      </c>
      <c r="D489" s="1" t="s">
        <v>112</v>
      </c>
      <c r="E489" s="1" t="s">
        <v>233</v>
      </c>
      <c r="F489" s="1" t="s">
        <v>234</v>
      </c>
      <c r="G489" s="1" t="s">
        <v>235</v>
      </c>
      <c r="H489" s="1" t="s">
        <v>236</v>
      </c>
      <c r="I489" s="1" t="s">
        <v>237</v>
      </c>
      <c r="J489" s="1" t="s">
        <v>238</v>
      </c>
    </row>
    <row r="490" spans="1:10" x14ac:dyDescent="0.25">
      <c r="A490" s="1" t="str">
        <f t="shared" si="7"/>
        <v>03 Testo+ EE2 64</v>
      </c>
      <c r="B4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90" s="1" t="s">
        <v>2670</v>
      </c>
      <c r="D490" s="1" t="s">
        <v>112</v>
      </c>
      <c r="E490" s="1" t="s">
        <v>2671</v>
      </c>
      <c r="F490" s="1" t="s">
        <v>2672</v>
      </c>
      <c r="G490" s="1" t="s">
        <v>2673</v>
      </c>
      <c r="H490" s="1" t="s">
        <v>2674</v>
      </c>
      <c r="I490" s="1">
        <v>24</v>
      </c>
      <c r="J490" s="1">
        <v>24</v>
      </c>
    </row>
    <row r="491" spans="1:10" x14ac:dyDescent="0.25">
      <c r="A491" s="1" t="str">
        <f t="shared" si="7"/>
        <v/>
      </c>
      <c r="B4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1" s="1" t="s">
        <v>112</v>
      </c>
    </row>
    <row r="492" spans="1:10" x14ac:dyDescent="0.25">
      <c r="A492" s="1" t="str">
        <f t="shared" si="7"/>
        <v/>
      </c>
      <c r="B4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2" s="1" t="s">
        <v>112</v>
      </c>
    </row>
    <row r="493" spans="1:10" x14ac:dyDescent="0.25">
      <c r="A493" s="1" t="str">
        <f t="shared" si="7"/>
        <v/>
      </c>
      <c r="B4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3" s="1" t="s">
        <v>112</v>
      </c>
    </row>
    <row r="494" spans="1:10" x14ac:dyDescent="0.25">
      <c r="A494" s="1" t="str">
        <f t="shared" si="7"/>
        <v/>
      </c>
      <c r="B4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4" s="1" t="s">
        <v>112</v>
      </c>
    </row>
    <row r="495" spans="1:10" x14ac:dyDescent="0.25">
      <c r="A495" s="1" t="str">
        <f t="shared" si="7"/>
        <v/>
      </c>
      <c r="B4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5" s="1" t="s">
        <v>112</v>
      </c>
    </row>
    <row r="496" spans="1:10" x14ac:dyDescent="0.25">
      <c r="A496" s="1" t="str">
        <f t="shared" si="7"/>
        <v/>
      </c>
      <c r="B4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6" s="1" t="s">
        <v>244</v>
      </c>
      <c r="D496" s="1" t="s">
        <v>110</v>
      </c>
      <c r="E496" s="1" t="s">
        <v>111</v>
      </c>
      <c r="F496" s="1" t="s">
        <v>112</v>
      </c>
      <c r="G496" s="1" t="s">
        <v>113</v>
      </c>
    </row>
    <row r="497" spans="1:7" x14ac:dyDescent="0.25">
      <c r="A497" s="1" t="str">
        <f t="shared" si="7"/>
        <v>04 Testo+ FAD</v>
      </c>
      <c r="B4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7" s="1" t="s">
        <v>2675</v>
      </c>
    </row>
    <row r="498" spans="1:7" x14ac:dyDescent="0.25">
      <c r="A498" s="1" t="str">
        <f t="shared" si="7"/>
        <v>04 Testo+ FAD</v>
      </c>
      <c r="B4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8" s="1" t="s">
        <v>2676</v>
      </c>
      <c r="D498" s="1" t="s">
        <v>2677</v>
      </c>
      <c r="E498" s="1" t="s">
        <v>2678</v>
      </c>
      <c r="F498" s="1" t="s">
        <v>112</v>
      </c>
      <c r="G498" s="1">
        <v>250020</v>
      </c>
    </row>
    <row r="499" spans="1:7" x14ac:dyDescent="0.25">
      <c r="A499" s="1" t="str">
        <f t="shared" si="7"/>
        <v>04 Testo+ FAD</v>
      </c>
      <c r="B4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9" s="1" t="s">
        <v>2679</v>
      </c>
    </row>
    <row r="500" spans="1:7" x14ac:dyDescent="0.25">
      <c r="A500" s="1" t="str">
        <f t="shared" si="7"/>
        <v>04 Testo+ FAD</v>
      </c>
      <c r="B5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0" s="1" t="s">
        <v>2680</v>
      </c>
      <c r="D500" s="1" t="s">
        <v>1170</v>
      </c>
      <c r="E500" s="1" t="s">
        <v>2681</v>
      </c>
      <c r="F500" s="1" t="s">
        <v>112</v>
      </c>
      <c r="G500" s="1">
        <v>184892</v>
      </c>
    </row>
    <row r="501" spans="1:7" x14ac:dyDescent="0.25">
      <c r="A501" s="1" t="str">
        <f t="shared" si="7"/>
        <v>04 Testo+ FAD</v>
      </c>
      <c r="B5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1" s="1" t="s">
        <v>2682</v>
      </c>
      <c r="D501" s="1" t="s">
        <v>725</v>
      </c>
      <c r="E501" s="1" t="s">
        <v>2683</v>
      </c>
      <c r="F501" s="1" t="s">
        <v>112</v>
      </c>
      <c r="G501" s="1">
        <v>19402</v>
      </c>
    </row>
    <row r="502" spans="1:7" x14ac:dyDescent="0.25">
      <c r="A502" s="1" t="str">
        <f t="shared" si="7"/>
        <v>04 Testo+ FAD</v>
      </c>
      <c r="B5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2" s="1" t="s">
        <v>2684</v>
      </c>
      <c r="D502" s="1" t="s">
        <v>2685</v>
      </c>
      <c r="E502" s="1" t="s">
        <v>2686</v>
      </c>
      <c r="F502" s="1" t="s">
        <v>112</v>
      </c>
      <c r="G502" s="1">
        <v>149809</v>
      </c>
    </row>
    <row r="503" spans="1:7" x14ac:dyDescent="0.25">
      <c r="A503" s="1" t="str">
        <f t="shared" si="7"/>
        <v>04 Testo+ FAD</v>
      </c>
      <c r="B5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3" s="1" t="s">
        <v>2687</v>
      </c>
      <c r="D503" s="1" t="s">
        <v>2688</v>
      </c>
      <c r="E503" s="1" t="s">
        <v>2689</v>
      </c>
      <c r="F503" s="1" t="s">
        <v>112</v>
      </c>
      <c r="G503" s="1">
        <v>95950</v>
      </c>
    </row>
    <row r="504" spans="1:7" x14ac:dyDescent="0.25">
      <c r="A504" s="1" t="str">
        <f t="shared" si="7"/>
        <v>04 Testo+ FAD</v>
      </c>
      <c r="B5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4" s="1" t="s">
        <v>2690</v>
      </c>
      <c r="D504" s="1" t="s">
        <v>1710</v>
      </c>
      <c r="E504" s="1" t="s">
        <v>2691</v>
      </c>
      <c r="F504" s="1" t="s">
        <v>112</v>
      </c>
      <c r="G504" s="1">
        <v>137869</v>
      </c>
    </row>
    <row r="505" spans="1:7" x14ac:dyDescent="0.25">
      <c r="A505" s="1" t="str">
        <f t="shared" si="7"/>
        <v>04 Testo+ FAD</v>
      </c>
      <c r="B5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5" s="1" t="s">
        <v>2692</v>
      </c>
      <c r="D505" s="1" t="s">
        <v>2693</v>
      </c>
      <c r="E505" s="1" t="s">
        <v>2694</v>
      </c>
      <c r="F505" s="1" t="s">
        <v>112</v>
      </c>
      <c r="G505" s="1">
        <v>222680</v>
      </c>
    </row>
    <row r="506" spans="1:7" x14ac:dyDescent="0.25">
      <c r="A506" s="1" t="str">
        <f t="shared" si="7"/>
        <v>04 Testo+ FAD</v>
      </c>
      <c r="B5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6" s="1" t="s">
        <v>2695</v>
      </c>
    </row>
    <row r="507" spans="1:7" x14ac:dyDescent="0.25">
      <c r="A507" s="1" t="str">
        <f t="shared" si="7"/>
        <v>04 Testo+ FAD</v>
      </c>
      <c r="B5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7" s="1" t="s">
        <v>2696</v>
      </c>
    </row>
    <row r="508" spans="1:7" x14ac:dyDescent="0.25">
      <c r="A508" s="1" t="str">
        <f t="shared" si="7"/>
        <v>04 Testo+ FAD</v>
      </c>
      <c r="B5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8" s="1" t="s">
        <v>2697</v>
      </c>
    </row>
    <row r="509" spans="1:7" x14ac:dyDescent="0.25">
      <c r="A509" s="1" t="str">
        <f t="shared" si="7"/>
        <v>04 Testo+ FAD</v>
      </c>
      <c r="B5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09" s="1" t="s">
        <v>2698</v>
      </c>
      <c r="D509" s="1" t="s">
        <v>2699</v>
      </c>
      <c r="E509" s="1" t="s">
        <v>2700</v>
      </c>
      <c r="F509" s="1" t="s">
        <v>112</v>
      </c>
      <c r="G509" s="1">
        <v>468698</v>
      </c>
    </row>
    <row r="510" spans="1:7" x14ac:dyDescent="0.25">
      <c r="A510" s="1" t="str">
        <f t="shared" si="7"/>
        <v>04 Testo+ FAD</v>
      </c>
      <c r="B5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0" s="1" t="s">
        <v>2701</v>
      </c>
      <c r="D510" s="1" t="s">
        <v>2702</v>
      </c>
      <c r="E510" s="1" t="s">
        <v>2703</v>
      </c>
      <c r="F510" s="1" t="s">
        <v>112</v>
      </c>
      <c r="G510" s="1">
        <v>614094</v>
      </c>
    </row>
    <row r="511" spans="1:7" x14ac:dyDescent="0.25">
      <c r="A511" s="1" t="str">
        <f t="shared" si="7"/>
        <v>04 Testo+ FAD</v>
      </c>
      <c r="B5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1" s="1" t="s">
        <v>2704</v>
      </c>
      <c r="D511" s="1" t="s">
        <v>1260</v>
      </c>
      <c r="E511" s="1" t="s">
        <v>2705</v>
      </c>
      <c r="F511" s="1" t="s">
        <v>112</v>
      </c>
      <c r="G511" s="1">
        <v>481438</v>
      </c>
    </row>
    <row r="512" spans="1:7" x14ac:dyDescent="0.25">
      <c r="A512" s="1" t="str">
        <f t="shared" si="7"/>
        <v>04 Testo+ FAD</v>
      </c>
      <c r="B5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2" s="1" t="s">
        <v>2706</v>
      </c>
      <c r="D512" s="1" t="s">
        <v>166</v>
      </c>
      <c r="E512" s="1" t="s">
        <v>2707</v>
      </c>
      <c r="F512" s="1" t="s">
        <v>112</v>
      </c>
      <c r="G512" s="1">
        <v>155908</v>
      </c>
    </row>
    <row r="513" spans="1:10" x14ac:dyDescent="0.25">
      <c r="A513" s="1" t="str">
        <f t="shared" si="7"/>
        <v>04 Testo+ FAD</v>
      </c>
      <c r="B5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3" s="1" t="s">
        <v>2708</v>
      </c>
      <c r="D513" s="1" t="s">
        <v>842</v>
      </c>
      <c r="E513" s="1" t="s">
        <v>2709</v>
      </c>
      <c r="F513" s="1" t="s">
        <v>112</v>
      </c>
      <c r="G513" s="1">
        <v>73736</v>
      </c>
    </row>
    <row r="514" spans="1:10" x14ac:dyDescent="0.25">
      <c r="A514" s="1" t="str">
        <f t="shared" ref="A514:A577" si="8">IFERROR(LEFT(RIGHT(C514,LEN(C514)-SEARCH("@",C514)),SEARCH("/",RIGHT(C514,LEN(C514)-SEARCH("@",C514)-1))),"")</f>
        <v>04 Testo+ FAD</v>
      </c>
      <c r="B5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4" s="1" t="s">
        <v>2710</v>
      </c>
    </row>
    <row r="515" spans="1:10" x14ac:dyDescent="0.25">
      <c r="A515" s="1" t="str">
        <f t="shared" si="8"/>
        <v>04 Testo+ FAD</v>
      </c>
      <c r="B5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5" s="1" t="s">
        <v>2711</v>
      </c>
      <c r="D515" s="1" t="s">
        <v>2712</v>
      </c>
      <c r="E515" s="1" t="s">
        <v>2713</v>
      </c>
      <c r="F515" s="1" t="s">
        <v>112</v>
      </c>
      <c r="G515" s="1">
        <v>42373</v>
      </c>
    </row>
    <row r="516" spans="1:10" x14ac:dyDescent="0.25">
      <c r="A516" s="1" t="str">
        <f t="shared" si="8"/>
        <v>04 Testo+ FAD</v>
      </c>
      <c r="B5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6" s="1" t="s">
        <v>2714</v>
      </c>
      <c r="D516" s="1" t="s">
        <v>2715</v>
      </c>
      <c r="E516" s="1" t="s">
        <v>2716</v>
      </c>
      <c r="F516" s="1" t="s">
        <v>112</v>
      </c>
      <c r="G516" s="1">
        <v>199730</v>
      </c>
    </row>
    <row r="517" spans="1:10" x14ac:dyDescent="0.25">
      <c r="A517" s="1" t="str">
        <f t="shared" si="8"/>
        <v>04 Testo+ FAD</v>
      </c>
      <c r="B5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7" s="1" t="s">
        <v>2717</v>
      </c>
      <c r="D517" s="1" t="s">
        <v>428</v>
      </c>
      <c r="E517" s="1" t="s">
        <v>2718</v>
      </c>
      <c r="F517" s="1" t="s">
        <v>112</v>
      </c>
      <c r="G517" s="1">
        <v>66555</v>
      </c>
    </row>
    <row r="518" spans="1:10" x14ac:dyDescent="0.25">
      <c r="A518" s="1" t="str">
        <f t="shared" si="8"/>
        <v>04 Testo+ FAD</v>
      </c>
      <c r="B5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18" s="1" t="s">
        <v>2719</v>
      </c>
      <c r="D518" s="1" t="s">
        <v>261</v>
      </c>
      <c r="E518" s="1" t="s">
        <v>2720</v>
      </c>
      <c r="F518" s="1" t="s">
        <v>112</v>
      </c>
      <c r="G518" s="1">
        <v>13497</v>
      </c>
    </row>
    <row r="519" spans="1:10" x14ac:dyDescent="0.25">
      <c r="A519" s="1" t="str">
        <f t="shared" si="8"/>
        <v>04 Testo+ FAD</v>
      </c>
      <c r="B5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19" s="1" t="s">
        <v>2721</v>
      </c>
      <c r="D519" s="1" t="s">
        <v>294</v>
      </c>
      <c r="E519" s="1" t="s">
        <v>2722</v>
      </c>
      <c r="F519" s="1" t="s">
        <v>112</v>
      </c>
      <c r="G519" s="1">
        <v>41811</v>
      </c>
    </row>
    <row r="520" spans="1:10" x14ac:dyDescent="0.25">
      <c r="A520" s="1" t="str">
        <f t="shared" si="8"/>
        <v>04 Testo+ FAD</v>
      </c>
      <c r="B5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20" s="1" t="s">
        <v>2723</v>
      </c>
      <c r="D520" s="1" t="s">
        <v>215</v>
      </c>
      <c r="E520" s="1" t="s">
        <v>2724</v>
      </c>
      <c r="F520" s="1" t="s">
        <v>112</v>
      </c>
      <c r="G520" s="1">
        <v>35624</v>
      </c>
    </row>
    <row r="521" spans="1:10" x14ac:dyDescent="0.25">
      <c r="A521" s="1" t="str">
        <f t="shared" si="8"/>
        <v/>
      </c>
      <c r="B5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1" s="1" t="s">
        <v>112</v>
      </c>
    </row>
    <row r="522" spans="1:10" x14ac:dyDescent="0.25">
      <c r="A522" s="1" t="str">
        <f t="shared" si="8"/>
        <v/>
      </c>
      <c r="B5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2" s="1" t="s">
        <v>232</v>
      </c>
      <c r="D522" s="1" t="s">
        <v>112</v>
      </c>
      <c r="E522" s="1" t="s">
        <v>233</v>
      </c>
      <c r="F522" s="1" t="s">
        <v>234</v>
      </c>
      <c r="G522" s="1" t="s">
        <v>235</v>
      </c>
      <c r="H522" s="1" t="s">
        <v>236</v>
      </c>
      <c r="I522" s="1" t="s">
        <v>237</v>
      </c>
      <c r="J522" s="1" t="s">
        <v>238</v>
      </c>
    </row>
    <row r="523" spans="1:10" x14ac:dyDescent="0.25">
      <c r="A523" s="1" t="str">
        <f t="shared" si="8"/>
        <v>04 Testo+ FAD</v>
      </c>
      <c r="B5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23" s="1" t="s">
        <v>2725</v>
      </c>
      <c r="D523" s="1" t="s">
        <v>112</v>
      </c>
      <c r="E523" s="1" t="s">
        <v>2726</v>
      </c>
      <c r="F523" s="1" t="s">
        <v>2727</v>
      </c>
      <c r="G523" s="1" t="s">
        <v>2728</v>
      </c>
      <c r="H523" s="1" t="s">
        <v>2729</v>
      </c>
      <c r="I523" s="1">
        <v>24</v>
      </c>
      <c r="J523" s="1">
        <v>24</v>
      </c>
    </row>
    <row r="524" spans="1:10" x14ac:dyDescent="0.25">
      <c r="A524" s="1" t="str">
        <f t="shared" si="8"/>
        <v/>
      </c>
      <c r="B5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4" s="1" t="s">
        <v>112</v>
      </c>
    </row>
    <row r="525" spans="1:10" x14ac:dyDescent="0.25">
      <c r="A525" s="1" t="str">
        <f t="shared" si="8"/>
        <v/>
      </c>
      <c r="B5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5" s="1" t="s">
        <v>112</v>
      </c>
    </row>
    <row r="526" spans="1:10" x14ac:dyDescent="0.25">
      <c r="A526" s="1" t="str">
        <f t="shared" si="8"/>
        <v/>
      </c>
      <c r="B5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6" s="1" t="s">
        <v>112</v>
      </c>
    </row>
    <row r="527" spans="1:10" x14ac:dyDescent="0.25">
      <c r="A527" s="1" t="str">
        <f t="shared" si="8"/>
        <v/>
      </c>
      <c r="B5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7" s="1" t="s">
        <v>112</v>
      </c>
    </row>
    <row r="528" spans="1:10" x14ac:dyDescent="0.25">
      <c r="A528" s="1" t="str">
        <f t="shared" si="8"/>
        <v/>
      </c>
      <c r="B5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8" s="1" t="s">
        <v>112</v>
      </c>
    </row>
    <row r="529" spans="1:7" x14ac:dyDescent="0.25">
      <c r="A529" s="1" t="str">
        <f t="shared" si="8"/>
        <v/>
      </c>
      <c r="B5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9" s="1" t="s">
        <v>244</v>
      </c>
      <c r="D529" s="1" t="s">
        <v>110</v>
      </c>
      <c r="E529" s="1" t="s">
        <v>111</v>
      </c>
      <c r="F529" s="1" t="s">
        <v>112</v>
      </c>
      <c r="G529" s="1" t="s">
        <v>113</v>
      </c>
    </row>
    <row r="530" spans="1:7" x14ac:dyDescent="0.25">
      <c r="A530" s="1" t="str">
        <f t="shared" si="8"/>
        <v>05 17b estradiol 34 dopé</v>
      </c>
      <c r="B53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0" s="1" t="s">
        <v>2730</v>
      </c>
      <c r="D530" s="1" t="s">
        <v>2731</v>
      </c>
      <c r="E530" s="1" t="s">
        <v>2732</v>
      </c>
      <c r="F530" s="1" t="s">
        <v>112</v>
      </c>
      <c r="G530" s="1">
        <v>3854923</v>
      </c>
    </row>
    <row r="531" spans="1:7" x14ac:dyDescent="0.25">
      <c r="A531" s="1" t="str">
        <f t="shared" si="8"/>
        <v>05 17b estradiol 34 dopé</v>
      </c>
      <c r="B5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1" s="1" t="s">
        <v>2733</v>
      </c>
      <c r="D531" s="1" t="s">
        <v>2734</v>
      </c>
      <c r="E531" s="1" t="s">
        <v>2735</v>
      </c>
      <c r="F531" s="1" t="s">
        <v>112</v>
      </c>
      <c r="G531" s="1">
        <v>4230115</v>
      </c>
    </row>
    <row r="532" spans="1:7" x14ac:dyDescent="0.25">
      <c r="A532" s="1" t="str">
        <f t="shared" si="8"/>
        <v>05 17b estradiol 34 dopé</v>
      </c>
      <c r="B5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2" s="1" t="s">
        <v>2736</v>
      </c>
      <c r="D532" s="1" t="s">
        <v>2737</v>
      </c>
      <c r="E532" s="1" t="s">
        <v>2738</v>
      </c>
      <c r="F532" s="1" t="s">
        <v>112</v>
      </c>
      <c r="G532" s="1">
        <v>4278653</v>
      </c>
    </row>
    <row r="533" spans="1:7" x14ac:dyDescent="0.25">
      <c r="A533" s="1" t="str">
        <f t="shared" si="8"/>
        <v>05 17b estradiol 34 dopé</v>
      </c>
      <c r="B5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3" s="1" t="s">
        <v>2739</v>
      </c>
      <c r="D533" s="1" t="s">
        <v>2740</v>
      </c>
      <c r="E533" s="1" t="s">
        <v>2741</v>
      </c>
      <c r="F533" s="1" t="s">
        <v>112</v>
      </c>
      <c r="G533" s="1">
        <v>3394314</v>
      </c>
    </row>
    <row r="534" spans="1:7" x14ac:dyDescent="0.25">
      <c r="A534" s="1" t="str">
        <f t="shared" si="8"/>
        <v>05 17b estradiol 34 dopé</v>
      </c>
      <c r="B5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4" s="1" t="s">
        <v>2742</v>
      </c>
      <c r="D534" s="1" t="s">
        <v>2743</v>
      </c>
      <c r="E534" s="1" t="s">
        <v>2744</v>
      </c>
      <c r="F534" s="1" t="s">
        <v>112</v>
      </c>
      <c r="G534" s="1">
        <v>3564693</v>
      </c>
    </row>
    <row r="535" spans="1:7" x14ac:dyDescent="0.25">
      <c r="A535" s="1" t="str">
        <f t="shared" si="8"/>
        <v>05 17b estradiol 34 dopé</v>
      </c>
      <c r="B5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5" s="1" t="s">
        <v>2745</v>
      </c>
      <c r="D535" s="1" t="s">
        <v>2746</v>
      </c>
      <c r="E535" s="1" t="s">
        <v>2747</v>
      </c>
      <c r="F535" s="1" t="s">
        <v>112</v>
      </c>
      <c r="G535" s="1">
        <v>3309006</v>
      </c>
    </row>
    <row r="536" spans="1:7" x14ac:dyDescent="0.25">
      <c r="A536" s="1" t="str">
        <f t="shared" si="8"/>
        <v>05 17b estradiol 34 dopé</v>
      </c>
      <c r="B5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6" s="1" t="s">
        <v>2748</v>
      </c>
      <c r="D536" s="1" t="s">
        <v>2749</v>
      </c>
      <c r="E536" s="1" t="s">
        <v>2750</v>
      </c>
      <c r="F536" s="1" t="s">
        <v>112</v>
      </c>
      <c r="G536" s="1">
        <v>2172874</v>
      </c>
    </row>
    <row r="537" spans="1:7" x14ac:dyDescent="0.25">
      <c r="A537" s="1" t="str">
        <f t="shared" si="8"/>
        <v>05 17b estradiol 34 dopé</v>
      </c>
      <c r="B5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7" s="1" t="s">
        <v>2751</v>
      </c>
      <c r="D537" s="1" t="s">
        <v>2752</v>
      </c>
      <c r="E537" s="1" t="s">
        <v>2753</v>
      </c>
      <c r="F537" s="1" t="s">
        <v>112</v>
      </c>
      <c r="G537" s="1">
        <v>1682243</v>
      </c>
    </row>
    <row r="538" spans="1:7" x14ac:dyDescent="0.25">
      <c r="A538" s="1" t="str">
        <f t="shared" si="8"/>
        <v>05 17b estradiol 34 dopé</v>
      </c>
      <c r="B5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8" s="1" t="s">
        <v>2754</v>
      </c>
      <c r="D538" s="1" t="s">
        <v>2755</v>
      </c>
      <c r="E538" s="1" t="s">
        <v>2756</v>
      </c>
      <c r="F538" s="1" t="s">
        <v>112</v>
      </c>
      <c r="G538" s="1">
        <v>1954110</v>
      </c>
    </row>
    <row r="539" spans="1:7" x14ac:dyDescent="0.25">
      <c r="A539" s="1" t="str">
        <f t="shared" si="8"/>
        <v>05 17b estradiol 34 dopé</v>
      </c>
      <c r="B5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39" s="1" t="s">
        <v>2757</v>
      </c>
      <c r="D539" s="1" t="s">
        <v>2758</v>
      </c>
      <c r="E539" s="1" t="s">
        <v>2759</v>
      </c>
      <c r="F539" s="1" t="s">
        <v>112</v>
      </c>
      <c r="G539" s="1">
        <v>1879400</v>
      </c>
    </row>
    <row r="540" spans="1:7" x14ac:dyDescent="0.25">
      <c r="A540" s="1" t="str">
        <f t="shared" si="8"/>
        <v>05 17b estradiol 34 dopé</v>
      </c>
      <c r="B5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0" s="1" t="s">
        <v>2760</v>
      </c>
      <c r="D540" s="1" t="s">
        <v>2761</v>
      </c>
      <c r="E540" s="1" t="s">
        <v>2762</v>
      </c>
      <c r="F540" s="1" t="s">
        <v>112</v>
      </c>
      <c r="G540" s="1">
        <v>2438187</v>
      </c>
    </row>
    <row r="541" spans="1:7" x14ac:dyDescent="0.25">
      <c r="A541" s="1" t="str">
        <f t="shared" si="8"/>
        <v>05 17b estradiol 34 dopé</v>
      </c>
      <c r="B5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1" s="1" t="s">
        <v>2763</v>
      </c>
      <c r="D541" s="1" t="s">
        <v>2764</v>
      </c>
      <c r="E541" s="1" t="s">
        <v>2765</v>
      </c>
      <c r="F541" s="1" t="s">
        <v>112</v>
      </c>
      <c r="G541" s="1">
        <v>2607441</v>
      </c>
    </row>
    <row r="542" spans="1:7" x14ac:dyDescent="0.25">
      <c r="A542" s="1" t="str">
        <f t="shared" si="8"/>
        <v>05 17b estradiol 34 dopé</v>
      </c>
      <c r="B5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2" s="1" t="s">
        <v>2766</v>
      </c>
      <c r="D542" s="1" t="s">
        <v>2767</v>
      </c>
      <c r="E542" s="1" t="s">
        <v>2768</v>
      </c>
      <c r="F542" s="1" t="s">
        <v>112</v>
      </c>
      <c r="G542" s="1">
        <v>3694256</v>
      </c>
    </row>
    <row r="543" spans="1:7" x14ac:dyDescent="0.25">
      <c r="A543" s="1" t="str">
        <f t="shared" si="8"/>
        <v>05 17b estradiol 34 dopé</v>
      </c>
      <c r="B5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3" s="1" t="s">
        <v>2769</v>
      </c>
      <c r="D543" s="1" t="s">
        <v>2770</v>
      </c>
      <c r="E543" s="1" t="s">
        <v>2771</v>
      </c>
      <c r="F543" s="1" t="s">
        <v>112</v>
      </c>
      <c r="G543" s="1">
        <v>3726506</v>
      </c>
    </row>
    <row r="544" spans="1:7" x14ac:dyDescent="0.25">
      <c r="A544" s="1" t="str">
        <f t="shared" si="8"/>
        <v>05 17b estradiol 34 dopé</v>
      </c>
      <c r="B5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4" s="1" t="s">
        <v>2772</v>
      </c>
      <c r="D544" s="1" t="s">
        <v>2773</v>
      </c>
      <c r="E544" s="1" t="s">
        <v>2774</v>
      </c>
      <c r="F544" s="1" t="s">
        <v>112</v>
      </c>
      <c r="G544" s="1">
        <v>3658610</v>
      </c>
    </row>
    <row r="545" spans="1:10" x14ac:dyDescent="0.25">
      <c r="A545" s="1" t="str">
        <f t="shared" si="8"/>
        <v>05 17b estradiol 34 dopé</v>
      </c>
      <c r="B5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5" s="1" t="s">
        <v>2775</v>
      </c>
      <c r="D545" s="1" t="s">
        <v>2776</v>
      </c>
      <c r="E545" s="1" t="s">
        <v>2777</v>
      </c>
      <c r="F545" s="1" t="s">
        <v>112</v>
      </c>
      <c r="G545" s="1">
        <v>4388187</v>
      </c>
    </row>
    <row r="546" spans="1:10" x14ac:dyDescent="0.25">
      <c r="A546" s="1" t="str">
        <f t="shared" si="8"/>
        <v>05 17b estradiol 34 dopé</v>
      </c>
      <c r="B5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6" s="1" t="s">
        <v>2778</v>
      </c>
      <c r="D546" s="1" t="s">
        <v>2779</v>
      </c>
      <c r="E546" s="1" t="s">
        <v>2780</v>
      </c>
      <c r="F546" s="1" t="s">
        <v>112</v>
      </c>
      <c r="G546" s="1">
        <v>4273829</v>
      </c>
    </row>
    <row r="547" spans="1:10" x14ac:dyDescent="0.25">
      <c r="A547" s="1" t="str">
        <f t="shared" si="8"/>
        <v>05 17b estradiol 34 dopé</v>
      </c>
      <c r="B5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7" s="1" t="s">
        <v>2781</v>
      </c>
      <c r="D547" s="1" t="s">
        <v>2782</v>
      </c>
      <c r="E547" s="1" t="s">
        <v>2783</v>
      </c>
      <c r="F547" s="1" t="s">
        <v>112</v>
      </c>
      <c r="G547" s="1">
        <v>4002352</v>
      </c>
    </row>
    <row r="548" spans="1:10" x14ac:dyDescent="0.25">
      <c r="A548" s="1" t="str">
        <f t="shared" si="8"/>
        <v>05 17b estradiol 34 dopé</v>
      </c>
      <c r="B5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8" s="1" t="s">
        <v>2784</v>
      </c>
      <c r="D548" s="1" t="s">
        <v>2785</v>
      </c>
      <c r="E548" s="1" t="s">
        <v>2786</v>
      </c>
      <c r="F548" s="1" t="s">
        <v>112</v>
      </c>
      <c r="G548" s="1">
        <v>4668596</v>
      </c>
    </row>
    <row r="549" spans="1:10" x14ac:dyDescent="0.25">
      <c r="A549" s="1" t="str">
        <f t="shared" si="8"/>
        <v>05 17b estradiol 34 dopé</v>
      </c>
      <c r="B5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9" s="1" t="s">
        <v>2787</v>
      </c>
      <c r="D549" s="1" t="s">
        <v>2788</v>
      </c>
      <c r="E549" s="1" t="s">
        <v>2789</v>
      </c>
      <c r="F549" s="1" t="s">
        <v>112</v>
      </c>
      <c r="G549" s="1">
        <v>4636801</v>
      </c>
    </row>
    <row r="550" spans="1:10" x14ac:dyDescent="0.25">
      <c r="A550" s="1" t="str">
        <f t="shared" si="8"/>
        <v>05 17b estradiol 34 dopé</v>
      </c>
      <c r="B5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0" s="1" t="s">
        <v>2790</v>
      </c>
      <c r="D550" s="1" t="s">
        <v>612</v>
      </c>
      <c r="E550" s="1" t="s">
        <v>2791</v>
      </c>
      <c r="F550" s="1" t="s">
        <v>112</v>
      </c>
      <c r="G550" s="1">
        <v>4854073</v>
      </c>
    </row>
    <row r="551" spans="1:10" x14ac:dyDescent="0.25">
      <c r="A551" s="1" t="str">
        <f t="shared" si="8"/>
        <v>05 17b estradiol 34 dopé</v>
      </c>
      <c r="B5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1" s="1" t="s">
        <v>2792</v>
      </c>
      <c r="D551" s="1" t="s">
        <v>2793</v>
      </c>
      <c r="E551" s="1" t="s">
        <v>2794</v>
      </c>
      <c r="F551" s="1" t="s">
        <v>112</v>
      </c>
      <c r="G551" s="1">
        <v>791351</v>
      </c>
    </row>
    <row r="552" spans="1:10" x14ac:dyDescent="0.25">
      <c r="A552" s="1" t="str">
        <f t="shared" si="8"/>
        <v>05 17b estradiol 34 dopé</v>
      </c>
      <c r="B5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2" s="1" t="s">
        <v>2795</v>
      </c>
      <c r="D552" s="1" t="s">
        <v>2796</v>
      </c>
      <c r="E552" s="1" t="s">
        <v>2797</v>
      </c>
      <c r="F552" s="1" t="s">
        <v>112</v>
      </c>
      <c r="G552" s="1">
        <v>724537</v>
      </c>
    </row>
    <row r="553" spans="1:10" x14ac:dyDescent="0.25">
      <c r="A553" s="1" t="str">
        <f t="shared" si="8"/>
        <v>05 17b estradiol 34 dopé</v>
      </c>
      <c r="B5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3" s="1" t="s">
        <v>2798</v>
      </c>
      <c r="D553" s="1" t="s">
        <v>1977</v>
      </c>
      <c r="E553" s="1" t="s">
        <v>2799</v>
      </c>
      <c r="F553" s="1" t="s">
        <v>112</v>
      </c>
      <c r="G553" s="1">
        <v>508757</v>
      </c>
    </row>
    <row r="554" spans="1:10" x14ac:dyDescent="0.25">
      <c r="A554" s="1" t="str">
        <f t="shared" si="8"/>
        <v/>
      </c>
      <c r="B5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4" s="1" t="s">
        <v>112</v>
      </c>
    </row>
    <row r="555" spans="1:10" x14ac:dyDescent="0.25">
      <c r="A555" s="1" t="str">
        <f t="shared" si="8"/>
        <v/>
      </c>
      <c r="B5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5" s="1" t="s">
        <v>232</v>
      </c>
      <c r="D555" s="1" t="s">
        <v>112</v>
      </c>
      <c r="E555" s="1" t="s">
        <v>233</v>
      </c>
      <c r="F555" s="1" t="s">
        <v>234</v>
      </c>
      <c r="G555" s="1" t="s">
        <v>235</v>
      </c>
      <c r="H555" s="1" t="s">
        <v>236</v>
      </c>
      <c r="I555" s="1" t="s">
        <v>237</v>
      </c>
      <c r="J555" s="1" t="s">
        <v>238</v>
      </c>
    </row>
    <row r="556" spans="1:10" x14ac:dyDescent="0.25">
      <c r="A556" s="1" t="str">
        <f t="shared" si="8"/>
        <v>05 17b estradiol 34 dopé</v>
      </c>
      <c r="B5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56" s="1" t="s">
        <v>2800</v>
      </c>
      <c r="D556" s="1" t="s">
        <v>112</v>
      </c>
      <c r="E556" s="1" t="s">
        <v>2801</v>
      </c>
      <c r="F556" s="1" t="s">
        <v>2802</v>
      </c>
      <c r="G556" s="1" t="s">
        <v>2803</v>
      </c>
      <c r="H556" s="1" t="s">
        <v>2804</v>
      </c>
      <c r="I556" s="1">
        <v>24</v>
      </c>
      <c r="J556" s="1">
        <v>24</v>
      </c>
    </row>
    <row r="557" spans="1:10" x14ac:dyDescent="0.25">
      <c r="A557" s="1" t="str">
        <f t="shared" si="8"/>
        <v/>
      </c>
      <c r="B5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7" s="1" t="s">
        <v>112</v>
      </c>
    </row>
    <row r="558" spans="1:10" x14ac:dyDescent="0.25">
      <c r="A558" s="1" t="str">
        <f t="shared" si="8"/>
        <v/>
      </c>
      <c r="B5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8" s="1" t="s">
        <v>112</v>
      </c>
    </row>
    <row r="559" spans="1:10" x14ac:dyDescent="0.25">
      <c r="A559" s="1" t="str">
        <f t="shared" si="8"/>
        <v/>
      </c>
      <c r="B5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9" s="1" t="s">
        <v>112</v>
      </c>
    </row>
    <row r="560" spans="1:10" x14ac:dyDescent="0.25">
      <c r="A560" s="1" t="str">
        <f t="shared" si="8"/>
        <v/>
      </c>
      <c r="B5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0" s="1" t="s">
        <v>112</v>
      </c>
    </row>
    <row r="561" spans="1:7" x14ac:dyDescent="0.25">
      <c r="A561" s="1" t="str">
        <f t="shared" si="8"/>
        <v/>
      </c>
      <c r="B5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1" s="1" t="s">
        <v>112</v>
      </c>
    </row>
    <row r="562" spans="1:7" x14ac:dyDescent="0.25">
      <c r="A562" s="1" t="str">
        <f t="shared" si="8"/>
        <v/>
      </c>
      <c r="B5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2" s="1" t="s">
        <v>244</v>
      </c>
      <c r="D562" s="1" t="s">
        <v>110</v>
      </c>
      <c r="E562" s="1" t="s">
        <v>111</v>
      </c>
      <c r="F562" s="1" t="s">
        <v>112</v>
      </c>
      <c r="G562" s="1" t="s">
        <v>113</v>
      </c>
    </row>
    <row r="563" spans="1:7" x14ac:dyDescent="0.25">
      <c r="A563" s="1" t="str">
        <f t="shared" si="8"/>
        <v>06 17b estradiol 68 dopé</v>
      </c>
      <c r="B56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3" s="1" t="s">
        <v>2805</v>
      </c>
      <c r="D563" s="1" t="s">
        <v>2806</v>
      </c>
      <c r="E563" s="1" t="s">
        <v>2807</v>
      </c>
      <c r="F563" s="1" t="s">
        <v>112</v>
      </c>
      <c r="G563" s="1">
        <v>3919142</v>
      </c>
    </row>
    <row r="564" spans="1:7" x14ac:dyDescent="0.25">
      <c r="A564" s="1" t="str">
        <f t="shared" si="8"/>
        <v>06 17b estradiol 68 dopé</v>
      </c>
      <c r="B5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4" s="1" t="s">
        <v>2808</v>
      </c>
      <c r="D564" s="1" t="s">
        <v>2809</v>
      </c>
      <c r="E564" s="1" t="s">
        <v>2810</v>
      </c>
      <c r="F564" s="1" t="s">
        <v>112</v>
      </c>
      <c r="G564" s="1">
        <v>4104878</v>
      </c>
    </row>
    <row r="565" spans="1:7" x14ac:dyDescent="0.25">
      <c r="A565" s="1" t="str">
        <f t="shared" si="8"/>
        <v>06 17b estradiol 68 dopé</v>
      </c>
      <c r="B5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5" s="1" t="s">
        <v>2811</v>
      </c>
      <c r="D565" s="1" t="s">
        <v>2397</v>
      </c>
      <c r="E565" s="1" t="s">
        <v>2812</v>
      </c>
      <c r="F565" s="1" t="s">
        <v>112</v>
      </c>
      <c r="G565" s="1">
        <v>3833445</v>
      </c>
    </row>
    <row r="566" spans="1:7" x14ac:dyDescent="0.25">
      <c r="A566" s="1" t="str">
        <f t="shared" si="8"/>
        <v>06 17b estradiol 68 dopé</v>
      </c>
      <c r="B5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6" s="1" t="s">
        <v>2813</v>
      </c>
      <c r="D566" s="1" t="s">
        <v>2814</v>
      </c>
      <c r="E566" s="1" t="s">
        <v>2815</v>
      </c>
      <c r="F566" s="1" t="s">
        <v>112</v>
      </c>
      <c r="G566" s="1">
        <v>6422867</v>
      </c>
    </row>
    <row r="567" spans="1:7" x14ac:dyDescent="0.25">
      <c r="A567" s="1" t="str">
        <f t="shared" si="8"/>
        <v>06 17b estradiol 68 dopé</v>
      </c>
      <c r="B5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7" s="1" t="s">
        <v>2816</v>
      </c>
      <c r="D567" s="1" t="s">
        <v>2817</v>
      </c>
      <c r="E567" s="1" t="s">
        <v>2818</v>
      </c>
      <c r="F567" s="1" t="s">
        <v>112</v>
      </c>
      <c r="G567" s="1">
        <v>5581400</v>
      </c>
    </row>
    <row r="568" spans="1:7" x14ac:dyDescent="0.25">
      <c r="A568" s="1" t="str">
        <f t="shared" si="8"/>
        <v>06 17b estradiol 68 dopé</v>
      </c>
      <c r="B5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8" s="1" t="s">
        <v>2819</v>
      </c>
      <c r="D568" s="1" t="s">
        <v>2820</v>
      </c>
      <c r="E568" s="1" t="s">
        <v>2821</v>
      </c>
      <c r="F568" s="1" t="s">
        <v>112</v>
      </c>
      <c r="G568" s="1">
        <v>5828954</v>
      </c>
    </row>
    <row r="569" spans="1:7" x14ac:dyDescent="0.25">
      <c r="A569" s="1" t="str">
        <f t="shared" si="8"/>
        <v>06 17b estradiol 68 dopé</v>
      </c>
      <c r="B5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69" s="1" t="s">
        <v>2822</v>
      </c>
      <c r="D569" s="1" t="s">
        <v>2823</v>
      </c>
      <c r="E569" s="1" t="s">
        <v>2824</v>
      </c>
      <c r="F569" s="1" t="s">
        <v>112</v>
      </c>
      <c r="G569" s="1">
        <v>4546928</v>
      </c>
    </row>
    <row r="570" spans="1:7" x14ac:dyDescent="0.25">
      <c r="A570" s="1" t="str">
        <f t="shared" si="8"/>
        <v>06 17b estradiol 68 dopé</v>
      </c>
      <c r="B5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0" s="1" t="s">
        <v>2825</v>
      </c>
      <c r="D570" s="1" t="s">
        <v>2826</v>
      </c>
      <c r="E570" s="1" t="s">
        <v>2827</v>
      </c>
      <c r="F570" s="1" t="s">
        <v>112</v>
      </c>
      <c r="G570" s="1">
        <v>3878651</v>
      </c>
    </row>
    <row r="571" spans="1:7" x14ac:dyDescent="0.25">
      <c r="A571" s="1" t="str">
        <f t="shared" si="8"/>
        <v>06 17b estradiol 68 dopé</v>
      </c>
      <c r="B5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1" s="1" t="s">
        <v>2828</v>
      </c>
      <c r="D571" s="1" t="s">
        <v>2829</v>
      </c>
      <c r="E571" s="1" t="s">
        <v>2830</v>
      </c>
      <c r="F571" s="1" t="s">
        <v>112</v>
      </c>
      <c r="G571" s="1">
        <v>4345900</v>
      </c>
    </row>
    <row r="572" spans="1:7" x14ac:dyDescent="0.25">
      <c r="A572" s="1" t="str">
        <f t="shared" si="8"/>
        <v>06 17b estradiol 68 dopé</v>
      </c>
      <c r="B5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2" s="1" t="s">
        <v>2831</v>
      </c>
      <c r="D572" s="1" t="s">
        <v>2832</v>
      </c>
      <c r="E572" s="1" t="s">
        <v>2833</v>
      </c>
      <c r="F572" s="1" t="s">
        <v>112</v>
      </c>
      <c r="G572" s="1">
        <v>3262177</v>
      </c>
    </row>
    <row r="573" spans="1:7" x14ac:dyDescent="0.25">
      <c r="A573" s="1" t="str">
        <f t="shared" si="8"/>
        <v>06 17b estradiol 68 dopé</v>
      </c>
      <c r="B5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3" s="1" t="s">
        <v>2834</v>
      </c>
      <c r="D573" s="1" t="s">
        <v>2835</v>
      </c>
      <c r="E573" s="1" t="s">
        <v>2836</v>
      </c>
      <c r="F573" s="1" t="s">
        <v>112</v>
      </c>
      <c r="G573" s="1">
        <v>3175269</v>
      </c>
    </row>
    <row r="574" spans="1:7" x14ac:dyDescent="0.25">
      <c r="A574" s="1" t="str">
        <f t="shared" si="8"/>
        <v>06 17b estradiol 68 dopé</v>
      </c>
      <c r="B5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4" s="1" t="s">
        <v>2837</v>
      </c>
      <c r="D574" s="1" t="s">
        <v>2838</v>
      </c>
      <c r="E574" s="1" t="s">
        <v>2839</v>
      </c>
      <c r="F574" s="1" t="s">
        <v>112</v>
      </c>
      <c r="G574" s="1">
        <v>3106442</v>
      </c>
    </row>
    <row r="575" spans="1:7" x14ac:dyDescent="0.25">
      <c r="A575" s="1" t="str">
        <f t="shared" si="8"/>
        <v>06 17b estradiol 68 dopé</v>
      </c>
      <c r="B5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5" s="1" t="s">
        <v>2840</v>
      </c>
      <c r="D575" s="1" t="s">
        <v>1014</v>
      </c>
      <c r="E575" s="1" t="s">
        <v>2841</v>
      </c>
      <c r="F575" s="1" t="s">
        <v>112</v>
      </c>
      <c r="G575" s="1">
        <v>4411525</v>
      </c>
    </row>
    <row r="576" spans="1:7" x14ac:dyDescent="0.25">
      <c r="A576" s="1" t="str">
        <f t="shared" si="8"/>
        <v>06 17b estradiol 68 dopé</v>
      </c>
      <c r="B5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6" s="1" t="s">
        <v>2842</v>
      </c>
      <c r="D576" s="1" t="s">
        <v>2843</v>
      </c>
      <c r="E576" s="1" t="s">
        <v>2844</v>
      </c>
      <c r="F576" s="1" t="s">
        <v>112</v>
      </c>
      <c r="G576" s="1">
        <v>4455888</v>
      </c>
    </row>
    <row r="577" spans="1:10" x14ac:dyDescent="0.25">
      <c r="A577" s="1" t="str">
        <f t="shared" si="8"/>
        <v>06 17b estradiol 68 dopé</v>
      </c>
      <c r="B5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7" s="1" t="s">
        <v>2845</v>
      </c>
      <c r="D577" s="1" t="s">
        <v>2846</v>
      </c>
      <c r="E577" s="1" t="s">
        <v>2847</v>
      </c>
      <c r="F577" s="1" t="s">
        <v>112</v>
      </c>
      <c r="G577" s="1">
        <v>4252372</v>
      </c>
    </row>
    <row r="578" spans="1:10" x14ac:dyDescent="0.25">
      <c r="A578" s="1" t="str">
        <f t="shared" ref="A578:A641" si="9">IFERROR(LEFT(RIGHT(C578,LEN(C578)-SEARCH("@",C578)),SEARCH("/",RIGHT(C578,LEN(C578)-SEARCH("@",C578)-1))),"")</f>
        <v>06 17b estradiol 68 dopé</v>
      </c>
      <c r="B5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78" s="1" t="s">
        <v>2848</v>
      </c>
      <c r="D578" s="1" t="s">
        <v>2656</v>
      </c>
      <c r="E578" s="1" t="s">
        <v>2849</v>
      </c>
      <c r="F578" s="1" t="s">
        <v>112</v>
      </c>
      <c r="G578" s="1">
        <v>4310795</v>
      </c>
    </row>
    <row r="579" spans="1:10" x14ac:dyDescent="0.25">
      <c r="A579" s="1" t="str">
        <f t="shared" si="9"/>
        <v>06 17b estradiol 68 dopé</v>
      </c>
      <c r="B5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79" s="1" t="s">
        <v>2850</v>
      </c>
      <c r="D579" s="1" t="s">
        <v>2851</v>
      </c>
      <c r="E579" s="1" t="s">
        <v>2852</v>
      </c>
      <c r="F579" s="1" t="s">
        <v>112</v>
      </c>
      <c r="G579" s="1">
        <v>4289035</v>
      </c>
    </row>
    <row r="580" spans="1:10" x14ac:dyDescent="0.25">
      <c r="A580" s="1" t="str">
        <f t="shared" si="9"/>
        <v>06 17b estradiol 68 dopé</v>
      </c>
      <c r="B5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80" s="1" t="s">
        <v>2853</v>
      </c>
      <c r="D580" s="1" t="s">
        <v>2446</v>
      </c>
      <c r="E580" s="1" t="s">
        <v>2854</v>
      </c>
      <c r="F580" s="1" t="s">
        <v>112</v>
      </c>
      <c r="G580" s="1">
        <v>4060688</v>
      </c>
    </row>
    <row r="581" spans="1:10" x14ac:dyDescent="0.25">
      <c r="A581" s="1" t="str">
        <f t="shared" si="9"/>
        <v>06 17b estradiol 68 dopé</v>
      </c>
      <c r="B5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1" s="1" t="s">
        <v>2855</v>
      </c>
      <c r="D581" s="1" t="s">
        <v>1181</v>
      </c>
      <c r="E581" s="1" t="s">
        <v>2856</v>
      </c>
      <c r="F581" s="1" t="s">
        <v>112</v>
      </c>
      <c r="G581" s="1">
        <v>3320621</v>
      </c>
    </row>
    <row r="582" spans="1:10" x14ac:dyDescent="0.25">
      <c r="A582" s="1" t="str">
        <f t="shared" si="9"/>
        <v>06 17b estradiol 68 dopé</v>
      </c>
      <c r="B5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2" s="1" t="s">
        <v>2857</v>
      </c>
      <c r="D582" s="1" t="s">
        <v>1482</v>
      </c>
      <c r="E582" s="1" t="s">
        <v>2858</v>
      </c>
      <c r="F582" s="1" t="s">
        <v>112</v>
      </c>
      <c r="G582" s="1">
        <v>3170834</v>
      </c>
    </row>
    <row r="583" spans="1:10" x14ac:dyDescent="0.25">
      <c r="A583" s="1" t="str">
        <f t="shared" si="9"/>
        <v>06 17b estradiol 68 dopé</v>
      </c>
      <c r="B5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3" s="1" t="s">
        <v>2859</v>
      </c>
      <c r="D583" s="1" t="s">
        <v>2860</v>
      </c>
      <c r="E583" s="1" t="s">
        <v>2861</v>
      </c>
      <c r="F583" s="1" t="s">
        <v>112</v>
      </c>
      <c r="G583" s="1">
        <v>3247512</v>
      </c>
    </row>
    <row r="584" spans="1:10" x14ac:dyDescent="0.25">
      <c r="A584" s="1" t="str">
        <f t="shared" si="9"/>
        <v>06 17b estradiol 68 dopé</v>
      </c>
      <c r="B5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4" s="1" t="s">
        <v>2862</v>
      </c>
      <c r="D584" s="1" t="s">
        <v>2863</v>
      </c>
      <c r="E584" s="1" t="s">
        <v>2864</v>
      </c>
      <c r="F584" s="1" t="s">
        <v>112</v>
      </c>
      <c r="G584" s="1">
        <v>3702021</v>
      </c>
    </row>
    <row r="585" spans="1:10" x14ac:dyDescent="0.25">
      <c r="A585" s="1" t="str">
        <f t="shared" si="9"/>
        <v>06 17b estradiol 68 dopé</v>
      </c>
      <c r="B5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5" s="1" t="s">
        <v>2865</v>
      </c>
      <c r="D585" s="1" t="s">
        <v>1395</v>
      </c>
      <c r="E585" s="1" t="s">
        <v>2866</v>
      </c>
      <c r="F585" s="1" t="s">
        <v>112</v>
      </c>
      <c r="G585" s="1">
        <v>3726939</v>
      </c>
    </row>
    <row r="586" spans="1:10" x14ac:dyDescent="0.25">
      <c r="A586" s="1" t="str">
        <f t="shared" si="9"/>
        <v>06 17b estradiol 68 dopé</v>
      </c>
      <c r="B5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6" s="1" t="s">
        <v>2867</v>
      </c>
      <c r="D586" s="1" t="s">
        <v>2868</v>
      </c>
      <c r="E586" s="1" t="s">
        <v>2869</v>
      </c>
      <c r="F586" s="1" t="s">
        <v>112</v>
      </c>
      <c r="G586" s="1">
        <v>3665748</v>
      </c>
    </row>
    <row r="587" spans="1:10" x14ac:dyDescent="0.25">
      <c r="A587" s="1" t="str">
        <f t="shared" si="9"/>
        <v/>
      </c>
      <c r="B5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7" s="1" t="s">
        <v>112</v>
      </c>
    </row>
    <row r="588" spans="1:10" x14ac:dyDescent="0.25">
      <c r="A588" s="1" t="str">
        <f t="shared" si="9"/>
        <v/>
      </c>
      <c r="B5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8" s="1" t="s">
        <v>232</v>
      </c>
      <c r="D588" s="1" t="s">
        <v>112</v>
      </c>
      <c r="E588" s="1" t="s">
        <v>233</v>
      </c>
      <c r="F588" s="1" t="s">
        <v>234</v>
      </c>
      <c r="G588" s="1" t="s">
        <v>235</v>
      </c>
      <c r="H588" s="1" t="s">
        <v>236</v>
      </c>
      <c r="I588" s="1" t="s">
        <v>237</v>
      </c>
      <c r="J588" s="1" t="s">
        <v>238</v>
      </c>
    </row>
    <row r="589" spans="1:10" x14ac:dyDescent="0.25">
      <c r="A589" s="1" t="str">
        <f t="shared" si="9"/>
        <v>06 17b estradiol 68 dopé</v>
      </c>
      <c r="B5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89" s="1" t="s">
        <v>2870</v>
      </c>
      <c r="D589" s="1" t="s">
        <v>112</v>
      </c>
      <c r="E589" s="1" t="s">
        <v>2871</v>
      </c>
      <c r="F589" s="1" t="s">
        <v>2872</v>
      </c>
      <c r="G589" s="1" t="s">
        <v>2873</v>
      </c>
      <c r="H589" s="1" t="s">
        <v>2874</v>
      </c>
      <c r="I589" s="1">
        <v>24</v>
      </c>
      <c r="J589" s="1">
        <v>24</v>
      </c>
    </row>
    <row r="590" spans="1:10" x14ac:dyDescent="0.25">
      <c r="A590" s="1" t="str">
        <f t="shared" si="9"/>
        <v/>
      </c>
      <c r="B5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0" s="1" t="s">
        <v>112</v>
      </c>
    </row>
    <row r="591" spans="1:10" x14ac:dyDescent="0.25">
      <c r="A591" s="1" t="str">
        <f t="shared" si="9"/>
        <v/>
      </c>
      <c r="B5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1" s="1" t="s">
        <v>112</v>
      </c>
    </row>
    <row r="592" spans="1:10" x14ac:dyDescent="0.25">
      <c r="A592" s="1" t="str">
        <f t="shared" si="9"/>
        <v/>
      </c>
      <c r="B5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2" s="1" t="s">
        <v>112</v>
      </c>
    </row>
    <row r="593" spans="1:7" x14ac:dyDescent="0.25">
      <c r="A593" s="1" t="str">
        <f t="shared" si="9"/>
        <v/>
      </c>
      <c r="B5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3" s="1" t="s">
        <v>112</v>
      </c>
    </row>
    <row r="594" spans="1:7" x14ac:dyDescent="0.25">
      <c r="A594" s="1" t="str">
        <f t="shared" si="9"/>
        <v/>
      </c>
      <c r="B5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4" s="1" t="s">
        <v>112</v>
      </c>
    </row>
    <row r="595" spans="1:7" x14ac:dyDescent="0.25">
      <c r="A595" s="1" t="str">
        <f t="shared" si="9"/>
        <v/>
      </c>
      <c r="B5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5" s="1" t="s">
        <v>244</v>
      </c>
      <c r="D595" s="1" t="s">
        <v>110</v>
      </c>
      <c r="E595" s="1" t="s">
        <v>111</v>
      </c>
      <c r="F595" s="1" t="s">
        <v>112</v>
      </c>
      <c r="G595" s="1" t="s">
        <v>113</v>
      </c>
    </row>
    <row r="596" spans="1:7" x14ac:dyDescent="0.25">
      <c r="A596" s="1" t="str">
        <f t="shared" si="9"/>
        <v>07 17b estradiol 135 dopé</v>
      </c>
      <c r="B59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6" s="1" t="s">
        <v>2875</v>
      </c>
      <c r="D596" s="1" t="s">
        <v>2876</v>
      </c>
      <c r="E596" s="1" t="s">
        <v>2877</v>
      </c>
      <c r="F596" s="1" t="s">
        <v>112</v>
      </c>
      <c r="G596" s="1">
        <v>109491</v>
      </c>
    </row>
    <row r="597" spans="1:7" x14ac:dyDescent="0.25">
      <c r="A597" s="1" t="str">
        <f t="shared" si="9"/>
        <v>07 17b estradiol 135 dopé</v>
      </c>
      <c r="B5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7" s="1" t="s">
        <v>2878</v>
      </c>
      <c r="D597" s="1" t="s">
        <v>1710</v>
      </c>
      <c r="E597" s="1" t="s">
        <v>2879</v>
      </c>
      <c r="F597" s="1" t="s">
        <v>112</v>
      </c>
      <c r="G597" s="1">
        <v>138150</v>
      </c>
    </row>
    <row r="598" spans="1:7" x14ac:dyDescent="0.25">
      <c r="A598" s="1" t="str">
        <f t="shared" si="9"/>
        <v>07 17b estradiol 135 dopé</v>
      </c>
      <c r="B5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8" s="1" t="s">
        <v>2880</v>
      </c>
      <c r="D598" s="1" t="s">
        <v>401</v>
      </c>
      <c r="E598" s="1" t="s">
        <v>2881</v>
      </c>
      <c r="F598" s="1" t="s">
        <v>112</v>
      </c>
      <c r="G598" s="1">
        <v>114487</v>
      </c>
    </row>
    <row r="599" spans="1:7" x14ac:dyDescent="0.25">
      <c r="A599" s="1" t="str">
        <f t="shared" si="9"/>
        <v>07 17b estradiol 135 dopé</v>
      </c>
      <c r="B5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99" s="1" t="s">
        <v>2882</v>
      </c>
      <c r="D599" s="1" t="s">
        <v>2883</v>
      </c>
      <c r="E599" s="1" t="s">
        <v>2884</v>
      </c>
      <c r="F599" s="1" t="s">
        <v>112</v>
      </c>
      <c r="G599" s="1">
        <v>4800733</v>
      </c>
    </row>
    <row r="600" spans="1:7" x14ac:dyDescent="0.25">
      <c r="A600" s="1" t="str">
        <f t="shared" si="9"/>
        <v>07 17b estradiol 135 dopé</v>
      </c>
      <c r="B6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0" s="1" t="s">
        <v>2885</v>
      </c>
      <c r="D600" s="1" t="s">
        <v>2886</v>
      </c>
      <c r="E600" s="1" t="s">
        <v>2887</v>
      </c>
      <c r="F600" s="1" t="s">
        <v>112</v>
      </c>
      <c r="G600" s="1">
        <v>4030969</v>
      </c>
    </row>
    <row r="601" spans="1:7" x14ac:dyDescent="0.25">
      <c r="A601" s="1" t="str">
        <f t="shared" si="9"/>
        <v>07 17b estradiol 135 dopé</v>
      </c>
      <c r="B6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1" s="1" t="s">
        <v>2888</v>
      </c>
      <c r="D601" s="1" t="s">
        <v>1590</v>
      </c>
      <c r="E601" s="1" t="s">
        <v>2889</v>
      </c>
      <c r="F601" s="1" t="s">
        <v>112</v>
      </c>
      <c r="G601" s="1">
        <v>4486927</v>
      </c>
    </row>
    <row r="602" spans="1:7" x14ac:dyDescent="0.25">
      <c r="A602" s="1" t="str">
        <f t="shared" si="9"/>
        <v>07 17b estradiol 135 dopé</v>
      </c>
      <c r="B6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2" s="1" t="s">
        <v>2890</v>
      </c>
      <c r="D602" s="1" t="s">
        <v>2891</v>
      </c>
      <c r="E602" s="1" t="s">
        <v>2892</v>
      </c>
      <c r="F602" s="1" t="s">
        <v>112</v>
      </c>
      <c r="G602" s="1">
        <v>4816610</v>
      </c>
    </row>
    <row r="603" spans="1:7" x14ac:dyDescent="0.25">
      <c r="A603" s="1" t="str">
        <f t="shared" si="9"/>
        <v>07 17b estradiol 135 dopé</v>
      </c>
      <c r="B6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3" s="1" t="s">
        <v>2893</v>
      </c>
    </row>
    <row r="604" spans="1:7" x14ac:dyDescent="0.25">
      <c r="A604" s="1" t="str">
        <f t="shared" si="9"/>
        <v>07 17b estradiol 135 dopé</v>
      </c>
      <c r="B6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4" s="1" t="s">
        <v>2894</v>
      </c>
    </row>
    <row r="605" spans="1:7" x14ac:dyDescent="0.25">
      <c r="A605" s="1" t="str">
        <f t="shared" si="9"/>
        <v>07 17b estradiol 135 dopé</v>
      </c>
      <c r="B6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5" s="1" t="s">
        <v>2895</v>
      </c>
      <c r="D605" s="1" t="s">
        <v>2896</v>
      </c>
      <c r="E605" s="1" t="s">
        <v>2897</v>
      </c>
      <c r="F605" s="1" t="s">
        <v>112</v>
      </c>
      <c r="G605" s="1">
        <v>4791346</v>
      </c>
    </row>
    <row r="606" spans="1:7" x14ac:dyDescent="0.25">
      <c r="A606" s="1" t="str">
        <f t="shared" si="9"/>
        <v>07 17b estradiol 135 dopé</v>
      </c>
      <c r="B6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6" s="1" t="s">
        <v>2898</v>
      </c>
      <c r="D606" s="1" t="s">
        <v>2899</v>
      </c>
      <c r="E606" s="1" t="s">
        <v>2900</v>
      </c>
      <c r="F606" s="1" t="s">
        <v>112</v>
      </c>
      <c r="G606" s="1">
        <v>4405101</v>
      </c>
    </row>
    <row r="607" spans="1:7" x14ac:dyDescent="0.25">
      <c r="A607" s="1" t="str">
        <f t="shared" si="9"/>
        <v>07 17b estradiol 135 dopé</v>
      </c>
      <c r="B6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7" s="1" t="s">
        <v>2901</v>
      </c>
      <c r="D607" s="1" t="s">
        <v>2902</v>
      </c>
      <c r="E607" s="1" t="s">
        <v>2903</v>
      </c>
      <c r="F607" s="1" t="s">
        <v>112</v>
      </c>
      <c r="G607" s="1">
        <v>4684321</v>
      </c>
    </row>
    <row r="608" spans="1:7" x14ac:dyDescent="0.25">
      <c r="A608" s="1" t="str">
        <f t="shared" si="9"/>
        <v>07 17b estradiol 135 dopé</v>
      </c>
      <c r="B6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08" s="1" t="s">
        <v>2904</v>
      </c>
      <c r="D608" s="1" t="s">
        <v>2905</v>
      </c>
      <c r="E608" s="1" t="s">
        <v>2906</v>
      </c>
      <c r="F608" s="1" t="s">
        <v>112</v>
      </c>
      <c r="G608" s="1">
        <v>5187303</v>
      </c>
    </row>
    <row r="609" spans="1:10" x14ac:dyDescent="0.25">
      <c r="A609" s="1" t="str">
        <f t="shared" si="9"/>
        <v>07 17b estradiol 135 dopé</v>
      </c>
      <c r="B6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09" s="1" t="s">
        <v>2907</v>
      </c>
      <c r="D609" s="1" t="s">
        <v>2908</v>
      </c>
      <c r="E609" s="1" t="s">
        <v>2909</v>
      </c>
      <c r="F609" s="1" t="s">
        <v>112</v>
      </c>
      <c r="G609" s="1">
        <v>5126372</v>
      </c>
    </row>
    <row r="610" spans="1:10" x14ac:dyDescent="0.25">
      <c r="A610" s="1" t="str">
        <f t="shared" si="9"/>
        <v>07 17b estradiol 135 dopé</v>
      </c>
      <c r="B6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10" s="1" t="s">
        <v>2910</v>
      </c>
      <c r="D610" s="1" t="s">
        <v>2386</v>
      </c>
      <c r="E610" s="1" t="s">
        <v>2911</v>
      </c>
      <c r="F610" s="1" t="s">
        <v>112</v>
      </c>
      <c r="G610" s="1">
        <v>5134656</v>
      </c>
    </row>
    <row r="611" spans="1:10" x14ac:dyDescent="0.25">
      <c r="A611" s="1" t="str">
        <f t="shared" si="9"/>
        <v>07 17b estradiol 135 dopé</v>
      </c>
      <c r="B6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1" s="1" t="s">
        <v>2912</v>
      </c>
      <c r="D611" s="1" t="s">
        <v>2913</v>
      </c>
      <c r="E611" s="1" t="s">
        <v>2914</v>
      </c>
      <c r="F611" s="1" t="s">
        <v>112</v>
      </c>
      <c r="G611" s="1">
        <v>5496957</v>
      </c>
    </row>
    <row r="612" spans="1:10" x14ac:dyDescent="0.25">
      <c r="A612" s="1" t="str">
        <f t="shared" si="9"/>
        <v>07 17b estradiol 135 dopé</v>
      </c>
      <c r="B6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2" s="1" t="s">
        <v>2915</v>
      </c>
      <c r="D612" s="1" t="s">
        <v>2916</v>
      </c>
      <c r="E612" s="1" t="s">
        <v>2917</v>
      </c>
      <c r="F612" s="1" t="s">
        <v>112</v>
      </c>
      <c r="G612" s="1">
        <v>5506625</v>
      </c>
    </row>
    <row r="613" spans="1:10" x14ac:dyDescent="0.25">
      <c r="A613" s="1" t="str">
        <f t="shared" si="9"/>
        <v>07 17b estradiol 135 dopé</v>
      </c>
      <c r="B6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3" s="1" t="s">
        <v>2918</v>
      </c>
      <c r="D613" s="1" t="s">
        <v>2919</v>
      </c>
      <c r="E613" s="1" t="s">
        <v>2920</v>
      </c>
      <c r="F613" s="1" t="s">
        <v>112</v>
      </c>
      <c r="G613" s="1">
        <v>5314184</v>
      </c>
    </row>
    <row r="614" spans="1:10" x14ac:dyDescent="0.25">
      <c r="A614" s="1" t="str">
        <f t="shared" si="9"/>
        <v>07 17b estradiol 135 dopé</v>
      </c>
      <c r="B6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4" s="1" t="s">
        <v>2921</v>
      </c>
      <c r="D614" s="1" t="s">
        <v>2922</v>
      </c>
      <c r="E614" s="1" t="s">
        <v>2923</v>
      </c>
      <c r="F614" s="1" t="s">
        <v>112</v>
      </c>
      <c r="G614" s="1">
        <v>4657846</v>
      </c>
    </row>
    <row r="615" spans="1:10" x14ac:dyDescent="0.25">
      <c r="A615" s="1" t="str">
        <f t="shared" si="9"/>
        <v>07 17b estradiol 135 dopé</v>
      </c>
      <c r="B6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5" s="1" t="s">
        <v>2924</v>
      </c>
      <c r="D615" s="1" t="s">
        <v>2925</v>
      </c>
      <c r="E615" s="1" t="s">
        <v>2926</v>
      </c>
      <c r="F615" s="1" t="s">
        <v>112</v>
      </c>
      <c r="G615" s="1">
        <v>4587008</v>
      </c>
    </row>
    <row r="616" spans="1:10" x14ac:dyDescent="0.25">
      <c r="A616" s="1" t="str">
        <f t="shared" si="9"/>
        <v>07 17b estradiol 135 dopé</v>
      </c>
      <c r="B6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6" s="1" t="s">
        <v>2927</v>
      </c>
      <c r="D616" s="1" t="s">
        <v>939</v>
      </c>
      <c r="E616" s="1" t="s">
        <v>2928</v>
      </c>
      <c r="F616" s="1" t="s">
        <v>112</v>
      </c>
      <c r="G616" s="1">
        <v>4513207</v>
      </c>
    </row>
    <row r="617" spans="1:10" x14ac:dyDescent="0.25">
      <c r="A617" s="1" t="str">
        <f t="shared" si="9"/>
        <v>07 17b estradiol 135 dopé</v>
      </c>
      <c r="B6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7" s="1" t="s">
        <v>2929</v>
      </c>
      <c r="D617" s="1" t="s">
        <v>2930</v>
      </c>
      <c r="E617" s="1" t="s">
        <v>2931</v>
      </c>
      <c r="F617" s="1" t="s">
        <v>112</v>
      </c>
      <c r="G617" s="1">
        <v>4211319</v>
      </c>
    </row>
    <row r="618" spans="1:10" x14ac:dyDescent="0.25">
      <c r="A618" s="1" t="str">
        <f t="shared" si="9"/>
        <v>07 17b estradiol 135 dopé</v>
      </c>
      <c r="B6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8" s="1" t="s">
        <v>2932</v>
      </c>
      <c r="D618" s="1" t="s">
        <v>2930</v>
      </c>
      <c r="E618" s="1" t="s">
        <v>2933</v>
      </c>
      <c r="F618" s="1" t="s">
        <v>112</v>
      </c>
      <c r="G618" s="1">
        <v>4177230</v>
      </c>
    </row>
    <row r="619" spans="1:10" x14ac:dyDescent="0.25">
      <c r="A619" s="1" t="str">
        <f t="shared" si="9"/>
        <v>07 17b estradiol 135 dopé</v>
      </c>
      <c r="B6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9" s="1" t="s">
        <v>2934</v>
      </c>
      <c r="D619" s="1" t="s">
        <v>2935</v>
      </c>
      <c r="E619" s="1" t="s">
        <v>2936</v>
      </c>
      <c r="F619" s="1" t="s">
        <v>112</v>
      </c>
      <c r="G619" s="1">
        <v>4048402</v>
      </c>
    </row>
    <row r="620" spans="1:10" x14ac:dyDescent="0.25">
      <c r="A620" s="1" t="str">
        <f t="shared" si="9"/>
        <v/>
      </c>
      <c r="B6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0" s="1" t="s">
        <v>112</v>
      </c>
    </row>
    <row r="621" spans="1:10" x14ac:dyDescent="0.25">
      <c r="A621" s="1" t="str">
        <f t="shared" si="9"/>
        <v/>
      </c>
      <c r="B6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1" s="1" t="s">
        <v>232</v>
      </c>
      <c r="D621" s="1" t="s">
        <v>112</v>
      </c>
      <c r="E621" s="1" t="s">
        <v>233</v>
      </c>
      <c r="F621" s="1" t="s">
        <v>234</v>
      </c>
      <c r="G621" s="1" t="s">
        <v>235</v>
      </c>
      <c r="H621" s="1" t="s">
        <v>236</v>
      </c>
      <c r="I621" s="1" t="s">
        <v>237</v>
      </c>
      <c r="J621" s="1" t="s">
        <v>238</v>
      </c>
    </row>
    <row r="622" spans="1:10" x14ac:dyDescent="0.25">
      <c r="A622" s="1" t="str">
        <f t="shared" si="9"/>
        <v>07 17b estradiol 135 dopé</v>
      </c>
      <c r="B6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22" s="1" t="s">
        <v>2937</v>
      </c>
      <c r="D622" s="1" t="s">
        <v>112</v>
      </c>
      <c r="E622" s="1" t="s">
        <v>2938</v>
      </c>
      <c r="F622" s="1" t="s">
        <v>2939</v>
      </c>
      <c r="G622" s="1" t="s">
        <v>2940</v>
      </c>
      <c r="H622" s="1" t="s">
        <v>2941</v>
      </c>
      <c r="I622" s="1">
        <v>24</v>
      </c>
      <c r="J622" s="1">
        <v>24</v>
      </c>
    </row>
    <row r="623" spans="1:10" x14ac:dyDescent="0.25">
      <c r="A623" s="1" t="str">
        <f t="shared" si="9"/>
        <v/>
      </c>
      <c r="B6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3" s="1" t="s">
        <v>112</v>
      </c>
    </row>
    <row r="624" spans="1:10" x14ac:dyDescent="0.25">
      <c r="A624" s="1" t="str">
        <f t="shared" si="9"/>
        <v/>
      </c>
      <c r="B6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4" s="1" t="s">
        <v>112</v>
      </c>
    </row>
    <row r="625" spans="1:7" x14ac:dyDescent="0.25">
      <c r="A625" s="1" t="str">
        <f t="shared" si="9"/>
        <v/>
      </c>
      <c r="B6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5" s="1" t="s">
        <v>112</v>
      </c>
    </row>
    <row r="626" spans="1:7" x14ac:dyDescent="0.25">
      <c r="A626" s="1" t="str">
        <f t="shared" si="9"/>
        <v/>
      </c>
      <c r="B6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6" s="1" t="s">
        <v>112</v>
      </c>
    </row>
    <row r="627" spans="1:7" x14ac:dyDescent="0.25">
      <c r="A627" s="1" t="str">
        <f t="shared" si="9"/>
        <v/>
      </c>
      <c r="B6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7" s="1" t="s">
        <v>112</v>
      </c>
    </row>
    <row r="628" spans="1:7" x14ac:dyDescent="0.25">
      <c r="A628" s="1" t="str">
        <f t="shared" si="9"/>
        <v/>
      </c>
      <c r="B6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8" s="1" t="s">
        <v>244</v>
      </c>
      <c r="D628" s="1" t="s">
        <v>110</v>
      </c>
      <c r="E628" s="1" t="s">
        <v>111</v>
      </c>
      <c r="F628" s="1" t="s">
        <v>112</v>
      </c>
      <c r="G628" s="1" t="s">
        <v>113</v>
      </c>
    </row>
    <row r="629" spans="1:7" x14ac:dyDescent="0.25">
      <c r="A629" s="1" t="str">
        <f t="shared" si="9"/>
        <v>08 17b estradiol 270 dopé</v>
      </c>
      <c r="B62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29" s="1" t="s">
        <v>2942</v>
      </c>
      <c r="D629" s="1" t="s">
        <v>2943</v>
      </c>
      <c r="E629" s="1" t="s">
        <v>2944</v>
      </c>
      <c r="F629" s="1" t="s">
        <v>112</v>
      </c>
      <c r="G629" s="1">
        <v>5084929</v>
      </c>
    </row>
    <row r="630" spans="1:7" x14ac:dyDescent="0.25">
      <c r="A630" s="1" t="str">
        <f t="shared" si="9"/>
        <v>08 17b estradiol 270 dopé</v>
      </c>
      <c r="B63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0" s="1" t="s">
        <v>2945</v>
      </c>
      <c r="D630" s="1" t="s">
        <v>2946</v>
      </c>
      <c r="E630" s="1" t="s">
        <v>2947</v>
      </c>
      <c r="F630" s="1" t="s">
        <v>112</v>
      </c>
      <c r="G630" s="1">
        <v>5330471</v>
      </c>
    </row>
    <row r="631" spans="1:7" x14ac:dyDescent="0.25">
      <c r="A631" s="1" t="str">
        <f t="shared" si="9"/>
        <v>08 17b estradiol 270 dopé</v>
      </c>
      <c r="B6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1" s="1" t="s">
        <v>2948</v>
      </c>
      <c r="D631" s="1" t="s">
        <v>2383</v>
      </c>
      <c r="E631" s="1" t="s">
        <v>2949</v>
      </c>
      <c r="F631" s="1" t="s">
        <v>112</v>
      </c>
      <c r="G631" s="1">
        <v>5528212</v>
      </c>
    </row>
    <row r="632" spans="1:7" x14ac:dyDescent="0.25">
      <c r="A632" s="1" t="str">
        <f t="shared" si="9"/>
        <v>08 17b estradiol 270 dopé</v>
      </c>
      <c r="B6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2" s="1" t="s">
        <v>2950</v>
      </c>
      <c r="D632" s="1" t="s">
        <v>2951</v>
      </c>
      <c r="E632" s="1" t="s">
        <v>2952</v>
      </c>
      <c r="F632" s="1" t="s">
        <v>112</v>
      </c>
      <c r="G632" s="1">
        <v>4790914</v>
      </c>
    </row>
    <row r="633" spans="1:7" x14ac:dyDescent="0.25">
      <c r="A633" s="1" t="str">
        <f t="shared" si="9"/>
        <v>08 17b estradiol 270 dopé</v>
      </c>
      <c r="B6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3" s="1" t="s">
        <v>2953</v>
      </c>
      <c r="D633" s="1" t="s">
        <v>497</v>
      </c>
      <c r="E633" s="1" t="s">
        <v>2954</v>
      </c>
      <c r="F633" s="1" t="s">
        <v>112</v>
      </c>
      <c r="G633" s="1">
        <v>3949770</v>
      </c>
    </row>
    <row r="634" spans="1:7" x14ac:dyDescent="0.25">
      <c r="A634" s="1" t="str">
        <f t="shared" si="9"/>
        <v>08 17b estradiol 270 dopé</v>
      </c>
      <c r="B6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4" s="1" t="s">
        <v>2955</v>
      </c>
      <c r="D634" s="1" t="s">
        <v>2956</v>
      </c>
      <c r="E634" s="1" t="s">
        <v>2957</v>
      </c>
      <c r="F634" s="1" t="s">
        <v>112</v>
      </c>
      <c r="G634" s="1">
        <v>4394265</v>
      </c>
    </row>
    <row r="635" spans="1:7" x14ac:dyDescent="0.25">
      <c r="A635" s="1" t="str">
        <f t="shared" si="9"/>
        <v>08 17b estradiol 270 dopé</v>
      </c>
      <c r="B6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5" s="1" t="s">
        <v>2958</v>
      </c>
      <c r="D635" s="1" t="s">
        <v>2959</v>
      </c>
      <c r="E635" s="1" t="s">
        <v>2960</v>
      </c>
      <c r="F635" s="1" t="s">
        <v>112</v>
      </c>
      <c r="G635" s="1">
        <v>7412522</v>
      </c>
    </row>
    <row r="636" spans="1:7" x14ac:dyDescent="0.25">
      <c r="A636" s="1" t="str">
        <f t="shared" si="9"/>
        <v>08 17b estradiol 270 dopé</v>
      </c>
      <c r="B6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6" s="1" t="s">
        <v>2961</v>
      </c>
      <c r="D636" s="1" t="s">
        <v>2962</v>
      </c>
      <c r="E636" s="1" t="s">
        <v>2963</v>
      </c>
      <c r="F636" s="1" t="s">
        <v>112</v>
      </c>
      <c r="G636" s="1">
        <v>6601465</v>
      </c>
    </row>
    <row r="637" spans="1:7" x14ac:dyDescent="0.25">
      <c r="A637" s="1" t="str">
        <f t="shared" si="9"/>
        <v>08 17b estradiol 270 dopé</v>
      </c>
      <c r="B6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7" s="1" t="s">
        <v>2964</v>
      </c>
      <c r="D637" s="1" t="s">
        <v>2965</v>
      </c>
      <c r="E637" s="1" t="s">
        <v>2966</v>
      </c>
      <c r="F637" s="1" t="s">
        <v>112</v>
      </c>
      <c r="G637" s="1">
        <v>6980010</v>
      </c>
    </row>
    <row r="638" spans="1:7" x14ac:dyDescent="0.25">
      <c r="A638" s="1" t="str">
        <f t="shared" si="9"/>
        <v>08 17b estradiol 270 dopé</v>
      </c>
      <c r="B6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38" s="1" t="s">
        <v>2967</v>
      </c>
      <c r="D638" s="1" t="s">
        <v>2968</v>
      </c>
      <c r="E638" s="1" t="s">
        <v>2969</v>
      </c>
      <c r="F638" s="1" t="s">
        <v>112</v>
      </c>
      <c r="G638" s="1">
        <v>6093379</v>
      </c>
    </row>
    <row r="639" spans="1:7" x14ac:dyDescent="0.25">
      <c r="A639" s="1" t="str">
        <f t="shared" si="9"/>
        <v>08 17b estradiol 270 dopé</v>
      </c>
      <c r="B6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39" s="1" t="s">
        <v>2970</v>
      </c>
      <c r="D639" s="1" t="s">
        <v>2971</v>
      </c>
      <c r="E639" s="1" t="s">
        <v>2972</v>
      </c>
      <c r="F639" s="1" t="s">
        <v>112</v>
      </c>
      <c r="G639" s="1">
        <v>5887809</v>
      </c>
    </row>
    <row r="640" spans="1:7" x14ac:dyDescent="0.25">
      <c r="A640" s="1" t="str">
        <f t="shared" si="9"/>
        <v>08 17b estradiol 270 dopé</v>
      </c>
      <c r="B6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40" s="1" t="s">
        <v>2973</v>
      </c>
      <c r="D640" s="1" t="s">
        <v>2974</v>
      </c>
      <c r="E640" s="1" t="s">
        <v>2975</v>
      </c>
      <c r="F640" s="1" t="s">
        <v>112</v>
      </c>
      <c r="G640" s="1">
        <v>6006600</v>
      </c>
    </row>
    <row r="641" spans="1:10" x14ac:dyDescent="0.25">
      <c r="A641" s="1" t="str">
        <f t="shared" si="9"/>
        <v>08 17b estradiol 270 dopé</v>
      </c>
      <c r="B6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1" s="1" t="s">
        <v>2976</v>
      </c>
      <c r="D641" s="1" t="s">
        <v>2977</v>
      </c>
      <c r="E641" s="1" t="s">
        <v>2978</v>
      </c>
      <c r="F641" s="1" t="s">
        <v>112</v>
      </c>
      <c r="G641" s="1">
        <v>6584464</v>
      </c>
    </row>
    <row r="642" spans="1:10" x14ac:dyDescent="0.25">
      <c r="A642" s="1" t="str">
        <f t="shared" ref="A642:A705" si="10">IFERROR(LEFT(RIGHT(C642,LEN(C642)-SEARCH("@",C642)),SEARCH("/",RIGHT(C642,LEN(C642)-SEARCH("@",C642)-1))),"")</f>
        <v>08 17b estradiol 270 dopé</v>
      </c>
      <c r="B6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2" s="1" t="s">
        <v>2979</v>
      </c>
      <c r="D642" s="1" t="s">
        <v>2980</v>
      </c>
      <c r="E642" s="1" t="s">
        <v>2981</v>
      </c>
      <c r="F642" s="1" t="s">
        <v>112</v>
      </c>
      <c r="G642" s="1">
        <v>6089097</v>
      </c>
    </row>
    <row r="643" spans="1:10" x14ac:dyDescent="0.25">
      <c r="A643" s="1" t="str">
        <f t="shared" si="10"/>
        <v>08 17b estradiol 270 dopé</v>
      </c>
      <c r="B6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3" s="1" t="s">
        <v>2982</v>
      </c>
      <c r="D643" s="1" t="s">
        <v>2983</v>
      </c>
      <c r="E643" s="1" t="s">
        <v>2984</v>
      </c>
      <c r="F643" s="1" t="s">
        <v>112</v>
      </c>
      <c r="G643" s="1">
        <v>6034481</v>
      </c>
    </row>
    <row r="644" spans="1:10" x14ac:dyDescent="0.25">
      <c r="A644" s="1" t="str">
        <f t="shared" si="10"/>
        <v>08 17b estradiol 270 dopé</v>
      </c>
      <c r="B6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4" s="1" t="s">
        <v>2985</v>
      </c>
      <c r="D644" s="1" t="s">
        <v>2986</v>
      </c>
      <c r="E644" s="1" t="s">
        <v>2987</v>
      </c>
      <c r="F644" s="1" t="s">
        <v>112</v>
      </c>
      <c r="G644" s="1">
        <v>7008324</v>
      </c>
    </row>
    <row r="645" spans="1:10" x14ac:dyDescent="0.25">
      <c r="A645" s="1" t="str">
        <f t="shared" si="10"/>
        <v>08 17b estradiol 270 dopé</v>
      </c>
      <c r="B6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5" s="1" t="s">
        <v>2988</v>
      </c>
      <c r="D645" s="1" t="s">
        <v>2989</v>
      </c>
      <c r="E645" s="1" t="s">
        <v>2990</v>
      </c>
      <c r="F645" s="1" t="s">
        <v>112</v>
      </c>
      <c r="G645" s="1">
        <v>7221616</v>
      </c>
    </row>
    <row r="646" spans="1:10" x14ac:dyDescent="0.25">
      <c r="A646" s="1" t="str">
        <f t="shared" si="10"/>
        <v>08 17b estradiol 270 dopé</v>
      </c>
      <c r="B6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6" s="1" t="s">
        <v>2991</v>
      </c>
      <c r="D646" s="1" t="s">
        <v>2992</v>
      </c>
      <c r="E646" s="1" t="s">
        <v>2993</v>
      </c>
      <c r="F646" s="1" t="s">
        <v>112</v>
      </c>
      <c r="G646" s="1">
        <v>6601011</v>
      </c>
    </row>
    <row r="647" spans="1:10" x14ac:dyDescent="0.25">
      <c r="A647" s="1" t="str">
        <f t="shared" si="10"/>
        <v>08 17b estradiol 270 dopé</v>
      </c>
      <c r="B6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7" s="1" t="s">
        <v>2994</v>
      </c>
      <c r="D647" s="1" t="s">
        <v>2995</v>
      </c>
      <c r="E647" s="1" t="s">
        <v>2996</v>
      </c>
      <c r="F647" s="1" t="s">
        <v>112</v>
      </c>
      <c r="G647" s="1">
        <v>4336448</v>
      </c>
    </row>
    <row r="648" spans="1:10" x14ac:dyDescent="0.25">
      <c r="A648" s="1" t="str">
        <f t="shared" si="10"/>
        <v>08 17b estradiol 270 dopé</v>
      </c>
      <c r="B6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8" s="1" t="s">
        <v>2997</v>
      </c>
      <c r="D648" s="1" t="s">
        <v>535</v>
      </c>
      <c r="E648" s="1" t="s">
        <v>2998</v>
      </c>
      <c r="F648" s="1" t="s">
        <v>112</v>
      </c>
      <c r="G648" s="1">
        <v>4064106</v>
      </c>
    </row>
    <row r="649" spans="1:10" x14ac:dyDescent="0.25">
      <c r="A649" s="1" t="str">
        <f t="shared" si="10"/>
        <v>08 17b estradiol 270 dopé</v>
      </c>
      <c r="B6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9" s="1" t="s">
        <v>2999</v>
      </c>
      <c r="D649" s="1" t="s">
        <v>3000</v>
      </c>
      <c r="E649" s="1" t="s">
        <v>3001</v>
      </c>
      <c r="F649" s="1" t="s">
        <v>112</v>
      </c>
      <c r="G649" s="1">
        <v>3869761</v>
      </c>
    </row>
    <row r="650" spans="1:10" x14ac:dyDescent="0.25">
      <c r="A650" s="1" t="str">
        <f t="shared" si="10"/>
        <v>08 17b estradiol 270 dopé</v>
      </c>
      <c r="B6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0" s="1" t="s">
        <v>3002</v>
      </c>
      <c r="D650" s="1" t="s">
        <v>3003</v>
      </c>
      <c r="E650" s="1" t="s">
        <v>3004</v>
      </c>
      <c r="F650" s="1" t="s">
        <v>112</v>
      </c>
      <c r="G650" s="1">
        <v>1573575</v>
      </c>
    </row>
    <row r="651" spans="1:10" x14ac:dyDescent="0.25">
      <c r="A651" s="1" t="str">
        <f t="shared" si="10"/>
        <v>08 17b estradiol 270 dopé</v>
      </c>
      <c r="B6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1" s="1" t="s">
        <v>3005</v>
      </c>
      <c r="D651" s="1" t="s">
        <v>3006</v>
      </c>
      <c r="E651" s="1" t="s">
        <v>3007</v>
      </c>
      <c r="F651" s="1" t="s">
        <v>112</v>
      </c>
      <c r="G651" s="1">
        <v>1344687</v>
      </c>
    </row>
    <row r="652" spans="1:10" x14ac:dyDescent="0.25">
      <c r="A652" s="1" t="str">
        <f t="shared" si="10"/>
        <v>08 17b estradiol 270 dopé</v>
      </c>
      <c r="B6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2" s="1" t="s">
        <v>3008</v>
      </c>
      <c r="D652" s="1" t="s">
        <v>1928</v>
      </c>
      <c r="E652" s="1" t="s">
        <v>3009</v>
      </c>
      <c r="F652" s="1" t="s">
        <v>112</v>
      </c>
      <c r="G652" s="1">
        <v>1284989</v>
      </c>
    </row>
    <row r="653" spans="1:10" x14ac:dyDescent="0.25">
      <c r="A653" s="1" t="str">
        <f t="shared" si="10"/>
        <v/>
      </c>
      <c r="B6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3" s="1" t="s">
        <v>112</v>
      </c>
    </row>
    <row r="654" spans="1:10" x14ac:dyDescent="0.25">
      <c r="A654" s="1" t="str">
        <f t="shared" si="10"/>
        <v/>
      </c>
      <c r="B6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4" s="1" t="s">
        <v>232</v>
      </c>
      <c r="D654" s="1" t="s">
        <v>112</v>
      </c>
      <c r="E654" s="1" t="s">
        <v>233</v>
      </c>
      <c r="F654" s="1" t="s">
        <v>234</v>
      </c>
      <c r="G654" s="1" t="s">
        <v>235</v>
      </c>
      <c r="H654" s="1" t="s">
        <v>236</v>
      </c>
      <c r="I654" s="1" t="s">
        <v>237</v>
      </c>
      <c r="J654" s="1" t="s">
        <v>238</v>
      </c>
    </row>
    <row r="655" spans="1:10" x14ac:dyDescent="0.25">
      <c r="A655" s="1" t="str">
        <f t="shared" si="10"/>
        <v>08 17b estradiol 270 dopé</v>
      </c>
      <c r="B6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55" s="1" t="s">
        <v>3010</v>
      </c>
      <c r="D655" s="1" t="s">
        <v>112</v>
      </c>
      <c r="E655" s="1" t="s">
        <v>3011</v>
      </c>
      <c r="F655" s="1" t="s">
        <v>3012</v>
      </c>
      <c r="G655" s="1" t="s">
        <v>3013</v>
      </c>
      <c r="H655" s="1" t="s">
        <v>3014</v>
      </c>
      <c r="I655" s="1">
        <v>24</v>
      </c>
      <c r="J655" s="1">
        <v>24</v>
      </c>
    </row>
    <row r="656" spans="1:10" x14ac:dyDescent="0.25">
      <c r="A656" s="1" t="str">
        <f t="shared" si="10"/>
        <v/>
      </c>
      <c r="B6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6" s="1" t="s">
        <v>112</v>
      </c>
    </row>
    <row r="657" spans="1:7" x14ac:dyDescent="0.25">
      <c r="A657" s="1" t="str">
        <f t="shared" si="10"/>
        <v/>
      </c>
      <c r="B6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7" s="1" t="s">
        <v>112</v>
      </c>
    </row>
    <row r="658" spans="1:7" x14ac:dyDescent="0.25">
      <c r="A658" s="1" t="str">
        <f t="shared" si="10"/>
        <v/>
      </c>
      <c r="B6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8" s="1" t="s">
        <v>112</v>
      </c>
    </row>
    <row r="659" spans="1:7" x14ac:dyDescent="0.25">
      <c r="A659" s="1" t="str">
        <f t="shared" si="10"/>
        <v/>
      </c>
      <c r="B6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9" s="1" t="s">
        <v>112</v>
      </c>
    </row>
    <row r="660" spans="1:7" x14ac:dyDescent="0.25">
      <c r="A660" s="1" t="str">
        <f t="shared" si="10"/>
        <v/>
      </c>
      <c r="B6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0" s="1" t="s">
        <v>112</v>
      </c>
    </row>
    <row r="661" spans="1:7" x14ac:dyDescent="0.25">
      <c r="A661" s="1" t="str">
        <f t="shared" si="10"/>
        <v/>
      </c>
      <c r="B6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1" s="1" t="s">
        <v>244</v>
      </c>
      <c r="D661" s="1" t="s">
        <v>110</v>
      </c>
      <c r="E661" s="1" t="s">
        <v>111</v>
      </c>
      <c r="F661" s="1" t="s">
        <v>112</v>
      </c>
      <c r="G661" s="1" t="s">
        <v>113</v>
      </c>
    </row>
    <row r="662" spans="1:7" x14ac:dyDescent="0.25">
      <c r="A662" s="1" t="str">
        <f t="shared" si="10"/>
        <v>09 17b estradiol 540 dopé</v>
      </c>
      <c r="B66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2" s="1" t="s">
        <v>3015</v>
      </c>
      <c r="D662" s="1" t="s">
        <v>3016</v>
      </c>
      <c r="E662" s="1" t="s">
        <v>3017</v>
      </c>
      <c r="F662" s="1" t="s">
        <v>112</v>
      </c>
      <c r="G662" s="1">
        <v>6525891</v>
      </c>
    </row>
    <row r="663" spans="1:7" x14ac:dyDescent="0.25">
      <c r="A663" s="1" t="str">
        <f t="shared" si="10"/>
        <v>09 17b estradiol 540 dopé</v>
      </c>
      <c r="B66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3" s="1" t="s">
        <v>3018</v>
      </c>
      <c r="D663" s="1" t="s">
        <v>3019</v>
      </c>
      <c r="E663" s="1" t="s">
        <v>3020</v>
      </c>
      <c r="F663" s="1" t="s">
        <v>112</v>
      </c>
      <c r="G663" s="1">
        <v>6920874</v>
      </c>
    </row>
    <row r="664" spans="1:7" x14ac:dyDescent="0.25">
      <c r="A664" s="1" t="str">
        <f t="shared" si="10"/>
        <v>09 17b estradiol 540 dopé</v>
      </c>
      <c r="B6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4" s="1" t="s">
        <v>3021</v>
      </c>
      <c r="D664" s="1" t="s">
        <v>3022</v>
      </c>
      <c r="E664" s="1" t="s">
        <v>3023</v>
      </c>
      <c r="F664" s="1" t="s">
        <v>112</v>
      </c>
      <c r="G664" s="1">
        <v>652596</v>
      </c>
    </row>
    <row r="665" spans="1:7" x14ac:dyDescent="0.25">
      <c r="A665" s="1" t="str">
        <f t="shared" si="10"/>
        <v>09 17b estradiol 540 dopé</v>
      </c>
      <c r="B6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5" s="1" t="s">
        <v>3024</v>
      </c>
      <c r="D665" s="1" t="s">
        <v>3025</v>
      </c>
      <c r="E665" s="1" t="s">
        <v>3026</v>
      </c>
      <c r="F665" s="1" t="s">
        <v>112</v>
      </c>
      <c r="G665" s="1">
        <v>5916620</v>
      </c>
    </row>
    <row r="666" spans="1:7" x14ac:dyDescent="0.25">
      <c r="A666" s="1" t="str">
        <f t="shared" si="10"/>
        <v>09 17b estradiol 540 dopé</v>
      </c>
      <c r="B6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6" s="1" t="s">
        <v>3027</v>
      </c>
      <c r="D666" s="1" t="s">
        <v>3028</v>
      </c>
      <c r="E666" s="1" t="s">
        <v>3029</v>
      </c>
      <c r="F666" s="1" t="s">
        <v>112</v>
      </c>
      <c r="G666" s="1">
        <v>6147021</v>
      </c>
    </row>
    <row r="667" spans="1:7" x14ac:dyDescent="0.25">
      <c r="A667" s="1" t="str">
        <f t="shared" si="10"/>
        <v>09 17b estradiol 540 dopé</v>
      </c>
      <c r="B6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7" s="1" t="s">
        <v>3030</v>
      </c>
      <c r="D667" s="1" t="s">
        <v>2905</v>
      </c>
      <c r="E667" s="1" t="s">
        <v>3031</v>
      </c>
      <c r="F667" s="1" t="s">
        <v>112</v>
      </c>
      <c r="G667" s="1">
        <v>5989015</v>
      </c>
    </row>
    <row r="668" spans="1:7" x14ac:dyDescent="0.25">
      <c r="A668" s="1" t="str">
        <f t="shared" si="10"/>
        <v>09 17b estradiol 540 dopé</v>
      </c>
      <c r="B6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68" s="1" t="s">
        <v>3032</v>
      </c>
    </row>
    <row r="669" spans="1:7" x14ac:dyDescent="0.25">
      <c r="A669" s="1" t="str">
        <f t="shared" si="10"/>
        <v>09 17b estradiol 540 dopé</v>
      </c>
      <c r="B6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69" s="1" t="s">
        <v>3033</v>
      </c>
      <c r="D669" s="1" t="s">
        <v>3034</v>
      </c>
      <c r="E669" s="1" t="s">
        <v>3035</v>
      </c>
      <c r="F669" s="1" t="s">
        <v>112</v>
      </c>
      <c r="G669" s="1">
        <v>3000023</v>
      </c>
    </row>
    <row r="670" spans="1:7" x14ac:dyDescent="0.25">
      <c r="A670" s="1" t="str">
        <f t="shared" si="10"/>
        <v>09 17b estradiol 540 dopé</v>
      </c>
      <c r="B6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70" s="1" t="s">
        <v>3036</v>
      </c>
      <c r="D670" s="1" t="s">
        <v>2581</v>
      </c>
      <c r="E670" s="1" t="s">
        <v>3037</v>
      </c>
      <c r="F670" s="1" t="s">
        <v>112</v>
      </c>
      <c r="G670" s="1">
        <v>2899422</v>
      </c>
    </row>
    <row r="671" spans="1:7" x14ac:dyDescent="0.25">
      <c r="A671" s="1" t="str">
        <f t="shared" si="10"/>
        <v>09 17b estradiol 540 dopé</v>
      </c>
      <c r="B6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1" s="1" t="s">
        <v>3038</v>
      </c>
      <c r="D671" s="1" t="s">
        <v>3039</v>
      </c>
      <c r="E671" s="1" t="s">
        <v>3040</v>
      </c>
      <c r="F671" s="1" t="s">
        <v>112</v>
      </c>
      <c r="G671" s="1">
        <v>2969027</v>
      </c>
    </row>
    <row r="672" spans="1:7" x14ac:dyDescent="0.25">
      <c r="A672" s="1" t="str">
        <f t="shared" si="10"/>
        <v>09 17b estradiol 540 dopé</v>
      </c>
      <c r="B6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2" s="1" t="s">
        <v>3041</v>
      </c>
      <c r="D672" s="1" t="s">
        <v>3042</v>
      </c>
      <c r="E672" s="1" t="s">
        <v>3043</v>
      </c>
      <c r="F672" s="1" t="s">
        <v>112</v>
      </c>
      <c r="G672" s="1">
        <v>3417285</v>
      </c>
    </row>
    <row r="673" spans="1:10" x14ac:dyDescent="0.25">
      <c r="A673" s="1" t="str">
        <f t="shared" si="10"/>
        <v>09 17b estradiol 540 dopé</v>
      </c>
      <c r="B6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3" s="1" t="s">
        <v>3044</v>
      </c>
      <c r="D673" s="1" t="s">
        <v>3045</v>
      </c>
      <c r="E673" s="1" t="s">
        <v>3046</v>
      </c>
      <c r="F673" s="1" t="s">
        <v>112</v>
      </c>
      <c r="G673" s="1">
        <v>2934485</v>
      </c>
    </row>
    <row r="674" spans="1:10" x14ac:dyDescent="0.25">
      <c r="A674" s="1" t="str">
        <f t="shared" si="10"/>
        <v>09 17b estradiol 540 dopé</v>
      </c>
      <c r="B6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4" s="1" t="s">
        <v>3047</v>
      </c>
      <c r="D674" s="1" t="s">
        <v>963</v>
      </c>
      <c r="E674" s="1" t="s">
        <v>3048</v>
      </c>
      <c r="F674" s="1" t="s">
        <v>112</v>
      </c>
      <c r="G674" s="1">
        <v>5467259</v>
      </c>
    </row>
    <row r="675" spans="1:10" x14ac:dyDescent="0.25">
      <c r="A675" s="1" t="str">
        <f t="shared" si="10"/>
        <v>09 17b estradiol 540 dopé</v>
      </c>
      <c r="B6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5" s="1" t="s">
        <v>3049</v>
      </c>
      <c r="D675" s="1" t="s">
        <v>2922</v>
      </c>
      <c r="E675" s="1" t="s">
        <v>3050</v>
      </c>
      <c r="F675" s="1" t="s">
        <v>112</v>
      </c>
      <c r="G675" s="1">
        <v>5223338</v>
      </c>
    </row>
    <row r="676" spans="1:10" x14ac:dyDescent="0.25">
      <c r="A676" s="1" t="str">
        <f t="shared" si="10"/>
        <v>09 17b estradiol 540 dopé</v>
      </c>
      <c r="B6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6" s="1" t="s">
        <v>3051</v>
      </c>
      <c r="D676" s="1" t="s">
        <v>1386</v>
      </c>
      <c r="E676" s="1" t="s">
        <v>3052</v>
      </c>
      <c r="F676" s="1" t="s">
        <v>112</v>
      </c>
      <c r="G676" s="1">
        <v>5203936</v>
      </c>
    </row>
    <row r="677" spans="1:10" x14ac:dyDescent="0.25">
      <c r="A677" s="1" t="str">
        <f t="shared" si="10"/>
        <v>09 17b estradiol 540 dopé</v>
      </c>
      <c r="B6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7" s="1" t="s">
        <v>3053</v>
      </c>
      <c r="D677" s="1" t="s">
        <v>3054</v>
      </c>
      <c r="E677" s="1" t="s">
        <v>3055</v>
      </c>
      <c r="F677" s="1" t="s">
        <v>112</v>
      </c>
      <c r="G677" s="1">
        <v>4026037</v>
      </c>
    </row>
    <row r="678" spans="1:10" x14ac:dyDescent="0.25">
      <c r="A678" s="1" t="str">
        <f t="shared" si="10"/>
        <v>09 17b estradiol 540 dopé</v>
      </c>
      <c r="B6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8" s="1" t="s">
        <v>3056</v>
      </c>
      <c r="D678" s="1" t="s">
        <v>3057</v>
      </c>
      <c r="E678" s="1" t="s">
        <v>3058</v>
      </c>
      <c r="F678" s="1" t="s">
        <v>112</v>
      </c>
      <c r="G678" s="1">
        <v>3994176</v>
      </c>
    </row>
    <row r="679" spans="1:10" x14ac:dyDescent="0.25">
      <c r="A679" s="1" t="str">
        <f t="shared" si="10"/>
        <v>09 17b estradiol 540 dopé</v>
      </c>
      <c r="B6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9" s="1" t="s">
        <v>3059</v>
      </c>
      <c r="D679" s="1" t="s">
        <v>2746</v>
      </c>
      <c r="E679" s="1" t="s">
        <v>3060</v>
      </c>
      <c r="F679" s="1" t="s">
        <v>112</v>
      </c>
      <c r="G679" s="1">
        <v>3959547</v>
      </c>
    </row>
    <row r="680" spans="1:10" x14ac:dyDescent="0.25">
      <c r="A680" s="1" t="str">
        <f t="shared" si="10"/>
        <v>09 17b estradiol 540 dopé</v>
      </c>
      <c r="B6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0" s="1" t="s">
        <v>3061</v>
      </c>
      <c r="D680" s="1" t="s">
        <v>3062</v>
      </c>
      <c r="E680" s="1" t="s">
        <v>3063</v>
      </c>
      <c r="F680" s="1" t="s">
        <v>112</v>
      </c>
      <c r="G680" s="1">
        <v>3821700</v>
      </c>
    </row>
    <row r="681" spans="1:10" x14ac:dyDescent="0.25">
      <c r="A681" s="1" t="str">
        <f t="shared" si="10"/>
        <v>09 17b estradiol 540 dopé</v>
      </c>
      <c r="B6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1" s="1" t="s">
        <v>3064</v>
      </c>
      <c r="D681" s="1" t="s">
        <v>3065</v>
      </c>
      <c r="E681" s="1" t="s">
        <v>3066</v>
      </c>
      <c r="F681" s="1" t="s">
        <v>112</v>
      </c>
      <c r="G681" s="1">
        <v>3479125</v>
      </c>
    </row>
    <row r="682" spans="1:10" x14ac:dyDescent="0.25">
      <c r="A682" s="1" t="str">
        <f t="shared" si="10"/>
        <v>09 17b estradiol 540 dopé</v>
      </c>
      <c r="B6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2" s="1" t="s">
        <v>3067</v>
      </c>
    </row>
    <row r="683" spans="1:10" x14ac:dyDescent="0.25">
      <c r="A683" s="1" t="str">
        <f t="shared" si="10"/>
        <v>09 17b estradiol 540 dopé</v>
      </c>
      <c r="B6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3" s="1" t="s">
        <v>3068</v>
      </c>
      <c r="D683" s="1" t="s">
        <v>3069</v>
      </c>
      <c r="E683" s="1" t="s">
        <v>3070</v>
      </c>
      <c r="F683" s="1" t="s">
        <v>112</v>
      </c>
      <c r="G683" s="1">
        <v>6893036</v>
      </c>
    </row>
    <row r="684" spans="1:10" x14ac:dyDescent="0.25">
      <c r="A684" s="1" t="str">
        <f t="shared" si="10"/>
        <v>09 17b estradiol 540 dopé</v>
      </c>
      <c r="B6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4" s="1" t="s">
        <v>3071</v>
      </c>
      <c r="D684" s="1" t="s">
        <v>3072</v>
      </c>
      <c r="E684" s="1" t="s">
        <v>3073</v>
      </c>
      <c r="F684" s="1" t="s">
        <v>112</v>
      </c>
      <c r="G684" s="1">
        <v>6565408</v>
      </c>
    </row>
    <row r="685" spans="1:10" x14ac:dyDescent="0.25">
      <c r="A685" s="1" t="str">
        <f t="shared" si="10"/>
        <v>09 17b estradiol 540 dopé</v>
      </c>
      <c r="B6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5" s="1" t="s">
        <v>3074</v>
      </c>
      <c r="D685" s="1" t="s">
        <v>3075</v>
      </c>
      <c r="E685" s="1" t="s">
        <v>3076</v>
      </c>
      <c r="F685" s="1" t="s">
        <v>112</v>
      </c>
      <c r="G685" s="1">
        <v>6758412</v>
      </c>
    </row>
    <row r="686" spans="1:10" x14ac:dyDescent="0.25">
      <c r="A686" s="1" t="str">
        <f t="shared" si="10"/>
        <v/>
      </c>
      <c r="B6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6" s="1" t="s">
        <v>112</v>
      </c>
    </row>
    <row r="687" spans="1:10" x14ac:dyDescent="0.25">
      <c r="A687" s="1" t="str">
        <f t="shared" si="10"/>
        <v/>
      </c>
      <c r="B6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7" s="1" t="s">
        <v>232</v>
      </c>
      <c r="D687" s="1" t="s">
        <v>112</v>
      </c>
      <c r="E687" s="1" t="s">
        <v>233</v>
      </c>
      <c r="F687" s="1" t="s">
        <v>234</v>
      </c>
      <c r="G687" s="1" t="s">
        <v>235</v>
      </c>
      <c r="H687" s="1" t="s">
        <v>236</v>
      </c>
      <c r="I687" s="1" t="s">
        <v>237</v>
      </c>
      <c r="J687" s="1" t="s">
        <v>238</v>
      </c>
    </row>
    <row r="688" spans="1:10" x14ac:dyDescent="0.25">
      <c r="A688" s="1" t="str">
        <f t="shared" si="10"/>
        <v>09 17b estradiol 540 dopé</v>
      </c>
      <c r="B6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88" s="1" t="s">
        <v>3077</v>
      </c>
      <c r="D688" s="1" t="s">
        <v>112</v>
      </c>
      <c r="E688" s="1" t="s">
        <v>3078</v>
      </c>
      <c r="F688" s="1" t="s">
        <v>3079</v>
      </c>
      <c r="G688" s="1" t="s">
        <v>3080</v>
      </c>
      <c r="H688" s="1" t="s">
        <v>3081</v>
      </c>
      <c r="I688" s="1">
        <v>24</v>
      </c>
      <c r="J688" s="1">
        <v>24</v>
      </c>
    </row>
    <row r="689" spans="1:3" x14ac:dyDescent="0.25">
      <c r="A689" s="1" t="str">
        <f t="shared" si="10"/>
        <v/>
      </c>
      <c r="B6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9" s="1" t="s">
        <v>112</v>
      </c>
    </row>
    <row r="690" spans="1:3" x14ac:dyDescent="0.25">
      <c r="A690" s="1" t="str">
        <f t="shared" si="10"/>
        <v/>
      </c>
      <c r="B6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0" s="1" t="s">
        <v>112</v>
      </c>
    </row>
    <row r="691" spans="1:3" x14ac:dyDescent="0.25">
      <c r="A691" s="1" t="str">
        <f t="shared" si="10"/>
        <v/>
      </c>
      <c r="B6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1" s="1" t="s">
        <v>112</v>
      </c>
    </row>
    <row r="692" spans="1:3" x14ac:dyDescent="0.25">
      <c r="A692" s="1" t="str">
        <f t="shared" si="10"/>
        <v/>
      </c>
      <c r="B6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2" s="1" t="s">
        <v>112</v>
      </c>
    </row>
    <row r="693" spans="1:3" x14ac:dyDescent="0.25">
      <c r="A693" s="1" t="str">
        <f t="shared" si="10"/>
        <v/>
      </c>
      <c r="B6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3" s="1" t="s">
        <v>112</v>
      </c>
    </row>
    <row r="694" spans="1:3" x14ac:dyDescent="0.25">
      <c r="A694" s="1" t="str">
        <f t="shared" si="10"/>
        <v/>
      </c>
      <c r="B6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5" spans="1:3" x14ac:dyDescent="0.25">
      <c r="A695" s="1" t="str">
        <f t="shared" si="10"/>
        <v/>
      </c>
      <c r="B6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6" spans="1:3" x14ac:dyDescent="0.25">
      <c r="A696" s="1" t="str">
        <f t="shared" si="10"/>
        <v/>
      </c>
      <c r="B6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7" spans="1:3" x14ac:dyDescent="0.25">
      <c r="A697" s="1" t="str">
        <f t="shared" si="10"/>
        <v/>
      </c>
      <c r="B6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8" spans="1:3" x14ac:dyDescent="0.25">
      <c r="A698" s="1" t="str">
        <f t="shared" si="10"/>
        <v/>
      </c>
      <c r="B6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9" spans="1:3" x14ac:dyDescent="0.25">
      <c r="A699" s="1" t="str">
        <f t="shared" si="10"/>
        <v/>
      </c>
      <c r="B6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0" spans="1:3" x14ac:dyDescent="0.25">
      <c r="A700" s="1" t="str">
        <f t="shared" si="10"/>
        <v/>
      </c>
      <c r="B7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1" spans="1:3" x14ac:dyDescent="0.25">
      <c r="A701" s="1" t="str">
        <f t="shared" si="10"/>
        <v/>
      </c>
      <c r="B7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2" spans="1:3" x14ac:dyDescent="0.25">
      <c r="A702" s="1" t="str">
        <f t="shared" si="10"/>
        <v/>
      </c>
      <c r="B7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3" spans="1:3" x14ac:dyDescent="0.25">
      <c r="A703" s="1" t="str">
        <f t="shared" si="10"/>
        <v/>
      </c>
      <c r="B7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4" spans="1:3" x14ac:dyDescent="0.25">
      <c r="A704" s="1" t="str">
        <f t="shared" si="10"/>
        <v/>
      </c>
      <c r="B7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5" spans="1:2" x14ac:dyDescent="0.25">
      <c r="A705" s="1" t="str">
        <f t="shared" si="10"/>
        <v/>
      </c>
      <c r="B7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6" spans="1:2" x14ac:dyDescent="0.25">
      <c r="A706" s="1" t="str">
        <f t="shared" ref="A706:A769" si="11">IFERROR(LEFT(RIGHT(C706,LEN(C706)-SEARCH("@",C706)),SEARCH("/",RIGHT(C706,LEN(C706)-SEARCH("@",C706)-1))),"")</f>
        <v/>
      </c>
      <c r="B7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7" spans="1:2" x14ac:dyDescent="0.25">
      <c r="A707" s="1" t="str">
        <f t="shared" si="11"/>
        <v/>
      </c>
      <c r="B7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8" spans="1:2" x14ac:dyDescent="0.25">
      <c r="A708" s="1" t="str">
        <f t="shared" si="11"/>
        <v/>
      </c>
      <c r="B7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9" spans="1:2" x14ac:dyDescent="0.25">
      <c r="A709" s="1" t="str">
        <f t="shared" si="11"/>
        <v/>
      </c>
      <c r="B7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0" spans="1:2" x14ac:dyDescent="0.25">
      <c r="A710" s="1" t="str">
        <f t="shared" si="11"/>
        <v/>
      </c>
      <c r="B7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1" spans="1:2" x14ac:dyDescent="0.25">
      <c r="A711" s="1" t="str">
        <f t="shared" si="11"/>
        <v/>
      </c>
      <c r="B7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2" spans="1:2" x14ac:dyDescent="0.25">
      <c r="A712" s="1" t="str">
        <f t="shared" si="11"/>
        <v/>
      </c>
      <c r="B7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3" spans="1:2" x14ac:dyDescent="0.25">
      <c r="A713" s="1" t="str">
        <f t="shared" si="11"/>
        <v/>
      </c>
      <c r="B7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4" spans="1:2" x14ac:dyDescent="0.25">
      <c r="A714" s="1" t="str">
        <f t="shared" si="11"/>
        <v/>
      </c>
      <c r="B7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5" spans="1:2" x14ac:dyDescent="0.25">
      <c r="A715" s="1" t="str">
        <f t="shared" si="11"/>
        <v/>
      </c>
      <c r="B7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6" spans="1:2" x14ac:dyDescent="0.25">
      <c r="A716" s="1" t="str">
        <f t="shared" si="11"/>
        <v/>
      </c>
      <c r="B7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7" spans="1:2" x14ac:dyDescent="0.25">
      <c r="A717" s="1" t="str">
        <f t="shared" si="11"/>
        <v/>
      </c>
      <c r="B7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8" spans="1:2" x14ac:dyDescent="0.25">
      <c r="A718" s="1" t="str">
        <f t="shared" si="11"/>
        <v/>
      </c>
      <c r="B7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9" spans="1:2" x14ac:dyDescent="0.25">
      <c r="A719" s="1" t="str">
        <f t="shared" si="11"/>
        <v/>
      </c>
      <c r="B7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0" spans="1:2" x14ac:dyDescent="0.25">
      <c r="A720" s="1" t="str">
        <f t="shared" si="11"/>
        <v/>
      </c>
      <c r="B7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1" spans="1:2" x14ac:dyDescent="0.25">
      <c r="A721" s="1" t="str">
        <f t="shared" si="11"/>
        <v/>
      </c>
      <c r="B7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2" spans="1:2" x14ac:dyDescent="0.25">
      <c r="A722" s="1" t="str">
        <f t="shared" si="11"/>
        <v/>
      </c>
      <c r="B7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3" spans="1:2" x14ac:dyDescent="0.25">
      <c r="A723" s="1" t="str">
        <f t="shared" si="11"/>
        <v/>
      </c>
      <c r="B7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4" spans="1:2" x14ac:dyDescent="0.25">
      <c r="A724" s="1" t="str">
        <f t="shared" si="11"/>
        <v/>
      </c>
      <c r="B7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5" spans="1:2" x14ac:dyDescent="0.25">
      <c r="A725" s="1" t="str">
        <f t="shared" si="11"/>
        <v/>
      </c>
      <c r="B7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6" spans="1:2" x14ac:dyDescent="0.25">
      <c r="A726" s="1" t="str">
        <f t="shared" si="11"/>
        <v/>
      </c>
      <c r="B7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7" spans="1:2" x14ac:dyDescent="0.25">
      <c r="A727" s="1" t="str">
        <f t="shared" si="11"/>
        <v/>
      </c>
      <c r="B7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8" spans="1:2" x14ac:dyDescent="0.25">
      <c r="A728" s="1" t="str">
        <f t="shared" si="11"/>
        <v/>
      </c>
      <c r="B7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9" spans="1:2" x14ac:dyDescent="0.25">
      <c r="A729" s="1" t="str">
        <f t="shared" si="11"/>
        <v/>
      </c>
      <c r="B7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0" spans="1:2" x14ac:dyDescent="0.25">
      <c r="A730" s="1" t="str">
        <f t="shared" si="11"/>
        <v/>
      </c>
      <c r="B7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1" spans="1:2" x14ac:dyDescent="0.25">
      <c r="A731" s="1" t="str">
        <f t="shared" si="11"/>
        <v/>
      </c>
      <c r="B7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2" spans="1:2" x14ac:dyDescent="0.25">
      <c r="A732" s="1" t="str">
        <f t="shared" si="11"/>
        <v/>
      </c>
      <c r="B7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3" spans="1:2" x14ac:dyDescent="0.25">
      <c r="A733" s="1" t="str">
        <f t="shared" si="11"/>
        <v/>
      </c>
      <c r="B7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4" spans="1:2" x14ac:dyDescent="0.25">
      <c r="A734" s="1" t="str">
        <f t="shared" si="11"/>
        <v/>
      </c>
      <c r="B7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5" spans="1:2" x14ac:dyDescent="0.25">
      <c r="A735" s="1" t="str">
        <f t="shared" si="11"/>
        <v/>
      </c>
      <c r="B7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6" spans="1:2" x14ac:dyDescent="0.25">
      <c r="A736" s="1" t="str">
        <f t="shared" si="11"/>
        <v/>
      </c>
      <c r="B7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7" spans="1:2" x14ac:dyDescent="0.25">
      <c r="A737" s="1" t="str">
        <f t="shared" si="11"/>
        <v/>
      </c>
      <c r="B7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8" spans="1:2" x14ac:dyDescent="0.25">
      <c r="A738" s="1" t="str">
        <f t="shared" si="11"/>
        <v/>
      </c>
      <c r="B7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9" spans="1:2" x14ac:dyDescent="0.25">
      <c r="A739" s="1" t="str">
        <f t="shared" si="11"/>
        <v/>
      </c>
      <c r="B7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0" spans="1:2" x14ac:dyDescent="0.25">
      <c r="A740" s="1" t="str">
        <f t="shared" si="11"/>
        <v/>
      </c>
      <c r="B7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1" spans="1:2" x14ac:dyDescent="0.25">
      <c r="A741" s="1" t="str">
        <f t="shared" si="11"/>
        <v/>
      </c>
      <c r="B7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2" spans="1:2" x14ac:dyDescent="0.25">
      <c r="A742" s="1" t="str">
        <f t="shared" si="11"/>
        <v/>
      </c>
      <c r="B7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3" spans="1:2" x14ac:dyDescent="0.25">
      <c r="A743" s="1" t="str">
        <f t="shared" si="11"/>
        <v/>
      </c>
      <c r="B7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4" spans="1:2" x14ac:dyDescent="0.25">
      <c r="A744" s="1" t="str">
        <f t="shared" si="11"/>
        <v/>
      </c>
      <c r="B7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5" spans="1:2" x14ac:dyDescent="0.25">
      <c r="A745" s="1" t="str">
        <f t="shared" si="11"/>
        <v/>
      </c>
      <c r="B7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6" spans="1:2" x14ac:dyDescent="0.25">
      <c r="A746" s="1" t="str">
        <f t="shared" si="11"/>
        <v/>
      </c>
      <c r="B7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7" spans="1:2" x14ac:dyDescent="0.25">
      <c r="A747" s="1" t="str">
        <f t="shared" si="11"/>
        <v/>
      </c>
      <c r="B7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8" spans="1:2" x14ac:dyDescent="0.25">
      <c r="A748" s="1" t="str">
        <f t="shared" si="11"/>
        <v/>
      </c>
      <c r="B7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9" spans="1:2" x14ac:dyDescent="0.25">
      <c r="A749" s="1" t="str">
        <f t="shared" si="11"/>
        <v/>
      </c>
      <c r="B7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0" spans="1:2" x14ac:dyDescent="0.25">
      <c r="A750" s="1" t="str">
        <f t="shared" si="11"/>
        <v/>
      </c>
      <c r="B7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1" spans="1:2" x14ac:dyDescent="0.25">
      <c r="A751" s="1" t="str">
        <f t="shared" si="11"/>
        <v/>
      </c>
      <c r="B7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2" spans="1:2" x14ac:dyDescent="0.25">
      <c r="A752" s="1" t="str">
        <f t="shared" si="11"/>
        <v/>
      </c>
      <c r="B7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3" spans="1:2" x14ac:dyDescent="0.25">
      <c r="A753" s="1" t="str">
        <f t="shared" si="11"/>
        <v/>
      </c>
      <c r="B7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4" spans="1:2" x14ac:dyDescent="0.25">
      <c r="A754" s="1" t="str">
        <f t="shared" si="11"/>
        <v/>
      </c>
      <c r="B7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5" spans="1:2" x14ac:dyDescent="0.25">
      <c r="A755" s="1" t="str">
        <f t="shared" si="11"/>
        <v/>
      </c>
      <c r="B7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6" spans="1:2" x14ac:dyDescent="0.25">
      <c r="A756" s="1" t="str">
        <f t="shared" si="11"/>
        <v/>
      </c>
      <c r="B7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7" spans="1:2" x14ac:dyDescent="0.25">
      <c r="A757" s="1" t="str">
        <f t="shared" si="11"/>
        <v/>
      </c>
      <c r="B7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8" spans="1:2" x14ac:dyDescent="0.25">
      <c r="A758" s="1" t="str">
        <f t="shared" si="11"/>
        <v/>
      </c>
      <c r="B7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9" spans="1:2" x14ac:dyDescent="0.25">
      <c r="A759" s="1" t="str">
        <f t="shared" si="11"/>
        <v/>
      </c>
      <c r="B7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0" spans="1:2" x14ac:dyDescent="0.25">
      <c r="A760" s="1" t="str">
        <f t="shared" si="11"/>
        <v/>
      </c>
      <c r="B7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1" spans="1:2" x14ac:dyDescent="0.25">
      <c r="A761" s="1" t="str">
        <f t="shared" si="11"/>
        <v/>
      </c>
      <c r="B7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2" spans="1:2" x14ac:dyDescent="0.25">
      <c r="A762" s="1" t="str">
        <f t="shared" si="11"/>
        <v/>
      </c>
      <c r="B7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3" spans="1:2" x14ac:dyDescent="0.25">
      <c r="A763" s="1" t="str">
        <f t="shared" si="11"/>
        <v/>
      </c>
      <c r="B7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4" spans="1:2" x14ac:dyDescent="0.25">
      <c r="A764" s="1" t="str">
        <f t="shared" si="11"/>
        <v/>
      </c>
      <c r="B7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5" spans="1:2" x14ac:dyDescent="0.25">
      <c r="A765" s="1" t="str">
        <f t="shared" si="11"/>
        <v/>
      </c>
      <c r="B7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6" spans="1:2" x14ac:dyDescent="0.25">
      <c r="A766" s="1" t="str">
        <f t="shared" si="11"/>
        <v/>
      </c>
      <c r="B7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7" spans="1:2" x14ac:dyDescent="0.25">
      <c r="A767" s="1" t="str">
        <f t="shared" si="11"/>
        <v/>
      </c>
      <c r="B7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8" spans="1:2" x14ac:dyDescent="0.25">
      <c r="A768" s="1" t="str">
        <f t="shared" si="11"/>
        <v/>
      </c>
      <c r="B7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9" spans="1:2" x14ac:dyDescent="0.25">
      <c r="A769" s="1" t="str">
        <f t="shared" si="11"/>
        <v/>
      </c>
      <c r="B7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0" spans="1:2" x14ac:dyDescent="0.25">
      <c r="A770" s="1" t="str">
        <f t="shared" ref="A770:A833" si="12">IFERROR(LEFT(RIGHT(C770,LEN(C770)-SEARCH("@",C770)),SEARCH("/",RIGHT(C770,LEN(C770)-SEARCH("@",C770)-1))),"")</f>
        <v/>
      </c>
      <c r="B7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1" spans="1:2" x14ac:dyDescent="0.25">
      <c r="A771" s="1" t="str">
        <f t="shared" si="12"/>
        <v/>
      </c>
      <c r="B7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2" spans="1:2" x14ac:dyDescent="0.25">
      <c r="A772" s="1" t="str">
        <f t="shared" si="12"/>
        <v/>
      </c>
      <c r="B7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3" spans="1:2" x14ac:dyDescent="0.25">
      <c r="A773" s="1" t="str">
        <f t="shared" si="12"/>
        <v/>
      </c>
      <c r="B7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4" spans="1:2" x14ac:dyDescent="0.25">
      <c r="A774" s="1" t="str">
        <f t="shared" si="12"/>
        <v/>
      </c>
      <c r="B7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5" spans="1:2" x14ac:dyDescent="0.25">
      <c r="A775" s="1" t="str">
        <f t="shared" si="12"/>
        <v/>
      </c>
      <c r="B7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6" spans="1:2" x14ac:dyDescent="0.25">
      <c r="A776" s="1" t="str">
        <f t="shared" si="12"/>
        <v/>
      </c>
      <c r="B7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7" spans="1:2" x14ac:dyDescent="0.25">
      <c r="A777" s="1" t="str">
        <f t="shared" si="12"/>
        <v/>
      </c>
      <c r="B7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8" spans="1:2" x14ac:dyDescent="0.25">
      <c r="A778" s="1" t="str">
        <f t="shared" si="12"/>
        <v/>
      </c>
      <c r="B7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9" spans="1:2" x14ac:dyDescent="0.25">
      <c r="A779" s="1" t="str">
        <f t="shared" si="12"/>
        <v/>
      </c>
      <c r="B7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0" spans="1:2" x14ac:dyDescent="0.25">
      <c r="A780" s="1" t="str">
        <f t="shared" si="12"/>
        <v/>
      </c>
      <c r="B7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1" spans="1:2" x14ac:dyDescent="0.25">
      <c r="A781" s="1" t="str">
        <f t="shared" si="12"/>
        <v/>
      </c>
      <c r="B7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2" spans="1:2" x14ac:dyDescent="0.25">
      <c r="A782" s="1" t="str">
        <f t="shared" si="12"/>
        <v/>
      </c>
      <c r="B7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3" spans="1:2" x14ac:dyDescent="0.25">
      <c r="A783" s="1" t="str">
        <f t="shared" si="12"/>
        <v/>
      </c>
      <c r="B7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4" spans="1:2" x14ac:dyDescent="0.25">
      <c r="A784" s="1" t="str">
        <f t="shared" si="12"/>
        <v/>
      </c>
      <c r="B7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5" spans="1:2" x14ac:dyDescent="0.25">
      <c r="A785" s="1" t="str">
        <f t="shared" si="12"/>
        <v/>
      </c>
      <c r="B7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6" spans="1:2" x14ac:dyDescent="0.25">
      <c r="A786" s="1" t="str">
        <f t="shared" si="12"/>
        <v/>
      </c>
      <c r="B7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7" spans="1:2" x14ac:dyDescent="0.25">
      <c r="A787" s="1" t="str">
        <f t="shared" si="12"/>
        <v/>
      </c>
      <c r="B7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8" spans="1:2" x14ac:dyDescent="0.25">
      <c r="A788" s="1" t="str">
        <f t="shared" si="12"/>
        <v/>
      </c>
      <c r="B7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9" spans="1:2" x14ac:dyDescent="0.25">
      <c r="A789" s="1" t="str">
        <f t="shared" si="12"/>
        <v/>
      </c>
      <c r="B7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0" spans="1:2" x14ac:dyDescent="0.25">
      <c r="A790" s="1" t="str">
        <f t="shared" si="12"/>
        <v/>
      </c>
      <c r="B7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1" spans="1:2" x14ac:dyDescent="0.25">
      <c r="A791" s="1" t="str">
        <f t="shared" si="12"/>
        <v/>
      </c>
      <c r="B7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2" spans="1:2" x14ac:dyDescent="0.25">
      <c r="A792" s="1" t="str">
        <f t="shared" si="12"/>
        <v/>
      </c>
      <c r="B7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3" spans="1:2" x14ac:dyDescent="0.25">
      <c r="A793" s="1" t="str">
        <f t="shared" si="12"/>
        <v/>
      </c>
      <c r="B7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4" spans="1:2" x14ac:dyDescent="0.25">
      <c r="A794" s="1" t="str">
        <f t="shared" si="12"/>
        <v/>
      </c>
      <c r="B7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5" spans="1:2" x14ac:dyDescent="0.25">
      <c r="A795" s="1" t="str">
        <f t="shared" si="12"/>
        <v/>
      </c>
      <c r="B7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6" spans="1:2" x14ac:dyDescent="0.25">
      <c r="A796" s="1" t="str">
        <f t="shared" si="12"/>
        <v/>
      </c>
      <c r="B7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7" spans="1:2" x14ac:dyDescent="0.25">
      <c r="A797" s="1" t="str">
        <f t="shared" si="12"/>
        <v/>
      </c>
      <c r="B7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8" spans="1:2" x14ac:dyDescent="0.25">
      <c r="A798" s="1" t="str">
        <f t="shared" si="12"/>
        <v/>
      </c>
      <c r="B7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9" spans="1:2" x14ac:dyDescent="0.25">
      <c r="A799" s="1" t="str">
        <f t="shared" si="12"/>
        <v/>
      </c>
      <c r="B7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0" spans="1:2" x14ac:dyDescent="0.25">
      <c r="A800" s="1" t="str">
        <f t="shared" si="12"/>
        <v/>
      </c>
      <c r="B8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1" spans="1:2" x14ac:dyDescent="0.25">
      <c r="A801" s="1" t="str">
        <f t="shared" si="12"/>
        <v/>
      </c>
      <c r="B8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2" spans="1:2" x14ac:dyDescent="0.25">
      <c r="A802" s="1" t="str">
        <f t="shared" si="12"/>
        <v/>
      </c>
      <c r="B8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3" spans="1:2" x14ac:dyDescent="0.25">
      <c r="A803" s="1" t="str">
        <f t="shared" si="12"/>
        <v/>
      </c>
      <c r="B8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4" spans="1:2" x14ac:dyDescent="0.25">
      <c r="A804" s="1" t="str">
        <f t="shared" si="12"/>
        <v/>
      </c>
      <c r="B8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5" spans="1:2" x14ac:dyDescent="0.25">
      <c r="A805" s="1" t="str">
        <f t="shared" si="12"/>
        <v/>
      </c>
      <c r="B8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6" spans="1:2" x14ac:dyDescent="0.25">
      <c r="A806" s="1" t="str">
        <f t="shared" si="12"/>
        <v/>
      </c>
      <c r="B8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7" spans="1:2" x14ac:dyDescent="0.25">
      <c r="A807" s="1" t="str">
        <f t="shared" si="12"/>
        <v/>
      </c>
      <c r="B8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8" spans="1:2" x14ac:dyDescent="0.25">
      <c r="A808" s="1" t="str">
        <f t="shared" si="12"/>
        <v/>
      </c>
      <c r="B8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9" spans="1:2" x14ac:dyDescent="0.25">
      <c r="A809" s="1" t="str">
        <f t="shared" si="12"/>
        <v/>
      </c>
      <c r="B8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0" spans="1:2" x14ac:dyDescent="0.25">
      <c r="A810" s="1" t="str">
        <f t="shared" si="12"/>
        <v/>
      </c>
      <c r="B8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1" spans="1:2" x14ac:dyDescent="0.25">
      <c r="A811" s="1" t="str">
        <f t="shared" si="12"/>
        <v/>
      </c>
      <c r="B8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2" spans="1:2" x14ac:dyDescent="0.25">
      <c r="A812" s="1" t="str">
        <f t="shared" si="12"/>
        <v/>
      </c>
      <c r="B8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3" spans="1:2" x14ac:dyDescent="0.25">
      <c r="A813" s="1" t="str">
        <f t="shared" si="12"/>
        <v/>
      </c>
      <c r="B8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4" spans="1:2" x14ac:dyDescent="0.25">
      <c r="A814" s="1" t="str">
        <f t="shared" si="12"/>
        <v/>
      </c>
      <c r="B8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5" spans="1:2" x14ac:dyDescent="0.25">
      <c r="A815" s="1" t="str">
        <f t="shared" si="12"/>
        <v/>
      </c>
      <c r="B8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6" spans="1:2" x14ac:dyDescent="0.25">
      <c r="A816" s="1" t="str">
        <f t="shared" si="12"/>
        <v/>
      </c>
      <c r="B8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7" spans="1:2" x14ac:dyDescent="0.25">
      <c r="A817" s="1" t="str">
        <f t="shared" si="12"/>
        <v/>
      </c>
      <c r="B8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8" spans="1:2" x14ac:dyDescent="0.25">
      <c r="A818" s="1" t="str">
        <f t="shared" si="12"/>
        <v/>
      </c>
      <c r="B8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9" spans="1:2" x14ac:dyDescent="0.25">
      <c r="A819" s="1" t="str">
        <f t="shared" si="12"/>
        <v/>
      </c>
      <c r="B8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0" spans="1:2" x14ac:dyDescent="0.25">
      <c r="A820" s="1" t="str">
        <f t="shared" si="12"/>
        <v/>
      </c>
      <c r="B8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1" spans="1:2" x14ac:dyDescent="0.25">
      <c r="A821" s="1" t="str">
        <f t="shared" si="12"/>
        <v/>
      </c>
      <c r="B8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2" spans="1:2" x14ac:dyDescent="0.25">
      <c r="A822" s="1" t="str">
        <f t="shared" si="12"/>
        <v/>
      </c>
      <c r="B8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3" spans="1:2" x14ac:dyDescent="0.25">
      <c r="A823" s="1" t="str">
        <f t="shared" si="12"/>
        <v/>
      </c>
      <c r="B8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4" spans="1:2" x14ac:dyDescent="0.25">
      <c r="A824" s="1" t="str">
        <f t="shared" si="12"/>
        <v/>
      </c>
      <c r="B8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5" spans="1:2" x14ac:dyDescent="0.25">
      <c r="A825" s="1" t="str">
        <f t="shared" si="12"/>
        <v/>
      </c>
      <c r="B8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6" spans="1:2" x14ac:dyDescent="0.25">
      <c r="A826" s="1" t="str">
        <f t="shared" si="12"/>
        <v/>
      </c>
      <c r="B8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7" spans="1:2" x14ac:dyDescent="0.25">
      <c r="A827" s="1" t="str">
        <f t="shared" si="12"/>
        <v/>
      </c>
      <c r="B8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8" spans="1:2" x14ac:dyDescent="0.25">
      <c r="A828" s="1" t="str">
        <f t="shared" si="12"/>
        <v/>
      </c>
      <c r="B8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9" spans="1:2" x14ac:dyDescent="0.25">
      <c r="A829" s="1" t="str">
        <f t="shared" si="12"/>
        <v/>
      </c>
      <c r="B8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0" spans="1:2" x14ac:dyDescent="0.25">
      <c r="A830" s="1" t="str">
        <f t="shared" si="12"/>
        <v/>
      </c>
      <c r="B8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1" spans="1:2" x14ac:dyDescent="0.25">
      <c r="A831" s="1" t="str">
        <f t="shared" si="12"/>
        <v/>
      </c>
      <c r="B8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2" spans="1:2" x14ac:dyDescent="0.25">
      <c r="A832" s="1" t="str">
        <f t="shared" si="12"/>
        <v/>
      </c>
      <c r="B8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3" spans="1:2" x14ac:dyDescent="0.25">
      <c r="A833" s="1" t="str">
        <f t="shared" si="12"/>
        <v/>
      </c>
      <c r="B8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4" spans="1:2" x14ac:dyDescent="0.25">
      <c r="A834" s="1" t="str">
        <f t="shared" ref="A834:A897" si="13">IFERROR(LEFT(RIGHT(C834,LEN(C834)-SEARCH("@",C834)),SEARCH("/",RIGHT(C834,LEN(C834)-SEARCH("@",C834)-1))),"")</f>
        <v/>
      </c>
      <c r="B8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5" spans="1:2" x14ac:dyDescent="0.25">
      <c r="A835" s="1" t="str">
        <f t="shared" si="13"/>
        <v/>
      </c>
      <c r="B8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6" spans="1:2" x14ac:dyDescent="0.25">
      <c r="A836" s="1" t="str">
        <f t="shared" si="13"/>
        <v/>
      </c>
      <c r="B8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7" spans="1:2" x14ac:dyDescent="0.25">
      <c r="A837" s="1" t="str">
        <f t="shared" si="13"/>
        <v/>
      </c>
      <c r="B8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8" spans="1:2" x14ac:dyDescent="0.25">
      <c r="A838" s="1" t="str">
        <f t="shared" si="13"/>
        <v/>
      </c>
      <c r="B8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9" spans="1:2" x14ac:dyDescent="0.25">
      <c r="A839" s="1" t="str">
        <f t="shared" si="13"/>
        <v/>
      </c>
      <c r="B8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0" spans="1:2" x14ac:dyDescent="0.25">
      <c r="A840" s="1" t="str">
        <f t="shared" si="13"/>
        <v/>
      </c>
      <c r="B8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1" spans="1:2" x14ac:dyDescent="0.25">
      <c r="A841" s="1" t="str">
        <f t="shared" si="13"/>
        <v/>
      </c>
      <c r="B8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2" spans="1:2" x14ac:dyDescent="0.25">
      <c r="A842" s="1" t="str">
        <f t="shared" si="13"/>
        <v/>
      </c>
      <c r="B8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3" spans="1:2" x14ac:dyDescent="0.25">
      <c r="A843" s="1" t="str">
        <f t="shared" si="13"/>
        <v/>
      </c>
      <c r="B8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4" spans="1:2" x14ac:dyDescent="0.25">
      <c r="A844" s="1" t="str">
        <f t="shared" si="13"/>
        <v/>
      </c>
      <c r="B8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5" spans="1:2" x14ac:dyDescent="0.25">
      <c r="A845" s="1" t="str">
        <f t="shared" si="13"/>
        <v/>
      </c>
      <c r="B8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6" spans="1:2" x14ac:dyDescent="0.25">
      <c r="A846" s="1" t="str">
        <f t="shared" si="13"/>
        <v/>
      </c>
      <c r="B8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7" spans="1:2" x14ac:dyDescent="0.25">
      <c r="A847" s="1" t="str">
        <f t="shared" si="13"/>
        <v/>
      </c>
      <c r="B8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8" spans="1:2" x14ac:dyDescent="0.25">
      <c r="A848" s="1" t="str">
        <f t="shared" si="13"/>
        <v/>
      </c>
      <c r="B8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9" spans="1:2" x14ac:dyDescent="0.25">
      <c r="A849" s="1" t="str">
        <f t="shared" si="13"/>
        <v/>
      </c>
      <c r="B8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0" spans="1:2" x14ac:dyDescent="0.25">
      <c r="A850" s="1" t="str">
        <f t="shared" si="13"/>
        <v/>
      </c>
      <c r="B8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1" spans="1:2" x14ac:dyDescent="0.25">
      <c r="A851" s="1" t="str">
        <f t="shared" si="13"/>
        <v/>
      </c>
      <c r="B8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2" spans="1:2" x14ac:dyDescent="0.25">
      <c r="A852" s="1" t="str">
        <f t="shared" si="13"/>
        <v/>
      </c>
      <c r="B8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3" spans="1:2" x14ac:dyDescent="0.25">
      <c r="A853" s="1" t="str">
        <f t="shared" si="13"/>
        <v/>
      </c>
      <c r="B8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4" spans="1:2" x14ac:dyDescent="0.25">
      <c r="A854" s="1" t="str">
        <f t="shared" si="13"/>
        <v/>
      </c>
      <c r="B8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5" spans="1:2" x14ac:dyDescent="0.25">
      <c r="A855" s="1" t="str">
        <f t="shared" si="13"/>
        <v/>
      </c>
      <c r="B8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6" spans="1:2" x14ac:dyDescent="0.25">
      <c r="A856" s="1" t="str">
        <f t="shared" si="13"/>
        <v/>
      </c>
      <c r="B8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7" spans="1:2" x14ac:dyDescent="0.25">
      <c r="A857" s="1" t="str">
        <f t="shared" si="13"/>
        <v/>
      </c>
      <c r="B8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8" spans="1:2" x14ac:dyDescent="0.25">
      <c r="A858" s="1" t="str">
        <f t="shared" si="13"/>
        <v/>
      </c>
      <c r="B8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9" spans="1:2" x14ac:dyDescent="0.25">
      <c r="A859" s="1" t="str">
        <f t="shared" si="13"/>
        <v/>
      </c>
      <c r="B8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0" spans="1:2" x14ac:dyDescent="0.25">
      <c r="A860" s="1" t="str">
        <f t="shared" si="13"/>
        <v/>
      </c>
      <c r="B8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1" spans="1:2" x14ac:dyDescent="0.25">
      <c r="A861" s="1" t="str">
        <f t="shared" si="13"/>
        <v/>
      </c>
      <c r="B8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2" spans="1:2" x14ac:dyDescent="0.25">
      <c r="A862" s="1" t="str">
        <f t="shared" si="13"/>
        <v/>
      </c>
      <c r="B8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3" spans="1:2" x14ac:dyDescent="0.25">
      <c r="A863" s="1" t="str">
        <f t="shared" si="13"/>
        <v/>
      </c>
      <c r="B8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4" spans="1:2" x14ac:dyDescent="0.25">
      <c r="A864" s="1" t="str">
        <f t="shared" si="13"/>
        <v/>
      </c>
      <c r="B8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5" spans="1:2" x14ac:dyDescent="0.25">
      <c r="A865" s="1" t="str">
        <f t="shared" si="13"/>
        <v/>
      </c>
      <c r="B8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6" spans="1:2" x14ac:dyDescent="0.25">
      <c r="A866" s="1" t="str">
        <f t="shared" si="13"/>
        <v/>
      </c>
      <c r="B8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7" spans="1:2" x14ac:dyDescent="0.25">
      <c r="A867" s="1" t="str">
        <f t="shared" si="13"/>
        <v/>
      </c>
      <c r="B8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8" spans="1:2" x14ac:dyDescent="0.25">
      <c r="A868" s="1" t="str">
        <f t="shared" si="13"/>
        <v/>
      </c>
      <c r="B8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9" spans="1:2" x14ac:dyDescent="0.25">
      <c r="A869" s="1" t="str">
        <f t="shared" si="13"/>
        <v/>
      </c>
      <c r="B8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0" spans="1:2" x14ac:dyDescent="0.25">
      <c r="A870" s="1" t="str">
        <f t="shared" si="13"/>
        <v/>
      </c>
      <c r="B8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1" spans="1:2" x14ac:dyDescent="0.25">
      <c r="A871" s="1" t="str">
        <f t="shared" si="13"/>
        <v/>
      </c>
      <c r="B8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2" spans="1:2" x14ac:dyDescent="0.25">
      <c r="A872" s="1" t="str">
        <f t="shared" si="13"/>
        <v/>
      </c>
      <c r="B8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3" spans="1:2" x14ac:dyDescent="0.25">
      <c r="A873" s="1" t="str">
        <f t="shared" si="13"/>
        <v/>
      </c>
      <c r="B8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4" spans="1:2" x14ac:dyDescent="0.25">
      <c r="A874" s="1" t="str">
        <f t="shared" si="13"/>
        <v/>
      </c>
      <c r="B8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5" spans="1:2" x14ac:dyDescent="0.25">
      <c r="A875" s="1" t="str">
        <f t="shared" si="13"/>
        <v/>
      </c>
      <c r="B8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6" spans="1:2" x14ac:dyDescent="0.25">
      <c r="A876" s="1" t="str">
        <f t="shared" si="13"/>
        <v/>
      </c>
      <c r="B8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7" spans="1:2" x14ac:dyDescent="0.25">
      <c r="A877" s="1" t="str">
        <f t="shared" si="13"/>
        <v/>
      </c>
      <c r="B8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8" spans="1:2" x14ac:dyDescent="0.25">
      <c r="A878" s="1" t="str">
        <f t="shared" si="13"/>
        <v/>
      </c>
      <c r="B8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9" spans="1:2" x14ac:dyDescent="0.25">
      <c r="A879" s="1" t="str">
        <f t="shared" si="13"/>
        <v/>
      </c>
      <c r="B8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0" spans="1:2" x14ac:dyDescent="0.25">
      <c r="A880" s="1" t="str">
        <f t="shared" si="13"/>
        <v/>
      </c>
      <c r="B8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1" spans="1:2" x14ac:dyDescent="0.25">
      <c r="A881" s="1" t="str">
        <f t="shared" si="13"/>
        <v/>
      </c>
      <c r="B8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2" spans="1:2" x14ac:dyDescent="0.25">
      <c r="A882" s="1" t="str">
        <f t="shared" si="13"/>
        <v/>
      </c>
      <c r="B8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3" spans="1:2" x14ac:dyDescent="0.25">
      <c r="A883" s="1" t="str">
        <f t="shared" si="13"/>
        <v/>
      </c>
      <c r="B8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4" spans="1:2" x14ac:dyDescent="0.25">
      <c r="A884" s="1" t="str">
        <f t="shared" si="13"/>
        <v/>
      </c>
      <c r="B8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5" spans="1:2" x14ac:dyDescent="0.25">
      <c r="A885" s="1" t="str">
        <f t="shared" si="13"/>
        <v/>
      </c>
      <c r="B8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6" spans="1:2" x14ac:dyDescent="0.25">
      <c r="A886" s="1" t="str">
        <f t="shared" si="13"/>
        <v/>
      </c>
      <c r="B8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7" spans="1:2" x14ac:dyDescent="0.25">
      <c r="A887" s="1" t="str">
        <f t="shared" si="13"/>
        <v/>
      </c>
      <c r="B8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8" spans="1:2" x14ac:dyDescent="0.25">
      <c r="A888" s="1" t="str">
        <f t="shared" si="13"/>
        <v/>
      </c>
      <c r="B8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9" spans="1:2" x14ac:dyDescent="0.25">
      <c r="A889" s="1" t="str">
        <f t="shared" si="13"/>
        <v/>
      </c>
      <c r="B8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0" spans="1:2" x14ac:dyDescent="0.25">
      <c r="A890" s="1" t="str">
        <f t="shared" si="13"/>
        <v/>
      </c>
      <c r="B8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1" spans="1:2" x14ac:dyDescent="0.25">
      <c r="A891" s="1" t="str">
        <f t="shared" si="13"/>
        <v/>
      </c>
      <c r="B8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2" spans="1:2" x14ac:dyDescent="0.25">
      <c r="A892" s="1" t="str">
        <f t="shared" si="13"/>
        <v/>
      </c>
      <c r="B8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3" spans="1:2" x14ac:dyDescent="0.25">
      <c r="A893" s="1" t="str">
        <f t="shared" si="13"/>
        <v/>
      </c>
      <c r="B8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4" spans="1:2" x14ac:dyDescent="0.25">
      <c r="A894" s="1" t="str">
        <f t="shared" si="13"/>
        <v/>
      </c>
      <c r="B8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5" spans="1:2" x14ac:dyDescent="0.25">
      <c r="A895" s="1" t="str">
        <f t="shared" si="13"/>
        <v/>
      </c>
      <c r="B8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6" spans="1:2" x14ac:dyDescent="0.25">
      <c r="A896" s="1" t="str">
        <f t="shared" si="13"/>
        <v/>
      </c>
      <c r="B8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7" spans="1:2" x14ac:dyDescent="0.25">
      <c r="A897" s="1" t="str">
        <f t="shared" si="13"/>
        <v/>
      </c>
      <c r="B8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8" spans="1:2" x14ac:dyDescent="0.25">
      <c r="A898" s="1" t="str">
        <f t="shared" ref="A898:A961" si="14">IFERROR(LEFT(RIGHT(C898,LEN(C898)-SEARCH("@",C898)),SEARCH("/",RIGHT(C898,LEN(C898)-SEARCH("@",C898)-1))),"")</f>
        <v/>
      </c>
      <c r="B8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9" spans="1:2" x14ac:dyDescent="0.25">
      <c r="A899" s="1" t="str">
        <f t="shared" si="14"/>
        <v/>
      </c>
      <c r="B8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0" spans="1:2" x14ac:dyDescent="0.25">
      <c r="A900" s="1" t="str">
        <f t="shared" si="14"/>
        <v/>
      </c>
      <c r="B9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1" spans="1:2" x14ac:dyDescent="0.25">
      <c r="A901" s="1" t="str">
        <f t="shared" si="14"/>
        <v/>
      </c>
      <c r="B9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2" spans="1:2" x14ac:dyDescent="0.25">
      <c r="A902" s="1" t="str">
        <f t="shared" si="14"/>
        <v/>
      </c>
      <c r="B9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3" spans="1:2" x14ac:dyDescent="0.25">
      <c r="A903" s="1" t="str">
        <f t="shared" si="14"/>
        <v/>
      </c>
      <c r="B9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4" spans="1:2" x14ac:dyDescent="0.25">
      <c r="A904" s="1" t="str">
        <f t="shared" si="14"/>
        <v/>
      </c>
      <c r="B9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5" spans="1:2" x14ac:dyDescent="0.25">
      <c r="A905" s="1" t="str">
        <f t="shared" si="14"/>
        <v/>
      </c>
      <c r="B9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6" spans="1:2" x14ac:dyDescent="0.25">
      <c r="A906" s="1" t="str">
        <f t="shared" si="14"/>
        <v/>
      </c>
      <c r="B9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7" spans="1:2" x14ac:dyDescent="0.25">
      <c r="A907" s="1" t="str">
        <f t="shared" si="14"/>
        <v/>
      </c>
      <c r="B9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8" spans="1:2" x14ac:dyDescent="0.25">
      <c r="A908" s="1" t="str">
        <f t="shared" si="14"/>
        <v/>
      </c>
      <c r="B9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9" spans="1:2" x14ac:dyDescent="0.25">
      <c r="A909" s="1" t="str">
        <f t="shared" si="14"/>
        <v/>
      </c>
      <c r="B9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0" spans="1:2" x14ac:dyDescent="0.25">
      <c r="A910" s="1" t="str">
        <f t="shared" si="14"/>
        <v/>
      </c>
      <c r="B9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1" spans="1:2" x14ac:dyDescent="0.25">
      <c r="A911" s="1" t="str">
        <f t="shared" si="14"/>
        <v/>
      </c>
      <c r="B9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2" spans="1:2" x14ac:dyDescent="0.25">
      <c r="A912" s="1" t="str">
        <f t="shared" si="14"/>
        <v/>
      </c>
      <c r="B9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3" spans="1:2" x14ac:dyDescent="0.25">
      <c r="A913" s="1" t="str">
        <f t="shared" si="14"/>
        <v/>
      </c>
      <c r="B9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4" spans="1:2" x14ac:dyDescent="0.25">
      <c r="A914" s="1" t="str">
        <f t="shared" si="14"/>
        <v/>
      </c>
      <c r="B9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5" spans="1:2" x14ac:dyDescent="0.25">
      <c r="A915" s="1" t="str">
        <f t="shared" si="14"/>
        <v/>
      </c>
      <c r="B9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6" spans="1:2" x14ac:dyDescent="0.25">
      <c r="A916" s="1" t="str">
        <f t="shared" si="14"/>
        <v/>
      </c>
      <c r="B9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7" spans="1:2" x14ac:dyDescent="0.25">
      <c r="A917" s="1" t="str">
        <f t="shared" si="14"/>
        <v/>
      </c>
      <c r="B9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8" spans="1:2" x14ac:dyDescent="0.25">
      <c r="A918" s="1" t="str">
        <f t="shared" si="14"/>
        <v/>
      </c>
      <c r="B9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9" spans="1:2" x14ac:dyDescent="0.25">
      <c r="A919" s="1" t="str">
        <f t="shared" si="14"/>
        <v/>
      </c>
      <c r="B9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0" spans="1:2" x14ac:dyDescent="0.25">
      <c r="A920" s="1" t="str">
        <f t="shared" si="14"/>
        <v/>
      </c>
      <c r="B9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1" spans="1:2" x14ac:dyDescent="0.25">
      <c r="A921" s="1" t="str">
        <f t="shared" si="14"/>
        <v/>
      </c>
      <c r="B9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2" spans="1:2" x14ac:dyDescent="0.25">
      <c r="A922" s="1" t="str">
        <f t="shared" si="14"/>
        <v/>
      </c>
      <c r="B9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3" spans="1:2" x14ac:dyDescent="0.25">
      <c r="A923" s="1" t="str">
        <f t="shared" si="14"/>
        <v/>
      </c>
      <c r="B9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4" spans="1:2" x14ac:dyDescent="0.25">
      <c r="A924" s="1" t="str">
        <f t="shared" si="14"/>
        <v/>
      </c>
      <c r="B9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5" spans="1:2" x14ac:dyDescent="0.25">
      <c r="A925" s="1" t="str">
        <f t="shared" si="14"/>
        <v/>
      </c>
      <c r="B9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6" spans="1:2" x14ac:dyDescent="0.25">
      <c r="A926" s="1" t="str">
        <f t="shared" si="14"/>
        <v/>
      </c>
      <c r="B9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7" spans="1:2" x14ac:dyDescent="0.25">
      <c r="A927" s="1" t="str">
        <f t="shared" si="14"/>
        <v/>
      </c>
      <c r="B9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8" spans="1:2" x14ac:dyDescent="0.25">
      <c r="A928" s="1" t="str">
        <f t="shared" si="14"/>
        <v/>
      </c>
      <c r="B9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9" spans="1:2" x14ac:dyDescent="0.25">
      <c r="A929" s="1" t="str">
        <f t="shared" si="14"/>
        <v/>
      </c>
      <c r="B9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0" spans="1:2" x14ac:dyDescent="0.25">
      <c r="A930" s="1" t="str">
        <f t="shared" si="14"/>
        <v/>
      </c>
      <c r="B9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1" spans="1:2" x14ac:dyDescent="0.25">
      <c r="A931" s="1" t="str">
        <f t="shared" si="14"/>
        <v/>
      </c>
      <c r="B9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2" spans="1:2" x14ac:dyDescent="0.25">
      <c r="A932" s="1" t="str">
        <f t="shared" si="14"/>
        <v/>
      </c>
      <c r="B9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3" spans="1:2" x14ac:dyDescent="0.25">
      <c r="A933" s="1" t="str">
        <f t="shared" si="14"/>
        <v/>
      </c>
      <c r="B9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4" spans="1:2" x14ac:dyDescent="0.25">
      <c r="A934" s="1" t="str">
        <f t="shared" si="14"/>
        <v/>
      </c>
      <c r="B9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5" spans="1:2" x14ac:dyDescent="0.25">
      <c r="A935" s="1" t="str">
        <f t="shared" si="14"/>
        <v/>
      </c>
      <c r="B9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6" spans="1:2" x14ac:dyDescent="0.25">
      <c r="A936" s="1" t="str">
        <f t="shared" si="14"/>
        <v/>
      </c>
      <c r="B9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7" spans="1:2" x14ac:dyDescent="0.25">
      <c r="A937" s="1" t="str">
        <f t="shared" si="14"/>
        <v/>
      </c>
      <c r="B9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8" spans="1:2" x14ac:dyDescent="0.25">
      <c r="A938" s="1" t="str">
        <f t="shared" si="14"/>
        <v/>
      </c>
      <c r="B9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9" spans="1:2" x14ac:dyDescent="0.25">
      <c r="A939" s="1" t="str">
        <f t="shared" si="14"/>
        <v/>
      </c>
      <c r="B9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0" spans="1:2" x14ac:dyDescent="0.25">
      <c r="A940" s="1" t="str">
        <f t="shared" si="14"/>
        <v/>
      </c>
      <c r="B9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1" spans="1:2" x14ac:dyDescent="0.25">
      <c r="A941" s="1" t="str">
        <f t="shared" si="14"/>
        <v/>
      </c>
      <c r="B9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2" spans="1:2" x14ac:dyDescent="0.25">
      <c r="A942" s="1" t="str">
        <f t="shared" si="14"/>
        <v/>
      </c>
      <c r="B9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3" spans="1:2" x14ac:dyDescent="0.25">
      <c r="A943" s="1" t="str">
        <f t="shared" si="14"/>
        <v/>
      </c>
      <c r="B9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4" spans="1:2" x14ac:dyDescent="0.25">
      <c r="A944" s="1" t="str">
        <f t="shared" si="14"/>
        <v/>
      </c>
      <c r="B9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5" spans="1:2" x14ac:dyDescent="0.25">
      <c r="A945" s="1" t="str">
        <f t="shared" si="14"/>
        <v/>
      </c>
      <c r="B9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6" spans="1:2" x14ac:dyDescent="0.25">
      <c r="A946" s="1" t="str">
        <f t="shared" si="14"/>
        <v/>
      </c>
      <c r="B9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7" spans="1:2" x14ac:dyDescent="0.25">
      <c r="A947" s="1" t="str">
        <f t="shared" si="14"/>
        <v/>
      </c>
      <c r="B9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8" spans="1:2" x14ac:dyDescent="0.25">
      <c r="A948" s="1" t="str">
        <f t="shared" si="14"/>
        <v/>
      </c>
      <c r="B9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9" spans="1:2" x14ac:dyDescent="0.25">
      <c r="A949" s="1" t="str">
        <f t="shared" si="14"/>
        <v/>
      </c>
      <c r="B9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0" spans="1:2" x14ac:dyDescent="0.25">
      <c r="A950" s="1" t="str">
        <f t="shared" si="14"/>
        <v/>
      </c>
      <c r="B9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1" spans="1:2" x14ac:dyDescent="0.25">
      <c r="A951" s="1" t="str">
        <f t="shared" si="14"/>
        <v/>
      </c>
      <c r="B9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2" spans="1:2" x14ac:dyDescent="0.25">
      <c r="A952" s="1" t="str">
        <f t="shared" si="14"/>
        <v/>
      </c>
      <c r="B9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3" spans="1:2" x14ac:dyDescent="0.25">
      <c r="A953" s="1" t="str">
        <f t="shared" si="14"/>
        <v/>
      </c>
      <c r="B9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4" spans="1:2" x14ac:dyDescent="0.25">
      <c r="A954" s="1" t="str">
        <f t="shared" si="14"/>
        <v/>
      </c>
      <c r="B9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5" spans="1:2" x14ac:dyDescent="0.25">
      <c r="A955" s="1" t="str">
        <f t="shared" si="14"/>
        <v/>
      </c>
      <c r="B9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6" spans="1:2" x14ac:dyDescent="0.25">
      <c r="A956" s="1" t="str">
        <f t="shared" si="14"/>
        <v/>
      </c>
      <c r="B9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7" spans="1:2" x14ac:dyDescent="0.25">
      <c r="A957" s="1" t="str">
        <f t="shared" si="14"/>
        <v/>
      </c>
      <c r="B9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8" spans="1:2" x14ac:dyDescent="0.25">
      <c r="A958" s="1" t="str">
        <f t="shared" si="14"/>
        <v/>
      </c>
      <c r="B9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9" spans="1:2" x14ac:dyDescent="0.25">
      <c r="A959" s="1" t="str">
        <f t="shared" si="14"/>
        <v/>
      </c>
      <c r="B9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0" spans="1:2" x14ac:dyDescent="0.25">
      <c r="A960" s="1" t="str">
        <f t="shared" si="14"/>
        <v/>
      </c>
      <c r="B9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1" spans="1:2" x14ac:dyDescent="0.25">
      <c r="A961" s="1" t="str">
        <f t="shared" si="14"/>
        <v/>
      </c>
      <c r="B9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2" spans="1:2" x14ac:dyDescent="0.25">
      <c r="A962" s="1" t="str">
        <f t="shared" ref="A962:A1025" si="15">IFERROR(LEFT(RIGHT(C962,LEN(C962)-SEARCH("@",C962)),SEARCH("/",RIGHT(C962,LEN(C962)-SEARCH("@",C962)-1))),"")</f>
        <v/>
      </c>
      <c r="B9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3" spans="1:2" x14ac:dyDescent="0.25">
      <c r="A963" s="1" t="str">
        <f t="shared" si="15"/>
        <v/>
      </c>
      <c r="B9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4" spans="1:2" x14ac:dyDescent="0.25">
      <c r="A964" s="1" t="str">
        <f t="shared" si="15"/>
        <v/>
      </c>
      <c r="B9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5" spans="1:2" x14ac:dyDescent="0.25">
      <c r="A965" s="1" t="str">
        <f t="shared" si="15"/>
        <v/>
      </c>
      <c r="B9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6" spans="1:2" x14ac:dyDescent="0.25">
      <c r="A966" s="1" t="str">
        <f t="shared" si="15"/>
        <v/>
      </c>
      <c r="B9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7" spans="1:2" x14ac:dyDescent="0.25">
      <c r="A967" s="1" t="str">
        <f t="shared" si="15"/>
        <v/>
      </c>
      <c r="B9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8" spans="1:2" x14ac:dyDescent="0.25">
      <c r="A968" s="1" t="str">
        <f t="shared" si="15"/>
        <v/>
      </c>
      <c r="B9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9" spans="1:2" x14ac:dyDescent="0.25">
      <c r="A969" s="1" t="str">
        <f t="shared" si="15"/>
        <v/>
      </c>
      <c r="B9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0" spans="1:2" x14ac:dyDescent="0.25">
      <c r="A970" s="1" t="str">
        <f t="shared" si="15"/>
        <v/>
      </c>
      <c r="B9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1" spans="1:2" x14ac:dyDescent="0.25">
      <c r="A971" s="1" t="str">
        <f t="shared" si="15"/>
        <v/>
      </c>
      <c r="B9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2" spans="1:2" x14ac:dyDescent="0.25">
      <c r="A972" s="1" t="str">
        <f t="shared" si="15"/>
        <v/>
      </c>
      <c r="B9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3" spans="1:2" x14ac:dyDescent="0.25">
      <c r="A973" s="1" t="str">
        <f t="shared" si="15"/>
        <v/>
      </c>
      <c r="B9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4" spans="1:2" x14ac:dyDescent="0.25">
      <c r="A974" s="1" t="str">
        <f t="shared" si="15"/>
        <v/>
      </c>
      <c r="B9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5" spans="1:2" x14ac:dyDescent="0.25">
      <c r="A975" s="1" t="str">
        <f t="shared" si="15"/>
        <v/>
      </c>
      <c r="B9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6" spans="1:2" x14ac:dyDescent="0.25">
      <c r="A976" s="1" t="str">
        <f t="shared" si="15"/>
        <v/>
      </c>
      <c r="B9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7" spans="1:2" x14ac:dyDescent="0.25">
      <c r="A977" s="1" t="str">
        <f t="shared" si="15"/>
        <v/>
      </c>
      <c r="B9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8" spans="1:2" x14ac:dyDescent="0.25">
      <c r="A978" s="1" t="str">
        <f t="shared" si="15"/>
        <v/>
      </c>
      <c r="B9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9" spans="1:2" x14ac:dyDescent="0.25">
      <c r="A979" s="1" t="str">
        <f t="shared" si="15"/>
        <v/>
      </c>
      <c r="B9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0" spans="1:2" x14ac:dyDescent="0.25">
      <c r="A980" s="1" t="str">
        <f t="shared" si="15"/>
        <v/>
      </c>
      <c r="B9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1" spans="1:2" x14ac:dyDescent="0.25">
      <c r="A981" s="1" t="str">
        <f t="shared" si="15"/>
        <v/>
      </c>
      <c r="B9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2" spans="1:2" x14ac:dyDescent="0.25">
      <c r="A982" s="1" t="str">
        <f t="shared" si="15"/>
        <v/>
      </c>
      <c r="B9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3" spans="1:2" x14ac:dyDescent="0.25">
      <c r="A983" s="1" t="str">
        <f t="shared" si="15"/>
        <v/>
      </c>
      <c r="B9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4" spans="1:2" x14ac:dyDescent="0.25">
      <c r="A984" s="1" t="str">
        <f t="shared" si="15"/>
        <v/>
      </c>
      <c r="B9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5" spans="1:2" x14ac:dyDescent="0.25">
      <c r="A985" s="1" t="str">
        <f t="shared" si="15"/>
        <v/>
      </c>
      <c r="B9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6" spans="1:2" x14ac:dyDescent="0.25">
      <c r="A986" s="1" t="str">
        <f t="shared" si="15"/>
        <v/>
      </c>
      <c r="B9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7" spans="1:2" x14ac:dyDescent="0.25">
      <c r="A987" s="1" t="str">
        <f t="shared" si="15"/>
        <v/>
      </c>
      <c r="B9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8" spans="1:2" x14ac:dyDescent="0.25">
      <c r="A988" s="1" t="str">
        <f t="shared" si="15"/>
        <v/>
      </c>
      <c r="B9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9" spans="1:2" x14ac:dyDescent="0.25">
      <c r="A989" s="1" t="str">
        <f t="shared" si="15"/>
        <v/>
      </c>
      <c r="B9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0" spans="1:2" x14ac:dyDescent="0.25">
      <c r="A990" s="1" t="str">
        <f t="shared" si="15"/>
        <v/>
      </c>
      <c r="B9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1" spans="1:2" x14ac:dyDescent="0.25">
      <c r="A991" s="1" t="str">
        <f t="shared" si="15"/>
        <v/>
      </c>
      <c r="B9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2" spans="1:2" x14ac:dyDescent="0.25">
      <c r="A992" s="1" t="str">
        <f t="shared" si="15"/>
        <v/>
      </c>
      <c r="B9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3" spans="1:2" x14ac:dyDescent="0.25">
      <c r="A993" s="1" t="str">
        <f t="shared" si="15"/>
        <v/>
      </c>
      <c r="B9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4" spans="1:2" x14ac:dyDescent="0.25">
      <c r="A994" s="1" t="str">
        <f t="shared" si="15"/>
        <v/>
      </c>
      <c r="B9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5" spans="1:2" x14ac:dyDescent="0.25">
      <c r="A995" s="1" t="str">
        <f t="shared" si="15"/>
        <v/>
      </c>
      <c r="B9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6" spans="1:2" x14ac:dyDescent="0.25">
      <c r="A996" s="1" t="str">
        <f t="shared" si="15"/>
        <v/>
      </c>
      <c r="B9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7" spans="1:2" x14ac:dyDescent="0.25">
      <c r="A997" s="1" t="str">
        <f t="shared" si="15"/>
        <v/>
      </c>
      <c r="B9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8" spans="1:2" x14ac:dyDescent="0.25">
      <c r="A998" s="1" t="str">
        <f t="shared" si="15"/>
        <v/>
      </c>
      <c r="B9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9" spans="1:2" x14ac:dyDescent="0.25">
      <c r="A999" s="1" t="str">
        <f t="shared" si="15"/>
        <v/>
      </c>
      <c r="B9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0" spans="1:2" x14ac:dyDescent="0.25">
      <c r="A1000" s="1" t="str">
        <f t="shared" si="15"/>
        <v/>
      </c>
      <c r="B10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1" spans="1:2" x14ac:dyDescent="0.25">
      <c r="A1001" s="1" t="str">
        <f t="shared" si="15"/>
        <v/>
      </c>
      <c r="B10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2" spans="1:2" x14ac:dyDescent="0.25">
      <c r="A1002" s="1" t="str">
        <f t="shared" si="15"/>
        <v/>
      </c>
      <c r="B10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3" spans="1:2" x14ac:dyDescent="0.25">
      <c r="A1003" s="1" t="str">
        <f t="shared" si="15"/>
        <v/>
      </c>
      <c r="B10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4" spans="1:2" x14ac:dyDescent="0.25">
      <c r="A1004" s="1" t="str">
        <f t="shared" si="15"/>
        <v/>
      </c>
      <c r="B10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5" spans="1:2" x14ac:dyDescent="0.25">
      <c r="A1005" s="1" t="str">
        <f t="shared" si="15"/>
        <v/>
      </c>
      <c r="B10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6" spans="1:2" x14ac:dyDescent="0.25">
      <c r="A1006" s="1" t="str">
        <f t="shared" si="15"/>
        <v/>
      </c>
      <c r="B10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7" spans="1:2" x14ac:dyDescent="0.25">
      <c r="A1007" s="1" t="str">
        <f t="shared" si="15"/>
        <v/>
      </c>
      <c r="B10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8" spans="1:2" x14ac:dyDescent="0.25">
      <c r="A1008" s="1" t="str">
        <f t="shared" si="15"/>
        <v/>
      </c>
      <c r="B10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9" spans="1:2" x14ac:dyDescent="0.25">
      <c r="A1009" s="1" t="str">
        <f t="shared" si="15"/>
        <v/>
      </c>
      <c r="B10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0" spans="1:2" x14ac:dyDescent="0.25">
      <c r="A1010" s="1" t="str">
        <f t="shared" si="15"/>
        <v/>
      </c>
      <c r="B10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1" spans="1:2" x14ac:dyDescent="0.25">
      <c r="A1011" s="1" t="str">
        <f t="shared" si="15"/>
        <v/>
      </c>
      <c r="B10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2" spans="1:2" x14ac:dyDescent="0.25">
      <c r="A1012" s="1" t="str">
        <f t="shared" si="15"/>
        <v/>
      </c>
      <c r="B10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3" spans="1:2" x14ac:dyDescent="0.25">
      <c r="A1013" s="1" t="str">
        <f t="shared" si="15"/>
        <v/>
      </c>
      <c r="B10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4" spans="1:2" x14ac:dyDescent="0.25">
      <c r="A1014" s="1" t="str">
        <f t="shared" si="15"/>
        <v/>
      </c>
      <c r="B10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5" spans="1:2" x14ac:dyDescent="0.25">
      <c r="A1015" s="1" t="str">
        <f t="shared" si="15"/>
        <v/>
      </c>
      <c r="B10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6" spans="1:2" x14ac:dyDescent="0.25">
      <c r="A1016" s="1" t="str">
        <f t="shared" si="15"/>
        <v/>
      </c>
      <c r="B10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7" spans="1:2" x14ac:dyDescent="0.25">
      <c r="A1017" s="1" t="str">
        <f t="shared" si="15"/>
        <v/>
      </c>
      <c r="B10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8" spans="1:2" x14ac:dyDescent="0.25">
      <c r="A1018" s="1" t="str">
        <f t="shared" si="15"/>
        <v/>
      </c>
      <c r="B10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9" spans="1:2" x14ac:dyDescent="0.25">
      <c r="A1019" s="1" t="str">
        <f t="shared" si="15"/>
        <v/>
      </c>
      <c r="B10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0" spans="1:2" x14ac:dyDescent="0.25">
      <c r="A1020" s="1" t="str">
        <f t="shared" si="15"/>
        <v/>
      </c>
      <c r="B10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1" spans="1:2" x14ac:dyDescent="0.25">
      <c r="A1021" s="1" t="str">
        <f t="shared" si="15"/>
        <v/>
      </c>
      <c r="B10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2" spans="1:2" x14ac:dyDescent="0.25">
      <c r="A1022" s="1" t="str">
        <f t="shared" si="15"/>
        <v/>
      </c>
      <c r="B10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3" spans="1:2" x14ac:dyDescent="0.25">
      <c r="A1023" s="1" t="str">
        <f t="shared" si="15"/>
        <v/>
      </c>
      <c r="B10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4" spans="1:2" x14ac:dyDescent="0.25">
      <c r="A1024" s="1" t="str">
        <f t="shared" si="15"/>
        <v/>
      </c>
      <c r="B10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5" spans="1:2" x14ac:dyDescent="0.25">
      <c r="A1025" s="1" t="str">
        <f t="shared" si="15"/>
        <v/>
      </c>
      <c r="B10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6" spans="1:2" x14ac:dyDescent="0.25">
      <c r="A1026" s="1" t="str">
        <f t="shared" ref="A1026:A1089" si="16">IFERROR(LEFT(RIGHT(C1026,LEN(C1026)-SEARCH("@",C1026)),SEARCH("/",RIGHT(C1026,LEN(C1026)-SEARCH("@",C1026)-1))),"")</f>
        <v/>
      </c>
      <c r="B10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7" spans="1:2" x14ac:dyDescent="0.25">
      <c r="A1027" s="1" t="str">
        <f t="shared" si="16"/>
        <v/>
      </c>
      <c r="B10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8" spans="1:2" x14ac:dyDescent="0.25">
      <c r="A1028" s="1" t="str">
        <f t="shared" si="16"/>
        <v/>
      </c>
      <c r="B10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9" spans="1:2" x14ac:dyDescent="0.25">
      <c r="A1029" s="1" t="str">
        <f t="shared" si="16"/>
        <v/>
      </c>
      <c r="B10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0" spans="1:2" x14ac:dyDescent="0.25">
      <c r="A1030" s="1" t="str">
        <f t="shared" si="16"/>
        <v/>
      </c>
      <c r="B10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1" spans="1:2" x14ac:dyDescent="0.25">
      <c r="A1031" s="1" t="str">
        <f t="shared" si="16"/>
        <v/>
      </c>
      <c r="B10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2" spans="1:2" x14ac:dyDescent="0.25">
      <c r="A1032" s="1" t="str">
        <f t="shared" si="16"/>
        <v/>
      </c>
      <c r="B10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3" spans="1:2" x14ac:dyDescent="0.25">
      <c r="A1033" s="1" t="str">
        <f t="shared" si="16"/>
        <v/>
      </c>
      <c r="B10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4" spans="1:2" x14ac:dyDescent="0.25">
      <c r="A1034" s="1" t="str">
        <f t="shared" si="16"/>
        <v/>
      </c>
      <c r="B10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5" spans="1:2" x14ac:dyDescent="0.25">
      <c r="A1035" s="1" t="str">
        <f t="shared" si="16"/>
        <v/>
      </c>
      <c r="B10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6" spans="1:2" x14ac:dyDescent="0.25">
      <c r="A1036" s="1" t="str">
        <f t="shared" si="16"/>
        <v/>
      </c>
      <c r="B10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7" spans="1:2" x14ac:dyDescent="0.25">
      <c r="A1037" s="1" t="str">
        <f t="shared" si="16"/>
        <v/>
      </c>
      <c r="B10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8" spans="1:2" x14ac:dyDescent="0.25">
      <c r="A1038" s="1" t="str">
        <f t="shared" si="16"/>
        <v/>
      </c>
      <c r="B10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9" spans="1:2" x14ac:dyDescent="0.25">
      <c r="A1039" s="1" t="str">
        <f t="shared" si="16"/>
        <v/>
      </c>
      <c r="B10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0" spans="1:2" x14ac:dyDescent="0.25">
      <c r="A1040" s="1" t="str">
        <f t="shared" si="16"/>
        <v/>
      </c>
      <c r="B10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1" spans="1:2" x14ac:dyDescent="0.25">
      <c r="A1041" s="1" t="str">
        <f t="shared" si="16"/>
        <v/>
      </c>
      <c r="B10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2" spans="1:2" x14ac:dyDescent="0.25">
      <c r="A1042" s="1" t="str">
        <f t="shared" si="16"/>
        <v/>
      </c>
      <c r="B10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3" spans="1:2" x14ac:dyDescent="0.25">
      <c r="A1043" s="1" t="str">
        <f t="shared" si="16"/>
        <v/>
      </c>
      <c r="B10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4" spans="1:2" x14ac:dyDescent="0.25">
      <c r="A1044" s="1" t="str">
        <f t="shared" si="16"/>
        <v/>
      </c>
      <c r="B10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5" spans="1:2" x14ac:dyDescent="0.25">
      <c r="A1045" s="1" t="str">
        <f t="shared" si="16"/>
        <v/>
      </c>
      <c r="B10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6" spans="1:2" x14ac:dyDescent="0.25">
      <c r="A1046" s="1" t="str">
        <f t="shared" si="16"/>
        <v/>
      </c>
      <c r="B10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7" spans="1:2" x14ac:dyDescent="0.25">
      <c r="A1047" s="1" t="str">
        <f t="shared" si="16"/>
        <v/>
      </c>
      <c r="B10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8" spans="1:2" x14ac:dyDescent="0.25">
      <c r="A1048" s="1" t="str">
        <f t="shared" si="16"/>
        <v/>
      </c>
      <c r="B10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9" spans="1:2" x14ac:dyDescent="0.25">
      <c r="A1049" s="1" t="str">
        <f t="shared" si="16"/>
        <v/>
      </c>
      <c r="B10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0" spans="1:2" x14ac:dyDescent="0.25">
      <c r="A1050" s="1" t="str">
        <f t="shared" si="16"/>
        <v/>
      </c>
      <c r="B10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1" spans="1:2" x14ac:dyDescent="0.25">
      <c r="A1051" s="1" t="str">
        <f t="shared" si="16"/>
        <v/>
      </c>
      <c r="B10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2" spans="1:2" x14ac:dyDescent="0.25">
      <c r="A1052" s="1" t="str">
        <f t="shared" si="16"/>
        <v/>
      </c>
      <c r="B10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3" spans="1:2" x14ac:dyDescent="0.25">
      <c r="A1053" s="1" t="str">
        <f t="shared" si="16"/>
        <v/>
      </c>
      <c r="B10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4" spans="1:2" x14ac:dyDescent="0.25">
      <c r="A1054" s="1" t="str">
        <f t="shared" si="16"/>
        <v/>
      </c>
      <c r="B10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5" spans="1:2" x14ac:dyDescent="0.25">
      <c r="A1055" s="1" t="str">
        <f t="shared" si="16"/>
        <v/>
      </c>
      <c r="B10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6" spans="1:2" x14ac:dyDescent="0.25">
      <c r="A1056" s="1" t="str">
        <f t="shared" si="16"/>
        <v/>
      </c>
      <c r="B10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7" spans="1:2" x14ac:dyDescent="0.25">
      <c r="A1057" s="1" t="str">
        <f t="shared" si="16"/>
        <v/>
      </c>
      <c r="B10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8" spans="1:2" x14ac:dyDescent="0.25">
      <c r="A1058" s="1" t="str">
        <f t="shared" si="16"/>
        <v/>
      </c>
      <c r="B10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9" spans="1:2" x14ac:dyDescent="0.25">
      <c r="A1059" s="1" t="str">
        <f t="shared" si="16"/>
        <v/>
      </c>
      <c r="B10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0" spans="1:2" x14ac:dyDescent="0.25">
      <c r="A1060" s="1" t="str">
        <f t="shared" si="16"/>
        <v/>
      </c>
      <c r="B10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1" spans="1:2" x14ac:dyDescent="0.25">
      <c r="A1061" s="1" t="str">
        <f t="shared" si="16"/>
        <v/>
      </c>
      <c r="B10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2" spans="1:2" x14ac:dyDescent="0.25">
      <c r="A1062" s="1" t="str">
        <f t="shared" si="16"/>
        <v/>
      </c>
      <c r="B10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3" spans="1:2" x14ac:dyDescent="0.25">
      <c r="A1063" s="1" t="str">
        <f t="shared" si="16"/>
        <v/>
      </c>
      <c r="B10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4" spans="1:2" x14ac:dyDescent="0.25">
      <c r="A1064" s="1" t="str">
        <f t="shared" si="16"/>
        <v/>
      </c>
      <c r="B10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5" spans="1:2" x14ac:dyDescent="0.25">
      <c r="A1065" s="1" t="str">
        <f t="shared" si="16"/>
        <v/>
      </c>
      <c r="B10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6" spans="1:2" x14ac:dyDescent="0.25">
      <c r="A1066" s="1" t="str">
        <f t="shared" si="16"/>
        <v/>
      </c>
      <c r="B10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7" spans="1:2" x14ac:dyDescent="0.25">
      <c r="A1067" s="1" t="str">
        <f t="shared" si="16"/>
        <v/>
      </c>
      <c r="B10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8" spans="1:2" x14ac:dyDescent="0.25">
      <c r="A1068" s="1" t="str">
        <f t="shared" si="16"/>
        <v/>
      </c>
      <c r="B10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9" spans="1:2" x14ac:dyDescent="0.25">
      <c r="A1069" s="1" t="str">
        <f t="shared" si="16"/>
        <v/>
      </c>
      <c r="B10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0" spans="1:2" x14ac:dyDescent="0.25">
      <c r="A1070" s="1" t="str">
        <f t="shared" si="16"/>
        <v/>
      </c>
      <c r="B10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1" spans="1:2" x14ac:dyDescent="0.25">
      <c r="A1071" s="1" t="str">
        <f t="shared" si="16"/>
        <v/>
      </c>
      <c r="B10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2" spans="1:2" x14ac:dyDescent="0.25">
      <c r="A1072" s="1" t="str">
        <f t="shared" si="16"/>
        <v/>
      </c>
      <c r="B10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3" spans="1:2" x14ac:dyDescent="0.25">
      <c r="A1073" s="1" t="str">
        <f t="shared" si="16"/>
        <v/>
      </c>
      <c r="B10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4" spans="1:2" x14ac:dyDescent="0.25">
      <c r="A1074" s="1" t="str">
        <f t="shared" si="16"/>
        <v/>
      </c>
      <c r="B10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5" spans="1:2" x14ac:dyDescent="0.25">
      <c r="A1075" s="1" t="str">
        <f t="shared" si="16"/>
        <v/>
      </c>
      <c r="B10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6" spans="1:2" x14ac:dyDescent="0.25">
      <c r="A1076" s="1" t="str">
        <f t="shared" si="16"/>
        <v/>
      </c>
      <c r="B10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7" spans="1:2" x14ac:dyDescent="0.25">
      <c r="A1077" s="1" t="str">
        <f t="shared" si="16"/>
        <v/>
      </c>
      <c r="B10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8" spans="1:2" x14ac:dyDescent="0.25">
      <c r="A1078" s="1" t="str">
        <f t="shared" si="16"/>
        <v/>
      </c>
      <c r="B10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9" spans="1:2" x14ac:dyDescent="0.25">
      <c r="A1079" s="1" t="str">
        <f t="shared" si="16"/>
        <v/>
      </c>
      <c r="B10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0" spans="1:2" x14ac:dyDescent="0.25">
      <c r="A1080" s="1" t="str">
        <f t="shared" si="16"/>
        <v/>
      </c>
      <c r="B10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1" spans="1:2" x14ac:dyDescent="0.25">
      <c r="A1081" s="1" t="str">
        <f t="shared" si="16"/>
        <v/>
      </c>
      <c r="B10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2" spans="1:2" x14ac:dyDescent="0.25">
      <c r="A1082" s="1" t="str">
        <f t="shared" si="16"/>
        <v/>
      </c>
      <c r="B10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3" spans="1:2" x14ac:dyDescent="0.25">
      <c r="A1083" s="1" t="str">
        <f t="shared" si="16"/>
        <v/>
      </c>
      <c r="B10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4" spans="1:2" x14ac:dyDescent="0.25">
      <c r="A1084" s="1" t="str">
        <f t="shared" si="16"/>
        <v/>
      </c>
      <c r="B10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5" spans="1:2" x14ac:dyDescent="0.25">
      <c r="A1085" s="1" t="str">
        <f t="shared" si="16"/>
        <v/>
      </c>
      <c r="B10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6" spans="1:2" x14ac:dyDescent="0.25">
      <c r="A1086" s="1" t="str">
        <f t="shared" si="16"/>
        <v/>
      </c>
      <c r="B10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7" spans="1:2" x14ac:dyDescent="0.25">
      <c r="A1087" s="1" t="str">
        <f t="shared" si="16"/>
        <v/>
      </c>
      <c r="B10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8" spans="1:2" x14ac:dyDescent="0.25">
      <c r="A1088" s="1" t="str">
        <f t="shared" si="16"/>
        <v/>
      </c>
      <c r="B10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9" spans="1:2" x14ac:dyDescent="0.25">
      <c r="A1089" s="1" t="str">
        <f t="shared" si="16"/>
        <v/>
      </c>
      <c r="B10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0" spans="1:2" x14ac:dyDescent="0.25">
      <c r="A1090" s="1" t="str">
        <f t="shared" ref="A1090:A1153" si="17">IFERROR(LEFT(RIGHT(C1090,LEN(C1090)-SEARCH("@",C1090)),SEARCH("/",RIGHT(C1090,LEN(C1090)-SEARCH("@",C1090)-1))),"")</f>
        <v/>
      </c>
      <c r="B10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1" spans="1:2" x14ac:dyDescent="0.25">
      <c r="A1091" s="1" t="str">
        <f t="shared" si="17"/>
        <v/>
      </c>
      <c r="B10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2" spans="1:2" x14ac:dyDescent="0.25">
      <c r="A1092" s="1" t="str">
        <f t="shared" si="17"/>
        <v/>
      </c>
      <c r="B10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3" spans="1:2" x14ac:dyDescent="0.25">
      <c r="A1093" s="1" t="str">
        <f t="shared" si="17"/>
        <v/>
      </c>
      <c r="B10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4" spans="1:2" x14ac:dyDescent="0.25">
      <c r="A1094" s="1" t="str">
        <f t="shared" si="17"/>
        <v/>
      </c>
      <c r="B10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5" spans="1:2" x14ac:dyDescent="0.25">
      <c r="A1095" s="1" t="str">
        <f t="shared" si="17"/>
        <v/>
      </c>
      <c r="B10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6" spans="1:2" x14ac:dyDescent="0.25">
      <c r="A1096" s="1" t="str">
        <f t="shared" si="17"/>
        <v/>
      </c>
      <c r="B10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7" spans="1:2" x14ac:dyDescent="0.25">
      <c r="A1097" s="1" t="str">
        <f t="shared" si="17"/>
        <v/>
      </c>
      <c r="B10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8" spans="1:2" x14ac:dyDescent="0.25">
      <c r="A1098" s="1" t="str">
        <f t="shared" si="17"/>
        <v/>
      </c>
      <c r="B10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9" spans="1:2" x14ac:dyDescent="0.25">
      <c r="A1099" s="1" t="str">
        <f t="shared" si="17"/>
        <v/>
      </c>
      <c r="B10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0" spans="1:2" x14ac:dyDescent="0.25">
      <c r="A1100" s="1" t="str">
        <f t="shared" si="17"/>
        <v/>
      </c>
      <c r="B11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1" spans="1:2" x14ac:dyDescent="0.25">
      <c r="A1101" s="1" t="str">
        <f t="shared" si="17"/>
        <v/>
      </c>
      <c r="B11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2" spans="1:2" x14ac:dyDescent="0.25">
      <c r="A1102" s="1" t="str">
        <f t="shared" si="17"/>
        <v/>
      </c>
      <c r="B11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3" spans="1:2" x14ac:dyDescent="0.25">
      <c r="A1103" s="1" t="str">
        <f t="shared" si="17"/>
        <v/>
      </c>
      <c r="B11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4" spans="1:2" x14ac:dyDescent="0.25">
      <c r="A1104" s="1" t="str">
        <f t="shared" si="17"/>
        <v/>
      </c>
      <c r="B11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5" spans="1:2" x14ac:dyDescent="0.25">
      <c r="A1105" s="1" t="str">
        <f t="shared" si="17"/>
        <v/>
      </c>
      <c r="B11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6" spans="1:2" x14ac:dyDescent="0.25">
      <c r="A1106" s="1" t="str">
        <f t="shared" si="17"/>
        <v/>
      </c>
      <c r="B11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7" spans="1:2" x14ac:dyDescent="0.25">
      <c r="A1107" s="1" t="str">
        <f t="shared" si="17"/>
        <v/>
      </c>
      <c r="B11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8" spans="1:2" x14ac:dyDescent="0.25">
      <c r="A1108" s="1" t="str">
        <f t="shared" si="17"/>
        <v/>
      </c>
      <c r="B11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9" spans="1:2" x14ac:dyDescent="0.25">
      <c r="A1109" s="1" t="str">
        <f t="shared" si="17"/>
        <v/>
      </c>
      <c r="B11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0" spans="1:2" x14ac:dyDescent="0.25">
      <c r="A1110" s="1" t="str">
        <f t="shared" si="17"/>
        <v/>
      </c>
      <c r="B11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1" spans="1:2" x14ac:dyDescent="0.25">
      <c r="A1111" s="1" t="str">
        <f t="shared" si="17"/>
        <v/>
      </c>
      <c r="B11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2" spans="1:2" x14ac:dyDescent="0.25">
      <c r="A1112" s="1" t="str">
        <f t="shared" si="17"/>
        <v/>
      </c>
      <c r="B11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3" spans="1:2" x14ac:dyDescent="0.25">
      <c r="A1113" s="1" t="str">
        <f t="shared" si="17"/>
        <v/>
      </c>
      <c r="B11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4" spans="1:2" x14ac:dyDescent="0.25">
      <c r="A1114" s="1" t="str">
        <f t="shared" si="17"/>
        <v/>
      </c>
      <c r="B11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5" spans="1:2" x14ac:dyDescent="0.25">
      <c r="A1115" s="1" t="str">
        <f t="shared" si="17"/>
        <v/>
      </c>
      <c r="B11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6" spans="1:2" x14ac:dyDescent="0.25">
      <c r="A1116" s="1" t="str">
        <f t="shared" si="17"/>
        <v/>
      </c>
      <c r="B11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7" spans="1:2" x14ac:dyDescent="0.25">
      <c r="A1117" s="1" t="str">
        <f t="shared" si="17"/>
        <v/>
      </c>
      <c r="B11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8" spans="1:2" x14ac:dyDescent="0.25">
      <c r="A1118" s="1" t="str">
        <f t="shared" si="17"/>
        <v/>
      </c>
      <c r="B11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9" spans="1:2" x14ac:dyDescent="0.25">
      <c r="A1119" s="1" t="str">
        <f t="shared" si="17"/>
        <v/>
      </c>
      <c r="B11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0" spans="1:2" x14ac:dyDescent="0.25">
      <c r="A1120" s="1" t="str">
        <f t="shared" si="17"/>
        <v/>
      </c>
      <c r="B11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1" spans="1:2" x14ac:dyDescent="0.25">
      <c r="A1121" s="1" t="str">
        <f t="shared" si="17"/>
        <v/>
      </c>
      <c r="B11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2" spans="1:2" x14ac:dyDescent="0.25">
      <c r="A1122" s="1" t="str">
        <f t="shared" si="17"/>
        <v/>
      </c>
      <c r="B11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3" spans="1:2" x14ac:dyDescent="0.25">
      <c r="A1123" s="1" t="str">
        <f t="shared" si="17"/>
        <v/>
      </c>
      <c r="B11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4" spans="1:2" x14ac:dyDescent="0.25">
      <c r="A1124" s="1" t="str">
        <f t="shared" si="17"/>
        <v/>
      </c>
      <c r="B11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5" spans="1:2" x14ac:dyDescent="0.25">
      <c r="A1125" s="1" t="str">
        <f t="shared" si="17"/>
        <v/>
      </c>
      <c r="B11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6" spans="1:2" x14ac:dyDescent="0.25">
      <c r="A1126" s="1" t="str">
        <f t="shared" si="17"/>
        <v/>
      </c>
      <c r="B11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7" spans="1:2" x14ac:dyDescent="0.25">
      <c r="A1127" s="1" t="str">
        <f t="shared" si="17"/>
        <v/>
      </c>
      <c r="B11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8" spans="1:2" x14ac:dyDescent="0.25">
      <c r="A1128" s="1" t="str">
        <f t="shared" si="17"/>
        <v/>
      </c>
      <c r="B11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9" spans="1:2" x14ac:dyDescent="0.25">
      <c r="A1129" s="1" t="str">
        <f t="shared" si="17"/>
        <v/>
      </c>
      <c r="B11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0" spans="1:2" x14ac:dyDescent="0.25">
      <c r="A1130" s="1" t="str">
        <f t="shared" si="17"/>
        <v/>
      </c>
      <c r="B11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1" spans="1:2" x14ac:dyDescent="0.25">
      <c r="A1131" s="1" t="str">
        <f t="shared" si="17"/>
        <v/>
      </c>
      <c r="B11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2" spans="1:2" x14ac:dyDescent="0.25">
      <c r="A1132" s="1" t="str">
        <f t="shared" si="17"/>
        <v/>
      </c>
      <c r="B11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3" spans="1:2" x14ac:dyDescent="0.25">
      <c r="A1133" s="1" t="str">
        <f t="shared" si="17"/>
        <v/>
      </c>
      <c r="B11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4" spans="1:2" x14ac:dyDescent="0.25">
      <c r="A1134" s="1" t="str">
        <f t="shared" si="17"/>
        <v/>
      </c>
      <c r="B11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5" spans="1:2" x14ac:dyDescent="0.25">
      <c r="A1135" s="1" t="str">
        <f t="shared" si="17"/>
        <v/>
      </c>
      <c r="B11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6" spans="1:2" x14ac:dyDescent="0.25">
      <c r="A1136" s="1" t="str">
        <f t="shared" si="17"/>
        <v/>
      </c>
      <c r="B11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7" spans="1:2" x14ac:dyDescent="0.25">
      <c r="A1137" s="1" t="str">
        <f t="shared" si="17"/>
        <v/>
      </c>
      <c r="B11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8" spans="1:2" x14ac:dyDescent="0.25">
      <c r="A1138" s="1" t="str">
        <f t="shared" si="17"/>
        <v/>
      </c>
      <c r="B11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9" spans="1:2" x14ac:dyDescent="0.25">
      <c r="A1139" s="1" t="str">
        <f t="shared" si="17"/>
        <v/>
      </c>
      <c r="B11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0" spans="1:2" x14ac:dyDescent="0.25">
      <c r="A1140" s="1" t="str">
        <f t="shared" si="17"/>
        <v/>
      </c>
      <c r="B11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1" spans="1:2" x14ac:dyDescent="0.25">
      <c r="A1141" s="1" t="str">
        <f t="shared" si="17"/>
        <v/>
      </c>
      <c r="B11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2" spans="1:2" x14ac:dyDescent="0.25">
      <c r="A1142" s="1" t="str">
        <f t="shared" si="17"/>
        <v/>
      </c>
      <c r="B11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3" spans="1:2" x14ac:dyDescent="0.25">
      <c r="A1143" s="1" t="str">
        <f t="shared" si="17"/>
        <v/>
      </c>
      <c r="B11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4" spans="1:2" x14ac:dyDescent="0.25">
      <c r="A1144" s="1" t="str">
        <f t="shared" si="17"/>
        <v/>
      </c>
      <c r="B11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5" spans="1:2" x14ac:dyDescent="0.25">
      <c r="A1145" s="1" t="str">
        <f t="shared" si="17"/>
        <v/>
      </c>
      <c r="B11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6" spans="1:2" x14ac:dyDescent="0.25">
      <c r="A1146" s="1" t="str">
        <f t="shared" si="17"/>
        <v/>
      </c>
      <c r="B11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7" spans="1:2" x14ac:dyDescent="0.25">
      <c r="A1147" s="1" t="str">
        <f t="shared" si="17"/>
        <v/>
      </c>
      <c r="B11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8" spans="1:2" x14ac:dyDescent="0.25">
      <c r="A1148" s="1" t="str">
        <f t="shared" si="17"/>
        <v/>
      </c>
      <c r="B11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9" spans="1:2" x14ac:dyDescent="0.25">
      <c r="A1149" s="1" t="str">
        <f t="shared" si="17"/>
        <v/>
      </c>
      <c r="B11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0" spans="1:2" x14ac:dyDescent="0.25">
      <c r="A1150" s="1" t="str">
        <f t="shared" si="17"/>
        <v/>
      </c>
      <c r="B11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1" spans="1:2" x14ac:dyDescent="0.25">
      <c r="A1151" s="1" t="str">
        <f t="shared" si="17"/>
        <v/>
      </c>
      <c r="B11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2" spans="1:2" x14ac:dyDescent="0.25">
      <c r="A1152" s="1" t="str">
        <f t="shared" si="17"/>
        <v/>
      </c>
      <c r="B11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3" spans="1:2" x14ac:dyDescent="0.25">
      <c r="A1153" s="1" t="str">
        <f t="shared" si="17"/>
        <v/>
      </c>
      <c r="B11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4" spans="1:2" x14ac:dyDescent="0.25">
      <c r="A1154" s="1" t="str">
        <f t="shared" ref="A1154:A1217" si="18">IFERROR(LEFT(RIGHT(C1154,LEN(C1154)-SEARCH("@",C1154)),SEARCH("/",RIGHT(C1154,LEN(C1154)-SEARCH("@",C1154)-1))),"")</f>
        <v/>
      </c>
      <c r="B11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5" spans="1:2" x14ac:dyDescent="0.25">
      <c r="A1155" s="1" t="str">
        <f t="shared" si="18"/>
        <v/>
      </c>
      <c r="B11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6" spans="1:2" x14ac:dyDescent="0.25">
      <c r="A1156" s="1" t="str">
        <f t="shared" si="18"/>
        <v/>
      </c>
      <c r="B11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7" spans="1:2" x14ac:dyDescent="0.25">
      <c r="A1157" s="1" t="str">
        <f t="shared" si="18"/>
        <v/>
      </c>
      <c r="B11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8" spans="1:2" x14ac:dyDescent="0.25">
      <c r="A1158" s="1" t="str">
        <f t="shared" si="18"/>
        <v/>
      </c>
      <c r="B11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9" spans="1:2" x14ac:dyDescent="0.25">
      <c r="A1159" s="1" t="str">
        <f t="shared" si="18"/>
        <v/>
      </c>
      <c r="B11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0" spans="1:2" x14ac:dyDescent="0.25">
      <c r="A1160" s="1" t="str">
        <f t="shared" si="18"/>
        <v/>
      </c>
      <c r="B11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1" spans="1:2" x14ac:dyDescent="0.25">
      <c r="A1161" s="1" t="str">
        <f t="shared" si="18"/>
        <v/>
      </c>
      <c r="B11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2" spans="1:2" x14ac:dyDescent="0.25">
      <c r="A1162" s="1" t="str">
        <f t="shared" si="18"/>
        <v/>
      </c>
      <c r="B11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3" spans="1:2" x14ac:dyDescent="0.25">
      <c r="A1163" s="1" t="str">
        <f t="shared" si="18"/>
        <v/>
      </c>
      <c r="B11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4" spans="1:2" x14ac:dyDescent="0.25">
      <c r="A1164" s="1" t="str">
        <f t="shared" si="18"/>
        <v/>
      </c>
      <c r="B11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5" spans="1:2" x14ac:dyDescent="0.25">
      <c r="A1165" s="1" t="str">
        <f t="shared" si="18"/>
        <v/>
      </c>
      <c r="B11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6" spans="1:2" x14ac:dyDescent="0.25">
      <c r="A1166" s="1" t="str">
        <f t="shared" si="18"/>
        <v/>
      </c>
      <c r="B11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7" spans="1:2" x14ac:dyDescent="0.25">
      <c r="A1167" s="1" t="str">
        <f t="shared" si="18"/>
        <v/>
      </c>
      <c r="B11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8" spans="1:2" x14ac:dyDescent="0.25">
      <c r="A1168" s="1" t="str">
        <f t="shared" si="18"/>
        <v/>
      </c>
      <c r="B11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9" spans="1:2" x14ac:dyDescent="0.25">
      <c r="A1169" s="1" t="str">
        <f t="shared" si="18"/>
        <v/>
      </c>
      <c r="B11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0" spans="1:2" x14ac:dyDescent="0.25">
      <c r="A1170" s="1" t="str">
        <f t="shared" si="18"/>
        <v/>
      </c>
      <c r="B11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1" spans="1:2" x14ac:dyDescent="0.25">
      <c r="A1171" s="1" t="str">
        <f t="shared" si="18"/>
        <v/>
      </c>
      <c r="B11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2" spans="1:2" x14ac:dyDescent="0.25">
      <c r="A1172" s="1" t="str">
        <f t="shared" si="18"/>
        <v/>
      </c>
      <c r="B11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3" spans="1:2" x14ac:dyDescent="0.25">
      <c r="A1173" s="1" t="str">
        <f t="shared" si="18"/>
        <v/>
      </c>
      <c r="B11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4" spans="1:2" x14ac:dyDescent="0.25">
      <c r="A1174" s="1" t="str">
        <f t="shared" si="18"/>
        <v/>
      </c>
      <c r="B11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5" spans="1:2" x14ac:dyDescent="0.25">
      <c r="A1175" s="1" t="str">
        <f t="shared" si="18"/>
        <v/>
      </c>
      <c r="B11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6" spans="1:2" x14ac:dyDescent="0.25">
      <c r="A1176" s="1" t="str">
        <f t="shared" si="18"/>
        <v/>
      </c>
      <c r="B11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7" spans="1:2" x14ac:dyDescent="0.25">
      <c r="A1177" s="1" t="str">
        <f t="shared" si="18"/>
        <v/>
      </c>
      <c r="B11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8" spans="1:2" x14ac:dyDescent="0.25">
      <c r="A1178" s="1" t="str">
        <f t="shared" si="18"/>
        <v/>
      </c>
      <c r="B11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9" spans="1:2" x14ac:dyDescent="0.25">
      <c r="A1179" s="1" t="str">
        <f t="shared" si="18"/>
        <v/>
      </c>
      <c r="B11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0" spans="1:2" x14ac:dyDescent="0.25">
      <c r="A1180" s="1" t="str">
        <f t="shared" si="18"/>
        <v/>
      </c>
      <c r="B11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1" spans="1:2" x14ac:dyDescent="0.25">
      <c r="A1181" s="1" t="str">
        <f t="shared" si="18"/>
        <v/>
      </c>
      <c r="B11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2" spans="1:2" x14ac:dyDescent="0.25">
      <c r="A1182" s="1" t="str">
        <f t="shared" si="18"/>
        <v/>
      </c>
      <c r="B11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3" spans="1:2" x14ac:dyDescent="0.25">
      <c r="A1183" s="1" t="str">
        <f t="shared" si="18"/>
        <v/>
      </c>
      <c r="B11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4" spans="1:2" x14ac:dyDescent="0.25">
      <c r="A1184" s="1" t="str">
        <f t="shared" si="18"/>
        <v/>
      </c>
      <c r="B11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5" spans="1:2" x14ac:dyDescent="0.25">
      <c r="A1185" s="1" t="str">
        <f t="shared" si="18"/>
        <v/>
      </c>
      <c r="B11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6" spans="1:2" x14ac:dyDescent="0.25">
      <c r="A1186" s="1" t="str">
        <f t="shared" si="18"/>
        <v/>
      </c>
      <c r="B11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7" spans="1:2" x14ac:dyDescent="0.25">
      <c r="A1187" s="1" t="str">
        <f t="shared" si="18"/>
        <v/>
      </c>
      <c r="B11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8" spans="1:2" x14ac:dyDescent="0.25">
      <c r="A1188" s="1" t="str">
        <f t="shared" si="18"/>
        <v/>
      </c>
      <c r="B11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9" spans="1:2" x14ac:dyDescent="0.25">
      <c r="A1189" s="1" t="str">
        <f t="shared" si="18"/>
        <v/>
      </c>
      <c r="B11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0" spans="1:2" x14ac:dyDescent="0.25">
      <c r="A1190" s="1" t="str">
        <f t="shared" si="18"/>
        <v/>
      </c>
      <c r="B11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1" spans="1:2" x14ac:dyDescent="0.25">
      <c r="A1191" s="1" t="str">
        <f t="shared" si="18"/>
        <v/>
      </c>
      <c r="B11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2" spans="1:2" x14ac:dyDescent="0.25">
      <c r="A1192" s="1" t="str">
        <f t="shared" si="18"/>
        <v/>
      </c>
      <c r="B11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3" spans="1:2" x14ac:dyDescent="0.25">
      <c r="A1193" s="1" t="str">
        <f t="shared" si="18"/>
        <v/>
      </c>
      <c r="B11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4" spans="1:2" x14ac:dyDescent="0.25">
      <c r="A1194" s="1" t="str">
        <f t="shared" si="18"/>
        <v/>
      </c>
      <c r="B11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5" spans="1:2" x14ac:dyDescent="0.25">
      <c r="A1195" s="1" t="str">
        <f t="shared" si="18"/>
        <v/>
      </c>
      <c r="B11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6" spans="1:2" x14ac:dyDescent="0.25">
      <c r="A1196" s="1" t="str">
        <f t="shared" si="18"/>
        <v/>
      </c>
      <c r="B11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7" spans="1:2" x14ac:dyDescent="0.25">
      <c r="A1197" s="1" t="str">
        <f t="shared" si="18"/>
        <v/>
      </c>
      <c r="B11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8" spans="1:2" x14ac:dyDescent="0.25">
      <c r="A1198" s="1" t="str">
        <f t="shared" si="18"/>
        <v/>
      </c>
      <c r="B11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9" spans="1:2" x14ac:dyDescent="0.25">
      <c r="A1199" s="1" t="str">
        <f t="shared" si="18"/>
        <v/>
      </c>
      <c r="B11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0" spans="1:2" x14ac:dyDescent="0.25">
      <c r="A1200" s="1" t="str">
        <f t="shared" si="18"/>
        <v/>
      </c>
      <c r="B12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1" spans="1:2" x14ac:dyDescent="0.25">
      <c r="A1201" s="1" t="str">
        <f t="shared" si="18"/>
        <v/>
      </c>
      <c r="B12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2" spans="1:2" x14ac:dyDescent="0.25">
      <c r="A1202" s="1" t="str">
        <f t="shared" si="18"/>
        <v/>
      </c>
      <c r="B12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3" spans="1:2" x14ac:dyDescent="0.25">
      <c r="A1203" s="1" t="str">
        <f t="shared" si="18"/>
        <v/>
      </c>
      <c r="B12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4" spans="1:2" x14ac:dyDescent="0.25">
      <c r="A1204" s="1" t="str">
        <f t="shared" si="18"/>
        <v/>
      </c>
      <c r="B12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5" spans="1:2" x14ac:dyDescent="0.25">
      <c r="A1205" s="1" t="str">
        <f t="shared" si="18"/>
        <v/>
      </c>
      <c r="B12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6" spans="1:2" x14ac:dyDescent="0.25">
      <c r="A1206" s="1" t="str">
        <f t="shared" si="18"/>
        <v/>
      </c>
      <c r="B12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7" spans="1:2" x14ac:dyDescent="0.25">
      <c r="A1207" s="1" t="str">
        <f t="shared" si="18"/>
        <v/>
      </c>
      <c r="B12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8" spans="1:2" x14ac:dyDescent="0.25">
      <c r="A1208" s="1" t="str">
        <f t="shared" si="18"/>
        <v/>
      </c>
      <c r="B12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9" spans="1:2" x14ac:dyDescent="0.25">
      <c r="A1209" s="1" t="str">
        <f t="shared" si="18"/>
        <v/>
      </c>
      <c r="B12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0" spans="1:2" x14ac:dyDescent="0.25">
      <c r="A1210" s="1" t="str">
        <f t="shared" si="18"/>
        <v/>
      </c>
      <c r="B12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1" spans="1:2" x14ac:dyDescent="0.25">
      <c r="A1211" s="1" t="str">
        <f t="shared" si="18"/>
        <v/>
      </c>
      <c r="B12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2" spans="1:2" x14ac:dyDescent="0.25">
      <c r="A1212" s="1" t="str">
        <f t="shared" si="18"/>
        <v/>
      </c>
      <c r="B12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3" spans="1:2" x14ac:dyDescent="0.25">
      <c r="A1213" s="1" t="str">
        <f t="shared" si="18"/>
        <v/>
      </c>
      <c r="B12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4" spans="1:2" x14ac:dyDescent="0.25">
      <c r="A1214" s="1" t="str">
        <f t="shared" si="18"/>
        <v/>
      </c>
      <c r="B12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5" spans="1:2" x14ac:dyDescent="0.25">
      <c r="A1215" s="1" t="str">
        <f t="shared" si="18"/>
        <v/>
      </c>
      <c r="B12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6" spans="1:2" x14ac:dyDescent="0.25">
      <c r="A1216" s="1" t="str">
        <f t="shared" si="18"/>
        <v/>
      </c>
      <c r="B12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7" spans="1:2" x14ac:dyDescent="0.25">
      <c r="A1217" s="1" t="str">
        <f t="shared" si="18"/>
        <v/>
      </c>
      <c r="B12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8" spans="1:2" x14ac:dyDescent="0.25">
      <c r="A1218" s="1" t="str">
        <f t="shared" ref="A1218:A1281" si="19">IFERROR(LEFT(RIGHT(C1218,LEN(C1218)-SEARCH("@",C1218)),SEARCH("/",RIGHT(C1218,LEN(C1218)-SEARCH("@",C1218)-1))),"")</f>
        <v/>
      </c>
      <c r="B12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9" spans="1:2" x14ac:dyDescent="0.25">
      <c r="A1219" s="1" t="str">
        <f t="shared" si="19"/>
        <v/>
      </c>
      <c r="B12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0" spans="1:2" x14ac:dyDescent="0.25">
      <c r="A1220" s="1" t="str">
        <f t="shared" si="19"/>
        <v/>
      </c>
      <c r="B12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1" spans="1:2" x14ac:dyDescent="0.25">
      <c r="A1221" s="1" t="str">
        <f t="shared" si="19"/>
        <v/>
      </c>
      <c r="B12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2" spans="1:2" x14ac:dyDescent="0.25">
      <c r="A1222" s="1" t="str">
        <f t="shared" si="19"/>
        <v/>
      </c>
      <c r="B12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3" spans="1:2" x14ac:dyDescent="0.25">
      <c r="A1223" s="1" t="str">
        <f t="shared" si="19"/>
        <v/>
      </c>
      <c r="B12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4" spans="1:2" x14ac:dyDescent="0.25">
      <c r="A1224" s="1" t="str">
        <f t="shared" si="19"/>
        <v/>
      </c>
      <c r="B12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5" spans="1:2" x14ac:dyDescent="0.25">
      <c r="A1225" s="1" t="str">
        <f t="shared" si="19"/>
        <v/>
      </c>
      <c r="B12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6" spans="1:2" x14ac:dyDescent="0.25">
      <c r="A1226" s="1" t="str">
        <f t="shared" si="19"/>
        <v/>
      </c>
      <c r="B12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7" spans="1:2" x14ac:dyDescent="0.25">
      <c r="A1227" s="1" t="str">
        <f t="shared" si="19"/>
        <v/>
      </c>
      <c r="B12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8" spans="1:2" x14ac:dyDescent="0.25">
      <c r="A1228" s="1" t="str">
        <f t="shared" si="19"/>
        <v/>
      </c>
      <c r="B12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9" spans="1:2" x14ac:dyDescent="0.25">
      <c r="A1229" s="1" t="str">
        <f t="shared" si="19"/>
        <v/>
      </c>
      <c r="B12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0" spans="1:2" x14ac:dyDescent="0.25">
      <c r="A1230" s="1" t="str">
        <f t="shared" si="19"/>
        <v/>
      </c>
      <c r="B12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1" spans="1:2" x14ac:dyDescent="0.25">
      <c r="A1231" s="1" t="str">
        <f t="shared" si="19"/>
        <v/>
      </c>
      <c r="B12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2" spans="1:2" x14ac:dyDescent="0.25">
      <c r="A1232" s="1" t="str">
        <f t="shared" si="19"/>
        <v/>
      </c>
      <c r="B12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3" spans="1:2" x14ac:dyDescent="0.25">
      <c r="A1233" s="1" t="str">
        <f t="shared" si="19"/>
        <v/>
      </c>
      <c r="B12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4" spans="1:2" x14ac:dyDescent="0.25">
      <c r="A1234" s="1" t="str">
        <f t="shared" si="19"/>
        <v/>
      </c>
      <c r="B12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5" spans="1:2" x14ac:dyDescent="0.25">
      <c r="A1235" s="1" t="str">
        <f t="shared" si="19"/>
        <v/>
      </c>
      <c r="B12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6" spans="1:2" x14ac:dyDescent="0.25">
      <c r="A1236" s="1" t="str">
        <f t="shared" si="19"/>
        <v/>
      </c>
      <c r="B12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7" spans="1:2" x14ac:dyDescent="0.25">
      <c r="A1237" s="1" t="str">
        <f t="shared" si="19"/>
        <v/>
      </c>
      <c r="B12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8" spans="1:2" x14ac:dyDescent="0.25">
      <c r="A1238" s="1" t="str">
        <f t="shared" si="19"/>
        <v/>
      </c>
      <c r="B12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9" spans="1:2" x14ac:dyDescent="0.25">
      <c r="A1239" s="1" t="str">
        <f t="shared" si="19"/>
        <v/>
      </c>
      <c r="B12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0" spans="1:2" x14ac:dyDescent="0.25">
      <c r="A1240" s="1" t="str">
        <f t="shared" si="19"/>
        <v/>
      </c>
      <c r="B12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1" spans="1:2" x14ac:dyDescent="0.25">
      <c r="A1241" s="1" t="str">
        <f t="shared" si="19"/>
        <v/>
      </c>
      <c r="B12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2" spans="1:2" x14ac:dyDescent="0.25">
      <c r="A1242" s="1" t="str">
        <f t="shared" si="19"/>
        <v/>
      </c>
      <c r="B12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3" spans="1:2" x14ac:dyDescent="0.25">
      <c r="A1243" s="1" t="str">
        <f t="shared" si="19"/>
        <v/>
      </c>
      <c r="B12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4" spans="1:2" x14ac:dyDescent="0.25">
      <c r="A1244" s="1" t="str">
        <f t="shared" si="19"/>
        <v/>
      </c>
      <c r="B12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5" spans="1:2" x14ac:dyDescent="0.25">
      <c r="A1245" s="1" t="str">
        <f t="shared" si="19"/>
        <v/>
      </c>
      <c r="B12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6" spans="1:2" x14ac:dyDescent="0.25">
      <c r="A1246" s="1" t="str">
        <f t="shared" si="19"/>
        <v/>
      </c>
      <c r="B12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7" spans="1:2" x14ac:dyDescent="0.25">
      <c r="A1247" s="1" t="str">
        <f t="shared" si="19"/>
        <v/>
      </c>
      <c r="B12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8" spans="1:2" x14ac:dyDescent="0.25">
      <c r="A1248" s="1" t="str">
        <f t="shared" si="19"/>
        <v/>
      </c>
      <c r="B12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9" spans="1:2" x14ac:dyDescent="0.25">
      <c r="A1249" s="1" t="str">
        <f t="shared" si="19"/>
        <v/>
      </c>
      <c r="B12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0" spans="1:2" x14ac:dyDescent="0.25">
      <c r="A1250" s="1" t="str">
        <f t="shared" si="19"/>
        <v/>
      </c>
      <c r="B12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1" spans="1:2" x14ac:dyDescent="0.25">
      <c r="A1251" s="1" t="str">
        <f t="shared" si="19"/>
        <v/>
      </c>
      <c r="B12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2" spans="1:2" x14ac:dyDescent="0.25">
      <c r="A1252" s="1" t="str">
        <f t="shared" si="19"/>
        <v/>
      </c>
      <c r="B12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3" spans="1:2" x14ac:dyDescent="0.25">
      <c r="A1253" s="1" t="str">
        <f t="shared" si="19"/>
        <v/>
      </c>
      <c r="B12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4" spans="1:2" x14ac:dyDescent="0.25">
      <c r="A1254" s="1" t="str">
        <f t="shared" si="19"/>
        <v/>
      </c>
      <c r="B12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5" spans="1:2" x14ac:dyDescent="0.25">
      <c r="A1255" s="1" t="str">
        <f t="shared" si="19"/>
        <v/>
      </c>
      <c r="B12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6" spans="1:2" x14ac:dyDescent="0.25">
      <c r="A1256" s="1" t="str">
        <f t="shared" si="19"/>
        <v/>
      </c>
      <c r="B12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7" spans="1:2" x14ac:dyDescent="0.25">
      <c r="A1257" s="1" t="str">
        <f t="shared" si="19"/>
        <v/>
      </c>
      <c r="B12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8" spans="1:2" x14ac:dyDescent="0.25">
      <c r="A1258" s="1" t="str">
        <f t="shared" si="19"/>
        <v/>
      </c>
      <c r="B12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9" spans="1:2" x14ac:dyDescent="0.25">
      <c r="A1259" s="1" t="str">
        <f t="shared" si="19"/>
        <v/>
      </c>
      <c r="B12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0" spans="1:2" x14ac:dyDescent="0.25">
      <c r="A1260" s="1" t="str">
        <f t="shared" si="19"/>
        <v/>
      </c>
      <c r="B12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1" spans="1:2" x14ac:dyDescent="0.25">
      <c r="A1261" s="1" t="str">
        <f t="shared" si="19"/>
        <v/>
      </c>
      <c r="B12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2" spans="1:2" x14ac:dyDescent="0.25">
      <c r="A1262" s="1" t="str">
        <f t="shared" si="19"/>
        <v/>
      </c>
      <c r="B12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3" spans="1:2" x14ac:dyDescent="0.25">
      <c r="A1263" s="1" t="str">
        <f t="shared" si="19"/>
        <v/>
      </c>
      <c r="B12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4" spans="1:2" x14ac:dyDescent="0.25">
      <c r="A1264" s="1" t="str">
        <f t="shared" si="19"/>
        <v/>
      </c>
      <c r="B12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5" spans="1:2" x14ac:dyDescent="0.25">
      <c r="A1265" s="1" t="str">
        <f t="shared" si="19"/>
        <v/>
      </c>
      <c r="B12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6" spans="1:2" x14ac:dyDescent="0.25">
      <c r="A1266" s="1" t="str">
        <f t="shared" si="19"/>
        <v/>
      </c>
      <c r="B12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7" spans="1:2" x14ac:dyDescent="0.25">
      <c r="A1267" s="1" t="str">
        <f t="shared" si="19"/>
        <v/>
      </c>
      <c r="B12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8" spans="1:2" x14ac:dyDescent="0.25">
      <c r="A1268" s="1" t="str">
        <f t="shared" si="19"/>
        <v/>
      </c>
      <c r="B12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9" spans="1:2" x14ac:dyDescent="0.25">
      <c r="A1269" s="1" t="str">
        <f t="shared" si="19"/>
        <v/>
      </c>
      <c r="B12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0" spans="1:2" x14ac:dyDescent="0.25">
      <c r="A1270" s="1" t="str">
        <f t="shared" si="19"/>
        <v/>
      </c>
      <c r="B12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1" spans="1:2" x14ac:dyDescent="0.25">
      <c r="A1271" s="1" t="str">
        <f t="shared" si="19"/>
        <v/>
      </c>
      <c r="B12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2" spans="1:2" x14ac:dyDescent="0.25">
      <c r="A1272" s="1" t="str">
        <f t="shared" si="19"/>
        <v/>
      </c>
      <c r="B12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3" spans="1:2" x14ac:dyDescent="0.25">
      <c r="A1273" s="1" t="str">
        <f t="shared" si="19"/>
        <v/>
      </c>
      <c r="B12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4" spans="1:2" x14ac:dyDescent="0.25">
      <c r="A1274" s="1" t="str">
        <f t="shared" si="19"/>
        <v/>
      </c>
      <c r="B12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5" spans="1:2" x14ac:dyDescent="0.25">
      <c r="A1275" s="1" t="str">
        <f t="shared" si="19"/>
        <v/>
      </c>
      <c r="B12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6" spans="1:2" x14ac:dyDescent="0.25">
      <c r="A1276" s="1" t="str">
        <f t="shared" si="19"/>
        <v/>
      </c>
      <c r="B12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7" spans="1:2" x14ac:dyDescent="0.25">
      <c r="A1277" s="1" t="str">
        <f t="shared" si="19"/>
        <v/>
      </c>
      <c r="B12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8" spans="1:2" x14ac:dyDescent="0.25">
      <c r="A1278" s="1" t="str">
        <f t="shared" si="19"/>
        <v/>
      </c>
      <c r="B12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9" spans="1:2" x14ac:dyDescent="0.25">
      <c r="A1279" s="1" t="str">
        <f t="shared" si="19"/>
        <v/>
      </c>
      <c r="B12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0" spans="1:2" x14ac:dyDescent="0.25">
      <c r="A1280" s="1" t="str">
        <f t="shared" si="19"/>
        <v/>
      </c>
      <c r="B12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1" spans="1:2" x14ac:dyDescent="0.25">
      <c r="A1281" s="1" t="str">
        <f t="shared" si="19"/>
        <v/>
      </c>
      <c r="B12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2" spans="1:2" x14ac:dyDescent="0.25">
      <c r="A1282" s="1" t="str">
        <f t="shared" ref="A1282:A1345" si="20">IFERROR(LEFT(RIGHT(C1282,LEN(C1282)-SEARCH("@",C1282)),SEARCH("/",RIGHT(C1282,LEN(C1282)-SEARCH("@",C1282)-1))),"")</f>
        <v/>
      </c>
      <c r="B12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3" spans="1:2" x14ac:dyDescent="0.25">
      <c r="A1283" s="1" t="str">
        <f t="shared" si="20"/>
        <v/>
      </c>
      <c r="B12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4" spans="1:2" x14ac:dyDescent="0.25">
      <c r="A1284" s="1" t="str">
        <f t="shared" si="20"/>
        <v/>
      </c>
      <c r="B12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5" spans="1:2" x14ac:dyDescent="0.25">
      <c r="A1285" s="1" t="str">
        <f t="shared" si="20"/>
        <v/>
      </c>
      <c r="B12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6" spans="1:2" x14ac:dyDescent="0.25">
      <c r="A1286" s="1" t="str">
        <f t="shared" si="20"/>
        <v/>
      </c>
      <c r="B12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7" spans="1:2" x14ac:dyDescent="0.25">
      <c r="A1287" s="1" t="str">
        <f t="shared" si="20"/>
        <v/>
      </c>
      <c r="B12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8" spans="1:2" x14ac:dyDescent="0.25">
      <c r="A1288" s="1" t="str">
        <f t="shared" si="20"/>
        <v/>
      </c>
      <c r="B12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9" spans="1:2" x14ac:dyDescent="0.25">
      <c r="A1289" s="1" t="str">
        <f t="shared" si="20"/>
        <v/>
      </c>
      <c r="B12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0" spans="1:2" x14ac:dyDescent="0.25">
      <c r="A1290" s="1" t="str">
        <f t="shared" si="20"/>
        <v/>
      </c>
      <c r="B12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1" spans="1:2" x14ac:dyDescent="0.25">
      <c r="A1291" s="1" t="str">
        <f t="shared" si="20"/>
        <v/>
      </c>
      <c r="B12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2" spans="1:2" x14ac:dyDescent="0.25">
      <c r="A1292" s="1" t="str">
        <f t="shared" si="20"/>
        <v/>
      </c>
      <c r="B12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3" spans="1:2" x14ac:dyDescent="0.25">
      <c r="A1293" s="1" t="str">
        <f t="shared" si="20"/>
        <v/>
      </c>
      <c r="B12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4" spans="1:2" x14ac:dyDescent="0.25">
      <c r="A1294" s="1" t="str">
        <f t="shared" si="20"/>
        <v/>
      </c>
      <c r="B12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5" spans="1:2" x14ac:dyDescent="0.25">
      <c r="A1295" s="1" t="str">
        <f t="shared" si="20"/>
        <v/>
      </c>
      <c r="B12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6" spans="1:2" x14ac:dyDescent="0.25">
      <c r="A1296" s="1" t="str">
        <f t="shared" si="20"/>
        <v/>
      </c>
      <c r="B12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7" spans="1:2" x14ac:dyDescent="0.25">
      <c r="A1297" s="1" t="str">
        <f t="shared" si="20"/>
        <v/>
      </c>
      <c r="B12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8" spans="1:2" x14ac:dyDescent="0.25">
      <c r="A1298" s="1" t="str">
        <f t="shared" si="20"/>
        <v/>
      </c>
      <c r="B12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9" spans="1:2" x14ac:dyDescent="0.25">
      <c r="A1299" s="1" t="str">
        <f t="shared" si="20"/>
        <v/>
      </c>
      <c r="B12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0" spans="1:2" x14ac:dyDescent="0.25">
      <c r="A1300" s="1" t="str">
        <f t="shared" si="20"/>
        <v/>
      </c>
      <c r="B13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1" spans="1:2" x14ac:dyDescent="0.25">
      <c r="A1301" s="1" t="str">
        <f t="shared" si="20"/>
        <v/>
      </c>
      <c r="B13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2" spans="1:2" x14ac:dyDescent="0.25">
      <c r="A1302" s="1" t="str">
        <f t="shared" si="20"/>
        <v/>
      </c>
      <c r="B13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3" spans="1:2" x14ac:dyDescent="0.25">
      <c r="A1303" s="1" t="str">
        <f t="shared" si="20"/>
        <v/>
      </c>
      <c r="B13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4" spans="1:2" x14ac:dyDescent="0.25">
      <c r="A1304" s="1" t="str">
        <f t="shared" si="20"/>
        <v/>
      </c>
      <c r="B13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5" spans="1:2" x14ac:dyDescent="0.25">
      <c r="A1305" s="1" t="str">
        <f t="shared" si="20"/>
        <v/>
      </c>
      <c r="B13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6" spans="1:2" x14ac:dyDescent="0.25">
      <c r="A1306" s="1" t="str">
        <f t="shared" si="20"/>
        <v/>
      </c>
      <c r="B13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7" spans="1:2" x14ac:dyDescent="0.25">
      <c r="A1307" s="1" t="str">
        <f t="shared" si="20"/>
        <v/>
      </c>
      <c r="B13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8" spans="1:2" x14ac:dyDescent="0.25">
      <c r="A1308" s="1" t="str">
        <f t="shared" si="20"/>
        <v/>
      </c>
      <c r="B13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9" spans="1:2" x14ac:dyDescent="0.25">
      <c r="A1309" s="1" t="str">
        <f t="shared" si="20"/>
        <v/>
      </c>
      <c r="B13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0" spans="1:2" x14ac:dyDescent="0.25">
      <c r="A1310" s="1" t="str">
        <f t="shared" si="20"/>
        <v/>
      </c>
      <c r="B13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1" spans="1:2" x14ac:dyDescent="0.25">
      <c r="A1311" s="1" t="str">
        <f t="shared" si="20"/>
        <v/>
      </c>
      <c r="B13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2" spans="1:2" x14ac:dyDescent="0.25">
      <c r="A1312" s="1" t="str">
        <f t="shared" si="20"/>
        <v/>
      </c>
      <c r="B13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3" spans="1:2" x14ac:dyDescent="0.25">
      <c r="A1313" s="1" t="str">
        <f t="shared" si="20"/>
        <v/>
      </c>
      <c r="B13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4" spans="1:2" x14ac:dyDescent="0.25">
      <c r="A1314" s="1" t="str">
        <f t="shared" si="20"/>
        <v/>
      </c>
      <c r="B13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5" spans="1:2" x14ac:dyDescent="0.25">
      <c r="A1315" s="1" t="str">
        <f t="shared" si="20"/>
        <v/>
      </c>
      <c r="B13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6" spans="1:2" x14ac:dyDescent="0.25">
      <c r="A1316" s="1" t="str">
        <f t="shared" si="20"/>
        <v/>
      </c>
      <c r="B13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7" spans="1:2" x14ac:dyDescent="0.25">
      <c r="A1317" s="1" t="str">
        <f t="shared" si="20"/>
        <v/>
      </c>
      <c r="B13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8" spans="1:2" x14ac:dyDescent="0.25">
      <c r="A1318" s="1" t="str">
        <f t="shared" si="20"/>
        <v/>
      </c>
      <c r="B13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9" spans="1:2" x14ac:dyDescent="0.25">
      <c r="A1319" s="1" t="str">
        <f t="shared" si="20"/>
        <v/>
      </c>
      <c r="B13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0" spans="1:2" x14ac:dyDescent="0.25">
      <c r="A1320" s="1" t="str">
        <f t="shared" si="20"/>
        <v/>
      </c>
      <c r="B13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1" spans="1:2" x14ac:dyDescent="0.25">
      <c r="A1321" s="1" t="str">
        <f t="shared" si="20"/>
        <v/>
      </c>
      <c r="B13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2" spans="1:2" x14ac:dyDescent="0.25">
      <c r="A1322" s="1" t="str">
        <f t="shared" si="20"/>
        <v/>
      </c>
      <c r="B13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3" spans="1:2" x14ac:dyDescent="0.25">
      <c r="A1323" s="1" t="str">
        <f t="shared" si="20"/>
        <v/>
      </c>
      <c r="B13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4" spans="1:2" x14ac:dyDescent="0.25">
      <c r="A1324" s="1" t="str">
        <f t="shared" si="20"/>
        <v/>
      </c>
      <c r="B13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5" spans="1:2" x14ac:dyDescent="0.25">
      <c r="A1325" s="1" t="str">
        <f t="shared" si="20"/>
        <v/>
      </c>
      <c r="B13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6" spans="1:2" x14ac:dyDescent="0.25">
      <c r="A1326" s="1" t="str">
        <f t="shared" si="20"/>
        <v/>
      </c>
      <c r="B13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7" spans="1:2" x14ac:dyDescent="0.25">
      <c r="A1327" s="1" t="str">
        <f t="shared" si="20"/>
        <v/>
      </c>
      <c r="B13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8" spans="1:2" x14ac:dyDescent="0.25">
      <c r="A1328" s="1" t="str">
        <f t="shared" si="20"/>
        <v/>
      </c>
      <c r="B13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9" spans="1:2" x14ac:dyDescent="0.25">
      <c r="A1329" s="1" t="str">
        <f t="shared" si="20"/>
        <v/>
      </c>
      <c r="B13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0" spans="1:2" x14ac:dyDescent="0.25">
      <c r="A1330" s="1" t="str">
        <f t="shared" si="20"/>
        <v/>
      </c>
      <c r="B13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1" spans="1:2" x14ac:dyDescent="0.25">
      <c r="A1331" s="1" t="str">
        <f t="shared" si="20"/>
        <v/>
      </c>
      <c r="B13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2" spans="1:2" x14ac:dyDescent="0.25">
      <c r="A1332" s="1" t="str">
        <f t="shared" si="20"/>
        <v/>
      </c>
      <c r="B13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3" spans="1:2" x14ac:dyDescent="0.25">
      <c r="A1333" s="1" t="str">
        <f t="shared" si="20"/>
        <v/>
      </c>
      <c r="B13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4" spans="1:2" x14ac:dyDescent="0.25">
      <c r="A1334" s="1" t="str">
        <f t="shared" si="20"/>
        <v/>
      </c>
      <c r="B13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5" spans="1:2" x14ac:dyDescent="0.25">
      <c r="A1335" s="1" t="str">
        <f t="shared" si="20"/>
        <v/>
      </c>
      <c r="B13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6" spans="1:2" x14ac:dyDescent="0.25">
      <c r="A1336" s="1" t="str">
        <f t="shared" si="20"/>
        <v/>
      </c>
      <c r="B13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7" spans="1:2" x14ac:dyDescent="0.25">
      <c r="A1337" s="1" t="str">
        <f t="shared" si="20"/>
        <v/>
      </c>
      <c r="B13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8" spans="1:2" x14ac:dyDescent="0.25">
      <c r="A1338" s="1" t="str">
        <f t="shared" si="20"/>
        <v/>
      </c>
      <c r="B13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9" spans="1:2" x14ac:dyDescent="0.25">
      <c r="A1339" s="1" t="str">
        <f t="shared" si="20"/>
        <v/>
      </c>
      <c r="B13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0" spans="1:2" x14ac:dyDescent="0.25">
      <c r="A1340" s="1" t="str">
        <f t="shared" si="20"/>
        <v/>
      </c>
      <c r="B13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1" spans="1:2" x14ac:dyDescent="0.25">
      <c r="A1341" s="1" t="str">
        <f t="shared" si="20"/>
        <v/>
      </c>
      <c r="B13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2" spans="1:2" x14ac:dyDescent="0.25">
      <c r="A1342" s="1" t="str">
        <f t="shared" si="20"/>
        <v/>
      </c>
      <c r="B13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3" spans="1:2" x14ac:dyDescent="0.25">
      <c r="A1343" s="1" t="str">
        <f t="shared" si="20"/>
        <v/>
      </c>
      <c r="B13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4" spans="1:2" x14ac:dyDescent="0.25">
      <c r="A1344" s="1" t="str">
        <f t="shared" si="20"/>
        <v/>
      </c>
      <c r="B13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5" spans="1:2" x14ac:dyDescent="0.25">
      <c r="A1345" s="1" t="str">
        <f t="shared" si="20"/>
        <v/>
      </c>
      <c r="B13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6" spans="1:2" x14ac:dyDescent="0.25">
      <c r="A1346" s="1" t="str">
        <f t="shared" ref="A1346:A1409" si="21">IFERROR(LEFT(RIGHT(C1346,LEN(C1346)-SEARCH("@",C1346)),SEARCH("/",RIGHT(C1346,LEN(C1346)-SEARCH("@",C1346)-1))),"")</f>
        <v/>
      </c>
      <c r="B13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7" spans="1:2" x14ac:dyDescent="0.25">
      <c r="A1347" s="1" t="str">
        <f t="shared" si="21"/>
        <v/>
      </c>
      <c r="B13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8" spans="1:2" x14ac:dyDescent="0.25">
      <c r="A1348" s="1" t="str">
        <f t="shared" si="21"/>
        <v/>
      </c>
      <c r="B13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9" spans="1:2" x14ac:dyDescent="0.25">
      <c r="A1349" s="1" t="str">
        <f t="shared" si="21"/>
        <v/>
      </c>
      <c r="B13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0" spans="1:2" x14ac:dyDescent="0.25">
      <c r="A1350" s="1" t="str">
        <f t="shared" si="21"/>
        <v/>
      </c>
      <c r="B13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1" spans="1:2" x14ac:dyDescent="0.25">
      <c r="A1351" s="1" t="str">
        <f t="shared" si="21"/>
        <v/>
      </c>
      <c r="B13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2" spans="1:2" x14ac:dyDescent="0.25">
      <c r="A1352" s="1" t="str">
        <f t="shared" si="21"/>
        <v/>
      </c>
      <c r="B13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3" spans="1:2" x14ac:dyDescent="0.25">
      <c r="A1353" s="1" t="str">
        <f t="shared" si="21"/>
        <v/>
      </c>
      <c r="B13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4" spans="1:2" x14ac:dyDescent="0.25">
      <c r="A1354" s="1" t="str">
        <f t="shared" si="21"/>
        <v/>
      </c>
      <c r="B13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5" spans="1:2" x14ac:dyDescent="0.25">
      <c r="A1355" s="1" t="str">
        <f t="shared" si="21"/>
        <v/>
      </c>
      <c r="B13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6" spans="1:2" x14ac:dyDescent="0.25">
      <c r="A1356" s="1" t="str">
        <f t="shared" si="21"/>
        <v/>
      </c>
      <c r="B13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7" spans="1:2" x14ac:dyDescent="0.25">
      <c r="A1357" s="1" t="str">
        <f t="shared" si="21"/>
        <v/>
      </c>
      <c r="B13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8" spans="1:2" x14ac:dyDescent="0.25">
      <c r="A1358" s="1" t="str">
        <f t="shared" si="21"/>
        <v/>
      </c>
      <c r="B13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9" spans="1:2" x14ac:dyDescent="0.25">
      <c r="A1359" s="1" t="str">
        <f t="shared" si="21"/>
        <v/>
      </c>
      <c r="B13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0" spans="1:2" x14ac:dyDescent="0.25">
      <c r="A1360" s="1" t="str">
        <f t="shared" si="21"/>
        <v/>
      </c>
      <c r="B13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1" spans="1:2" x14ac:dyDescent="0.25">
      <c r="A1361" s="1" t="str">
        <f t="shared" si="21"/>
        <v/>
      </c>
      <c r="B13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2" spans="1:2" x14ac:dyDescent="0.25">
      <c r="A1362" s="1" t="str">
        <f t="shared" si="21"/>
        <v/>
      </c>
      <c r="B13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3" spans="1:2" x14ac:dyDescent="0.25">
      <c r="A1363" s="1" t="str">
        <f t="shared" si="21"/>
        <v/>
      </c>
      <c r="B13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4" spans="1:2" x14ac:dyDescent="0.25">
      <c r="A1364" s="1" t="str">
        <f t="shared" si="21"/>
        <v/>
      </c>
      <c r="B13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5" spans="1:2" x14ac:dyDescent="0.25">
      <c r="A1365" s="1" t="str">
        <f t="shared" si="21"/>
        <v/>
      </c>
      <c r="B13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6" spans="1:2" x14ac:dyDescent="0.25">
      <c r="A1366" s="1" t="str">
        <f t="shared" si="21"/>
        <v/>
      </c>
      <c r="B13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7" spans="1:2" x14ac:dyDescent="0.25">
      <c r="A1367" s="1" t="str">
        <f t="shared" si="21"/>
        <v/>
      </c>
      <c r="B13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8" spans="1:2" x14ac:dyDescent="0.25">
      <c r="A1368" s="1" t="str">
        <f t="shared" si="21"/>
        <v/>
      </c>
      <c r="B13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9" spans="1:2" x14ac:dyDescent="0.25">
      <c r="A1369" s="1" t="str">
        <f t="shared" si="21"/>
        <v/>
      </c>
      <c r="B13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0" spans="1:2" x14ac:dyDescent="0.25">
      <c r="A1370" s="1" t="str">
        <f t="shared" si="21"/>
        <v/>
      </c>
      <c r="B13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1" spans="1:2" x14ac:dyDescent="0.25">
      <c r="A1371" s="1" t="str">
        <f t="shared" si="21"/>
        <v/>
      </c>
      <c r="B13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2" spans="1:2" x14ac:dyDescent="0.25">
      <c r="A1372" s="1" t="str">
        <f t="shared" si="21"/>
        <v/>
      </c>
      <c r="B13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3" spans="1:2" x14ac:dyDescent="0.25">
      <c r="A1373" s="1" t="str">
        <f t="shared" si="21"/>
        <v/>
      </c>
      <c r="B13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4" spans="1:2" x14ac:dyDescent="0.25">
      <c r="A1374" s="1" t="str">
        <f t="shared" si="21"/>
        <v/>
      </c>
      <c r="B13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5" spans="1:2" x14ac:dyDescent="0.25">
      <c r="A1375" s="1" t="str">
        <f t="shared" si="21"/>
        <v/>
      </c>
      <c r="B13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6" spans="1:2" x14ac:dyDescent="0.25">
      <c r="A1376" s="1" t="str">
        <f t="shared" si="21"/>
        <v/>
      </c>
      <c r="B13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7" spans="1:2" x14ac:dyDescent="0.25">
      <c r="A1377" s="1" t="str">
        <f t="shared" si="21"/>
        <v/>
      </c>
      <c r="B13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8" spans="1:2" x14ac:dyDescent="0.25">
      <c r="A1378" s="1" t="str">
        <f t="shared" si="21"/>
        <v/>
      </c>
      <c r="B13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9" spans="1:2" x14ac:dyDescent="0.25">
      <c r="A1379" s="1" t="str">
        <f t="shared" si="21"/>
        <v/>
      </c>
      <c r="B13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0" spans="1:2" x14ac:dyDescent="0.25">
      <c r="A1380" s="1" t="str">
        <f t="shared" si="21"/>
        <v/>
      </c>
      <c r="B13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1" spans="1:2" x14ac:dyDescent="0.25">
      <c r="A1381" s="1" t="str">
        <f t="shared" si="21"/>
        <v/>
      </c>
      <c r="B13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2" spans="1:2" x14ac:dyDescent="0.25">
      <c r="A1382" s="1" t="str">
        <f t="shared" si="21"/>
        <v/>
      </c>
      <c r="B13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3" spans="1:2" x14ac:dyDescent="0.25">
      <c r="A1383" s="1" t="str">
        <f t="shared" si="21"/>
        <v/>
      </c>
      <c r="B13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4" spans="1:2" x14ac:dyDescent="0.25">
      <c r="A1384" s="1" t="str">
        <f t="shared" si="21"/>
        <v/>
      </c>
      <c r="B13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5" spans="1:2" x14ac:dyDescent="0.25">
      <c r="A1385" s="1" t="str">
        <f t="shared" si="21"/>
        <v/>
      </c>
      <c r="B13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6" spans="1:2" x14ac:dyDescent="0.25">
      <c r="A1386" s="1" t="str">
        <f t="shared" si="21"/>
        <v/>
      </c>
      <c r="B13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7" spans="1:2" x14ac:dyDescent="0.25">
      <c r="A1387" s="1" t="str">
        <f t="shared" si="21"/>
        <v/>
      </c>
      <c r="B13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8" spans="1:2" x14ac:dyDescent="0.25">
      <c r="A1388" s="1" t="str">
        <f t="shared" si="21"/>
        <v/>
      </c>
      <c r="B13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9" spans="1:2" x14ac:dyDescent="0.25">
      <c r="A1389" s="1" t="str">
        <f t="shared" si="21"/>
        <v/>
      </c>
      <c r="B13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0" spans="1:2" x14ac:dyDescent="0.25">
      <c r="A1390" s="1" t="str">
        <f t="shared" si="21"/>
        <v/>
      </c>
      <c r="B13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1" spans="1:2" x14ac:dyDescent="0.25">
      <c r="A1391" s="1" t="str">
        <f t="shared" si="21"/>
        <v/>
      </c>
      <c r="B13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2" spans="1:2" x14ac:dyDescent="0.25">
      <c r="A1392" s="1" t="str">
        <f t="shared" si="21"/>
        <v/>
      </c>
      <c r="B13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3" spans="1:2" x14ac:dyDescent="0.25">
      <c r="A1393" s="1" t="str">
        <f t="shared" si="21"/>
        <v/>
      </c>
      <c r="B13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4" spans="1:2" x14ac:dyDescent="0.25">
      <c r="A1394" s="1" t="str">
        <f t="shared" si="21"/>
        <v/>
      </c>
      <c r="B13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5" spans="1:2" x14ac:dyDescent="0.25">
      <c r="A1395" s="1" t="str">
        <f t="shared" si="21"/>
        <v/>
      </c>
      <c r="B13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6" spans="1:2" x14ac:dyDescent="0.25">
      <c r="A1396" s="1" t="str">
        <f t="shared" si="21"/>
        <v/>
      </c>
      <c r="B13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7" spans="1:2" x14ac:dyDescent="0.25">
      <c r="A1397" s="1" t="str">
        <f t="shared" si="21"/>
        <v/>
      </c>
      <c r="B13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8" spans="1:2" x14ac:dyDescent="0.25">
      <c r="A1398" s="1" t="str">
        <f t="shared" si="21"/>
        <v/>
      </c>
      <c r="B13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9" spans="1:2" x14ac:dyDescent="0.25">
      <c r="A1399" s="1" t="str">
        <f t="shared" si="21"/>
        <v/>
      </c>
      <c r="B13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0" spans="1:2" x14ac:dyDescent="0.25">
      <c r="A1400" s="1" t="str">
        <f t="shared" si="21"/>
        <v/>
      </c>
      <c r="B14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1" spans="1:2" x14ac:dyDescent="0.25">
      <c r="A1401" s="1" t="str">
        <f t="shared" si="21"/>
        <v/>
      </c>
      <c r="B14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2" spans="1:2" x14ac:dyDescent="0.25">
      <c r="A1402" s="1" t="str">
        <f t="shared" si="21"/>
        <v/>
      </c>
      <c r="B14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3" spans="1:2" x14ac:dyDescent="0.25">
      <c r="A1403" s="1" t="str">
        <f t="shared" si="21"/>
        <v/>
      </c>
      <c r="B14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4" spans="1:2" x14ac:dyDescent="0.25">
      <c r="A1404" s="1" t="str">
        <f t="shared" si="21"/>
        <v/>
      </c>
      <c r="B14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5" spans="1:2" x14ac:dyDescent="0.25">
      <c r="A1405" s="1" t="str">
        <f t="shared" si="21"/>
        <v/>
      </c>
      <c r="B14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6" spans="1:2" x14ac:dyDescent="0.25">
      <c r="A1406" s="1" t="str">
        <f t="shared" si="21"/>
        <v/>
      </c>
      <c r="B14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7" spans="1:2" x14ac:dyDescent="0.25">
      <c r="A1407" s="1" t="str">
        <f t="shared" si="21"/>
        <v/>
      </c>
      <c r="B14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8" spans="1:2" x14ac:dyDescent="0.25">
      <c r="A1408" s="1" t="str">
        <f t="shared" si="21"/>
        <v/>
      </c>
      <c r="B14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9" spans="1:2" x14ac:dyDescent="0.25">
      <c r="A1409" s="1" t="str">
        <f t="shared" si="21"/>
        <v/>
      </c>
      <c r="B14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0" spans="1:2" x14ac:dyDescent="0.25">
      <c r="A1410" s="1" t="str">
        <f t="shared" ref="A1410:A1473" si="22">IFERROR(LEFT(RIGHT(C1410,LEN(C1410)-SEARCH("@",C1410)),SEARCH("/",RIGHT(C1410,LEN(C1410)-SEARCH("@",C1410)-1))),"")</f>
        <v/>
      </c>
      <c r="B14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1" spans="1:2" x14ac:dyDescent="0.25">
      <c r="A1411" s="1" t="str">
        <f t="shared" si="22"/>
        <v/>
      </c>
      <c r="B14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2" spans="1:2" x14ac:dyDescent="0.25">
      <c r="A1412" s="1" t="str">
        <f t="shared" si="22"/>
        <v/>
      </c>
      <c r="B14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3" spans="1:2" x14ac:dyDescent="0.25">
      <c r="A1413" s="1" t="str">
        <f t="shared" si="22"/>
        <v/>
      </c>
      <c r="B14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4" spans="1:2" x14ac:dyDescent="0.25">
      <c r="A1414" s="1" t="str">
        <f t="shared" si="22"/>
        <v/>
      </c>
      <c r="B14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5" spans="1:2" x14ac:dyDescent="0.25">
      <c r="A1415" s="1" t="str">
        <f t="shared" si="22"/>
        <v/>
      </c>
      <c r="B14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6" spans="1:2" x14ac:dyDescent="0.25">
      <c r="A1416" s="1" t="str">
        <f t="shared" si="22"/>
        <v/>
      </c>
      <c r="B14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7" spans="1:2" x14ac:dyDescent="0.25">
      <c r="A1417" s="1" t="str">
        <f t="shared" si="22"/>
        <v/>
      </c>
      <c r="B14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8" spans="1:2" x14ac:dyDescent="0.25">
      <c r="A1418" s="1" t="str">
        <f t="shared" si="22"/>
        <v/>
      </c>
      <c r="B14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9" spans="1:2" x14ac:dyDescent="0.25">
      <c r="A1419" s="1" t="str">
        <f t="shared" si="22"/>
        <v/>
      </c>
      <c r="B14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0" spans="1:2" x14ac:dyDescent="0.25">
      <c r="A1420" s="1" t="str">
        <f t="shared" si="22"/>
        <v/>
      </c>
      <c r="B14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1" spans="1:2" x14ac:dyDescent="0.25">
      <c r="A1421" s="1" t="str">
        <f t="shared" si="22"/>
        <v/>
      </c>
      <c r="B14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2" spans="1:2" x14ac:dyDescent="0.25">
      <c r="A1422" s="1" t="str">
        <f t="shared" si="22"/>
        <v/>
      </c>
      <c r="B14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3" spans="1:2" x14ac:dyDescent="0.25">
      <c r="A1423" s="1" t="str">
        <f t="shared" si="22"/>
        <v/>
      </c>
      <c r="B14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4" spans="1:2" x14ac:dyDescent="0.25">
      <c r="A1424" s="1" t="str">
        <f t="shared" si="22"/>
        <v/>
      </c>
      <c r="B14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5" spans="1:2" x14ac:dyDescent="0.25">
      <c r="A1425" s="1" t="str">
        <f t="shared" si="22"/>
        <v/>
      </c>
      <c r="B14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6" spans="1:2" x14ac:dyDescent="0.25">
      <c r="A1426" s="1" t="str">
        <f t="shared" si="22"/>
        <v/>
      </c>
      <c r="B14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7" spans="1:2" x14ac:dyDescent="0.25">
      <c r="A1427" s="1" t="str">
        <f t="shared" si="22"/>
        <v/>
      </c>
      <c r="B14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8" spans="1:2" x14ac:dyDescent="0.25">
      <c r="A1428" s="1" t="str">
        <f t="shared" si="22"/>
        <v/>
      </c>
      <c r="B14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9" spans="1:2" x14ac:dyDescent="0.25">
      <c r="A1429" s="1" t="str">
        <f t="shared" si="22"/>
        <v/>
      </c>
      <c r="B14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0" spans="1:2" x14ac:dyDescent="0.25">
      <c r="A1430" s="1" t="str">
        <f t="shared" si="22"/>
        <v/>
      </c>
      <c r="B14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1" spans="1:2" x14ac:dyDescent="0.25">
      <c r="A1431" s="1" t="str">
        <f t="shared" si="22"/>
        <v/>
      </c>
      <c r="B14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2" spans="1:2" x14ac:dyDescent="0.25">
      <c r="A1432" s="1" t="str">
        <f t="shared" si="22"/>
        <v/>
      </c>
      <c r="B14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3" spans="1:2" x14ac:dyDescent="0.25">
      <c r="A1433" s="1" t="str">
        <f t="shared" si="22"/>
        <v/>
      </c>
      <c r="B14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4" spans="1:2" x14ac:dyDescent="0.25">
      <c r="A1434" s="1" t="str">
        <f t="shared" si="22"/>
        <v/>
      </c>
      <c r="B14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5" spans="1:2" x14ac:dyDescent="0.25">
      <c r="A1435" s="1" t="str">
        <f t="shared" si="22"/>
        <v/>
      </c>
      <c r="B14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6" spans="1:2" x14ac:dyDescent="0.25">
      <c r="A1436" s="1" t="str">
        <f t="shared" si="22"/>
        <v/>
      </c>
      <c r="B14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7" spans="1:2" x14ac:dyDescent="0.25">
      <c r="A1437" s="1" t="str">
        <f t="shared" si="22"/>
        <v/>
      </c>
      <c r="B14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8" spans="1:2" x14ac:dyDescent="0.25">
      <c r="A1438" s="1" t="str">
        <f t="shared" si="22"/>
        <v/>
      </c>
      <c r="B14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9" spans="1:2" x14ac:dyDescent="0.25">
      <c r="A1439" s="1" t="str">
        <f t="shared" si="22"/>
        <v/>
      </c>
      <c r="B14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0" spans="1:2" x14ac:dyDescent="0.25">
      <c r="A1440" s="1" t="str">
        <f t="shared" si="22"/>
        <v/>
      </c>
      <c r="B14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1" spans="1:2" x14ac:dyDescent="0.25">
      <c r="A1441" s="1" t="str">
        <f t="shared" si="22"/>
        <v/>
      </c>
      <c r="B14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2" spans="1:2" x14ac:dyDescent="0.25">
      <c r="A1442" s="1" t="str">
        <f t="shared" si="22"/>
        <v/>
      </c>
      <c r="B14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3" spans="1:2" x14ac:dyDescent="0.25">
      <c r="A1443" s="1" t="str">
        <f t="shared" si="22"/>
        <v/>
      </c>
      <c r="B14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4" spans="1:2" x14ac:dyDescent="0.25">
      <c r="A1444" s="1" t="str">
        <f t="shared" si="22"/>
        <v/>
      </c>
      <c r="B14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5" spans="1:2" x14ac:dyDescent="0.25">
      <c r="A1445" s="1" t="str">
        <f t="shared" si="22"/>
        <v/>
      </c>
      <c r="B14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6" spans="1:2" x14ac:dyDescent="0.25">
      <c r="A1446" s="1" t="str">
        <f t="shared" si="22"/>
        <v/>
      </c>
      <c r="B14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7" spans="1:2" x14ac:dyDescent="0.25">
      <c r="A1447" s="1" t="str">
        <f t="shared" si="22"/>
        <v/>
      </c>
      <c r="B14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8" spans="1:2" x14ac:dyDescent="0.25">
      <c r="A1448" s="1" t="str">
        <f t="shared" si="22"/>
        <v/>
      </c>
      <c r="B14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9" spans="1:2" x14ac:dyDescent="0.25">
      <c r="A1449" s="1" t="str">
        <f t="shared" si="22"/>
        <v/>
      </c>
      <c r="B14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0" spans="1:2" x14ac:dyDescent="0.25">
      <c r="A1450" s="1" t="str">
        <f t="shared" si="22"/>
        <v/>
      </c>
      <c r="B14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1" spans="1:2" x14ac:dyDescent="0.25">
      <c r="A1451" s="1" t="str">
        <f t="shared" si="22"/>
        <v/>
      </c>
      <c r="B14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2" spans="1:2" x14ac:dyDescent="0.25">
      <c r="A1452" s="1" t="str">
        <f t="shared" si="22"/>
        <v/>
      </c>
      <c r="B14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3" spans="1:2" x14ac:dyDescent="0.25">
      <c r="A1453" s="1" t="str">
        <f t="shared" si="22"/>
        <v/>
      </c>
      <c r="B14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4" spans="1:2" x14ac:dyDescent="0.25">
      <c r="A1454" s="1" t="str">
        <f t="shared" si="22"/>
        <v/>
      </c>
      <c r="B14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5" spans="1:2" x14ac:dyDescent="0.25">
      <c r="A1455" s="1" t="str">
        <f t="shared" si="22"/>
        <v/>
      </c>
      <c r="B14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6" spans="1:2" x14ac:dyDescent="0.25">
      <c r="A1456" s="1" t="str">
        <f t="shared" si="22"/>
        <v/>
      </c>
      <c r="B14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7" spans="1:2" x14ac:dyDescent="0.25">
      <c r="A1457" s="1" t="str">
        <f t="shared" si="22"/>
        <v/>
      </c>
      <c r="B14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8" spans="1:2" x14ac:dyDescent="0.25">
      <c r="A1458" s="1" t="str">
        <f t="shared" si="22"/>
        <v/>
      </c>
      <c r="B14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9" spans="1:2" x14ac:dyDescent="0.25">
      <c r="A1459" s="1" t="str">
        <f t="shared" si="22"/>
        <v/>
      </c>
      <c r="B14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0" spans="1:2" x14ac:dyDescent="0.25">
      <c r="A1460" s="1" t="str">
        <f t="shared" si="22"/>
        <v/>
      </c>
      <c r="B14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1" spans="1:2" x14ac:dyDescent="0.25">
      <c r="A1461" s="1" t="str">
        <f t="shared" si="22"/>
        <v/>
      </c>
      <c r="B14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2" spans="1:2" x14ac:dyDescent="0.25">
      <c r="A1462" s="1" t="str">
        <f t="shared" si="22"/>
        <v/>
      </c>
      <c r="B14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3" spans="1:2" x14ac:dyDescent="0.25">
      <c r="A1463" s="1" t="str">
        <f t="shared" si="22"/>
        <v/>
      </c>
      <c r="B14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4" spans="1:2" x14ac:dyDescent="0.25">
      <c r="A1464" s="1" t="str">
        <f t="shared" si="22"/>
        <v/>
      </c>
      <c r="B14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5" spans="1:2" x14ac:dyDescent="0.25">
      <c r="A1465" s="1" t="str">
        <f t="shared" si="22"/>
        <v/>
      </c>
      <c r="B14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6" spans="1:2" x14ac:dyDescent="0.25">
      <c r="A1466" s="1" t="str">
        <f t="shared" si="22"/>
        <v/>
      </c>
      <c r="B14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7" spans="1:2" x14ac:dyDescent="0.25">
      <c r="A1467" s="1" t="str">
        <f t="shared" si="22"/>
        <v/>
      </c>
      <c r="B14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8" spans="1:2" x14ac:dyDescent="0.25">
      <c r="A1468" s="1" t="str">
        <f t="shared" si="22"/>
        <v/>
      </c>
      <c r="B14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9" spans="1:2" x14ac:dyDescent="0.25">
      <c r="A1469" s="1" t="str">
        <f t="shared" si="22"/>
        <v/>
      </c>
      <c r="B14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0" spans="1:2" x14ac:dyDescent="0.25">
      <c r="A1470" s="1" t="str">
        <f t="shared" si="22"/>
        <v/>
      </c>
      <c r="B14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1" spans="1:2" x14ac:dyDescent="0.25">
      <c r="A1471" s="1" t="str">
        <f t="shared" si="22"/>
        <v/>
      </c>
      <c r="B14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2" spans="1:2" x14ac:dyDescent="0.25">
      <c r="A1472" s="1" t="str">
        <f t="shared" si="22"/>
        <v/>
      </c>
      <c r="B14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3" spans="1:2" x14ac:dyDescent="0.25">
      <c r="A1473" s="1" t="str">
        <f t="shared" si="22"/>
        <v/>
      </c>
      <c r="B14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4" spans="1:2" x14ac:dyDescent="0.25">
      <c r="A1474" s="1" t="str">
        <f t="shared" ref="A1474:A1531" si="23">IFERROR(LEFT(RIGHT(C1474,LEN(C1474)-SEARCH("@",C1474)),SEARCH("/",RIGHT(C1474,LEN(C1474)-SEARCH("@",C1474)-1))),"")</f>
        <v/>
      </c>
      <c r="B14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5" spans="1:2" x14ac:dyDescent="0.25">
      <c r="A1475" s="1" t="str">
        <f t="shared" si="23"/>
        <v/>
      </c>
      <c r="B14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6" spans="1:2" x14ac:dyDescent="0.25">
      <c r="A1476" s="1" t="str">
        <f t="shared" si="23"/>
        <v/>
      </c>
      <c r="B14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7" spans="1:2" x14ac:dyDescent="0.25">
      <c r="A1477" s="1" t="str">
        <f t="shared" si="23"/>
        <v/>
      </c>
      <c r="B14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8" spans="1:2" x14ac:dyDescent="0.25">
      <c r="A1478" s="1" t="str">
        <f t="shared" si="23"/>
        <v/>
      </c>
      <c r="B14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9" spans="1:2" x14ac:dyDescent="0.25">
      <c r="A1479" s="1" t="str">
        <f t="shared" si="23"/>
        <v/>
      </c>
      <c r="B14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0" spans="1:2" x14ac:dyDescent="0.25">
      <c r="A1480" s="1" t="str">
        <f t="shared" si="23"/>
        <v/>
      </c>
      <c r="B14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1" spans="1:2" x14ac:dyDescent="0.25">
      <c r="A1481" s="1" t="str">
        <f t="shared" si="23"/>
        <v/>
      </c>
      <c r="B14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2" spans="1:2" x14ac:dyDescent="0.25">
      <c r="A1482" s="1" t="str">
        <f t="shared" si="23"/>
        <v/>
      </c>
      <c r="B14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3" spans="1:2" x14ac:dyDescent="0.25">
      <c r="A1483" s="1" t="str">
        <f t="shared" si="23"/>
        <v/>
      </c>
      <c r="B14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4" spans="1:2" x14ac:dyDescent="0.25">
      <c r="A1484" s="1" t="str">
        <f t="shared" si="23"/>
        <v/>
      </c>
      <c r="B14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5" spans="1:2" x14ac:dyDescent="0.25">
      <c r="A1485" s="1" t="str">
        <f t="shared" si="23"/>
        <v/>
      </c>
      <c r="B14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6" spans="1:2" x14ac:dyDescent="0.25">
      <c r="A1486" s="1" t="str">
        <f t="shared" si="23"/>
        <v/>
      </c>
      <c r="B14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7" spans="1:2" x14ac:dyDescent="0.25">
      <c r="A1487" s="1" t="str">
        <f t="shared" si="23"/>
        <v/>
      </c>
      <c r="B14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8" spans="1:2" x14ac:dyDescent="0.25">
      <c r="A1488" s="1" t="str">
        <f t="shared" si="23"/>
        <v/>
      </c>
      <c r="B14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9" spans="1:2" x14ac:dyDescent="0.25">
      <c r="A1489" s="1" t="str">
        <f t="shared" si="23"/>
        <v/>
      </c>
      <c r="B14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0" spans="1:2" x14ac:dyDescent="0.25">
      <c r="A1490" s="1" t="str">
        <f t="shared" si="23"/>
        <v/>
      </c>
      <c r="B14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1" spans="1:2" x14ac:dyDescent="0.25">
      <c r="A1491" s="1" t="str">
        <f t="shared" si="23"/>
        <v/>
      </c>
      <c r="B14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2" spans="1:2" x14ac:dyDescent="0.25">
      <c r="A1492" s="1" t="str">
        <f t="shared" si="23"/>
        <v/>
      </c>
      <c r="B14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3" spans="1:2" x14ac:dyDescent="0.25">
      <c r="A1493" s="1" t="str">
        <f t="shared" si="23"/>
        <v/>
      </c>
      <c r="B14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4" spans="1:2" x14ac:dyDescent="0.25">
      <c r="A1494" s="1" t="str">
        <f t="shared" si="23"/>
        <v/>
      </c>
      <c r="B14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5" spans="1:2" x14ac:dyDescent="0.25">
      <c r="A1495" s="1" t="str">
        <f t="shared" si="23"/>
        <v/>
      </c>
      <c r="B14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6" spans="1:2" x14ac:dyDescent="0.25">
      <c r="A1496" s="1" t="str">
        <f t="shared" si="23"/>
        <v/>
      </c>
      <c r="B14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7" spans="1:2" x14ac:dyDescent="0.25">
      <c r="A1497" s="1" t="str">
        <f t="shared" si="23"/>
        <v/>
      </c>
      <c r="B14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8" spans="1:2" x14ac:dyDescent="0.25">
      <c r="A1498" s="1" t="str">
        <f t="shared" si="23"/>
        <v/>
      </c>
      <c r="B14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9" spans="1:2" x14ac:dyDescent="0.25">
      <c r="A1499" s="1" t="str">
        <f t="shared" si="23"/>
        <v/>
      </c>
      <c r="B14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0" spans="1:2" x14ac:dyDescent="0.25">
      <c r="A1500" s="1" t="str">
        <f t="shared" si="23"/>
        <v/>
      </c>
      <c r="B15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1" spans="1:2" x14ac:dyDescent="0.25">
      <c r="A1501" s="1" t="str">
        <f t="shared" si="23"/>
        <v/>
      </c>
      <c r="B15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2" spans="1:2" x14ac:dyDescent="0.25">
      <c r="A1502" s="1" t="str">
        <f t="shared" si="23"/>
        <v/>
      </c>
      <c r="B15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3" spans="1:2" x14ac:dyDescent="0.25">
      <c r="A1503" s="1" t="str">
        <f t="shared" si="23"/>
        <v/>
      </c>
      <c r="B15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4" spans="1:2" x14ac:dyDescent="0.25">
      <c r="A1504" s="1" t="str">
        <f t="shared" si="23"/>
        <v/>
      </c>
      <c r="B15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5" spans="1:2" x14ac:dyDescent="0.25">
      <c r="A1505" s="1" t="str">
        <f t="shared" si="23"/>
        <v/>
      </c>
      <c r="B15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6" spans="1:2" x14ac:dyDescent="0.25">
      <c r="A1506" s="1" t="str">
        <f t="shared" si="23"/>
        <v/>
      </c>
      <c r="B15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7" spans="1:2" x14ac:dyDescent="0.25">
      <c r="A1507" s="1" t="str">
        <f t="shared" si="23"/>
        <v/>
      </c>
      <c r="B15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8" spans="1:2" x14ac:dyDescent="0.25">
      <c r="A1508" s="1" t="str">
        <f t="shared" si="23"/>
        <v/>
      </c>
      <c r="B15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9" spans="1:2" x14ac:dyDescent="0.25">
      <c r="A1509" s="1" t="str">
        <f t="shared" si="23"/>
        <v/>
      </c>
      <c r="B15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0" spans="1:2" x14ac:dyDescent="0.25">
      <c r="A1510" s="1" t="str">
        <f t="shared" si="23"/>
        <v/>
      </c>
      <c r="B15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1" spans="1:2" x14ac:dyDescent="0.25">
      <c r="A1511" s="1" t="str">
        <f t="shared" si="23"/>
        <v/>
      </c>
      <c r="B15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2" spans="1:2" x14ac:dyDescent="0.25">
      <c r="A1512" s="1" t="str">
        <f t="shared" si="23"/>
        <v/>
      </c>
      <c r="B15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3" spans="1:2" x14ac:dyDescent="0.25">
      <c r="A1513" s="1" t="str">
        <f t="shared" si="23"/>
        <v/>
      </c>
      <c r="B15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4" spans="1:2" x14ac:dyDescent="0.25">
      <c r="A1514" s="1" t="str">
        <f t="shared" si="23"/>
        <v/>
      </c>
      <c r="B15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5" spans="1:2" x14ac:dyDescent="0.25">
      <c r="A1515" s="1" t="str">
        <f t="shared" si="23"/>
        <v/>
      </c>
      <c r="B15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6" spans="1:2" x14ac:dyDescent="0.25">
      <c r="A1516" s="1" t="str">
        <f t="shared" si="23"/>
        <v/>
      </c>
      <c r="B15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7" spans="1:2" x14ac:dyDescent="0.25">
      <c r="A1517" s="1" t="str">
        <f t="shared" si="23"/>
        <v/>
      </c>
      <c r="B15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8" spans="1:2" x14ac:dyDescent="0.25">
      <c r="A1518" s="1" t="str">
        <f t="shared" si="23"/>
        <v/>
      </c>
      <c r="B15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9" spans="1:2" x14ac:dyDescent="0.25">
      <c r="A1519" s="1" t="str">
        <f t="shared" si="23"/>
        <v/>
      </c>
      <c r="B15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0" spans="1:2" x14ac:dyDescent="0.25">
      <c r="A1520" s="1" t="str">
        <f t="shared" si="23"/>
        <v/>
      </c>
      <c r="B15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1" spans="1:2" x14ac:dyDescent="0.25">
      <c r="A1521" s="1" t="str">
        <f t="shared" si="23"/>
        <v/>
      </c>
      <c r="B15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2" spans="1:2" x14ac:dyDescent="0.25">
      <c r="A1522" s="1" t="str">
        <f t="shared" si="23"/>
        <v/>
      </c>
      <c r="B15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3" spans="1:2" x14ac:dyDescent="0.25">
      <c r="A1523" s="1" t="str">
        <f t="shared" si="23"/>
        <v/>
      </c>
      <c r="B15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4" spans="1:2" x14ac:dyDescent="0.25">
      <c r="A1524" s="1" t="str">
        <f t="shared" si="23"/>
        <v/>
      </c>
      <c r="B15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5" spans="1:2" x14ac:dyDescent="0.25">
      <c r="A1525" s="1" t="str">
        <f t="shared" si="23"/>
        <v/>
      </c>
      <c r="B15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6" spans="1:2" x14ac:dyDescent="0.25">
      <c r="A1526" s="1" t="str">
        <f t="shared" si="23"/>
        <v/>
      </c>
      <c r="B15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7" spans="1:2" x14ac:dyDescent="0.25">
      <c r="A1527" s="1" t="str">
        <f t="shared" si="23"/>
        <v/>
      </c>
      <c r="B15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8" spans="1:2" x14ac:dyDescent="0.25">
      <c r="A1528" s="1" t="str">
        <f t="shared" si="23"/>
        <v/>
      </c>
      <c r="B15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9" spans="1:2" x14ac:dyDescent="0.25">
      <c r="A1529" s="1" t="str">
        <f t="shared" si="23"/>
        <v/>
      </c>
      <c r="B15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0" spans="1:2" x14ac:dyDescent="0.25">
      <c r="A1530" s="1" t="str">
        <f t="shared" si="23"/>
        <v/>
      </c>
      <c r="B15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1" spans="1:2" x14ac:dyDescent="0.25">
      <c r="A1531" s="1" t="str">
        <f t="shared" si="23"/>
        <v/>
      </c>
      <c r="B15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sheetData>
  <conditionalFormatting sqref="A1:J2 EO1:XFD10 B11:K13 K1:L4 A1532:XFD1048576 M15:XFD19 B14:J19 K5:K6 B3:J10 B20:XFD1531 A3:A1531 AH11:XFD14">
    <cfRule type="containsText" dxfId="28" priority="1" operator="containsText" text="ERREUR">
      <formula>NOT(ISERROR(SEARCH("ERREUR",A1)))</formula>
    </cfRule>
    <cfRule type="containsText" dxfId="27" priority="2" operator="containsText" text="OK">
      <formula>NOT(ISERROR(SEARCH("OK",A1)))</formula>
    </cfRule>
  </conditionalFormatting>
  <pageMargins left="0.7" right="0.7" top="0.75" bottom="0.75" header="0.3" footer="0.3"/>
  <pageSetup paperSize="9" orientation="portrait" horizontalDpi="300" verticalDpi="300" r:id="rId2"/>
  <headerFooter>
    <oddFooter>&amp;C&amp;1#&amp;"Arial"&amp;10&amp;K000000Internal</oddFooter>
  </headerFooter>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75"/>
  <sheetViews>
    <sheetView showGridLines="0" topLeftCell="K37" zoomScaleNormal="100" zoomScaleSheetLayoutView="40" zoomScalePageLayoutView="30" workbookViewId="0">
      <selection activeCell="Q65" sqref="Q65"/>
    </sheetView>
  </sheetViews>
  <sheetFormatPr defaultColWidth="9.140625" defaultRowHeight="15" x14ac:dyDescent="0.25"/>
  <cols>
    <col min="1" max="1" width="33.5703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3" width="26.42578125" style="1" customWidth="1"/>
    <col min="14" max="14" width="11.7109375" style="1" customWidth="1"/>
    <col min="15" max="15" width="14.85546875" style="1" customWidth="1"/>
    <col min="16" max="16" width="17.7109375" style="1" customWidth="1"/>
    <col min="17" max="18" width="25.85546875" style="1" bestFit="1" customWidth="1"/>
    <col min="19" max="22" width="25.85546875" style="1" customWidth="1"/>
    <col min="23" max="16384" width="9.140625" style="1"/>
  </cols>
  <sheetData>
    <row r="1" spans="1:22" ht="27" thickBot="1" x14ac:dyDescent="0.45">
      <c r="A1" s="218" t="s">
        <v>43</v>
      </c>
      <c r="B1" s="219"/>
      <c r="C1" s="219"/>
      <c r="D1" s="219"/>
      <c r="E1" s="219"/>
      <c r="F1" s="219"/>
      <c r="G1" s="219"/>
      <c r="H1" s="219"/>
      <c r="I1" s="219"/>
      <c r="J1" s="219"/>
      <c r="K1" s="219"/>
      <c r="L1" s="219"/>
      <c r="M1" s="219"/>
      <c r="N1" s="219"/>
      <c r="O1" s="219"/>
      <c r="P1" s="219"/>
      <c r="Q1" s="219"/>
      <c r="R1" s="219"/>
      <c r="S1" s="219"/>
      <c r="T1" s="219"/>
      <c r="U1" s="219"/>
      <c r="V1" s="219"/>
    </row>
    <row r="2" spans="1:22" customFormat="1" ht="15.75" thickBot="1" x14ac:dyDescent="0.3"/>
    <row r="3" spans="1:22" ht="15.75" thickBot="1" x14ac:dyDescent="0.3">
      <c r="A3" s="51" t="s">
        <v>18</v>
      </c>
      <c r="B3" s="226" t="s">
        <v>6</v>
      </c>
      <c r="C3" s="227"/>
      <c r="D3" s="227"/>
      <c r="E3" s="227"/>
      <c r="F3" s="227"/>
      <c r="G3" s="227"/>
      <c r="H3" s="227"/>
      <c r="I3" s="227"/>
      <c r="J3" s="227"/>
      <c r="K3" s="227"/>
      <c r="L3" s="227"/>
      <c r="M3" s="227"/>
      <c r="O3" s="226" t="s">
        <v>3</v>
      </c>
      <c r="P3" s="227"/>
      <c r="Q3" s="227"/>
      <c r="R3" s="227"/>
      <c r="S3" s="227"/>
      <c r="T3" s="227"/>
      <c r="U3" s="227"/>
      <c r="V3" s="227"/>
    </row>
    <row r="4" spans="1:22" x14ac:dyDescent="0.2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estradiol 34ng/L</v>
      </c>
      <c r="J4" s="35" t="str">
        <f>'Page de garde'!A16</f>
        <v>estradiol 68ng/L</v>
      </c>
      <c r="K4" s="35" t="str">
        <f>'Page de garde'!A17</f>
        <v>estradiol 135ng/L</v>
      </c>
      <c r="L4" s="35" t="str">
        <f>'Page de garde'!A18</f>
        <v>estradiol 270ng/L</v>
      </c>
      <c r="M4" s="35" t="str">
        <f>'Page de garde'!A19</f>
        <v>estradiol 540ng/L</v>
      </c>
      <c r="N4" s="3"/>
      <c r="O4" s="36" t="str">
        <f>'Page de garde'!A36</f>
        <v>Testo -30µg/L</v>
      </c>
      <c r="P4" s="36" t="str">
        <f>'Page de garde'!A37</f>
        <v>Testo 30µg/L + EE2 -64ng/L</v>
      </c>
      <c r="Q4" s="36" t="str">
        <f>'Page de garde'!A38</f>
        <v>Testo 30µg/L + FAD-10µg/L</v>
      </c>
      <c r="R4" s="36" t="str">
        <f>'Page de garde'!A39</f>
        <v>estradiol-34ng/L + Testosterone</v>
      </c>
      <c r="S4" s="36" t="str">
        <f>'Page de garde'!A40</f>
        <v>estradiol-68ng/L + Testosterone</v>
      </c>
      <c r="T4" s="36" t="str">
        <f>'Page de garde'!A41</f>
        <v>estradiol-135ng/L + Testosterone</v>
      </c>
      <c r="U4" s="36" t="str">
        <f>'Page de garde'!A42</f>
        <v>estradiol-270ng/L + Testosterone</v>
      </c>
      <c r="V4" s="36" t="str">
        <f>'Page de garde'!A43</f>
        <v>estradiol-540ng/L + Testosterone</v>
      </c>
    </row>
    <row r="5" spans="1:22" x14ac:dyDescent="0.25">
      <c r="A5" s="228" t="s">
        <v>33</v>
      </c>
      <c r="B5" s="195">
        <v>683602</v>
      </c>
      <c r="C5" s="195">
        <v>370816</v>
      </c>
      <c r="D5" s="195">
        <v>223631.33333333334</v>
      </c>
      <c r="E5" s="195">
        <v>407496</v>
      </c>
      <c r="F5" s="195">
        <v>1740745</v>
      </c>
      <c r="G5" s="195">
        <v>2886971</v>
      </c>
      <c r="H5" s="195">
        <v>2083997</v>
      </c>
      <c r="I5" s="195">
        <v>116650</v>
      </c>
      <c r="J5" s="195">
        <v>756621</v>
      </c>
      <c r="K5" s="195">
        <v>317973.66666666669</v>
      </c>
      <c r="L5" s="195">
        <v>5092960.666666667</v>
      </c>
      <c r="M5" s="195">
        <v>4669779</v>
      </c>
      <c r="N5" s="3"/>
      <c r="O5" s="195">
        <v>3629010</v>
      </c>
      <c r="P5" s="195">
        <v>2941233</v>
      </c>
      <c r="Q5" s="195">
        <v>250020</v>
      </c>
      <c r="R5" s="195">
        <v>4121230.3333333335</v>
      </c>
      <c r="S5" s="195">
        <v>3952488.3333333335</v>
      </c>
      <c r="T5" s="195">
        <v>120709.33333333333</v>
      </c>
      <c r="U5" s="195">
        <v>5314537.333333333</v>
      </c>
      <c r="V5" s="195">
        <v>4699787</v>
      </c>
    </row>
    <row r="6" spans="1:22" x14ac:dyDescent="0.25">
      <c r="A6" s="228"/>
      <c r="B6" s="195">
        <v>59251.333333333336</v>
      </c>
      <c r="C6" s="195">
        <v>243617.66666666666</v>
      </c>
      <c r="D6" s="195">
        <v>239991</v>
      </c>
      <c r="E6" s="195">
        <v>420103</v>
      </c>
      <c r="F6" s="195">
        <v>799123.66666666663</v>
      </c>
      <c r="G6" s="195">
        <v>3092851.3333333335</v>
      </c>
      <c r="H6" s="195">
        <v>5272149.666666667</v>
      </c>
      <c r="I6" s="195">
        <v>646193</v>
      </c>
      <c r="J6" s="195">
        <v>183990.66666666666</v>
      </c>
      <c r="K6" s="195">
        <v>1456982.6666666667</v>
      </c>
      <c r="L6" s="195">
        <v>3510748</v>
      </c>
      <c r="M6" s="195">
        <v>7626383.333333333</v>
      </c>
      <c r="N6" s="3"/>
      <c r="O6" s="195">
        <v>4316894</v>
      </c>
      <c r="P6" s="195">
        <v>5455730</v>
      </c>
      <c r="Q6" s="195">
        <v>118034.33333333333</v>
      </c>
      <c r="R6" s="195">
        <v>3422671</v>
      </c>
      <c r="S6" s="195">
        <v>5944407</v>
      </c>
      <c r="T6" s="195">
        <v>4439543</v>
      </c>
      <c r="U6" s="195">
        <v>4378316.333333333</v>
      </c>
      <c r="V6" s="195">
        <v>6017552</v>
      </c>
    </row>
    <row r="7" spans="1:22" x14ac:dyDescent="0.25">
      <c r="A7" s="228"/>
      <c r="B7" s="195">
        <v>69078.666666666672</v>
      </c>
      <c r="C7" s="195">
        <v>228930.66666666666</v>
      </c>
      <c r="D7" s="195">
        <v>141885</v>
      </c>
      <c r="E7" s="195">
        <v>265932.33333333331</v>
      </c>
      <c r="F7" s="195">
        <v>751927</v>
      </c>
      <c r="G7" s="195">
        <v>3770566.6666666665</v>
      </c>
      <c r="H7" s="195">
        <v>5916893.666666667</v>
      </c>
      <c r="I7" s="195">
        <v>364276.33333333331</v>
      </c>
      <c r="J7" s="195">
        <v>120053</v>
      </c>
      <c r="K7" s="195">
        <v>126373</v>
      </c>
      <c r="L7" s="195">
        <v>3505333.6666666665</v>
      </c>
      <c r="M7" s="195">
        <v>6631423</v>
      </c>
      <c r="N7" s="3"/>
      <c r="O7" s="195">
        <v>1325609.6666666667</v>
      </c>
      <c r="P7" s="195">
        <v>5723688.333333333</v>
      </c>
      <c r="Q7" s="195">
        <v>152166.33333333334</v>
      </c>
      <c r="R7" s="195">
        <v>1936409</v>
      </c>
      <c r="S7" s="195">
        <v>4257159.666666667</v>
      </c>
      <c r="T7" s="195">
        <v>4816610</v>
      </c>
      <c r="U7" s="195">
        <v>6997999</v>
      </c>
      <c r="V7" s="195">
        <v>2949722.5</v>
      </c>
    </row>
    <row r="8" spans="1:22" x14ac:dyDescent="0.25">
      <c r="A8" s="228"/>
      <c r="B8" s="195">
        <v>98423</v>
      </c>
      <c r="C8" s="195">
        <v>504438</v>
      </c>
      <c r="D8" s="195">
        <v>222744.66666666666</v>
      </c>
      <c r="E8" s="195">
        <v>369856.66666666669</v>
      </c>
      <c r="F8" s="195">
        <v>1708798</v>
      </c>
      <c r="G8" s="195">
        <v>3534930</v>
      </c>
      <c r="H8" s="195">
        <v>7221198</v>
      </c>
      <c r="I8" s="195">
        <v>136095.33333333334</v>
      </c>
      <c r="J8" s="195">
        <v>863920</v>
      </c>
      <c r="K8" s="195">
        <v>1481474.6666666667</v>
      </c>
      <c r="L8" s="195">
        <v>5752261.333333333</v>
      </c>
      <c r="M8" s="195">
        <v>4591774.333333333</v>
      </c>
      <c r="N8" s="3"/>
      <c r="O8" s="195">
        <v>2388683.3333333335</v>
      </c>
      <c r="P8" s="195">
        <v>4235739</v>
      </c>
      <c r="Q8" s="195"/>
      <c r="R8" s="195">
        <v>2308342.6666666665</v>
      </c>
      <c r="S8" s="195">
        <v>3181296</v>
      </c>
      <c r="T8" s="195">
        <v>4626922.666666667</v>
      </c>
      <c r="U8" s="195">
        <v>5995929.333333333</v>
      </c>
      <c r="V8" s="195">
        <v>3106932.3333333335</v>
      </c>
    </row>
    <row r="9" spans="1:22" x14ac:dyDescent="0.25">
      <c r="A9" s="228"/>
      <c r="B9" s="195">
        <v>36598</v>
      </c>
      <c r="C9" s="195">
        <v>280676.66666666669</v>
      </c>
      <c r="D9" s="195">
        <v>241786.33333333334</v>
      </c>
      <c r="E9" s="195">
        <v>162541.66666666666</v>
      </c>
      <c r="F9" s="195">
        <v>567092.66666666663</v>
      </c>
      <c r="G9" s="195">
        <v>2775418.3333333335</v>
      </c>
      <c r="H9" s="195">
        <v>5148304.333333333</v>
      </c>
      <c r="I9" s="195">
        <v>443102.66666666669</v>
      </c>
      <c r="J9" s="195">
        <v>366980</v>
      </c>
      <c r="K9" s="195">
        <v>546068</v>
      </c>
      <c r="L9" s="195">
        <v>5154440</v>
      </c>
      <c r="M9" s="195">
        <v>4957009.666666667</v>
      </c>
      <c r="N9" s="3"/>
      <c r="O9" s="195">
        <v>997297</v>
      </c>
      <c r="P9" s="195"/>
      <c r="Q9" s="195">
        <v>521410</v>
      </c>
      <c r="R9" s="195">
        <v>3693124</v>
      </c>
      <c r="S9" s="195">
        <v>4373261.666666667</v>
      </c>
      <c r="T9" s="195">
        <v>5149443.666666667</v>
      </c>
      <c r="U9" s="195">
        <v>6236014</v>
      </c>
      <c r="V9" s="195">
        <v>5298177.666666667</v>
      </c>
    </row>
    <row r="10" spans="1:22" x14ac:dyDescent="0.25">
      <c r="A10" s="228"/>
      <c r="B10" s="195">
        <v>138099.66666666666</v>
      </c>
      <c r="C10" s="195">
        <v>91271</v>
      </c>
      <c r="D10" s="195">
        <v>58876.666666666664</v>
      </c>
      <c r="E10" s="195">
        <v>749721</v>
      </c>
      <c r="F10" s="195">
        <v>1924729</v>
      </c>
      <c r="G10" s="195">
        <v>3512947</v>
      </c>
      <c r="H10" s="195">
        <v>4180445.6666666665</v>
      </c>
      <c r="I10" s="195">
        <v>420715.66666666669</v>
      </c>
      <c r="J10" s="195">
        <v>215816</v>
      </c>
      <c r="K10" s="195">
        <v>3037507.6666666665</v>
      </c>
      <c r="L10" s="195">
        <v>4852501</v>
      </c>
      <c r="M10" s="195">
        <v>5790914</v>
      </c>
      <c r="N10" s="3"/>
      <c r="O10" s="195">
        <v>1881930.5</v>
      </c>
      <c r="P10" s="195">
        <v>3020715.6666666665</v>
      </c>
      <c r="Q10" s="195">
        <v>114822</v>
      </c>
      <c r="R10" s="195">
        <v>4221456</v>
      </c>
      <c r="S10" s="195">
        <v>4220172.666666667</v>
      </c>
      <c r="T10" s="195">
        <v>5439255.333333333</v>
      </c>
      <c r="U10" s="195">
        <v>6943650.333333333</v>
      </c>
      <c r="V10" s="195">
        <v>3993253.3333333335</v>
      </c>
    </row>
    <row r="11" spans="1:22" x14ac:dyDescent="0.25">
      <c r="A11" s="228"/>
      <c r="B11" s="195">
        <v>39712.666666666664</v>
      </c>
      <c r="C11" s="195">
        <v>26525.333333333332</v>
      </c>
      <c r="D11" s="195">
        <v>195469.5</v>
      </c>
      <c r="E11" s="195">
        <v>1014096</v>
      </c>
      <c r="F11" s="195">
        <v>2098237</v>
      </c>
      <c r="G11" s="195">
        <v>4260757.666666667</v>
      </c>
      <c r="H11" s="195">
        <v>6950817.333333333</v>
      </c>
      <c r="I11" s="195">
        <v>208894.33333333334</v>
      </c>
      <c r="J11" s="195">
        <v>284916.33333333331</v>
      </c>
      <c r="K11" s="195">
        <v>344557</v>
      </c>
      <c r="L11" s="195">
        <v>3836119.6666666665</v>
      </c>
      <c r="M11" s="195">
        <v>4794533</v>
      </c>
      <c r="N11" s="3"/>
      <c r="O11" s="195">
        <v>1960980.3333333333</v>
      </c>
      <c r="P11" s="195">
        <v>4337731</v>
      </c>
      <c r="Q11" s="195">
        <v>102886</v>
      </c>
      <c r="R11" s="195">
        <v>4719823.333333333</v>
      </c>
      <c r="S11" s="195">
        <v>3246322.3333333335</v>
      </c>
      <c r="T11" s="195">
        <v>4586020.333333333</v>
      </c>
      <c r="U11" s="195">
        <v>4090105</v>
      </c>
      <c r="V11" s="195">
        <v>3650412.5</v>
      </c>
    </row>
    <row r="12" spans="1:22" x14ac:dyDescent="0.25">
      <c r="A12" s="228"/>
      <c r="B12" s="195"/>
      <c r="C12" s="195">
        <v>456563.66666666669</v>
      </c>
      <c r="D12" s="195">
        <v>151084.66666666666</v>
      </c>
      <c r="E12" s="195">
        <v>1208606.3333333333</v>
      </c>
      <c r="F12" s="195"/>
      <c r="G12" s="195">
        <v>2860978.6666666665</v>
      </c>
      <c r="H12" s="195">
        <v>3953728.6666666665</v>
      </c>
      <c r="I12" s="195">
        <v>183883</v>
      </c>
      <c r="J12" s="195">
        <v>343699</v>
      </c>
      <c r="K12" s="195">
        <v>677996.33333333337</v>
      </c>
      <c r="L12" s="195">
        <v>2034277.3333333333</v>
      </c>
      <c r="M12" s="195">
        <v>6933794.333333333</v>
      </c>
      <c r="N12" s="3"/>
      <c r="O12" s="195">
        <v>3187240.5</v>
      </c>
      <c r="P12" s="195">
        <v>4327370.666666667</v>
      </c>
      <c r="Q12" s="195">
        <v>30310.666666666668</v>
      </c>
      <c r="R12" s="195">
        <v>674881.66666666663</v>
      </c>
      <c r="S12" s="195">
        <v>3698236</v>
      </c>
      <c r="T12" s="195">
        <v>4145650.3333333335</v>
      </c>
      <c r="U12" s="195">
        <v>1401083.6666666667</v>
      </c>
      <c r="V12" s="195">
        <v>6738952</v>
      </c>
    </row>
    <row r="13" spans="1:22" ht="16.5" x14ac:dyDescent="0.25">
      <c r="A13" s="228"/>
      <c r="B13" s="14"/>
      <c r="C13" s="13"/>
      <c r="D13" s="32"/>
      <c r="E13" s="32"/>
      <c r="F13" s="32"/>
      <c r="G13" s="32"/>
      <c r="H13" s="32"/>
      <c r="I13" s="32"/>
      <c r="J13" s="32"/>
      <c r="K13" s="13"/>
      <c r="L13" s="13"/>
      <c r="M13" s="13"/>
      <c r="N13" s="3"/>
      <c r="O13" s="195">
        <v>1852802</v>
      </c>
      <c r="P13" s="13"/>
      <c r="Q13" s="13"/>
      <c r="R13" s="32"/>
      <c r="S13" s="32"/>
      <c r="T13" s="32"/>
      <c r="U13" s="32"/>
      <c r="V13" s="32"/>
    </row>
    <row r="14" spans="1:22" ht="16.5" x14ac:dyDescent="0.25">
      <c r="A14" s="228"/>
      <c r="B14" s="14"/>
      <c r="C14" s="32"/>
      <c r="D14" s="32"/>
      <c r="E14" s="32"/>
      <c r="F14" s="32"/>
      <c r="G14" s="32"/>
      <c r="H14" s="32"/>
      <c r="I14" s="32"/>
      <c r="J14" s="32"/>
      <c r="K14" s="13"/>
      <c r="L14" s="13"/>
      <c r="M14" s="13"/>
      <c r="N14" s="3"/>
      <c r="O14" s="195"/>
      <c r="P14" s="13"/>
      <c r="Q14" s="13"/>
      <c r="R14" s="32"/>
      <c r="S14" s="32"/>
      <c r="T14" s="32"/>
      <c r="U14" s="32"/>
      <c r="V14" s="32"/>
    </row>
    <row r="15" spans="1:22" ht="16.5" x14ac:dyDescent="0.25">
      <c r="A15" s="228"/>
      <c r="B15" s="14"/>
      <c r="C15" s="32"/>
      <c r="D15" s="32"/>
      <c r="E15" s="32"/>
      <c r="F15" s="32"/>
      <c r="G15" s="32"/>
      <c r="H15" s="32"/>
      <c r="I15" s="32"/>
      <c r="J15" s="32"/>
      <c r="K15" s="13"/>
      <c r="L15" s="13"/>
      <c r="M15" s="13"/>
      <c r="N15" s="3"/>
      <c r="O15" s="195">
        <v>153540</v>
      </c>
      <c r="P15" s="13"/>
      <c r="Q15" s="13"/>
      <c r="R15" s="32"/>
      <c r="S15" s="32"/>
      <c r="T15" s="32"/>
      <c r="U15" s="32"/>
      <c r="V15" s="32"/>
    </row>
    <row r="16" spans="1:22" ht="16.5" x14ac:dyDescent="0.25">
      <c r="A16" s="228"/>
      <c r="B16" s="14"/>
      <c r="C16" s="32"/>
      <c r="D16" s="32"/>
      <c r="E16" s="32"/>
      <c r="F16" s="32"/>
      <c r="G16" s="32"/>
      <c r="H16" s="32"/>
      <c r="I16" s="32"/>
      <c r="J16" s="32"/>
      <c r="K16" s="13"/>
      <c r="L16" s="13"/>
      <c r="M16" s="13"/>
      <c r="N16" s="3"/>
      <c r="O16" s="195">
        <v>1848296</v>
      </c>
      <c r="P16" s="13"/>
      <c r="Q16" s="13"/>
      <c r="R16" s="32"/>
      <c r="S16" s="32"/>
      <c r="T16" s="32"/>
      <c r="U16" s="32"/>
      <c r="V16" s="32"/>
    </row>
    <row r="17" spans="1:22" ht="16.5" x14ac:dyDescent="0.25">
      <c r="A17" s="228"/>
      <c r="B17" s="14"/>
      <c r="C17" s="32"/>
      <c r="D17" s="32"/>
      <c r="E17" s="32"/>
      <c r="F17" s="32"/>
      <c r="G17" s="32"/>
      <c r="H17" s="32"/>
      <c r="I17" s="32"/>
      <c r="J17" s="32"/>
      <c r="K17" s="13"/>
      <c r="L17" s="13"/>
      <c r="M17" s="13"/>
      <c r="N17" s="3"/>
      <c r="O17" s="195">
        <v>3958602</v>
      </c>
      <c r="P17" s="13"/>
      <c r="Q17" s="13"/>
      <c r="R17" s="32"/>
      <c r="S17" s="32"/>
      <c r="T17" s="32"/>
      <c r="U17" s="32"/>
      <c r="V17" s="32"/>
    </row>
    <row r="18" spans="1:22" ht="16.5" x14ac:dyDescent="0.25">
      <c r="A18" s="228"/>
      <c r="B18" s="14"/>
      <c r="C18" s="32"/>
      <c r="D18" s="32"/>
      <c r="E18" s="32"/>
      <c r="F18" s="32"/>
      <c r="G18" s="32"/>
      <c r="H18" s="32"/>
      <c r="I18" s="32"/>
      <c r="J18" s="32"/>
      <c r="K18" s="13"/>
      <c r="L18" s="13"/>
      <c r="M18" s="13"/>
      <c r="N18" s="3"/>
      <c r="O18" s="195">
        <v>2506580.3333333335</v>
      </c>
      <c r="P18" s="13"/>
      <c r="Q18" s="13"/>
      <c r="R18" s="32"/>
      <c r="S18" s="32"/>
      <c r="T18" s="32"/>
      <c r="U18" s="32"/>
      <c r="V18" s="32"/>
    </row>
    <row r="19" spans="1:22" ht="16.5" x14ac:dyDescent="0.25">
      <c r="A19" s="228"/>
      <c r="B19" s="14"/>
      <c r="C19" s="32"/>
      <c r="D19" s="32"/>
      <c r="E19" s="32"/>
      <c r="F19" s="32"/>
      <c r="G19" s="32"/>
      <c r="H19" s="32"/>
      <c r="I19" s="32"/>
      <c r="J19" s="32"/>
      <c r="K19" s="13"/>
      <c r="L19" s="13"/>
      <c r="M19" s="13"/>
      <c r="N19" s="3"/>
      <c r="O19" s="195">
        <v>157386.33333333334</v>
      </c>
      <c r="P19" s="13"/>
      <c r="Q19" s="13"/>
      <c r="R19" s="32"/>
      <c r="S19" s="32"/>
      <c r="T19" s="32"/>
      <c r="U19" s="32"/>
      <c r="V19" s="32"/>
    </row>
    <row r="20" spans="1:22" ht="16.5" x14ac:dyDescent="0.25">
      <c r="A20" s="228"/>
      <c r="B20" s="14"/>
      <c r="C20" s="32"/>
      <c r="D20" s="32"/>
      <c r="E20" s="32"/>
      <c r="F20" s="32"/>
      <c r="G20" s="32"/>
      <c r="H20" s="32"/>
      <c r="I20" s="32"/>
      <c r="J20" s="32"/>
      <c r="K20" s="13"/>
      <c r="L20" s="13"/>
      <c r="M20" s="13"/>
      <c r="N20" s="3"/>
      <c r="O20" s="195">
        <v>3606893</v>
      </c>
      <c r="P20" s="13"/>
      <c r="Q20" s="13"/>
      <c r="R20" s="32"/>
      <c r="S20" s="32"/>
      <c r="T20" s="32"/>
      <c r="U20" s="32"/>
      <c r="V20" s="32"/>
    </row>
    <row r="21" spans="1:22" x14ac:dyDescent="0.25">
      <c r="A21" s="3"/>
      <c r="B21" s="7"/>
      <c r="C21" s="7"/>
      <c r="D21" s="7"/>
      <c r="E21" s="7"/>
      <c r="F21" s="7"/>
      <c r="G21" s="7"/>
      <c r="H21" s="7"/>
      <c r="I21" s="7"/>
      <c r="J21" s="7"/>
      <c r="N21" s="3"/>
      <c r="O21" s="7"/>
      <c r="R21" s="7"/>
      <c r="S21" s="7"/>
      <c r="T21" s="7"/>
      <c r="U21" s="7"/>
      <c r="V21" s="7"/>
    </row>
    <row r="22" spans="1:22" x14ac:dyDescent="0.25">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estradiol 34ng/L</v>
      </c>
      <c r="J22" s="3" t="str">
        <f t="shared" si="0"/>
        <v>estradiol 68ng/L</v>
      </c>
      <c r="K22" s="3" t="str">
        <f t="shared" si="0"/>
        <v>estradiol 135ng/L</v>
      </c>
      <c r="L22" s="3" t="str">
        <f t="shared" si="0"/>
        <v>estradiol 270ng/L</v>
      </c>
      <c r="M22" s="3" t="str">
        <f t="shared" si="0"/>
        <v>estradiol 540ng/L</v>
      </c>
      <c r="N22" s="3" t="s">
        <v>41</v>
      </c>
      <c r="O22" s="3" t="str">
        <f t="shared" si="0"/>
        <v>Testo -30µg/L</v>
      </c>
      <c r="P22" s="3" t="str">
        <f t="shared" si="0"/>
        <v>Testo 30µg/L + EE2 -64ng/L</v>
      </c>
      <c r="Q22" s="3" t="str">
        <f t="shared" si="0"/>
        <v>Testo 30µg/L + FAD-10µg/L</v>
      </c>
      <c r="R22" s="3" t="str">
        <f t="shared" si="0"/>
        <v>estradiol-34ng/L + Testosterone</v>
      </c>
      <c r="S22" s="3" t="str">
        <f t="shared" si="0"/>
        <v>estradiol-68ng/L + Testosterone</v>
      </c>
      <c r="T22" s="3" t="str">
        <f t="shared" si="0"/>
        <v>estradiol-135ng/L + Testosterone</v>
      </c>
      <c r="U22" s="3" t="str">
        <f t="shared" si="0"/>
        <v>estradiol-270ng/L + Testosterone</v>
      </c>
      <c r="V22" s="3" t="str">
        <f t="shared" si="0"/>
        <v>estradiol-540ng/L + Testosterone</v>
      </c>
    </row>
    <row r="23" spans="1:22" x14ac:dyDescent="0.25">
      <c r="A23" s="5" t="s">
        <v>0</v>
      </c>
      <c r="B23" s="5">
        <f t="shared" ref="B23:J23" si="1">AVERAGE(B5:B20)</f>
        <v>160680.76190476192</v>
      </c>
      <c r="C23" s="5">
        <f t="shared" si="1"/>
        <v>275354.875</v>
      </c>
      <c r="D23" s="5">
        <f t="shared" si="1"/>
        <v>184433.64583333334</v>
      </c>
      <c r="E23" s="5">
        <f t="shared" si="1"/>
        <v>574794.125</v>
      </c>
      <c r="F23" s="5">
        <f t="shared" si="1"/>
        <v>1370093.1904761903</v>
      </c>
      <c r="G23" s="5">
        <f t="shared" si="1"/>
        <v>3336927.583333334</v>
      </c>
      <c r="H23" s="5">
        <f t="shared" si="1"/>
        <v>5090941.791666667</v>
      </c>
      <c r="I23" s="5">
        <f t="shared" si="1"/>
        <v>314976.29166666669</v>
      </c>
      <c r="J23" s="5">
        <f t="shared" si="1"/>
        <v>391999.5</v>
      </c>
      <c r="K23" s="5"/>
      <c r="L23" s="5">
        <f>AVERAGE(L5:L20)</f>
        <v>4217330.208333334</v>
      </c>
      <c r="M23" s="5"/>
      <c r="N23" s="5" t="s">
        <v>0</v>
      </c>
      <c r="O23" s="5">
        <f>AVERAGE(O5:O20)</f>
        <v>2251449.6666666665</v>
      </c>
      <c r="P23" s="5">
        <f>AVERAGE(P5:P20)</f>
        <v>4291743.9523809524</v>
      </c>
      <c r="Q23" s="5">
        <f>AVERAGE(Q5:Q20)</f>
        <v>184235.61904761902</v>
      </c>
      <c r="R23" s="5">
        <f>AVERAGE(R5:R20)</f>
        <v>3137242.25</v>
      </c>
      <c r="S23" s="5">
        <f>AVERAGE(S5:S20)</f>
        <v>4109167.9583333335</v>
      </c>
      <c r="T23" s="5">
        <f t="shared" ref="T23:V23" si="2">AVERAGE(T5:T20)</f>
        <v>4165519.333333333</v>
      </c>
      <c r="U23" s="5">
        <f t="shared" si="2"/>
        <v>5169704.375</v>
      </c>
      <c r="V23" s="5">
        <f t="shared" si="2"/>
        <v>4556848.666666666</v>
      </c>
    </row>
    <row r="24" spans="1:22" x14ac:dyDescent="0.25">
      <c r="A24" s="3" t="s">
        <v>1</v>
      </c>
      <c r="B24" s="3">
        <f t="shared" ref="B24:J24" si="3">STDEV(B5:B20)</f>
        <v>233288.53405542707</v>
      </c>
      <c r="C24" s="3">
        <f t="shared" si="3"/>
        <v>166228.03766560182</v>
      </c>
      <c r="D24" s="3">
        <f t="shared" si="3"/>
        <v>63458.68189670315</v>
      </c>
      <c r="E24" s="3">
        <f t="shared" si="3"/>
        <v>375036.86081160954</v>
      </c>
      <c r="F24" s="3">
        <f t="shared" si="3"/>
        <v>638078.29690110718</v>
      </c>
      <c r="G24" s="3">
        <f t="shared" si="3"/>
        <v>523115.23195538536</v>
      </c>
      <c r="H24" s="3">
        <f t="shared" si="3"/>
        <v>1685205.6111957983</v>
      </c>
      <c r="I24" s="3">
        <f t="shared" si="3"/>
        <v>184972.09581365625</v>
      </c>
      <c r="J24" s="3">
        <f t="shared" si="3"/>
        <v>272120.43397981906</v>
      </c>
      <c r="K24" s="3"/>
      <c r="L24" s="3">
        <f>STDEV(L5:L20)</f>
        <v>1214295.6676244666</v>
      </c>
      <c r="M24" s="3"/>
      <c r="N24" s="3" t="s">
        <v>1</v>
      </c>
      <c r="O24" s="3">
        <f>STDEV(O5:O20)</f>
        <v>1299278.1574200848</v>
      </c>
      <c r="P24" s="3">
        <f>STDEV(P5:P20)</f>
        <v>1068584.8578681292</v>
      </c>
      <c r="Q24" s="3">
        <f>STDEV(Q5:Q20)</f>
        <v>162559.78349431811</v>
      </c>
      <c r="R24" s="3">
        <f>STDEV(R5:R20)</f>
        <v>1374829.0094394921</v>
      </c>
      <c r="S24" s="3">
        <f>STDEV(S5:S20)</f>
        <v>867750.28836964536</v>
      </c>
      <c r="T24" s="3">
        <f t="shared" ref="T24:V24" si="4">STDEV(T5:T20)</f>
        <v>1683538.5929561106</v>
      </c>
      <c r="U24" s="3">
        <f t="shared" si="4"/>
        <v>1864116.7142001842</v>
      </c>
      <c r="V24" s="3">
        <f t="shared" si="4"/>
        <v>1377866.225726299</v>
      </c>
    </row>
    <row r="25" spans="1:22" ht="15.75" thickBot="1" x14ac:dyDescent="0.3"/>
    <row r="26" spans="1:22" ht="15.75" thickBot="1" x14ac:dyDescent="0.3">
      <c r="B26" s="226" t="s">
        <v>6</v>
      </c>
      <c r="C26" s="227"/>
      <c r="D26" s="227"/>
      <c r="E26" s="227"/>
      <c r="F26" s="227"/>
      <c r="G26" s="227"/>
      <c r="H26" s="227"/>
      <c r="I26" s="227"/>
      <c r="J26" s="227"/>
      <c r="K26" s="227"/>
      <c r="L26" s="227"/>
      <c r="M26" s="227"/>
      <c r="O26" s="226" t="s">
        <v>3</v>
      </c>
      <c r="P26" s="227"/>
      <c r="Q26" s="227"/>
      <c r="R26" s="227"/>
      <c r="S26" s="227"/>
      <c r="T26" s="227"/>
      <c r="U26" s="227"/>
      <c r="V26" s="227"/>
    </row>
    <row r="27" spans="1:22" x14ac:dyDescent="0.25">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estradiol 34ng/L</v>
      </c>
      <c r="J27" s="35" t="str">
        <f t="shared" si="5"/>
        <v>estradiol 68ng/L</v>
      </c>
      <c r="K27" s="35" t="str">
        <f t="shared" si="5"/>
        <v>estradiol 135ng/L</v>
      </c>
      <c r="L27" s="35" t="str">
        <f t="shared" si="5"/>
        <v>estradiol 270ng/L</v>
      </c>
      <c r="M27" s="35" t="str">
        <f t="shared" si="5"/>
        <v>estradiol 540ng/L</v>
      </c>
      <c r="N27" s="3"/>
      <c r="O27" s="36" t="str">
        <f>O4</f>
        <v>Testo -30µg/L</v>
      </c>
      <c r="P27" s="36" t="str">
        <f t="shared" ref="P27:R27" si="6">P4</f>
        <v>Testo 30µg/L + EE2 -64ng/L</v>
      </c>
      <c r="Q27" s="36" t="str">
        <f t="shared" si="6"/>
        <v>Testo 30µg/L + FAD-10µg/L</v>
      </c>
      <c r="R27" s="36" t="str">
        <f t="shared" si="6"/>
        <v>estradiol-34ng/L + Testosterone</v>
      </c>
      <c r="S27" s="36" t="str">
        <f t="shared" ref="S27:V27" si="7">S4</f>
        <v>estradiol-68ng/L + Testosterone</v>
      </c>
      <c r="T27" s="36" t="str">
        <f t="shared" si="7"/>
        <v>estradiol-135ng/L + Testosterone</v>
      </c>
      <c r="U27" s="36" t="str">
        <f t="shared" si="7"/>
        <v>estradiol-270ng/L + Testosterone</v>
      </c>
      <c r="V27" s="36" t="str">
        <f t="shared" si="7"/>
        <v>estradiol-540ng/L + Testosterone</v>
      </c>
    </row>
    <row r="28" spans="1:22" x14ac:dyDescent="0.25">
      <c r="A28" s="229" t="s">
        <v>34</v>
      </c>
      <c r="B28" s="11">
        <f t="shared" ref="B28:M28" si="8">IF(B5="","",(B5/$O$23))</f>
        <v>0.30362748504704157</v>
      </c>
      <c r="C28" s="11">
        <f t="shared" si="8"/>
        <v>0.16470099487011999</v>
      </c>
      <c r="D28" s="11">
        <f t="shared" si="8"/>
        <v>9.9327707229815945E-2</v>
      </c>
      <c r="E28" s="11">
        <f t="shared" si="8"/>
        <v>0.18099272039392694</v>
      </c>
      <c r="F28" s="11">
        <f t="shared" si="8"/>
        <v>0.77316629626334088</v>
      </c>
      <c r="G28" s="11">
        <f t="shared" si="8"/>
        <v>1.2822720590837104</v>
      </c>
      <c r="H28" s="11">
        <f t="shared" si="8"/>
        <v>0.92562451244376043</v>
      </c>
      <c r="I28" s="11">
        <f t="shared" si="8"/>
        <v>5.181106276859547E-2</v>
      </c>
      <c r="J28" s="11">
        <f t="shared" si="8"/>
        <v>0.33605947812291015</v>
      </c>
      <c r="K28" s="11">
        <f t="shared" si="8"/>
        <v>0.14123063525441165</v>
      </c>
      <c r="L28" s="11">
        <f t="shared" si="8"/>
        <v>2.2620806239061682</v>
      </c>
      <c r="M28" s="11">
        <f t="shared" si="8"/>
        <v>2.0741209848647149</v>
      </c>
      <c r="N28" s="6"/>
      <c r="O28" s="11">
        <f t="shared" ref="O28:S37" si="9">IF(O5="","",(O5/$O$23))</f>
        <v>1.61185482124184</v>
      </c>
      <c r="P28" s="11">
        <f t="shared" si="9"/>
        <v>1.3063729753970368</v>
      </c>
      <c r="Q28" s="11">
        <f t="shared" si="9"/>
        <v>0.11104845189373544</v>
      </c>
      <c r="R28" s="11">
        <f t="shared" si="9"/>
        <v>1.83047855537225</v>
      </c>
      <c r="S28" s="11">
        <f t="shared" si="9"/>
        <v>1.7555303997468892</v>
      </c>
      <c r="T28" s="11">
        <f t="shared" ref="T28:V28" si="10">IF(T5="","",(T5/$O$23))</f>
        <v>5.361404925922543E-2</v>
      </c>
      <c r="U28" s="11">
        <f t="shared" si="10"/>
        <v>2.3604957339337957</v>
      </c>
      <c r="V28" s="11">
        <f t="shared" si="10"/>
        <v>2.0874492863783023</v>
      </c>
    </row>
    <row r="29" spans="1:22" x14ac:dyDescent="0.25">
      <c r="A29" s="229"/>
      <c r="B29" s="11">
        <f t="shared" ref="B29:M29" si="11">IF(B6="","",(B6/$O$23))</f>
        <v>2.631696999962543E-2</v>
      </c>
      <c r="C29" s="11">
        <f t="shared" si="11"/>
        <v>0.10820480256498444</v>
      </c>
      <c r="D29" s="11">
        <f t="shared" si="11"/>
        <v>0.10659398855463348</v>
      </c>
      <c r="E29" s="11">
        <f t="shared" si="11"/>
        <v>0.18659222376575449</v>
      </c>
      <c r="F29" s="11">
        <f t="shared" si="11"/>
        <v>0.35493738922877688</v>
      </c>
      <c r="G29" s="11">
        <f t="shared" si="11"/>
        <v>1.3737155127755467</v>
      </c>
      <c r="H29" s="11">
        <f t="shared" si="11"/>
        <v>2.3416689010295442</v>
      </c>
      <c r="I29" s="11">
        <f t="shared" si="11"/>
        <v>0.28701196814082308</v>
      </c>
      <c r="J29" s="11">
        <f t="shared" si="11"/>
        <v>8.172097710675004E-2</v>
      </c>
      <c r="K29" s="11">
        <f t="shared" si="11"/>
        <v>0.64713090780473448</v>
      </c>
      <c r="L29" s="11">
        <f t="shared" si="11"/>
        <v>1.5593277753340848</v>
      </c>
      <c r="M29" s="11">
        <f t="shared" si="11"/>
        <v>3.3873212651581968</v>
      </c>
      <c r="N29" s="6"/>
      <c r="O29" s="11">
        <f t="shared" si="9"/>
        <v>1.9173841920220589</v>
      </c>
      <c r="P29" s="11">
        <f t="shared" si="9"/>
        <v>2.4232076251908214</v>
      </c>
      <c r="Q29" s="11">
        <f t="shared" si="9"/>
        <v>5.2425925873833289E-2</v>
      </c>
      <c r="R29" s="11">
        <f t="shared" si="9"/>
        <v>1.5202076469545771</v>
      </c>
      <c r="S29" s="11">
        <f t="shared" si="9"/>
        <v>2.6402575585004566</v>
      </c>
      <c r="T29" s="11">
        <f t="shared" ref="T29:V29" si="12">IF(T6="","",(T6/$O$23))</f>
        <v>1.9718597602818571</v>
      </c>
      <c r="U29" s="11">
        <f t="shared" si="12"/>
        <v>1.94466542963652</v>
      </c>
      <c r="V29" s="11">
        <f t="shared" si="12"/>
        <v>2.6727455155189643</v>
      </c>
    </row>
    <row r="30" spans="1:22" x14ac:dyDescent="0.25">
      <c r="A30" s="229"/>
      <c r="B30" s="11">
        <f t="shared" ref="B30:M30" si="13">IF(B7="","",(B7/$O$23))</f>
        <v>3.0681861419953282E-2</v>
      </c>
      <c r="C30" s="11">
        <f t="shared" si="13"/>
        <v>0.10168144998133795</v>
      </c>
      <c r="D30" s="11">
        <f t="shared" si="13"/>
        <v>6.3019396836023728E-2</v>
      </c>
      <c r="E30" s="11">
        <f t="shared" si="13"/>
        <v>0.11811604641690857</v>
      </c>
      <c r="F30" s="11">
        <f t="shared" si="13"/>
        <v>0.33397459918046879</v>
      </c>
      <c r="G30" s="11">
        <f t="shared" si="13"/>
        <v>1.6747283861109339</v>
      </c>
      <c r="H30" s="11">
        <f t="shared" si="13"/>
        <v>2.6280372838300186</v>
      </c>
      <c r="I30" s="11">
        <f t="shared" si="13"/>
        <v>0.16179634780494759</v>
      </c>
      <c r="J30" s="11">
        <f t="shared" si="13"/>
        <v>5.3322533378124232E-2</v>
      </c>
      <c r="K30" s="11">
        <f t="shared" si="13"/>
        <v>5.6129613675574071E-2</v>
      </c>
      <c r="L30" s="11">
        <f t="shared" si="13"/>
        <v>1.5569229543809477</v>
      </c>
      <c r="M30" s="11">
        <f t="shared" si="13"/>
        <v>2.9454013998980511</v>
      </c>
      <c r="N30" s="6"/>
      <c r="O30" s="11">
        <f t="shared" si="9"/>
        <v>0.5887805027545957</v>
      </c>
      <c r="P30" s="11">
        <f t="shared" si="9"/>
        <v>2.5422235362727039</v>
      </c>
      <c r="Q30" s="11">
        <f t="shared" si="9"/>
        <v>6.7585936113162062E-2</v>
      </c>
      <c r="R30" s="11">
        <f t="shared" si="9"/>
        <v>0.86007208096590815</v>
      </c>
      <c r="S30" s="11">
        <f t="shared" si="9"/>
        <v>1.8908526935756507</v>
      </c>
      <c r="T30" s="11">
        <f t="shared" ref="T30:V30" si="14">IF(T7="","",(T7/$O$23))</f>
        <v>2.139337188528458</v>
      </c>
      <c r="U30" s="11">
        <f t="shared" si="14"/>
        <v>3.10821916368254</v>
      </c>
      <c r="V30" s="11">
        <f t="shared" si="14"/>
        <v>1.3101436570719103</v>
      </c>
    </row>
    <row r="31" spans="1:22" x14ac:dyDescent="0.25">
      <c r="A31" s="229"/>
      <c r="B31" s="11">
        <f t="shared" ref="B31:M31" si="15">IF(B8="","",(B8/$O$23))</f>
        <v>4.3715389891757148E-2</v>
      </c>
      <c r="C31" s="11">
        <f t="shared" si="15"/>
        <v>0.22405031188053803</v>
      </c>
      <c r="D31" s="11">
        <f t="shared" si="15"/>
        <v>9.8933886892726447E-2</v>
      </c>
      <c r="E31" s="11">
        <f t="shared" si="15"/>
        <v>0.16427489903172018</v>
      </c>
      <c r="F31" s="11">
        <f t="shared" si="15"/>
        <v>0.75897677185469692</v>
      </c>
      <c r="G31" s="11">
        <f t="shared" si="15"/>
        <v>1.5700684107380298</v>
      </c>
      <c r="H31" s="11">
        <f t="shared" si="15"/>
        <v>3.2073548464848356</v>
      </c>
      <c r="I31" s="11">
        <f t="shared" si="15"/>
        <v>6.0447868477036065E-2</v>
      </c>
      <c r="J31" s="11">
        <f t="shared" si="15"/>
        <v>0.38371721686279464</v>
      </c>
      <c r="K31" s="11">
        <f t="shared" si="15"/>
        <v>0.6580092322739024</v>
      </c>
      <c r="L31" s="11">
        <f t="shared" si="15"/>
        <v>2.5549144706617914</v>
      </c>
      <c r="M31" s="11">
        <f t="shared" si="15"/>
        <v>2.0394745666828884</v>
      </c>
      <c r="N31" s="6"/>
      <c r="O31" s="11">
        <f t="shared" si="9"/>
        <v>1.0609534686466455</v>
      </c>
      <c r="P31" s="11">
        <f t="shared" si="9"/>
        <v>1.8813385272214984</v>
      </c>
      <c r="Q31" s="11" t="str">
        <f t="shared" si="9"/>
        <v/>
      </c>
      <c r="R31" s="11">
        <f t="shared" si="9"/>
        <v>1.0252694967346223</v>
      </c>
      <c r="S31" s="11">
        <f t="shared" si="9"/>
        <v>1.4129989433474641</v>
      </c>
      <c r="T31" s="11">
        <f t="shared" ref="T31:V31" si="16">IF(T8="","",(T8/$O$23))</f>
        <v>2.0550859897822873</v>
      </c>
      <c r="U31" s="11">
        <f t="shared" si="16"/>
        <v>2.6631416291932797</v>
      </c>
      <c r="V31" s="11">
        <f t="shared" si="16"/>
        <v>1.3799697054445959</v>
      </c>
    </row>
    <row r="32" spans="1:22" x14ac:dyDescent="0.25">
      <c r="A32" s="229"/>
      <c r="B32" s="11">
        <f t="shared" ref="B32:M32" si="17">IF(B9="","",(B9/$O$23))</f>
        <v>1.6255304545264096E-2</v>
      </c>
      <c r="C32" s="11">
        <f t="shared" si="17"/>
        <v>0.12466486407498341</v>
      </c>
      <c r="D32" s="11">
        <f t="shared" si="17"/>
        <v>0.10739140071086052</v>
      </c>
      <c r="E32" s="11">
        <f t="shared" si="17"/>
        <v>7.2194226268142203E-2</v>
      </c>
      <c r="F32" s="11">
        <f t="shared" si="17"/>
        <v>0.25187890054245049</v>
      </c>
      <c r="G32" s="11">
        <f t="shared" si="17"/>
        <v>1.2327250190951047</v>
      </c>
      <c r="H32" s="11">
        <f t="shared" si="17"/>
        <v>2.2866619714201915</v>
      </c>
      <c r="I32" s="11">
        <f t="shared" si="17"/>
        <v>0.19680771603599401</v>
      </c>
      <c r="J32" s="11">
        <f t="shared" si="17"/>
        <v>0.16299720372755391</v>
      </c>
      <c r="K32" s="11">
        <f t="shared" si="17"/>
        <v>0.24254062086516406</v>
      </c>
      <c r="L32" s="11">
        <f t="shared" si="17"/>
        <v>2.2893871785422992</v>
      </c>
      <c r="M32" s="11">
        <f t="shared" si="17"/>
        <v>2.2016968622734776</v>
      </c>
      <c r="N32" s="6"/>
      <c r="O32" s="11">
        <f t="shared" si="9"/>
        <v>0.44295771509585902</v>
      </c>
      <c r="P32" s="11" t="str">
        <f t="shared" si="9"/>
        <v/>
      </c>
      <c r="Q32" s="11">
        <f t="shared" si="9"/>
        <v>0.23158856612236059</v>
      </c>
      <c r="R32" s="11">
        <f t="shared" si="9"/>
        <v>1.6403315848796087</v>
      </c>
      <c r="S32" s="11">
        <f t="shared" si="9"/>
        <v>1.9424203576095938</v>
      </c>
      <c r="T32" s="11">
        <f t="shared" ref="T32:V32" si="18">IF(T9="","",(T9/$O$23))</f>
        <v>2.287168015748076</v>
      </c>
      <c r="U32" s="11">
        <f t="shared" si="18"/>
        <v>2.7697772205729971</v>
      </c>
      <c r="V32" s="11">
        <f t="shared" si="18"/>
        <v>2.3532294526089785</v>
      </c>
    </row>
    <row r="33" spans="1:22" x14ac:dyDescent="0.25">
      <c r="A33" s="229"/>
      <c r="B33" s="11">
        <f t="shared" ref="B33:M33" si="19">IF(B10="","",(B10/$O$23))</f>
        <v>6.1338109712719906E-2</v>
      </c>
      <c r="C33" s="11">
        <f t="shared" si="19"/>
        <v>4.053876990957974E-2</v>
      </c>
      <c r="D33" s="11">
        <f t="shared" si="19"/>
        <v>2.6150558699291376E-2</v>
      </c>
      <c r="E33" s="11">
        <f t="shared" si="19"/>
        <v>0.33299478602601085</v>
      </c>
      <c r="F33" s="11">
        <f t="shared" si="19"/>
        <v>0.8548843123149249</v>
      </c>
      <c r="G33" s="11">
        <f t="shared" si="19"/>
        <v>1.5603044793806184</v>
      </c>
      <c r="H33" s="11">
        <f t="shared" si="19"/>
        <v>1.8567795356739785</v>
      </c>
      <c r="I33" s="11">
        <f t="shared" si="19"/>
        <v>0.18686434473551783</v>
      </c>
      <c r="J33" s="11">
        <f t="shared" si="19"/>
        <v>9.585646225861294E-2</v>
      </c>
      <c r="K33" s="11">
        <f t="shared" si="19"/>
        <v>1.3491341652615227</v>
      </c>
      <c r="L33" s="11">
        <f t="shared" si="19"/>
        <v>2.1552784731733587</v>
      </c>
      <c r="M33" s="11">
        <f t="shared" si="19"/>
        <v>2.5720823724092434</v>
      </c>
      <c r="N33" s="6"/>
      <c r="O33" s="11">
        <f t="shared" si="9"/>
        <v>0.83587500438606299</v>
      </c>
      <c r="P33" s="11">
        <f t="shared" si="9"/>
        <v>1.3416758595091844</v>
      </c>
      <c r="Q33" s="11">
        <f t="shared" si="9"/>
        <v>5.0999141442054599E-2</v>
      </c>
      <c r="R33" s="11">
        <f t="shared" si="9"/>
        <v>1.8749946145809169</v>
      </c>
      <c r="S33" s="11">
        <f t="shared" si="9"/>
        <v>1.8744246114614453</v>
      </c>
      <c r="T33" s="11">
        <f t="shared" ref="T33:V33" si="20">IF(T10="","",(T10/$O$23))</f>
        <v>2.4158902656643888</v>
      </c>
      <c r="U33" s="11">
        <f t="shared" si="20"/>
        <v>3.0840797536520546</v>
      </c>
      <c r="V33" s="11">
        <f t="shared" si="20"/>
        <v>1.7736365118237156</v>
      </c>
    </row>
    <row r="34" spans="1:22" x14ac:dyDescent="0.25">
      <c r="A34" s="229"/>
      <c r="B34" s="11">
        <f t="shared" ref="B34:M34" si="21">IF(B11="","",(B11/$O$23))</f>
        <v>1.7638709518859628E-2</v>
      </c>
      <c r="C34" s="11">
        <f t="shared" si="21"/>
        <v>1.1781446294824268E-2</v>
      </c>
      <c r="D34" s="11">
        <f t="shared" si="21"/>
        <v>8.6819395918096634E-2</v>
      </c>
      <c r="E34" s="11">
        <f t="shared" si="21"/>
        <v>0.45041912995612166</v>
      </c>
      <c r="F34" s="11">
        <f t="shared" si="21"/>
        <v>0.93194932627852078</v>
      </c>
      <c r="G34" s="11">
        <f t="shared" si="21"/>
        <v>1.8924507750487873</v>
      </c>
      <c r="H34" s="11">
        <f t="shared" si="21"/>
        <v>3.0872630360083555</v>
      </c>
      <c r="I34" s="11">
        <f t="shared" si="21"/>
        <v>9.2782146732423812E-2</v>
      </c>
      <c r="J34" s="11">
        <f t="shared" si="21"/>
        <v>0.126547947107856</v>
      </c>
      <c r="K34" s="11">
        <f t="shared" si="21"/>
        <v>0.15303784272918086</v>
      </c>
      <c r="L34" s="11">
        <f t="shared" si="21"/>
        <v>1.7038442935063025</v>
      </c>
      <c r="M34" s="11">
        <f t="shared" si="21"/>
        <v>2.1295315062932048</v>
      </c>
      <c r="N34" s="6"/>
      <c r="O34" s="11">
        <f t="shared" si="9"/>
        <v>0.87098564199155248</v>
      </c>
      <c r="P34" s="11">
        <f t="shared" si="9"/>
        <v>1.92663911799642</v>
      </c>
      <c r="Q34" s="11">
        <f t="shared" si="9"/>
        <v>4.5697668272693642E-2</v>
      </c>
      <c r="R34" s="11">
        <f t="shared" si="9"/>
        <v>2.0963485896272167</v>
      </c>
      <c r="S34" s="11">
        <f t="shared" si="9"/>
        <v>1.441880927384712</v>
      </c>
      <c r="T34" s="11">
        <f t="shared" ref="T34:V34" si="22">IF(T11="","",(T11/$O$23))</f>
        <v>2.0369188799690394</v>
      </c>
      <c r="U34" s="11">
        <f t="shared" si="22"/>
        <v>1.8166539810128262</v>
      </c>
      <c r="V34" s="11">
        <f t="shared" si="22"/>
        <v>1.6213609187206643</v>
      </c>
    </row>
    <row r="35" spans="1:22" x14ac:dyDescent="0.25">
      <c r="A35" s="229"/>
      <c r="B35" s="11" t="str">
        <f t="shared" ref="B35:M35" si="23">IF(B12="","",(B12/$O$23))</f>
        <v/>
      </c>
      <c r="C35" s="11">
        <f t="shared" si="23"/>
        <v>0.20278653057459722</v>
      </c>
      <c r="D35" s="11">
        <f t="shared" si="23"/>
        <v>6.7105504912464545E-2</v>
      </c>
      <c r="E35" s="11">
        <f t="shared" si="23"/>
        <v>0.5368125040621976</v>
      </c>
      <c r="F35" s="11" t="str">
        <f t="shared" si="23"/>
        <v/>
      </c>
      <c r="G35" s="11">
        <f t="shared" si="23"/>
        <v>1.2707273491494147</v>
      </c>
      <c r="H35" s="11">
        <f t="shared" si="23"/>
        <v>1.7560813040605394</v>
      </c>
      <c r="I35" s="11">
        <f t="shared" si="23"/>
        <v>8.1673156065817751E-2</v>
      </c>
      <c r="J35" s="11">
        <f t="shared" si="23"/>
        <v>0.15265675492930555</v>
      </c>
      <c r="K35" s="11">
        <f t="shared" si="23"/>
        <v>0.30113768181063788</v>
      </c>
      <c r="L35" s="11">
        <f t="shared" si="23"/>
        <v>0.90354111106784685</v>
      </c>
      <c r="M35" s="11">
        <f t="shared" si="23"/>
        <v>3.0797021296945126</v>
      </c>
      <c r="N35" s="6"/>
      <c r="O35" s="11">
        <f t="shared" si="9"/>
        <v>1.415639242212684</v>
      </c>
      <c r="P35" s="11">
        <f t="shared" si="9"/>
        <v>1.9220374902155637</v>
      </c>
      <c r="Q35" s="11">
        <f t="shared" si="9"/>
        <v>1.3462733418128085E-2</v>
      </c>
      <c r="R35" s="11">
        <f t="shared" si="9"/>
        <v>0.29975427683704231</v>
      </c>
      <c r="S35" s="11">
        <f t="shared" si="9"/>
        <v>1.6426021219809639</v>
      </c>
      <c r="T35" s="11">
        <f t="shared" ref="T35:V35" si="24">IF(T12="","",(T12/$O$23))</f>
        <v>1.8413249004456242</v>
      </c>
      <c r="U35" s="11">
        <f t="shared" si="24"/>
        <v>0.62230290439537561</v>
      </c>
      <c r="V35" s="11">
        <f t="shared" si="24"/>
        <v>2.9931612950411655</v>
      </c>
    </row>
    <row r="36" spans="1:22" x14ac:dyDescent="0.25">
      <c r="A36" s="229"/>
      <c r="B36" s="11" t="str">
        <f t="shared" ref="B36:M36" si="25">IF(B13="","",(B13/$O$23))</f>
        <v/>
      </c>
      <c r="C36" s="11" t="str">
        <f t="shared" si="25"/>
        <v/>
      </c>
      <c r="D36" s="11" t="str">
        <f t="shared" si="25"/>
        <v/>
      </c>
      <c r="E36" s="11" t="str">
        <f t="shared" si="25"/>
        <v/>
      </c>
      <c r="F36" s="11" t="str">
        <f t="shared" si="25"/>
        <v/>
      </c>
      <c r="G36" s="11" t="str">
        <f t="shared" si="25"/>
        <v/>
      </c>
      <c r="H36" s="11" t="str">
        <f t="shared" si="25"/>
        <v/>
      </c>
      <c r="I36" s="11" t="str">
        <f t="shared" si="25"/>
        <v/>
      </c>
      <c r="J36" s="11" t="str">
        <f t="shared" si="25"/>
        <v/>
      </c>
      <c r="K36" s="11" t="str">
        <f t="shared" si="25"/>
        <v/>
      </c>
      <c r="L36" s="11" t="str">
        <f t="shared" si="25"/>
        <v/>
      </c>
      <c r="M36" s="11" t="str">
        <f t="shared" si="25"/>
        <v/>
      </c>
      <c r="N36" s="6"/>
      <c r="O36" s="11">
        <f t="shared" si="9"/>
        <v>0.8229373400752612</v>
      </c>
      <c r="P36" s="11" t="str">
        <f t="shared" si="9"/>
        <v/>
      </c>
      <c r="Q36" s="11" t="str">
        <f t="shared" si="9"/>
        <v/>
      </c>
      <c r="R36" s="11" t="str">
        <f t="shared" si="9"/>
        <v/>
      </c>
      <c r="S36" s="11" t="str">
        <f t="shared" si="9"/>
        <v/>
      </c>
      <c r="T36" s="11" t="str">
        <f t="shared" ref="T36:V36" si="26">IF(T13="","",(T13/$O$23))</f>
        <v/>
      </c>
      <c r="U36" s="11" t="str">
        <f t="shared" si="26"/>
        <v/>
      </c>
      <c r="V36" s="11" t="str">
        <f t="shared" si="26"/>
        <v/>
      </c>
    </row>
    <row r="37" spans="1:22" x14ac:dyDescent="0.25">
      <c r="A37" s="229"/>
      <c r="B37" s="11" t="str">
        <f t="shared" ref="B37:M37" si="27">IF(B14="","",(B14/$O$23))</f>
        <v/>
      </c>
      <c r="C37" s="11" t="str">
        <f t="shared" si="27"/>
        <v/>
      </c>
      <c r="D37" s="11" t="str">
        <f t="shared" si="27"/>
        <v/>
      </c>
      <c r="E37" s="11" t="str">
        <f t="shared" si="27"/>
        <v/>
      </c>
      <c r="F37" s="11" t="str">
        <f t="shared" si="27"/>
        <v/>
      </c>
      <c r="G37" s="11" t="str">
        <f t="shared" si="27"/>
        <v/>
      </c>
      <c r="H37" s="11" t="str">
        <f t="shared" si="27"/>
        <v/>
      </c>
      <c r="I37" s="11" t="str">
        <f t="shared" si="27"/>
        <v/>
      </c>
      <c r="J37" s="11" t="str">
        <f t="shared" si="27"/>
        <v/>
      </c>
      <c r="K37" s="11" t="str">
        <f t="shared" si="27"/>
        <v/>
      </c>
      <c r="L37" s="11" t="str">
        <f t="shared" si="27"/>
        <v/>
      </c>
      <c r="M37" s="11" t="str">
        <f t="shared" si="27"/>
        <v/>
      </c>
      <c r="N37" s="6"/>
      <c r="O37" s="11" t="str">
        <f t="shared" si="9"/>
        <v/>
      </c>
      <c r="P37" s="11" t="str">
        <f t="shared" si="9"/>
        <v/>
      </c>
      <c r="Q37" s="11" t="str">
        <f t="shared" si="9"/>
        <v/>
      </c>
      <c r="R37" s="11" t="str">
        <f t="shared" si="9"/>
        <v/>
      </c>
      <c r="S37" s="11" t="str">
        <f t="shared" si="9"/>
        <v/>
      </c>
      <c r="T37" s="11" t="str">
        <f t="shared" ref="T37:V37" si="28">IF(T14="","",(T14/$O$23))</f>
        <v/>
      </c>
      <c r="U37" s="11" t="str">
        <f t="shared" si="28"/>
        <v/>
      </c>
      <c r="V37" s="11" t="str">
        <f t="shared" si="28"/>
        <v/>
      </c>
    </row>
    <row r="38" spans="1:22" x14ac:dyDescent="0.25">
      <c r="A38" s="229"/>
      <c r="B38" s="11" t="str">
        <f t="shared" ref="B38:M38" si="29">IF(B15="","",(B15/$O$23))</f>
        <v/>
      </c>
      <c r="C38" s="11" t="str">
        <f t="shared" si="29"/>
        <v/>
      </c>
      <c r="D38" s="11" t="str">
        <f t="shared" si="29"/>
        <v/>
      </c>
      <c r="E38" s="11" t="str">
        <f t="shared" si="29"/>
        <v/>
      </c>
      <c r="F38" s="11" t="str">
        <f t="shared" si="29"/>
        <v/>
      </c>
      <c r="G38" s="11" t="str">
        <f t="shared" si="29"/>
        <v/>
      </c>
      <c r="H38" s="11" t="str">
        <f t="shared" si="29"/>
        <v/>
      </c>
      <c r="I38" s="11" t="str">
        <f t="shared" si="29"/>
        <v/>
      </c>
      <c r="J38" s="11" t="str">
        <f t="shared" si="29"/>
        <v/>
      </c>
      <c r="K38" s="11" t="str">
        <f t="shared" si="29"/>
        <v/>
      </c>
      <c r="L38" s="11" t="str">
        <f t="shared" si="29"/>
        <v/>
      </c>
      <c r="M38" s="11" t="str">
        <f t="shared" si="29"/>
        <v/>
      </c>
      <c r="N38" s="6"/>
      <c r="O38" s="11">
        <f t="shared" ref="O38:V38" si="30">IF(O15="","",(O15/$O$23))</f>
        <v>6.8196061530134147E-2</v>
      </c>
      <c r="P38" s="11" t="str">
        <f t="shared" si="30"/>
        <v/>
      </c>
      <c r="Q38" s="11" t="str">
        <f t="shared" si="30"/>
        <v/>
      </c>
      <c r="R38" s="11" t="str">
        <f t="shared" si="30"/>
        <v/>
      </c>
      <c r="S38" s="11" t="str">
        <f t="shared" si="30"/>
        <v/>
      </c>
      <c r="T38" s="11" t="str">
        <f t="shared" si="30"/>
        <v/>
      </c>
      <c r="U38" s="11" t="str">
        <f t="shared" si="30"/>
        <v/>
      </c>
      <c r="V38" s="11" t="str">
        <f t="shared" si="30"/>
        <v/>
      </c>
    </row>
    <row r="39" spans="1:22" x14ac:dyDescent="0.25">
      <c r="A39" s="229"/>
      <c r="B39" s="11" t="str">
        <f t="shared" ref="B39:M39" si="31">IF(B16="","",(B16/$O$23))</f>
        <v/>
      </c>
      <c r="C39" s="11" t="str">
        <f t="shared" si="31"/>
        <v/>
      </c>
      <c r="D39" s="11" t="str">
        <f t="shared" si="31"/>
        <v/>
      </c>
      <c r="E39" s="11" t="str">
        <f t="shared" si="31"/>
        <v/>
      </c>
      <c r="F39" s="11" t="str">
        <f t="shared" si="31"/>
        <v/>
      </c>
      <c r="G39" s="11" t="str">
        <f t="shared" si="31"/>
        <v/>
      </c>
      <c r="H39" s="11" t="str">
        <f t="shared" si="31"/>
        <v/>
      </c>
      <c r="I39" s="11" t="str">
        <f t="shared" si="31"/>
        <v/>
      </c>
      <c r="J39" s="11" t="str">
        <f t="shared" si="31"/>
        <v/>
      </c>
      <c r="K39" s="11" t="str">
        <f t="shared" si="31"/>
        <v/>
      </c>
      <c r="L39" s="11" t="str">
        <f t="shared" si="31"/>
        <v/>
      </c>
      <c r="M39" s="11" t="str">
        <f t="shared" si="31"/>
        <v/>
      </c>
      <c r="N39" s="6"/>
      <c r="O39" s="11">
        <f t="shared" ref="O39:V39" si="32">IF(O16="","",(O16/$O$23))</f>
        <v>0.82093596288850346</v>
      </c>
      <c r="P39" s="11" t="str">
        <f t="shared" si="32"/>
        <v/>
      </c>
      <c r="Q39" s="11" t="str">
        <f t="shared" si="32"/>
        <v/>
      </c>
      <c r="R39" s="11" t="str">
        <f t="shared" si="32"/>
        <v/>
      </c>
      <c r="S39" s="11" t="str">
        <f t="shared" si="32"/>
        <v/>
      </c>
      <c r="T39" s="11" t="str">
        <f t="shared" si="32"/>
        <v/>
      </c>
      <c r="U39" s="11" t="str">
        <f t="shared" si="32"/>
        <v/>
      </c>
      <c r="V39" s="11" t="str">
        <f t="shared" si="32"/>
        <v/>
      </c>
    </row>
    <row r="40" spans="1:22" x14ac:dyDescent="0.25">
      <c r="A40" s="229"/>
      <c r="B40" s="11" t="str">
        <f t="shared" ref="B40:M40" si="33">IF(B17="","",(B17/$O$23))</f>
        <v/>
      </c>
      <c r="C40" s="11" t="str">
        <f t="shared" si="33"/>
        <v/>
      </c>
      <c r="D40" s="11" t="str">
        <f t="shared" si="33"/>
        <v/>
      </c>
      <c r="E40" s="11" t="str">
        <f t="shared" si="33"/>
        <v/>
      </c>
      <c r="F40" s="11" t="str">
        <f t="shared" si="33"/>
        <v/>
      </c>
      <c r="G40" s="11" t="str">
        <f t="shared" si="33"/>
        <v/>
      </c>
      <c r="H40" s="11" t="str">
        <f t="shared" si="33"/>
        <v/>
      </c>
      <c r="I40" s="11" t="str">
        <f t="shared" si="33"/>
        <v/>
      </c>
      <c r="J40" s="11" t="str">
        <f t="shared" si="33"/>
        <v/>
      </c>
      <c r="K40" s="11" t="str">
        <f t="shared" si="33"/>
        <v/>
      </c>
      <c r="L40" s="11" t="str">
        <f t="shared" si="33"/>
        <v/>
      </c>
      <c r="M40" s="11" t="str">
        <f t="shared" si="33"/>
        <v/>
      </c>
      <c r="N40" s="6"/>
      <c r="O40" s="11">
        <f t="shared" ref="O40:V40" si="34">IF(O17="","",(O17/$O$23))</f>
        <v>1.7582458353869486</v>
      </c>
      <c r="P40" s="11" t="str">
        <f t="shared" si="34"/>
        <v/>
      </c>
      <c r="Q40" s="11" t="str">
        <f t="shared" si="34"/>
        <v/>
      </c>
      <c r="R40" s="11" t="str">
        <f t="shared" si="34"/>
        <v/>
      </c>
      <c r="S40" s="11" t="str">
        <f t="shared" si="34"/>
        <v/>
      </c>
      <c r="T40" s="11" t="str">
        <f t="shared" si="34"/>
        <v/>
      </c>
      <c r="U40" s="11" t="str">
        <f t="shared" si="34"/>
        <v/>
      </c>
      <c r="V40" s="11" t="str">
        <f t="shared" si="34"/>
        <v/>
      </c>
    </row>
    <row r="41" spans="1:22" x14ac:dyDescent="0.25">
      <c r="A41" s="229"/>
      <c r="B41" s="11" t="str">
        <f t="shared" ref="B41:M41" si="35">IF(B18="","",(B18/$O$23))</f>
        <v/>
      </c>
      <c r="C41" s="11" t="str">
        <f t="shared" si="35"/>
        <v/>
      </c>
      <c r="D41" s="11" t="str">
        <f t="shared" si="35"/>
        <v/>
      </c>
      <c r="E41" s="11" t="str">
        <f t="shared" si="35"/>
        <v/>
      </c>
      <c r="F41" s="11" t="str">
        <f t="shared" si="35"/>
        <v/>
      </c>
      <c r="G41" s="11" t="str">
        <f t="shared" si="35"/>
        <v/>
      </c>
      <c r="H41" s="11" t="str">
        <f t="shared" si="35"/>
        <v/>
      </c>
      <c r="I41" s="11" t="str">
        <f t="shared" si="35"/>
        <v/>
      </c>
      <c r="J41" s="11" t="str">
        <f t="shared" si="35"/>
        <v/>
      </c>
      <c r="K41" s="11" t="str">
        <f t="shared" si="35"/>
        <v/>
      </c>
      <c r="L41" s="11" t="str">
        <f t="shared" si="35"/>
        <v/>
      </c>
      <c r="M41" s="11" t="str">
        <f t="shared" si="35"/>
        <v/>
      </c>
      <c r="N41" s="6"/>
      <c r="O41" s="11">
        <f t="shared" ref="O41:V41" si="36">IF(O18="","",(O18/$O$23))</f>
        <v>1.1133183967840574</v>
      </c>
      <c r="P41" s="11" t="str">
        <f t="shared" si="36"/>
        <v/>
      </c>
      <c r="Q41" s="11" t="str">
        <f t="shared" si="36"/>
        <v/>
      </c>
      <c r="R41" s="11" t="str">
        <f t="shared" si="36"/>
        <v/>
      </c>
      <c r="S41" s="11" t="str">
        <f t="shared" si="36"/>
        <v/>
      </c>
      <c r="T41" s="11" t="str">
        <f t="shared" si="36"/>
        <v/>
      </c>
      <c r="U41" s="11" t="str">
        <f t="shared" si="36"/>
        <v/>
      </c>
      <c r="V41" s="11" t="str">
        <f t="shared" si="36"/>
        <v/>
      </c>
    </row>
    <row r="42" spans="1:22" x14ac:dyDescent="0.25">
      <c r="A42" s="229"/>
      <c r="B42" s="11" t="str">
        <f t="shared" ref="B42:M42" si="37">IF(B19="","",(B19/$O$23))</f>
        <v/>
      </c>
      <c r="C42" s="11" t="str">
        <f t="shared" si="37"/>
        <v/>
      </c>
      <c r="D42" s="11" t="str">
        <f t="shared" si="37"/>
        <v/>
      </c>
      <c r="E42" s="11" t="str">
        <f t="shared" si="37"/>
        <v/>
      </c>
      <c r="F42" s="11" t="str">
        <f t="shared" si="37"/>
        <v/>
      </c>
      <c r="G42" s="11" t="str">
        <f t="shared" si="37"/>
        <v/>
      </c>
      <c r="H42" s="11" t="str">
        <f t="shared" si="37"/>
        <v/>
      </c>
      <c r="I42" s="11" t="str">
        <f t="shared" si="37"/>
        <v/>
      </c>
      <c r="J42" s="11" t="str">
        <f t="shared" si="37"/>
        <v/>
      </c>
      <c r="K42" s="11" t="str">
        <f t="shared" si="37"/>
        <v/>
      </c>
      <c r="L42" s="11" t="str">
        <f t="shared" si="37"/>
        <v/>
      </c>
      <c r="M42" s="11" t="str">
        <f t="shared" si="37"/>
        <v/>
      </c>
      <c r="N42" s="6"/>
      <c r="O42" s="11">
        <f t="shared" ref="O42:V42" si="38">IF(O19="","",(O19/$O$23))</f>
        <v>6.9904442308207651E-2</v>
      </c>
      <c r="P42" s="11" t="str">
        <f t="shared" si="38"/>
        <v/>
      </c>
      <c r="Q42" s="11" t="str">
        <f t="shared" si="38"/>
        <v/>
      </c>
      <c r="R42" s="11" t="str">
        <f t="shared" si="38"/>
        <v/>
      </c>
      <c r="S42" s="11" t="str">
        <f t="shared" si="38"/>
        <v/>
      </c>
      <c r="T42" s="11" t="str">
        <f t="shared" si="38"/>
        <v/>
      </c>
      <c r="U42" s="11" t="str">
        <f t="shared" si="38"/>
        <v/>
      </c>
      <c r="V42" s="11" t="str">
        <f t="shared" si="38"/>
        <v/>
      </c>
    </row>
    <row r="43" spans="1:22" x14ac:dyDescent="0.25">
      <c r="A43" s="229"/>
      <c r="B43" s="11" t="str">
        <f t="shared" ref="B43:M43" si="39">IF(B20="","",(B20/$O$23))</f>
        <v/>
      </c>
      <c r="C43" s="11" t="str">
        <f t="shared" si="39"/>
        <v/>
      </c>
      <c r="D43" s="11" t="str">
        <f t="shared" si="39"/>
        <v/>
      </c>
      <c r="E43" s="11" t="str">
        <f t="shared" si="39"/>
        <v/>
      </c>
      <c r="F43" s="11" t="str">
        <f t="shared" si="39"/>
        <v/>
      </c>
      <c r="G43" s="11" t="str">
        <f t="shared" si="39"/>
        <v/>
      </c>
      <c r="H43" s="11" t="str">
        <f t="shared" si="39"/>
        <v/>
      </c>
      <c r="I43" s="11" t="str">
        <f t="shared" si="39"/>
        <v/>
      </c>
      <c r="J43" s="11" t="str">
        <f t="shared" si="39"/>
        <v/>
      </c>
      <c r="K43" s="11" t="str">
        <f t="shared" si="39"/>
        <v/>
      </c>
      <c r="L43" s="11" t="str">
        <f t="shared" si="39"/>
        <v/>
      </c>
      <c r="M43" s="11" t="str">
        <f t="shared" si="39"/>
        <v/>
      </c>
      <c r="N43" s="6"/>
      <c r="O43" s="11">
        <f t="shared" ref="O43:V43" si="40">IF(O20="","",(O20/$O$23))</f>
        <v>1.6020313726755904</v>
      </c>
      <c r="P43" s="11" t="str">
        <f t="shared" si="40"/>
        <v/>
      </c>
      <c r="Q43" s="11" t="str">
        <f t="shared" si="40"/>
        <v/>
      </c>
      <c r="R43" s="11" t="str">
        <f t="shared" si="40"/>
        <v/>
      </c>
      <c r="S43" s="11" t="str">
        <f t="shared" si="40"/>
        <v/>
      </c>
      <c r="T43" s="11" t="str">
        <f t="shared" si="40"/>
        <v/>
      </c>
      <c r="U43" s="11" t="str">
        <f t="shared" si="40"/>
        <v/>
      </c>
      <c r="V43" s="11" t="str">
        <f t="shared" si="40"/>
        <v/>
      </c>
    </row>
    <row r="44" spans="1:22" x14ac:dyDescent="0.25">
      <c r="A44" s="7"/>
      <c r="B44" s="3"/>
      <c r="C44" s="3"/>
      <c r="D44" s="3"/>
      <c r="E44" s="3"/>
      <c r="F44" s="3"/>
      <c r="G44" s="3"/>
      <c r="H44" s="3"/>
      <c r="I44" s="3"/>
      <c r="J44" s="3"/>
      <c r="K44" s="3"/>
      <c r="L44" s="3"/>
      <c r="M44" s="3"/>
      <c r="N44" s="7"/>
      <c r="O44" s="3"/>
      <c r="P44" s="3"/>
      <c r="Q44" s="3"/>
      <c r="R44" s="3"/>
      <c r="S44" s="3"/>
      <c r="T44" s="3"/>
      <c r="U44" s="3"/>
      <c r="V44" s="3"/>
    </row>
    <row r="45" spans="1:22" x14ac:dyDescent="0.25">
      <c r="A45" s="7" t="str">
        <f>A4</f>
        <v>Noms des groupes</v>
      </c>
      <c r="B45" s="7" t="str">
        <f t="shared" ref="B45:R45" si="41">B4</f>
        <v>Témoin solvant</v>
      </c>
      <c r="C45" s="7" t="str">
        <f t="shared" si="41"/>
        <v>EE2-33.8ng/L</v>
      </c>
      <c r="D45" s="7" t="str">
        <f t="shared" si="41"/>
        <v>EE2-50.6ng/L</v>
      </c>
      <c r="E45" s="7" t="str">
        <f t="shared" si="41"/>
        <v>EE2-76ng/L</v>
      </c>
      <c r="F45" s="7" t="str">
        <f t="shared" si="41"/>
        <v>EE2-114ng/L</v>
      </c>
      <c r="G45" s="7" t="str">
        <f t="shared" si="41"/>
        <v>EE2-170.9ng/L</v>
      </c>
      <c r="H45" s="7" t="str">
        <f t="shared" si="41"/>
        <v>EE2-488ng/L</v>
      </c>
      <c r="I45" s="7" t="str">
        <f t="shared" si="41"/>
        <v>estradiol 34ng/L</v>
      </c>
      <c r="J45" s="7" t="str">
        <f t="shared" si="41"/>
        <v>estradiol 68ng/L</v>
      </c>
      <c r="K45" s="7" t="str">
        <f t="shared" ref="K45:M45" si="42">K4</f>
        <v>estradiol 135ng/L</v>
      </c>
      <c r="L45" s="7" t="str">
        <f t="shared" si="42"/>
        <v>estradiol 270ng/L</v>
      </c>
      <c r="M45" s="7" t="str">
        <f t="shared" si="42"/>
        <v>estradiol 540ng/L</v>
      </c>
      <c r="N45" s="7"/>
      <c r="O45" s="7" t="str">
        <f t="shared" si="41"/>
        <v>Testo -30µg/L</v>
      </c>
      <c r="P45" s="7" t="str">
        <f t="shared" si="41"/>
        <v>Testo 30µg/L + EE2 -64ng/L</v>
      </c>
      <c r="Q45" s="7" t="str">
        <f t="shared" si="41"/>
        <v>Testo 30µg/L + FAD-10µg/L</v>
      </c>
      <c r="R45" s="7" t="str">
        <f t="shared" si="41"/>
        <v>estradiol-34ng/L + Testosterone</v>
      </c>
      <c r="S45" s="7" t="str">
        <f t="shared" ref="S45:V45" si="43">S4</f>
        <v>estradiol-68ng/L + Testosterone</v>
      </c>
      <c r="T45" s="7" t="str">
        <f t="shared" si="43"/>
        <v>estradiol-135ng/L + Testosterone</v>
      </c>
      <c r="U45" s="7" t="str">
        <f t="shared" si="43"/>
        <v>estradiol-270ng/L + Testosterone</v>
      </c>
      <c r="V45" s="7" t="str">
        <f t="shared" si="43"/>
        <v>estradiol-540ng/L + Testosterone</v>
      </c>
    </row>
    <row r="46" spans="1:22" x14ac:dyDescent="0.25">
      <c r="A46" s="8" t="s">
        <v>0</v>
      </c>
      <c r="B46" s="10">
        <f t="shared" ref="B46:H46" si="44">AVERAGE(B28:B43)</f>
        <v>7.1367690019317295E-2</v>
      </c>
      <c r="C46" s="10">
        <f t="shared" si="44"/>
        <v>0.12230114626887062</v>
      </c>
      <c r="D46" s="10">
        <f t="shared" si="44"/>
        <v>8.1917729969239086E-2</v>
      </c>
      <c r="E46" s="10">
        <f t="shared" si="44"/>
        <v>0.25529956699009781</v>
      </c>
      <c r="F46" s="10">
        <f t="shared" si="44"/>
        <v>0.60853822795188273</v>
      </c>
      <c r="G46" s="10">
        <f t="shared" si="44"/>
        <v>1.4821239989227684</v>
      </c>
      <c r="H46" s="10">
        <f t="shared" si="44"/>
        <v>2.2611839238689031</v>
      </c>
      <c r="I46" s="10">
        <f>AVERAGE(I28:I43)</f>
        <v>0.13989932634514446</v>
      </c>
      <c r="J46" s="9">
        <f>AVERAGE(J28:J43)</f>
        <v>0.17410982168673844</v>
      </c>
      <c r="K46" s="9">
        <f t="shared" ref="K46:M46" si="45">AVERAGE(K28:K43)</f>
        <v>0.44354383745939108</v>
      </c>
      <c r="L46" s="9">
        <f t="shared" si="45"/>
        <v>1.8731621100716001</v>
      </c>
      <c r="M46" s="9">
        <f t="shared" si="45"/>
        <v>2.5536663859092861</v>
      </c>
      <c r="N46" s="8" t="s">
        <v>0</v>
      </c>
      <c r="O46" s="10">
        <f t="shared" ref="O46:R46" si="46">AVERAGE(O28:O43)</f>
        <v>1.0000000000000002</v>
      </c>
      <c r="P46" s="10">
        <f t="shared" si="46"/>
        <v>1.9062135902576038</v>
      </c>
      <c r="Q46" s="10">
        <f t="shared" si="46"/>
        <v>8.182977473370967E-2</v>
      </c>
      <c r="R46" s="10">
        <f t="shared" si="46"/>
        <v>1.3934321057440178</v>
      </c>
      <c r="S46" s="10">
        <f t="shared" ref="S46:V46" si="47">AVERAGE(S28:S43)</f>
        <v>1.8251209517008973</v>
      </c>
      <c r="T46" s="10">
        <f t="shared" si="47"/>
        <v>1.8501498812098698</v>
      </c>
      <c r="U46" s="10">
        <f t="shared" si="47"/>
        <v>2.296166977009924</v>
      </c>
      <c r="V46" s="10">
        <f t="shared" si="47"/>
        <v>2.023962042826037</v>
      </c>
    </row>
    <row r="47" spans="1:22" x14ac:dyDescent="0.25">
      <c r="A47" s="8" t="s">
        <v>1</v>
      </c>
      <c r="B47" s="8">
        <f t="shared" ref="B47:J47" si="48">STDEV(B28:B43)</f>
        <v>0.10361703284302919</v>
      </c>
      <c r="C47" s="8">
        <f t="shared" si="48"/>
        <v>7.3831558451718418E-2</v>
      </c>
      <c r="D47" s="8">
        <f t="shared" si="48"/>
        <v>2.8185698679489234E-2</v>
      </c>
      <c r="E47" s="8">
        <f t="shared" si="48"/>
        <v>0.16657572512685215</v>
      </c>
      <c r="F47" s="8">
        <f t="shared" si="48"/>
        <v>0.28340775561098808</v>
      </c>
      <c r="G47" s="8">
        <f t="shared" si="48"/>
        <v>0.23234595900599128</v>
      </c>
      <c r="H47" s="8">
        <f t="shared" si="48"/>
        <v>0.74849801714234721</v>
      </c>
      <c r="I47" s="8">
        <f t="shared" si="48"/>
        <v>8.2156886983626193E-2</v>
      </c>
      <c r="J47" s="8">
        <f t="shared" si="48"/>
        <v>0.12086454252503945</v>
      </c>
      <c r="K47" s="8">
        <f t="shared" ref="K47:M47" si="49">STDEV(K28:K43)</f>
        <v>0.4299660343450788</v>
      </c>
      <c r="L47" s="8">
        <f t="shared" si="49"/>
        <v>0.53933946896635054</v>
      </c>
      <c r="M47" s="8">
        <f t="shared" si="49"/>
        <v>0.52421635275584055</v>
      </c>
      <c r="N47" s="8" t="s">
        <v>1</v>
      </c>
      <c r="O47" s="8">
        <f t="shared" ref="O47:R47" si="50">STDEV(O28:O43)</f>
        <v>0.57708514503177966</v>
      </c>
      <c r="P47" s="8">
        <f t="shared" si="50"/>
        <v>0.4746208070688081</v>
      </c>
      <c r="Q47" s="8">
        <f t="shared" si="50"/>
        <v>7.2202273007058768E-2</v>
      </c>
      <c r="R47" s="8">
        <f t="shared" si="50"/>
        <v>0.61064168113292239</v>
      </c>
      <c r="S47" s="8">
        <f t="shared" ref="S47:V47" si="51">STDEV(S28:S43)</f>
        <v>0.38541847113747352</v>
      </c>
      <c r="T47" s="8">
        <f t="shared" si="51"/>
        <v>0.74775759719675738</v>
      </c>
      <c r="U47" s="8">
        <f t="shared" si="51"/>
        <v>0.82796286401554731</v>
      </c>
      <c r="V47" s="8">
        <f t="shared" si="51"/>
        <v>0.6119906858794083</v>
      </c>
    </row>
    <row r="48" spans="1:22" x14ac:dyDescent="0.25">
      <c r="A48" s="8" t="s">
        <v>2</v>
      </c>
      <c r="B48" s="8">
        <f t="shared" ref="B48:J48" si="52" xml:space="preserve"> B47/SQRT(COUNT(B28:B43))</f>
        <v>3.9163557213295314E-2</v>
      </c>
      <c r="C48" s="8">
        <f t="shared" si="52"/>
        <v>2.6103397823390523E-2</v>
      </c>
      <c r="D48" s="8">
        <f t="shared" si="52"/>
        <v>9.9651493343737765E-3</v>
      </c>
      <c r="E48" s="8">
        <f t="shared" si="52"/>
        <v>5.8893412409131762E-2</v>
      </c>
      <c r="F48" s="8">
        <f t="shared" si="52"/>
        <v>0.10711806299623497</v>
      </c>
      <c r="G48" s="8">
        <f t="shared" si="52"/>
        <v>8.2146701597214003E-2</v>
      </c>
      <c r="H48" s="8">
        <f t="shared" si="52"/>
        <v>0.26463401181301921</v>
      </c>
      <c r="I48" s="8">
        <f t="shared" si="52"/>
        <v>2.9046845953649439E-2</v>
      </c>
      <c r="J48" s="8">
        <f t="shared" si="52"/>
        <v>4.2732068812232613E-2</v>
      </c>
      <c r="K48" s="8">
        <f t="shared" ref="K48:M48" si="53" xml:space="preserve"> K47/SQRT(COUNT(K28:K43))</f>
        <v>0.15201594928264658</v>
      </c>
      <c r="L48" s="8">
        <f t="shared" si="53"/>
        <v>0.19068529793382896</v>
      </c>
      <c r="M48" s="8">
        <f t="shared" si="53"/>
        <v>0.18533846892126707</v>
      </c>
      <c r="N48" s="8" t="s">
        <v>2</v>
      </c>
      <c r="O48" s="8">
        <f t="shared" ref="O48:R48" si="54" xml:space="preserve"> O47/SQRT(COUNT(O28:O43))</f>
        <v>0.14900274373678496</v>
      </c>
      <c r="P48" s="8">
        <f t="shared" si="54"/>
        <v>0.17938980322297615</v>
      </c>
      <c r="Q48" s="8">
        <f t="shared" si="54"/>
        <v>2.7289894067181318E-2</v>
      </c>
      <c r="R48" s="8">
        <f t="shared" si="54"/>
        <v>0.21589443680212142</v>
      </c>
      <c r="S48" s="8">
        <f t="shared" ref="S48:V48" si="55" xml:space="preserve"> S47/SQRT(COUNT(S28:S43))</f>
        <v>0.13626600726792956</v>
      </c>
      <c r="T48" s="8">
        <f t="shared" si="55"/>
        <v>0.264372233830793</v>
      </c>
      <c r="U48" s="8">
        <f t="shared" si="55"/>
        <v>0.29272907785801439</v>
      </c>
      <c r="V48" s="8">
        <f t="shared" si="55"/>
        <v>0.21637138200416794</v>
      </c>
    </row>
    <row r="49" spans="1:22" ht="15.75" thickBot="1" x14ac:dyDescent="0.3">
      <c r="A49" s="8"/>
      <c r="B49" s="8"/>
      <c r="C49" s="8"/>
      <c r="D49" s="8"/>
      <c r="E49" s="8"/>
      <c r="F49" s="8"/>
      <c r="G49" s="8"/>
      <c r="H49" s="8"/>
      <c r="I49" s="8"/>
      <c r="J49" s="8"/>
      <c r="K49" s="8"/>
      <c r="L49" s="8"/>
      <c r="M49" s="8"/>
      <c r="N49" s="8"/>
      <c r="O49" s="8"/>
      <c r="P49" s="8"/>
      <c r="Q49" s="8"/>
      <c r="R49" s="8"/>
      <c r="S49" s="8"/>
      <c r="T49" s="8"/>
      <c r="U49" s="8"/>
      <c r="V49" s="8"/>
    </row>
    <row r="50" spans="1:22" ht="27" thickBot="1" x14ac:dyDescent="0.45">
      <c r="A50" s="220" t="s">
        <v>44</v>
      </c>
      <c r="B50" s="221"/>
      <c r="C50" s="221"/>
      <c r="D50" s="221"/>
      <c r="E50" s="221"/>
      <c r="F50" s="221"/>
      <c r="G50" s="221"/>
      <c r="H50" s="221"/>
      <c r="I50" s="221"/>
      <c r="J50" s="221"/>
      <c r="K50" s="221"/>
      <c r="L50" s="221"/>
      <c r="M50" s="221"/>
      <c r="N50" s="221"/>
      <c r="O50" s="221"/>
      <c r="P50" s="221"/>
      <c r="Q50" s="221"/>
      <c r="R50" s="221"/>
      <c r="S50" s="221"/>
      <c r="T50" s="221"/>
      <c r="U50" s="221"/>
      <c r="V50" s="221"/>
    </row>
    <row r="51" spans="1:22" customFormat="1" ht="15.75" thickBot="1" x14ac:dyDescent="0.3"/>
    <row r="52" spans="1:22" x14ac:dyDescent="0.25">
      <c r="A52" s="45" t="str">
        <f t="shared" ref="A52:H52" si="56">A27</f>
        <v>Noms des groupes</v>
      </c>
      <c r="B52" s="46" t="str">
        <f t="shared" si="56"/>
        <v>Témoin solvant</v>
      </c>
      <c r="C52" s="46" t="str">
        <f t="shared" si="56"/>
        <v>EE2-33.8ng/L</v>
      </c>
      <c r="D52" s="46" t="str">
        <f t="shared" si="56"/>
        <v>EE2-50.6ng/L</v>
      </c>
      <c r="E52" s="46" t="str">
        <f t="shared" si="56"/>
        <v>EE2-76ng/L</v>
      </c>
      <c r="F52" s="46" t="str">
        <f t="shared" si="56"/>
        <v>EE2-114ng/L</v>
      </c>
      <c r="G52" s="46" t="str">
        <f t="shared" si="56"/>
        <v>EE2-170.9ng/L</v>
      </c>
      <c r="H52" s="46" t="str">
        <f t="shared" si="56"/>
        <v>EE2-488ng/L</v>
      </c>
      <c r="I52" s="46" t="str">
        <f>I4</f>
        <v>estradiol 34ng/L</v>
      </c>
      <c r="J52" s="46" t="str">
        <f>J4</f>
        <v>estradiol 68ng/L</v>
      </c>
      <c r="K52" s="46" t="str">
        <f t="shared" ref="K52:M52" si="57">K4</f>
        <v>estradiol 135ng/L</v>
      </c>
      <c r="L52" s="46" t="str">
        <f t="shared" si="57"/>
        <v>estradiol 270ng/L</v>
      </c>
      <c r="M52" s="46" t="str">
        <f t="shared" si="57"/>
        <v>estradiol 540ng/L</v>
      </c>
      <c r="N52" s="47"/>
      <c r="O52" s="46" t="str">
        <f>O27</f>
        <v>Testo -30µg/L</v>
      </c>
      <c r="P52" s="46" t="str">
        <f>P27</f>
        <v>Testo 30µg/L + EE2 -64ng/L</v>
      </c>
      <c r="Q52" s="46" t="str">
        <f>Q27</f>
        <v>Testo 30µg/L + FAD-10µg/L</v>
      </c>
      <c r="R52" s="46" t="str">
        <f>R27</f>
        <v>estradiol-34ng/L + Testosterone</v>
      </c>
      <c r="S52" s="46" t="str">
        <f t="shared" ref="S52:V52" si="58">S27</f>
        <v>estradiol-68ng/L + Testosterone</v>
      </c>
      <c r="T52" s="46" t="str">
        <f t="shared" si="58"/>
        <v>estradiol-135ng/L + Testosterone</v>
      </c>
      <c r="U52" s="46" t="str">
        <f t="shared" si="58"/>
        <v>estradiol-270ng/L + Testosterone</v>
      </c>
      <c r="V52" s="46" t="str">
        <f t="shared" si="58"/>
        <v>estradiol-540ng/L + Testosterone</v>
      </c>
    </row>
    <row r="53" spans="1:22" s="3" customFormat="1" x14ac:dyDescent="0.25">
      <c r="A53" s="61" t="s">
        <v>32</v>
      </c>
      <c r="B53" s="141">
        <f t="shared" ref="B53" si="59">B46</f>
        <v>7.1367690019317295E-2</v>
      </c>
      <c r="C53" s="141">
        <f t="shared" ref="C53:V53" si="60">C46</f>
        <v>0.12230114626887062</v>
      </c>
      <c r="D53" s="141">
        <f t="shared" si="60"/>
        <v>8.1917729969239086E-2</v>
      </c>
      <c r="E53" s="141">
        <f t="shared" si="60"/>
        <v>0.25529956699009781</v>
      </c>
      <c r="F53" s="141">
        <f t="shared" si="60"/>
        <v>0.60853822795188273</v>
      </c>
      <c r="G53" s="141">
        <f t="shared" si="60"/>
        <v>1.4821239989227684</v>
      </c>
      <c r="H53" s="141">
        <f t="shared" si="60"/>
        <v>2.2611839238689031</v>
      </c>
      <c r="I53" s="141">
        <f t="shared" si="60"/>
        <v>0.13989932634514446</v>
      </c>
      <c r="J53" s="141">
        <f t="shared" si="60"/>
        <v>0.17410982168673844</v>
      </c>
      <c r="K53" s="141">
        <f t="shared" si="60"/>
        <v>0.44354383745939108</v>
      </c>
      <c r="L53" s="141">
        <f t="shared" si="60"/>
        <v>1.8731621100716001</v>
      </c>
      <c r="M53" s="141">
        <f t="shared" si="60"/>
        <v>2.5536663859092861</v>
      </c>
      <c r="N53" s="141"/>
      <c r="O53" s="141">
        <f t="shared" si="60"/>
        <v>1.0000000000000002</v>
      </c>
      <c r="P53" s="141">
        <f t="shared" si="60"/>
        <v>1.9062135902576038</v>
      </c>
      <c r="Q53" s="141">
        <f t="shared" si="60"/>
        <v>8.182977473370967E-2</v>
      </c>
      <c r="R53" s="141">
        <f t="shared" si="60"/>
        <v>1.3934321057440178</v>
      </c>
      <c r="S53" s="141">
        <f t="shared" si="60"/>
        <v>1.8251209517008973</v>
      </c>
      <c r="T53" s="141">
        <f t="shared" si="60"/>
        <v>1.8501498812098698</v>
      </c>
      <c r="U53" s="141">
        <f t="shared" si="60"/>
        <v>2.296166977009924</v>
      </c>
      <c r="V53" s="141">
        <f t="shared" si="60"/>
        <v>2.023962042826037</v>
      </c>
    </row>
    <row r="54" spans="1:22" s="3" customFormat="1" x14ac:dyDescent="0.25">
      <c r="A54" s="61" t="s">
        <v>2</v>
      </c>
      <c r="B54" s="141">
        <f t="shared" ref="B54" si="61">B48</f>
        <v>3.9163557213295314E-2</v>
      </c>
      <c r="C54" s="141">
        <f t="shared" ref="C54:V54" si="62">C48</f>
        <v>2.6103397823390523E-2</v>
      </c>
      <c r="D54" s="141">
        <f t="shared" si="62"/>
        <v>9.9651493343737765E-3</v>
      </c>
      <c r="E54" s="141">
        <f t="shared" si="62"/>
        <v>5.8893412409131762E-2</v>
      </c>
      <c r="F54" s="141">
        <f t="shared" si="62"/>
        <v>0.10711806299623497</v>
      </c>
      <c r="G54" s="141">
        <f t="shared" si="62"/>
        <v>8.2146701597214003E-2</v>
      </c>
      <c r="H54" s="141">
        <f t="shared" si="62"/>
        <v>0.26463401181301921</v>
      </c>
      <c r="I54" s="141">
        <f t="shared" si="62"/>
        <v>2.9046845953649439E-2</v>
      </c>
      <c r="J54" s="141">
        <f t="shared" si="62"/>
        <v>4.2732068812232613E-2</v>
      </c>
      <c r="K54" s="141">
        <f t="shared" si="62"/>
        <v>0.15201594928264658</v>
      </c>
      <c r="L54" s="141">
        <f t="shared" si="62"/>
        <v>0.19068529793382896</v>
      </c>
      <c r="M54" s="141">
        <f t="shared" si="62"/>
        <v>0.18533846892126707</v>
      </c>
      <c r="N54" s="141"/>
      <c r="O54" s="141">
        <f t="shared" si="62"/>
        <v>0.14900274373678496</v>
      </c>
      <c r="P54" s="141">
        <f t="shared" si="62"/>
        <v>0.17938980322297615</v>
      </c>
      <c r="Q54" s="141">
        <f t="shared" si="62"/>
        <v>2.7289894067181318E-2</v>
      </c>
      <c r="R54" s="141">
        <f t="shared" si="62"/>
        <v>0.21589443680212142</v>
      </c>
      <c r="S54" s="141">
        <f t="shared" si="62"/>
        <v>0.13626600726792956</v>
      </c>
      <c r="T54" s="141">
        <f t="shared" si="62"/>
        <v>0.264372233830793</v>
      </c>
      <c r="U54" s="141">
        <f t="shared" si="62"/>
        <v>0.29272907785801439</v>
      </c>
      <c r="V54" s="141">
        <f t="shared" si="62"/>
        <v>0.21637138200416794</v>
      </c>
    </row>
    <row r="55" spans="1:22" s="3" customFormat="1" x14ac:dyDescent="0.25">
      <c r="A55" s="61" t="s">
        <v>79</v>
      </c>
      <c r="B55" s="141">
        <f>(B53*100/$B53)-100</f>
        <v>0</v>
      </c>
      <c r="C55" s="141">
        <f t="shared" ref="C55:M55" si="63">(C53*100/$B53)-100</f>
        <v>71.367668248428686</v>
      </c>
      <c r="D55" s="141">
        <f t="shared" si="63"/>
        <v>14.782655774715678</v>
      </c>
      <c r="E55" s="141">
        <f t="shared" si="63"/>
        <v>257.72429641620056</v>
      </c>
      <c r="F55" s="141">
        <f t="shared" si="63"/>
        <v>752.68029242247849</v>
      </c>
      <c r="G55" s="141">
        <f t="shared" si="63"/>
        <v>1976.7436896466702</v>
      </c>
      <c r="H55" s="141">
        <f t="shared" si="63"/>
        <v>3068.3580108265551</v>
      </c>
      <c r="I55" s="141">
        <f t="shared" si="63"/>
        <v>96.026137748437009</v>
      </c>
      <c r="J55" s="141">
        <f t="shared" si="63"/>
        <v>143.96168860111857</v>
      </c>
      <c r="K55" s="141">
        <f t="shared" si="63"/>
        <v>521.49109399412509</v>
      </c>
      <c r="L55" s="141">
        <f t="shared" si="63"/>
        <v>2524.6640595549416</v>
      </c>
      <c r="M55" s="141">
        <f t="shared" si="63"/>
        <v>3478.18276760545</v>
      </c>
      <c r="N55" s="141"/>
      <c r="O55" s="141">
        <f>(O53*100/$O53)-100</f>
        <v>0</v>
      </c>
      <c r="P55" s="141">
        <f t="shared" ref="P55:V55" si="64">(P53*100/$O53)-100</f>
        <v>90.62135902576037</v>
      </c>
      <c r="Q55" s="141">
        <f t="shared" si="64"/>
        <v>-91.817022526629032</v>
      </c>
      <c r="R55" s="141">
        <f t="shared" si="64"/>
        <v>39.343210574401752</v>
      </c>
      <c r="S55" s="141">
        <f t="shared" si="64"/>
        <v>82.512095170089708</v>
      </c>
      <c r="T55" s="141">
        <f t="shared" si="64"/>
        <v>85.014988120986942</v>
      </c>
      <c r="U55" s="141">
        <f t="shared" si="64"/>
        <v>129.61669770099235</v>
      </c>
      <c r="V55" s="141">
        <f t="shared" si="64"/>
        <v>102.39620428260363</v>
      </c>
    </row>
    <row r="56" spans="1:22" s="3" customFormat="1" x14ac:dyDescent="0.25">
      <c r="A56" s="61" t="s">
        <v>81</v>
      </c>
      <c r="B56" s="141" t="e">
        <f ca="1">[1]!SWTEST(B28:B43)</f>
        <v>#NAME?</v>
      </c>
      <c r="C56" s="141" t="e">
        <f ca="1">[1]!SWTEST(C28:C43)</f>
        <v>#NAME?</v>
      </c>
      <c r="D56" s="141" t="e">
        <f ca="1">[1]!SWTEST(D28:D43)</f>
        <v>#NAME?</v>
      </c>
      <c r="E56" s="141" t="e">
        <f ca="1">[1]!SWTEST(E28:E43)</f>
        <v>#NAME?</v>
      </c>
      <c r="F56" s="141" t="e">
        <f ca="1">[1]!SWTEST(F28:F43)</f>
        <v>#NAME?</v>
      </c>
      <c r="G56" s="141" t="e">
        <f ca="1">[1]!SWTEST(G28:G43)</f>
        <v>#NAME?</v>
      </c>
      <c r="H56" s="141" t="e">
        <f ca="1">[1]!SWTEST(H28:H43)</f>
        <v>#NAME?</v>
      </c>
      <c r="I56" s="141" t="e">
        <f ca="1">[1]!SWTEST(I28:I43)</f>
        <v>#NAME?</v>
      </c>
      <c r="J56" s="141" t="e">
        <f ca="1">[1]!SWTEST(J28:J43)</f>
        <v>#NAME?</v>
      </c>
      <c r="K56" s="141" t="e">
        <f ca="1">[1]!SWTEST(K28:K43)</f>
        <v>#NAME?</v>
      </c>
      <c r="L56" s="141" t="e">
        <f ca="1">[1]!SWTEST(L28:L43)</f>
        <v>#NAME?</v>
      </c>
      <c r="M56" s="141" t="e">
        <f ca="1">[1]!SWTEST(M28:M43)</f>
        <v>#NAME?</v>
      </c>
      <c r="N56" s="141"/>
      <c r="O56" s="141" t="e">
        <f ca="1">[1]!SWTEST(O28:O43)</f>
        <v>#NAME?</v>
      </c>
      <c r="P56" s="141" t="e">
        <f ca="1">[1]!SWTEST(P28:P43)</f>
        <v>#NAME?</v>
      </c>
      <c r="Q56" s="141" t="e">
        <f ca="1">[1]!SWTEST(Q28:Q43)</f>
        <v>#NAME?</v>
      </c>
      <c r="R56" s="141" t="e">
        <f ca="1">[1]!SWTEST(R28:R43)</f>
        <v>#NAME?</v>
      </c>
      <c r="S56" s="141" t="e">
        <f ca="1">[1]!SWTEST(S28:S43)</f>
        <v>#NAME?</v>
      </c>
      <c r="T56" s="141" t="e">
        <f ca="1">[1]!SWTEST(T28:T43)</f>
        <v>#NAME?</v>
      </c>
      <c r="U56" s="141" t="e">
        <f ca="1">[1]!SWTEST(U28:U43)</f>
        <v>#NAME?</v>
      </c>
      <c r="V56" s="141" t="e">
        <f ca="1">[1]!SWTEST(V28:V43)</f>
        <v>#NAME?</v>
      </c>
    </row>
    <row r="57" spans="1:22" s="3" customFormat="1" x14ac:dyDescent="0.25">
      <c r="A57" s="61" t="s">
        <v>85</v>
      </c>
      <c r="B57" s="141" t="e">
        <f ca="1">IF(B56&gt;0.05,"Oui","Non")</f>
        <v>#NAME?</v>
      </c>
      <c r="C57" s="141" t="e">
        <f t="shared" ref="C57:V57" ca="1" si="65">IF(C56&gt;0.05,"Oui","Non")</f>
        <v>#NAME?</v>
      </c>
      <c r="D57" s="141" t="e">
        <f t="shared" ca="1" si="65"/>
        <v>#NAME?</v>
      </c>
      <c r="E57" s="141" t="e">
        <f t="shared" ca="1" si="65"/>
        <v>#NAME?</v>
      </c>
      <c r="F57" s="141" t="e">
        <f t="shared" ca="1" si="65"/>
        <v>#NAME?</v>
      </c>
      <c r="G57" s="141" t="e">
        <f t="shared" ca="1" si="65"/>
        <v>#NAME?</v>
      </c>
      <c r="H57" s="141" t="e">
        <f t="shared" ca="1" si="65"/>
        <v>#NAME?</v>
      </c>
      <c r="I57" s="141" t="e">
        <f t="shared" ca="1" si="65"/>
        <v>#NAME?</v>
      </c>
      <c r="J57" s="141" t="e">
        <f t="shared" ca="1" si="65"/>
        <v>#NAME?</v>
      </c>
      <c r="K57" s="141" t="e">
        <f t="shared" ca="1" si="65"/>
        <v>#NAME?</v>
      </c>
      <c r="L57" s="141" t="e">
        <f t="shared" ca="1" si="65"/>
        <v>#NAME?</v>
      </c>
      <c r="M57" s="141" t="e">
        <f t="shared" ca="1" si="65"/>
        <v>#NAME?</v>
      </c>
      <c r="N57" s="141"/>
      <c r="O57" s="141" t="e">
        <f t="shared" ca="1" si="65"/>
        <v>#NAME?</v>
      </c>
      <c r="P57" s="141" t="e">
        <f t="shared" ca="1" si="65"/>
        <v>#NAME?</v>
      </c>
      <c r="Q57" s="141" t="e">
        <f t="shared" ca="1" si="65"/>
        <v>#NAME?</v>
      </c>
      <c r="R57" s="141" t="e">
        <f t="shared" ca="1" si="65"/>
        <v>#NAME?</v>
      </c>
      <c r="S57" s="141" t="e">
        <f t="shared" ca="1" si="65"/>
        <v>#NAME?</v>
      </c>
      <c r="T57" s="141" t="e">
        <f t="shared" ca="1" si="65"/>
        <v>#NAME?</v>
      </c>
      <c r="U57" s="141" t="e">
        <f t="shared" ca="1" si="65"/>
        <v>#NAME?</v>
      </c>
      <c r="V57" s="141" t="e">
        <f t="shared" ca="1" si="65"/>
        <v>#NAME?</v>
      </c>
    </row>
    <row r="58" spans="1:22" s="3" customFormat="1" x14ac:dyDescent="0.25">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25">
      <c r="A59" s="61" t="s">
        <v>82</v>
      </c>
      <c r="B59" s="150"/>
      <c r="C59" s="150" t="s">
        <v>4433</v>
      </c>
      <c r="D59" s="150" t="s">
        <v>4433</v>
      </c>
      <c r="E59" s="150" t="s">
        <v>4433</v>
      </c>
      <c r="F59" s="150" t="s">
        <v>4433</v>
      </c>
      <c r="G59" s="150" t="s">
        <v>4433</v>
      </c>
      <c r="H59" s="150" t="s">
        <v>4433</v>
      </c>
      <c r="I59" s="150" t="s">
        <v>4433</v>
      </c>
      <c r="J59" s="150" t="s">
        <v>4433</v>
      </c>
      <c r="K59" s="150" t="s">
        <v>4433</v>
      </c>
      <c r="L59" s="150" t="s">
        <v>4433</v>
      </c>
      <c r="M59" s="150" t="s">
        <v>4433</v>
      </c>
      <c r="N59" s="150"/>
      <c r="O59" s="150" t="e">
        <f t="shared" ref="O59" ca="1" si="66">IF($B57="Non",IF(O57="Non","MW",IF(O57="Oui","MW","")),IF($B57="Oui",IF(O57="Oui","T-Test Welch",IF(O57="Non","MW",""))))</f>
        <v>#NAME?</v>
      </c>
      <c r="P59" s="150" t="e">
        <f ca="1">IF($O57="Non",IF(P57="Non","MW",IF(P57="Oui","MW","")),IF($O57="Oui",IF(P57="Oui","T-Test Welch",IF(P57="Non","MW",""))))</f>
        <v>#NAME?</v>
      </c>
      <c r="Q59" s="150" t="e">
        <f t="shared" ref="Q59" ca="1" si="67">IF($O57="Non",IF(Q57="Non","MW",IF(Q57="Oui","MW","")),IF($O57="Oui",IF(Q57="Oui","T-Test Welch",IF(Q57="Non","MW",""))))</f>
        <v>#NAME?</v>
      </c>
      <c r="R59" s="150" t="s">
        <v>4433</v>
      </c>
      <c r="S59" s="150" t="s">
        <v>4433</v>
      </c>
      <c r="T59" s="150" t="s">
        <v>4433</v>
      </c>
      <c r="U59" s="150" t="s">
        <v>4433</v>
      </c>
      <c r="V59" s="150" t="s">
        <v>4433</v>
      </c>
    </row>
    <row r="60" spans="1:22" s="3" customFormat="1" ht="15.75" x14ac:dyDescent="0.25">
      <c r="A60" s="61" t="s">
        <v>83</v>
      </c>
      <c r="B60" s="151"/>
      <c r="C60" s="196">
        <v>0.99990000000000001</v>
      </c>
      <c r="D60" s="196">
        <v>0.99990000000000001</v>
      </c>
      <c r="E60" s="196">
        <v>0.28449999999999998</v>
      </c>
      <c r="F60" s="196">
        <v>1.67E-2</v>
      </c>
      <c r="G60" s="196">
        <v>1E-4</v>
      </c>
      <c r="H60" s="196">
        <v>1E-4</v>
      </c>
      <c r="I60" s="196">
        <v>0.99990000000000001</v>
      </c>
      <c r="J60" s="196">
        <v>0.76270000000000004</v>
      </c>
      <c r="K60" s="196">
        <v>0.1532</v>
      </c>
      <c r="L60" s="196">
        <v>1E-4</v>
      </c>
      <c r="M60" s="196">
        <v>1E-4</v>
      </c>
      <c r="N60" s="151"/>
      <c r="O60" s="196">
        <v>1E-4</v>
      </c>
      <c r="P60" s="196">
        <v>1.6000000000000001E-3</v>
      </c>
      <c r="Q60" s="196">
        <v>1E-4</v>
      </c>
      <c r="R60" s="196">
        <v>0.99990000000000001</v>
      </c>
      <c r="S60" s="196">
        <v>9.35E-2</v>
      </c>
      <c r="T60" s="196">
        <v>8.0999999999999996E-3</v>
      </c>
      <c r="U60" s="196">
        <v>4.0000000000000002E-4</v>
      </c>
      <c r="V60" s="196">
        <v>1.6400000000000001E-2</v>
      </c>
    </row>
    <row r="61" spans="1:22" s="3" customFormat="1" ht="15.75" thickBot="1" x14ac:dyDescent="0.3">
      <c r="A61" s="62" t="s">
        <v>84</v>
      </c>
      <c r="B61" s="142"/>
      <c r="C61" s="142" t="str">
        <f t="shared" ref="C61:O61" si="68">IF(C60&gt;0.05,"NS",IF(C60&gt;0.01,"*",IF(C60&gt;0.001,"**","***")))</f>
        <v>NS</v>
      </c>
      <c r="D61" s="142" t="str">
        <f t="shared" si="68"/>
        <v>NS</v>
      </c>
      <c r="E61" s="142" t="str">
        <f t="shared" si="68"/>
        <v>NS</v>
      </c>
      <c r="F61" s="142" t="str">
        <f t="shared" si="68"/>
        <v>*</v>
      </c>
      <c r="G61" s="142" t="str">
        <f t="shared" si="68"/>
        <v>***</v>
      </c>
      <c r="H61" s="142" t="str">
        <f t="shared" si="68"/>
        <v>***</v>
      </c>
      <c r="I61" s="142" t="str">
        <f t="shared" si="68"/>
        <v>NS</v>
      </c>
      <c r="J61" s="142" t="str">
        <f t="shared" si="68"/>
        <v>NS</v>
      </c>
      <c r="K61" s="142" t="str">
        <f t="shared" si="68"/>
        <v>NS</v>
      </c>
      <c r="L61" s="142" t="str">
        <f t="shared" si="68"/>
        <v>***</v>
      </c>
      <c r="M61" s="142" t="str">
        <f t="shared" si="68"/>
        <v>***</v>
      </c>
      <c r="N61" s="142"/>
      <c r="O61" s="142" t="str">
        <f t="shared" si="68"/>
        <v>***</v>
      </c>
      <c r="P61" s="142" t="str">
        <f>IF(P60&gt;0.05,"NS",IF(P60&gt;0.01,"*",IF(P60&gt;0.001,"**","***")))</f>
        <v>**</v>
      </c>
      <c r="Q61" s="142" t="str">
        <f t="shared" ref="Q61:V61" si="69">IF(Q60&gt;0.05,"NS",IF(Q60&gt;0.01,"*",IF(Q60&gt;0.001,"**","***")))</f>
        <v>***</v>
      </c>
      <c r="R61" s="142" t="str">
        <f t="shared" si="69"/>
        <v>NS</v>
      </c>
      <c r="S61" s="142" t="str">
        <f t="shared" si="69"/>
        <v>NS</v>
      </c>
      <c r="T61" s="142" t="str">
        <f t="shared" si="69"/>
        <v>**</v>
      </c>
      <c r="U61" s="142" t="str">
        <f t="shared" si="69"/>
        <v>***</v>
      </c>
      <c r="V61" s="142" t="str">
        <f t="shared" si="69"/>
        <v>*</v>
      </c>
    </row>
    <row r="63" spans="1:22" x14ac:dyDescent="0.25">
      <c r="A63" s="2" t="s">
        <v>39</v>
      </c>
    </row>
    <row r="64" spans="1:22" x14ac:dyDescent="0.25">
      <c r="A64" s="1" t="s">
        <v>23</v>
      </c>
      <c r="B64" s="1">
        <f>B46+(3*B47)</f>
        <v>0.38221878854840485</v>
      </c>
    </row>
    <row r="65" spans="1:22" x14ac:dyDescent="0.25">
      <c r="A65" s="1" t="s">
        <v>24</v>
      </c>
      <c r="B65" s="1">
        <f>B46+(10*B47)</f>
        <v>1.1075380184496091</v>
      </c>
    </row>
    <row r="66" spans="1:22" ht="15.75" thickBot="1" x14ac:dyDescent="0.3"/>
    <row r="67" spans="1:22" ht="27" thickBot="1" x14ac:dyDescent="0.45">
      <c r="A67" s="220" t="s">
        <v>45</v>
      </c>
      <c r="B67" s="221"/>
      <c r="C67" s="221"/>
      <c r="D67" s="221"/>
      <c r="E67" s="221"/>
      <c r="F67" s="221"/>
      <c r="G67" s="221"/>
      <c r="H67" s="221"/>
      <c r="I67" s="221"/>
      <c r="J67" s="221"/>
      <c r="K67" s="221"/>
      <c r="L67" s="221"/>
      <c r="M67" s="221"/>
      <c r="N67" s="221"/>
      <c r="O67" s="221"/>
      <c r="P67" s="221"/>
      <c r="Q67" s="221"/>
      <c r="R67" s="221"/>
      <c r="S67" s="221"/>
      <c r="T67" s="221"/>
      <c r="U67" s="221"/>
      <c r="V67" s="221"/>
    </row>
    <row r="68" spans="1:22" ht="16.5" x14ac:dyDescent="0.25">
      <c r="A68" s="12"/>
      <c r="B68" s="12"/>
      <c r="C68" s="12"/>
      <c r="D68" s="12"/>
      <c r="E68" s="12"/>
      <c r="F68" s="12"/>
      <c r="N68" s="12"/>
      <c r="O68" s="12"/>
      <c r="P68" s="12"/>
      <c r="Q68" s="12"/>
      <c r="R68" s="12"/>
      <c r="S68" s="12"/>
      <c r="T68" s="12"/>
      <c r="U68" s="12"/>
      <c r="V68" s="12"/>
    </row>
    <row r="69" spans="1:22" ht="16.5" x14ac:dyDescent="0.25">
      <c r="A69" s="12"/>
      <c r="B69" s="12"/>
      <c r="C69" s="12"/>
      <c r="D69" s="12"/>
      <c r="E69" s="12"/>
      <c r="F69" s="12"/>
      <c r="N69" s="12"/>
      <c r="O69" s="12"/>
      <c r="P69" s="12"/>
      <c r="Q69" s="12"/>
      <c r="R69" s="12"/>
      <c r="S69" s="12"/>
      <c r="T69" s="12"/>
      <c r="U69" s="12"/>
      <c r="V69" s="12"/>
    </row>
    <row r="70" spans="1:22" ht="16.5" x14ac:dyDescent="0.25">
      <c r="A70" s="12"/>
      <c r="B70" s="12"/>
      <c r="C70" s="196"/>
      <c r="D70" s="12"/>
      <c r="E70" s="12"/>
      <c r="F70" s="12"/>
      <c r="I70" s="196" t="s">
        <v>112</v>
      </c>
      <c r="N70" s="12"/>
      <c r="O70" s="12"/>
      <c r="P70" s="12"/>
      <c r="Q70" s="12"/>
      <c r="R70" s="12"/>
      <c r="S70" s="12"/>
      <c r="T70" s="12"/>
      <c r="U70" s="12"/>
      <c r="V70" s="12"/>
    </row>
    <row r="71" spans="1:22" ht="16.5" x14ac:dyDescent="0.25">
      <c r="A71" s="12"/>
      <c r="B71" s="12"/>
      <c r="C71" s="196"/>
      <c r="D71" s="12"/>
      <c r="E71" s="12"/>
      <c r="F71" s="12"/>
      <c r="I71" s="196" t="s">
        <v>3082</v>
      </c>
      <c r="N71" s="12"/>
      <c r="O71" s="12"/>
      <c r="P71" s="12"/>
      <c r="Q71" s="12"/>
      <c r="R71" s="196" t="s">
        <v>112</v>
      </c>
      <c r="S71" s="12"/>
      <c r="T71" s="12"/>
      <c r="U71" s="12"/>
      <c r="V71" s="12"/>
    </row>
    <row r="72" spans="1:22" ht="16.5" x14ac:dyDescent="0.25">
      <c r="A72" s="12"/>
      <c r="B72" s="12"/>
      <c r="C72" s="196"/>
      <c r="D72" s="12"/>
      <c r="E72" s="12"/>
      <c r="F72" s="12"/>
      <c r="I72" s="196" t="s">
        <v>112</v>
      </c>
      <c r="N72" s="12"/>
      <c r="O72" s="12"/>
      <c r="P72" s="12"/>
      <c r="Q72" s="12"/>
      <c r="R72" s="196"/>
      <c r="S72" s="12"/>
      <c r="T72" s="12"/>
      <c r="U72" s="12"/>
      <c r="V72" s="12"/>
    </row>
    <row r="73" spans="1:22" ht="16.5" x14ac:dyDescent="0.25">
      <c r="A73" s="12"/>
      <c r="B73" s="12"/>
      <c r="C73" s="196"/>
      <c r="D73" s="12"/>
      <c r="E73" s="12"/>
      <c r="F73" s="12"/>
      <c r="I73" s="196" t="s">
        <v>112</v>
      </c>
      <c r="N73" s="12"/>
      <c r="O73" s="12"/>
      <c r="P73" s="12"/>
      <c r="Q73" s="12"/>
      <c r="R73" s="196"/>
      <c r="S73" s="12"/>
      <c r="T73" s="12"/>
      <c r="U73" s="12"/>
      <c r="V73" s="12"/>
    </row>
    <row r="74" spans="1:22" ht="16.5" x14ac:dyDescent="0.25">
      <c r="A74" s="12"/>
      <c r="B74" s="12"/>
      <c r="C74" s="196"/>
      <c r="D74" s="12"/>
      <c r="E74" s="12"/>
      <c r="F74" s="12"/>
      <c r="I74" s="196" t="s">
        <v>112</v>
      </c>
      <c r="N74" s="12"/>
      <c r="O74" s="12"/>
      <c r="P74" s="12"/>
      <c r="Q74" s="12"/>
      <c r="R74" s="196"/>
      <c r="S74" s="12"/>
      <c r="T74" s="12"/>
      <c r="U74" s="12"/>
      <c r="V74" s="12"/>
    </row>
    <row r="75" spans="1:22" ht="15.75" x14ac:dyDescent="0.25">
      <c r="C75" s="196"/>
      <c r="R75" s="196"/>
    </row>
  </sheetData>
  <protectedRanges>
    <protectedRange sqref="O51:V51" name="Plage2"/>
    <protectedRange sqref="R5:V20" name="Plage1"/>
    <protectedRange sqref="B51:J51" name="Plage2_1"/>
    <protectedRange sqref="O5:O20 B5:J20" name="Plage1_1"/>
  </protectedRanges>
  <mergeCells count="9">
    <mergeCell ref="A1:V1"/>
    <mergeCell ref="A67:V67"/>
    <mergeCell ref="A5:A20"/>
    <mergeCell ref="B3:M3"/>
    <mergeCell ref="O3:V3"/>
    <mergeCell ref="B26:M26"/>
    <mergeCell ref="O26:V26"/>
    <mergeCell ref="A28:A43"/>
    <mergeCell ref="A50:V50"/>
  </mergeCells>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N1711"/>
  <sheetViews>
    <sheetView showGridLines="0" topLeftCell="K1" zoomScale="80" zoomScaleNormal="80" workbookViewId="0">
      <selection activeCell="AB5" sqref="AB5:AF12"/>
    </sheetView>
  </sheetViews>
  <sheetFormatPr defaultColWidth="11.42578125" defaultRowHeight="15" x14ac:dyDescent="0.25"/>
  <cols>
    <col min="1" max="2" width="15" style="1" customWidth="1"/>
    <col min="3" max="3" width="25.42578125" style="1" customWidth="1"/>
    <col min="4" max="4" width="14" style="1" customWidth="1"/>
    <col min="5" max="5" width="21.140625" style="1" customWidth="1"/>
    <col min="6" max="6" width="11.42578125" style="1"/>
    <col min="7" max="7" width="21.42578125" style="1" customWidth="1"/>
    <col min="8" max="8" width="12.28515625" style="1" customWidth="1"/>
    <col min="9" max="9" width="17.140625" style="1" customWidth="1"/>
    <col min="10" max="10" width="11.42578125" style="1"/>
    <col min="11" max="11" width="37.42578125" style="1" bestFit="1" customWidth="1"/>
    <col min="12" max="12" width="38.42578125" style="1" bestFit="1" customWidth="1"/>
    <col min="13" max="14" width="12.85546875" style="1" customWidth="1"/>
    <col min="15" max="25" width="12.28515625" style="1" customWidth="1"/>
    <col min="26" max="16384" width="11.42578125" style="1"/>
  </cols>
  <sheetData>
    <row r="1" spans="1:144" x14ac:dyDescent="0.25">
      <c r="A1" s="1" t="s">
        <v>107</v>
      </c>
      <c r="B1" s="1" t="s">
        <v>108</v>
      </c>
      <c r="C1" s="1" t="s">
        <v>109</v>
      </c>
      <c r="D1" s="1" t="s">
        <v>110</v>
      </c>
      <c r="E1" s="1" t="s">
        <v>111</v>
      </c>
      <c r="F1" s="1" t="s">
        <v>112</v>
      </c>
      <c r="G1" s="1" t="s">
        <v>113</v>
      </c>
      <c r="H1" s="1" t="s">
        <v>117</v>
      </c>
      <c r="I1" s="1" t="s">
        <v>118</v>
      </c>
      <c r="J1" s="1" t="s">
        <v>1651</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25">
      <c r="A2" s="1" t="str">
        <f t="shared" ref="A2:A65" si="0">IFERROR(LEFT(RIGHT(C2,LEN(C2)-SEARCH("@",C2)),SEARCH("/",RIGHT(C2,LEN(C2)-SEARCH("@",C2)-1))),"")</f>
        <v>01 Evian + 0.2% DMSO</v>
      </c>
      <c r="B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 s="1" t="s">
        <v>3083</v>
      </c>
      <c r="D2" s="1" t="s">
        <v>517</v>
      </c>
      <c r="E2" s="1" t="s">
        <v>3084</v>
      </c>
      <c r="F2" s="1" t="s">
        <v>112</v>
      </c>
      <c r="G2" s="1">
        <v>367557</v>
      </c>
      <c r="K2" s="155" t="s">
        <v>120</v>
      </c>
      <c r="L2" s="155"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25">
      <c r="A3" s="1" t="str">
        <f t="shared" si="0"/>
        <v>01 Evian + 0.2% DMSO</v>
      </c>
      <c r="B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 s="1" t="s">
        <v>3085</v>
      </c>
      <c r="D3" s="1" t="s">
        <v>3086</v>
      </c>
      <c r="E3" s="1" t="s">
        <v>3087</v>
      </c>
      <c r="F3" s="1" t="s">
        <v>112</v>
      </c>
      <c r="G3" s="1">
        <v>322913</v>
      </c>
      <c r="K3" s="118" t="s">
        <v>153</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25">
      <c r="A4" s="1" t="str">
        <f t="shared" si="0"/>
        <v>01 Evian + 0.2% DMSO</v>
      </c>
      <c r="B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 s="1" t="s">
        <v>3088</v>
      </c>
      <c r="D4" s="1" t="s">
        <v>3089</v>
      </c>
      <c r="E4" s="1" t="s">
        <v>3090</v>
      </c>
      <c r="F4" s="1" t="s">
        <v>112</v>
      </c>
      <c r="G4" s="1">
        <v>413607</v>
      </c>
      <c r="K4" s="118" t="s">
        <v>100</v>
      </c>
      <c r="L4" s="1" t="s">
        <v>1652</v>
      </c>
      <c r="M4" s="1" t="s">
        <v>1653</v>
      </c>
      <c r="N4" s="1" t="s">
        <v>1654</v>
      </c>
      <c r="O4" s="1" t="s">
        <v>1655</v>
      </c>
      <c r="P4" s="1" t="s">
        <v>1656</v>
      </c>
      <c r="Q4" s="1" t="s">
        <v>1657</v>
      </c>
      <c r="R4" s="1" t="s">
        <v>1658</v>
      </c>
      <c r="S4" s="1" t="s">
        <v>1659</v>
      </c>
      <c r="T4" s="1" t="s">
        <v>1660</v>
      </c>
      <c r="U4" s="1" t="s">
        <v>1661</v>
      </c>
      <c r="V4" s="1" t="s">
        <v>1662</v>
      </c>
      <c r="W4" s="1" t="s">
        <v>1663</v>
      </c>
      <c r="X4" s="1" t="s">
        <v>1664</v>
      </c>
      <c r="Y4" s="1" t="s">
        <v>1665</v>
      </c>
      <c r="Z4" s="1" t="s">
        <v>1666</v>
      </c>
      <c r="AA4" s="1" t="s">
        <v>1667</v>
      </c>
      <c r="AB4" s="1" t="s">
        <v>1668</v>
      </c>
      <c r="AC4" s="1" t="s">
        <v>1669</v>
      </c>
      <c r="AD4" s="1" t="s">
        <v>1670</v>
      </c>
      <c r="AE4" s="1" t="s">
        <v>1671</v>
      </c>
      <c r="AF4" s="1" t="s">
        <v>1672</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25">
      <c r="A5" s="1" t="str">
        <f t="shared" si="0"/>
        <v>01 Evian + 0.2% DMSO</v>
      </c>
      <c r="B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 s="1" t="s">
        <v>3091</v>
      </c>
      <c r="D5" s="1" t="s">
        <v>476</v>
      </c>
      <c r="E5" s="1" t="s">
        <v>3092</v>
      </c>
      <c r="F5" s="1" t="s">
        <v>112</v>
      </c>
      <c r="G5" s="1">
        <v>445814</v>
      </c>
      <c r="K5" s="145" t="s">
        <v>163</v>
      </c>
      <c r="L5" s="44">
        <v>368025.66666666669</v>
      </c>
      <c r="M5" s="44">
        <v>387189.33333333331</v>
      </c>
      <c r="N5" s="44">
        <v>797804.33333333337</v>
      </c>
      <c r="O5" s="44">
        <v>310432.33333333331</v>
      </c>
      <c r="P5" s="44">
        <v>839355</v>
      </c>
      <c r="Q5" s="44">
        <v>3516624.3333333335</v>
      </c>
      <c r="R5" s="44">
        <v>5310701.5</v>
      </c>
      <c r="S5" s="44">
        <v>231259.66666666666</v>
      </c>
      <c r="T5" s="44">
        <v>70967.5</v>
      </c>
      <c r="U5" s="44">
        <v>718148.33333333337</v>
      </c>
      <c r="V5" s="44">
        <v>2709079.3333333335</v>
      </c>
      <c r="W5" s="44">
        <v>5120553</v>
      </c>
      <c r="X5" s="44">
        <v>1417500.6666666667</v>
      </c>
      <c r="Y5" s="44">
        <v>1034622.5</v>
      </c>
      <c r="Z5" s="44">
        <v>4569683</v>
      </c>
      <c r="AA5" s="44">
        <v>145381.66666666666</v>
      </c>
      <c r="AB5" s="44">
        <v>2942574.3333333335</v>
      </c>
      <c r="AC5" s="44">
        <v>6244096.333333333</v>
      </c>
      <c r="AD5" s="44"/>
      <c r="AE5" s="44">
        <v>4518874.333333333</v>
      </c>
      <c r="AF5" s="44"/>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25">
      <c r="A6" s="1" t="str">
        <f t="shared" si="0"/>
        <v>01 Evian + 0.2% DMSO</v>
      </c>
      <c r="B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 s="1" t="s">
        <v>3093</v>
      </c>
      <c r="D6" s="1" t="s">
        <v>3094</v>
      </c>
      <c r="E6" s="1" t="s">
        <v>3095</v>
      </c>
      <c r="F6" s="1" t="s">
        <v>112</v>
      </c>
      <c r="G6" s="1">
        <v>33418</v>
      </c>
      <c r="K6" s="145" t="s">
        <v>1673</v>
      </c>
      <c r="L6" s="44">
        <v>211302.33333333334</v>
      </c>
      <c r="M6" s="44">
        <v>236630.66666666666</v>
      </c>
      <c r="N6" s="44">
        <v>28292</v>
      </c>
      <c r="O6" s="44">
        <v>104829.5</v>
      </c>
      <c r="P6" s="44">
        <v>156290.66666666666</v>
      </c>
      <c r="Q6" s="44">
        <v>2300555.6666666665</v>
      </c>
      <c r="R6" s="44">
        <v>6015165.333333333</v>
      </c>
      <c r="S6" s="44">
        <v>179932</v>
      </c>
      <c r="T6" s="44"/>
      <c r="U6" s="44">
        <v>1125331</v>
      </c>
      <c r="V6" s="44">
        <v>465857.66666666669</v>
      </c>
      <c r="W6" s="44">
        <v>6081908</v>
      </c>
      <c r="X6" s="44">
        <v>2886682.6666666665</v>
      </c>
      <c r="Y6" s="44">
        <v>3215082</v>
      </c>
      <c r="Z6" s="44">
        <v>3626561.6666666665</v>
      </c>
      <c r="AA6" s="44">
        <v>122439.66666666667</v>
      </c>
      <c r="AB6" s="44">
        <v>4053961.5</v>
      </c>
      <c r="AC6" s="44">
        <v>272998</v>
      </c>
      <c r="AD6" s="44">
        <v>6040653</v>
      </c>
      <c r="AE6" s="44">
        <v>1954477.3333333333</v>
      </c>
      <c r="AF6" s="44">
        <v>5295603.666666667</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25">
      <c r="A7" s="1" t="str">
        <f t="shared" si="0"/>
        <v>01 Evian + 0.2% DMSO</v>
      </c>
      <c r="B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 s="1" t="s">
        <v>3096</v>
      </c>
      <c r="D7" s="1" t="s">
        <v>3097</v>
      </c>
      <c r="E7" s="1" t="s">
        <v>3098</v>
      </c>
      <c r="F7" s="1" t="s">
        <v>112</v>
      </c>
      <c r="G7" s="1">
        <v>154675</v>
      </c>
      <c r="K7" s="145" t="s">
        <v>1674</v>
      </c>
      <c r="L7" s="44">
        <v>31179.5</v>
      </c>
      <c r="M7" s="44">
        <v>178403.66666666666</v>
      </c>
      <c r="N7" s="44">
        <v>41421.333333333336</v>
      </c>
      <c r="O7" s="44">
        <v>181669.66666666666</v>
      </c>
      <c r="P7" s="44">
        <v>1417342.5</v>
      </c>
      <c r="Q7" s="44">
        <v>4708078.333333333</v>
      </c>
      <c r="R7" s="44">
        <v>4749045.333333333</v>
      </c>
      <c r="S7" s="44">
        <v>195094.33333333334</v>
      </c>
      <c r="T7" s="44">
        <v>41933</v>
      </c>
      <c r="U7" s="44">
        <v>1125172.3333333333</v>
      </c>
      <c r="V7" s="44">
        <v>4969345.666666667</v>
      </c>
      <c r="W7" s="44">
        <v>6900736.666666667</v>
      </c>
      <c r="X7" s="44">
        <v>3153674.6666666665</v>
      </c>
      <c r="Y7" s="44">
        <v>1769325.3333333333</v>
      </c>
      <c r="Z7" s="44">
        <v>3966519</v>
      </c>
      <c r="AA7" s="44">
        <v>431062.33333333331</v>
      </c>
      <c r="AB7" s="44">
        <v>2691375.5</v>
      </c>
      <c r="AC7" s="44">
        <v>4512645</v>
      </c>
      <c r="AD7" s="44">
        <v>5145787.666666667</v>
      </c>
      <c r="AE7" s="44">
        <v>3715806.6666666665</v>
      </c>
      <c r="AF7" s="44">
        <v>3456240.6666666665</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25">
      <c r="A8" s="1" t="str">
        <f t="shared" si="0"/>
        <v>01 Evian + 0.2% DMSO</v>
      </c>
      <c r="B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8" s="1" t="s">
        <v>3099</v>
      </c>
      <c r="D8" s="1" t="s">
        <v>773</v>
      </c>
      <c r="E8" s="1" t="s">
        <v>3100</v>
      </c>
      <c r="F8" s="1" t="s">
        <v>112</v>
      </c>
      <c r="G8" s="1">
        <v>47521</v>
      </c>
      <c r="K8" s="145" t="s">
        <v>1675</v>
      </c>
      <c r="L8" s="44">
        <v>97543.666666666672</v>
      </c>
      <c r="M8" s="44">
        <v>102114.66666666667</v>
      </c>
      <c r="N8" s="44">
        <v>123045.33333333333</v>
      </c>
      <c r="O8" s="44">
        <v>5450012.333333333</v>
      </c>
      <c r="P8" s="44">
        <v>2616640.3333333335</v>
      </c>
      <c r="Q8" s="44">
        <v>1361948</v>
      </c>
      <c r="R8" s="44">
        <v>4232134</v>
      </c>
      <c r="S8" s="44">
        <v>256184.33333333334</v>
      </c>
      <c r="T8" s="44">
        <v>131805</v>
      </c>
      <c r="U8" s="44">
        <v>173630.33333333334</v>
      </c>
      <c r="V8" s="44">
        <v>3924881.3333333335</v>
      </c>
      <c r="W8" s="44">
        <v>8072601</v>
      </c>
      <c r="X8" s="44">
        <v>1619956.6666666667</v>
      </c>
      <c r="Y8" s="44">
        <v>2017881.6666666667</v>
      </c>
      <c r="Z8" s="44">
        <v>2351032.3333333335</v>
      </c>
      <c r="AA8" s="44">
        <v>52322.666666666664</v>
      </c>
      <c r="AB8" s="44">
        <v>573527.5</v>
      </c>
      <c r="AC8" s="44">
        <v>1914797</v>
      </c>
      <c r="AD8" s="44">
        <v>3529501.3333333335</v>
      </c>
      <c r="AE8" s="44">
        <v>3273814.5</v>
      </c>
      <c r="AF8" s="44">
        <v>4665467.333333333</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25">
      <c r="A9" s="1" t="str">
        <f t="shared" si="0"/>
        <v>01 Evian + 0.2% DMSO</v>
      </c>
      <c r="B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9" s="1" t="s">
        <v>3101</v>
      </c>
      <c r="K9" s="145" t="s">
        <v>1676</v>
      </c>
      <c r="L9" s="44">
        <v>29135.333333333332</v>
      </c>
      <c r="M9" s="44">
        <v>48025.666666666664</v>
      </c>
      <c r="N9" s="44">
        <v>40199</v>
      </c>
      <c r="O9" s="44">
        <v>147609.66666666666</v>
      </c>
      <c r="P9" s="44">
        <v>1308197.6666666667</v>
      </c>
      <c r="Q9" s="44">
        <v>2593309</v>
      </c>
      <c r="R9" s="44">
        <v>5635965</v>
      </c>
      <c r="S9" s="44">
        <v>324982</v>
      </c>
      <c r="T9" s="44">
        <v>127191</v>
      </c>
      <c r="U9" s="44">
        <v>2496342.3333333335</v>
      </c>
      <c r="V9" s="44">
        <v>3971839.6666666665</v>
      </c>
      <c r="W9" s="44">
        <v>3999331.3333333335</v>
      </c>
      <c r="X9" s="44">
        <v>861958.33333333337</v>
      </c>
      <c r="Y9" s="44">
        <v>16092.666666666666</v>
      </c>
      <c r="Z9" s="44">
        <v>3157474.3333333335</v>
      </c>
      <c r="AA9" s="44">
        <v>217063</v>
      </c>
      <c r="AB9" s="44">
        <v>1515130.5</v>
      </c>
      <c r="AC9" s="44">
        <v>4279965</v>
      </c>
      <c r="AD9" s="44">
        <v>4607535</v>
      </c>
      <c r="AE9" s="44">
        <v>2651313</v>
      </c>
      <c r="AF9" s="44">
        <v>6345749.666666667</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25">
      <c r="A10" s="1" t="str">
        <f t="shared" si="0"/>
        <v>01 Evian + 0.2% DMSO</v>
      </c>
      <c r="B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 s="1" t="s">
        <v>3102</v>
      </c>
      <c r="D10" s="1" t="s">
        <v>218</v>
      </c>
      <c r="E10" s="1" t="s">
        <v>3103</v>
      </c>
      <c r="F10" s="1" t="s">
        <v>112</v>
      </c>
      <c r="G10" s="1">
        <v>14838</v>
      </c>
      <c r="K10" s="145" t="s">
        <v>1677</v>
      </c>
      <c r="L10" s="44">
        <v>42618</v>
      </c>
      <c r="M10" s="44">
        <v>191836</v>
      </c>
      <c r="N10" s="44">
        <v>438005.33333333331</v>
      </c>
      <c r="O10" s="44"/>
      <c r="P10" s="44">
        <v>821644</v>
      </c>
      <c r="Q10" s="44">
        <v>284512.66666666669</v>
      </c>
      <c r="R10" s="44">
        <v>6949916</v>
      </c>
      <c r="S10" s="44">
        <v>247063.66666666666</v>
      </c>
      <c r="T10" s="44">
        <v>2380413</v>
      </c>
      <c r="U10" s="44">
        <v>394738.33333333331</v>
      </c>
      <c r="V10" s="44">
        <v>2341768</v>
      </c>
      <c r="W10" s="44">
        <v>6444908</v>
      </c>
      <c r="X10" s="44">
        <v>1710831</v>
      </c>
      <c r="Y10" s="44">
        <v>2131575.6666666665</v>
      </c>
      <c r="Z10" s="44">
        <v>3706534.6666666665</v>
      </c>
      <c r="AA10" s="44">
        <v>169405.33333333334</v>
      </c>
      <c r="AB10" s="44">
        <v>1244108.5</v>
      </c>
      <c r="AC10" s="44">
        <v>2490379.6666666665</v>
      </c>
      <c r="AD10" s="44">
        <v>1517452.6666666667</v>
      </c>
      <c r="AE10" s="44">
        <v>3117697</v>
      </c>
      <c r="AF10" s="44">
        <v>6444180</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25">
      <c r="A11" s="1" t="str">
        <f t="shared" si="0"/>
        <v>01 Evian + 0.2% DMSO</v>
      </c>
      <c r="B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 s="1" t="s">
        <v>3104</v>
      </c>
      <c r="D11" s="1" t="s">
        <v>3105</v>
      </c>
      <c r="E11" s="1" t="s">
        <v>3106</v>
      </c>
      <c r="F11" s="1" t="s">
        <v>112</v>
      </c>
      <c r="G11" s="1">
        <v>111827</v>
      </c>
      <c r="K11" s="145" t="s">
        <v>1678</v>
      </c>
      <c r="L11" s="44">
        <v>61133.333333333336</v>
      </c>
      <c r="M11" s="44">
        <v>57622</v>
      </c>
      <c r="N11" s="44">
        <v>566321</v>
      </c>
      <c r="O11" s="44">
        <v>248376</v>
      </c>
      <c r="P11" s="44">
        <v>1468316.3333333333</v>
      </c>
      <c r="Q11" s="44">
        <v>1320101.3333333333</v>
      </c>
      <c r="R11" s="44">
        <v>5164887.333333333</v>
      </c>
      <c r="S11" s="44">
        <v>89721</v>
      </c>
      <c r="T11" s="44">
        <v>115503.66666666667</v>
      </c>
      <c r="U11" s="44">
        <v>45559.666666666664</v>
      </c>
      <c r="V11" s="44">
        <v>6461692.666666667</v>
      </c>
      <c r="W11" s="44">
        <v>7010270.666666667</v>
      </c>
      <c r="X11" s="44">
        <v>1497906</v>
      </c>
      <c r="Y11" s="44"/>
      <c r="Z11" s="44">
        <v>3698589.3333333335</v>
      </c>
      <c r="AA11" s="44">
        <v>100730.33333333333</v>
      </c>
      <c r="AB11" s="44">
        <v>2852961.3333333335</v>
      </c>
      <c r="AC11" s="44">
        <v>4117228.5</v>
      </c>
      <c r="AD11" s="44">
        <v>4708049.333333333</v>
      </c>
      <c r="AE11" s="44">
        <v>4351841</v>
      </c>
      <c r="AF11" s="44">
        <v>4942690.333333333</v>
      </c>
      <c r="AG11"/>
    </row>
    <row r="12" spans="1:144" x14ac:dyDescent="0.25">
      <c r="A12" s="1" t="str">
        <f t="shared" si="0"/>
        <v>01 Evian + 0.2% DMSO</v>
      </c>
      <c r="B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2" s="1" t="s">
        <v>3107</v>
      </c>
      <c r="D12" s="1" t="s">
        <v>1707</v>
      </c>
      <c r="E12" s="1" t="s">
        <v>3108</v>
      </c>
      <c r="F12" s="1" t="s">
        <v>112</v>
      </c>
      <c r="G12" s="1">
        <v>133132</v>
      </c>
      <c r="K12" s="145" t="s">
        <v>1679</v>
      </c>
      <c r="L12" s="44">
        <v>242802.66666666666</v>
      </c>
      <c r="M12" s="44">
        <v>49828</v>
      </c>
      <c r="N12" s="44">
        <v>15696.333333333334</v>
      </c>
      <c r="O12" s="44">
        <v>623294.66666666663</v>
      </c>
      <c r="P12" s="44">
        <v>2156554.5</v>
      </c>
      <c r="Q12" s="44">
        <v>2996987.6666666665</v>
      </c>
      <c r="R12" s="44">
        <v>6336362.333333333</v>
      </c>
      <c r="S12" s="44">
        <v>96995.666666666672</v>
      </c>
      <c r="T12" s="44">
        <v>79937</v>
      </c>
      <c r="U12" s="44">
        <v>425081.5</v>
      </c>
      <c r="V12" s="44">
        <v>5566100.333333333</v>
      </c>
      <c r="W12" s="44">
        <v>3948573.3333333335</v>
      </c>
      <c r="X12" s="44">
        <v>55091</v>
      </c>
      <c r="Y12" s="44">
        <v>1943698.3333333333</v>
      </c>
      <c r="Z12" s="44">
        <v>4024732</v>
      </c>
      <c r="AA12" s="44">
        <v>265319.33333333331</v>
      </c>
      <c r="AB12" s="44">
        <v>2009006.3333333333</v>
      </c>
      <c r="AC12" s="44">
        <v>2359302.3333333335</v>
      </c>
      <c r="AD12" s="44">
        <v>2563452.3333333335</v>
      </c>
      <c r="AE12" s="44">
        <v>4454821</v>
      </c>
      <c r="AF12" s="44">
        <v>6848911.666666667</v>
      </c>
      <c r="AG12"/>
    </row>
    <row r="13" spans="1:144" x14ac:dyDescent="0.25">
      <c r="A13" s="1" t="str">
        <f t="shared" si="0"/>
        <v>01 Evian + 0.2% DMSO</v>
      </c>
      <c r="B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3" s="1" t="s">
        <v>3109</v>
      </c>
      <c r="D13" s="1" t="s">
        <v>773</v>
      </c>
      <c r="E13" s="1" t="s">
        <v>3110</v>
      </c>
      <c r="F13" s="1" t="s">
        <v>112</v>
      </c>
      <c r="G13" s="1">
        <v>47672</v>
      </c>
      <c r="K13"/>
      <c r="L13"/>
      <c r="M13"/>
      <c r="N13"/>
      <c r="O13"/>
      <c r="P13"/>
      <c r="Q13"/>
      <c r="R13"/>
      <c r="S13"/>
      <c r="T13"/>
      <c r="U13"/>
      <c r="V13"/>
      <c r="W13"/>
      <c r="X13"/>
      <c r="Y13"/>
      <c r="Z13"/>
      <c r="AA13"/>
      <c r="AB13"/>
      <c r="AC13"/>
      <c r="AD13"/>
      <c r="AE13"/>
      <c r="AF13"/>
      <c r="AG13"/>
    </row>
    <row r="14" spans="1:144" x14ac:dyDescent="0.25">
      <c r="A14" s="1" t="str">
        <f t="shared" si="0"/>
        <v>01 Evian + 0.2% DMSO</v>
      </c>
      <c r="B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 s="1" t="s">
        <v>3111</v>
      </c>
      <c r="D14" s="1" t="s">
        <v>190</v>
      </c>
      <c r="E14" s="1" t="s">
        <v>3112</v>
      </c>
      <c r="F14" s="1" t="s">
        <v>112</v>
      </c>
      <c r="G14" s="1">
        <v>25480</v>
      </c>
      <c r="K14"/>
      <c r="L14"/>
      <c r="M14"/>
      <c r="N14"/>
      <c r="O14"/>
      <c r="P14"/>
      <c r="Q14"/>
      <c r="R14"/>
      <c r="S14"/>
      <c r="T14"/>
      <c r="U14"/>
      <c r="V14"/>
      <c r="W14"/>
      <c r="X14"/>
      <c r="Y14"/>
      <c r="Z14"/>
      <c r="AA14"/>
      <c r="AB14"/>
      <c r="AC14"/>
      <c r="AD14"/>
      <c r="AE14"/>
      <c r="AF14"/>
      <c r="AG14"/>
    </row>
    <row r="15" spans="1:144" x14ac:dyDescent="0.25">
      <c r="A15" s="1" t="str">
        <f t="shared" si="0"/>
        <v>01 Evian + 0.2% DMSO</v>
      </c>
      <c r="B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5" s="1" t="s">
        <v>3113</v>
      </c>
      <c r="D15" s="1" t="s">
        <v>725</v>
      </c>
      <c r="E15" s="1" t="s">
        <v>3114</v>
      </c>
      <c r="F15" s="1" t="s">
        <v>112</v>
      </c>
      <c r="G15" s="1">
        <v>19510</v>
      </c>
    </row>
    <row r="16" spans="1:144" x14ac:dyDescent="0.25">
      <c r="A16" s="1" t="str">
        <f t="shared" si="0"/>
        <v>01 Evian + 0.2% DMSO</v>
      </c>
      <c r="B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6" s="1" t="s">
        <v>3115</v>
      </c>
      <c r="D16" s="1" t="s">
        <v>264</v>
      </c>
      <c r="E16" s="1" t="s">
        <v>3116</v>
      </c>
      <c r="F16" s="1" t="s">
        <v>112</v>
      </c>
      <c r="G16" s="1">
        <v>42416</v>
      </c>
    </row>
    <row r="17" spans="1:10" x14ac:dyDescent="0.25">
      <c r="A17" s="1" t="str">
        <f t="shared" si="0"/>
        <v>01 Evian + 0.2% DMSO</v>
      </c>
      <c r="B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7" s="1" t="s">
        <v>3117</v>
      </c>
      <c r="D17" s="1" t="s">
        <v>2688</v>
      </c>
      <c r="E17" s="1" t="s">
        <v>3118</v>
      </c>
      <c r="F17" s="1" t="s">
        <v>112</v>
      </c>
      <c r="G17" s="1">
        <v>99324</v>
      </c>
    </row>
    <row r="18" spans="1:10" x14ac:dyDescent="0.25">
      <c r="A18" s="1" t="str">
        <f t="shared" si="0"/>
        <v>01 Evian + 0.2% DMSO</v>
      </c>
      <c r="B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 s="1" t="s">
        <v>3119</v>
      </c>
      <c r="D18" s="1" t="s">
        <v>1245</v>
      </c>
      <c r="E18" s="1" t="s">
        <v>3120</v>
      </c>
      <c r="F18" s="1" t="s">
        <v>112</v>
      </c>
      <c r="G18" s="1">
        <v>12156</v>
      </c>
    </row>
    <row r="19" spans="1:10" x14ac:dyDescent="0.25">
      <c r="A19" s="1" t="str">
        <f t="shared" si="0"/>
        <v>01 Evian + 0.2% DMSO</v>
      </c>
      <c r="B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9" s="1" t="s">
        <v>3121</v>
      </c>
      <c r="D19" s="1" t="s">
        <v>221</v>
      </c>
      <c r="E19" s="1" t="s">
        <v>3122</v>
      </c>
      <c r="F19" s="1" t="s">
        <v>112</v>
      </c>
      <c r="G19" s="1">
        <v>16374</v>
      </c>
    </row>
    <row r="20" spans="1:10" x14ac:dyDescent="0.25">
      <c r="A20" s="1" t="str">
        <f t="shared" si="0"/>
        <v>01 Evian + 0.2% DMSO</v>
      </c>
      <c r="B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0" s="1" t="s">
        <v>3123</v>
      </c>
      <c r="D20" s="1" t="s">
        <v>780</v>
      </c>
      <c r="E20" s="1" t="s">
        <v>3124</v>
      </c>
      <c r="F20" s="1" t="s">
        <v>112</v>
      </c>
      <c r="G20" s="1">
        <v>75856</v>
      </c>
    </row>
    <row r="21" spans="1:10" x14ac:dyDescent="0.25">
      <c r="A21" s="1" t="str">
        <f t="shared" si="0"/>
        <v>01 Evian + 0.2% DMSO</v>
      </c>
      <c r="B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 s="1" t="s">
        <v>3125</v>
      </c>
      <c r="D21" s="1" t="s">
        <v>770</v>
      </c>
      <c r="E21" s="1" t="s">
        <v>3126</v>
      </c>
      <c r="F21" s="1" t="s">
        <v>112</v>
      </c>
      <c r="G21" s="1">
        <v>87363</v>
      </c>
    </row>
    <row r="22" spans="1:10" x14ac:dyDescent="0.25">
      <c r="A22" s="1" t="str">
        <f t="shared" si="0"/>
        <v>01 Evian + 0.2% DMSO</v>
      </c>
      <c r="B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2" s="1" t="s">
        <v>3127</v>
      </c>
      <c r="D22" s="1" t="s">
        <v>1704</v>
      </c>
      <c r="E22" s="1" t="s">
        <v>3128</v>
      </c>
      <c r="F22" s="1" t="s">
        <v>112</v>
      </c>
      <c r="G22" s="1">
        <v>20181</v>
      </c>
    </row>
    <row r="23" spans="1:10" x14ac:dyDescent="0.25">
      <c r="A23" s="1" t="str">
        <f t="shared" si="0"/>
        <v>01 Evian + 0.2% DMSO</v>
      </c>
      <c r="B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3" s="1" t="s">
        <v>3129</v>
      </c>
      <c r="D23" s="1" t="s">
        <v>3130</v>
      </c>
      <c r="E23" s="1" t="s">
        <v>3131</v>
      </c>
      <c r="F23" s="1" t="s">
        <v>112</v>
      </c>
      <c r="G23" s="1">
        <v>560149</v>
      </c>
    </row>
    <row r="24" spans="1:10" x14ac:dyDescent="0.25">
      <c r="A24" s="1" t="str">
        <f t="shared" si="0"/>
        <v>01 Evian + 0.2% DMSO</v>
      </c>
      <c r="B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4" s="1" t="s">
        <v>3132</v>
      </c>
      <c r="D24" s="1" t="s">
        <v>3133</v>
      </c>
      <c r="E24" s="1" t="s">
        <v>3134</v>
      </c>
      <c r="F24" s="1" t="s">
        <v>112</v>
      </c>
      <c r="G24" s="1">
        <v>50614</v>
      </c>
    </row>
    <row r="25" spans="1:10" x14ac:dyDescent="0.25">
      <c r="A25" s="1" t="str">
        <f t="shared" si="0"/>
        <v>01 Evian + 0.2% DMSO</v>
      </c>
      <c r="B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 s="1" t="s">
        <v>3135</v>
      </c>
      <c r="D25" s="1" t="s">
        <v>3136</v>
      </c>
      <c r="E25" s="1" t="s">
        <v>1279</v>
      </c>
      <c r="F25" s="1" t="s">
        <v>112</v>
      </c>
      <c r="G25" s="1">
        <v>117645</v>
      </c>
    </row>
    <row r="26" spans="1:10" x14ac:dyDescent="0.25">
      <c r="A26" s="1" t="str">
        <f t="shared" si="0"/>
        <v/>
      </c>
      <c r="B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 s="1" t="s">
        <v>112</v>
      </c>
    </row>
    <row r="27" spans="1:10" x14ac:dyDescent="0.25">
      <c r="A27" s="1" t="str">
        <f t="shared" si="0"/>
        <v/>
      </c>
      <c r="B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7" s="1" t="s">
        <v>232</v>
      </c>
      <c r="D27" s="1" t="s">
        <v>112</v>
      </c>
      <c r="E27" s="1" t="s">
        <v>233</v>
      </c>
      <c r="F27" s="1" t="s">
        <v>234</v>
      </c>
      <c r="G27" s="1" t="s">
        <v>235</v>
      </c>
      <c r="H27" s="1" t="s">
        <v>236</v>
      </c>
      <c r="I27" s="1" t="s">
        <v>237</v>
      </c>
      <c r="J27" s="1" t="s">
        <v>238</v>
      </c>
    </row>
    <row r="28" spans="1:10" x14ac:dyDescent="0.25">
      <c r="A28" s="1" t="str">
        <f t="shared" si="0"/>
        <v>01 Evian + 0.2% DMSO</v>
      </c>
      <c r="B2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8" s="1" t="s">
        <v>3137</v>
      </c>
      <c r="D28" s="1" t="s">
        <v>112</v>
      </c>
      <c r="E28" s="1" t="s">
        <v>3138</v>
      </c>
      <c r="F28" s="1" t="s">
        <v>3139</v>
      </c>
      <c r="G28" s="1" t="s">
        <v>3140</v>
      </c>
      <c r="H28" s="1" t="s">
        <v>3141</v>
      </c>
      <c r="I28" s="1">
        <v>24</v>
      </c>
      <c r="J28" s="1">
        <v>24</v>
      </c>
    </row>
    <row r="29" spans="1:10" x14ac:dyDescent="0.25">
      <c r="A29" s="1" t="str">
        <f t="shared" si="0"/>
        <v/>
      </c>
      <c r="B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 s="1" t="s">
        <v>112</v>
      </c>
    </row>
    <row r="30" spans="1:10" x14ac:dyDescent="0.25">
      <c r="A30" s="1" t="str">
        <f t="shared" si="0"/>
        <v/>
      </c>
      <c r="B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0" s="1" t="s">
        <v>112</v>
      </c>
    </row>
    <row r="31" spans="1:10" x14ac:dyDescent="0.25">
      <c r="A31" s="1" t="str">
        <f t="shared" si="0"/>
        <v/>
      </c>
      <c r="B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1" s="1" t="s">
        <v>112</v>
      </c>
    </row>
    <row r="32" spans="1:10" x14ac:dyDescent="0.25">
      <c r="A32" s="1" t="str">
        <f t="shared" si="0"/>
        <v/>
      </c>
      <c r="B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 s="1" t="s">
        <v>112</v>
      </c>
    </row>
    <row r="33" spans="1:7" x14ac:dyDescent="0.25">
      <c r="A33" s="1" t="str">
        <f t="shared" si="0"/>
        <v/>
      </c>
      <c r="B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 s="1" t="s">
        <v>112</v>
      </c>
    </row>
    <row r="34" spans="1:7" x14ac:dyDescent="0.25">
      <c r="A34" s="1" t="str">
        <f t="shared" si="0"/>
        <v/>
      </c>
      <c r="B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4" s="1" t="s">
        <v>244</v>
      </c>
      <c r="D34" s="1" t="s">
        <v>110</v>
      </c>
      <c r="E34" s="1" t="s">
        <v>111</v>
      </c>
      <c r="F34" s="1" t="s">
        <v>112</v>
      </c>
      <c r="G34" s="1" t="s">
        <v>113</v>
      </c>
    </row>
    <row r="35" spans="1:7" x14ac:dyDescent="0.25">
      <c r="A35" s="1" t="str">
        <f t="shared" si="0"/>
        <v>02 EE2 33.8</v>
      </c>
      <c r="B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5" s="1" t="s">
        <v>3142</v>
      </c>
      <c r="D35" s="1" t="s">
        <v>2184</v>
      </c>
      <c r="E35" s="1" t="s">
        <v>3143</v>
      </c>
      <c r="F35" s="1" t="s">
        <v>112</v>
      </c>
      <c r="G35" s="1">
        <v>389554</v>
      </c>
    </row>
    <row r="36" spans="1:7" x14ac:dyDescent="0.25">
      <c r="A36" s="1" t="str">
        <f t="shared" si="0"/>
        <v>02 EE2 33.8</v>
      </c>
      <c r="B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 s="1" t="s">
        <v>3144</v>
      </c>
      <c r="D36" s="1" t="s">
        <v>2179</v>
      </c>
      <c r="E36" s="1" t="s">
        <v>3145</v>
      </c>
      <c r="F36" s="1" t="s">
        <v>112</v>
      </c>
      <c r="G36" s="1">
        <v>504669</v>
      </c>
    </row>
    <row r="37" spans="1:7" x14ac:dyDescent="0.25">
      <c r="A37" s="1" t="str">
        <f t="shared" si="0"/>
        <v>02 EE2 33.8</v>
      </c>
      <c r="B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7" s="1" t="s">
        <v>3146</v>
      </c>
      <c r="D37" s="1" t="s">
        <v>3147</v>
      </c>
      <c r="E37" s="1" t="s">
        <v>3148</v>
      </c>
      <c r="F37" s="1" t="s">
        <v>112</v>
      </c>
      <c r="G37" s="1">
        <v>267345</v>
      </c>
    </row>
    <row r="38" spans="1:7" x14ac:dyDescent="0.25">
      <c r="A38" s="1" t="str">
        <f t="shared" si="0"/>
        <v>02 EE2 33.8</v>
      </c>
      <c r="B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8" s="1" t="s">
        <v>3149</v>
      </c>
      <c r="D38" s="1" t="s">
        <v>3147</v>
      </c>
      <c r="E38" s="1" t="s">
        <v>3150</v>
      </c>
      <c r="F38" s="1" t="s">
        <v>112</v>
      </c>
      <c r="G38" s="1">
        <v>269919</v>
      </c>
    </row>
    <row r="39" spans="1:7" x14ac:dyDescent="0.25">
      <c r="A39" s="1" t="str">
        <f t="shared" si="0"/>
        <v>02 EE2 33.8</v>
      </c>
      <c r="B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9" s="1" t="s">
        <v>3151</v>
      </c>
      <c r="D39" s="1" t="s">
        <v>337</v>
      </c>
      <c r="E39" s="1" t="s">
        <v>3152</v>
      </c>
      <c r="F39" s="1" t="s">
        <v>112</v>
      </c>
      <c r="G39" s="1">
        <v>82561</v>
      </c>
    </row>
    <row r="40" spans="1:7" x14ac:dyDescent="0.25">
      <c r="A40" s="1" t="str">
        <f t="shared" si="0"/>
        <v>02 EE2 33.8</v>
      </c>
      <c r="B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 s="1" t="s">
        <v>3153</v>
      </c>
      <c r="D40" s="1" t="s">
        <v>1254</v>
      </c>
      <c r="E40" s="1" t="s">
        <v>3154</v>
      </c>
      <c r="F40" s="1" t="s">
        <v>112</v>
      </c>
      <c r="G40" s="1">
        <v>357412</v>
      </c>
    </row>
    <row r="41" spans="1:7" x14ac:dyDescent="0.25">
      <c r="A41" s="1" t="str">
        <f t="shared" si="0"/>
        <v>02 EE2 33.8</v>
      </c>
      <c r="B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1" s="1" t="s">
        <v>3155</v>
      </c>
      <c r="D41" s="1" t="s">
        <v>2715</v>
      </c>
      <c r="E41" s="1" t="s">
        <v>3156</v>
      </c>
      <c r="F41" s="1" t="s">
        <v>112</v>
      </c>
      <c r="G41" s="1">
        <v>196681</v>
      </c>
    </row>
    <row r="42" spans="1:7" x14ac:dyDescent="0.25">
      <c r="A42" s="1" t="str">
        <f t="shared" si="0"/>
        <v>02 EE2 33.8</v>
      </c>
      <c r="B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2" s="1" t="s">
        <v>3157</v>
      </c>
      <c r="D42" s="1" t="s">
        <v>3158</v>
      </c>
      <c r="E42" s="1" t="s">
        <v>3159</v>
      </c>
      <c r="F42" s="1" t="s">
        <v>112</v>
      </c>
      <c r="G42" s="1">
        <v>219046</v>
      </c>
    </row>
    <row r="43" spans="1:7" x14ac:dyDescent="0.25">
      <c r="A43" s="1" t="str">
        <f t="shared" si="0"/>
        <v>02 EE2 33.8</v>
      </c>
      <c r="B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 s="1" t="s">
        <v>3160</v>
      </c>
      <c r="D43" s="1" t="s">
        <v>3136</v>
      </c>
      <c r="E43" s="1" t="s">
        <v>3161</v>
      </c>
      <c r="F43" s="1" t="s">
        <v>112</v>
      </c>
      <c r="G43" s="1">
        <v>119484</v>
      </c>
    </row>
    <row r="44" spans="1:7" x14ac:dyDescent="0.25">
      <c r="A44" s="1" t="str">
        <f t="shared" si="0"/>
        <v>02 EE2 33.8</v>
      </c>
      <c r="B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 s="1" t="s">
        <v>3162</v>
      </c>
      <c r="D44" s="1" t="s">
        <v>196</v>
      </c>
      <c r="E44" s="1" t="s">
        <v>3163</v>
      </c>
      <c r="F44" s="1" t="s">
        <v>112</v>
      </c>
      <c r="G44" s="1">
        <v>85633</v>
      </c>
    </row>
    <row r="45" spans="1:7" x14ac:dyDescent="0.25">
      <c r="A45" s="1" t="str">
        <f t="shared" si="0"/>
        <v>02 EE2 33.8</v>
      </c>
      <c r="B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5" s="1" t="s">
        <v>3164</v>
      </c>
      <c r="D45" s="1" t="s">
        <v>401</v>
      </c>
      <c r="E45" s="1" t="s">
        <v>3165</v>
      </c>
      <c r="F45" s="1" t="s">
        <v>112</v>
      </c>
      <c r="G45" s="1">
        <v>121127</v>
      </c>
    </row>
    <row r="46" spans="1:7" x14ac:dyDescent="0.25">
      <c r="A46" s="1" t="str">
        <f t="shared" si="0"/>
        <v>02 EE2 33.8</v>
      </c>
      <c r="B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6" s="1" t="s">
        <v>3166</v>
      </c>
      <c r="D46" s="1" t="s">
        <v>3167</v>
      </c>
      <c r="E46" s="1" t="s">
        <v>3168</v>
      </c>
      <c r="F46" s="1" t="s">
        <v>112</v>
      </c>
      <c r="G46" s="1">
        <v>99584</v>
      </c>
    </row>
    <row r="47" spans="1:7" x14ac:dyDescent="0.25">
      <c r="A47" s="1" t="str">
        <f t="shared" si="0"/>
        <v>02 EE2 33.8</v>
      </c>
      <c r="B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 s="1" t="s">
        <v>3169</v>
      </c>
      <c r="D47" s="1" t="s">
        <v>780</v>
      </c>
      <c r="E47" s="1" t="s">
        <v>3170</v>
      </c>
      <c r="F47" s="1" t="s">
        <v>112</v>
      </c>
      <c r="G47" s="1">
        <v>76916</v>
      </c>
    </row>
    <row r="48" spans="1:7" x14ac:dyDescent="0.25">
      <c r="A48" s="1" t="str">
        <f t="shared" si="0"/>
        <v>02 EE2 33.8</v>
      </c>
      <c r="B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8" s="1" t="s">
        <v>3171</v>
      </c>
      <c r="D48" s="1" t="s">
        <v>201</v>
      </c>
      <c r="E48" s="1" t="s">
        <v>3172</v>
      </c>
      <c r="F48" s="1" t="s">
        <v>112</v>
      </c>
      <c r="G48" s="1">
        <v>23101</v>
      </c>
    </row>
    <row r="49" spans="1:10" x14ac:dyDescent="0.25">
      <c r="A49" s="1" t="str">
        <f t="shared" si="0"/>
        <v>02 EE2 33.8</v>
      </c>
      <c r="B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9" s="1" t="s">
        <v>3173</v>
      </c>
      <c r="D49" s="1" t="s">
        <v>767</v>
      </c>
      <c r="E49" s="1" t="s">
        <v>3174</v>
      </c>
      <c r="F49" s="1" t="s">
        <v>112</v>
      </c>
      <c r="G49" s="1">
        <v>44060</v>
      </c>
    </row>
    <row r="50" spans="1:10" x14ac:dyDescent="0.25">
      <c r="A50" s="1" t="str">
        <f t="shared" si="0"/>
        <v>02 EE2 33.8</v>
      </c>
      <c r="B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0" s="1" t="s">
        <v>3175</v>
      </c>
    </row>
    <row r="51" spans="1:10" x14ac:dyDescent="0.25">
      <c r="A51" s="1" t="str">
        <f t="shared" si="0"/>
        <v>02 EE2 33.8</v>
      </c>
      <c r="B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 s="1" t="s">
        <v>3176</v>
      </c>
    </row>
    <row r="52" spans="1:10" x14ac:dyDescent="0.25">
      <c r="A52" s="1" t="str">
        <f t="shared" si="0"/>
        <v>02 EE2 33.8</v>
      </c>
      <c r="B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2" s="1" t="s">
        <v>3177</v>
      </c>
      <c r="D52" s="1" t="s">
        <v>3178</v>
      </c>
      <c r="E52" s="1" t="s">
        <v>3179</v>
      </c>
      <c r="F52" s="1" t="s">
        <v>112</v>
      </c>
      <c r="G52" s="1">
        <v>191836</v>
      </c>
    </row>
    <row r="53" spans="1:10" x14ac:dyDescent="0.25">
      <c r="A53" s="1" t="str">
        <f t="shared" si="0"/>
        <v>02 EE2 33.8</v>
      </c>
      <c r="B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3" s="1" t="s">
        <v>3180</v>
      </c>
      <c r="D53" s="1" t="s">
        <v>319</v>
      </c>
      <c r="E53" s="1" t="s">
        <v>3181</v>
      </c>
      <c r="F53" s="1" t="s">
        <v>112</v>
      </c>
      <c r="G53" s="1">
        <v>116758</v>
      </c>
    </row>
    <row r="54" spans="1:10" x14ac:dyDescent="0.25">
      <c r="A54" s="1" t="str">
        <f t="shared" si="0"/>
        <v>02 EE2 33.8</v>
      </c>
      <c r="B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 s="1" t="s">
        <v>3182</v>
      </c>
      <c r="D54" s="1" t="s">
        <v>270</v>
      </c>
      <c r="E54" s="1" t="s">
        <v>3183</v>
      </c>
      <c r="F54" s="1" t="s">
        <v>112</v>
      </c>
      <c r="G54" s="1">
        <v>29417</v>
      </c>
    </row>
    <row r="55" spans="1:10" x14ac:dyDescent="0.25">
      <c r="A55" s="1" t="str">
        <f t="shared" si="0"/>
        <v>02 EE2 33.8</v>
      </c>
      <c r="B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5" s="1" t="s">
        <v>3184</v>
      </c>
      <c r="D55" s="1" t="s">
        <v>1715</v>
      </c>
      <c r="E55" s="1" t="s">
        <v>3185</v>
      </c>
      <c r="F55" s="1" t="s">
        <v>112</v>
      </c>
      <c r="G55" s="1">
        <v>26691</v>
      </c>
    </row>
    <row r="56" spans="1:10" x14ac:dyDescent="0.25">
      <c r="A56" s="1" t="str">
        <f t="shared" si="0"/>
        <v>02 EE2 33.8</v>
      </c>
      <c r="B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6" s="1" t="s">
        <v>3186</v>
      </c>
      <c r="D56" s="1" t="s">
        <v>1688</v>
      </c>
      <c r="E56" s="1" t="s">
        <v>3187</v>
      </c>
      <c r="F56" s="1" t="s">
        <v>112</v>
      </c>
      <c r="G56" s="1">
        <v>86217</v>
      </c>
    </row>
    <row r="57" spans="1:10" x14ac:dyDescent="0.25">
      <c r="A57" s="1" t="str">
        <f t="shared" si="0"/>
        <v>02 EE2 33.8</v>
      </c>
      <c r="B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7" s="1" t="s">
        <v>3188</v>
      </c>
      <c r="D57" s="1" t="s">
        <v>1245</v>
      </c>
      <c r="E57" s="1" t="s">
        <v>3189</v>
      </c>
      <c r="F57" s="1" t="s">
        <v>112</v>
      </c>
      <c r="G57" s="1">
        <v>12134</v>
      </c>
    </row>
    <row r="58" spans="1:10" x14ac:dyDescent="0.25">
      <c r="A58" s="1" t="str">
        <f t="shared" si="0"/>
        <v>02 EE2 33.8</v>
      </c>
      <c r="B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 s="1" t="s">
        <v>3190</v>
      </c>
      <c r="D58" s="1" t="s">
        <v>3133</v>
      </c>
      <c r="E58" s="1" t="s">
        <v>3191</v>
      </c>
      <c r="F58" s="1" t="s">
        <v>112</v>
      </c>
      <c r="G58" s="1">
        <v>51133</v>
      </c>
    </row>
    <row r="59" spans="1:10" x14ac:dyDescent="0.25">
      <c r="A59" s="1" t="str">
        <f t="shared" si="0"/>
        <v/>
      </c>
      <c r="B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 s="1" t="s">
        <v>112</v>
      </c>
    </row>
    <row r="60" spans="1:10" x14ac:dyDescent="0.25">
      <c r="A60" s="1" t="str">
        <f t="shared" si="0"/>
        <v/>
      </c>
      <c r="B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0" s="1" t="s">
        <v>232</v>
      </c>
      <c r="D60" s="1" t="s">
        <v>112</v>
      </c>
      <c r="E60" s="1" t="s">
        <v>233</v>
      </c>
      <c r="F60" s="1" t="s">
        <v>234</v>
      </c>
      <c r="G60" s="1" t="s">
        <v>235</v>
      </c>
      <c r="H60" s="1" t="s">
        <v>236</v>
      </c>
      <c r="I60" s="1" t="s">
        <v>237</v>
      </c>
      <c r="J60" s="1" t="s">
        <v>238</v>
      </c>
    </row>
    <row r="61" spans="1:10" x14ac:dyDescent="0.25">
      <c r="A61" s="1" t="str">
        <f t="shared" si="0"/>
        <v>02 EE2 33.8</v>
      </c>
      <c r="B6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1" s="1" t="s">
        <v>3192</v>
      </c>
      <c r="D61" s="1" t="s">
        <v>112</v>
      </c>
      <c r="E61" s="1" t="s">
        <v>3193</v>
      </c>
      <c r="F61" s="1" t="s">
        <v>3194</v>
      </c>
      <c r="G61" s="1" t="s">
        <v>3195</v>
      </c>
      <c r="H61" s="1" t="s">
        <v>3196</v>
      </c>
      <c r="I61" s="1">
        <v>24</v>
      </c>
      <c r="J61" s="1">
        <v>24</v>
      </c>
    </row>
    <row r="62" spans="1:10" x14ac:dyDescent="0.25">
      <c r="A62" s="1" t="str">
        <f t="shared" si="0"/>
        <v/>
      </c>
      <c r="B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 s="1" t="s">
        <v>112</v>
      </c>
    </row>
    <row r="63" spans="1:10" x14ac:dyDescent="0.25">
      <c r="A63" s="1" t="str">
        <f t="shared" si="0"/>
        <v/>
      </c>
      <c r="B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3" s="1" t="s">
        <v>112</v>
      </c>
    </row>
    <row r="64" spans="1:10" x14ac:dyDescent="0.25">
      <c r="A64" s="1" t="str">
        <f t="shared" si="0"/>
        <v/>
      </c>
      <c r="B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4" s="1" t="s">
        <v>112</v>
      </c>
    </row>
    <row r="65" spans="1:7" x14ac:dyDescent="0.25">
      <c r="A65" s="1" t="str">
        <f t="shared" si="0"/>
        <v/>
      </c>
      <c r="B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 s="1" t="s">
        <v>112</v>
      </c>
    </row>
    <row r="66" spans="1:7" x14ac:dyDescent="0.25">
      <c r="A66" s="1" t="str">
        <f t="shared" ref="A66:A129" si="1">IFERROR(LEFT(RIGHT(C66,LEN(C66)-SEARCH("@",C66)),SEARCH("/",RIGHT(C66,LEN(C66)-SEARCH("@",C66)-1))),"")</f>
        <v/>
      </c>
      <c r="B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 s="1" t="s">
        <v>112</v>
      </c>
    </row>
    <row r="67" spans="1:7" x14ac:dyDescent="0.25">
      <c r="A67" s="1" t="str">
        <f t="shared" si="1"/>
        <v/>
      </c>
      <c r="B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7" s="1" t="s">
        <v>244</v>
      </c>
      <c r="D67" s="1" t="s">
        <v>110</v>
      </c>
      <c r="E67" s="1" t="s">
        <v>111</v>
      </c>
      <c r="F67" s="1" t="s">
        <v>112</v>
      </c>
      <c r="G67" s="1" t="s">
        <v>113</v>
      </c>
    </row>
    <row r="68" spans="1:7" x14ac:dyDescent="0.25">
      <c r="A68" s="1" t="str">
        <f t="shared" si="1"/>
        <v>03 EE2 50.6</v>
      </c>
      <c r="B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8" s="1" t="s">
        <v>3197</v>
      </c>
      <c r="D68" s="1" t="s">
        <v>3198</v>
      </c>
      <c r="E68" s="1" t="s">
        <v>3199</v>
      </c>
      <c r="F68" s="1" t="s">
        <v>112</v>
      </c>
      <c r="G68" s="1">
        <v>676151</v>
      </c>
    </row>
    <row r="69" spans="1:7" x14ac:dyDescent="0.25">
      <c r="A69" s="1" t="str">
        <f t="shared" si="1"/>
        <v>03 EE2 50.6</v>
      </c>
      <c r="B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9" s="1" t="s">
        <v>3200</v>
      </c>
      <c r="D69" s="1" t="s">
        <v>1974</v>
      </c>
      <c r="E69" s="1" t="s">
        <v>3201</v>
      </c>
      <c r="F69" s="1" t="s">
        <v>112</v>
      </c>
      <c r="G69" s="1">
        <v>852304</v>
      </c>
    </row>
    <row r="70" spans="1:7" x14ac:dyDescent="0.25">
      <c r="A70" s="1" t="str">
        <f t="shared" si="1"/>
        <v>03 EE2 50.6</v>
      </c>
      <c r="B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0" s="1" t="s">
        <v>3202</v>
      </c>
      <c r="D70" s="1" t="s">
        <v>3203</v>
      </c>
      <c r="E70" s="1" t="s">
        <v>3204</v>
      </c>
      <c r="F70" s="1" t="s">
        <v>112</v>
      </c>
      <c r="G70" s="1">
        <v>864958</v>
      </c>
    </row>
    <row r="71" spans="1:7" x14ac:dyDescent="0.25">
      <c r="A71" s="1" t="str">
        <f t="shared" si="1"/>
        <v>03 EE2 50.6</v>
      </c>
      <c r="B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1" s="1" t="s">
        <v>3205</v>
      </c>
      <c r="D71" s="1" t="s">
        <v>725</v>
      </c>
      <c r="E71" s="1" t="s">
        <v>3206</v>
      </c>
      <c r="F71" s="1" t="s">
        <v>112</v>
      </c>
      <c r="G71" s="1">
        <v>19337</v>
      </c>
    </row>
    <row r="72" spans="1:7" x14ac:dyDescent="0.25">
      <c r="A72" s="1" t="str">
        <f t="shared" si="1"/>
        <v>03 EE2 50.6</v>
      </c>
      <c r="B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2" s="1" t="s">
        <v>3207</v>
      </c>
      <c r="D72" s="1" t="s">
        <v>270</v>
      </c>
      <c r="E72" s="1" t="s">
        <v>3206</v>
      </c>
      <c r="F72" s="1" t="s">
        <v>112</v>
      </c>
      <c r="G72" s="1">
        <v>29006</v>
      </c>
    </row>
    <row r="73" spans="1:7" x14ac:dyDescent="0.25">
      <c r="A73" s="1" t="str">
        <f t="shared" si="1"/>
        <v>03 EE2 50.6</v>
      </c>
      <c r="B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3" s="1" t="s">
        <v>3208</v>
      </c>
      <c r="D73" s="1" t="s">
        <v>215</v>
      </c>
      <c r="E73" s="1" t="s">
        <v>3209</v>
      </c>
      <c r="F73" s="1" t="s">
        <v>112</v>
      </c>
      <c r="G73" s="1">
        <v>36533</v>
      </c>
    </row>
    <row r="74" spans="1:7" x14ac:dyDescent="0.25">
      <c r="A74" s="1" t="str">
        <f t="shared" si="1"/>
        <v>03 EE2 50.6</v>
      </c>
      <c r="B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4" s="1" t="s">
        <v>3210</v>
      </c>
      <c r="D74" s="1" t="s">
        <v>770</v>
      </c>
      <c r="E74" s="1" t="s">
        <v>3211</v>
      </c>
      <c r="F74" s="1" t="s">
        <v>112</v>
      </c>
      <c r="G74" s="1">
        <v>90413</v>
      </c>
    </row>
    <row r="75" spans="1:7" x14ac:dyDescent="0.25">
      <c r="A75" s="1" t="str">
        <f t="shared" si="1"/>
        <v>03 EE2 50.6</v>
      </c>
      <c r="B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5" s="1" t="s">
        <v>3212</v>
      </c>
      <c r="D75" s="1" t="s">
        <v>218</v>
      </c>
      <c r="E75" s="1" t="s">
        <v>3213</v>
      </c>
      <c r="F75" s="1" t="s">
        <v>112</v>
      </c>
      <c r="G75" s="1">
        <v>14903</v>
      </c>
    </row>
    <row r="76" spans="1:7" x14ac:dyDescent="0.25">
      <c r="A76" s="1" t="str">
        <f t="shared" si="1"/>
        <v>03 EE2 50.6</v>
      </c>
      <c r="B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6" s="1" t="s">
        <v>3214</v>
      </c>
      <c r="D76" s="1" t="s">
        <v>725</v>
      </c>
      <c r="E76" s="1" t="s">
        <v>3215</v>
      </c>
      <c r="F76" s="1" t="s">
        <v>112</v>
      </c>
      <c r="G76" s="1">
        <v>18948</v>
      </c>
    </row>
    <row r="77" spans="1:7" x14ac:dyDescent="0.25">
      <c r="A77" s="1" t="str">
        <f t="shared" si="1"/>
        <v>03 EE2 50.6</v>
      </c>
      <c r="B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7" s="1" t="s">
        <v>3216</v>
      </c>
      <c r="D77" s="1" t="s">
        <v>405</v>
      </c>
      <c r="E77" s="1" t="s">
        <v>3217</v>
      </c>
      <c r="F77" s="1" t="s">
        <v>112</v>
      </c>
      <c r="G77" s="1">
        <v>51090</v>
      </c>
    </row>
    <row r="78" spans="1:7" x14ac:dyDescent="0.25">
      <c r="A78" s="1" t="str">
        <f t="shared" si="1"/>
        <v>03 EE2 50.6</v>
      </c>
      <c r="B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8" s="1" t="s">
        <v>3218</v>
      </c>
      <c r="D78" s="1" t="s">
        <v>3219</v>
      </c>
      <c r="E78" s="1" t="s">
        <v>3220</v>
      </c>
      <c r="F78" s="1" t="s">
        <v>112</v>
      </c>
      <c r="G78" s="1">
        <v>280107</v>
      </c>
    </row>
    <row r="79" spans="1:7" x14ac:dyDescent="0.25">
      <c r="A79" s="1" t="str">
        <f t="shared" si="1"/>
        <v>03 EE2 50.6</v>
      </c>
      <c r="B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9" s="1" t="s">
        <v>3221</v>
      </c>
      <c r="D79" s="1" t="s">
        <v>1431</v>
      </c>
      <c r="E79" s="1" t="s">
        <v>3222</v>
      </c>
      <c r="F79" s="1" t="s">
        <v>112</v>
      </c>
      <c r="G79" s="1">
        <v>37939</v>
      </c>
    </row>
    <row r="80" spans="1:7" x14ac:dyDescent="0.25">
      <c r="A80" s="1" t="str">
        <f t="shared" si="1"/>
        <v>03 EE2 50.6</v>
      </c>
      <c r="B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0" s="1" t="s">
        <v>3223</v>
      </c>
      <c r="D80" s="1" t="s">
        <v>776</v>
      </c>
      <c r="E80" s="1" t="s">
        <v>3224</v>
      </c>
      <c r="F80" s="1" t="s">
        <v>112</v>
      </c>
      <c r="G80" s="1">
        <v>34932</v>
      </c>
    </row>
    <row r="81" spans="1:10" x14ac:dyDescent="0.25">
      <c r="A81" s="1" t="str">
        <f t="shared" si="1"/>
        <v>03 EE2 50.6</v>
      </c>
      <c r="B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1" s="1" t="s">
        <v>3225</v>
      </c>
    </row>
    <row r="82" spans="1:10" x14ac:dyDescent="0.25">
      <c r="A82" s="1" t="str">
        <f t="shared" si="1"/>
        <v>03 EE2 50.6</v>
      </c>
      <c r="B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2" s="1" t="s">
        <v>3226</v>
      </c>
      <c r="D82" s="1" t="s">
        <v>1691</v>
      </c>
      <c r="E82" s="1" t="s">
        <v>3227</v>
      </c>
      <c r="F82" s="1" t="s">
        <v>112</v>
      </c>
      <c r="G82" s="1">
        <v>45466</v>
      </c>
    </row>
    <row r="83" spans="1:10" x14ac:dyDescent="0.25">
      <c r="A83" s="1" t="str">
        <f t="shared" si="1"/>
        <v>03 EE2 50.6</v>
      </c>
      <c r="B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3" s="1" t="s">
        <v>3228</v>
      </c>
      <c r="D83" s="1" t="s">
        <v>3229</v>
      </c>
      <c r="E83" s="1" t="s">
        <v>3230</v>
      </c>
      <c r="F83" s="1" t="s">
        <v>112</v>
      </c>
      <c r="G83" s="1">
        <v>535102</v>
      </c>
    </row>
    <row r="84" spans="1:10" x14ac:dyDescent="0.25">
      <c r="A84" s="1" t="str">
        <f t="shared" si="1"/>
        <v>03 EE2 50.6</v>
      </c>
      <c r="B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4" s="1" t="s">
        <v>3231</v>
      </c>
      <c r="D84" s="1" t="s">
        <v>3232</v>
      </c>
      <c r="E84" s="1" t="s">
        <v>3233</v>
      </c>
      <c r="F84" s="1" t="s">
        <v>112</v>
      </c>
      <c r="G84" s="1">
        <v>610028</v>
      </c>
    </row>
    <row r="85" spans="1:10" x14ac:dyDescent="0.25">
      <c r="A85" s="1" t="str">
        <f t="shared" si="1"/>
        <v>03 EE2 50.6</v>
      </c>
      <c r="B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5" s="1" t="s">
        <v>3234</v>
      </c>
      <c r="D85" s="1" t="s">
        <v>361</v>
      </c>
      <c r="E85" s="1" t="s">
        <v>3235</v>
      </c>
      <c r="F85" s="1" t="s">
        <v>112</v>
      </c>
      <c r="G85" s="1">
        <v>168886</v>
      </c>
    </row>
    <row r="86" spans="1:10" x14ac:dyDescent="0.25">
      <c r="A86" s="1" t="str">
        <f t="shared" si="1"/>
        <v>03 EE2 50.6</v>
      </c>
      <c r="B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6" s="1" t="s">
        <v>3236</v>
      </c>
      <c r="D86" s="1" t="s">
        <v>3237</v>
      </c>
      <c r="E86" s="1" t="s">
        <v>3238</v>
      </c>
      <c r="F86" s="1" t="s">
        <v>112</v>
      </c>
      <c r="G86" s="1">
        <v>731393</v>
      </c>
    </row>
    <row r="87" spans="1:10" x14ac:dyDescent="0.25">
      <c r="A87" s="1" t="str">
        <f t="shared" si="1"/>
        <v>03 EE2 50.6</v>
      </c>
      <c r="B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7" s="1" t="s">
        <v>3239</v>
      </c>
      <c r="D87" s="1" t="s">
        <v>752</v>
      </c>
      <c r="E87" s="1" t="s">
        <v>3240</v>
      </c>
      <c r="F87" s="1" t="s">
        <v>112</v>
      </c>
      <c r="G87" s="1">
        <v>533307</v>
      </c>
    </row>
    <row r="88" spans="1:10" x14ac:dyDescent="0.25">
      <c r="A88" s="1" t="str">
        <f t="shared" si="1"/>
        <v>03 EE2 50.6</v>
      </c>
      <c r="B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8" s="1" t="s">
        <v>3241</v>
      </c>
      <c r="D88" s="1" t="s">
        <v>3242</v>
      </c>
      <c r="E88" s="1" t="s">
        <v>3243</v>
      </c>
      <c r="F88" s="1" t="s">
        <v>112</v>
      </c>
      <c r="G88" s="1">
        <v>434263</v>
      </c>
    </row>
    <row r="89" spans="1:10" x14ac:dyDescent="0.25">
      <c r="A89" s="1" t="str">
        <f t="shared" si="1"/>
        <v>03 EE2 50.6</v>
      </c>
      <c r="B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89" s="1" t="s">
        <v>3244</v>
      </c>
      <c r="D89" s="1" t="s">
        <v>302</v>
      </c>
      <c r="E89" s="1">
        <v>64</v>
      </c>
      <c r="F89" s="1" t="s">
        <v>112</v>
      </c>
      <c r="G89" s="1">
        <v>11075</v>
      </c>
    </row>
    <row r="90" spans="1:10" x14ac:dyDescent="0.25">
      <c r="A90" s="1" t="str">
        <f t="shared" si="1"/>
        <v>03 EE2 50.6</v>
      </c>
      <c r="B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0" s="1" t="s">
        <v>3245</v>
      </c>
      <c r="D90" s="1" t="s">
        <v>221</v>
      </c>
      <c r="E90" s="1" t="s">
        <v>396</v>
      </c>
      <c r="F90" s="1" t="s">
        <v>112</v>
      </c>
      <c r="G90" s="1">
        <v>16266</v>
      </c>
    </row>
    <row r="91" spans="1:10" x14ac:dyDescent="0.25">
      <c r="A91" s="1" t="str">
        <f t="shared" si="1"/>
        <v>03 EE2 50.6</v>
      </c>
      <c r="B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1" s="1" t="s">
        <v>3246</v>
      </c>
      <c r="D91" s="1" t="s">
        <v>725</v>
      </c>
      <c r="E91" s="1" t="s">
        <v>3247</v>
      </c>
      <c r="F91" s="1" t="s">
        <v>112</v>
      </c>
      <c r="G91" s="1">
        <v>19748</v>
      </c>
    </row>
    <row r="92" spans="1:10" x14ac:dyDescent="0.25">
      <c r="A92" s="1" t="str">
        <f t="shared" si="1"/>
        <v/>
      </c>
      <c r="B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2" s="1" t="s">
        <v>112</v>
      </c>
    </row>
    <row r="93" spans="1:10" x14ac:dyDescent="0.25">
      <c r="A93" s="1" t="str">
        <f t="shared" si="1"/>
        <v/>
      </c>
      <c r="B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3" s="1" t="s">
        <v>232</v>
      </c>
      <c r="D93" s="1" t="s">
        <v>112</v>
      </c>
      <c r="E93" s="1" t="s">
        <v>233</v>
      </c>
      <c r="F93" s="1" t="s">
        <v>234</v>
      </c>
      <c r="G93" s="1" t="s">
        <v>235</v>
      </c>
      <c r="H93" s="1" t="s">
        <v>236</v>
      </c>
      <c r="I93" s="1" t="s">
        <v>237</v>
      </c>
      <c r="J93" s="1" t="s">
        <v>238</v>
      </c>
    </row>
    <row r="94" spans="1:10" x14ac:dyDescent="0.25">
      <c r="A94" s="1" t="str">
        <f t="shared" si="1"/>
        <v>03 EE2 50.6</v>
      </c>
      <c r="B9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94" s="1" t="s">
        <v>3248</v>
      </c>
      <c r="D94" s="1" t="s">
        <v>112</v>
      </c>
      <c r="E94" s="1" t="s">
        <v>3249</v>
      </c>
      <c r="F94" s="1" t="s">
        <v>3250</v>
      </c>
      <c r="G94" s="1" t="s">
        <v>3251</v>
      </c>
      <c r="H94" s="1" t="s">
        <v>3252</v>
      </c>
      <c r="I94" s="1">
        <v>24</v>
      </c>
      <c r="J94" s="1">
        <v>24</v>
      </c>
    </row>
    <row r="95" spans="1:10" x14ac:dyDescent="0.25">
      <c r="A95" s="1" t="str">
        <f t="shared" si="1"/>
        <v/>
      </c>
      <c r="B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5" s="1" t="s">
        <v>112</v>
      </c>
    </row>
    <row r="96" spans="1:10" x14ac:dyDescent="0.25">
      <c r="A96" s="1" t="str">
        <f t="shared" si="1"/>
        <v/>
      </c>
      <c r="B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6" s="1" t="s">
        <v>112</v>
      </c>
    </row>
    <row r="97" spans="1:7" x14ac:dyDescent="0.25">
      <c r="A97" s="1" t="str">
        <f t="shared" si="1"/>
        <v/>
      </c>
      <c r="B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7" s="1" t="s">
        <v>112</v>
      </c>
    </row>
    <row r="98" spans="1:7" x14ac:dyDescent="0.25">
      <c r="A98" s="1" t="str">
        <f t="shared" si="1"/>
        <v/>
      </c>
      <c r="B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8" s="1" t="s">
        <v>112</v>
      </c>
    </row>
    <row r="99" spans="1:7" x14ac:dyDescent="0.25">
      <c r="A99" s="1" t="str">
        <f t="shared" si="1"/>
        <v/>
      </c>
      <c r="B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9" s="1" t="s">
        <v>112</v>
      </c>
    </row>
    <row r="100" spans="1:7" x14ac:dyDescent="0.25">
      <c r="A100" s="1" t="str">
        <f t="shared" si="1"/>
        <v/>
      </c>
      <c r="B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00" s="1" t="s">
        <v>244</v>
      </c>
      <c r="D100" s="1" t="s">
        <v>110</v>
      </c>
      <c r="E100" s="1" t="s">
        <v>111</v>
      </c>
      <c r="F100" s="1" t="s">
        <v>112</v>
      </c>
      <c r="G100" s="1" t="s">
        <v>113</v>
      </c>
    </row>
    <row r="101" spans="1:7" x14ac:dyDescent="0.25">
      <c r="A101" s="1" t="str">
        <f t="shared" si="1"/>
        <v>04 EE2 76</v>
      </c>
      <c r="B1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1" s="1" t="s">
        <v>3253</v>
      </c>
      <c r="D101" s="1" t="s">
        <v>3254</v>
      </c>
      <c r="E101" s="1" t="s">
        <v>3255</v>
      </c>
      <c r="F101" s="1" t="s">
        <v>112</v>
      </c>
      <c r="G101" s="1">
        <v>402835</v>
      </c>
    </row>
    <row r="102" spans="1:7" x14ac:dyDescent="0.25">
      <c r="A102" s="1" t="str">
        <f t="shared" si="1"/>
        <v>04 EE2 76</v>
      </c>
      <c r="B1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2" s="1" t="s">
        <v>3256</v>
      </c>
      <c r="D102" s="1" t="s">
        <v>1882</v>
      </c>
      <c r="E102" s="1" t="s">
        <v>3257</v>
      </c>
      <c r="F102" s="1" t="s">
        <v>112</v>
      </c>
      <c r="G102" s="1">
        <v>298493</v>
      </c>
    </row>
    <row r="103" spans="1:7" x14ac:dyDescent="0.25">
      <c r="A103" s="1" t="str">
        <f t="shared" si="1"/>
        <v>04 EE2 76</v>
      </c>
      <c r="B1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3" s="1" t="s">
        <v>3258</v>
      </c>
      <c r="D103" s="1" t="s">
        <v>1284</v>
      </c>
      <c r="E103" s="1" t="s">
        <v>3259</v>
      </c>
      <c r="F103" s="1" t="s">
        <v>112</v>
      </c>
      <c r="G103" s="1">
        <v>229969</v>
      </c>
    </row>
    <row r="104" spans="1:7" x14ac:dyDescent="0.25">
      <c r="A104" s="1" t="str">
        <f t="shared" si="1"/>
        <v>04 EE2 76</v>
      </c>
      <c r="B1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4" s="1" t="s">
        <v>3260</v>
      </c>
    </row>
    <row r="105" spans="1:7" x14ac:dyDescent="0.25">
      <c r="A105" s="1" t="str">
        <f t="shared" si="1"/>
        <v>04 EE2 76</v>
      </c>
      <c r="B1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5" s="1" t="s">
        <v>3261</v>
      </c>
      <c r="D105" s="1" t="s">
        <v>1696</v>
      </c>
      <c r="E105" s="1" t="s">
        <v>3262</v>
      </c>
      <c r="F105" s="1" t="s">
        <v>112</v>
      </c>
      <c r="G105" s="1">
        <v>57925</v>
      </c>
    </row>
    <row r="106" spans="1:7" x14ac:dyDescent="0.25">
      <c r="A106" s="1" t="str">
        <f t="shared" si="1"/>
        <v>04 EE2 76</v>
      </c>
      <c r="B1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6" s="1" t="s">
        <v>3263</v>
      </c>
      <c r="D106" s="1" t="s">
        <v>328</v>
      </c>
      <c r="E106" s="1" t="s">
        <v>3264</v>
      </c>
      <c r="F106" s="1" t="s">
        <v>112</v>
      </c>
      <c r="G106" s="1">
        <v>151734</v>
      </c>
    </row>
    <row r="107" spans="1:7" x14ac:dyDescent="0.25">
      <c r="A107" s="1" t="str">
        <f t="shared" si="1"/>
        <v>04 EE2 76</v>
      </c>
      <c r="B1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7" s="1" t="s">
        <v>3265</v>
      </c>
      <c r="D107" s="1" t="s">
        <v>1434</v>
      </c>
      <c r="E107" s="1" t="s">
        <v>3266</v>
      </c>
      <c r="F107" s="1" t="s">
        <v>112</v>
      </c>
      <c r="G107" s="1">
        <v>127508</v>
      </c>
    </row>
    <row r="108" spans="1:7" x14ac:dyDescent="0.25">
      <c r="A108" s="1" t="str">
        <f t="shared" si="1"/>
        <v>04 EE2 76</v>
      </c>
      <c r="B1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8" s="1" t="s">
        <v>3267</v>
      </c>
      <c r="D108" s="1" t="s">
        <v>3268</v>
      </c>
      <c r="E108" s="1" t="s">
        <v>3269</v>
      </c>
      <c r="F108" s="1" t="s">
        <v>112</v>
      </c>
      <c r="G108" s="1">
        <v>193177</v>
      </c>
    </row>
    <row r="109" spans="1:7" x14ac:dyDescent="0.25">
      <c r="A109" s="1" t="str">
        <f t="shared" si="1"/>
        <v>04 EE2 76</v>
      </c>
      <c r="B1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9" s="1" t="s">
        <v>3270</v>
      </c>
      <c r="D109" s="1" t="s">
        <v>278</v>
      </c>
      <c r="E109" s="1" t="s">
        <v>3271</v>
      </c>
      <c r="F109" s="1" t="s">
        <v>112</v>
      </c>
      <c r="G109" s="1">
        <v>224324</v>
      </c>
    </row>
    <row r="110" spans="1:7" x14ac:dyDescent="0.25">
      <c r="A110" s="1" t="str">
        <f t="shared" si="1"/>
        <v>04 EE2 76</v>
      </c>
      <c r="B1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0" s="1" t="s">
        <v>3272</v>
      </c>
      <c r="D110" s="1" t="s">
        <v>3273</v>
      </c>
      <c r="E110" s="1" t="s">
        <v>3274</v>
      </c>
      <c r="F110" s="1" t="s">
        <v>112</v>
      </c>
      <c r="G110" s="1">
        <v>5842191</v>
      </c>
    </row>
    <row r="111" spans="1:7" x14ac:dyDescent="0.25">
      <c r="A111" s="1" t="str">
        <f t="shared" si="1"/>
        <v>04 EE2 76</v>
      </c>
      <c r="B1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1" s="1" t="s">
        <v>3275</v>
      </c>
      <c r="D111" s="1" t="s">
        <v>3276</v>
      </c>
      <c r="E111" s="1" t="s">
        <v>3277</v>
      </c>
      <c r="F111" s="1" t="s">
        <v>112</v>
      </c>
      <c r="G111" s="1">
        <v>5366528</v>
      </c>
    </row>
    <row r="112" spans="1:7" x14ac:dyDescent="0.25">
      <c r="A112" s="1" t="str">
        <f t="shared" si="1"/>
        <v>04 EE2 76</v>
      </c>
      <c r="B1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2" s="1" t="s">
        <v>3278</v>
      </c>
      <c r="D112" s="1" t="s">
        <v>3279</v>
      </c>
      <c r="E112" s="1" t="s">
        <v>3280</v>
      </c>
      <c r="F112" s="1" t="s">
        <v>112</v>
      </c>
      <c r="G112" s="1">
        <v>5141318</v>
      </c>
    </row>
    <row r="113" spans="1:10" x14ac:dyDescent="0.25">
      <c r="A113" s="1" t="str">
        <f t="shared" si="1"/>
        <v>04 EE2 76</v>
      </c>
      <c r="B1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3" s="1" t="s">
        <v>3281</v>
      </c>
      <c r="D113" s="1" t="s">
        <v>3097</v>
      </c>
      <c r="E113" s="1" t="s">
        <v>3282</v>
      </c>
      <c r="F113" s="1" t="s">
        <v>112</v>
      </c>
      <c r="G113" s="1">
        <v>153291</v>
      </c>
    </row>
    <row r="114" spans="1:10" x14ac:dyDescent="0.25">
      <c r="A114" s="1" t="str">
        <f t="shared" si="1"/>
        <v>04 EE2 76</v>
      </c>
      <c r="B1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4" s="1" t="s">
        <v>3283</v>
      </c>
      <c r="D114" s="1" t="s">
        <v>431</v>
      </c>
      <c r="E114" s="1" t="s">
        <v>3284</v>
      </c>
      <c r="F114" s="1" t="s">
        <v>112</v>
      </c>
      <c r="G114" s="1">
        <v>153486</v>
      </c>
    </row>
    <row r="115" spans="1:10" x14ac:dyDescent="0.25">
      <c r="A115" s="1" t="str">
        <f t="shared" si="1"/>
        <v>04 EE2 76</v>
      </c>
      <c r="B1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5" s="1" t="s">
        <v>3285</v>
      </c>
      <c r="D115" s="1" t="s">
        <v>3286</v>
      </c>
      <c r="E115" s="1" t="s">
        <v>253</v>
      </c>
      <c r="F115" s="1" t="s">
        <v>112</v>
      </c>
      <c r="G115" s="1">
        <v>136052</v>
      </c>
    </row>
    <row r="116" spans="1:10" x14ac:dyDescent="0.25">
      <c r="A116" s="1" t="str">
        <f t="shared" si="1"/>
        <v>04 EE2 76</v>
      </c>
      <c r="B1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6" s="1" t="s">
        <v>3287</v>
      </c>
    </row>
    <row r="117" spans="1:10" x14ac:dyDescent="0.25">
      <c r="A117" s="1" t="str">
        <f t="shared" si="1"/>
        <v>04 EE2 76</v>
      </c>
      <c r="B1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7" s="1" t="s">
        <v>3288</v>
      </c>
    </row>
    <row r="118" spans="1:10" x14ac:dyDescent="0.25">
      <c r="A118" s="1" t="str">
        <f t="shared" si="1"/>
        <v>04 EE2 76</v>
      </c>
      <c r="B1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8" s="1" t="s">
        <v>3289</v>
      </c>
    </row>
    <row r="119" spans="1:10" x14ac:dyDescent="0.25">
      <c r="A119" s="1" t="str">
        <f t="shared" si="1"/>
        <v>04 EE2 76</v>
      </c>
      <c r="B1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19" s="1" t="s">
        <v>3290</v>
      </c>
      <c r="D119" s="1" t="s">
        <v>714</v>
      </c>
      <c r="E119" s="1" t="s">
        <v>3291</v>
      </c>
      <c r="F119" s="1" t="s">
        <v>112</v>
      </c>
      <c r="G119" s="1">
        <v>281967</v>
      </c>
    </row>
    <row r="120" spans="1:10" x14ac:dyDescent="0.25">
      <c r="A120" s="1" t="str">
        <f t="shared" si="1"/>
        <v>04 EE2 76</v>
      </c>
      <c r="B1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0" s="1" t="s">
        <v>3292</v>
      </c>
      <c r="D120" s="1" t="s">
        <v>1910</v>
      </c>
      <c r="E120" s="1" t="s">
        <v>3293</v>
      </c>
      <c r="F120" s="1" t="s">
        <v>112</v>
      </c>
      <c r="G120" s="1">
        <v>373743</v>
      </c>
    </row>
    <row r="121" spans="1:10" x14ac:dyDescent="0.25">
      <c r="A121" s="1" t="str">
        <f t="shared" si="1"/>
        <v>04 EE2 76</v>
      </c>
      <c r="B1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1" s="1" t="s">
        <v>3294</v>
      </c>
      <c r="D121" s="1" t="s">
        <v>1901</v>
      </c>
      <c r="E121" s="1" t="s">
        <v>3295</v>
      </c>
      <c r="F121" s="1" t="s">
        <v>112</v>
      </c>
      <c r="G121" s="1">
        <v>89418</v>
      </c>
    </row>
    <row r="122" spans="1:10" x14ac:dyDescent="0.25">
      <c r="A122" s="1" t="str">
        <f t="shared" si="1"/>
        <v>04 EE2 76</v>
      </c>
      <c r="B1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2" s="1" t="s">
        <v>3296</v>
      </c>
      <c r="D122" s="1" t="s">
        <v>3297</v>
      </c>
      <c r="E122" s="1" t="s">
        <v>3298</v>
      </c>
      <c r="F122" s="1" t="s">
        <v>112</v>
      </c>
      <c r="G122" s="1">
        <v>738099</v>
      </c>
    </row>
    <row r="123" spans="1:10" x14ac:dyDescent="0.25">
      <c r="A123" s="1" t="str">
        <f t="shared" si="1"/>
        <v>04 EE2 76</v>
      </c>
      <c r="B1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3" s="1" t="s">
        <v>3299</v>
      </c>
      <c r="D123" s="1" t="s">
        <v>408</v>
      </c>
      <c r="E123" s="1" t="s">
        <v>3300</v>
      </c>
      <c r="F123" s="1" t="s">
        <v>112</v>
      </c>
      <c r="G123" s="1">
        <v>523963</v>
      </c>
    </row>
    <row r="124" spans="1:10" x14ac:dyDescent="0.25">
      <c r="A124" s="1" t="str">
        <f t="shared" si="1"/>
        <v>04 EE2 76</v>
      </c>
      <c r="B1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4" s="1" t="s">
        <v>3301</v>
      </c>
      <c r="D124" s="1" t="s">
        <v>2329</v>
      </c>
      <c r="E124" s="1" t="s">
        <v>3302</v>
      </c>
      <c r="F124" s="1" t="s">
        <v>112</v>
      </c>
      <c r="G124" s="1">
        <v>607822</v>
      </c>
    </row>
    <row r="125" spans="1:10" x14ac:dyDescent="0.25">
      <c r="A125" s="1" t="str">
        <f t="shared" si="1"/>
        <v/>
      </c>
      <c r="B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5" s="1" t="s">
        <v>112</v>
      </c>
    </row>
    <row r="126" spans="1:10" x14ac:dyDescent="0.25">
      <c r="A126" s="1" t="str">
        <f t="shared" si="1"/>
        <v/>
      </c>
      <c r="B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6" s="1" t="s">
        <v>232</v>
      </c>
      <c r="D126" s="1" t="s">
        <v>112</v>
      </c>
      <c r="E126" s="1" t="s">
        <v>233</v>
      </c>
      <c r="F126" s="1" t="s">
        <v>234</v>
      </c>
      <c r="G126" s="1" t="s">
        <v>235</v>
      </c>
      <c r="H126" s="1" t="s">
        <v>236</v>
      </c>
      <c r="I126" s="1" t="s">
        <v>237</v>
      </c>
      <c r="J126" s="1" t="s">
        <v>238</v>
      </c>
    </row>
    <row r="127" spans="1:10" x14ac:dyDescent="0.25">
      <c r="A127" s="1" t="str">
        <f t="shared" si="1"/>
        <v>04 EE2 76</v>
      </c>
      <c r="B12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27" s="1" t="s">
        <v>3303</v>
      </c>
      <c r="D127" s="1" t="s">
        <v>112</v>
      </c>
      <c r="E127" s="1" t="s">
        <v>3304</v>
      </c>
      <c r="F127" s="1" t="s">
        <v>3305</v>
      </c>
      <c r="G127" s="1" t="s">
        <v>3306</v>
      </c>
      <c r="H127" s="1" t="s">
        <v>3307</v>
      </c>
      <c r="I127" s="1">
        <v>24</v>
      </c>
      <c r="J127" s="1">
        <v>24</v>
      </c>
    </row>
    <row r="128" spans="1:10" x14ac:dyDescent="0.25">
      <c r="A128" s="1" t="str">
        <f t="shared" si="1"/>
        <v/>
      </c>
      <c r="B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8" s="1" t="s">
        <v>112</v>
      </c>
    </row>
    <row r="129" spans="1:7" x14ac:dyDescent="0.25">
      <c r="A129" s="1" t="str">
        <f t="shared" si="1"/>
        <v/>
      </c>
      <c r="B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9" s="1" t="s">
        <v>112</v>
      </c>
    </row>
    <row r="130" spans="1:7" x14ac:dyDescent="0.25">
      <c r="A130" s="1" t="str">
        <f t="shared" ref="A130:A193" si="2">IFERROR(LEFT(RIGHT(C130,LEN(C130)-SEARCH("@",C130)),SEARCH("/",RIGHT(C130,LEN(C130)-SEARCH("@",C130)-1))),"")</f>
        <v/>
      </c>
      <c r="B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0" s="1" t="s">
        <v>112</v>
      </c>
    </row>
    <row r="131" spans="1:7" x14ac:dyDescent="0.25">
      <c r="A131" s="1" t="str">
        <f t="shared" si="2"/>
        <v/>
      </c>
      <c r="B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1" s="1" t="s">
        <v>112</v>
      </c>
    </row>
    <row r="132" spans="1:7" x14ac:dyDescent="0.25">
      <c r="A132" s="1" t="str">
        <f t="shared" si="2"/>
        <v/>
      </c>
      <c r="B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2" s="1" t="s">
        <v>112</v>
      </c>
    </row>
    <row r="133" spans="1:7" x14ac:dyDescent="0.25">
      <c r="A133" s="1" t="str">
        <f t="shared" si="2"/>
        <v/>
      </c>
      <c r="B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3" s="1" t="s">
        <v>244</v>
      </c>
      <c r="D133" s="1" t="s">
        <v>110</v>
      </c>
      <c r="E133" s="1" t="s">
        <v>111</v>
      </c>
      <c r="F133" s="1" t="s">
        <v>112</v>
      </c>
      <c r="G133" s="1" t="s">
        <v>113</v>
      </c>
    </row>
    <row r="134" spans="1:7" x14ac:dyDescent="0.25">
      <c r="A134" s="1" t="str">
        <f t="shared" si="2"/>
        <v>05 EE2 114</v>
      </c>
      <c r="B1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4" s="1" t="s">
        <v>3308</v>
      </c>
      <c r="D134" s="1" t="s">
        <v>3309</v>
      </c>
      <c r="E134" s="1" t="s">
        <v>3310</v>
      </c>
      <c r="F134" s="1" t="s">
        <v>112</v>
      </c>
      <c r="G134" s="1">
        <v>1029691</v>
      </c>
    </row>
    <row r="135" spans="1:7" x14ac:dyDescent="0.25">
      <c r="A135" s="1" t="str">
        <f t="shared" si="2"/>
        <v>05 EE2 114</v>
      </c>
      <c r="B1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5" s="1" t="s">
        <v>3311</v>
      </c>
      <c r="D135" s="1" t="s">
        <v>3312</v>
      </c>
      <c r="E135" s="1" t="s">
        <v>3313</v>
      </c>
      <c r="F135" s="1" t="s">
        <v>112</v>
      </c>
      <c r="G135" s="1">
        <v>736714</v>
      </c>
    </row>
    <row r="136" spans="1:7" x14ac:dyDescent="0.25">
      <c r="A136" s="1" t="str">
        <f t="shared" si="2"/>
        <v>05 EE2 114</v>
      </c>
      <c r="B1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6" s="1" t="s">
        <v>3314</v>
      </c>
      <c r="D136" s="1" t="s">
        <v>3315</v>
      </c>
      <c r="E136" s="1" t="s">
        <v>3316</v>
      </c>
      <c r="F136" s="1" t="s">
        <v>112</v>
      </c>
      <c r="G136" s="1">
        <v>751660</v>
      </c>
    </row>
    <row r="137" spans="1:7" x14ac:dyDescent="0.25">
      <c r="A137" s="1" t="str">
        <f t="shared" si="2"/>
        <v>05 EE2 114</v>
      </c>
      <c r="B1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7" s="1" t="s">
        <v>3317</v>
      </c>
      <c r="D137" s="1" t="s">
        <v>1896</v>
      </c>
      <c r="E137" s="1" t="s">
        <v>3318</v>
      </c>
      <c r="F137" s="1" t="s">
        <v>112</v>
      </c>
      <c r="G137" s="1">
        <v>219652</v>
      </c>
    </row>
    <row r="138" spans="1:7" x14ac:dyDescent="0.25">
      <c r="A138" s="1" t="str">
        <f t="shared" si="2"/>
        <v>05 EE2 114</v>
      </c>
      <c r="B1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8" s="1" t="s">
        <v>3319</v>
      </c>
      <c r="D138" s="1" t="s">
        <v>3105</v>
      </c>
      <c r="E138" s="1" t="s">
        <v>3320</v>
      </c>
      <c r="F138" s="1" t="s">
        <v>112</v>
      </c>
      <c r="G138" s="1">
        <v>111070</v>
      </c>
    </row>
    <row r="139" spans="1:7" x14ac:dyDescent="0.25">
      <c r="A139" s="1" t="str">
        <f t="shared" si="2"/>
        <v>05 EE2 114</v>
      </c>
      <c r="B1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9" s="1" t="s">
        <v>3321</v>
      </c>
      <c r="D139" s="1" t="s">
        <v>764</v>
      </c>
      <c r="E139" s="1" t="s">
        <v>3322</v>
      </c>
      <c r="F139" s="1" t="s">
        <v>112</v>
      </c>
      <c r="G139" s="1">
        <v>138150</v>
      </c>
    </row>
    <row r="140" spans="1:7" x14ac:dyDescent="0.25">
      <c r="A140" s="1" t="str">
        <f t="shared" si="2"/>
        <v>05 EE2 114</v>
      </c>
      <c r="B1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0" s="1" t="s">
        <v>3323</v>
      </c>
      <c r="D140" s="1" t="s">
        <v>3324</v>
      </c>
      <c r="E140" s="1" t="s">
        <v>3325</v>
      </c>
      <c r="F140" s="1" t="s">
        <v>112</v>
      </c>
      <c r="G140" s="1">
        <v>1462311</v>
      </c>
    </row>
    <row r="141" spans="1:7" x14ac:dyDescent="0.25">
      <c r="A141" s="1" t="str">
        <f t="shared" si="2"/>
        <v>05 EE2 114</v>
      </c>
      <c r="B1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1" s="1" t="s">
        <v>3326</v>
      </c>
    </row>
    <row r="142" spans="1:7" x14ac:dyDescent="0.25">
      <c r="A142" s="1" t="str">
        <f t="shared" si="2"/>
        <v>05 EE2 114</v>
      </c>
      <c r="B1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2" s="1" t="s">
        <v>3327</v>
      </c>
      <c r="D142" s="1" t="s">
        <v>3328</v>
      </c>
      <c r="E142" s="1" t="s">
        <v>3329</v>
      </c>
      <c r="F142" s="1" t="s">
        <v>112</v>
      </c>
      <c r="G142" s="1">
        <v>1372374</v>
      </c>
    </row>
    <row r="143" spans="1:7" x14ac:dyDescent="0.25">
      <c r="A143" s="1" t="str">
        <f t="shared" si="2"/>
        <v>05 EE2 114</v>
      </c>
      <c r="B1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3" s="1" t="s">
        <v>3330</v>
      </c>
      <c r="D143" s="1" t="s">
        <v>3331</v>
      </c>
      <c r="E143" s="1" t="s">
        <v>3332</v>
      </c>
      <c r="F143" s="1" t="s">
        <v>112</v>
      </c>
      <c r="G143" s="1">
        <v>2826119</v>
      </c>
    </row>
    <row r="144" spans="1:7" x14ac:dyDescent="0.25">
      <c r="A144" s="1" t="str">
        <f t="shared" si="2"/>
        <v>05 EE2 114</v>
      </c>
      <c r="B1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4" s="1" t="s">
        <v>3333</v>
      </c>
      <c r="D144" s="1" t="s">
        <v>3334</v>
      </c>
      <c r="E144" s="1" t="s">
        <v>3335</v>
      </c>
      <c r="F144" s="1" t="s">
        <v>112</v>
      </c>
      <c r="G144" s="1">
        <v>3057861</v>
      </c>
    </row>
    <row r="145" spans="1:10" x14ac:dyDescent="0.25">
      <c r="A145" s="1" t="str">
        <f t="shared" si="2"/>
        <v>05 EE2 114</v>
      </c>
      <c r="B1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5" s="1" t="s">
        <v>3336</v>
      </c>
      <c r="D145" s="1" t="s">
        <v>1405</v>
      </c>
      <c r="E145" s="1" t="s">
        <v>3337</v>
      </c>
      <c r="F145" s="1" t="s">
        <v>112</v>
      </c>
      <c r="G145" s="1">
        <v>1965941</v>
      </c>
    </row>
    <row r="146" spans="1:10" x14ac:dyDescent="0.25">
      <c r="A146" s="1" t="str">
        <f t="shared" si="2"/>
        <v>05 EE2 114</v>
      </c>
      <c r="B1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6" s="1" t="s">
        <v>3338</v>
      </c>
      <c r="D146" s="1" t="s">
        <v>3339</v>
      </c>
      <c r="E146" s="1" t="s">
        <v>3340</v>
      </c>
      <c r="F146" s="1" t="s">
        <v>112</v>
      </c>
      <c r="G146" s="1">
        <v>1513768</v>
      </c>
    </row>
    <row r="147" spans="1:10" x14ac:dyDescent="0.25">
      <c r="A147" s="1" t="str">
        <f t="shared" si="2"/>
        <v>05 EE2 114</v>
      </c>
      <c r="B1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7" s="1" t="s">
        <v>3341</v>
      </c>
      <c r="D147" s="1" t="s">
        <v>3342</v>
      </c>
      <c r="E147" s="1" t="s">
        <v>3343</v>
      </c>
      <c r="F147" s="1" t="s">
        <v>112</v>
      </c>
      <c r="G147" s="1">
        <v>1271362</v>
      </c>
    </row>
    <row r="148" spans="1:10" x14ac:dyDescent="0.25">
      <c r="A148" s="1" t="str">
        <f t="shared" si="2"/>
        <v>05 EE2 114</v>
      </c>
      <c r="B1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8" s="1" t="s">
        <v>3344</v>
      </c>
      <c r="D148" s="1" t="s">
        <v>3345</v>
      </c>
      <c r="E148" s="1" t="s">
        <v>3346</v>
      </c>
      <c r="F148" s="1" t="s">
        <v>112</v>
      </c>
      <c r="G148" s="1">
        <v>1139463</v>
      </c>
    </row>
    <row r="149" spans="1:10" x14ac:dyDescent="0.25">
      <c r="A149" s="1" t="str">
        <f t="shared" si="2"/>
        <v>05 EE2 114</v>
      </c>
      <c r="B1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49" s="1" t="s">
        <v>3347</v>
      </c>
      <c r="D149" s="1" t="s">
        <v>3348</v>
      </c>
      <c r="E149" s="1" t="s">
        <v>3349</v>
      </c>
      <c r="F149" s="1" t="s">
        <v>112</v>
      </c>
      <c r="G149" s="1">
        <v>832102</v>
      </c>
    </row>
    <row r="150" spans="1:10" x14ac:dyDescent="0.25">
      <c r="A150" s="1" t="str">
        <f t="shared" si="2"/>
        <v>05 EE2 114</v>
      </c>
      <c r="B1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0" s="1" t="s">
        <v>3350</v>
      </c>
      <c r="D150" s="1" t="s">
        <v>3351</v>
      </c>
      <c r="E150" s="1" t="s">
        <v>3352</v>
      </c>
      <c r="F150" s="1" t="s">
        <v>112</v>
      </c>
      <c r="G150" s="1">
        <v>811186</v>
      </c>
    </row>
    <row r="151" spans="1:10" x14ac:dyDescent="0.25">
      <c r="A151" s="1" t="str">
        <f t="shared" si="2"/>
        <v>05 EE2 114</v>
      </c>
      <c r="B1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1" s="1" t="s">
        <v>3353</v>
      </c>
    </row>
    <row r="152" spans="1:10" x14ac:dyDescent="0.25">
      <c r="A152" s="1" t="str">
        <f t="shared" si="2"/>
        <v>05 EE2 114</v>
      </c>
      <c r="B1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2" s="1" t="s">
        <v>3354</v>
      </c>
      <c r="D152" s="1" t="s">
        <v>2752</v>
      </c>
      <c r="E152" s="1" t="s">
        <v>3355</v>
      </c>
      <c r="F152" s="1" t="s">
        <v>112</v>
      </c>
      <c r="G152" s="1">
        <v>1693426</v>
      </c>
    </row>
    <row r="153" spans="1:10" x14ac:dyDescent="0.25">
      <c r="A153" s="1" t="str">
        <f t="shared" si="2"/>
        <v>05 EE2 114</v>
      </c>
      <c r="B1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3" s="1" t="s">
        <v>3356</v>
      </c>
      <c r="D153" s="1" t="s">
        <v>3357</v>
      </c>
      <c r="E153" s="1" t="s">
        <v>3358</v>
      </c>
      <c r="F153" s="1" t="s">
        <v>112</v>
      </c>
      <c r="G153" s="1">
        <v>1479571</v>
      </c>
    </row>
    <row r="154" spans="1:10" x14ac:dyDescent="0.25">
      <c r="A154" s="1" t="str">
        <f t="shared" si="2"/>
        <v>05 EE2 114</v>
      </c>
      <c r="B1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4" s="1" t="s">
        <v>3359</v>
      </c>
      <c r="D154" s="1" t="s">
        <v>3360</v>
      </c>
      <c r="E154" s="1" t="s">
        <v>3361</v>
      </c>
      <c r="F154" s="1" t="s">
        <v>112</v>
      </c>
      <c r="G154" s="1">
        <v>1231952</v>
      </c>
    </row>
    <row r="155" spans="1:10" x14ac:dyDescent="0.25">
      <c r="A155" s="1" t="str">
        <f t="shared" si="2"/>
        <v>05 EE2 114</v>
      </c>
      <c r="B1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5" s="1" t="s">
        <v>3362</v>
      </c>
    </row>
    <row r="156" spans="1:10" x14ac:dyDescent="0.25">
      <c r="A156" s="1" t="str">
        <f t="shared" si="2"/>
        <v>05 EE2 114</v>
      </c>
      <c r="B1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6" s="1" t="s">
        <v>3363</v>
      </c>
      <c r="D156" s="1" t="s">
        <v>3364</v>
      </c>
      <c r="E156" s="1" t="s">
        <v>3365</v>
      </c>
      <c r="F156" s="1" t="s">
        <v>112</v>
      </c>
      <c r="G156" s="1">
        <v>1919913</v>
      </c>
    </row>
    <row r="157" spans="1:10" x14ac:dyDescent="0.25">
      <c r="A157" s="1" t="str">
        <f t="shared" si="2"/>
        <v>05 EE2 114</v>
      </c>
      <c r="B1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7" s="1" t="s">
        <v>3366</v>
      </c>
      <c r="D157" s="1" t="s">
        <v>3367</v>
      </c>
      <c r="E157" s="1" t="s">
        <v>3368</v>
      </c>
      <c r="F157" s="1" t="s">
        <v>112</v>
      </c>
      <c r="G157" s="1">
        <v>2393196</v>
      </c>
    </row>
    <row r="158" spans="1:10" x14ac:dyDescent="0.25">
      <c r="A158" s="1" t="str">
        <f t="shared" si="2"/>
        <v/>
      </c>
      <c r="B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58" s="1" t="s">
        <v>112</v>
      </c>
    </row>
    <row r="159" spans="1:10" x14ac:dyDescent="0.25">
      <c r="A159" s="1" t="str">
        <f t="shared" si="2"/>
        <v/>
      </c>
      <c r="B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59" s="1" t="s">
        <v>232</v>
      </c>
      <c r="D159" s="1" t="s">
        <v>112</v>
      </c>
      <c r="E159" s="1" t="s">
        <v>233</v>
      </c>
      <c r="F159" s="1" t="s">
        <v>234</v>
      </c>
      <c r="G159" s="1" t="s">
        <v>235</v>
      </c>
      <c r="H159" s="1" t="s">
        <v>236</v>
      </c>
      <c r="I159" s="1" t="s">
        <v>237</v>
      </c>
      <c r="J159" s="1" t="s">
        <v>238</v>
      </c>
    </row>
    <row r="160" spans="1:10" x14ac:dyDescent="0.25">
      <c r="A160" s="1" t="str">
        <f t="shared" si="2"/>
        <v>05 EE2 114</v>
      </c>
      <c r="B16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60" s="1" t="s">
        <v>3369</v>
      </c>
      <c r="D160" s="1" t="s">
        <v>112</v>
      </c>
      <c r="E160" s="1" t="s">
        <v>3370</v>
      </c>
      <c r="F160" s="1" t="s">
        <v>3371</v>
      </c>
      <c r="G160" s="1" t="s">
        <v>3372</v>
      </c>
      <c r="H160" s="1" t="s">
        <v>3373</v>
      </c>
      <c r="I160" s="1">
        <v>24</v>
      </c>
      <c r="J160" s="1">
        <v>24</v>
      </c>
    </row>
    <row r="161" spans="1:7" x14ac:dyDescent="0.25">
      <c r="A161" s="1" t="str">
        <f t="shared" si="2"/>
        <v/>
      </c>
      <c r="B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1" s="1" t="s">
        <v>112</v>
      </c>
    </row>
    <row r="162" spans="1:7" x14ac:dyDescent="0.25">
      <c r="A162" s="1" t="str">
        <f t="shared" si="2"/>
        <v/>
      </c>
      <c r="B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2" s="1" t="s">
        <v>112</v>
      </c>
    </row>
    <row r="163" spans="1:7" x14ac:dyDescent="0.25">
      <c r="A163" s="1" t="str">
        <f t="shared" si="2"/>
        <v/>
      </c>
      <c r="B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3" s="1" t="s">
        <v>112</v>
      </c>
    </row>
    <row r="164" spans="1:7" x14ac:dyDescent="0.25">
      <c r="A164" s="1" t="str">
        <f t="shared" si="2"/>
        <v/>
      </c>
      <c r="B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4" s="1" t="s">
        <v>112</v>
      </c>
    </row>
    <row r="165" spans="1:7" x14ac:dyDescent="0.25">
      <c r="A165" s="1" t="str">
        <f t="shared" si="2"/>
        <v/>
      </c>
      <c r="B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5" s="1" t="s">
        <v>112</v>
      </c>
    </row>
    <row r="166" spans="1:7" x14ac:dyDescent="0.25">
      <c r="A166" s="1" t="str">
        <f t="shared" si="2"/>
        <v/>
      </c>
      <c r="B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6" s="1" t="s">
        <v>244</v>
      </c>
      <c r="D166" s="1" t="s">
        <v>110</v>
      </c>
      <c r="E166" s="1" t="s">
        <v>111</v>
      </c>
      <c r="F166" s="1" t="s">
        <v>112</v>
      </c>
      <c r="G166" s="1" t="s">
        <v>113</v>
      </c>
    </row>
    <row r="167" spans="1:7" x14ac:dyDescent="0.25">
      <c r="A167" s="1" t="str">
        <f t="shared" si="2"/>
        <v>06 EE2 170.9</v>
      </c>
      <c r="B1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7" s="1" t="s">
        <v>3374</v>
      </c>
      <c r="D167" s="1" t="s">
        <v>1119</v>
      </c>
      <c r="E167" s="1" t="s">
        <v>3375</v>
      </c>
      <c r="F167" s="1" t="s">
        <v>112</v>
      </c>
      <c r="G167" s="1">
        <v>3705158</v>
      </c>
    </row>
    <row r="168" spans="1:7" x14ac:dyDescent="0.25">
      <c r="A168" s="1" t="str">
        <f t="shared" si="2"/>
        <v>06 EE2 170.9</v>
      </c>
      <c r="B1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8" s="1" t="s">
        <v>3376</v>
      </c>
      <c r="D168" s="1" t="s">
        <v>1363</v>
      </c>
      <c r="E168" s="1" t="s">
        <v>3377</v>
      </c>
      <c r="F168" s="1" t="s">
        <v>112</v>
      </c>
      <c r="G168" s="1">
        <v>3363578</v>
      </c>
    </row>
    <row r="169" spans="1:7" x14ac:dyDescent="0.25">
      <c r="A169" s="1" t="str">
        <f t="shared" si="2"/>
        <v>06 EE2 170.9</v>
      </c>
      <c r="B1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9" s="1" t="s">
        <v>3378</v>
      </c>
      <c r="D169" s="1" t="s">
        <v>3379</v>
      </c>
      <c r="E169" s="1" t="s">
        <v>3380</v>
      </c>
      <c r="F169" s="1" t="s">
        <v>112</v>
      </c>
      <c r="G169" s="1">
        <v>3481137</v>
      </c>
    </row>
    <row r="170" spans="1:7" x14ac:dyDescent="0.25">
      <c r="A170" s="1" t="str">
        <f t="shared" si="2"/>
        <v>06 EE2 170.9</v>
      </c>
      <c r="B1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0" s="1" t="s">
        <v>3381</v>
      </c>
      <c r="D170" s="1" t="s">
        <v>3382</v>
      </c>
      <c r="E170" s="1" t="s">
        <v>3383</v>
      </c>
      <c r="F170" s="1" t="s">
        <v>112</v>
      </c>
      <c r="G170" s="1">
        <v>2224591</v>
      </c>
    </row>
    <row r="171" spans="1:7" x14ac:dyDescent="0.25">
      <c r="A171" s="1" t="str">
        <f t="shared" si="2"/>
        <v>06 EE2 170.9</v>
      </c>
      <c r="B1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1" s="1" t="s">
        <v>3384</v>
      </c>
      <c r="D171" s="1" t="s">
        <v>3385</v>
      </c>
      <c r="E171" s="1" t="s">
        <v>3386</v>
      </c>
      <c r="F171" s="1" t="s">
        <v>112</v>
      </c>
      <c r="G171" s="1">
        <v>2327269</v>
      </c>
    </row>
    <row r="172" spans="1:7" x14ac:dyDescent="0.25">
      <c r="A172" s="1" t="str">
        <f t="shared" si="2"/>
        <v>06 EE2 170.9</v>
      </c>
      <c r="B1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2" s="1" t="s">
        <v>3387</v>
      </c>
      <c r="D172" s="1" t="s">
        <v>3388</v>
      </c>
      <c r="E172" s="1" t="s">
        <v>3389</v>
      </c>
      <c r="F172" s="1" t="s">
        <v>112</v>
      </c>
      <c r="G172" s="1">
        <v>2349807</v>
      </c>
    </row>
    <row r="173" spans="1:7" x14ac:dyDescent="0.25">
      <c r="A173" s="1" t="str">
        <f t="shared" si="2"/>
        <v>06 EE2 170.9</v>
      </c>
      <c r="B1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3" s="1" t="s">
        <v>3390</v>
      </c>
      <c r="D173" s="1" t="s">
        <v>3391</v>
      </c>
      <c r="E173" s="1" t="s">
        <v>3392</v>
      </c>
      <c r="F173" s="1" t="s">
        <v>112</v>
      </c>
      <c r="G173" s="1">
        <v>4801491</v>
      </c>
    </row>
    <row r="174" spans="1:7" x14ac:dyDescent="0.25">
      <c r="A174" s="1" t="str">
        <f t="shared" si="2"/>
        <v>06 EE2 170.9</v>
      </c>
      <c r="B1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4" s="1" t="s">
        <v>3393</v>
      </c>
      <c r="D174" s="1" t="s">
        <v>3394</v>
      </c>
      <c r="E174" s="1" t="s">
        <v>3395</v>
      </c>
      <c r="F174" s="1" t="s">
        <v>112</v>
      </c>
      <c r="G174" s="1">
        <v>4769976</v>
      </c>
    </row>
    <row r="175" spans="1:7" x14ac:dyDescent="0.25">
      <c r="A175" s="1" t="str">
        <f t="shared" si="2"/>
        <v>06 EE2 170.9</v>
      </c>
      <c r="B1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5" s="1" t="s">
        <v>3396</v>
      </c>
      <c r="D175" s="1" t="s">
        <v>2829</v>
      </c>
      <c r="E175" s="1" t="s">
        <v>3397</v>
      </c>
      <c r="F175" s="1" t="s">
        <v>112</v>
      </c>
      <c r="G175" s="1">
        <v>4552768</v>
      </c>
    </row>
    <row r="176" spans="1:7" x14ac:dyDescent="0.25">
      <c r="A176" s="1" t="str">
        <f t="shared" si="2"/>
        <v>06 EE2 170.9</v>
      </c>
      <c r="B1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6" s="1" t="s">
        <v>3398</v>
      </c>
      <c r="D176" s="1" t="s">
        <v>3399</v>
      </c>
      <c r="E176" s="1" t="s">
        <v>3400</v>
      </c>
      <c r="F176" s="1" t="s">
        <v>112</v>
      </c>
      <c r="G176" s="1">
        <v>1311550</v>
      </c>
    </row>
    <row r="177" spans="1:10" x14ac:dyDescent="0.25">
      <c r="A177" s="1" t="str">
        <f t="shared" si="2"/>
        <v>06 EE2 170.9</v>
      </c>
      <c r="B1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7" s="1" t="s">
        <v>3401</v>
      </c>
      <c r="D177" s="1" t="s">
        <v>3402</v>
      </c>
      <c r="E177" s="1" t="s">
        <v>3403</v>
      </c>
      <c r="F177" s="1" t="s">
        <v>112</v>
      </c>
      <c r="G177" s="1">
        <v>1409123</v>
      </c>
    </row>
    <row r="178" spans="1:10" x14ac:dyDescent="0.25">
      <c r="A178" s="1" t="str">
        <f t="shared" si="2"/>
        <v>06 EE2 170.9</v>
      </c>
      <c r="B1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8" s="1" t="s">
        <v>3404</v>
      </c>
      <c r="D178" s="1" t="s">
        <v>3405</v>
      </c>
      <c r="E178" s="1" t="s">
        <v>3406</v>
      </c>
      <c r="F178" s="1" t="s">
        <v>112</v>
      </c>
      <c r="G178" s="1">
        <v>1365171</v>
      </c>
    </row>
    <row r="179" spans="1:10" x14ac:dyDescent="0.25">
      <c r="A179" s="1" t="str">
        <f t="shared" si="2"/>
        <v>06 EE2 170.9</v>
      </c>
      <c r="B1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79" s="1" t="s">
        <v>3407</v>
      </c>
      <c r="D179" s="1" t="s">
        <v>3408</v>
      </c>
      <c r="E179" s="1" t="s">
        <v>3409</v>
      </c>
      <c r="F179" s="1" t="s">
        <v>112</v>
      </c>
      <c r="G179" s="1">
        <v>3203106</v>
      </c>
    </row>
    <row r="180" spans="1:10" x14ac:dyDescent="0.25">
      <c r="A180" s="1" t="str">
        <f t="shared" si="2"/>
        <v>06 EE2 170.9</v>
      </c>
      <c r="B1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0" s="1" t="s">
        <v>3410</v>
      </c>
      <c r="D180" s="1" t="s">
        <v>3411</v>
      </c>
      <c r="E180" s="1" t="s">
        <v>3412</v>
      </c>
      <c r="F180" s="1" t="s">
        <v>112</v>
      </c>
      <c r="G180" s="1">
        <v>2278666</v>
      </c>
    </row>
    <row r="181" spans="1:10" x14ac:dyDescent="0.25">
      <c r="A181" s="1" t="str">
        <f t="shared" si="2"/>
        <v>06 EE2 170.9</v>
      </c>
      <c r="B1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1" s="1" t="s">
        <v>3413</v>
      </c>
      <c r="D181" s="1" t="s">
        <v>3414</v>
      </c>
      <c r="E181" s="1" t="s">
        <v>3415</v>
      </c>
      <c r="F181" s="1" t="s">
        <v>112</v>
      </c>
      <c r="G181" s="1">
        <v>2298155</v>
      </c>
    </row>
    <row r="182" spans="1:10" x14ac:dyDescent="0.25">
      <c r="A182" s="1" t="str">
        <f t="shared" si="2"/>
        <v>06 EE2 170.9</v>
      </c>
      <c r="B1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2" s="1" t="s">
        <v>3416</v>
      </c>
      <c r="D182" s="1" t="s">
        <v>3417</v>
      </c>
      <c r="E182" s="1" t="s">
        <v>3418</v>
      </c>
      <c r="F182" s="1" t="s">
        <v>112</v>
      </c>
      <c r="G182" s="1">
        <v>321226</v>
      </c>
    </row>
    <row r="183" spans="1:10" x14ac:dyDescent="0.25">
      <c r="A183" s="1" t="str">
        <f t="shared" si="2"/>
        <v>06 EE2 170.9</v>
      </c>
      <c r="B1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3" s="1" t="s">
        <v>3419</v>
      </c>
      <c r="D183" s="1" t="s">
        <v>1758</v>
      </c>
      <c r="E183" s="1" t="s">
        <v>3420</v>
      </c>
      <c r="F183" s="1" t="s">
        <v>112</v>
      </c>
      <c r="G183" s="1">
        <v>212514</v>
      </c>
    </row>
    <row r="184" spans="1:10" x14ac:dyDescent="0.25">
      <c r="A184" s="1" t="str">
        <f t="shared" si="2"/>
        <v>06 EE2 170.9</v>
      </c>
      <c r="B1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4" s="1" t="s">
        <v>3421</v>
      </c>
      <c r="D184" s="1" t="s">
        <v>3417</v>
      </c>
      <c r="E184" s="1" t="s">
        <v>3422</v>
      </c>
      <c r="F184" s="1" t="s">
        <v>112</v>
      </c>
      <c r="G184" s="1">
        <v>319798</v>
      </c>
    </row>
    <row r="185" spans="1:10" x14ac:dyDescent="0.25">
      <c r="A185" s="1" t="str">
        <f t="shared" si="2"/>
        <v>06 EE2 170.9</v>
      </c>
      <c r="B1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5" s="1" t="s">
        <v>3423</v>
      </c>
      <c r="D185" s="1" t="s">
        <v>3424</v>
      </c>
      <c r="E185" s="1" t="s">
        <v>3425</v>
      </c>
      <c r="F185" s="1" t="s">
        <v>112</v>
      </c>
      <c r="G185" s="1">
        <v>1438929</v>
      </c>
    </row>
    <row r="186" spans="1:10" x14ac:dyDescent="0.25">
      <c r="A186" s="1" t="str">
        <f t="shared" si="2"/>
        <v>06 EE2 170.9</v>
      </c>
      <c r="B1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6" s="1" t="s">
        <v>3426</v>
      </c>
      <c r="D186" s="1" t="s">
        <v>3427</v>
      </c>
      <c r="E186" s="1" t="s">
        <v>3428</v>
      </c>
      <c r="F186" s="1" t="s">
        <v>112</v>
      </c>
      <c r="G186" s="1">
        <v>1267014</v>
      </c>
    </row>
    <row r="187" spans="1:10" x14ac:dyDescent="0.25">
      <c r="A187" s="1" t="str">
        <f t="shared" si="2"/>
        <v>06 EE2 170.9</v>
      </c>
      <c r="B1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7" s="1" t="s">
        <v>3429</v>
      </c>
      <c r="D187" s="1" t="s">
        <v>3430</v>
      </c>
      <c r="E187" s="1" t="s">
        <v>3431</v>
      </c>
      <c r="F187" s="1" t="s">
        <v>112</v>
      </c>
      <c r="G187" s="1">
        <v>1254361</v>
      </c>
    </row>
    <row r="188" spans="1:10" x14ac:dyDescent="0.25">
      <c r="A188" s="1" t="str">
        <f t="shared" si="2"/>
        <v>06 EE2 170.9</v>
      </c>
      <c r="B1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88" s="1" t="s">
        <v>3432</v>
      </c>
      <c r="D188" s="1" t="s">
        <v>3433</v>
      </c>
      <c r="E188" s="1" t="s">
        <v>3434</v>
      </c>
      <c r="F188" s="1" t="s">
        <v>112</v>
      </c>
      <c r="G188" s="1">
        <v>2856055</v>
      </c>
    </row>
    <row r="189" spans="1:10" x14ac:dyDescent="0.25">
      <c r="A189" s="1" t="str">
        <f t="shared" si="2"/>
        <v>06 EE2 170.9</v>
      </c>
      <c r="B1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89" s="1" t="s">
        <v>3435</v>
      </c>
      <c r="D189" s="1" t="s">
        <v>3436</v>
      </c>
      <c r="E189" s="1" t="s">
        <v>3437</v>
      </c>
      <c r="F189" s="1" t="s">
        <v>112</v>
      </c>
      <c r="G189" s="1">
        <v>3044710</v>
      </c>
    </row>
    <row r="190" spans="1:10" x14ac:dyDescent="0.25">
      <c r="A190" s="1" t="str">
        <f t="shared" si="2"/>
        <v>06 EE2 170.9</v>
      </c>
      <c r="B1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90" s="1" t="s">
        <v>3438</v>
      </c>
      <c r="D190" s="1" t="s">
        <v>3439</v>
      </c>
      <c r="E190" s="1" t="s">
        <v>3440</v>
      </c>
      <c r="F190" s="1" t="s">
        <v>112</v>
      </c>
      <c r="G190" s="1">
        <v>3090198</v>
      </c>
    </row>
    <row r="191" spans="1:10" x14ac:dyDescent="0.25">
      <c r="A191" s="1" t="str">
        <f t="shared" si="2"/>
        <v/>
      </c>
      <c r="B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1" s="1" t="s">
        <v>112</v>
      </c>
    </row>
    <row r="192" spans="1:10" x14ac:dyDescent="0.25">
      <c r="A192" s="1" t="str">
        <f t="shared" si="2"/>
        <v/>
      </c>
      <c r="B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2" s="1" t="s">
        <v>232</v>
      </c>
      <c r="D192" s="1" t="s">
        <v>112</v>
      </c>
      <c r="E192" s="1" t="s">
        <v>233</v>
      </c>
      <c r="F192" s="1" t="s">
        <v>234</v>
      </c>
      <c r="G192" s="1" t="s">
        <v>235</v>
      </c>
      <c r="H192" s="1" t="s">
        <v>236</v>
      </c>
      <c r="I192" s="1" t="s">
        <v>237</v>
      </c>
      <c r="J192" s="1" t="s">
        <v>238</v>
      </c>
    </row>
    <row r="193" spans="1:10" x14ac:dyDescent="0.25">
      <c r="A193" s="1" t="str">
        <f t="shared" si="2"/>
        <v>06 EE2 170.9</v>
      </c>
      <c r="B19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93" s="1" t="s">
        <v>3441</v>
      </c>
      <c r="D193" s="1" t="s">
        <v>112</v>
      </c>
      <c r="E193" s="1" t="s">
        <v>3442</v>
      </c>
      <c r="F193" s="1" t="s">
        <v>3443</v>
      </c>
      <c r="G193" s="1" t="s">
        <v>3444</v>
      </c>
      <c r="H193" s="1" t="s">
        <v>3445</v>
      </c>
      <c r="I193" s="1">
        <v>24</v>
      </c>
      <c r="J193" s="1">
        <v>24</v>
      </c>
    </row>
    <row r="194" spans="1:10" x14ac:dyDescent="0.25">
      <c r="A194" s="1" t="str">
        <f t="shared" ref="A194:A257" si="3">IFERROR(LEFT(RIGHT(C194,LEN(C194)-SEARCH("@",C194)),SEARCH("/",RIGHT(C194,LEN(C194)-SEARCH("@",C194)-1))),"")</f>
        <v/>
      </c>
      <c r="B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4" s="1" t="s">
        <v>112</v>
      </c>
    </row>
    <row r="195" spans="1:10" x14ac:dyDescent="0.25">
      <c r="A195" s="1" t="str">
        <f t="shared" si="3"/>
        <v/>
      </c>
      <c r="B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5" s="1" t="s">
        <v>112</v>
      </c>
    </row>
    <row r="196" spans="1:10" x14ac:dyDescent="0.25">
      <c r="A196" s="1" t="str">
        <f t="shared" si="3"/>
        <v/>
      </c>
      <c r="B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6" s="1" t="s">
        <v>112</v>
      </c>
    </row>
    <row r="197" spans="1:10" x14ac:dyDescent="0.25">
      <c r="A197" s="1" t="str">
        <f t="shared" si="3"/>
        <v/>
      </c>
      <c r="B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7" s="1" t="s">
        <v>112</v>
      </c>
    </row>
    <row r="198" spans="1:10" x14ac:dyDescent="0.25">
      <c r="A198" s="1" t="str">
        <f t="shared" si="3"/>
        <v/>
      </c>
      <c r="B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8" s="1" t="s">
        <v>112</v>
      </c>
    </row>
    <row r="199" spans="1:10" x14ac:dyDescent="0.25">
      <c r="A199" s="1" t="str">
        <f t="shared" si="3"/>
        <v/>
      </c>
      <c r="B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9" s="1" t="s">
        <v>244</v>
      </c>
      <c r="D199" s="1" t="s">
        <v>110</v>
      </c>
      <c r="E199" s="1" t="s">
        <v>111</v>
      </c>
      <c r="F199" s="1" t="s">
        <v>112</v>
      </c>
      <c r="G199" s="1" t="s">
        <v>113</v>
      </c>
    </row>
    <row r="200" spans="1:10" x14ac:dyDescent="0.25">
      <c r="A200" s="1" t="str">
        <f t="shared" si="3"/>
        <v>07 EE2 488</v>
      </c>
      <c r="B2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0" s="1" t="s">
        <v>3446</v>
      </c>
    </row>
    <row r="201" spans="1:10" x14ac:dyDescent="0.25">
      <c r="A201" s="1" t="str">
        <f t="shared" si="3"/>
        <v>07 EE2 488</v>
      </c>
      <c r="B2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1" s="1" t="s">
        <v>3447</v>
      </c>
      <c r="D201" s="1" t="s">
        <v>2452</v>
      </c>
      <c r="E201" s="1" t="s">
        <v>3448</v>
      </c>
      <c r="F201" s="1" t="s">
        <v>112</v>
      </c>
      <c r="G201" s="1">
        <v>5660305</v>
      </c>
    </row>
    <row r="202" spans="1:10" x14ac:dyDescent="0.25">
      <c r="A202" s="1" t="str">
        <f t="shared" si="3"/>
        <v>07 EE2 488</v>
      </c>
      <c r="B2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2" s="1" t="s">
        <v>3449</v>
      </c>
      <c r="D202" s="1" t="s">
        <v>3450</v>
      </c>
      <c r="E202" s="1" t="s">
        <v>3451</v>
      </c>
      <c r="F202" s="1" t="s">
        <v>112</v>
      </c>
      <c r="G202" s="1">
        <v>4961098</v>
      </c>
    </row>
    <row r="203" spans="1:10" x14ac:dyDescent="0.25">
      <c r="A203" s="1" t="str">
        <f t="shared" si="3"/>
        <v>07 EE2 488</v>
      </c>
      <c r="B2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3" s="1" t="s">
        <v>3452</v>
      </c>
      <c r="D203" s="1" t="s">
        <v>3016</v>
      </c>
      <c r="E203" s="1" t="s">
        <v>3453</v>
      </c>
      <c r="F203" s="1" t="s">
        <v>112</v>
      </c>
      <c r="G203" s="1">
        <v>6404590</v>
      </c>
    </row>
    <row r="204" spans="1:10" x14ac:dyDescent="0.25">
      <c r="A204" s="1" t="str">
        <f t="shared" si="3"/>
        <v>07 EE2 488</v>
      </c>
      <c r="B2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4" s="1" t="s">
        <v>3454</v>
      </c>
      <c r="D204" s="1" t="s">
        <v>3455</v>
      </c>
      <c r="E204" s="1" t="s">
        <v>3456</v>
      </c>
      <c r="F204" s="1" t="s">
        <v>112</v>
      </c>
      <c r="G204" s="1">
        <v>5522674</v>
      </c>
    </row>
    <row r="205" spans="1:10" x14ac:dyDescent="0.25">
      <c r="A205" s="1" t="str">
        <f t="shared" si="3"/>
        <v>07 EE2 488</v>
      </c>
      <c r="B2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5" s="1" t="s">
        <v>3457</v>
      </c>
      <c r="D205" s="1" t="s">
        <v>3458</v>
      </c>
      <c r="E205" s="1" t="s">
        <v>3459</v>
      </c>
      <c r="F205" s="1" t="s">
        <v>112</v>
      </c>
      <c r="G205" s="1">
        <v>6118232</v>
      </c>
    </row>
    <row r="206" spans="1:10" x14ac:dyDescent="0.25">
      <c r="A206" s="1" t="str">
        <f t="shared" si="3"/>
        <v>07 EE2 488</v>
      </c>
      <c r="B2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6" s="1" t="s">
        <v>3460</v>
      </c>
      <c r="D206" s="1" t="s">
        <v>3461</v>
      </c>
      <c r="E206" s="1" t="s">
        <v>3462</v>
      </c>
      <c r="F206" s="1" t="s">
        <v>112</v>
      </c>
      <c r="G206" s="1">
        <v>4740235</v>
      </c>
    </row>
    <row r="207" spans="1:10" x14ac:dyDescent="0.25">
      <c r="A207" s="1" t="str">
        <f t="shared" si="3"/>
        <v>07 EE2 488</v>
      </c>
      <c r="B2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7" s="1" t="s">
        <v>3463</v>
      </c>
      <c r="D207" s="1" t="s">
        <v>3464</v>
      </c>
      <c r="E207" s="1" t="s">
        <v>3465</v>
      </c>
      <c r="F207" s="1" t="s">
        <v>112</v>
      </c>
      <c r="G207" s="1">
        <v>4819227</v>
      </c>
    </row>
    <row r="208" spans="1:10" x14ac:dyDescent="0.25">
      <c r="A208" s="1" t="str">
        <f t="shared" si="3"/>
        <v>07 EE2 488</v>
      </c>
      <c r="B2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8" s="1" t="s">
        <v>3466</v>
      </c>
      <c r="D208" s="1" t="s">
        <v>3467</v>
      </c>
      <c r="E208" s="1" t="s">
        <v>3468</v>
      </c>
      <c r="F208" s="1" t="s">
        <v>112</v>
      </c>
      <c r="G208" s="1">
        <v>4687674</v>
      </c>
    </row>
    <row r="209" spans="1:7" x14ac:dyDescent="0.25">
      <c r="A209" s="1" t="str">
        <f t="shared" si="3"/>
        <v>07 EE2 488</v>
      </c>
      <c r="B2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09" s="1" t="s">
        <v>3469</v>
      </c>
      <c r="D209" s="1" t="s">
        <v>3470</v>
      </c>
      <c r="E209" s="1" t="s">
        <v>3471</v>
      </c>
      <c r="F209" s="1" t="s">
        <v>112</v>
      </c>
      <c r="G209" s="1">
        <v>4336145</v>
      </c>
    </row>
    <row r="210" spans="1:7" x14ac:dyDescent="0.25">
      <c r="A210" s="1" t="str">
        <f t="shared" si="3"/>
        <v>07 EE2 488</v>
      </c>
      <c r="B2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10" s="1" t="s">
        <v>3472</v>
      </c>
      <c r="D210" s="1" t="s">
        <v>2578</v>
      </c>
      <c r="E210" s="1" t="s">
        <v>3473</v>
      </c>
      <c r="F210" s="1" t="s">
        <v>112</v>
      </c>
      <c r="G210" s="1">
        <v>4294789</v>
      </c>
    </row>
    <row r="211" spans="1:7" x14ac:dyDescent="0.25">
      <c r="A211" s="1" t="str">
        <f t="shared" si="3"/>
        <v>07 EE2 488</v>
      </c>
      <c r="B2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11" s="1" t="s">
        <v>3474</v>
      </c>
      <c r="D211" s="1" t="s">
        <v>3475</v>
      </c>
      <c r="E211" s="1" t="s">
        <v>3476</v>
      </c>
      <c r="F211" s="1" t="s">
        <v>112</v>
      </c>
      <c r="G211" s="1">
        <v>4065468</v>
      </c>
    </row>
    <row r="212" spans="1:7" x14ac:dyDescent="0.25">
      <c r="A212" s="1" t="str">
        <f t="shared" si="3"/>
        <v>07 EE2 488</v>
      </c>
      <c r="B2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2" s="1" t="s">
        <v>3477</v>
      </c>
      <c r="D212" s="1" t="s">
        <v>3478</v>
      </c>
      <c r="E212" s="1" t="s">
        <v>3479</v>
      </c>
      <c r="F212" s="1" t="s">
        <v>112</v>
      </c>
      <c r="G212" s="1">
        <v>5949887</v>
      </c>
    </row>
    <row r="213" spans="1:7" x14ac:dyDescent="0.25">
      <c r="A213" s="1" t="str">
        <f t="shared" si="3"/>
        <v>07 EE2 488</v>
      </c>
      <c r="B2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3" s="1" t="s">
        <v>3480</v>
      </c>
      <c r="D213" s="1" t="s">
        <v>3481</v>
      </c>
      <c r="E213" s="1" t="s">
        <v>3482</v>
      </c>
      <c r="F213" s="1" t="s">
        <v>112</v>
      </c>
      <c r="G213" s="1">
        <v>5560700</v>
      </c>
    </row>
    <row r="214" spans="1:7" x14ac:dyDescent="0.25">
      <c r="A214" s="1" t="str">
        <f t="shared" si="3"/>
        <v>07 EE2 488</v>
      </c>
      <c r="B2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4" s="1" t="s">
        <v>3483</v>
      </c>
      <c r="D214" s="1" t="s">
        <v>3484</v>
      </c>
      <c r="E214" s="1" t="s">
        <v>3485</v>
      </c>
      <c r="F214" s="1" t="s">
        <v>112</v>
      </c>
      <c r="G214" s="1">
        <v>5397308</v>
      </c>
    </row>
    <row r="215" spans="1:7" x14ac:dyDescent="0.25">
      <c r="A215" s="1" t="str">
        <f t="shared" si="3"/>
        <v>07 EE2 488</v>
      </c>
      <c r="B2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5" s="1" t="s">
        <v>3486</v>
      </c>
      <c r="D215" s="1" t="s">
        <v>3487</v>
      </c>
      <c r="E215" s="1" t="s">
        <v>3488</v>
      </c>
      <c r="F215" s="1" t="s">
        <v>112</v>
      </c>
      <c r="G215" s="1">
        <v>7406141</v>
      </c>
    </row>
    <row r="216" spans="1:7" x14ac:dyDescent="0.25">
      <c r="A216" s="1" t="str">
        <f t="shared" si="3"/>
        <v>07 EE2 488</v>
      </c>
      <c r="B2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6" s="1" t="s">
        <v>3489</v>
      </c>
      <c r="D216" s="1" t="s">
        <v>2343</v>
      </c>
      <c r="E216" s="1" t="s">
        <v>3490</v>
      </c>
      <c r="F216" s="1" t="s">
        <v>112</v>
      </c>
      <c r="G216" s="1">
        <v>6577478</v>
      </c>
    </row>
    <row r="217" spans="1:7" x14ac:dyDescent="0.25">
      <c r="A217" s="1" t="str">
        <f t="shared" si="3"/>
        <v>07 EE2 488</v>
      </c>
      <c r="B2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7" s="1" t="s">
        <v>3491</v>
      </c>
      <c r="D217" s="1" t="s">
        <v>3492</v>
      </c>
      <c r="E217" s="1" t="s">
        <v>3493</v>
      </c>
      <c r="F217" s="1" t="s">
        <v>112</v>
      </c>
      <c r="G217" s="1">
        <v>6866129</v>
      </c>
    </row>
    <row r="218" spans="1:7" x14ac:dyDescent="0.25">
      <c r="A218" s="1" t="str">
        <f t="shared" si="3"/>
        <v>07 EE2 488</v>
      </c>
      <c r="B2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8" s="1" t="s">
        <v>3494</v>
      </c>
      <c r="D218" s="1" t="s">
        <v>3495</v>
      </c>
      <c r="E218" s="1" t="s">
        <v>3496</v>
      </c>
      <c r="F218" s="1" t="s">
        <v>112</v>
      </c>
      <c r="G218" s="1">
        <v>5111750</v>
      </c>
    </row>
    <row r="219" spans="1:7" x14ac:dyDescent="0.25">
      <c r="A219" s="1" t="str">
        <f t="shared" si="3"/>
        <v>07 EE2 488</v>
      </c>
      <c r="B2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9" s="1" t="s">
        <v>3497</v>
      </c>
      <c r="D219" s="1" t="s">
        <v>2951</v>
      </c>
      <c r="E219" s="1" t="s">
        <v>3498</v>
      </c>
      <c r="F219" s="1" t="s">
        <v>112</v>
      </c>
      <c r="G219" s="1">
        <v>5100848</v>
      </c>
    </row>
    <row r="220" spans="1:7" x14ac:dyDescent="0.25">
      <c r="A220" s="1" t="str">
        <f t="shared" si="3"/>
        <v>07 EE2 488</v>
      </c>
      <c r="B2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20" s="1" t="s">
        <v>3499</v>
      </c>
      <c r="D220" s="1" t="s">
        <v>3500</v>
      </c>
      <c r="E220" s="1" t="s">
        <v>3501</v>
      </c>
      <c r="F220" s="1" t="s">
        <v>112</v>
      </c>
      <c r="G220" s="1">
        <v>5282064</v>
      </c>
    </row>
    <row r="221" spans="1:7" x14ac:dyDescent="0.25">
      <c r="A221" s="1" t="str">
        <f t="shared" si="3"/>
        <v>07 EE2 488</v>
      </c>
      <c r="B2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1" s="1" t="s">
        <v>3502</v>
      </c>
      <c r="D221" s="1" t="s">
        <v>3503</v>
      </c>
      <c r="E221" s="1" t="s">
        <v>3504</v>
      </c>
      <c r="F221" s="1" t="s">
        <v>112</v>
      </c>
      <c r="G221" s="1">
        <v>6285280</v>
      </c>
    </row>
    <row r="222" spans="1:7" x14ac:dyDescent="0.25">
      <c r="A222" s="1" t="str">
        <f t="shared" si="3"/>
        <v>07 EE2 488</v>
      </c>
      <c r="B2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2" s="1" t="s">
        <v>3505</v>
      </c>
      <c r="D222" s="1" t="s">
        <v>3506</v>
      </c>
      <c r="E222" s="1" t="s">
        <v>3507</v>
      </c>
      <c r="F222" s="1" t="s">
        <v>112</v>
      </c>
      <c r="G222" s="1">
        <v>6298625</v>
      </c>
    </row>
    <row r="223" spans="1:7" x14ac:dyDescent="0.25">
      <c r="A223" s="1" t="str">
        <f t="shared" si="3"/>
        <v>07 EE2 488</v>
      </c>
      <c r="B2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3" s="1" t="s">
        <v>3508</v>
      </c>
      <c r="D223" s="1" t="s">
        <v>3509</v>
      </c>
      <c r="E223" s="1" t="s">
        <v>3510</v>
      </c>
      <c r="F223" s="1" t="s">
        <v>112</v>
      </c>
      <c r="G223" s="1">
        <v>6425182</v>
      </c>
    </row>
    <row r="224" spans="1:7" x14ac:dyDescent="0.25">
      <c r="A224" s="1" t="str">
        <f t="shared" si="3"/>
        <v/>
      </c>
      <c r="B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4" s="1" t="s">
        <v>112</v>
      </c>
    </row>
    <row r="225" spans="1:10" x14ac:dyDescent="0.25">
      <c r="A225" s="1" t="str">
        <f t="shared" si="3"/>
        <v/>
      </c>
      <c r="B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5" s="1" t="s">
        <v>232</v>
      </c>
      <c r="D225" s="1" t="s">
        <v>112</v>
      </c>
      <c r="E225" s="1" t="s">
        <v>233</v>
      </c>
      <c r="F225" s="1" t="s">
        <v>234</v>
      </c>
      <c r="G225" s="1" t="s">
        <v>235</v>
      </c>
      <c r="H225" s="1" t="s">
        <v>236</v>
      </c>
      <c r="I225" s="1" t="s">
        <v>237</v>
      </c>
      <c r="J225" s="1" t="s">
        <v>238</v>
      </c>
    </row>
    <row r="226" spans="1:10" x14ac:dyDescent="0.25">
      <c r="A226" s="1" t="str">
        <f t="shared" si="3"/>
        <v>07 EE2 488</v>
      </c>
      <c r="B22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26" s="1" t="s">
        <v>3511</v>
      </c>
      <c r="D226" s="1" t="s">
        <v>112</v>
      </c>
      <c r="E226" s="1" t="s">
        <v>3512</v>
      </c>
      <c r="F226" s="1" t="s">
        <v>3513</v>
      </c>
      <c r="G226" s="1" t="s">
        <v>3514</v>
      </c>
      <c r="H226" s="1" t="s">
        <v>3515</v>
      </c>
      <c r="I226" s="1">
        <v>24</v>
      </c>
      <c r="J226" s="1">
        <v>24</v>
      </c>
    </row>
    <row r="227" spans="1:10" x14ac:dyDescent="0.25">
      <c r="A227" s="1" t="str">
        <f t="shared" si="3"/>
        <v/>
      </c>
      <c r="B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7" s="1" t="s">
        <v>112</v>
      </c>
    </row>
    <row r="228" spans="1:10" x14ac:dyDescent="0.25">
      <c r="A228" s="1" t="str">
        <f t="shared" si="3"/>
        <v/>
      </c>
      <c r="B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8" s="1" t="s">
        <v>112</v>
      </c>
    </row>
    <row r="229" spans="1:10" x14ac:dyDescent="0.25">
      <c r="A229" s="1" t="str">
        <f t="shared" si="3"/>
        <v/>
      </c>
      <c r="B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9" s="1" t="s">
        <v>112</v>
      </c>
    </row>
    <row r="230" spans="1:10" x14ac:dyDescent="0.25">
      <c r="A230" s="1" t="str">
        <f t="shared" si="3"/>
        <v/>
      </c>
      <c r="B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0" s="1" t="s">
        <v>112</v>
      </c>
    </row>
    <row r="231" spans="1:10" x14ac:dyDescent="0.25">
      <c r="A231" s="1" t="str">
        <f t="shared" si="3"/>
        <v/>
      </c>
      <c r="B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1" s="1" t="s">
        <v>112</v>
      </c>
    </row>
    <row r="232" spans="1:10" x14ac:dyDescent="0.25">
      <c r="A232" s="1" t="str">
        <f t="shared" si="3"/>
        <v/>
      </c>
      <c r="B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2" s="1" t="s">
        <v>244</v>
      </c>
      <c r="D232" s="1" t="s">
        <v>110</v>
      </c>
      <c r="E232" s="1" t="s">
        <v>111</v>
      </c>
      <c r="F232" s="1" t="s">
        <v>112</v>
      </c>
      <c r="G232" s="1" t="s">
        <v>113</v>
      </c>
    </row>
    <row r="233" spans="1:10" x14ac:dyDescent="0.25">
      <c r="A233" s="1" t="str">
        <f t="shared" si="3"/>
        <v>08 17b estradiol 34 ng_L</v>
      </c>
      <c r="B2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3" s="1" t="s">
        <v>3516</v>
      </c>
      <c r="D233" s="1" t="s">
        <v>3517</v>
      </c>
      <c r="E233" s="1" t="s">
        <v>3518</v>
      </c>
      <c r="F233" s="1" t="s">
        <v>112</v>
      </c>
      <c r="G233" s="1">
        <v>504712</v>
      </c>
    </row>
    <row r="234" spans="1:10" x14ac:dyDescent="0.25">
      <c r="A234" s="1" t="str">
        <f t="shared" si="3"/>
        <v>08 17b estradiol 34 ng_L</v>
      </c>
      <c r="B2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4" s="1" t="s">
        <v>3519</v>
      </c>
      <c r="D234" s="1" t="s">
        <v>3105</v>
      </c>
      <c r="E234" s="1" t="s">
        <v>3520</v>
      </c>
      <c r="F234" s="1" t="s">
        <v>112</v>
      </c>
      <c r="G234" s="1">
        <v>113168</v>
      </c>
    </row>
    <row r="235" spans="1:10" x14ac:dyDescent="0.25">
      <c r="A235" s="1" t="str">
        <f t="shared" si="3"/>
        <v>08 17b estradiol 34 ng_L</v>
      </c>
      <c r="B2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5" s="1" t="s">
        <v>3521</v>
      </c>
      <c r="D235" s="1" t="s">
        <v>842</v>
      </c>
      <c r="E235" s="1" t="s">
        <v>3522</v>
      </c>
      <c r="F235" s="1" t="s">
        <v>112</v>
      </c>
      <c r="G235" s="1">
        <v>75899</v>
      </c>
    </row>
    <row r="236" spans="1:10" x14ac:dyDescent="0.25">
      <c r="A236" s="1" t="str">
        <f t="shared" si="3"/>
        <v>08 17b estradiol 34 ng_L</v>
      </c>
      <c r="B2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6" s="1" t="s">
        <v>3523</v>
      </c>
      <c r="D236" s="1" t="s">
        <v>3524</v>
      </c>
      <c r="E236" s="1" t="s">
        <v>3525</v>
      </c>
      <c r="F236" s="1" t="s">
        <v>112</v>
      </c>
      <c r="G236" s="1">
        <v>251448</v>
      </c>
    </row>
    <row r="237" spans="1:10" x14ac:dyDescent="0.25">
      <c r="A237" s="1" t="str">
        <f t="shared" si="3"/>
        <v>08 17b estradiol 34 ng_L</v>
      </c>
      <c r="B2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7" s="1" t="s">
        <v>3526</v>
      </c>
      <c r="D237" s="1" t="s">
        <v>1710</v>
      </c>
      <c r="E237" s="1" t="s">
        <v>3527</v>
      </c>
      <c r="F237" s="1" t="s">
        <v>112</v>
      </c>
      <c r="G237" s="1">
        <v>141286</v>
      </c>
    </row>
    <row r="238" spans="1:10" x14ac:dyDescent="0.25">
      <c r="A238" s="1" t="str">
        <f t="shared" si="3"/>
        <v>08 17b estradiol 34 ng_L</v>
      </c>
      <c r="B2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8" s="1" t="s">
        <v>3528</v>
      </c>
      <c r="D238" s="1" t="s">
        <v>711</v>
      </c>
      <c r="E238" s="1" t="s">
        <v>3529</v>
      </c>
      <c r="F238" s="1" t="s">
        <v>112</v>
      </c>
      <c r="G238" s="1">
        <v>147062</v>
      </c>
    </row>
    <row r="239" spans="1:10" x14ac:dyDescent="0.25">
      <c r="A239" s="1" t="str">
        <f t="shared" si="3"/>
        <v>08 17b estradiol 34 ng_L</v>
      </c>
      <c r="B2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39" s="1" t="s">
        <v>3530</v>
      </c>
      <c r="D239" s="1" t="s">
        <v>3531</v>
      </c>
      <c r="E239" s="1" t="s">
        <v>3532</v>
      </c>
      <c r="F239" s="1" t="s">
        <v>112</v>
      </c>
      <c r="G239" s="1">
        <v>213595</v>
      </c>
    </row>
    <row r="240" spans="1:10" x14ac:dyDescent="0.25">
      <c r="A240" s="1" t="str">
        <f t="shared" si="3"/>
        <v>08 17b estradiol 34 ng_L</v>
      </c>
      <c r="B2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40" s="1" t="s">
        <v>3533</v>
      </c>
      <c r="D240" s="1" t="s">
        <v>2256</v>
      </c>
      <c r="E240" s="1" t="s">
        <v>3534</v>
      </c>
      <c r="F240" s="1" t="s">
        <v>112</v>
      </c>
      <c r="G240" s="1">
        <v>351962</v>
      </c>
    </row>
    <row r="241" spans="1:7" x14ac:dyDescent="0.25">
      <c r="A241" s="1" t="str">
        <f t="shared" si="3"/>
        <v>08 17b estradiol 34 ng_L</v>
      </c>
      <c r="B2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41" s="1" t="s">
        <v>3535</v>
      </c>
      <c r="D241" s="1" t="s">
        <v>725</v>
      </c>
      <c r="E241" s="1" t="s">
        <v>3536</v>
      </c>
      <c r="F241" s="1" t="s">
        <v>112</v>
      </c>
      <c r="G241" s="1">
        <v>19726</v>
      </c>
    </row>
    <row r="242" spans="1:7" x14ac:dyDescent="0.25">
      <c r="A242" s="1" t="str">
        <f t="shared" si="3"/>
        <v>08 17b estradiol 34 ng_L</v>
      </c>
      <c r="B2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2" s="1" t="s">
        <v>3537</v>
      </c>
      <c r="D242" s="1" t="s">
        <v>2564</v>
      </c>
      <c r="E242" s="1" t="s">
        <v>3538</v>
      </c>
      <c r="F242" s="1" t="s">
        <v>112</v>
      </c>
      <c r="G242" s="1">
        <v>209269</v>
      </c>
    </row>
    <row r="243" spans="1:7" x14ac:dyDescent="0.25">
      <c r="A243" s="1" t="str">
        <f t="shared" si="3"/>
        <v>08 17b estradiol 34 ng_L</v>
      </c>
      <c r="B2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3" s="1" t="s">
        <v>3539</v>
      </c>
      <c r="D243" s="1" t="s">
        <v>3540</v>
      </c>
      <c r="E243" s="1" t="s">
        <v>3541</v>
      </c>
      <c r="F243" s="1" t="s">
        <v>112</v>
      </c>
      <c r="G243" s="1">
        <v>340065</v>
      </c>
    </row>
    <row r="244" spans="1:7" x14ac:dyDescent="0.25">
      <c r="A244" s="1" t="str">
        <f t="shared" si="3"/>
        <v>08 17b estradiol 34 ng_L</v>
      </c>
      <c r="B2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4" s="1" t="s">
        <v>3542</v>
      </c>
      <c r="D244" s="1" t="s">
        <v>1281</v>
      </c>
      <c r="E244" s="1" t="s">
        <v>3543</v>
      </c>
      <c r="F244" s="1" t="s">
        <v>112</v>
      </c>
      <c r="G244" s="1">
        <v>219219</v>
      </c>
    </row>
    <row r="245" spans="1:7" x14ac:dyDescent="0.25">
      <c r="A245" s="1" t="str">
        <f t="shared" si="3"/>
        <v>08 17b estradiol 34 ng_L</v>
      </c>
      <c r="B2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5" s="1" t="s">
        <v>3544</v>
      </c>
      <c r="D245" s="1" t="s">
        <v>428</v>
      </c>
      <c r="E245" s="1" t="s">
        <v>3545</v>
      </c>
      <c r="F245" s="1" t="s">
        <v>112</v>
      </c>
      <c r="G245" s="1">
        <v>66404</v>
      </c>
    </row>
    <row r="246" spans="1:7" x14ac:dyDescent="0.25">
      <c r="A246" s="1" t="str">
        <f t="shared" si="3"/>
        <v>08 17b estradiol 34 ng_L</v>
      </c>
      <c r="B2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6" s="1" t="s">
        <v>3546</v>
      </c>
      <c r="D246" s="1" t="s">
        <v>2246</v>
      </c>
      <c r="E246" s="1" t="s">
        <v>3547</v>
      </c>
      <c r="F246" s="1" t="s">
        <v>112</v>
      </c>
      <c r="G246" s="1">
        <v>333684</v>
      </c>
    </row>
    <row r="247" spans="1:7" x14ac:dyDescent="0.25">
      <c r="A247" s="1" t="str">
        <f t="shared" si="3"/>
        <v>08 17b estradiol 34 ng_L</v>
      </c>
      <c r="B2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7" s="1" t="s">
        <v>3548</v>
      </c>
      <c r="D247" s="1" t="s">
        <v>3549</v>
      </c>
      <c r="E247" s="1" t="s">
        <v>3550</v>
      </c>
      <c r="F247" s="1" t="s">
        <v>112</v>
      </c>
      <c r="G247" s="1">
        <v>574858</v>
      </c>
    </row>
    <row r="248" spans="1:7" x14ac:dyDescent="0.25">
      <c r="A248" s="1" t="str">
        <f t="shared" si="3"/>
        <v>08 17b estradiol 34 ng_L</v>
      </c>
      <c r="B2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48" s="1" t="s">
        <v>3551</v>
      </c>
      <c r="D248" s="1" t="s">
        <v>1281</v>
      </c>
      <c r="E248" s="1" t="s">
        <v>3552</v>
      </c>
      <c r="F248" s="1" t="s">
        <v>112</v>
      </c>
      <c r="G248" s="1">
        <v>211302</v>
      </c>
    </row>
    <row r="249" spans="1:7" x14ac:dyDescent="0.25">
      <c r="A249" s="1" t="str">
        <f t="shared" si="3"/>
        <v>08 17b estradiol 34 ng_L</v>
      </c>
      <c r="B2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49" s="1" t="s">
        <v>3553</v>
      </c>
      <c r="D249" s="1" t="s">
        <v>367</v>
      </c>
      <c r="E249" s="1" t="s">
        <v>1056</v>
      </c>
      <c r="F249" s="1" t="s">
        <v>112</v>
      </c>
      <c r="G249" s="1">
        <v>260467</v>
      </c>
    </row>
    <row r="250" spans="1:7" x14ac:dyDescent="0.25">
      <c r="A250" s="1" t="str">
        <f t="shared" si="3"/>
        <v>08 17b estradiol 34 ng_L</v>
      </c>
      <c r="B2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50" s="1" t="s">
        <v>3554</v>
      </c>
      <c r="D250" s="1" t="s">
        <v>343</v>
      </c>
      <c r="E250" s="1" t="s">
        <v>3555</v>
      </c>
      <c r="F250" s="1" t="s">
        <v>112</v>
      </c>
      <c r="G250" s="1">
        <v>269422</v>
      </c>
    </row>
    <row r="251" spans="1:7" x14ac:dyDescent="0.25">
      <c r="A251" s="1" t="str">
        <f t="shared" si="3"/>
        <v>08 17b estradiol 34 ng_L</v>
      </c>
      <c r="B2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1" s="1" t="s">
        <v>3556</v>
      </c>
      <c r="D251" s="1" t="s">
        <v>3557</v>
      </c>
      <c r="E251" s="1" t="s">
        <v>3558</v>
      </c>
      <c r="F251" s="1" t="s">
        <v>112</v>
      </c>
      <c r="G251" s="1">
        <v>196075</v>
      </c>
    </row>
    <row r="252" spans="1:7" x14ac:dyDescent="0.25">
      <c r="A252" s="1" t="str">
        <f t="shared" si="3"/>
        <v>08 17b estradiol 34 ng_L</v>
      </c>
      <c r="B2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2" s="1" t="s">
        <v>3559</v>
      </c>
      <c r="D252" s="1" t="s">
        <v>1719</v>
      </c>
      <c r="E252" s="1" t="s">
        <v>3560</v>
      </c>
      <c r="F252" s="1" t="s">
        <v>112</v>
      </c>
      <c r="G252" s="1">
        <v>30239</v>
      </c>
    </row>
    <row r="253" spans="1:7" x14ac:dyDescent="0.25">
      <c r="A253" s="1" t="str">
        <f t="shared" si="3"/>
        <v>08 17b estradiol 34 ng_L</v>
      </c>
      <c r="B2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3" s="1" t="s">
        <v>3561</v>
      </c>
      <c r="D253" s="1" t="s">
        <v>2712</v>
      </c>
      <c r="E253" s="1" t="s">
        <v>3562</v>
      </c>
      <c r="F253" s="1" t="s">
        <v>112</v>
      </c>
      <c r="G253" s="1">
        <v>42849</v>
      </c>
    </row>
    <row r="254" spans="1:7" x14ac:dyDescent="0.25">
      <c r="A254" s="1" t="str">
        <f t="shared" si="3"/>
        <v>08 17b estradiol 34 ng_L</v>
      </c>
      <c r="B2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4" s="1" t="s">
        <v>3563</v>
      </c>
      <c r="D254" s="1" t="s">
        <v>199</v>
      </c>
      <c r="E254" s="1" t="s">
        <v>3564</v>
      </c>
      <c r="F254" s="1" t="s">
        <v>112</v>
      </c>
      <c r="G254" s="1">
        <v>174878</v>
      </c>
    </row>
    <row r="255" spans="1:7" x14ac:dyDescent="0.25">
      <c r="A255" s="1" t="str">
        <f t="shared" si="3"/>
        <v>08 17b estradiol 34 ng_L</v>
      </c>
      <c r="B2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5" s="1" t="s">
        <v>3565</v>
      </c>
      <c r="D255" s="1" t="s">
        <v>1290</v>
      </c>
      <c r="E255" s="1" t="s">
        <v>3566</v>
      </c>
      <c r="F255" s="1" t="s">
        <v>112</v>
      </c>
      <c r="G255" s="1">
        <v>81912</v>
      </c>
    </row>
    <row r="256" spans="1:7" x14ac:dyDescent="0.25">
      <c r="A256" s="1" t="str">
        <f t="shared" si="3"/>
        <v>08 17b estradiol 34 ng_L</v>
      </c>
      <c r="B2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6" s="1" t="s">
        <v>3567</v>
      </c>
      <c r="D256" s="1" t="s">
        <v>776</v>
      </c>
      <c r="E256" s="1" t="s">
        <v>3568</v>
      </c>
      <c r="F256" s="1" t="s">
        <v>112</v>
      </c>
      <c r="G256" s="1">
        <v>34197</v>
      </c>
    </row>
    <row r="257" spans="1:10" x14ac:dyDescent="0.25">
      <c r="A257" s="1" t="str">
        <f t="shared" si="3"/>
        <v/>
      </c>
      <c r="B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7" s="1" t="s">
        <v>112</v>
      </c>
    </row>
    <row r="258" spans="1:10" x14ac:dyDescent="0.25">
      <c r="A258" s="1" t="str">
        <f t="shared" ref="A258:A321" si="4">IFERROR(LEFT(RIGHT(C258,LEN(C258)-SEARCH("@",C258)),SEARCH("/",RIGHT(C258,LEN(C258)-SEARCH("@",C258)-1))),"")</f>
        <v/>
      </c>
      <c r="B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8" s="1" t="s">
        <v>232</v>
      </c>
      <c r="D258" s="1" t="s">
        <v>112</v>
      </c>
      <c r="E258" s="1" t="s">
        <v>233</v>
      </c>
      <c r="F258" s="1" t="s">
        <v>234</v>
      </c>
      <c r="G258" s="1" t="s">
        <v>235</v>
      </c>
      <c r="H258" s="1" t="s">
        <v>236</v>
      </c>
      <c r="I258" s="1" t="s">
        <v>237</v>
      </c>
      <c r="J258" s="1" t="s">
        <v>238</v>
      </c>
    </row>
    <row r="259" spans="1:10" x14ac:dyDescent="0.25">
      <c r="A259" s="1" t="str">
        <f t="shared" si="4"/>
        <v>08 17b estradiol 34 ng_L</v>
      </c>
      <c r="B25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59" s="1" t="s">
        <v>3569</v>
      </c>
      <c r="D259" s="1" t="s">
        <v>112</v>
      </c>
      <c r="E259" s="1" t="s">
        <v>3570</v>
      </c>
      <c r="F259" s="1" t="s">
        <v>3571</v>
      </c>
      <c r="G259" s="1" t="s">
        <v>3572</v>
      </c>
      <c r="H259" s="1" t="s">
        <v>3573</v>
      </c>
      <c r="I259" s="1">
        <v>24</v>
      </c>
      <c r="J259" s="1">
        <v>24</v>
      </c>
    </row>
    <row r="260" spans="1:10" x14ac:dyDescent="0.25">
      <c r="A260" s="1" t="str">
        <f t="shared" si="4"/>
        <v/>
      </c>
      <c r="B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0" s="1" t="s">
        <v>112</v>
      </c>
    </row>
    <row r="261" spans="1:10" x14ac:dyDescent="0.25">
      <c r="A261" s="1" t="str">
        <f t="shared" si="4"/>
        <v/>
      </c>
      <c r="B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1" s="1" t="s">
        <v>112</v>
      </c>
    </row>
    <row r="262" spans="1:10" x14ac:dyDescent="0.25">
      <c r="A262" s="1" t="str">
        <f t="shared" si="4"/>
        <v/>
      </c>
      <c r="B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2" s="1" t="s">
        <v>112</v>
      </c>
    </row>
    <row r="263" spans="1:10" x14ac:dyDescent="0.25">
      <c r="A263" s="1" t="str">
        <f t="shared" si="4"/>
        <v/>
      </c>
      <c r="B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3" s="1" t="s">
        <v>112</v>
      </c>
    </row>
    <row r="264" spans="1:10" x14ac:dyDescent="0.25">
      <c r="A264" s="1" t="str">
        <f t="shared" si="4"/>
        <v/>
      </c>
      <c r="B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4" s="1" t="s">
        <v>112</v>
      </c>
    </row>
    <row r="265" spans="1:10" x14ac:dyDescent="0.25">
      <c r="A265" s="1" t="str">
        <f t="shared" si="4"/>
        <v/>
      </c>
      <c r="B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5" s="1" t="s">
        <v>244</v>
      </c>
      <c r="D265" s="1" t="s">
        <v>110</v>
      </c>
      <c r="E265" s="1" t="s">
        <v>111</v>
      </c>
      <c r="F265" s="1" t="s">
        <v>112</v>
      </c>
      <c r="G265" s="1" t="s">
        <v>113</v>
      </c>
    </row>
    <row r="266" spans="1:10" x14ac:dyDescent="0.25">
      <c r="A266" s="1" t="str">
        <f t="shared" si="4"/>
        <v>09 17b estradiol 68</v>
      </c>
      <c r="B2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6" s="1" t="s">
        <v>3574</v>
      </c>
    </row>
    <row r="267" spans="1:10" x14ac:dyDescent="0.25">
      <c r="A267" s="1" t="str">
        <f t="shared" si="4"/>
        <v>09 17b estradiol 68</v>
      </c>
      <c r="B2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7" s="1" t="s">
        <v>3575</v>
      </c>
      <c r="D267" s="1" t="s">
        <v>215</v>
      </c>
      <c r="E267" s="1" t="s">
        <v>426</v>
      </c>
      <c r="F267" s="1" t="s">
        <v>112</v>
      </c>
      <c r="G267" s="1">
        <v>35689</v>
      </c>
    </row>
    <row r="268" spans="1:10" x14ac:dyDescent="0.25">
      <c r="A268" s="1" t="str">
        <f t="shared" si="4"/>
        <v>09 17b estradiol 68</v>
      </c>
      <c r="B2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8" s="1" t="s">
        <v>3576</v>
      </c>
      <c r="D268" s="1" t="s">
        <v>187</v>
      </c>
      <c r="E268" s="1" t="s">
        <v>3577</v>
      </c>
      <c r="F268" s="1" t="s">
        <v>112</v>
      </c>
      <c r="G268" s="1">
        <v>106246</v>
      </c>
    </row>
    <row r="269" spans="1:10" x14ac:dyDescent="0.25">
      <c r="A269" s="1" t="str">
        <f t="shared" si="4"/>
        <v>09 17b estradiol 68</v>
      </c>
      <c r="B2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69" s="1" t="s">
        <v>3578</v>
      </c>
    </row>
    <row r="270" spans="1:10" x14ac:dyDescent="0.25">
      <c r="A270" s="1" t="str">
        <f t="shared" si="4"/>
        <v>09 17b estradiol 68</v>
      </c>
      <c r="B2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70" s="1" t="s">
        <v>3579</v>
      </c>
    </row>
    <row r="271" spans="1:10" x14ac:dyDescent="0.25">
      <c r="A271" s="1" t="str">
        <f t="shared" si="4"/>
        <v>09 17b estradiol 68</v>
      </c>
      <c r="B2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71" s="1" t="s">
        <v>3580</v>
      </c>
    </row>
    <row r="272" spans="1:10" x14ac:dyDescent="0.25">
      <c r="A272" s="1" t="str">
        <f t="shared" si="4"/>
        <v>09 17b estradiol 68</v>
      </c>
      <c r="B2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2" s="1" t="s">
        <v>3581</v>
      </c>
      <c r="D272" s="1" t="s">
        <v>767</v>
      </c>
      <c r="E272" s="1" t="s">
        <v>3582</v>
      </c>
      <c r="F272" s="1" t="s">
        <v>112</v>
      </c>
      <c r="G272" s="1">
        <v>46396</v>
      </c>
    </row>
    <row r="273" spans="1:7" x14ac:dyDescent="0.25">
      <c r="A273" s="1" t="str">
        <f t="shared" si="4"/>
        <v>09 17b estradiol 68</v>
      </c>
      <c r="B2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3" s="1" t="s">
        <v>3583</v>
      </c>
      <c r="D273" s="1" t="s">
        <v>725</v>
      </c>
      <c r="E273" s="1" t="s">
        <v>726</v>
      </c>
      <c r="F273" s="1" t="s">
        <v>112</v>
      </c>
      <c r="G273" s="1">
        <v>19099</v>
      </c>
    </row>
    <row r="274" spans="1:7" x14ac:dyDescent="0.25">
      <c r="A274" s="1" t="str">
        <f t="shared" si="4"/>
        <v>09 17b estradiol 68</v>
      </c>
      <c r="B2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4" s="1" t="s">
        <v>3584</v>
      </c>
      <c r="D274" s="1" t="s">
        <v>290</v>
      </c>
      <c r="E274" s="1" t="s">
        <v>3585</v>
      </c>
      <c r="F274" s="1" t="s">
        <v>112</v>
      </c>
      <c r="G274" s="1">
        <v>60304</v>
      </c>
    </row>
    <row r="275" spans="1:7" x14ac:dyDescent="0.25">
      <c r="A275" s="1" t="str">
        <f t="shared" si="4"/>
        <v>09 17b estradiol 68</v>
      </c>
      <c r="B2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5" s="1" t="s">
        <v>3586</v>
      </c>
      <c r="D275" s="1" t="s">
        <v>3587</v>
      </c>
      <c r="E275" s="1" t="s">
        <v>3588</v>
      </c>
      <c r="F275" s="1" t="s">
        <v>112</v>
      </c>
      <c r="G275" s="1">
        <v>213119</v>
      </c>
    </row>
    <row r="276" spans="1:7" x14ac:dyDescent="0.25">
      <c r="A276" s="1" t="str">
        <f t="shared" si="4"/>
        <v>09 17b estradiol 68</v>
      </c>
      <c r="B2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6" s="1" t="s">
        <v>3589</v>
      </c>
      <c r="D276" s="1" t="s">
        <v>270</v>
      </c>
      <c r="E276" s="1" t="s">
        <v>3590</v>
      </c>
      <c r="F276" s="1" t="s">
        <v>112</v>
      </c>
      <c r="G276" s="1">
        <v>28789</v>
      </c>
    </row>
    <row r="277" spans="1:7" x14ac:dyDescent="0.25">
      <c r="A277" s="1" t="str">
        <f t="shared" si="4"/>
        <v>09 17b estradiol 68</v>
      </c>
      <c r="B2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7" s="1" t="s">
        <v>3591</v>
      </c>
      <c r="D277" s="1" t="s">
        <v>2685</v>
      </c>
      <c r="E277" s="1" t="s">
        <v>3592</v>
      </c>
      <c r="F277" s="1" t="s">
        <v>112</v>
      </c>
      <c r="G277" s="1">
        <v>153507</v>
      </c>
    </row>
    <row r="278" spans="1:7" x14ac:dyDescent="0.25">
      <c r="A278" s="1" t="str">
        <f t="shared" si="4"/>
        <v>09 17b estradiol 68</v>
      </c>
      <c r="B2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78" s="1" t="s">
        <v>3593</v>
      </c>
      <c r="D278" s="1" t="s">
        <v>199</v>
      </c>
      <c r="E278" s="1" t="s">
        <v>3594</v>
      </c>
      <c r="F278" s="1" t="s">
        <v>112</v>
      </c>
      <c r="G278" s="1">
        <v>174359</v>
      </c>
    </row>
    <row r="279" spans="1:7" x14ac:dyDescent="0.25">
      <c r="A279" s="1" t="str">
        <f t="shared" si="4"/>
        <v>09 17b estradiol 68</v>
      </c>
      <c r="B2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79" s="1" t="s">
        <v>3595</v>
      </c>
      <c r="D279" s="1" t="s">
        <v>3596</v>
      </c>
      <c r="E279" s="1" t="s">
        <v>3597</v>
      </c>
      <c r="F279" s="1" t="s">
        <v>112</v>
      </c>
      <c r="G279" s="1">
        <v>142930</v>
      </c>
    </row>
    <row r="280" spans="1:7" x14ac:dyDescent="0.25">
      <c r="A280" s="1" t="str">
        <f t="shared" si="4"/>
        <v>09 17b estradiol 68</v>
      </c>
      <c r="B2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80" s="1" t="s">
        <v>3598</v>
      </c>
      <c r="D280" s="1" t="s">
        <v>3599</v>
      </c>
      <c r="E280" s="1" t="s">
        <v>3600</v>
      </c>
      <c r="F280" s="1" t="s">
        <v>112</v>
      </c>
      <c r="G280" s="1">
        <v>64284</v>
      </c>
    </row>
    <row r="281" spans="1:7" x14ac:dyDescent="0.25">
      <c r="A281" s="1" t="str">
        <f t="shared" si="4"/>
        <v>09 17b estradiol 68</v>
      </c>
      <c r="B2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1" s="1" t="s">
        <v>3601</v>
      </c>
      <c r="D281" s="1" t="s">
        <v>3602</v>
      </c>
      <c r="E281" s="1" t="s">
        <v>3603</v>
      </c>
      <c r="F281" s="1" t="s">
        <v>112</v>
      </c>
      <c r="G281" s="1">
        <v>2031739</v>
      </c>
    </row>
    <row r="282" spans="1:7" x14ac:dyDescent="0.25">
      <c r="A282" s="1" t="str">
        <f t="shared" si="4"/>
        <v>09 17b estradiol 68</v>
      </c>
      <c r="B2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2" s="1" t="s">
        <v>3604</v>
      </c>
      <c r="D282" s="1" t="s">
        <v>3605</v>
      </c>
      <c r="E282" s="1" t="s">
        <v>3606</v>
      </c>
      <c r="F282" s="1" t="s">
        <v>112</v>
      </c>
      <c r="G282" s="1">
        <v>2938962</v>
      </c>
    </row>
    <row r="283" spans="1:7" x14ac:dyDescent="0.25">
      <c r="A283" s="1" t="str">
        <f t="shared" si="4"/>
        <v>09 17b estradiol 68</v>
      </c>
      <c r="B2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3" s="1" t="s">
        <v>3607</v>
      </c>
      <c r="D283" s="1" t="s">
        <v>1060</v>
      </c>
      <c r="E283" s="1" t="s">
        <v>3608</v>
      </c>
      <c r="F283" s="1" t="s">
        <v>112</v>
      </c>
      <c r="G283" s="1">
        <v>2170538</v>
      </c>
    </row>
    <row r="284" spans="1:7" x14ac:dyDescent="0.25">
      <c r="A284" s="1" t="str">
        <f t="shared" si="4"/>
        <v>09 17b estradiol 68</v>
      </c>
      <c r="B2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4" s="1" t="s">
        <v>3609</v>
      </c>
      <c r="D284" s="1" t="s">
        <v>3610</v>
      </c>
      <c r="E284" s="1" t="s">
        <v>3611</v>
      </c>
      <c r="F284" s="1" t="s">
        <v>112</v>
      </c>
      <c r="G284" s="1">
        <v>157833</v>
      </c>
    </row>
    <row r="285" spans="1:7" x14ac:dyDescent="0.25">
      <c r="A285" s="1" t="str">
        <f t="shared" si="4"/>
        <v>09 17b estradiol 68</v>
      </c>
      <c r="B2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5" s="1" t="s">
        <v>3612</v>
      </c>
      <c r="D285" s="1" t="s">
        <v>2225</v>
      </c>
      <c r="E285" s="1" t="s">
        <v>3613</v>
      </c>
      <c r="F285" s="1" t="s">
        <v>112</v>
      </c>
      <c r="G285" s="1">
        <v>58704</v>
      </c>
    </row>
    <row r="286" spans="1:7" x14ac:dyDescent="0.25">
      <c r="A286" s="1" t="str">
        <f t="shared" si="4"/>
        <v>09 17b estradiol 68</v>
      </c>
      <c r="B2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6" s="1" t="s">
        <v>3614</v>
      </c>
      <c r="D286" s="1" t="s">
        <v>425</v>
      </c>
      <c r="E286" s="1" t="s">
        <v>3615</v>
      </c>
      <c r="F286" s="1" t="s">
        <v>112</v>
      </c>
      <c r="G286" s="1">
        <v>129974</v>
      </c>
    </row>
    <row r="287" spans="1:7" x14ac:dyDescent="0.25">
      <c r="A287" s="1" t="str">
        <f t="shared" si="4"/>
        <v>09 17b estradiol 68</v>
      </c>
      <c r="B2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7" s="1" t="s">
        <v>3616</v>
      </c>
      <c r="D287" s="1" t="s">
        <v>193</v>
      </c>
      <c r="E287" s="1" t="s">
        <v>3617</v>
      </c>
      <c r="F287" s="1" t="s">
        <v>112</v>
      </c>
      <c r="G287" s="1">
        <v>197027</v>
      </c>
    </row>
    <row r="288" spans="1:7" x14ac:dyDescent="0.25">
      <c r="A288" s="1" t="str">
        <f t="shared" si="4"/>
        <v>09 17b estradiol 68</v>
      </c>
      <c r="B2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8" s="1" t="s">
        <v>3618</v>
      </c>
      <c r="D288" s="1" t="s">
        <v>1715</v>
      </c>
      <c r="E288" s="1" t="s">
        <v>3295</v>
      </c>
      <c r="F288" s="1" t="s">
        <v>112</v>
      </c>
      <c r="G288" s="1">
        <v>27513</v>
      </c>
    </row>
    <row r="289" spans="1:10" x14ac:dyDescent="0.25">
      <c r="A289" s="1" t="str">
        <f t="shared" si="4"/>
        <v>09 17b estradiol 68</v>
      </c>
      <c r="B2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9" s="1" t="s">
        <v>3619</v>
      </c>
      <c r="D289" s="1" t="s">
        <v>218</v>
      </c>
      <c r="E289" s="1" t="s">
        <v>3620</v>
      </c>
      <c r="F289" s="1" t="s">
        <v>112</v>
      </c>
      <c r="G289" s="1">
        <v>15271</v>
      </c>
    </row>
    <row r="290" spans="1:10" x14ac:dyDescent="0.25">
      <c r="A290" s="1" t="str">
        <f t="shared" si="4"/>
        <v/>
      </c>
      <c r="B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0" s="1" t="s">
        <v>112</v>
      </c>
    </row>
    <row r="291" spans="1:10" x14ac:dyDescent="0.25">
      <c r="A291" s="1" t="str">
        <f t="shared" si="4"/>
        <v/>
      </c>
      <c r="B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1" s="1" t="s">
        <v>232</v>
      </c>
      <c r="D291" s="1" t="s">
        <v>112</v>
      </c>
      <c r="E291" s="1" t="s">
        <v>233</v>
      </c>
      <c r="F291" s="1" t="s">
        <v>234</v>
      </c>
      <c r="G291" s="1" t="s">
        <v>235</v>
      </c>
      <c r="H291" s="1" t="s">
        <v>236</v>
      </c>
      <c r="I291" s="1" t="s">
        <v>237</v>
      </c>
      <c r="J291" s="1" t="s">
        <v>238</v>
      </c>
    </row>
    <row r="292" spans="1:10" x14ac:dyDescent="0.25">
      <c r="A292" s="1" t="str">
        <f t="shared" si="4"/>
        <v>09 17b estradiol 68</v>
      </c>
      <c r="B29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92" s="1" t="s">
        <v>3621</v>
      </c>
      <c r="D292" s="1" t="s">
        <v>112</v>
      </c>
      <c r="E292" s="1" t="s">
        <v>3622</v>
      </c>
      <c r="F292" s="1" t="s">
        <v>3623</v>
      </c>
      <c r="G292" s="1" t="s">
        <v>3624</v>
      </c>
      <c r="H292" s="1" t="s">
        <v>3625</v>
      </c>
      <c r="I292" s="1">
        <v>24</v>
      </c>
      <c r="J292" s="1">
        <v>24</v>
      </c>
    </row>
    <row r="293" spans="1:10" x14ac:dyDescent="0.25">
      <c r="A293" s="1" t="str">
        <f t="shared" si="4"/>
        <v/>
      </c>
      <c r="B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3" s="1" t="s">
        <v>112</v>
      </c>
    </row>
    <row r="294" spans="1:10" x14ac:dyDescent="0.25">
      <c r="A294" s="1" t="str">
        <f t="shared" si="4"/>
        <v/>
      </c>
      <c r="B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4" s="1" t="s">
        <v>112</v>
      </c>
    </row>
    <row r="295" spans="1:10" x14ac:dyDescent="0.25">
      <c r="A295" s="1" t="str">
        <f t="shared" si="4"/>
        <v/>
      </c>
      <c r="B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5" s="1" t="s">
        <v>112</v>
      </c>
    </row>
    <row r="296" spans="1:10" x14ac:dyDescent="0.25">
      <c r="A296" s="1" t="str">
        <f t="shared" si="4"/>
        <v/>
      </c>
      <c r="B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6" s="1" t="s">
        <v>112</v>
      </c>
    </row>
    <row r="297" spans="1:10" x14ac:dyDescent="0.25">
      <c r="A297" s="1" t="str">
        <f t="shared" si="4"/>
        <v/>
      </c>
      <c r="B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7" s="1" t="s">
        <v>112</v>
      </c>
    </row>
    <row r="298" spans="1:10" x14ac:dyDescent="0.25">
      <c r="A298" s="1" t="str">
        <f t="shared" si="4"/>
        <v/>
      </c>
      <c r="B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8" s="1" t="s">
        <v>244</v>
      </c>
      <c r="D298" s="1" t="s">
        <v>110</v>
      </c>
      <c r="E298" s="1" t="s">
        <v>111</v>
      </c>
      <c r="F298" s="1" t="s">
        <v>112</v>
      </c>
      <c r="G298" s="1" t="s">
        <v>113</v>
      </c>
    </row>
    <row r="299" spans="1:10" x14ac:dyDescent="0.25">
      <c r="A299" s="1" t="str">
        <f t="shared" si="4"/>
        <v>10 17b estradiol 135</v>
      </c>
      <c r="B2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99" s="1" t="s">
        <v>3626</v>
      </c>
      <c r="D299" s="1" t="s">
        <v>3627</v>
      </c>
      <c r="E299" s="1" t="s">
        <v>3628</v>
      </c>
      <c r="F299" s="1" t="s">
        <v>112</v>
      </c>
      <c r="G299" s="1">
        <v>846637</v>
      </c>
    </row>
    <row r="300" spans="1:10" x14ac:dyDescent="0.25">
      <c r="A300" s="1" t="str">
        <f t="shared" si="4"/>
        <v>10 17b estradiol 135</v>
      </c>
      <c r="B3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00" s="1" t="s">
        <v>3629</v>
      </c>
      <c r="D300" s="1" t="s">
        <v>3630</v>
      </c>
      <c r="E300" s="1" t="s">
        <v>3631</v>
      </c>
      <c r="F300" s="1" t="s">
        <v>112</v>
      </c>
      <c r="G300" s="1">
        <v>682726</v>
      </c>
    </row>
    <row r="301" spans="1:10" x14ac:dyDescent="0.25">
      <c r="A301" s="1" t="str">
        <f t="shared" si="4"/>
        <v>10 17b estradiol 135</v>
      </c>
      <c r="B3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01" s="1" t="s">
        <v>3632</v>
      </c>
      <c r="D301" s="1" t="s">
        <v>2326</v>
      </c>
      <c r="E301" s="1" t="s">
        <v>3633</v>
      </c>
      <c r="F301" s="1" t="s">
        <v>112</v>
      </c>
      <c r="G301" s="1">
        <v>625082</v>
      </c>
    </row>
    <row r="302" spans="1:10" x14ac:dyDescent="0.25">
      <c r="A302" s="1" t="str">
        <f t="shared" si="4"/>
        <v>10 17b estradiol 135</v>
      </c>
      <c r="B3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2" s="1" t="s">
        <v>3634</v>
      </c>
      <c r="D302" s="1" t="s">
        <v>3635</v>
      </c>
      <c r="E302" s="1" t="s">
        <v>3636</v>
      </c>
      <c r="F302" s="1" t="s">
        <v>112</v>
      </c>
      <c r="G302" s="1">
        <v>1117638</v>
      </c>
    </row>
    <row r="303" spans="1:10" x14ac:dyDescent="0.25">
      <c r="A303" s="1" t="str">
        <f t="shared" si="4"/>
        <v>10 17b estradiol 135</v>
      </c>
      <c r="B3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3" s="1" t="s">
        <v>3637</v>
      </c>
      <c r="D303" s="1" t="s">
        <v>3638</v>
      </c>
      <c r="E303" s="1" t="s">
        <v>3639</v>
      </c>
      <c r="F303" s="1" t="s">
        <v>112</v>
      </c>
      <c r="G303" s="1">
        <v>1063585</v>
      </c>
    </row>
    <row r="304" spans="1:10" x14ac:dyDescent="0.25">
      <c r="A304" s="1" t="str">
        <f t="shared" si="4"/>
        <v>10 17b estradiol 135</v>
      </c>
      <c r="B3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4" s="1" t="s">
        <v>3640</v>
      </c>
      <c r="D304" s="1" t="s">
        <v>3006</v>
      </c>
      <c r="E304" s="1" t="s">
        <v>3641</v>
      </c>
      <c r="F304" s="1" t="s">
        <v>112</v>
      </c>
      <c r="G304" s="1">
        <v>1194770</v>
      </c>
    </row>
    <row r="305" spans="1:7" x14ac:dyDescent="0.25">
      <c r="A305" s="1" t="str">
        <f t="shared" si="4"/>
        <v>10 17b estradiol 135</v>
      </c>
      <c r="B3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5" s="1" t="s">
        <v>3642</v>
      </c>
      <c r="D305" s="1" t="s">
        <v>3643</v>
      </c>
      <c r="E305" s="1" t="s">
        <v>3644</v>
      </c>
      <c r="F305" s="1" t="s">
        <v>112</v>
      </c>
      <c r="G305" s="1">
        <v>1156139</v>
      </c>
    </row>
    <row r="306" spans="1:7" x14ac:dyDescent="0.25">
      <c r="A306" s="1" t="str">
        <f t="shared" si="4"/>
        <v>10 17b estradiol 135</v>
      </c>
      <c r="B3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6" s="1" t="s">
        <v>3645</v>
      </c>
      <c r="D306" s="1" t="s">
        <v>2520</v>
      </c>
      <c r="E306" s="1" t="s">
        <v>3646</v>
      </c>
      <c r="F306" s="1" t="s">
        <v>112</v>
      </c>
      <c r="G306" s="1">
        <v>1102043</v>
      </c>
    </row>
    <row r="307" spans="1:7" x14ac:dyDescent="0.25">
      <c r="A307" s="1" t="str">
        <f t="shared" si="4"/>
        <v>10 17b estradiol 135</v>
      </c>
      <c r="B3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7" s="1" t="s">
        <v>3647</v>
      </c>
      <c r="D307" s="1" t="s">
        <v>1928</v>
      </c>
      <c r="E307" s="1" t="s">
        <v>3648</v>
      </c>
      <c r="F307" s="1" t="s">
        <v>112</v>
      </c>
      <c r="G307" s="1">
        <v>1117335</v>
      </c>
    </row>
    <row r="308" spans="1:7" x14ac:dyDescent="0.25">
      <c r="A308" s="1" t="str">
        <f t="shared" si="4"/>
        <v>10 17b estradiol 135</v>
      </c>
      <c r="B3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8" s="1" t="s">
        <v>3649</v>
      </c>
      <c r="D308" s="1" t="s">
        <v>711</v>
      </c>
      <c r="E308" s="1" t="s">
        <v>3650</v>
      </c>
      <c r="F308" s="1" t="s">
        <v>112</v>
      </c>
      <c r="G308" s="1">
        <v>145677</v>
      </c>
    </row>
    <row r="309" spans="1:7" x14ac:dyDescent="0.25">
      <c r="A309" s="1" t="str">
        <f t="shared" si="4"/>
        <v>10 17b estradiol 135</v>
      </c>
      <c r="B3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9" s="1" t="s">
        <v>3651</v>
      </c>
      <c r="D309" s="1" t="s">
        <v>725</v>
      </c>
      <c r="E309" s="1" t="s">
        <v>3652</v>
      </c>
      <c r="F309" s="1" t="s">
        <v>112</v>
      </c>
      <c r="G309" s="1">
        <v>18753</v>
      </c>
    </row>
    <row r="310" spans="1:7" x14ac:dyDescent="0.25">
      <c r="A310" s="1" t="str">
        <f t="shared" si="4"/>
        <v>10 17b estradiol 135</v>
      </c>
      <c r="B3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10" s="1" t="s">
        <v>3653</v>
      </c>
      <c r="D310" s="1" t="s">
        <v>517</v>
      </c>
      <c r="E310" s="1" t="s">
        <v>3654</v>
      </c>
      <c r="F310" s="1" t="s">
        <v>112</v>
      </c>
      <c r="G310" s="1">
        <v>356461</v>
      </c>
    </row>
    <row r="311" spans="1:7" x14ac:dyDescent="0.25">
      <c r="A311" s="1" t="str">
        <f t="shared" si="4"/>
        <v>10 17b estradiol 135</v>
      </c>
      <c r="B3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1" s="1" t="s">
        <v>3655</v>
      </c>
      <c r="D311" s="1" t="s">
        <v>3656</v>
      </c>
      <c r="E311" s="1" t="s">
        <v>3657</v>
      </c>
      <c r="F311" s="1" t="s">
        <v>112</v>
      </c>
      <c r="G311" s="1">
        <v>2811800</v>
      </c>
    </row>
    <row r="312" spans="1:7" x14ac:dyDescent="0.25">
      <c r="A312" s="1" t="str">
        <f t="shared" si="4"/>
        <v>10 17b estradiol 135</v>
      </c>
      <c r="B3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2" s="1" t="s">
        <v>3658</v>
      </c>
      <c r="D312" s="1" t="s">
        <v>3659</v>
      </c>
      <c r="E312" s="1" t="s">
        <v>3660</v>
      </c>
      <c r="F312" s="1" t="s">
        <v>112</v>
      </c>
      <c r="G312" s="1">
        <v>1992438</v>
      </c>
    </row>
    <row r="313" spans="1:7" x14ac:dyDescent="0.25">
      <c r="A313" s="1" t="str">
        <f t="shared" si="4"/>
        <v>10 17b estradiol 135</v>
      </c>
      <c r="B3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3" s="1" t="s">
        <v>3661</v>
      </c>
      <c r="D313" s="1" t="s">
        <v>3662</v>
      </c>
      <c r="E313" s="1" t="s">
        <v>3663</v>
      </c>
      <c r="F313" s="1" t="s">
        <v>112</v>
      </c>
      <c r="G313" s="1">
        <v>2684789</v>
      </c>
    </row>
    <row r="314" spans="1:7" x14ac:dyDescent="0.25">
      <c r="A314" s="1" t="str">
        <f t="shared" si="4"/>
        <v>10 17b estradiol 135</v>
      </c>
      <c r="B3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4" s="1" t="s">
        <v>3664</v>
      </c>
      <c r="D314" s="1" t="s">
        <v>3665</v>
      </c>
      <c r="E314" s="1" t="s">
        <v>3666</v>
      </c>
      <c r="F314" s="1" t="s">
        <v>112</v>
      </c>
      <c r="G314" s="1">
        <v>388841</v>
      </c>
    </row>
    <row r="315" spans="1:7" x14ac:dyDescent="0.25">
      <c r="A315" s="1" t="str">
        <f t="shared" si="4"/>
        <v>10 17b estradiol 135</v>
      </c>
      <c r="B3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5" s="1" t="s">
        <v>3667</v>
      </c>
      <c r="D315" s="1" t="s">
        <v>3254</v>
      </c>
      <c r="E315" s="1" t="s">
        <v>3668</v>
      </c>
      <c r="F315" s="1" t="s">
        <v>112</v>
      </c>
      <c r="G315" s="1">
        <v>383368</v>
      </c>
    </row>
    <row r="316" spans="1:7" x14ac:dyDescent="0.25">
      <c r="A316" s="1" t="str">
        <f t="shared" si="4"/>
        <v>10 17b estradiol 135</v>
      </c>
      <c r="B3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6" s="1" t="s">
        <v>3669</v>
      </c>
      <c r="D316" s="1" t="s">
        <v>3670</v>
      </c>
      <c r="E316" s="1" t="s">
        <v>3671</v>
      </c>
      <c r="F316" s="1" t="s">
        <v>112</v>
      </c>
      <c r="G316" s="1">
        <v>412006</v>
      </c>
    </row>
    <row r="317" spans="1:7" x14ac:dyDescent="0.25">
      <c r="A317" s="1" t="str">
        <f t="shared" si="4"/>
        <v>10 17b estradiol 135</v>
      </c>
      <c r="B3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7" s="1" t="s">
        <v>3672</v>
      </c>
      <c r="D317" s="1" t="s">
        <v>1431</v>
      </c>
      <c r="E317" s="1" t="s">
        <v>3673</v>
      </c>
      <c r="F317" s="1" t="s">
        <v>112</v>
      </c>
      <c r="G317" s="1">
        <v>39907</v>
      </c>
    </row>
    <row r="318" spans="1:7" x14ac:dyDescent="0.25">
      <c r="A318" s="1" t="str">
        <f t="shared" si="4"/>
        <v>10 17b estradiol 135</v>
      </c>
      <c r="B3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8" s="1" t="s">
        <v>3674</v>
      </c>
      <c r="D318" s="1" t="s">
        <v>364</v>
      </c>
      <c r="E318" s="1" t="s">
        <v>3675</v>
      </c>
      <c r="F318" s="1" t="s">
        <v>112</v>
      </c>
      <c r="G318" s="1">
        <v>80377</v>
      </c>
    </row>
    <row r="319" spans="1:7" x14ac:dyDescent="0.25">
      <c r="A319" s="1" t="str">
        <f t="shared" si="4"/>
        <v>10 17b estradiol 135</v>
      </c>
      <c r="B3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9" s="1" t="s">
        <v>3676</v>
      </c>
      <c r="D319" s="1" t="s">
        <v>221</v>
      </c>
      <c r="E319" s="1" t="s">
        <v>3677</v>
      </c>
      <c r="F319" s="1" t="s">
        <v>112</v>
      </c>
      <c r="G319" s="1">
        <v>16395</v>
      </c>
    </row>
    <row r="320" spans="1:7" x14ac:dyDescent="0.25">
      <c r="A320" s="1" t="str">
        <f t="shared" si="4"/>
        <v>10 17b estradiol 135</v>
      </c>
      <c r="B3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0" s="1" t="s">
        <v>3678</v>
      </c>
      <c r="D320" s="1" t="s">
        <v>851</v>
      </c>
      <c r="E320" s="1" t="s">
        <v>3679</v>
      </c>
      <c r="F320" s="1" t="s">
        <v>112</v>
      </c>
      <c r="G320" s="1">
        <v>442093</v>
      </c>
    </row>
    <row r="321" spans="1:10" x14ac:dyDescent="0.25">
      <c r="A321" s="1" t="str">
        <f t="shared" si="4"/>
        <v>10 17b estradiol 135</v>
      </c>
      <c r="B3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1" s="1" t="s">
        <v>3680</v>
      </c>
      <c r="D321" s="1" t="s">
        <v>3681</v>
      </c>
      <c r="E321" s="1" t="s">
        <v>3682</v>
      </c>
      <c r="F321" s="1" t="s">
        <v>112</v>
      </c>
      <c r="G321" s="1">
        <v>408070</v>
      </c>
    </row>
    <row r="322" spans="1:10" x14ac:dyDescent="0.25">
      <c r="A322" s="1" t="str">
        <f t="shared" ref="A322:A385" si="5">IFERROR(LEFT(RIGHT(C322,LEN(C322)-SEARCH("@",C322)),SEARCH("/",RIGHT(C322,LEN(C322)-SEARCH("@",C322)-1))),"")</f>
        <v>10 17b estradiol 135</v>
      </c>
      <c r="B3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2" s="1" t="s">
        <v>3683</v>
      </c>
    </row>
    <row r="323" spans="1:10" x14ac:dyDescent="0.25">
      <c r="A323" s="1" t="str">
        <f t="shared" si="5"/>
        <v/>
      </c>
      <c r="B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3" s="1" t="s">
        <v>112</v>
      </c>
    </row>
    <row r="324" spans="1:10" x14ac:dyDescent="0.25">
      <c r="A324" s="1" t="str">
        <f t="shared" si="5"/>
        <v/>
      </c>
      <c r="B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4" s="1" t="s">
        <v>232</v>
      </c>
      <c r="D324" s="1" t="s">
        <v>112</v>
      </c>
      <c r="E324" s="1" t="s">
        <v>233</v>
      </c>
      <c r="F324" s="1" t="s">
        <v>234</v>
      </c>
      <c r="G324" s="1" t="s">
        <v>235</v>
      </c>
      <c r="H324" s="1" t="s">
        <v>236</v>
      </c>
      <c r="I324" s="1" t="s">
        <v>237</v>
      </c>
      <c r="J324" s="1" t="s">
        <v>238</v>
      </c>
    </row>
    <row r="325" spans="1:10" x14ac:dyDescent="0.25">
      <c r="A325" s="1" t="str">
        <f t="shared" si="5"/>
        <v>10 17b estradiol 135</v>
      </c>
      <c r="B3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25" s="1" t="s">
        <v>3684</v>
      </c>
      <c r="D325" s="1" t="s">
        <v>112</v>
      </c>
      <c r="E325" s="1" t="s">
        <v>3685</v>
      </c>
      <c r="F325" s="1" t="s">
        <v>3686</v>
      </c>
      <c r="G325" s="1" t="s">
        <v>3687</v>
      </c>
      <c r="H325" s="1" t="s">
        <v>3688</v>
      </c>
      <c r="I325" s="1">
        <v>24</v>
      </c>
      <c r="J325" s="1">
        <v>24</v>
      </c>
    </row>
    <row r="326" spans="1:10" x14ac:dyDescent="0.25">
      <c r="A326" s="1" t="str">
        <f t="shared" si="5"/>
        <v/>
      </c>
      <c r="B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6" s="1" t="s">
        <v>112</v>
      </c>
    </row>
    <row r="327" spans="1:10" x14ac:dyDescent="0.25">
      <c r="A327" s="1" t="str">
        <f t="shared" si="5"/>
        <v/>
      </c>
      <c r="B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7" s="1" t="s">
        <v>112</v>
      </c>
    </row>
    <row r="328" spans="1:10" x14ac:dyDescent="0.25">
      <c r="A328" s="1" t="str">
        <f t="shared" si="5"/>
        <v/>
      </c>
      <c r="B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8" s="1" t="s">
        <v>112</v>
      </c>
    </row>
    <row r="329" spans="1:10" x14ac:dyDescent="0.25">
      <c r="A329" s="1" t="str">
        <f t="shared" si="5"/>
        <v/>
      </c>
      <c r="B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9" s="1" t="s">
        <v>112</v>
      </c>
    </row>
    <row r="330" spans="1:10" x14ac:dyDescent="0.25">
      <c r="A330" s="1" t="str">
        <f t="shared" si="5"/>
        <v/>
      </c>
      <c r="B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0" s="1" t="s">
        <v>112</v>
      </c>
    </row>
    <row r="331" spans="1:10" x14ac:dyDescent="0.25">
      <c r="A331" s="1" t="str">
        <f t="shared" si="5"/>
        <v/>
      </c>
      <c r="B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1" s="1" t="s">
        <v>244</v>
      </c>
      <c r="D331" s="1" t="s">
        <v>110</v>
      </c>
      <c r="E331" s="1" t="s">
        <v>111</v>
      </c>
      <c r="F331" s="1" t="s">
        <v>112</v>
      </c>
      <c r="G331" s="1" t="s">
        <v>113</v>
      </c>
    </row>
    <row r="332" spans="1:10" x14ac:dyDescent="0.25">
      <c r="A332" s="1" t="str">
        <f t="shared" si="5"/>
        <v>11 17b estradiol 270</v>
      </c>
      <c r="B3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2" s="1" t="s">
        <v>3689</v>
      </c>
      <c r="D332" s="1" t="s">
        <v>3690</v>
      </c>
      <c r="E332" s="1" t="s">
        <v>3691</v>
      </c>
      <c r="F332" s="1" t="s">
        <v>112</v>
      </c>
      <c r="G332" s="1">
        <v>3042158</v>
      </c>
    </row>
    <row r="333" spans="1:10" x14ac:dyDescent="0.25">
      <c r="A333" s="1" t="str">
        <f t="shared" si="5"/>
        <v>11 17b estradiol 270</v>
      </c>
      <c r="B3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3" s="1" t="s">
        <v>3692</v>
      </c>
      <c r="D333" s="1" t="s">
        <v>3693</v>
      </c>
      <c r="E333" s="1" t="s">
        <v>3694</v>
      </c>
      <c r="F333" s="1" t="s">
        <v>112</v>
      </c>
      <c r="G333" s="1">
        <v>2637441</v>
      </c>
    </row>
    <row r="334" spans="1:10" x14ac:dyDescent="0.25">
      <c r="A334" s="1" t="str">
        <f t="shared" si="5"/>
        <v>11 17b estradiol 270</v>
      </c>
      <c r="B3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4" s="1" t="s">
        <v>3695</v>
      </c>
      <c r="D334" s="1" t="s">
        <v>3696</v>
      </c>
      <c r="E334" s="1" t="s">
        <v>3697</v>
      </c>
      <c r="F334" s="1" t="s">
        <v>112</v>
      </c>
      <c r="G334" s="1">
        <v>2447639</v>
      </c>
    </row>
    <row r="335" spans="1:10" x14ac:dyDescent="0.25">
      <c r="A335" s="1" t="str">
        <f t="shared" si="5"/>
        <v>11 17b estradiol 270</v>
      </c>
      <c r="B3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5" s="1" t="s">
        <v>3698</v>
      </c>
      <c r="D335" s="1" t="s">
        <v>1811</v>
      </c>
      <c r="E335" s="1" t="s">
        <v>3699</v>
      </c>
      <c r="F335" s="1" t="s">
        <v>112</v>
      </c>
      <c r="G335" s="1">
        <v>399980</v>
      </c>
    </row>
    <row r="336" spans="1:10" x14ac:dyDescent="0.25">
      <c r="A336" s="1" t="str">
        <f t="shared" si="5"/>
        <v>11 17b estradiol 270</v>
      </c>
      <c r="B3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6" s="1" t="s">
        <v>3700</v>
      </c>
      <c r="D336" s="1" t="s">
        <v>3701</v>
      </c>
      <c r="E336" s="1" t="s">
        <v>3702</v>
      </c>
      <c r="F336" s="1" t="s">
        <v>112</v>
      </c>
      <c r="G336" s="1">
        <v>646561</v>
      </c>
    </row>
    <row r="337" spans="1:7" x14ac:dyDescent="0.25">
      <c r="A337" s="1" t="str">
        <f t="shared" si="5"/>
        <v>11 17b estradiol 270</v>
      </c>
      <c r="B3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7" s="1" t="s">
        <v>3703</v>
      </c>
      <c r="D337" s="1" t="s">
        <v>2222</v>
      </c>
      <c r="E337" s="1" t="s">
        <v>3704</v>
      </c>
      <c r="F337" s="1" t="s">
        <v>112</v>
      </c>
      <c r="G337" s="1">
        <v>351032</v>
      </c>
    </row>
    <row r="338" spans="1:7" x14ac:dyDescent="0.25">
      <c r="A338" s="1" t="str">
        <f t="shared" si="5"/>
        <v>11 17b estradiol 270</v>
      </c>
      <c r="B3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38" s="1" t="s">
        <v>3705</v>
      </c>
      <c r="D338" s="1" t="s">
        <v>3706</v>
      </c>
      <c r="E338" s="1" t="s">
        <v>3707</v>
      </c>
      <c r="F338" s="1" t="s">
        <v>112</v>
      </c>
      <c r="G338" s="1">
        <v>5067214</v>
      </c>
    </row>
    <row r="339" spans="1:7" x14ac:dyDescent="0.25">
      <c r="A339" s="1" t="str">
        <f t="shared" si="5"/>
        <v>11 17b estradiol 270</v>
      </c>
      <c r="B3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39" s="1" t="s">
        <v>3708</v>
      </c>
      <c r="D339" s="1" t="s">
        <v>3709</v>
      </c>
      <c r="E339" s="1" t="s">
        <v>3710</v>
      </c>
      <c r="F339" s="1" t="s">
        <v>112</v>
      </c>
      <c r="G339" s="1">
        <v>4803372</v>
      </c>
    </row>
    <row r="340" spans="1:7" x14ac:dyDescent="0.25">
      <c r="A340" s="1" t="str">
        <f t="shared" si="5"/>
        <v>11 17b estradiol 270</v>
      </c>
      <c r="B3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40" s="1" t="s">
        <v>3711</v>
      </c>
      <c r="D340" s="1" t="s">
        <v>3712</v>
      </c>
      <c r="E340" s="1" t="s">
        <v>3713</v>
      </c>
      <c r="F340" s="1" t="s">
        <v>112</v>
      </c>
      <c r="G340" s="1">
        <v>5037451</v>
      </c>
    </row>
    <row r="341" spans="1:7" x14ac:dyDescent="0.25">
      <c r="A341" s="1" t="str">
        <f t="shared" si="5"/>
        <v>11 17b estradiol 270</v>
      </c>
      <c r="B3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1" s="1" t="s">
        <v>3714</v>
      </c>
      <c r="D341" s="1" t="s">
        <v>3715</v>
      </c>
      <c r="E341" s="1" t="s">
        <v>3716</v>
      </c>
      <c r="F341" s="1" t="s">
        <v>112</v>
      </c>
      <c r="G341" s="1">
        <v>4186574</v>
      </c>
    </row>
    <row r="342" spans="1:7" x14ac:dyDescent="0.25">
      <c r="A342" s="1" t="str">
        <f t="shared" si="5"/>
        <v>11 17b estradiol 270</v>
      </c>
      <c r="B3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2" s="1" t="s">
        <v>3717</v>
      </c>
      <c r="D342" s="1" t="s">
        <v>3718</v>
      </c>
      <c r="E342" s="1" t="s">
        <v>3719</v>
      </c>
      <c r="F342" s="1" t="s">
        <v>112</v>
      </c>
      <c r="G342" s="1">
        <v>3999173</v>
      </c>
    </row>
    <row r="343" spans="1:7" x14ac:dyDescent="0.25">
      <c r="A343" s="1" t="str">
        <f t="shared" si="5"/>
        <v>11 17b estradiol 270</v>
      </c>
      <c r="B3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3" s="1" t="s">
        <v>3720</v>
      </c>
      <c r="D343" s="1" t="s">
        <v>3721</v>
      </c>
      <c r="E343" s="1" t="s">
        <v>3722</v>
      </c>
      <c r="F343" s="1" t="s">
        <v>112</v>
      </c>
      <c r="G343" s="1">
        <v>3588897</v>
      </c>
    </row>
    <row r="344" spans="1:7" x14ac:dyDescent="0.25">
      <c r="A344" s="1" t="str">
        <f t="shared" si="5"/>
        <v>11 17b estradiol 270</v>
      </c>
      <c r="B3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4" s="1" t="s">
        <v>3723</v>
      </c>
      <c r="D344" s="1" t="s">
        <v>3724</v>
      </c>
      <c r="E344" s="1" t="s">
        <v>3725</v>
      </c>
      <c r="F344" s="1" t="s">
        <v>112</v>
      </c>
      <c r="G344" s="1">
        <v>4174115</v>
      </c>
    </row>
    <row r="345" spans="1:7" x14ac:dyDescent="0.25">
      <c r="A345" s="1" t="str">
        <f t="shared" si="5"/>
        <v>11 17b estradiol 270</v>
      </c>
      <c r="B3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5" s="1" t="s">
        <v>3726</v>
      </c>
      <c r="D345" s="1" t="s">
        <v>3727</v>
      </c>
      <c r="E345" s="1" t="s">
        <v>3728</v>
      </c>
      <c r="F345" s="1" t="s">
        <v>112</v>
      </c>
      <c r="G345" s="1">
        <v>3831498</v>
      </c>
    </row>
    <row r="346" spans="1:7" x14ac:dyDescent="0.25">
      <c r="A346" s="1" t="str">
        <f t="shared" si="5"/>
        <v>11 17b estradiol 270</v>
      </c>
      <c r="B3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6" s="1" t="s">
        <v>3729</v>
      </c>
      <c r="D346" s="1" t="s">
        <v>3730</v>
      </c>
      <c r="E346" s="1" t="s">
        <v>3731</v>
      </c>
      <c r="F346" s="1" t="s">
        <v>112</v>
      </c>
      <c r="G346" s="1">
        <v>3909906</v>
      </c>
    </row>
    <row r="347" spans="1:7" x14ac:dyDescent="0.25">
      <c r="A347" s="1" t="str">
        <f t="shared" si="5"/>
        <v>11 17b estradiol 270</v>
      </c>
      <c r="B3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7" s="1" t="s">
        <v>3732</v>
      </c>
      <c r="D347" s="1" t="s">
        <v>3733</v>
      </c>
      <c r="E347" s="1" t="s">
        <v>3734</v>
      </c>
      <c r="F347" s="1" t="s">
        <v>112</v>
      </c>
      <c r="G347" s="1">
        <v>2168700</v>
      </c>
    </row>
    <row r="348" spans="1:7" x14ac:dyDescent="0.25">
      <c r="A348" s="1" t="str">
        <f t="shared" si="5"/>
        <v>11 17b estradiol 270</v>
      </c>
      <c r="B3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8" s="1" t="s">
        <v>3735</v>
      </c>
      <c r="D348" s="1" t="s">
        <v>3736</v>
      </c>
      <c r="E348" s="1" t="s">
        <v>3737</v>
      </c>
      <c r="F348" s="1" t="s">
        <v>112</v>
      </c>
      <c r="G348" s="1">
        <v>2605083</v>
      </c>
    </row>
    <row r="349" spans="1:7" x14ac:dyDescent="0.25">
      <c r="A349" s="1" t="str">
        <f t="shared" si="5"/>
        <v>11 17b estradiol 270</v>
      </c>
      <c r="B3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9" s="1" t="s">
        <v>3738</v>
      </c>
      <c r="D349" s="1" t="s">
        <v>3739</v>
      </c>
      <c r="E349" s="1" t="s">
        <v>3740</v>
      </c>
      <c r="F349" s="1" t="s">
        <v>112</v>
      </c>
      <c r="G349" s="1">
        <v>2251521</v>
      </c>
    </row>
    <row r="350" spans="1:7" x14ac:dyDescent="0.25">
      <c r="A350" s="1" t="str">
        <f t="shared" si="5"/>
        <v>11 17b estradiol 270</v>
      </c>
      <c r="B3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0" s="1" t="s">
        <v>3741</v>
      </c>
      <c r="D350" s="1" t="s">
        <v>3742</v>
      </c>
      <c r="E350" s="1" t="s">
        <v>3743</v>
      </c>
      <c r="F350" s="1" t="s">
        <v>112</v>
      </c>
      <c r="G350" s="1">
        <v>6784389</v>
      </c>
    </row>
    <row r="351" spans="1:7" x14ac:dyDescent="0.25">
      <c r="A351" s="1" t="str">
        <f t="shared" si="5"/>
        <v>11 17b estradiol 270</v>
      </c>
      <c r="B3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1" s="1" t="s">
        <v>3744</v>
      </c>
      <c r="D351" s="1" t="s">
        <v>3745</v>
      </c>
      <c r="E351" s="1" t="s">
        <v>3746</v>
      </c>
      <c r="F351" s="1" t="s">
        <v>112</v>
      </c>
      <c r="G351" s="1">
        <v>6168521</v>
      </c>
    </row>
    <row r="352" spans="1:7" x14ac:dyDescent="0.25">
      <c r="A352" s="1" t="str">
        <f t="shared" si="5"/>
        <v>11 17b estradiol 270</v>
      </c>
      <c r="B3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2" s="1" t="s">
        <v>3747</v>
      </c>
      <c r="D352" s="1" t="s">
        <v>3748</v>
      </c>
      <c r="E352" s="1" t="s">
        <v>3749</v>
      </c>
      <c r="F352" s="1" t="s">
        <v>112</v>
      </c>
      <c r="G352" s="1">
        <v>6432168</v>
      </c>
    </row>
    <row r="353" spans="1:10" x14ac:dyDescent="0.25">
      <c r="A353" s="1" t="str">
        <f t="shared" si="5"/>
        <v>11 17b estradiol 270</v>
      </c>
      <c r="B3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3" s="1" t="s">
        <v>3750</v>
      </c>
      <c r="D353" s="1" t="s">
        <v>3751</v>
      </c>
      <c r="E353" s="1" t="s">
        <v>3752</v>
      </c>
      <c r="F353" s="1" t="s">
        <v>112</v>
      </c>
      <c r="G353" s="1">
        <v>5649945</v>
      </c>
    </row>
    <row r="354" spans="1:10" x14ac:dyDescent="0.25">
      <c r="A354" s="1" t="str">
        <f t="shared" si="5"/>
        <v>11 17b estradiol 270</v>
      </c>
      <c r="B3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4" s="1" t="s">
        <v>3753</v>
      </c>
      <c r="D354" s="1" t="s">
        <v>3754</v>
      </c>
      <c r="E354" s="1" t="s">
        <v>3755</v>
      </c>
      <c r="F354" s="1" t="s">
        <v>112</v>
      </c>
      <c r="G354" s="1">
        <v>5771981</v>
      </c>
    </row>
    <row r="355" spans="1:10" x14ac:dyDescent="0.25">
      <c r="A355" s="1" t="str">
        <f t="shared" si="5"/>
        <v>11 17b estradiol 270</v>
      </c>
      <c r="B3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5" s="1" t="s">
        <v>3756</v>
      </c>
      <c r="D355" s="1" t="s">
        <v>3757</v>
      </c>
      <c r="E355" s="1" t="s">
        <v>3758</v>
      </c>
      <c r="F355" s="1" t="s">
        <v>112</v>
      </c>
      <c r="G355" s="1">
        <v>5276375</v>
      </c>
    </row>
    <row r="356" spans="1:10" x14ac:dyDescent="0.25">
      <c r="A356" s="1" t="str">
        <f t="shared" si="5"/>
        <v/>
      </c>
      <c r="B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6" s="1" t="s">
        <v>112</v>
      </c>
    </row>
    <row r="357" spans="1:10" x14ac:dyDescent="0.25">
      <c r="A357" s="1" t="str">
        <f t="shared" si="5"/>
        <v/>
      </c>
      <c r="B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7" s="1" t="s">
        <v>232</v>
      </c>
      <c r="D357" s="1" t="s">
        <v>112</v>
      </c>
      <c r="E357" s="1" t="s">
        <v>233</v>
      </c>
      <c r="F357" s="1" t="s">
        <v>234</v>
      </c>
      <c r="G357" s="1" t="s">
        <v>235</v>
      </c>
      <c r="H357" s="1" t="s">
        <v>236</v>
      </c>
      <c r="I357" s="1" t="s">
        <v>237</v>
      </c>
      <c r="J357" s="1" t="s">
        <v>238</v>
      </c>
    </row>
    <row r="358" spans="1:10" x14ac:dyDescent="0.25">
      <c r="A358" s="1" t="str">
        <f t="shared" si="5"/>
        <v>11 17b estradiol 270</v>
      </c>
      <c r="B3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58" s="1" t="s">
        <v>3759</v>
      </c>
      <c r="D358" s="1" t="s">
        <v>112</v>
      </c>
      <c r="E358" s="1" t="s">
        <v>3760</v>
      </c>
      <c r="F358" s="1" t="s">
        <v>3761</v>
      </c>
      <c r="G358" s="1" t="s">
        <v>3762</v>
      </c>
      <c r="H358" s="1" t="s">
        <v>3763</v>
      </c>
      <c r="I358" s="1">
        <v>24</v>
      </c>
      <c r="J358" s="1">
        <v>24</v>
      </c>
    </row>
    <row r="359" spans="1:10" x14ac:dyDescent="0.25">
      <c r="A359" s="1" t="str">
        <f t="shared" si="5"/>
        <v/>
      </c>
      <c r="B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9" s="1" t="s">
        <v>112</v>
      </c>
    </row>
    <row r="360" spans="1:10" x14ac:dyDescent="0.25">
      <c r="A360" s="1" t="str">
        <f t="shared" si="5"/>
        <v/>
      </c>
      <c r="B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0" s="1" t="s">
        <v>112</v>
      </c>
    </row>
    <row r="361" spans="1:10" x14ac:dyDescent="0.25">
      <c r="A361" s="1" t="str">
        <f t="shared" si="5"/>
        <v/>
      </c>
      <c r="B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1" s="1" t="s">
        <v>112</v>
      </c>
    </row>
    <row r="362" spans="1:10" x14ac:dyDescent="0.25">
      <c r="A362" s="1" t="str">
        <f t="shared" si="5"/>
        <v/>
      </c>
      <c r="B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2" s="1" t="s">
        <v>112</v>
      </c>
    </row>
    <row r="363" spans="1:10" x14ac:dyDescent="0.25">
      <c r="A363" s="1" t="str">
        <f t="shared" si="5"/>
        <v/>
      </c>
      <c r="B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3" s="1" t="s">
        <v>112</v>
      </c>
    </row>
    <row r="364" spans="1:10" x14ac:dyDescent="0.25">
      <c r="A364" s="1" t="str">
        <f t="shared" si="5"/>
        <v/>
      </c>
      <c r="B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4" s="1" t="s">
        <v>244</v>
      </c>
      <c r="D364" s="1" t="s">
        <v>110</v>
      </c>
      <c r="E364" s="1" t="s">
        <v>111</v>
      </c>
      <c r="F364" s="1" t="s">
        <v>112</v>
      </c>
      <c r="G364" s="1" t="s">
        <v>113</v>
      </c>
    </row>
    <row r="365" spans="1:10" x14ac:dyDescent="0.25">
      <c r="A365" s="1" t="str">
        <f t="shared" si="5"/>
        <v>12 17b estradiol 540</v>
      </c>
      <c r="B3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5" s="1" t="s">
        <v>3764</v>
      </c>
      <c r="D365" s="1" t="s">
        <v>3765</v>
      </c>
      <c r="E365" s="1" t="s">
        <v>3766</v>
      </c>
      <c r="F365" s="1" t="s">
        <v>112</v>
      </c>
      <c r="G365" s="1">
        <v>4985431</v>
      </c>
    </row>
    <row r="366" spans="1:10" x14ac:dyDescent="0.25">
      <c r="A366" s="1" t="str">
        <f t="shared" si="5"/>
        <v>12 17b estradiol 540</v>
      </c>
      <c r="B3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6" s="1" t="s">
        <v>3767</v>
      </c>
      <c r="D366" s="1" t="s">
        <v>3768</v>
      </c>
      <c r="E366" s="1" t="s">
        <v>3769</v>
      </c>
      <c r="F366" s="1" t="s">
        <v>112</v>
      </c>
      <c r="G366" s="1">
        <v>4785506</v>
      </c>
    </row>
    <row r="367" spans="1:10" x14ac:dyDescent="0.25">
      <c r="A367" s="1" t="str">
        <f t="shared" si="5"/>
        <v>12 17b estradiol 540</v>
      </c>
      <c r="B3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7" s="1" t="s">
        <v>3770</v>
      </c>
      <c r="D367" s="1" t="s">
        <v>3771</v>
      </c>
      <c r="E367" s="1" t="s">
        <v>3772</v>
      </c>
      <c r="F367" s="1" t="s">
        <v>112</v>
      </c>
      <c r="G367" s="1">
        <v>5590722</v>
      </c>
    </row>
    <row r="368" spans="1:10" x14ac:dyDescent="0.25">
      <c r="A368" s="1" t="str">
        <f t="shared" si="5"/>
        <v>12 17b estradiol 540</v>
      </c>
      <c r="B3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68" s="1" t="s">
        <v>3773</v>
      </c>
      <c r="D368" s="1" t="s">
        <v>3774</v>
      </c>
      <c r="E368" s="1" t="s">
        <v>3775</v>
      </c>
      <c r="F368" s="1" t="s">
        <v>112</v>
      </c>
      <c r="G368" s="1">
        <v>6552452</v>
      </c>
    </row>
    <row r="369" spans="1:7" x14ac:dyDescent="0.25">
      <c r="A369" s="1" t="str">
        <f t="shared" si="5"/>
        <v>12 17b estradiol 540</v>
      </c>
      <c r="B3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69" s="1" t="s">
        <v>3776</v>
      </c>
      <c r="D369" s="1" t="s">
        <v>3777</v>
      </c>
      <c r="E369" s="1" t="s">
        <v>3778</v>
      </c>
      <c r="F369" s="1" t="s">
        <v>112</v>
      </c>
      <c r="G369" s="1">
        <v>5694437</v>
      </c>
    </row>
    <row r="370" spans="1:7" x14ac:dyDescent="0.25">
      <c r="A370" s="1" t="str">
        <f t="shared" si="5"/>
        <v>12 17b estradiol 540</v>
      </c>
      <c r="B3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70" s="1" t="s">
        <v>3779</v>
      </c>
      <c r="D370" s="1" t="s">
        <v>3780</v>
      </c>
      <c r="E370" s="1" t="s">
        <v>3781</v>
      </c>
      <c r="F370" s="1" t="s">
        <v>112</v>
      </c>
      <c r="G370" s="1">
        <v>5998835</v>
      </c>
    </row>
    <row r="371" spans="1:7" x14ac:dyDescent="0.25">
      <c r="A371" s="1" t="str">
        <f t="shared" si="5"/>
        <v>12 17b estradiol 540</v>
      </c>
      <c r="B3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1" s="1" t="s">
        <v>3782</v>
      </c>
      <c r="D371" s="1" t="s">
        <v>2343</v>
      </c>
      <c r="E371" s="1" t="s">
        <v>3783</v>
      </c>
      <c r="F371" s="1" t="s">
        <v>112</v>
      </c>
      <c r="G371" s="1">
        <v>6818067</v>
      </c>
    </row>
    <row r="372" spans="1:7" x14ac:dyDescent="0.25">
      <c r="A372" s="1" t="str">
        <f t="shared" si="5"/>
        <v>12 17b estradiol 540</v>
      </c>
      <c r="B3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2" s="1" t="s">
        <v>3784</v>
      </c>
      <c r="D372" s="1" t="s">
        <v>3785</v>
      </c>
      <c r="E372" s="1" t="s">
        <v>3786</v>
      </c>
      <c r="F372" s="1" t="s">
        <v>112</v>
      </c>
      <c r="G372" s="1">
        <v>6720495</v>
      </c>
    </row>
    <row r="373" spans="1:7" x14ac:dyDescent="0.25">
      <c r="A373" s="1" t="str">
        <f t="shared" si="5"/>
        <v>12 17b estradiol 540</v>
      </c>
      <c r="B3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3" s="1" t="s">
        <v>3787</v>
      </c>
      <c r="D373" s="1" t="s">
        <v>2913</v>
      </c>
      <c r="E373" s="1" t="s">
        <v>3788</v>
      </c>
      <c r="F373" s="1" t="s">
        <v>112</v>
      </c>
      <c r="G373" s="1">
        <v>7163648</v>
      </c>
    </row>
    <row r="374" spans="1:7" x14ac:dyDescent="0.25">
      <c r="A374" s="1" t="str">
        <f t="shared" si="5"/>
        <v>12 17b estradiol 540</v>
      </c>
      <c r="B3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4" s="1" t="s">
        <v>3789</v>
      </c>
      <c r="D374" s="1" t="s">
        <v>3790</v>
      </c>
      <c r="E374" s="1" t="s">
        <v>3791</v>
      </c>
      <c r="F374" s="1" t="s">
        <v>112</v>
      </c>
      <c r="G374" s="1">
        <v>8220571</v>
      </c>
    </row>
    <row r="375" spans="1:7" x14ac:dyDescent="0.25">
      <c r="A375" s="1" t="str">
        <f t="shared" si="5"/>
        <v>12 17b estradiol 540</v>
      </c>
      <c r="B3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5" s="1" t="s">
        <v>3792</v>
      </c>
      <c r="D375" s="1" t="s">
        <v>3793</v>
      </c>
      <c r="E375" s="1" t="s">
        <v>3794</v>
      </c>
      <c r="F375" s="1" t="s">
        <v>112</v>
      </c>
      <c r="G375" s="1">
        <v>7962656</v>
      </c>
    </row>
    <row r="376" spans="1:7" x14ac:dyDescent="0.25">
      <c r="A376" s="1" t="str">
        <f t="shared" si="5"/>
        <v>12 17b estradiol 540</v>
      </c>
      <c r="B3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6" s="1" t="s">
        <v>3795</v>
      </c>
      <c r="D376" s="1" t="s">
        <v>3796</v>
      </c>
      <c r="E376" s="1" t="s">
        <v>3797</v>
      </c>
      <c r="F376" s="1" t="s">
        <v>112</v>
      </c>
      <c r="G376" s="1">
        <v>8034576</v>
      </c>
    </row>
    <row r="377" spans="1:7" x14ac:dyDescent="0.25">
      <c r="A377" s="1" t="str">
        <f t="shared" si="5"/>
        <v>12 17b estradiol 540</v>
      </c>
      <c r="B3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7" s="1" t="s">
        <v>3798</v>
      </c>
      <c r="D377" s="1" t="s">
        <v>3799</v>
      </c>
      <c r="E377" s="1" t="s">
        <v>3800</v>
      </c>
      <c r="F377" s="1" t="s">
        <v>112</v>
      </c>
      <c r="G377" s="1">
        <v>4126832</v>
      </c>
    </row>
    <row r="378" spans="1:7" x14ac:dyDescent="0.25">
      <c r="A378" s="1" t="str">
        <f t="shared" si="5"/>
        <v>12 17b estradiol 540</v>
      </c>
      <c r="B3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8" s="1" t="s">
        <v>3801</v>
      </c>
      <c r="D378" s="1" t="s">
        <v>3802</v>
      </c>
      <c r="E378" s="1" t="s">
        <v>3803</v>
      </c>
      <c r="F378" s="1" t="s">
        <v>112</v>
      </c>
      <c r="G378" s="1">
        <v>4007241</v>
      </c>
    </row>
    <row r="379" spans="1:7" x14ac:dyDescent="0.25">
      <c r="A379" s="1" t="str">
        <f t="shared" si="5"/>
        <v>12 17b estradiol 540</v>
      </c>
      <c r="B3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9" s="1" t="s">
        <v>3804</v>
      </c>
      <c r="D379" s="1" t="s">
        <v>3805</v>
      </c>
      <c r="E379" s="1" t="s">
        <v>3806</v>
      </c>
      <c r="F379" s="1" t="s">
        <v>112</v>
      </c>
      <c r="G379" s="1">
        <v>3863921</v>
      </c>
    </row>
    <row r="380" spans="1:7" x14ac:dyDescent="0.25">
      <c r="A380" s="1" t="str">
        <f t="shared" si="5"/>
        <v>12 17b estradiol 540</v>
      </c>
      <c r="B3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0" s="1" t="s">
        <v>3807</v>
      </c>
    </row>
    <row r="381" spans="1:7" x14ac:dyDescent="0.25">
      <c r="A381" s="1" t="str">
        <f t="shared" si="5"/>
        <v>12 17b estradiol 540</v>
      </c>
      <c r="B3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1" s="1" t="s">
        <v>3808</v>
      </c>
      <c r="D381" s="1" t="s">
        <v>3809</v>
      </c>
      <c r="E381" s="1" t="s">
        <v>3810</v>
      </c>
      <c r="F381" s="1" t="s">
        <v>112</v>
      </c>
      <c r="G381" s="1">
        <v>6502054</v>
      </c>
    </row>
    <row r="382" spans="1:7" x14ac:dyDescent="0.25">
      <c r="A382" s="1" t="str">
        <f t="shared" si="5"/>
        <v>12 17b estradiol 540</v>
      </c>
      <c r="B3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2" s="1" t="s">
        <v>3811</v>
      </c>
      <c r="D382" s="1" t="s">
        <v>3812</v>
      </c>
      <c r="E382" s="1" t="s">
        <v>3813</v>
      </c>
      <c r="F382" s="1" t="s">
        <v>112</v>
      </c>
      <c r="G382" s="1">
        <v>6387762</v>
      </c>
    </row>
    <row r="383" spans="1:7" x14ac:dyDescent="0.25">
      <c r="A383" s="1" t="str">
        <f t="shared" si="5"/>
        <v>12 17b estradiol 540</v>
      </c>
      <c r="B3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3" s="1" t="s">
        <v>3814</v>
      </c>
      <c r="D383" s="1" t="s">
        <v>1459</v>
      </c>
      <c r="E383" s="1" t="s">
        <v>3815</v>
      </c>
      <c r="F383" s="1" t="s">
        <v>112</v>
      </c>
      <c r="G383" s="1">
        <v>6557557</v>
      </c>
    </row>
    <row r="384" spans="1:7" x14ac:dyDescent="0.25">
      <c r="A384" s="1" t="str">
        <f t="shared" si="5"/>
        <v>12 17b estradiol 540</v>
      </c>
      <c r="B3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4" s="1" t="s">
        <v>3816</v>
      </c>
      <c r="D384" s="1" t="s">
        <v>3817</v>
      </c>
      <c r="E384" s="1" t="s">
        <v>3818</v>
      </c>
      <c r="F384" s="1" t="s">
        <v>112</v>
      </c>
      <c r="G384" s="1">
        <v>6828558</v>
      </c>
    </row>
    <row r="385" spans="1:10" x14ac:dyDescent="0.25">
      <c r="A385" s="1" t="str">
        <f t="shared" si="5"/>
        <v>12 17b estradiol 540</v>
      </c>
      <c r="B3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5" s="1" t="s">
        <v>3819</v>
      </c>
      <c r="D385" s="1" t="s">
        <v>3820</v>
      </c>
      <c r="E385" s="1" t="s">
        <v>3821</v>
      </c>
      <c r="F385" s="1" t="s">
        <v>112</v>
      </c>
      <c r="G385" s="1">
        <v>7644697</v>
      </c>
    </row>
    <row r="386" spans="1:10" x14ac:dyDescent="0.25">
      <c r="A386" s="1" t="str">
        <f t="shared" ref="A386:A449" si="6">IFERROR(LEFT(RIGHT(C386,LEN(C386)-SEARCH("@",C386)),SEARCH("/",RIGHT(C386,LEN(C386)-SEARCH("@",C386)-1))),"")</f>
        <v>12 17b estradiol 540</v>
      </c>
      <c r="B3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6" s="1" t="s">
        <v>3822</v>
      </c>
      <c r="D386" s="1" t="s">
        <v>3823</v>
      </c>
      <c r="E386" s="1" t="s">
        <v>3824</v>
      </c>
      <c r="F386" s="1" t="s">
        <v>112</v>
      </c>
      <c r="G386" s="1">
        <v>4304652</v>
      </c>
    </row>
    <row r="387" spans="1:10" x14ac:dyDescent="0.25">
      <c r="A387" s="1" t="str">
        <f t="shared" si="6"/>
        <v>12 17b estradiol 540</v>
      </c>
      <c r="B3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7" s="1" t="s">
        <v>3825</v>
      </c>
      <c r="D387" s="1" t="s">
        <v>3826</v>
      </c>
      <c r="E387" s="1" t="s">
        <v>3827</v>
      </c>
      <c r="F387" s="1" t="s">
        <v>112</v>
      </c>
      <c r="G387" s="1">
        <v>3864483</v>
      </c>
    </row>
    <row r="388" spans="1:10" x14ac:dyDescent="0.25">
      <c r="A388" s="1" t="str">
        <f t="shared" si="6"/>
        <v>12 17b estradiol 540</v>
      </c>
      <c r="B3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8" s="1" t="s">
        <v>3828</v>
      </c>
      <c r="D388" s="1" t="s">
        <v>3829</v>
      </c>
      <c r="E388" s="1" t="s">
        <v>3830</v>
      </c>
      <c r="F388" s="1" t="s">
        <v>112</v>
      </c>
      <c r="G388" s="1">
        <v>3676585</v>
      </c>
    </row>
    <row r="389" spans="1:10" x14ac:dyDescent="0.25">
      <c r="A389" s="1" t="str">
        <f t="shared" si="6"/>
        <v/>
      </c>
      <c r="B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89" s="1" t="s">
        <v>112</v>
      </c>
    </row>
    <row r="390" spans="1:10" x14ac:dyDescent="0.25">
      <c r="A390" s="1" t="str">
        <f t="shared" si="6"/>
        <v/>
      </c>
      <c r="B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0" s="1" t="s">
        <v>232</v>
      </c>
      <c r="D390" s="1" t="s">
        <v>112</v>
      </c>
      <c r="E390" s="1" t="s">
        <v>233</v>
      </c>
      <c r="F390" s="1" t="s">
        <v>234</v>
      </c>
      <c r="G390" s="1" t="s">
        <v>235</v>
      </c>
      <c r="H390" s="1" t="s">
        <v>236</v>
      </c>
      <c r="I390" s="1" t="s">
        <v>237</v>
      </c>
      <c r="J390" s="1" t="s">
        <v>238</v>
      </c>
    </row>
    <row r="391" spans="1:10" x14ac:dyDescent="0.25">
      <c r="A391" s="1" t="str">
        <f t="shared" si="6"/>
        <v>12 17b estradiol 540</v>
      </c>
      <c r="B3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91" s="1" t="s">
        <v>3831</v>
      </c>
      <c r="D391" s="1" t="s">
        <v>112</v>
      </c>
      <c r="E391" s="1" t="s">
        <v>3832</v>
      </c>
      <c r="F391" s="1" t="s">
        <v>3833</v>
      </c>
      <c r="G391" s="1" t="s">
        <v>3834</v>
      </c>
      <c r="H391" s="1" t="s">
        <v>3835</v>
      </c>
      <c r="I391" s="1">
        <v>24</v>
      </c>
      <c r="J391" s="1">
        <v>24</v>
      </c>
    </row>
    <row r="392" spans="1:10" x14ac:dyDescent="0.25">
      <c r="A392" s="1" t="str">
        <f t="shared" si="6"/>
        <v/>
      </c>
      <c r="B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2" s="1" t="s">
        <v>112</v>
      </c>
    </row>
    <row r="393" spans="1:10" x14ac:dyDescent="0.25">
      <c r="A393" s="1" t="str">
        <f t="shared" si="6"/>
        <v/>
      </c>
      <c r="B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3" s="1" t="s">
        <v>112</v>
      </c>
    </row>
    <row r="394" spans="1:10" x14ac:dyDescent="0.25">
      <c r="A394" s="1" t="str">
        <f t="shared" si="6"/>
        <v/>
      </c>
      <c r="B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4" s="1" t="s">
        <v>112</v>
      </c>
    </row>
    <row r="395" spans="1:10" x14ac:dyDescent="0.25">
      <c r="A395" s="1" t="str">
        <f t="shared" si="6"/>
        <v/>
      </c>
      <c r="B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5" s="1" t="s">
        <v>112</v>
      </c>
    </row>
    <row r="396" spans="1:10" x14ac:dyDescent="0.25">
      <c r="A396" s="1" t="str">
        <f t="shared" si="6"/>
        <v/>
      </c>
      <c r="B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6" s="1" t="s">
        <v>112</v>
      </c>
    </row>
    <row r="397" spans="1:10" x14ac:dyDescent="0.25">
      <c r="A397" s="1" t="str">
        <f t="shared" si="6"/>
        <v/>
      </c>
      <c r="B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7" s="1" t="s">
        <v>244</v>
      </c>
      <c r="D397" s="1" t="s">
        <v>110</v>
      </c>
      <c r="E397" s="1" t="s">
        <v>111</v>
      </c>
      <c r="F397" s="1" t="s">
        <v>112</v>
      </c>
      <c r="G397" s="1" t="s">
        <v>113</v>
      </c>
    </row>
    <row r="398" spans="1:10" x14ac:dyDescent="0.25">
      <c r="A398" s="1" t="str">
        <f t="shared" si="6"/>
        <v>01 Testo 30</v>
      </c>
      <c r="B3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98" s="1" t="s">
        <v>3836</v>
      </c>
      <c r="D398" s="1" t="s">
        <v>3837</v>
      </c>
      <c r="E398" s="1" t="s">
        <v>3838</v>
      </c>
      <c r="F398" s="1" t="s">
        <v>112</v>
      </c>
      <c r="G398" s="1">
        <v>1421733</v>
      </c>
    </row>
    <row r="399" spans="1:10" x14ac:dyDescent="0.25">
      <c r="A399" s="1" t="str">
        <f t="shared" si="6"/>
        <v>01 Testo 30</v>
      </c>
      <c r="B3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99" s="1" t="s">
        <v>3839</v>
      </c>
      <c r="D399" s="1" t="s">
        <v>1139</v>
      </c>
      <c r="E399" s="1" t="s">
        <v>3840</v>
      </c>
      <c r="F399" s="1" t="s">
        <v>112</v>
      </c>
      <c r="G399" s="1">
        <v>1450198</v>
      </c>
    </row>
    <row r="400" spans="1:10" x14ac:dyDescent="0.25">
      <c r="A400" s="1" t="str">
        <f t="shared" si="6"/>
        <v>01 Testo 30</v>
      </c>
      <c r="B4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00" s="1" t="s">
        <v>3841</v>
      </c>
      <c r="D400" s="1" t="s">
        <v>3842</v>
      </c>
      <c r="E400" s="1" t="s">
        <v>3843</v>
      </c>
      <c r="F400" s="1" t="s">
        <v>112</v>
      </c>
      <c r="G400" s="1">
        <v>1380571</v>
      </c>
    </row>
    <row r="401" spans="1:7" x14ac:dyDescent="0.25">
      <c r="A401" s="1" t="str">
        <f t="shared" si="6"/>
        <v>01 Testo 30</v>
      </c>
      <c r="B4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1" s="1" t="s">
        <v>3844</v>
      </c>
      <c r="D401" s="1" t="s">
        <v>3845</v>
      </c>
      <c r="E401" s="1" t="s">
        <v>3846</v>
      </c>
      <c r="F401" s="1" t="s">
        <v>112</v>
      </c>
      <c r="G401" s="1">
        <v>3095714</v>
      </c>
    </row>
    <row r="402" spans="1:7" x14ac:dyDescent="0.25">
      <c r="A402" s="1" t="str">
        <f t="shared" si="6"/>
        <v>01 Testo 30</v>
      </c>
      <c r="B4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2" s="1" t="s">
        <v>3847</v>
      </c>
      <c r="D402" s="1" t="s">
        <v>1366</v>
      </c>
      <c r="E402" s="1" t="s">
        <v>3848</v>
      </c>
      <c r="F402" s="1" t="s">
        <v>112</v>
      </c>
      <c r="G402" s="1">
        <v>2929575</v>
      </c>
    </row>
    <row r="403" spans="1:7" x14ac:dyDescent="0.25">
      <c r="A403" s="1" t="str">
        <f t="shared" si="6"/>
        <v>01 Testo 30</v>
      </c>
      <c r="B4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3" s="1" t="s">
        <v>3849</v>
      </c>
      <c r="D403" s="1" t="s">
        <v>3850</v>
      </c>
      <c r="E403" s="1" t="s">
        <v>3851</v>
      </c>
      <c r="F403" s="1" t="s">
        <v>112</v>
      </c>
      <c r="G403" s="1">
        <v>2634759</v>
      </c>
    </row>
    <row r="404" spans="1:7" x14ac:dyDescent="0.25">
      <c r="A404" s="1" t="str">
        <f t="shared" si="6"/>
        <v>01 Testo 30</v>
      </c>
      <c r="B4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4" s="1" t="s">
        <v>3852</v>
      </c>
      <c r="D404" s="1" t="s">
        <v>3853</v>
      </c>
      <c r="E404" s="1" t="s">
        <v>3854</v>
      </c>
      <c r="F404" s="1" t="s">
        <v>112</v>
      </c>
      <c r="G404" s="1">
        <v>3226596</v>
      </c>
    </row>
    <row r="405" spans="1:7" x14ac:dyDescent="0.25">
      <c r="A405" s="1" t="str">
        <f t="shared" si="6"/>
        <v>01 Testo 30</v>
      </c>
      <c r="B4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5" s="1" t="s">
        <v>3855</v>
      </c>
      <c r="D405" s="1" t="s">
        <v>3856</v>
      </c>
      <c r="E405" s="1" t="s">
        <v>3857</v>
      </c>
      <c r="F405" s="1" t="s">
        <v>112</v>
      </c>
      <c r="G405" s="1">
        <v>3350146</v>
      </c>
    </row>
    <row r="406" spans="1:7" x14ac:dyDescent="0.25">
      <c r="A406" s="1" t="str">
        <f t="shared" si="6"/>
        <v>01 Testo 30</v>
      </c>
      <c r="B4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6" s="1" t="s">
        <v>3858</v>
      </c>
      <c r="D406" s="1" t="s">
        <v>3859</v>
      </c>
      <c r="E406" s="1" t="s">
        <v>3860</v>
      </c>
      <c r="F406" s="1" t="s">
        <v>112</v>
      </c>
      <c r="G406" s="1">
        <v>2884282</v>
      </c>
    </row>
    <row r="407" spans="1:7" x14ac:dyDescent="0.25">
      <c r="A407" s="1" t="str">
        <f t="shared" si="6"/>
        <v>01 Testo 30</v>
      </c>
      <c r="B4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7" s="1" t="s">
        <v>3861</v>
      </c>
      <c r="D407" s="1" t="s">
        <v>3862</v>
      </c>
      <c r="E407" s="1" t="s">
        <v>3863</v>
      </c>
      <c r="F407" s="1" t="s">
        <v>112</v>
      </c>
      <c r="G407" s="1">
        <v>1833177</v>
      </c>
    </row>
    <row r="408" spans="1:7" x14ac:dyDescent="0.25">
      <c r="A408" s="1" t="str">
        <f t="shared" si="6"/>
        <v>01 Testo 30</v>
      </c>
      <c r="B4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8" s="1" t="s">
        <v>3864</v>
      </c>
      <c r="D408" s="1" t="s">
        <v>3865</v>
      </c>
      <c r="E408" s="1" t="s">
        <v>3866</v>
      </c>
      <c r="F408" s="1" t="s">
        <v>112</v>
      </c>
      <c r="G408" s="1">
        <v>1375402</v>
      </c>
    </row>
    <row r="409" spans="1:7" x14ac:dyDescent="0.25">
      <c r="A409" s="1" t="str">
        <f t="shared" si="6"/>
        <v>01 Testo 30</v>
      </c>
      <c r="B4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9" s="1" t="s">
        <v>3867</v>
      </c>
      <c r="D409" s="1" t="s">
        <v>3868</v>
      </c>
      <c r="E409" s="1" t="s">
        <v>3869</v>
      </c>
      <c r="F409" s="1" t="s">
        <v>112</v>
      </c>
      <c r="G409" s="1">
        <v>1651291</v>
      </c>
    </row>
    <row r="410" spans="1:7" x14ac:dyDescent="0.25">
      <c r="A410" s="1" t="str">
        <f t="shared" si="6"/>
        <v>01 Testo 30</v>
      </c>
      <c r="B4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0" s="1" t="s">
        <v>3870</v>
      </c>
      <c r="D410" s="1" t="s">
        <v>3871</v>
      </c>
      <c r="E410" s="1" t="s">
        <v>3872</v>
      </c>
      <c r="F410" s="1" t="s">
        <v>112</v>
      </c>
      <c r="G410" s="1">
        <v>525909</v>
      </c>
    </row>
    <row r="411" spans="1:7" x14ac:dyDescent="0.25">
      <c r="A411" s="1" t="str">
        <f t="shared" si="6"/>
        <v>01 Testo 30</v>
      </c>
      <c r="B4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1" s="1" t="s">
        <v>3873</v>
      </c>
      <c r="D411" s="1" t="s">
        <v>3874</v>
      </c>
      <c r="E411" s="1" t="s">
        <v>3875</v>
      </c>
      <c r="F411" s="1" t="s">
        <v>112</v>
      </c>
      <c r="G411" s="1">
        <v>743809</v>
      </c>
    </row>
    <row r="412" spans="1:7" x14ac:dyDescent="0.25">
      <c r="A412" s="1" t="str">
        <f t="shared" si="6"/>
        <v>01 Testo 30</v>
      </c>
      <c r="B4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2" s="1" t="s">
        <v>3876</v>
      </c>
      <c r="D412" s="1" t="s">
        <v>3877</v>
      </c>
      <c r="E412" s="1" t="s">
        <v>3878</v>
      </c>
      <c r="F412" s="1" t="s">
        <v>112</v>
      </c>
      <c r="G412" s="1">
        <v>1316157</v>
      </c>
    </row>
    <row r="413" spans="1:7" x14ac:dyDescent="0.25">
      <c r="A413" s="1" t="str">
        <f t="shared" si="6"/>
        <v>01 Testo 30</v>
      </c>
      <c r="B4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3" s="1" t="s">
        <v>3879</v>
      </c>
      <c r="D413" s="1" t="s">
        <v>3880</v>
      </c>
      <c r="E413" s="1" t="s">
        <v>3881</v>
      </c>
      <c r="F413" s="1" t="s">
        <v>112</v>
      </c>
      <c r="G413" s="1">
        <v>1815181</v>
      </c>
    </row>
    <row r="414" spans="1:7" x14ac:dyDescent="0.25">
      <c r="A414" s="1" t="str">
        <f t="shared" si="6"/>
        <v>01 Testo 30</v>
      </c>
      <c r="B4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4" s="1" t="s">
        <v>3882</v>
      </c>
      <c r="D414" s="1" t="s">
        <v>3883</v>
      </c>
      <c r="E414" s="1" t="s">
        <v>3884</v>
      </c>
      <c r="F414" s="1" t="s">
        <v>112</v>
      </c>
      <c r="G414" s="1">
        <v>1495988</v>
      </c>
    </row>
    <row r="415" spans="1:7" x14ac:dyDescent="0.25">
      <c r="A415" s="1" t="str">
        <f t="shared" si="6"/>
        <v>01 Testo 30</v>
      </c>
      <c r="B4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5" s="1" t="s">
        <v>3885</v>
      </c>
      <c r="D415" s="1" t="s">
        <v>3886</v>
      </c>
      <c r="E415" s="1" t="s">
        <v>3887</v>
      </c>
      <c r="F415" s="1" t="s">
        <v>112</v>
      </c>
      <c r="G415" s="1">
        <v>1821324</v>
      </c>
    </row>
    <row r="416" spans="1:7" x14ac:dyDescent="0.25">
      <c r="A416" s="1" t="str">
        <f t="shared" si="6"/>
        <v>01 Testo 30</v>
      </c>
      <c r="B4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6" s="1" t="s">
        <v>3888</v>
      </c>
      <c r="D416" s="1" t="s">
        <v>3889</v>
      </c>
      <c r="E416" s="1" t="s">
        <v>3890</v>
      </c>
      <c r="F416" s="1" t="s">
        <v>112</v>
      </c>
      <c r="G416" s="1">
        <v>1633338</v>
      </c>
    </row>
    <row r="417" spans="1:10" x14ac:dyDescent="0.25">
      <c r="A417" s="1" t="str">
        <f t="shared" si="6"/>
        <v>01 Testo 30</v>
      </c>
      <c r="B4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7" s="1" t="s">
        <v>3891</v>
      </c>
      <c r="D417" s="1" t="s">
        <v>3892</v>
      </c>
      <c r="E417" s="1" t="s">
        <v>3893</v>
      </c>
      <c r="F417" s="1" t="s">
        <v>112</v>
      </c>
      <c r="G417" s="1">
        <v>1344622</v>
      </c>
    </row>
    <row r="418" spans="1:10" x14ac:dyDescent="0.25">
      <c r="A418" s="1" t="str">
        <f t="shared" si="6"/>
        <v>01 Testo 30</v>
      </c>
      <c r="B4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8" s="1" t="s">
        <v>3894</v>
      </c>
      <c r="D418" s="1" t="s">
        <v>3895</v>
      </c>
      <c r="E418" s="1" t="s">
        <v>3896</v>
      </c>
      <c r="F418" s="1" t="s">
        <v>112</v>
      </c>
      <c r="G418" s="1">
        <v>1515758</v>
      </c>
    </row>
    <row r="419" spans="1:10" x14ac:dyDescent="0.25">
      <c r="A419" s="1" t="str">
        <f t="shared" si="6"/>
        <v>01 Testo 30</v>
      </c>
      <c r="B4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19" s="1" t="s">
        <v>3897</v>
      </c>
      <c r="D419" s="1" t="s">
        <v>272</v>
      </c>
      <c r="E419" s="1" t="s">
        <v>3898</v>
      </c>
      <c r="F419" s="1" t="s">
        <v>112</v>
      </c>
      <c r="G419" s="1">
        <v>90910</v>
      </c>
    </row>
    <row r="420" spans="1:10" x14ac:dyDescent="0.25">
      <c r="A420" s="1" t="str">
        <f t="shared" si="6"/>
        <v>01 Testo 30</v>
      </c>
      <c r="B4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20" s="1" t="s">
        <v>3899</v>
      </c>
      <c r="D420" s="1" t="s">
        <v>2712</v>
      </c>
      <c r="E420" s="1" t="s">
        <v>3900</v>
      </c>
      <c r="F420" s="1" t="s">
        <v>112</v>
      </c>
      <c r="G420" s="1">
        <v>43043</v>
      </c>
    </row>
    <row r="421" spans="1:10" x14ac:dyDescent="0.25">
      <c r="A421" s="1" t="str">
        <f t="shared" si="6"/>
        <v>01 Testo 30</v>
      </c>
      <c r="B4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21" s="1" t="s">
        <v>3901</v>
      </c>
      <c r="D421" s="1" t="s">
        <v>374</v>
      </c>
      <c r="E421" s="1" t="s">
        <v>3902</v>
      </c>
      <c r="F421" s="1" t="s">
        <v>112</v>
      </c>
      <c r="G421" s="1">
        <v>31320</v>
      </c>
    </row>
    <row r="422" spans="1:10" x14ac:dyDescent="0.25">
      <c r="A422" s="1" t="str">
        <f t="shared" si="6"/>
        <v/>
      </c>
      <c r="B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2" s="1" t="s">
        <v>112</v>
      </c>
    </row>
    <row r="423" spans="1:10" x14ac:dyDescent="0.25">
      <c r="A423" s="1" t="str">
        <f t="shared" si="6"/>
        <v/>
      </c>
      <c r="B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3" s="1" t="s">
        <v>232</v>
      </c>
      <c r="D423" s="1" t="s">
        <v>112</v>
      </c>
      <c r="E423" s="1" t="s">
        <v>233</v>
      </c>
      <c r="F423" s="1" t="s">
        <v>234</v>
      </c>
      <c r="G423" s="1" t="s">
        <v>235</v>
      </c>
      <c r="H423" s="1" t="s">
        <v>236</v>
      </c>
      <c r="I423" s="1" t="s">
        <v>237</v>
      </c>
      <c r="J423" s="1" t="s">
        <v>238</v>
      </c>
    </row>
    <row r="424" spans="1:10" x14ac:dyDescent="0.25">
      <c r="A424" s="1" t="str">
        <f t="shared" si="6"/>
        <v>01 Testo 30</v>
      </c>
      <c r="B4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24" s="1" t="s">
        <v>3903</v>
      </c>
      <c r="D424" s="1" t="s">
        <v>112</v>
      </c>
      <c r="E424" s="1" t="s">
        <v>3904</v>
      </c>
      <c r="F424" s="1" t="s">
        <v>3905</v>
      </c>
      <c r="G424" s="1" t="s">
        <v>3906</v>
      </c>
      <c r="H424" s="1" t="s">
        <v>3907</v>
      </c>
      <c r="I424" s="1">
        <v>24</v>
      </c>
      <c r="J424" s="1">
        <v>24</v>
      </c>
    </row>
    <row r="425" spans="1:10" x14ac:dyDescent="0.25">
      <c r="A425" s="1" t="str">
        <f t="shared" si="6"/>
        <v/>
      </c>
      <c r="B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5" s="1" t="s">
        <v>112</v>
      </c>
    </row>
    <row r="426" spans="1:10" x14ac:dyDescent="0.25">
      <c r="A426" s="1" t="str">
        <f t="shared" si="6"/>
        <v/>
      </c>
      <c r="B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6" s="1" t="s">
        <v>112</v>
      </c>
    </row>
    <row r="427" spans="1:10" x14ac:dyDescent="0.25">
      <c r="A427" s="1" t="str">
        <f t="shared" si="6"/>
        <v/>
      </c>
      <c r="B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7" s="1" t="s">
        <v>112</v>
      </c>
    </row>
    <row r="428" spans="1:10" x14ac:dyDescent="0.25">
      <c r="A428" s="1" t="str">
        <f t="shared" si="6"/>
        <v/>
      </c>
      <c r="B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8" s="1" t="s">
        <v>112</v>
      </c>
    </row>
    <row r="429" spans="1:10" x14ac:dyDescent="0.25">
      <c r="A429" s="1" t="str">
        <f t="shared" si="6"/>
        <v/>
      </c>
      <c r="B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9" s="1" t="s">
        <v>112</v>
      </c>
    </row>
    <row r="430" spans="1:10" x14ac:dyDescent="0.25">
      <c r="A430" s="1" t="str">
        <f t="shared" si="6"/>
        <v/>
      </c>
      <c r="B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30" s="1" t="s">
        <v>244</v>
      </c>
      <c r="D430" s="1" t="s">
        <v>110</v>
      </c>
      <c r="E430" s="1" t="s">
        <v>111</v>
      </c>
      <c r="F430" s="1" t="s">
        <v>112</v>
      </c>
      <c r="G430" s="1" t="s">
        <v>113</v>
      </c>
    </row>
    <row r="431" spans="1:10" x14ac:dyDescent="0.25">
      <c r="A431" s="1" t="str">
        <f t="shared" si="6"/>
        <v>02 Testo 30</v>
      </c>
      <c r="B4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1" s="1" t="s">
        <v>3908</v>
      </c>
      <c r="D431" s="1" t="s">
        <v>3909</v>
      </c>
      <c r="E431" s="1" t="s">
        <v>3910</v>
      </c>
      <c r="F431" s="1" t="s">
        <v>112</v>
      </c>
      <c r="G431" s="1">
        <v>930215</v>
      </c>
    </row>
    <row r="432" spans="1:10" x14ac:dyDescent="0.25">
      <c r="A432" s="1" t="str">
        <f t="shared" si="6"/>
        <v>02 Testo 30</v>
      </c>
      <c r="B4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2" s="1" t="s">
        <v>3911</v>
      </c>
    </row>
    <row r="433" spans="1:7" x14ac:dyDescent="0.25">
      <c r="A433" s="1" t="str">
        <f t="shared" si="6"/>
        <v>02 Testo 30</v>
      </c>
      <c r="B4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3" s="1" t="s">
        <v>3912</v>
      </c>
      <c r="D433" s="1" t="s">
        <v>3913</v>
      </c>
      <c r="E433" s="1" t="s">
        <v>3914</v>
      </c>
      <c r="F433" s="1" t="s">
        <v>112</v>
      </c>
      <c r="G433" s="1">
        <v>1139030</v>
      </c>
    </row>
    <row r="434" spans="1:7" x14ac:dyDescent="0.25">
      <c r="A434" s="1" t="str">
        <f t="shared" si="6"/>
        <v>02 Testo 30</v>
      </c>
      <c r="B4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4" s="1" t="s">
        <v>3915</v>
      </c>
      <c r="D434" s="1" t="s">
        <v>3916</v>
      </c>
      <c r="E434" s="1" t="s">
        <v>3917</v>
      </c>
      <c r="F434" s="1" t="s">
        <v>112</v>
      </c>
      <c r="G434" s="1">
        <v>3405497</v>
      </c>
    </row>
    <row r="435" spans="1:7" x14ac:dyDescent="0.25">
      <c r="A435" s="1" t="str">
        <f t="shared" si="6"/>
        <v>02 Testo 30</v>
      </c>
      <c r="B4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5" s="1" t="s">
        <v>3918</v>
      </c>
      <c r="D435" s="1" t="s">
        <v>3919</v>
      </c>
      <c r="E435" s="1" t="s">
        <v>3920</v>
      </c>
      <c r="F435" s="1" t="s">
        <v>112</v>
      </c>
      <c r="G435" s="1">
        <v>2745591</v>
      </c>
    </row>
    <row r="436" spans="1:7" x14ac:dyDescent="0.25">
      <c r="A436" s="1" t="str">
        <f t="shared" si="6"/>
        <v>02 Testo 30</v>
      </c>
      <c r="B4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6" s="1" t="s">
        <v>3921</v>
      </c>
      <c r="D436" s="1" t="s">
        <v>3922</v>
      </c>
      <c r="E436" s="1" t="s">
        <v>3923</v>
      </c>
      <c r="F436" s="1" t="s">
        <v>112</v>
      </c>
      <c r="G436" s="1">
        <v>3494158</v>
      </c>
    </row>
    <row r="437" spans="1:7" x14ac:dyDescent="0.25">
      <c r="A437" s="1" t="str">
        <f t="shared" si="6"/>
        <v>02 Testo 30</v>
      </c>
      <c r="B4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7" s="1" t="s">
        <v>3924</v>
      </c>
      <c r="D437" s="1" t="s">
        <v>3925</v>
      </c>
      <c r="E437" s="1" t="s">
        <v>3926</v>
      </c>
      <c r="F437" s="1" t="s">
        <v>112</v>
      </c>
      <c r="G437" s="1">
        <v>2345827</v>
      </c>
    </row>
    <row r="438" spans="1:7" x14ac:dyDescent="0.25">
      <c r="A438" s="1" t="str">
        <f t="shared" si="6"/>
        <v>02 Testo 30</v>
      </c>
      <c r="B4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8" s="1" t="s">
        <v>3927</v>
      </c>
      <c r="D438" s="1" t="s">
        <v>3928</v>
      </c>
      <c r="E438" s="1" t="s">
        <v>3929</v>
      </c>
      <c r="F438" s="1" t="s">
        <v>112</v>
      </c>
      <c r="G438" s="1">
        <v>1652243</v>
      </c>
    </row>
    <row r="439" spans="1:7" x14ac:dyDescent="0.25">
      <c r="A439" s="1" t="str">
        <f t="shared" si="6"/>
        <v>02 Testo 30</v>
      </c>
      <c r="B4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9" s="1" t="s">
        <v>3930</v>
      </c>
      <c r="D439" s="1" t="s">
        <v>3931</v>
      </c>
      <c r="E439" s="1" t="s">
        <v>3932</v>
      </c>
      <c r="F439" s="1" t="s">
        <v>112</v>
      </c>
      <c r="G439" s="1">
        <v>1309906</v>
      </c>
    </row>
    <row r="440" spans="1:7" x14ac:dyDescent="0.25">
      <c r="A440" s="1" t="str">
        <f t="shared" si="6"/>
        <v>02 Testo 30</v>
      </c>
      <c r="B4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0" s="1" t="s">
        <v>3933</v>
      </c>
      <c r="D440" s="1" t="s">
        <v>3934</v>
      </c>
      <c r="E440" s="1" t="s">
        <v>3935</v>
      </c>
      <c r="F440" s="1" t="s">
        <v>112</v>
      </c>
      <c r="G440" s="1">
        <v>2577202</v>
      </c>
    </row>
    <row r="441" spans="1:7" x14ac:dyDescent="0.25">
      <c r="A441" s="1" t="str">
        <f t="shared" si="6"/>
        <v>02 Testo 30</v>
      </c>
      <c r="B4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1" s="1" t="s">
        <v>3936</v>
      </c>
      <c r="D441" s="1" t="s">
        <v>3937</v>
      </c>
      <c r="E441" s="1" t="s">
        <v>3938</v>
      </c>
      <c r="F441" s="1" t="s">
        <v>112</v>
      </c>
      <c r="G441" s="1">
        <v>1060016</v>
      </c>
    </row>
    <row r="442" spans="1:7" x14ac:dyDescent="0.25">
      <c r="A442" s="1" t="str">
        <f t="shared" si="6"/>
        <v>02 Testo 30</v>
      </c>
      <c r="B4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2" s="1" t="s">
        <v>3939</v>
      </c>
      <c r="D442" s="1" t="s">
        <v>3940</v>
      </c>
      <c r="E442" s="1" t="s">
        <v>3941</v>
      </c>
      <c r="F442" s="1" t="s">
        <v>112</v>
      </c>
      <c r="G442" s="1">
        <v>2416427</v>
      </c>
    </row>
    <row r="443" spans="1:7" x14ac:dyDescent="0.25">
      <c r="A443" s="1" t="str">
        <f t="shared" si="6"/>
        <v>02 Testo 30</v>
      </c>
      <c r="B4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3" s="1" t="s">
        <v>3942</v>
      </c>
      <c r="D443" s="1" t="s">
        <v>469</v>
      </c>
      <c r="E443" s="1" t="s">
        <v>474</v>
      </c>
      <c r="F443" s="1" t="s">
        <v>112</v>
      </c>
      <c r="G443" s="1">
        <v>21976</v>
      </c>
    </row>
    <row r="444" spans="1:7" x14ac:dyDescent="0.25">
      <c r="A444" s="1" t="str">
        <f t="shared" si="6"/>
        <v>02 Testo 30</v>
      </c>
      <c r="B4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4" s="1" t="s">
        <v>3943</v>
      </c>
      <c r="D444" s="1" t="s">
        <v>1245</v>
      </c>
      <c r="E444" s="1" t="s">
        <v>3126</v>
      </c>
      <c r="F444" s="1" t="s">
        <v>112</v>
      </c>
      <c r="G444" s="1">
        <v>12480</v>
      </c>
    </row>
    <row r="445" spans="1:7" x14ac:dyDescent="0.25">
      <c r="A445" s="1" t="str">
        <f t="shared" si="6"/>
        <v>02 Testo 30</v>
      </c>
      <c r="B4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5" s="1" t="s">
        <v>3944</v>
      </c>
      <c r="D445" s="1" t="s">
        <v>261</v>
      </c>
      <c r="E445" s="1" t="s">
        <v>3945</v>
      </c>
      <c r="F445" s="1" t="s">
        <v>112</v>
      </c>
      <c r="G445" s="1">
        <v>13822</v>
      </c>
    </row>
    <row r="446" spans="1:7" x14ac:dyDescent="0.25">
      <c r="A446" s="1" t="str">
        <f t="shared" si="6"/>
        <v>02 Testo 30</v>
      </c>
      <c r="B4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6" s="1" t="s">
        <v>3946</v>
      </c>
      <c r="D446" s="1" t="s">
        <v>3388</v>
      </c>
      <c r="E446" s="1" t="s">
        <v>3947</v>
      </c>
      <c r="F446" s="1" t="s">
        <v>112</v>
      </c>
      <c r="G446" s="1">
        <v>2298847</v>
      </c>
    </row>
    <row r="447" spans="1:7" x14ac:dyDescent="0.25">
      <c r="A447" s="1" t="str">
        <f t="shared" si="6"/>
        <v>02 Testo 30</v>
      </c>
      <c r="B4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7" s="1" t="s">
        <v>3948</v>
      </c>
      <c r="D447" s="1" t="s">
        <v>1159</v>
      </c>
      <c r="E447" s="1" t="s">
        <v>3949</v>
      </c>
      <c r="F447" s="1" t="s">
        <v>112</v>
      </c>
      <c r="G447" s="1">
        <v>2114603</v>
      </c>
    </row>
    <row r="448" spans="1:7" x14ac:dyDescent="0.25">
      <c r="A448" s="1" t="str">
        <f t="shared" si="6"/>
        <v>02 Testo 30</v>
      </c>
      <c r="B4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8" s="1" t="s">
        <v>3950</v>
      </c>
      <c r="D448" s="1" t="s">
        <v>3951</v>
      </c>
      <c r="E448" s="1" t="s">
        <v>3952</v>
      </c>
      <c r="F448" s="1" t="s">
        <v>112</v>
      </c>
      <c r="G448" s="1">
        <v>1981277</v>
      </c>
    </row>
    <row r="449" spans="1:10" x14ac:dyDescent="0.25">
      <c r="A449" s="1" t="str">
        <f t="shared" si="6"/>
        <v>02 Testo 30</v>
      </c>
      <c r="B4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49" s="1" t="s">
        <v>3953</v>
      </c>
    </row>
    <row r="450" spans="1:10" x14ac:dyDescent="0.25">
      <c r="A450" s="1" t="str">
        <f t="shared" ref="A450:A513" si="7">IFERROR(LEFT(RIGHT(C450,LEN(C450)-SEARCH("@",C450)),SEARCH("/",RIGHT(C450,LEN(C450)-SEARCH("@",C450)-1))),"")</f>
        <v>02 Testo 30</v>
      </c>
      <c r="B4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50" s="1" t="s">
        <v>3954</v>
      </c>
    </row>
    <row r="451" spans="1:10" x14ac:dyDescent="0.25">
      <c r="A451" s="1" t="str">
        <f t="shared" si="7"/>
        <v>02 Testo 30</v>
      </c>
      <c r="B4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51" s="1" t="s">
        <v>3955</v>
      </c>
    </row>
    <row r="452" spans="1:10" x14ac:dyDescent="0.25">
      <c r="A452" s="1" t="str">
        <f t="shared" si="7"/>
        <v>02 Testo 30</v>
      </c>
      <c r="B4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2" s="1" t="s">
        <v>3956</v>
      </c>
      <c r="D452" s="1" t="s">
        <v>3957</v>
      </c>
      <c r="E452" s="1" t="s">
        <v>3958</v>
      </c>
      <c r="F452" s="1" t="s">
        <v>112</v>
      </c>
      <c r="G452" s="1">
        <v>2120573</v>
      </c>
    </row>
    <row r="453" spans="1:10" x14ac:dyDescent="0.25">
      <c r="A453" s="1" t="str">
        <f t="shared" si="7"/>
        <v>02 Testo 30</v>
      </c>
      <c r="B4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3" s="1" t="s">
        <v>3959</v>
      </c>
      <c r="D453" s="1" t="s">
        <v>3960</v>
      </c>
      <c r="E453" s="1" t="s">
        <v>3961</v>
      </c>
      <c r="F453" s="1" t="s">
        <v>112</v>
      </c>
      <c r="G453" s="1">
        <v>1918615</v>
      </c>
    </row>
    <row r="454" spans="1:10" x14ac:dyDescent="0.25">
      <c r="A454" s="1" t="str">
        <f t="shared" si="7"/>
        <v>02 Testo 30</v>
      </c>
      <c r="B4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4" s="1" t="s">
        <v>3962</v>
      </c>
      <c r="D454" s="1" t="s">
        <v>3963</v>
      </c>
      <c r="E454" s="1" t="s">
        <v>3964</v>
      </c>
      <c r="F454" s="1" t="s">
        <v>112</v>
      </c>
      <c r="G454" s="1">
        <v>1791907</v>
      </c>
    </row>
    <row r="455" spans="1:10" x14ac:dyDescent="0.25">
      <c r="A455" s="1" t="str">
        <f t="shared" si="7"/>
        <v/>
      </c>
      <c r="B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5" s="1" t="s">
        <v>112</v>
      </c>
    </row>
    <row r="456" spans="1:10" x14ac:dyDescent="0.25">
      <c r="A456" s="1" t="str">
        <f t="shared" si="7"/>
        <v/>
      </c>
      <c r="B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6" s="1" t="s">
        <v>232</v>
      </c>
      <c r="D456" s="1" t="s">
        <v>112</v>
      </c>
      <c r="E456" s="1" t="s">
        <v>233</v>
      </c>
      <c r="F456" s="1" t="s">
        <v>234</v>
      </c>
      <c r="G456" s="1" t="s">
        <v>235</v>
      </c>
      <c r="H456" s="1" t="s">
        <v>236</v>
      </c>
      <c r="I456" s="1" t="s">
        <v>237</v>
      </c>
      <c r="J456" s="1" t="s">
        <v>238</v>
      </c>
    </row>
    <row r="457" spans="1:10" x14ac:dyDescent="0.25">
      <c r="A457" s="1" t="str">
        <f t="shared" si="7"/>
        <v>02 Testo 30</v>
      </c>
      <c r="B4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57" s="1" t="s">
        <v>3965</v>
      </c>
      <c r="D457" s="1" t="s">
        <v>112</v>
      </c>
      <c r="E457" s="1" t="s">
        <v>3966</v>
      </c>
      <c r="F457" s="1" t="s">
        <v>3967</v>
      </c>
      <c r="G457" s="1" t="s">
        <v>3968</v>
      </c>
      <c r="H457" s="1" t="s">
        <v>3969</v>
      </c>
      <c r="I457" s="1">
        <v>24</v>
      </c>
      <c r="J457" s="1">
        <v>24</v>
      </c>
    </row>
    <row r="458" spans="1:10" x14ac:dyDescent="0.25">
      <c r="A458" s="1" t="str">
        <f t="shared" si="7"/>
        <v/>
      </c>
      <c r="B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8" s="1" t="s">
        <v>112</v>
      </c>
    </row>
    <row r="459" spans="1:10" x14ac:dyDescent="0.25">
      <c r="A459" s="1" t="str">
        <f t="shared" si="7"/>
        <v/>
      </c>
      <c r="B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9" s="1" t="s">
        <v>112</v>
      </c>
    </row>
    <row r="460" spans="1:10" x14ac:dyDescent="0.25">
      <c r="A460" s="1" t="str">
        <f t="shared" si="7"/>
        <v/>
      </c>
      <c r="B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0" s="1" t="s">
        <v>112</v>
      </c>
    </row>
    <row r="461" spans="1:10" x14ac:dyDescent="0.25">
      <c r="A461" s="1" t="str">
        <f t="shared" si="7"/>
        <v/>
      </c>
      <c r="B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1" s="1" t="s">
        <v>112</v>
      </c>
    </row>
    <row r="462" spans="1:10" x14ac:dyDescent="0.25">
      <c r="A462" s="1" t="str">
        <f t="shared" si="7"/>
        <v/>
      </c>
      <c r="B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2" s="1" t="s">
        <v>112</v>
      </c>
    </row>
    <row r="463" spans="1:10" x14ac:dyDescent="0.25">
      <c r="A463" s="1" t="str">
        <f t="shared" si="7"/>
        <v/>
      </c>
      <c r="B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3" s="1" t="s">
        <v>244</v>
      </c>
      <c r="D463" s="1" t="s">
        <v>110</v>
      </c>
      <c r="E463" s="1" t="s">
        <v>111</v>
      </c>
      <c r="F463" s="1" t="s">
        <v>112</v>
      </c>
      <c r="G463" s="1" t="s">
        <v>113</v>
      </c>
    </row>
    <row r="464" spans="1:10" x14ac:dyDescent="0.25">
      <c r="A464" s="1" t="str">
        <f t="shared" si="7"/>
        <v>03 Testo+ EE2 64</v>
      </c>
      <c r="B4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4" s="1" t="s">
        <v>3970</v>
      </c>
      <c r="D464" s="1" t="s">
        <v>3971</v>
      </c>
      <c r="E464" s="1" t="s">
        <v>3972</v>
      </c>
      <c r="F464" s="1" t="s">
        <v>112</v>
      </c>
      <c r="G464" s="1">
        <v>4406745</v>
      </c>
    </row>
    <row r="465" spans="1:7" x14ac:dyDescent="0.25">
      <c r="A465" s="1" t="str">
        <f t="shared" si="7"/>
        <v>03 Testo+ EE2 64</v>
      </c>
      <c r="B4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5" s="1" t="s">
        <v>3973</v>
      </c>
      <c r="D465" s="1" t="s">
        <v>3974</v>
      </c>
      <c r="E465" s="1" t="s">
        <v>3975</v>
      </c>
      <c r="F465" s="1" t="s">
        <v>112</v>
      </c>
      <c r="G465" s="1">
        <v>5014675</v>
      </c>
    </row>
    <row r="466" spans="1:7" x14ac:dyDescent="0.25">
      <c r="A466" s="1" t="str">
        <f t="shared" si="7"/>
        <v>03 Testo+ EE2 64</v>
      </c>
      <c r="B4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6" s="1" t="s">
        <v>3976</v>
      </c>
      <c r="D466" s="1" t="s">
        <v>3977</v>
      </c>
      <c r="E466" s="1" t="s">
        <v>3978</v>
      </c>
      <c r="F466" s="1" t="s">
        <v>112</v>
      </c>
      <c r="G466" s="1">
        <v>4287629</v>
      </c>
    </row>
    <row r="467" spans="1:7" x14ac:dyDescent="0.25">
      <c r="A467" s="1" t="str">
        <f t="shared" si="7"/>
        <v>03 Testo+ EE2 64</v>
      </c>
      <c r="B4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7" s="1" t="s">
        <v>3979</v>
      </c>
      <c r="D467" s="1" t="s">
        <v>3980</v>
      </c>
      <c r="E467" s="1" t="s">
        <v>3981</v>
      </c>
      <c r="F467" s="1" t="s">
        <v>112</v>
      </c>
      <c r="G467" s="1">
        <v>3585090</v>
      </c>
    </row>
    <row r="468" spans="1:7" x14ac:dyDescent="0.25">
      <c r="A468" s="1" t="str">
        <f t="shared" si="7"/>
        <v>03 Testo+ EE2 64</v>
      </c>
      <c r="B4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8" s="1" t="s">
        <v>3982</v>
      </c>
      <c r="D468" s="1" t="s">
        <v>3983</v>
      </c>
      <c r="E468" s="1" t="s">
        <v>3984</v>
      </c>
      <c r="F468" s="1" t="s">
        <v>112</v>
      </c>
      <c r="G468" s="1">
        <v>3643577</v>
      </c>
    </row>
    <row r="469" spans="1:7" x14ac:dyDescent="0.25">
      <c r="A469" s="1" t="str">
        <f t="shared" si="7"/>
        <v>03 Testo+ EE2 64</v>
      </c>
      <c r="B4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9" s="1" t="s">
        <v>3985</v>
      </c>
      <c r="D469" s="1" t="s">
        <v>2392</v>
      </c>
      <c r="E469" s="1" t="s">
        <v>3986</v>
      </c>
      <c r="F469" s="1" t="s">
        <v>112</v>
      </c>
      <c r="G469" s="1">
        <v>3651018</v>
      </c>
    </row>
    <row r="470" spans="1:7" x14ac:dyDescent="0.25">
      <c r="A470" s="1" t="str">
        <f t="shared" si="7"/>
        <v>03 Testo+ EE2 64</v>
      </c>
      <c r="B4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0" s="1" t="s">
        <v>3987</v>
      </c>
      <c r="D470" s="1" t="s">
        <v>3988</v>
      </c>
      <c r="E470" s="1" t="s">
        <v>3989</v>
      </c>
      <c r="F470" s="1" t="s">
        <v>112</v>
      </c>
      <c r="G470" s="1">
        <v>4376420</v>
      </c>
    </row>
    <row r="471" spans="1:7" x14ac:dyDescent="0.25">
      <c r="A471" s="1" t="str">
        <f t="shared" si="7"/>
        <v>03 Testo+ EE2 64</v>
      </c>
      <c r="B4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1" s="1" t="s">
        <v>3990</v>
      </c>
      <c r="D471" s="1" t="s">
        <v>3991</v>
      </c>
      <c r="E471" s="1" t="s">
        <v>3992</v>
      </c>
      <c r="F471" s="1" t="s">
        <v>112</v>
      </c>
      <c r="G471" s="1">
        <v>3973044</v>
      </c>
    </row>
    <row r="472" spans="1:7" x14ac:dyDescent="0.25">
      <c r="A472" s="1" t="str">
        <f t="shared" si="7"/>
        <v>03 Testo+ EE2 64</v>
      </c>
      <c r="B4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2" s="1" t="s">
        <v>3993</v>
      </c>
      <c r="D472" s="1" t="s">
        <v>3994</v>
      </c>
      <c r="E472" s="1" t="s">
        <v>3995</v>
      </c>
      <c r="F472" s="1" t="s">
        <v>112</v>
      </c>
      <c r="G472" s="1">
        <v>3550093</v>
      </c>
    </row>
    <row r="473" spans="1:7" x14ac:dyDescent="0.25">
      <c r="A473" s="1" t="str">
        <f t="shared" si="7"/>
        <v>03 Testo+ EE2 64</v>
      </c>
      <c r="B4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3" s="1" t="s">
        <v>3996</v>
      </c>
      <c r="D473" s="1" t="s">
        <v>3997</v>
      </c>
      <c r="E473" s="1" t="s">
        <v>3998</v>
      </c>
      <c r="F473" s="1" t="s">
        <v>112</v>
      </c>
      <c r="G473" s="1">
        <v>2473854</v>
      </c>
    </row>
    <row r="474" spans="1:7" x14ac:dyDescent="0.25">
      <c r="A474" s="1" t="str">
        <f t="shared" si="7"/>
        <v>03 Testo+ EE2 64</v>
      </c>
      <c r="B4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4" s="1" t="s">
        <v>3999</v>
      </c>
      <c r="D474" s="1" t="s">
        <v>4000</v>
      </c>
      <c r="E474" s="1" t="s">
        <v>4001</v>
      </c>
      <c r="F474" s="1" t="s">
        <v>112</v>
      </c>
      <c r="G474" s="1">
        <v>2416362</v>
      </c>
    </row>
    <row r="475" spans="1:7" x14ac:dyDescent="0.25">
      <c r="A475" s="1" t="str">
        <f t="shared" si="7"/>
        <v>03 Testo+ EE2 64</v>
      </c>
      <c r="B4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5" s="1" t="s">
        <v>4002</v>
      </c>
      <c r="D475" s="1" t="s">
        <v>4003</v>
      </c>
      <c r="E475" s="1" t="s">
        <v>4004</v>
      </c>
      <c r="F475" s="1" t="s">
        <v>112</v>
      </c>
      <c r="G475" s="1">
        <v>2162881</v>
      </c>
    </row>
    <row r="476" spans="1:7" x14ac:dyDescent="0.25">
      <c r="A476" s="1" t="str">
        <f t="shared" si="7"/>
        <v>03 Testo+ EE2 64</v>
      </c>
      <c r="B4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6" s="1" t="s">
        <v>4005</v>
      </c>
      <c r="D476" s="1" t="s">
        <v>4006</v>
      </c>
      <c r="E476" s="1" t="s">
        <v>4007</v>
      </c>
      <c r="F476" s="1" t="s">
        <v>112</v>
      </c>
      <c r="G476" s="1">
        <v>3336130</v>
      </c>
    </row>
    <row r="477" spans="1:7" x14ac:dyDescent="0.25">
      <c r="A477" s="1" t="str">
        <f t="shared" si="7"/>
        <v>03 Testo+ EE2 64</v>
      </c>
      <c r="B4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7" s="1" t="s">
        <v>4008</v>
      </c>
      <c r="D477" s="1" t="s">
        <v>4009</v>
      </c>
      <c r="E477" s="1" t="s">
        <v>4010</v>
      </c>
      <c r="F477" s="1" t="s">
        <v>112</v>
      </c>
      <c r="G477" s="1">
        <v>3020161</v>
      </c>
    </row>
    <row r="478" spans="1:7" x14ac:dyDescent="0.25">
      <c r="A478" s="1" t="str">
        <f t="shared" si="7"/>
        <v>03 Testo+ EE2 64</v>
      </c>
      <c r="B4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8" s="1" t="s">
        <v>4011</v>
      </c>
      <c r="D478" s="1" t="s">
        <v>4012</v>
      </c>
      <c r="E478" s="1" t="s">
        <v>4013</v>
      </c>
      <c r="F478" s="1" t="s">
        <v>112</v>
      </c>
      <c r="G478" s="1">
        <v>3116132</v>
      </c>
    </row>
    <row r="479" spans="1:7" x14ac:dyDescent="0.25">
      <c r="A479" s="1" t="str">
        <f t="shared" si="7"/>
        <v>03 Testo+ EE2 64</v>
      </c>
      <c r="B4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79" s="1" t="s">
        <v>4014</v>
      </c>
      <c r="D479" s="1" t="s">
        <v>4015</v>
      </c>
      <c r="E479" s="1" t="s">
        <v>4016</v>
      </c>
      <c r="F479" s="1" t="s">
        <v>112</v>
      </c>
      <c r="G479" s="1">
        <v>3702800</v>
      </c>
    </row>
    <row r="480" spans="1:7" x14ac:dyDescent="0.25">
      <c r="A480" s="1" t="str">
        <f t="shared" si="7"/>
        <v>03 Testo+ EE2 64</v>
      </c>
      <c r="B4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80" s="1" t="s">
        <v>4017</v>
      </c>
      <c r="D480" s="1" t="s">
        <v>4018</v>
      </c>
      <c r="E480" s="1" t="s">
        <v>4019</v>
      </c>
      <c r="F480" s="1" t="s">
        <v>112</v>
      </c>
      <c r="G480" s="1">
        <v>3677190</v>
      </c>
    </row>
    <row r="481" spans="1:10" x14ac:dyDescent="0.25">
      <c r="A481" s="1" t="str">
        <f t="shared" si="7"/>
        <v>03 Testo+ EE2 64</v>
      </c>
      <c r="B4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81" s="1" t="s">
        <v>4020</v>
      </c>
      <c r="D481" s="1" t="s">
        <v>4021</v>
      </c>
      <c r="E481" s="1" t="s">
        <v>4022</v>
      </c>
      <c r="F481" s="1" t="s">
        <v>112</v>
      </c>
      <c r="G481" s="1">
        <v>3739614</v>
      </c>
    </row>
    <row r="482" spans="1:10" x14ac:dyDescent="0.25">
      <c r="A482" s="1" t="str">
        <f t="shared" si="7"/>
        <v>03 Testo+ EE2 64</v>
      </c>
      <c r="B4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2" s="1" t="s">
        <v>4023</v>
      </c>
      <c r="D482" s="1" t="s">
        <v>4024</v>
      </c>
      <c r="E482" s="1" t="s">
        <v>4025</v>
      </c>
      <c r="F482" s="1" t="s">
        <v>112</v>
      </c>
      <c r="G482" s="1">
        <v>3778115</v>
      </c>
    </row>
    <row r="483" spans="1:10" x14ac:dyDescent="0.25">
      <c r="A483" s="1" t="str">
        <f t="shared" si="7"/>
        <v>03 Testo+ EE2 64</v>
      </c>
      <c r="B4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3" s="1" t="s">
        <v>4026</v>
      </c>
      <c r="D483" s="1" t="s">
        <v>4027</v>
      </c>
      <c r="E483" s="1" t="s">
        <v>4028</v>
      </c>
      <c r="F483" s="1" t="s">
        <v>112</v>
      </c>
      <c r="G483" s="1">
        <v>3700486</v>
      </c>
    </row>
    <row r="484" spans="1:10" x14ac:dyDescent="0.25">
      <c r="A484" s="1" t="str">
        <f t="shared" si="7"/>
        <v>03 Testo+ EE2 64</v>
      </c>
      <c r="B4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4" s="1" t="s">
        <v>4029</v>
      </c>
      <c r="D484" s="1" t="s">
        <v>4030</v>
      </c>
      <c r="E484" s="1" t="s">
        <v>4031</v>
      </c>
      <c r="F484" s="1" t="s">
        <v>112</v>
      </c>
      <c r="G484" s="1">
        <v>3617167</v>
      </c>
    </row>
    <row r="485" spans="1:10" x14ac:dyDescent="0.25">
      <c r="A485" s="1" t="str">
        <f t="shared" si="7"/>
        <v>03 Testo+ EE2 64</v>
      </c>
      <c r="B4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5" s="1" t="s">
        <v>4032</v>
      </c>
      <c r="D485" s="1" t="s">
        <v>4033</v>
      </c>
      <c r="E485" s="1" t="s">
        <v>4034</v>
      </c>
      <c r="F485" s="1" t="s">
        <v>112</v>
      </c>
      <c r="G485" s="1">
        <v>4259272</v>
      </c>
    </row>
    <row r="486" spans="1:10" x14ac:dyDescent="0.25">
      <c r="A486" s="1" t="str">
        <f t="shared" si="7"/>
        <v>03 Testo+ EE2 64</v>
      </c>
      <c r="B4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6" s="1" t="s">
        <v>4035</v>
      </c>
      <c r="D486" s="1" t="s">
        <v>4036</v>
      </c>
      <c r="E486" s="1" t="s">
        <v>2493</v>
      </c>
      <c r="F486" s="1" t="s">
        <v>112</v>
      </c>
      <c r="G486" s="1">
        <v>3700421</v>
      </c>
    </row>
    <row r="487" spans="1:10" x14ac:dyDescent="0.25">
      <c r="A487" s="1" t="str">
        <f t="shared" si="7"/>
        <v>03 Testo+ EE2 64</v>
      </c>
      <c r="B4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7" s="1" t="s">
        <v>4037</v>
      </c>
      <c r="D487" s="1" t="s">
        <v>4038</v>
      </c>
      <c r="E487" s="1" t="s">
        <v>4039</v>
      </c>
      <c r="F487" s="1" t="s">
        <v>112</v>
      </c>
      <c r="G487" s="1">
        <v>4114503</v>
      </c>
    </row>
    <row r="488" spans="1:10" x14ac:dyDescent="0.25">
      <c r="A488" s="1" t="str">
        <f t="shared" si="7"/>
        <v/>
      </c>
      <c r="B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8" s="1" t="s">
        <v>112</v>
      </c>
    </row>
    <row r="489" spans="1:10" x14ac:dyDescent="0.25">
      <c r="A489" s="1" t="str">
        <f t="shared" si="7"/>
        <v/>
      </c>
      <c r="B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9" s="1" t="s">
        <v>232</v>
      </c>
      <c r="D489" s="1" t="s">
        <v>112</v>
      </c>
      <c r="E489" s="1" t="s">
        <v>233</v>
      </c>
      <c r="F489" s="1" t="s">
        <v>234</v>
      </c>
      <c r="G489" s="1" t="s">
        <v>235</v>
      </c>
      <c r="H489" s="1" t="s">
        <v>236</v>
      </c>
      <c r="I489" s="1" t="s">
        <v>237</v>
      </c>
      <c r="J489" s="1" t="s">
        <v>238</v>
      </c>
    </row>
    <row r="490" spans="1:10" x14ac:dyDescent="0.25">
      <c r="A490" s="1" t="str">
        <f t="shared" si="7"/>
        <v>03 Testo+ EE2 64</v>
      </c>
      <c r="B4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90" s="1" t="s">
        <v>4040</v>
      </c>
      <c r="D490" s="1" t="s">
        <v>112</v>
      </c>
      <c r="E490" s="1" t="s">
        <v>4041</v>
      </c>
      <c r="F490" s="1" t="s">
        <v>4042</v>
      </c>
      <c r="G490" s="1" t="s">
        <v>4043</v>
      </c>
      <c r="H490" s="1" t="s">
        <v>4044</v>
      </c>
      <c r="I490" s="1">
        <v>24</v>
      </c>
      <c r="J490" s="1">
        <v>24</v>
      </c>
    </row>
    <row r="491" spans="1:10" x14ac:dyDescent="0.25">
      <c r="A491" s="1" t="str">
        <f t="shared" si="7"/>
        <v/>
      </c>
      <c r="B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1" s="1" t="s">
        <v>112</v>
      </c>
    </row>
    <row r="492" spans="1:10" x14ac:dyDescent="0.25">
      <c r="A492" s="1" t="str">
        <f t="shared" si="7"/>
        <v/>
      </c>
      <c r="B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2" s="1" t="s">
        <v>112</v>
      </c>
    </row>
    <row r="493" spans="1:10" x14ac:dyDescent="0.25">
      <c r="A493" s="1" t="str">
        <f t="shared" si="7"/>
        <v/>
      </c>
      <c r="B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3" s="1" t="s">
        <v>112</v>
      </c>
    </row>
    <row r="494" spans="1:10" x14ac:dyDescent="0.25">
      <c r="A494" s="1" t="str">
        <f t="shared" si="7"/>
        <v/>
      </c>
      <c r="B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4" s="1" t="s">
        <v>112</v>
      </c>
    </row>
    <row r="495" spans="1:10" x14ac:dyDescent="0.25">
      <c r="A495" s="1" t="str">
        <f t="shared" si="7"/>
        <v/>
      </c>
      <c r="B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5" s="1" t="s">
        <v>112</v>
      </c>
    </row>
    <row r="496" spans="1:10" x14ac:dyDescent="0.25">
      <c r="A496" s="1" t="str">
        <f t="shared" si="7"/>
        <v/>
      </c>
      <c r="B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6" s="1" t="s">
        <v>244</v>
      </c>
      <c r="D496" s="1" t="s">
        <v>110</v>
      </c>
      <c r="E496" s="1" t="s">
        <v>111</v>
      </c>
      <c r="F496" s="1" t="s">
        <v>112</v>
      </c>
      <c r="G496" s="1" t="s">
        <v>113</v>
      </c>
    </row>
    <row r="497" spans="1:7" x14ac:dyDescent="0.25">
      <c r="A497" s="1" t="str">
        <f t="shared" si="7"/>
        <v>04 Testo+ FAD</v>
      </c>
      <c r="B4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7" s="1" t="s">
        <v>4045</v>
      </c>
      <c r="D497" s="1" t="s">
        <v>196</v>
      </c>
      <c r="E497" s="1" t="s">
        <v>4046</v>
      </c>
      <c r="F497" s="1" t="s">
        <v>112</v>
      </c>
      <c r="G497" s="1">
        <v>87752</v>
      </c>
    </row>
    <row r="498" spans="1:7" x14ac:dyDescent="0.25">
      <c r="A498" s="1" t="str">
        <f t="shared" si="7"/>
        <v>04 Testo+ FAD</v>
      </c>
      <c r="B4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8" s="1" t="s">
        <v>4047</v>
      </c>
      <c r="D498" s="1" t="s">
        <v>4048</v>
      </c>
      <c r="E498" s="1" t="s">
        <v>4049</v>
      </c>
      <c r="F498" s="1" t="s">
        <v>112</v>
      </c>
      <c r="G498" s="1">
        <v>257136</v>
      </c>
    </row>
    <row r="499" spans="1:7" x14ac:dyDescent="0.25">
      <c r="A499" s="1" t="str">
        <f t="shared" si="7"/>
        <v>04 Testo+ FAD</v>
      </c>
      <c r="B4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9" s="1" t="s">
        <v>4050</v>
      </c>
      <c r="D499" s="1" t="s">
        <v>272</v>
      </c>
      <c r="E499" s="1" t="s">
        <v>4051</v>
      </c>
      <c r="F499" s="1" t="s">
        <v>112</v>
      </c>
      <c r="G499" s="1">
        <v>91257</v>
      </c>
    </row>
    <row r="500" spans="1:7" x14ac:dyDescent="0.25">
      <c r="A500" s="1" t="str">
        <f t="shared" si="7"/>
        <v>04 Testo+ FAD</v>
      </c>
      <c r="B5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0" s="1" t="s">
        <v>4052</v>
      </c>
      <c r="D500" s="1" t="s">
        <v>1699</v>
      </c>
      <c r="E500" s="1" t="s">
        <v>2537</v>
      </c>
      <c r="F500" s="1" t="s">
        <v>112</v>
      </c>
      <c r="G500" s="1">
        <v>114811</v>
      </c>
    </row>
    <row r="501" spans="1:7" x14ac:dyDescent="0.25">
      <c r="A501" s="1" t="str">
        <f t="shared" si="7"/>
        <v>04 Testo+ FAD</v>
      </c>
      <c r="B5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1" s="1" t="s">
        <v>4053</v>
      </c>
      <c r="D501" s="1" t="s">
        <v>2688</v>
      </c>
      <c r="E501" s="1" t="s">
        <v>4054</v>
      </c>
      <c r="F501" s="1" t="s">
        <v>112</v>
      </c>
      <c r="G501" s="1">
        <v>96383</v>
      </c>
    </row>
    <row r="502" spans="1:7" x14ac:dyDescent="0.25">
      <c r="A502" s="1" t="str">
        <f t="shared" si="7"/>
        <v>04 Testo+ FAD</v>
      </c>
      <c r="B5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2" s="1" t="s">
        <v>4055</v>
      </c>
      <c r="D502" s="1" t="s">
        <v>2685</v>
      </c>
      <c r="E502" s="1" t="s">
        <v>4056</v>
      </c>
      <c r="F502" s="1" t="s">
        <v>112</v>
      </c>
      <c r="G502" s="1">
        <v>156125</v>
      </c>
    </row>
    <row r="503" spans="1:7" x14ac:dyDescent="0.25">
      <c r="A503" s="1" t="str">
        <f t="shared" si="7"/>
        <v>04 Testo+ FAD</v>
      </c>
      <c r="B5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3" s="1" t="s">
        <v>4057</v>
      </c>
      <c r="D503" s="1" t="s">
        <v>4058</v>
      </c>
      <c r="E503" s="1" t="s">
        <v>4059</v>
      </c>
      <c r="F503" s="1" t="s">
        <v>112</v>
      </c>
      <c r="G503" s="1">
        <v>597374</v>
      </c>
    </row>
    <row r="504" spans="1:7" x14ac:dyDescent="0.25">
      <c r="A504" s="1" t="str">
        <f t="shared" si="7"/>
        <v>04 Testo+ FAD</v>
      </c>
      <c r="B5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4" s="1" t="s">
        <v>4060</v>
      </c>
      <c r="D504" s="1" t="s">
        <v>1719</v>
      </c>
      <c r="E504" s="1" t="s">
        <v>4061</v>
      </c>
      <c r="F504" s="1" t="s">
        <v>112</v>
      </c>
      <c r="G504" s="1">
        <v>30066</v>
      </c>
    </row>
    <row r="505" spans="1:7" x14ac:dyDescent="0.25">
      <c r="A505" s="1" t="str">
        <f t="shared" si="7"/>
        <v>04 Testo+ FAD</v>
      </c>
      <c r="B5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5" s="1" t="s">
        <v>4062</v>
      </c>
      <c r="D505" s="1" t="s">
        <v>4063</v>
      </c>
      <c r="E505" s="1" t="s">
        <v>4064</v>
      </c>
      <c r="F505" s="1" t="s">
        <v>112</v>
      </c>
      <c r="G505" s="1">
        <v>665747</v>
      </c>
    </row>
    <row r="506" spans="1:7" x14ac:dyDescent="0.25">
      <c r="A506" s="1" t="str">
        <f t="shared" si="7"/>
        <v>04 Testo+ FAD</v>
      </c>
      <c r="B5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6" s="1" t="s">
        <v>4065</v>
      </c>
      <c r="D506" s="1" t="s">
        <v>780</v>
      </c>
      <c r="E506" s="1" t="s">
        <v>4066</v>
      </c>
      <c r="F506" s="1" t="s">
        <v>112</v>
      </c>
      <c r="G506" s="1">
        <v>76829</v>
      </c>
    </row>
    <row r="507" spans="1:7" x14ac:dyDescent="0.25">
      <c r="A507" s="1" t="str">
        <f t="shared" si="7"/>
        <v>04 Testo+ FAD</v>
      </c>
      <c r="B5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7" s="1" t="s">
        <v>4067</v>
      </c>
      <c r="D507" s="1" t="s">
        <v>405</v>
      </c>
      <c r="E507" s="1" t="s">
        <v>228</v>
      </c>
      <c r="F507" s="1" t="s">
        <v>112</v>
      </c>
      <c r="G507" s="1">
        <v>52388</v>
      </c>
    </row>
    <row r="508" spans="1:7" x14ac:dyDescent="0.25">
      <c r="A508" s="1" t="str">
        <f t="shared" si="7"/>
        <v>04 Testo+ FAD</v>
      </c>
      <c r="B5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8" s="1" t="s">
        <v>4068</v>
      </c>
      <c r="D508" s="1" t="s">
        <v>1715</v>
      </c>
      <c r="E508" s="1" t="s">
        <v>4069</v>
      </c>
      <c r="F508" s="1" t="s">
        <v>112</v>
      </c>
      <c r="G508" s="1">
        <v>27751</v>
      </c>
    </row>
    <row r="509" spans="1:7" x14ac:dyDescent="0.25">
      <c r="A509" s="1" t="str">
        <f t="shared" si="7"/>
        <v>04 Testo+ FAD</v>
      </c>
      <c r="B5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09" s="1" t="s">
        <v>4070</v>
      </c>
      <c r="D509" s="1" t="s">
        <v>1170</v>
      </c>
      <c r="E509" s="1" t="s">
        <v>4071</v>
      </c>
      <c r="F509" s="1" t="s">
        <v>112</v>
      </c>
      <c r="G509" s="1">
        <v>194301</v>
      </c>
    </row>
    <row r="510" spans="1:7" x14ac:dyDescent="0.25">
      <c r="A510" s="1" t="str">
        <f t="shared" si="7"/>
        <v>04 Testo+ FAD</v>
      </c>
      <c r="B5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0" s="1" t="s">
        <v>4072</v>
      </c>
      <c r="D510" s="1" t="s">
        <v>2715</v>
      </c>
      <c r="E510" s="1" t="s">
        <v>4073</v>
      </c>
      <c r="F510" s="1" t="s">
        <v>112</v>
      </c>
      <c r="G510" s="1">
        <v>203775</v>
      </c>
    </row>
    <row r="511" spans="1:7" x14ac:dyDescent="0.25">
      <c r="A511" s="1" t="str">
        <f t="shared" si="7"/>
        <v>04 Testo+ FAD</v>
      </c>
      <c r="B5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1" s="1" t="s">
        <v>4074</v>
      </c>
      <c r="D511" s="1" t="s">
        <v>4075</v>
      </c>
      <c r="E511" s="1" t="s">
        <v>4076</v>
      </c>
      <c r="F511" s="1" t="s">
        <v>112</v>
      </c>
      <c r="G511" s="1">
        <v>253113</v>
      </c>
    </row>
    <row r="512" spans="1:7" x14ac:dyDescent="0.25">
      <c r="A512" s="1" t="str">
        <f t="shared" si="7"/>
        <v>04 Testo+ FAD</v>
      </c>
      <c r="B5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2" s="1" t="s">
        <v>4077</v>
      </c>
      <c r="D512" s="1" t="s">
        <v>2677</v>
      </c>
      <c r="E512" s="1" t="s">
        <v>4078</v>
      </c>
      <c r="F512" s="1" t="s">
        <v>112</v>
      </c>
      <c r="G512" s="1">
        <v>250453</v>
      </c>
    </row>
    <row r="513" spans="1:10" x14ac:dyDescent="0.25">
      <c r="A513" s="1" t="str">
        <f t="shared" si="7"/>
        <v>04 Testo+ FAD</v>
      </c>
      <c r="B5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3" s="1" t="s">
        <v>4079</v>
      </c>
      <c r="D513" s="1" t="s">
        <v>1257</v>
      </c>
      <c r="E513" s="1" t="s">
        <v>4080</v>
      </c>
      <c r="F513" s="1" t="s">
        <v>112</v>
      </c>
      <c r="G513" s="1">
        <v>82734</v>
      </c>
    </row>
    <row r="514" spans="1:10" x14ac:dyDescent="0.25">
      <c r="A514" s="1" t="str">
        <f t="shared" ref="A514:A577" si="8">IFERROR(LEFT(RIGHT(C514,LEN(C514)-SEARCH("@",C514)),SEARCH("/",RIGHT(C514,LEN(C514)-SEARCH("@",C514)-1))),"")</f>
        <v>04 Testo+ FAD</v>
      </c>
      <c r="B5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4" s="1" t="s">
        <v>4081</v>
      </c>
      <c r="D514" s="1" t="s">
        <v>1267</v>
      </c>
      <c r="E514" s="1" t="s">
        <v>4082</v>
      </c>
      <c r="F514" s="1" t="s">
        <v>112</v>
      </c>
      <c r="G514" s="1">
        <v>175029</v>
      </c>
    </row>
    <row r="515" spans="1:10" x14ac:dyDescent="0.25">
      <c r="A515" s="1" t="str">
        <f t="shared" si="8"/>
        <v>04 Testo+ FAD</v>
      </c>
      <c r="B5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5" s="1" t="s">
        <v>4083</v>
      </c>
      <c r="D515" s="1" t="s">
        <v>3178</v>
      </c>
      <c r="E515" s="1" t="s">
        <v>4084</v>
      </c>
      <c r="F515" s="1" t="s">
        <v>112</v>
      </c>
      <c r="G515" s="1">
        <v>194366</v>
      </c>
    </row>
    <row r="516" spans="1:10" x14ac:dyDescent="0.25">
      <c r="A516" s="1" t="str">
        <f t="shared" si="8"/>
        <v>04 Testo+ FAD</v>
      </c>
      <c r="B5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6" s="1" t="s">
        <v>4085</v>
      </c>
      <c r="D516" s="1" t="s">
        <v>1696</v>
      </c>
      <c r="E516" s="1" t="s">
        <v>4086</v>
      </c>
      <c r="F516" s="1" t="s">
        <v>112</v>
      </c>
      <c r="G516" s="1">
        <v>58898</v>
      </c>
    </row>
    <row r="517" spans="1:10" x14ac:dyDescent="0.25">
      <c r="A517" s="1" t="str">
        <f t="shared" si="8"/>
        <v>04 Testo+ FAD</v>
      </c>
      <c r="B5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7" s="1" t="s">
        <v>4087</v>
      </c>
      <c r="D517" s="1" t="s">
        <v>773</v>
      </c>
      <c r="E517" s="1" t="s">
        <v>4088</v>
      </c>
      <c r="F517" s="1" t="s">
        <v>112</v>
      </c>
      <c r="G517" s="1">
        <v>48927</v>
      </c>
    </row>
    <row r="518" spans="1:10" x14ac:dyDescent="0.25">
      <c r="A518" s="1" t="str">
        <f t="shared" si="8"/>
        <v>04 Testo+ FAD</v>
      </c>
      <c r="B5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18" s="1" t="s">
        <v>4089</v>
      </c>
      <c r="D518" s="1" t="s">
        <v>4090</v>
      </c>
      <c r="E518" s="1" t="s">
        <v>4091</v>
      </c>
      <c r="F518" s="1" t="s">
        <v>112</v>
      </c>
      <c r="G518" s="1">
        <v>179463</v>
      </c>
    </row>
    <row r="519" spans="1:10" x14ac:dyDescent="0.25">
      <c r="A519" s="1" t="str">
        <f t="shared" si="8"/>
        <v>04 Testo+ FAD</v>
      </c>
      <c r="B5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19" s="1" t="s">
        <v>4092</v>
      </c>
      <c r="D519" s="1" t="s">
        <v>4093</v>
      </c>
      <c r="E519" s="1" t="s">
        <v>4094</v>
      </c>
      <c r="F519" s="1" t="s">
        <v>112</v>
      </c>
      <c r="G519" s="1">
        <v>441185</v>
      </c>
    </row>
    <row r="520" spans="1:10" x14ac:dyDescent="0.25">
      <c r="A520" s="1" t="str">
        <f t="shared" si="8"/>
        <v>04 Testo+ FAD</v>
      </c>
      <c r="B5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20" s="1" t="s">
        <v>4095</v>
      </c>
      <c r="D520" s="1" t="s">
        <v>230</v>
      </c>
      <c r="E520" s="1" t="s">
        <v>4096</v>
      </c>
      <c r="F520" s="1" t="s">
        <v>112</v>
      </c>
      <c r="G520" s="1">
        <v>175310</v>
      </c>
    </row>
    <row r="521" spans="1:10" x14ac:dyDescent="0.25">
      <c r="A521" s="1" t="str">
        <f t="shared" si="8"/>
        <v/>
      </c>
      <c r="B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1" s="1" t="s">
        <v>112</v>
      </c>
    </row>
    <row r="522" spans="1:10" x14ac:dyDescent="0.25">
      <c r="A522" s="1" t="str">
        <f t="shared" si="8"/>
        <v/>
      </c>
      <c r="B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2" s="1" t="s">
        <v>232</v>
      </c>
      <c r="D522" s="1" t="s">
        <v>112</v>
      </c>
      <c r="E522" s="1" t="s">
        <v>233</v>
      </c>
      <c r="F522" s="1" t="s">
        <v>234</v>
      </c>
      <c r="G522" s="1" t="s">
        <v>235</v>
      </c>
      <c r="H522" s="1" t="s">
        <v>236</v>
      </c>
      <c r="I522" s="1" t="s">
        <v>237</v>
      </c>
      <c r="J522" s="1" t="s">
        <v>238</v>
      </c>
    </row>
    <row r="523" spans="1:10" x14ac:dyDescent="0.25">
      <c r="A523" s="1" t="str">
        <f t="shared" si="8"/>
        <v>04 Testo+ FAD</v>
      </c>
      <c r="B5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23" s="1" t="s">
        <v>4097</v>
      </c>
      <c r="D523" s="1" t="s">
        <v>112</v>
      </c>
      <c r="E523" s="1" t="s">
        <v>4098</v>
      </c>
      <c r="F523" s="1" t="s">
        <v>4099</v>
      </c>
      <c r="G523" s="1" t="s">
        <v>4100</v>
      </c>
      <c r="H523" s="1" t="s">
        <v>4101</v>
      </c>
      <c r="I523" s="1">
        <v>24</v>
      </c>
      <c r="J523" s="1">
        <v>24</v>
      </c>
    </row>
    <row r="524" spans="1:10" x14ac:dyDescent="0.25">
      <c r="A524" s="1" t="str">
        <f t="shared" si="8"/>
        <v/>
      </c>
      <c r="B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4" s="1" t="s">
        <v>112</v>
      </c>
    </row>
    <row r="525" spans="1:10" x14ac:dyDescent="0.25">
      <c r="A525" s="1" t="str">
        <f t="shared" si="8"/>
        <v/>
      </c>
      <c r="B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5" s="1" t="s">
        <v>112</v>
      </c>
    </row>
    <row r="526" spans="1:10" x14ac:dyDescent="0.25">
      <c r="A526" s="1" t="str">
        <f t="shared" si="8"/>
        <v/>
      </c>
      <c r="B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6" s="1" t="s">
        <v>112</v>
      </c>
    </row>
    <row r="527" spans="1:10" x14ac:dyDescent="0.25">
      <c r="A527" s="1" t="str">
        <f t="shared" si="8"/>
        <v/>
      </c>
      <c r="B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7" s="1" t="s">
        <v>112</v>
      </c>
    </row>
    <row r="528" spans="1:10" x14ac:dyDescent="0.25">
      <c r="A528" s="1" t="str">
        <f t="shared" si="8"/>
        <v/>
      </c>
      <c r="B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8" s="1" t="s">
        <v>112</v>
      </c>
    </row>
    <row r="529" spans="1:7" x14ac:dyDescent="0.25">
      <c r="A529" s="1" t="str">
        <f t="shared" si="8"/>
        <v/>
      </c>
      <c r="B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9" s="1" t="s">
        <v>244</v>
      </c>
      <c r="D529" s="1" t="s">
        <v>110</v>
      </c>
      <c r="E529" s="1" t="s">
        <v>111</v>
      </c>
      <c r="F529" s="1" t="s">
        <v>112</v>
      </c>
      <c r="G529" s="1" t="s">
        <v>113</v>
      </c>
    </row>
    <row r="530" spans="1:7" x14ac:dyDescent="0.25">
      <c r="A530" s="1" t="str">
        <f t="shared" si="8"/>
        <v>05 17b estradiol 34 dopé</v>
      </c>
      <c r="B5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0" s="1" t="s">
        <v>4102</v>
      </c>
      <c r="D530" s="1" t="s">
        <v>4103</v>
      </c>
      <c r="E530" s="1" t="s">
        <v>4104</v>
      </c>
      <c r="F530" s="1" t="s">
        <v>112</v>
      </c>
      <c r="G530" s="1">
        <v>2819587</v>
      </c>
    </row>
    <row r="531" spans="1:7" x14ac:dyDescent="0.25">
      <c r="A531" s="1" t="str">
        <f t="shared" si="8"/>
        <v>05 17b estradiol 34 dopé</v>
      </c>
      <c r="B5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1" s="1" t="s">
        <v>4105</v>
      </c>
      <c r="D531" s="1" t="s">
        <v>3042</v>
      </c>
      <c r="E531" s="1" t="s">
        <v>4106</v>
      </c>
      <c r="F531" s="1" t="s">
        <v>112</v>
      </c>
      <c r="G531" s="1">
        <v>3087430</v>
      </c>
    </row>
    <row r="532" spans="1:7" x14ac:dyDescent="0.25">
      <c r="A532" s="1" t="str">
        <f t="shared" si="8"/>
        <v>05 17b estradiol 34 dopé</v>
      </c>
      <c r="B5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2" s="1" t="s">
        <v>4107</v>
      </c>
      <c r="D532" s="1" t="s">
        <v>2316</v>
      </c>
      <c r="E532" s="1" t="s">
        <v>4108</v>
      </c>
      <c r="F532" s="1" t="s">
        <v>112</v>
      </c>
      <c r="G532" s="1">
        <v>2920706</v>
      </c>
    </row>
    <row r="533" spans="1:7" x14ac:dyDescent="0.25">
      <c r="A533" s="1" t="str">
        <f t="shared" si="8"/>
        <v>05 17b estradiol 34 dopé</v>
      </c>
      <c r="B5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3" s="1" t="s">
        <v>4109</v>
      </c>
      <c r="D533" s="1" t="s">
        <v>4110</v>
      </c>
      <c r="E533" s="1" t="s">
        <v>4111</v>
      </c>
      <c r="F533" s="1" t="s">
        <v>112</v>
      </c>
      <c r="G533" s="1">
        <v>3939280</v>
      </c>
    </row>
    <row r="534" spans="1:7" x14ac:dyDescent="0.25">
      <c r="A534" s="1" t="str">
        <f t="shared" si="8"/>
        <v>05 17b estradiol 34 dopé</v>
      </c>
      <c r="B5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4" s="1" t="s">
        <v>4112</v>
      </c>
    </row>
    <row r="535" spans="1:7" x14ac:dyDescent="0.25">
      <c r="A535" s="1" t="str">
        <f t="shared" si="8"/>
        <v>05 17b estradiol 34 dopé</v>
      </c>
      <c r="B5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5" s="1" t="s">
        <v>4113</v>
      </c>
      <c r="D535" s="1" t="s">
        <v>3470</v>
      </c>
      <c r="E535" s="1" t="s">
        <v>4114</v>
      </c>
      <c r="F535" s="1" t="s">
        <v>112</v>
      </c>
      <c r="G535" s="1">
        <v>4168643</v>
      </c>
    </row>
    <row r="536" spans="1:7" x14ac:dyDescent="0.25">
      <c r="A536" s="1" t="str">
        <f t="shared" si="8"/>
        <v>05 17b estradiol 34 dopé</v>
      </c>
      <c r="B5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6" s="1" t="s">
        <v>4115</v>
      </c>
    </row>
    <row r="537" spans="1:7" x14ac:dyDescent="0.25">
      <c r="A537" s="1" t="str">
        <f t="shared" si="8"/>
        <v>05 17b estradiol 34 dopé</v>
      </c>
      <c r="B5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7" s="1" t="s">
        <v>4116</v>
      </c>
      <c r="D537" s="1" t="s">
        <v>4117</v>
      </c>
      <c r="E537" s="1" t="s">
        <v>4118</v>
      </c>
      <c r="F537" s="1" t="s">
        <v>112</v>
      </c>
      <c r="G537" s="1">
        <v>2926806</v>
      </c>
    </row>
    <row r="538" spans="1:7" x14ac:dyDescent="0.25">
      <c r="A538" s="1" t="str">
        <f t="shared" si="8"/>
        <v>05 17b estradiol 34 dopé</v>
      </c>
      <c r="B5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8" s="1" t="s">
        <v>4119</v>
      </c>
      <c r="D538" s="1" t="s">
        <v>3925</v>
      </c>
      <c r="E538" s="1" t="s">
        <v>4120</v>
      </c>
      <c r="F538" s="1" t="s">
        <v>112</v>
      </c>
      <c r="G538" s="1">
        <v>2455945</v>
      </c>
    </row>
    <row r="539" spans="1:7" x14ac:dyDescent="0.25">
      <c r="A539" s="1" t="str">
        <f t="shared" si="8"/>
        <v>05 17b estradiol 34 dopé</v>
      </c>
      <c r="B5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39" s="1" t="s">
        <v>4121</v>
      </c>
      <c r="D539" s="1" t="s">
        <v>3130</v>
      </c>
      <c r="E539" s="1" t="s">
        <v>4122</v>
      </c>
      <c r="F539" s="1" t="s">
        <v>112</v>
      </c>
      <c r="G539" s="1">
        <v>573171</v>
      </c>
    </row>
    <row r="540" spans="1:7" x14ac:dyDescent="0.25">
      <c r="A540" s="1" t="str">
        <f t="shared" si="8"/>
        <v>05 17b estradiol 34 dopé</v>
      </c>
      <c r="B5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40" s="1" t="s">
        <v>4123</v>
      </c>
      <c r="D540" s="1" t="s">
        <v>208</v>
      </c>
      <c r="E540" s="1" t="s">
        <v>4124</v>
      </c>
      <c r="F540" s="1" t="s">
        <v>112</v>
      </c>
      <c r="G540" s="1">
        <v>573884</v>
      </c>
    </row>
    <row r="541" spans="1:7" x14ac:dyDescent="0.25">
      <c r="A541" s="1" t="str">
        <f t="shared" si="8"/>
        <v>05 17b estradiol 34 dopé</v>
      </c>
      <c r="B5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41" s="1" t="s">
        <v>4125</v>
      </c>
    </row>
    <row r="542" spans="1:7" x14ac:dyDescent="0.25">
      <c r="A542" s="1" t="str">
        <f t="shared" si="8"/>
        <v>05 17b estradiol 34 dopé</v>
      </c>
      <c r="B5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2" s="1" t="s">
        <v>4126</v>
      </c>
      <c r="D542" s="1" t="s">
        <v>4127</v>
      </c>
      <c r="E542" s="1" t="s">
        <v>4128</v>
      </c>
      <c r="F542" s="1" t="s">
        <v>112</v>
      </c>
      <c r="G542" s="1">
        <v>1724616</v>
      </c>
    </row>
    <row r="543" spans="1:7" x14ac:dyDescent="0.25">
      <c r="A543" s="1" t="str">
        <f t="shared" si="8"/>
        <v>05 17b estradiol 34 dopé</v>
      </c>
      <c r="B5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3" s="1" t="s">
        <v>4129</v>
      </c>
      <c r="D543" s="1" t="s">
        <v>4130</v>
      </c>
      <c r="E543" s="1" t="s">
        <v>4131</v>
      </c>
      <c r="F543" s="1" t="s">
        <v>112</v>
      </c>
      <c r="G543" s="1">
        <v>1305645</v>
      </c>
    </row>
    <row r="544" spans="1:7" x14ac:dyDescent="0.25">
      <c r="A544" s="1" t="str">
        <f t="shared" si="8"/>
        <v>05 17b estradiol 34 dopé</v>
      </c>
      <c r="B5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4" s="1" t="s">
        <v>4132</v>
      </c>
    </row>
    <row r="545" spans="1:10" x14ac:dyDescent="0.25">
      <c r="A545" s="1" t="str">
        <f t="shared" si="8"/>
        <v>05 17b estradiol 34 dopé</v>
      </c>
      <c r="B5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5" s="1" t="s">
        <v>4133</v>
      </c>
      <c r="D545" s="1" t="s">
        <v>3006</v>
      </c>
      <c r="E545" s="1" t="s">
        <v>4134</v>
      </c>
      <c r="F545" s="1" t="s">
        <v>112</v>
      </c>
      <c r="G545" s="1">
        <v>1221462</v>
      </c>
    </row>
    <row r="546" spans="1:10" x14ac:dyDescent="0.25">
      <c r="A546" s="1" t="str">
        <f t="shared" si="8"/>
        <v>05 17b estradiol 34 dopé</v>
      </c>
      <c r="B5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6" s="1" t="s">
        <v>4135</v>
      </c>
    </row>
    <row r="547" spans="1:10" x14ac:dyDescent="0.25">
      <c r="A547" s="1" t="str">
        <f t="shared" si="8"/>
        <v>05 17b estradiol 34 dopé</v>
      </c>
      <c r="B5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7" s="1" t="s">
        <v>4136</v>
      </c>
      <c r="D547" s="1" t="s">
        <v>4137</v>
      </c>
      <c r="E547" s="1" t="s">
        <v>4138</v>
      </c>
      <c r="F547" s="1" t="s">
        <v>112</v>
      </c>
      <c r="G547" s="1">
        <v>1266755</v>
      </c>
    </row>
    <row r="548" spans="1:10" x14ac:dyDescent="0.25">
      <c r="A548" s="1" t="str">
        <f t="shared" si="8"/>
        <v>05 17b estradiol 34 dopé</v>
      </c>
      <c r="B5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8" s="1" t="s">
        <v>4139</v>
      </c>
      <c r="D548" s="1" t="s">
        <v>4140</v>
      </c>
      <c r="E548" s="1" t="s">
        <v>4141</v>
      </c>
      <c r="F548" s="1" t="s">
        <v>112</v>
      </c>
      <c r="G548" s="1">
        <v>2908053</v>
      </c>
    </row>
    <row r="549" spans="1:10" x14ac:dyDescent="0.25">
      <c r="A549" s="1" t="str">
        <f t="shared" si="8"/>
        <v>05 17b estradiol 34 dopé</v>
      </c>
      <c r="B5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9" s="1" t="s">
        <v>4142</v>
      </c>
      <c r="D549" s="1" t="s">
        <v>3433</v>
      </c>
      <c r="E549" s="1" t="s">
        <v>4143</v>
      </c>
      <c r="F549" s="1" t="s">
        <v>112</v>
      </c>
      <c r="G549" s="1">
        <v>2857071</v>
      </c>
    </row>
    <row r="550" spans="1:10" x14ac:dyDescent="0.25">
      <c r="A550" s="1" t="str">
        <f t="shared" si="8"/>
        <v>05 17b estradiol 34 dopé</v>
      </c>
      <c r="B5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50" s="1" t="s">
        <v>4144</v>
      </c>
      <c r="D550" s="1" t="s">
        <v>4145</v>
      </c>
      <c r="E550" s="1" t="s">
        <v>4146</v>
      </c>
      <c r="F550" s="1" t="s">
        <v>112</v>
      </c>
      <c r="G550" s="1">
        <v>2793760</v>
      </c>
    </row>
    <row r="551" spans="1:10" x14ac:dyDescent="0.25">
      <c r="A551" s="1" t="str">
        <f t="shared" si="8"/>
        <v>05 17b estradiol 34 dopé</v>
      </c>
      <c r="B5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1" s="1" t="s">
        <v>4147</v>
      </c>
      <c r="D551" s="1" t="s">
        <v>4148</v>
      </c>
      <c r="E551" s="1" t="s">
        <v>4149</v>
      </c>
      <c r="F551" s="1" t="s">
        <v>112</v>
      </c>
      <c r="G551" s="1">
        <v>2338300</v>
      </c>
    </row>
    <row r="552" spans="1:10" x14ac:dyDescent="0.25">
      <c r="A552" s="1" t="str">
        <f t="shared" si="8"/>
        <v>05 17b estradiol 34 dopé</v>
      </c>
      <c r="B5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2" s="1" t="s">
        <v>4150</v>
      </c>
      <c r="D552" s="1" t="s">
        <v>4151</v>
      </c>
      <c r="E552" s="1" t="s">
        <v>4152</v>
      </c>
      <c r="F552" s="1" t="s">
        <v>112</v>
      </c>
      <c r="G552" s="1">
        <v>1880070</v>
      </c>
    </row>
    <row r="553" spans="1:10" x14ac:dyDescent="0.25">
      <c r="A553" s="1" t="str">
        <f t="shared" si="8"/>
        <v>05 17b estradiol 34 dopé</v>
      </c>
      <c r="B5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3" s="1" t="s">
        <v>4153</v>
      </c>
      <c r="D553" s="1" t="s">
        <v>4154</v>
      </c>
      <c r="E553" s="1" t="s">
        <v>4155</v>
      </c>
      <c r="F553" s="1" t="s">
        <v>112</v>
      </c>
      <c r="G553" s="1">
        <v>1808649</v>
      </c>
    </row>
    <row r="554" spans="1:10" x14ac:dyDescent="0.25">
      <c r="A554" s="1" t="str">
        <f t="shared" si="8"/>
        <v/>
      </c>
      <c r="B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4" s="1" t="s">
        <v>112</v>
      </c>
    </row>
    <row r="555" spans="1:10" x14ac:dyDescent="0.25">
      <c r="A555" s="1" t="str">
        <f t="shared" si="8"/>
        <v/>
      </c>
      <c r="B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5" s="1" t="s">
        <v>232</v>
      </c>
      <c r="D555" s="1" t="s">
        <v>112</v>
      </c>
      <c r="E555" s="1" t="s">
        <v>233</v>
      </c>
      <c r="F555" s="1" t="s">
        <v>234</v>
      </c>
      <c r="G555" s="1" t="s">
        <v>235</v>
      </c>
      <c r="H555" s="1" t="s">
        <v>236</v>
      </c>
      <c r="I555" s="1" t="s">
        <v>237</v>
      </c>
      <c r="J555" s="1" t="s">
        <v>238</v>
      </c>
    </row>
    <row r="556" spans="1:10" x14ac:dyDescent="0.25">
      <c r="A556" s="1" t="str">
        <f t="shared" si="8"/>
        <v>05 17b estradiol 34 dopé</v>
      </c>
      <c r="B5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56" s="1" t="s">
        <v>4156</v>
      </c>
      <c r="D556" s="1" t="s">
        <v>112</v>
      </c>
      <c r="E556" s="1" t="s">
        <v>4157</v>
      </c>
      <c r="F556" s="1" t="s">
        <v>4158</v>
      </c>
      <c r="G556" s="1" t="s">
        <v>4159</v>
      </c>
      <c r="H556" s="1" t="s">
        <v>4160</v>
      </c>
      <c r="I556" s="1">
        <v>24</v>
      </c>
      <c r="J556" s="1">
        <v>24</v>
      </c>
    </row>
    <row r="557" spans="1:10" x14ac:dyDescent="0.25">
      <c r="A557" s="1" t="str">
        <f t="shared" si="8"/>
        <v/>
      </c>
      <c r="B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7" s="1" t="s">
        <v>112</v>
      </c>
    </row>
    <row r="558" spans="1:10" x14ac:dyDescent="0.25">
      <c r="A558" s="1" t="str">
        <f t="shared" si="8"/>
        <v/>
      </c>
      <c r="B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8" s="1" t="s">
        <v>112</v>
      </c>
    </row>
    <row r="559" spans="1:10" x14ac:dyDescent="0.25">
      <c r="A559" s="1" t="str">
        <f t="shared" si="8"/>
        <v/>
      </c>
      <c r="B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9" s="1" t="s">
        <v>112</v>
      </c>
    </row>
    <row r="560" spans="1:10" x14ac:dyDescent="0.25">
      <c r="A560" s="1" t="str">
        <f t="shared" si="8"/>
        <v/>
      </c>
      <c r="B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0" s="1" t="s">
        <v>112</v>
      </c>
    </row>
    <row r="561" spans="1:7" x14ac:dyDescent="0.25">
      <c r="A561" s="1" t="str">
        <f t="shared" si="8"/>
        <v/>
      </c>
      <c r="B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1" s="1" t="s">
        <v>112</v>
      </c>
    </row>
    <row r="562" spans="1:7" x14ac:dyDescent="0.25">
      <c r="A562" s="1" t="str">
        <f t="shared" si="8"/>
        <v/>
      </c>
      <c r="B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2" s="1" t="s">
        <v>244</v>
      </c>
      <c r="D562" s="1" t="s">
        <v>110</v>
      </c>
      <c r="E562" s="1" t="s">
        <v>111</v>
      </c>
      <c r="F562" s="1" t="s">
        <v>112</v>
      </c>
      <c r="G562" s="1" t="s">
        <v>113</v>
      </c>
    </row>
    <row r="563" spans="1:7" x14ac:dyDescent="0.25">
      <c r="A563" s="1" t="str">
        <f t="shared" si="8"/>
        <v>06 17b estradiol 68 dopé</v>
      </c>
      <c r="B5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3" s="1" t="s">
        <v>4161</v>
      </c>
      <c r="D563" s="1" t="s">
        <v>4162</v>
      </c>
      <c r="E563" s="1" t="s">
        <v>4163</v>
      </c>
      <c r="F563" s="1" t="s">
        <v>112</v>
      </c>
      <c r="G563" s="1">
        <v>6385296</v>
      </c>
    </row>
    <row r="564" spans="1:7" x14ac:dyDescent="0.25">
      <c r="A564" s="1" t="str">
        <f t="shared" si="8"/>
        <v>06 17b estradiol 68 dopé</v>
      </c>
      <c r="B5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4" s="1" t="s">
        <v>4164</v>
      </c>
      <c r="D564" s="1" t="s">
        <v>3706</v>
      </c>
      <c r="E564" s="1" t="s">
        <v>4165</v>
      </c>
      <c r="F564" s="1" t="s">
        <v>112</v>
      </c>
      <c r="G564" s="1">
        <v>6271783</v>
      </c>
    </row>
    <row r="565" spans="1:7" x14ac:dyDescent="0.25">
      <c r="A565" s="1" t="str">
        <f t="shared" si="8"/>
        <v>06 17b estradiol 68 dopé</v>
      </c>
      <c r="B5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5" s="1" t="s">
        <v>4166</v>
      </c>
      <c r="D565" s="1" t="s">
        <v>4167</v>
      </c>
      <c r="E565" s="1" t="s">
        <v>4168</v>
      </c>
      <c r="F565" s="1" t="s">
        <v>112</v>
      </c>
      <c r="G565" s="1">
        <v>6075210</v>
      </c>
    </row>
    <row r="566" spans="1:7" x14ac:dyDescent="0.25">
      <c r="A566" s="1" t="str">
        <f t="shared" si="8"/>
        <v>06 17b estradiol 68 dopé</v>
      </c>
      <c r="B5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6" s="1" t="s">
        <v>4169</v>
      </c>
      <c r="D566" s="1" t="s">
        <v>1874</v>
      </c>
      <c r="E566" s="1" t="s">
        <v>4170</v>
      </c>
      <c r="F566" s="1" t="s">
        <v>112</v>
      </c>
      <c r="G566" s="1">
        <v>357001</v>
      </c>
    </row>
    <row r="567" spans="1:7" x14ac:dyDescent="0.25">
      <c r="A567" s="1" t="str">
        <f t="shared" si="8"/>
        <v>06 17b estradiol 68 dopé</v>
      </c>
      <c r="B5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7" s="1" t="s">
        <v>4171</v>
      </c>
      <c r="D567" s="1" t="s">
        <v>1281</v>
      </c>
      <c r="E567" s="1" t="s">
        <v>4172</v>
      </c>
      <c r="F567" s="1" t="s">
        <v>112</v>
      </c>
      <c r="G567" s="1">
        <v>208447</v>
      </c>
    </row>
    <row r="568" spans="1:7" x14ac:dyDescent="0.25">
      <c r="A568" s="1" t="str">
        <f t="shared" si="8"/>
        <v>06 17b estradiol 68 dopé</v>
      </c>
      <c r="B5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8" s="1" t="s">
        <v>4173</v>
      </c>
      <c r="D568" s="1" t="s">
        <v>4174</v>
      </c>
      <c r="E568" s="1" t="s">
        <v>4175</v>
      </c>
      <c r="F568" s="1" t="s">
        <v>112</v>
      </c>
      <c r="G568" s="1">
        <v>253546</v>
      </c>
    </row>
    <row r="569" spans="1:7" x14ac:dyDescent="0.25">
      <c r="A569" s="1" t="str">
        <f t="shared" si="8"/>
        <v>06 17b estradiol 68 dopé</v>
      </c>
      <c r="B5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69" s="1" t="s">
        <v>4176</v>
      </c>
      <c r="D569" s="1" t="s">
        <v>4177</v>
      </c>
      <c r="E569" s="1" t="s">
        <v>4178</v>
      </c>
      <c r="F569" s="1" t="s">
        <v>112</v>
      </c>
      <c r="G569" s="1">
        <v>4535205</v>
      </c>
    </row>
    <row r="570" spans="1:7" x14ac:dyDescent="0.25">
      <c r="A570" s="1" t="str">
        <f t="shared" si="8"/>
        <v>06 17b estradiol 68 dopé</v>
      </c>
      <c r="B5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70" s="1" t="s">
        <v>4179</v>
      </c>
      <c r="D570" s="1" t="s">
        <v>4180</v>
      </c>
      <c r="E570" s="1" t="s">
        <v>4181</v>
      </c>
      <c r="F570" s="1" t="s">
        <v>112</v>
      </c>
      <c r="G570" s="1">
        <v>4757344</v>
      </c>
    </row>
    <row r="571" spans="1:7" x14ac:dyDescent="0.25">
      <c r="A571" s="1" t="str">
        <f t="shared" si="8"/>
        <v>06 17b estradiol 68 dopé</v>
      </c>
      <c r="B5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71" s="1" t="s">
        <v>4182</v>
      </c>
      <c r="D571" s="1" t="s">
        <v>4183</v>
      </c>
      <c r="E571" s="1" t="s">
        <v>4184</v>
      </c>
      <c r="F571" s="1" t="s">
        <v>112</v>
      </c>
      <c r="G571" s="1">
        <v>4245386</v>
      </c>
    </row>
    <row r="572" spans="1:7" x14ac:dyDescent="0.25">
      <c r="A572" s="1" t="str">
        <f t="shared" si="8"/>
        <v>06 17b estradiol 68 dopé</v>
      </c>
      <c r="B5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2" s="1" t="s">
        <v>4185</v>
      </c>
      <c r="D572" s="1" t="s">
        <v>4186</v>
      </c>
      <c r="E572" s="1" t="s">
        <v>4187</v>
      </c>
      <c r="F572" s="1" t="s">
        <v>112</v>
      </c>
      <c r="G572" s="1">
        <v>1053700</v>
      </c>
    </row>
    <row r="573" spans="1:7" x14ac:dyDescent="0.25">
      <c r="A573" s="1" t="str">
        <f t="shared" si="8"/>
        <v>06 17b estradiol 68 dopé</v>
      </c>
      <c r="B5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3" s="1" t="s">
        <v>4188</v>
      </c>
    </row>
    <row r="574" spans="1:7" x14ac:dyDescent="0.25">
      <c r="A574" s="1" t="str">
        <f t="shared" si="8"/>
        <v>06 17b estradiol 68 dopé</v>
      </c>
      <c r="B5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4" s="1" t="s">
        <v>4189</v>
      </c>
      <c r="D574" s="1" t="s">
        <v>4190</v>
      </c>
      <c r="E574" s="1" t="s">
        <v>4191</v>
      </c>
      <c r="F574" s="1" t="s">
        <v>112</v>
      </c>
      <c r="G574" s="1">
        <v>2775894</v>
      </c>
    </row>
    <row r="575" spans="1:7" x14ac:dyDescent="0.25">
      <c r="A575" s="1" t="str">
        <f t="shared" si="8"/>
        <v>06 17b estradiol 68 dopé</v>
      </c>
      <c r="B5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5" s="1" t="s">
        <v>4192</v>
      </c>
      <c r="D575" s="1" t="s">
        <v>4193</v>
      </c>
      <c r="E575" s="1" t="s">
        <v>4194</v>
      </c>
      <c r="F575" s="1" t="s">
        <v>112</v>
      </c>
      <c r="G575" s="1">
        <v>4249777</v>
      </c>
    </row>
    <row r="576" spans="1:7" x14ac:dyDescent="0.25">
      <c r="A576" s="1" t="str">
        <f t="shared" si="8"/>
        <v>06 17b estradiol 68 dopé</v>
      </c>
      <c r="B5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6" s="1" t="s">
        <v>4195</v>
      </c>
      <c r="D576" s="1" t="s">
        <v>4196</v>
      </c>
      <c r="E576" s="1" t="s">
        <v>4197</v>
      </c>
      <c r="F576" s="1" t="s">
        <v>112</v>
      </c>
      <c r="G576" s="1">
        <v>4319317</v>
      </c>
    </row>
    <row r="577" spans="1:10" x14ac:dyDescent="0.25">
      <c r="A577" s="1" t="str">
        <f t="shared" si="8"/>
        <v>06 17b estradiol 68 dopé</v>
      </c>
      <c r="B5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7" s="1" t="s">
        <v>4198</v>
      </c>
      <c r="D577" s="1" t="s">
        <v>4199</v>
      </c>
      <c r="E577" s="1" t="s">
        <v>4200</v>
      </c>
      <c r="F577" s="1" t="s">
        <v>112</v>
      </c>
      <c r="G577" s="1">
        <v>4270801</v>
      </c>
    </row>
    <row r="578" spans="1:10" x14ac:dyDescent="0.25">
      <c r="A578" s="1" t="str">
        <f t="shared" ref="A578:A641" si="9">IFERROR(LEFT(RIGHT(C578,LEN(C578)-SEARCH("@",C578)),SEARCH("/",RIGHT(C578,LEN(C578)-SEARCH("@",C578)-1))),"")</f>
        <v>06 17b estradiol 68 dopé</v>
      </c>
      <c r="B5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78" s="1" t="s">
        <v>4201</v>
      </c>
      <c r="D578" s="1" t="s">
        <v>4202</v>
      </c>
      <c r="E578" s="1" t="s">
        <v>4203</v>
      </c>
      <c r="F578" s="1" t="s">
        <v>112</v>
      </c>
      <c r="G578" s="1">
        <v>2405223</v>
      </c>
    </row>
    <row r="579" spans="1:10" x14ac:dyDescent="0.25">
      <c r="A579" s="1" t="str">
        <f t="shared" si="9"/>
        <v>06 17b estradiol 68 dopé</v>
      </c>
      <c r="B5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79" s="1" t="s">
        <v>4204</v>
      </c>
      <c r="D579" s="1" t="s">
        <v>4205</v>
      </c>
      <c r="E579" s="1" t="s">
        <v>4206</v>
      </c>
      <c r="F579" s="1" t="s">
        <v>112</v>
      </c>
      <c r="G579" s="1">
        <v>2608349</v>
      </c>
    </row>
    <row r="580" spans="1:10" x14ac:dyDescent="0.25">
      <c r="A580" s="1" t="str">
        <f t="shared" si="9"/>
        <v>06 17b estradiol 68 dopé</v>
      </c>
      <c r="B5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80" s="1" t="s">
        <v>4207</v>
      </c>
      <c r="D580" s="1" t="s">
        <v>4208</v>
      </c>
      <c r="E580" s="1" t="s">
        <v>4209</v>
      </c>
      <c r="F580" s="1" t="s">
        <v>112</v>
      </c>
      <c r="G580" s="1">
        <v>2457567</v>
      </c>
    </row>
    <row r="581" spans="1:10" x14ac:dyDescent="0.25">
      <c r="A581" s="1" t="str">
        <f t="shared" si="9"/>
        <v>06 17b estradiol 68 dopé</v>
      </c>
      <c r="B5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1" s="1" t="s">
        <v>4210</v>
      </c>
      <c r="D581" s="1" t="s">
        <v>4211</v>
      </c>
      <c r="E581" s="1" t="s">
        <v>4212</v>
      </c>
      <c r="F581" s="1" t="s">
        <v>112</v>
      </c>
      <c r="G581" s="1">
        <v>4369498</v>
      </c>
    </row>
    <row r="582" spans="1:10" x14ac:dyDescent="0.25">
      <c r="A582" s="1" t="str">
        <f t="shared" si="9"/>
        <v>06 17b estradiol 68 dopé</v>
      </c>
      <c r="B5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2" s="1" t="s">
        <v>4213</v>
      </c>
    </row>
    <row r="583" spans="1:10" x14ac:dyDescent="0.25">
      <c r="A583" s="1" t="str">
        <f t="shared" si="9"/>
        <v>06 17b estradiol 68 dopé</v>
      </c>
      <c r="B5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3" s="1" t="s">
        <v>4214</v>
      </c>
      <c r="D583" s="1" t="s">
        <v>4215</v>
      </c>
      <c r="E583" s="1" t="s">
        <v>4216</v>
      </c>
      <c r="F583" s="1" t="s">
        <v>112</v>
      </c>
      <c r="G583" s="1">
        <v>3864959</v>
      </c>
    </row>
    <row r="584" spans="1:10" x14ac:dyDescent="0.25">
      <c r="A584" s="1" t="str">
        <f t="shared" si="9"/>
        <v>06 17b estradiol 68 dopé</v>
      </c>
      <c r="B5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4" s="1" t="s">
        <v>4217</v>
      </c>
      <c r="D584" s="1" t="s">
        <v>1148</v>
      </c>
      <c r="E584" s="1" t="s">
        <v>4218</v>
      </c>
      <c r="F584" s="1" t="s">
        <v>112</v>
      </c>
      <c r="G584" s="1">
        <v>2417508</v>
      </c>
    </row>
    <row r="585" spans="1:10" x14ac:dyDescent="0.25">
      <c r="A585" s="1" t="str">
        <f t="shared" si="9"/>
        <v>06 17b estradiol 68 dopé</v>
      </c>
      <c r="B5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5" s="1" t="s">
        <v>4219</v>
      </c>
      <c r="D585" s="1" t="s">
        <v>4220</v>
      </c>
      <c r="E585" s="1" t="s">
        <v>4221</v>
      </c>
      <c r="F585" s="1" t="s">
        <v>112</v>
      </c>
      <c r="G585" s="1">
        <v>1906459</v>
      </c>
    </row>
    <row r="586" spans="1:10" x14ac:dyDescent="0.25">
      <c r="A586" s="1" t="str">
        <f t="shared" si="9"/>
        <v>06 17b estradiol 68 dopé</v>
      </c>
      <c r="B5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6" s="1" t="s">
        <v>4222</v>
      </c>
      <c r="D586" s="1" t="s">
        <v>4223</v>
      </c>
      <c r="E586" s="1" t="s">
        <v>4224</v>
      </c>
      <c r="F586" s="1" t="s">
        <v>112</v>
      </c>
      <c r="G586" s="1">
        <v>2753940</v>
      </c>
    </row>
    <row r="587" spans="1:10" x14ac:dyDescent="0.25">
      <c r="A587" s="1" t="str">
        <f t="shared" si="9"/>
        <v/>
      </c>
      <c r="B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87" s="1" t="s">
        <v>112</v>
      </c>
    </row>
    <row r="588" spans="1:10" x14ac:dyDescent="0.25">
      <c r="A588" s="1" t="str">
        <f t="shared" si="9"/>
        <v/>
      </c>
      <c r="B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88" s="1" t="s">
        <v>232</v>
      </c>
      <c r="D588" s="1" t="s">
        <v>112</v>
      </c>
      <c r="E588" s="1" t="s">
        <v>233</v>
      </c>
      <c r="F588" s="1" t="s">
        <v>234</v>
      </c>
      <c r="G588" s="1" t="s">
        <v>235</v>
      </c>
      <c r="H588" s="1" t="s">
        <v>236</v>
      </c>
      <c r="I588" s="1" t="s">
        <v>237</v>
      </c>
      <c r="J588" s="1" t="s">
        <v>238</v>
      </c>
    </row>
    <row r="589" spans="1:10" x14ac:dyDescent="0.25">
      <c r="A589" s="1" t="str">
        <f t="shared" si="9"/>
        <v>06 17b estradiol 68 dopé</v>
      </c>
      <c r="B5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89" s="1" t="s">
        <v>4225</v>
      </c>
      <c r="D589" s="1" t="s">
        <v>112</v>
      </c>
      <c r="E589" s="1" t="s">
        <v>4226</v>
      </c>
      <c r="F589" s="1" t="s">
        <v>4227</v>
      </c>
      <c r="G589" s="1" t="s">
        <v>4228</v>
      </c>
      <c r="H589" s="1" t="s">
        <v>4229</v>
      </c>
      <c r="I589" s="1">
        <v>24</v>
      </c>
      <c r="J589" s="1">
        <v>24</v>
      </c>
    </row>
    <row r="590" spans="1:10" x14ac:dyDescent="0.25">
      <c r="A590" s="1" t="str">
        <f t="shared" si="9"/>
        <v/>
      </c>
      <c r="B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0" s="1" t="s">
        <v>112</v>
      </c>
    </row>
    <row r="591" spans="1:10" x14ac:dyDescent="0.25">
      <c r="A591" s="1" t="str">
        <f t="shared" si="9"/>
        <v/>
      </c>
      <c r="B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1" s="1" t="s">
        <v>112</v>
      </c>
    </row>
    <row r="592" spans="1:10" x14ac:dyDescent="0.25">
      <c r="A592" s="1" t="str">
        <f t="shared" si="9"/>
        <v/>
      </c>
      <c r="B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2" s="1" t="s">
        <v>112</v>
      </c>
    </row>
    <row r="593" spans="1:7" x14ac:dyDescent="0.25">
      <c r="A593" s="1" t="str">
        <f t="shared" si="9"/>
        <v/>
      </c>
      <c r="B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3" s="1" t="s">
        <v>112</v>
      </c>
    </row>
    <row r="594" spans="1:7" x14ac:dyDescent="0.25">
      <c r="A594" s="1" t="str">
        <f t="shared" si="9"/>
        <v/>
      </c>
      <c r="B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4" s="1" t="s">
        <v>112</v>
      </c>
    </row>
    <row r="595" spans="1:7" x14ac:dyDescent="0.25">
      <c r="A595" s="1" t="str">
        <f t="shared" si="9"/>
        <v/>
      </c>
      <c r="B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5" s="1" t="s">
        <v>244</v>
      </c>
      <c r="D595" s="1" t="s">
        <v>110</v>
      </c>
      <c r="E595" s="1" t="s">
        <v>111</v>
      </c>
      <c r="F595" s="1" t="s">
        <v>112</v>
      </c>
      <c r="G595" s="1" t="s">
        <v>113</v>
      </c>
    </row>
    <row r="596" spans="1:7" x14ac:dyDescent="0.25">
      <c r="A596" s="1" t="str">
        <f t="shared" si="9"/>
        <v>07 17b estradiol 135 dopé</v>
      </c>
      <c r="B59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6" s="1" t="s">
        <v>4230</v>
      </c>
    </row>
    <row r="597" spans="1:7" x14ac:dyDescent="0.25">
      <c r="A597" s="1" t="str">
        <f t="shared" si="9"/>
        <v>07 17b estradiol 135 dopé</v>
      </c>
      <c r="B5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7" s="1" t="s">
        <v>4231</v>
      </c>
    </row>
    <row r="598" spans="1:7" x14ac:dyDescent="0.25">
      <c r="A598" s="1" t="str">
        <f t="shared" si="9"/>
        <v>07 17b estradiol 135 dopé</v>
      </c>
      <c r="B5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8" s="1" t="s">
        <v>4232</v>
      </c>
    </row>
    <row r="599" spans="1:7" x14ac:dyDescent="0.25">
      <c r="A599" s="1" t="str">
        <f t="shared" si="9"/>
        <v>07 17b estradiol 135 dopé</v>
      </c>
      <c r="B5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99" s="1" t="s">
        <v>4233</v>
      </c>
      <c r="D599" s="1" t="s">
        <v>4234</v>
      </c>
      <c r="E599" s="1" t="s">
        <v>4235</v>
      </c>
      <c r="F599" s="1" t="s">
        <v>112</v>
      </c>
      <c r="G599" s="1">
        <v>6344892</v>
      </c>
    </row>
    <row r="600" spans="1:7" x14ac:dyDescent="0.25">
      <c r="A600" s="1" t="str">
        <f t="shared" si="9"/>
        <v>07 17b estradiol 135 dopé</v>
      </c>
      <c r="B6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00" s="1" t="s">
        <v>4236</v>
      </c>
      <c r="D600" s="1" t="s">
        <v>1581</v>
      </c>
      <c r="E600" s="1" t="s">
        <v>4237</v>
      </c>
      <c r="F600" s="1" t="s">
        <v>112</v>
      </c>
      <c r="G600" s="1">
        <v>5860144</v>
      </c>
    </row>
    <row r="601" spans="1:7" x14ac:dyDescent="0.25">
      <c r="A601" s="1" t="str">
        <f t="shared" si="9"/>
        <v>07 17b estradiol 135 dopé</v>
      </c>
      <c r="B6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01" s="1" t="s">
        <v>4238</v>
      </c>
      <c r="D601" s="1" t="s">
        <v>4239</v>
      </c>
      <c r="E601" s="1" t="s">
        <v>4240</v>
      </c>
      <c r="F601" s="1" t="s">
        <v>112</v>
      </c>
      <c r="G601" s="1">
        <v>5916923</v>
      </c>
    </row>
    <row r="602" spans="1:7" x14ac:dyDescent="0.25">
      <c r="A602" s="1" t="str">
        <f t="shared" si="9"/>
        <v>07 17b estradiol 135 dopé</v>
      </c>
      <c r="B6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2" s="1" t="s">
        <v>4241</v>
      </c>
      <c r="D602" s="1" t="s">
        <v>2785</v>
      </c>
      <c r="E602" s="1" t="s">
        <v>4242</v>
      </c>
      <c r="F602" s="1" t="s">
        <v>112</v>
      </c>
      <c r="G602" s="1">
        <v>5307846</v>
      </c>
    </row>
    <row r="603" spans="1:7" x14ac:dyDescent="0.25">
      <c r="A603" s="1" t="str">
        <f t="shared" si="9"/>
        <v>07 17b estradiol 135 dopé</v>
      </c>
      <c r="B6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3" s="1" t="s">
        <v>4243</v>
      </c>
      <c r="D603" s="1" t="s">
        <v>4244</v>
      </c>
      <c r="E603" s="1" t="s">
        <v>4245</v>
      </c>
      <c r="F603" s="1" t="s">
        <v>112</v>
      </c>
      <c r="G603" s="1">
        <v>5281609</v>
      </c>
    </row>
    <row r="604" spans="1:7" x14ac:dyDescent="0.25">
      <c r="A604" s="1" t="str">
        <f t="shared" si="9"/>
        <v>07 17b estradiol 135 dopé</v>
      </c>
      <c r="B6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4" s="1" t="s">
        <v>4246</v>
      </c>
      <c r="D604" s="1" t="s">
        <v>4247</v>
      </c>
      <c r="E604" s="1" t="s">
        <v>4248</v>
      </c>
      <c r="F604" s="1" t="s">
        <v>112</v>
      </c>
      <c r="G604" s="1">
        <v>4847908</v>
      </c>
    </row>
    <row r="605" spans="1:7" x14ac:dyDescent="0.25">
      <c r="A605" s="1" t="str">
        <f t="shared" si="9"/>
        <v>07 17b estradiol 135 dopé</v>
      </c>
      <c r="B6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5" s="1" t="s">
        <v>4249</v>
      </c>
      <c r="D605" s="1" t="s">
        <v>4250</v>
      </c>
      <c r="E605" s="1" t="s">
        <v>4251</v>
      </c>
      <c r="F605" s="1" t="s">
        <v>112</v>
      </c>
      <c r="G605" s="1">
        <v>3805261</v>
      </c>
    </row>
    <row r="606" spans="1:7" x14ac:dyDescent="0.25">
      <c r="A606" s="1" t="str">
        <f t="shared" si="9"/>
        <v>07 17b estradiol 135 dopé</v>
      </c>
      <c r="B6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6" s="1" t="s">
        <v>4252</v>
      </c>
      <c r="D606" s="1" t="s">
        <v>4253</v>
      </c>
      <c r="E606" s="1" t="s">
        <v>4254</v>
      </c>
      <c r="F606" s="1" t="s">
        <v>112</v>
      </c>
      <c r="G606" s="1">
        <v>3440213</v>
      </c>
    </row>
    <row r="607" spans="1:7" x14ac:dyDescent="0.25">
      <c r="A607" s="1" t="str">
        <f t="shared" si="9"/>
        <v>07 17b estradiol 135 dopé</v>
      </c>
      <c r="B6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7" s="1" t="s">
        <v>4255</v>
      </c>
      <c r="D607" s="1" t="s">
        <v>3845</v>
      </c>
      <c r="E607" s="1" t="s">
        <v>4256</v>
      </c>
      <c r="F607" s="1" t="s">
        <v>112</v>
      </c>
      <c r="G607" s="1">
        <v>3343030</v>
      </c>
    </row>
    <row r="608" spans="1:7" x14ac:dyDescent="0.25">
      <c r="A608" s="1" t="str">
        <f t="shared" si="9"/>
        <v>07 17b estradiol 135 dopé</v>
      </c>
      <c r="B6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08" s="1" t="s">
        <v>4257</v>
      </c>
      <c r="D608" s="1" t="s">
        <v>963</v>
      </c>
      <c r="E608" s="1" t="s">
        <v>4258</v>
      </c>
      <c r="F608" s="1" t="s">
        <v>112</v>
      </c>
      <c r="G608" s="1">
        <v>4596374</v>
      </c>
    </row>
    <row r="609" spans="1:10" x14ac:dyDescent="0.25">
      <c r="A609" s="1" t="str">
        <f t="shared" si="9"/>
        <v>07 17b estradiol 135 dopé</v>
      </c>
      <c r="B6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09" s="1" t="s">
        <v>4259</v>
      </c>
      <c r="D609" s="1" t="s">
        <v>4260</v>
      </c>
      <c r="E609" s="1" t="s">
        <v>4261</v>
      </c>
      <c r="F609" s="1" t="s">
        <v>112</v>
      </c>
      <c r="G609" s="1">
        <v>4637406</v>
      </c>
    </row>
    <row r="610" spans="1:10" x14ac:dyDescent="0.25">
      <c r="A610" s="1" t="str">
        <f t="shared" si="9"/>
        <v>07 17b estradiol 135 dopé</v>
      </c>
      <c r="B6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10" s="1" t="s">
        <v>4262</v>
      </c>
      <c r="D610" s="1" t="s">
        <v>4263</v>
      </c>
      <c r="E610" s="1" t="s">
        <v>4264</v>
      </c>
      <c r="F610" s="1" t="s">
        <v>112</v>
      </c>
      <c r="G610" s="1">
        <v>4588825</v>
      </c>
    </row>
    <row r="611" spans="1:10" x14ac:dyDescent="0.25">
      <c r="A611" s="1" t="str">
        <f t="shared" si="9"/>
        <v>07 17b estradiol 135 dopé</v>
      </c>
      <c r="B6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1" s="1" t="s">
        <v>4265</v>
      </c>
      <c r="D611" s="1" t="s">
        <v>4266</v>
      </c>
      <c r="E611" s="1" t="s">
        <v>4267</v>
      </c>
      <c r="F611" s="1" t="s">
        <v>112</v>
      </c>
      <c r="G611" s="1">
        <v>1534079</v>
      </c>
    </row>
    <row r="612" spans="1:10" x14ac:dyDescent="0.25">
      <c r="A612" s="1" t="str">
        <f t="shared" si="9"/>
        <v>07 17b estradiol 135 dopé</v>
      </c>
      <c r="B6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2" s="1" t="s">
        <v>4268</v>
      </c>
      <c r="D612" s="1" t="s">
        <v>4269</v>
      </c>
      <c r="E612" s="1" t="s">
        <v>4270</v>
      </c>
      <c r="F612" s="1" t="s">
        <v>112</v>
      </c>
      <c r="G612" s="1">
        <v>1825671</v>
      </c>
    </row>
    <row r="613" spans="1:10" x14ac:dyDescent="0.25">
      <c r="A613" s="1" t="str">
        <f t="shared" si="9"/>
        <v>07 17b estradiol 135 dopé</v>
      </c>
      <c r="B6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3" s="1" t="s">
        <v>4271</v>
      </c>
      <c r="D613" s="1" t="s">
        <v>4272</v>
      </c>
      <c r="E613" s="1" t="s">
        <v>4273</v>
      </c>
      <c r="F613" s="1" t="s">
        <v>112</v>
      </c>
      <c r="G613" s="1">
        <v>1192608</v>
      </c>
    </row>
    <row r="614" spans="1:10" x14ac:dyDescent="0.25">
      <c r="A614" s="1" t="str">
        <f t="shared" si="9"/>
        <v>07 17b estradiol 135 dopé</v>
      </c>
      <c r="B6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4" s="1" t="s">
        <v>4274</v>
      </c>
      <c r="D614" s="1" t="s">
        <v>4275</v>
      </c>
      <c r="E614" s="1" t="s">
        <v>4276</v>
      </c>
      <c r="F614" s="1" t="s">
        <v>112</v>
      </c>
      <c r="G614" s="1">
        <v>4872047</v>
      </c>
    </row>
    <row r="615" spans="1:10" x14ac:dyDescent="0.25">
      <c r="A615" s="1" t="str">
        <f t="shared" si="9"/>
        <v>07 17b estradiol 135 dopé</v>
      </c>
      <c r="B6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5" s="1" t="s">
        <v>4277</v>
      </c>
      <c r="D615" s="1" t="s">
        <v>4278</v>
      </c>
      <c r="E615" s="1" t="s">
        <v>4279</v>
      </c>
      <c r="F615" s="1" t="s">
        <v>112</v>
      </c>
      <c r="G615" s="1">
        <v>4608682</v>
      </c>
    </row>
    <row r="616" spans="1:10" x14ac:dyDescent="0.25">
      <c r="A616" s="1" t="str">
        <f t="shared" si="9"/>
        <v>07 17b estradiol 135 dopé</v>
      </c>
      <c r="B6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6" s="1" t="s">
        <v>4280</v>
      </c>
      <c r="D616" s="1" t="s">
        <v>4281</v>
      </c>
      <c r="E616" s="1" t="s">
        <v>4282</v>
      </c>
      <c r="F616" s="1" t="s">
        <v>112</v>
      </c>
      <c r="G616" s="1">
        <v>4643419</v>
      </c>
    </row>
    <row r="617" spans="1:10" x14ac:dyDescent="0.25">
      <c r="A617" s="1" t="str">
        <f t="shared" si="9"/>
        <v>07 17b estradiol 135 dopé</v>
      </c>
      <c r="B6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7" s="1" t="s">
        <v>4283</v>
      </c>
      <c r="D617" s="1" t="s">
        <v>4284</v>
      </c>
      <c r="E617" s="1" t="s">
        <v>4285</v>
      </c>
      <c r="F617" s="1" t="s">
        <v>112</v>
      </c>
      <c r="G617" s="1">
        <v>2625069</v>
      </c>
    </row>
    <row r="618" spans="1:10" x14ac:dyDescent="0.25">
      <c r="A618" s="1" t="str">
        <f t="shared" si="9"/>
        <v>07 17b estradiol 135 dopé</v>
      </c>
      <c r="B6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8" s="1" t="s">
        <v>4286</v>
      </c>
      <c r="D618" s="1" t="s">
        <v>4287</v>
      </c>
      <c r="E618" s="1" t="s">
        <v>4288</v>
      </c>
      <c r="F618" s="1" t="s">
        <v>112</v>
      </c>
      <c r="G618" s="1">
        <v>2448201</v>
      </c>
    </row>
    <row r="619" spans="1:10" x14ac:dyDescent="0.25">
      <c r="A619" s="1" t="str">
        <f t="shared" si="9"/>
        <v>07 17b estradiol 135 dopé</v>
      </c>
      <c r="B6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9" s="1" t="s">
        <v>4289</v>
      </c>
      <c r="D619" s="1" t="s">
        <v>4290</v>
      </c>
      <c r="E619" s="1" t="s">
        <v>4291</v>
      </c>
      <c r="F619" s="1" t="s">
        <v>112</v>
      </c>
      <c r="G619" s="1">
        <v>2617087</v>
      </c>
    </row>
    <row r="620" spans="1:10" x14ac:dyDescent="0.25">
      <c r="A620" s="1" t="str">
        <f t="shared" si="9"/>
        <v/>
      </c>
      <c r="B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0" s="1" t="s">
        <v>112</v>
      </c>
    </row>
    <row r="621" spans="1:10" x14ac:dyDescent="0.25">
      <c r="A621" s="1" t="str">
        <f t="shared" si="9"/>
        <v/>
      </c>
      <c r="B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1" s="1" t="s">
        <v>232</v>
      </c>
      <c r="D621" s="1" t="s">
        <v>112</v>
      </c>
      <c r="E621" s="1" t="s">
        <v>233</v>
      </c>
      <c r="F621" s="1" t="s">
        <v>234</v>
      </c>
      <c r="G621" s="1" t="s">
        <v>235</v>
      </c>
      <c r="H621" s="1" t="s">
        <v>236</v>
      </c>
      <c r="I621" s="1" t="s">
        <v>237</v>
      </c>
      <c r="J621" s="1" t="s">
        <v>238</v>
      </c>
    </row>
    <row r="622" spans="1:10" x14ac:dyDescent="0.25">
      <c r="A622" s="1" t="str">
        <f t="shared" si="9"/>
        <v>07 17b estradiol 135 dopé</v>
      </c>
      <c r="B6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22" s="1" t="s">
        <v>4292</v>
      </c>
      <c r="D622" s="1" t="s">
        <v>112</v>
      </c>
      <c r="E622" s="1" t="s">
        <v>4293</v>
      </c>
      <c r="F622" s="1" t="s">
        <v>4294</v>
      </c>
      <c r="G622" s="1">
        <v>3517366</v>
      </c>
      <c r="H622" s="1" t="s">
        <v>4295</v>
      </c>
      <c r="I622" s="1">
        <v>24</v>
      </c>
      <c r="J622" s="1">
        <v>24</v>
      </c>
    </row>
    <row r="623" spans="1:10" x14ac:dyDescent="0.25">
      <c r="A623" s="1" t="str">
        <f t="shared" si="9"/>
        <v/>
      </c>
      <c r="B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3" s="1" t="s">
        <v>112</v>
      </c>
    </row>
    <row r="624" spans="1:10" x14ac:dyDescent="0.25">
      <c r="A624" s="1" t="str">
        <f t="shared" si="9"/>
        <v/>
      </c>
      <c r="B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4" s="1" t="s">
        <v>112</v>
      </c>
    </row>
    <row r="625" spans="1:7" x14ac:dyDescent="0.25">
      <c r="A625" s="1" t="str">
        <f t="shared" si="9"/>
        <v/>
      </c>
      <c r="B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5" s="1" t="s">
        <v>112</v>
      </c>
    </row>
    <row r="626" spans="1:7" x14ac:dyDescent="0.25">
      <c r="A626" s="1" t="str">
        <f t="shared" si="9"/>
        <v/>
      </c>
      <c r="B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6" s="1" t="s">
        <v>112</v>
      </c>
    </row>
    <row r="627" spans="1:7" x14ac:dyDescent="0.25">
      <c r="A627" s="1" t="str">
        <f t="shared" si="9"/>
        <v/>
      </c>
      <c r="B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7" s="1" t="s">
        <v>112</v>
      </c>
    </row>
    <row r="628" spans="1:7" x14ac:dyDescent="0.25">
      <c r="A628" s="1" t="str">
        <f t="shared" si="9"/>
        <v/>
      </c>
      <c r="B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8" s="1" t="s">
        <v>244</v>
      </c>
      <c r="D628" s="1" t="s">
        <v>110</v>
      </c>
      <c r="E628" s="1" t="s">
        <v>111</v>
      </c>
      <c r="F628" s="1" t="s">
        <v>112</v>
      </c>
      <c r="G628" s="1" t="s">
        <v>113</v>
      </c>
    </row>
    <row r="629" spans="1:7" x14ac:dyDescent="0.25">
      <c r="A629" s="1" t="str">
        <f t="shared" si="9"/>
        <v>08 17b estradiol 270 dopé</v>
      </c>
      <c r="B62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29" s="1" t="s">
        <v>4296</v>
      </c>
      <c r="D629" s="1" t="s">
        <v>3765</v>
      </c>
      <c r="E629" s="1" t="s">
        <v>4297</v>
      </c>
      <c r="F629" s="1" t="s">
        <v>112</v>
      </c>
      <c r="G629" s="1">
        <v>4799155</v>
      </c>
    </row>
    <row r="630" spans="1:7" x14ac:dyDescent="0.25">
      <c r="A630" s="1" t="str">
        <f t="shared" si="9"/>
        <v>08 17b estradiol 270 dopé</v>
      </c>
      <c r="B6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30" s="1" t="s">
        <v>4298</v>
      </c>
      <c r="D630" s="1" t="s">
        <v>3724</v>
      </c>
      <c r="E630" s="1" t="s">
        <v>4299</v>
      </c>
      <c r="F630" s="1" t="s">
        <v>112</v>
      </c>
      <c r="G630" s="1">
        <v>4380616</v>
      </c>
    </row>
    <row r="631" spans="1:7" x14ac:dyDescent="0.25">
      <c r="A631" s="1" t="str">
        <f t="shared" si="9"/>
        <v>08 17b estradiol 270 dopé</v>
      </c>
      <c r="B6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31" s="1" t="s">
        <v>4300</v>
      </c>
      <c r="D631" s="1" t="s">
        <v>4301</v>
      </c>
      <c r="E631" s="1" t="s">
        <v>4302</v>
      </c>
      <c r="F631" s="1" t="s">
        <v>112</v>
      </c>
      <c r="G631" s="1">
        <v>4376852</v>
      </c>
    </row>
    <row r="632" spans="1:7" x14ac:dyDescent="0.25">
      <c r="A632" s="1" t="str">
        <f t="shared" si="9"/>
        <v>08 17b estradiol 270 dopé</v>
      </c>
      <c r="B6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2" s="1" t="s">
        <v>4303</v>
      </c>
      <c r="D632" s="1" t="s">
        <v>4304</v>
      </c>
      <c r="E632" s="1" t="s">
        <v>4305</v>
      </c>
      <c r="F632" s="1" t="s">
        <v>112</v>
      </c>
      <c r="G632" s="1">
        <v>1909509</v>
      </c>
    </row>
    <row r="633" spans="1:7" x14ac:dyDescent="0.25">
      <c r="A633" s="1" t="str">
        <f t="shared" si="9"/>
        <v>08 17b estradiol 270 dopé</v>
      </c>
      <c r="B6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3" s="1" t="s">
        <v>4306</v>
      </c>
      <c r="D633" s="1" t="s">
        <v>4307</v>
      </c>
      <c r="E633" s="1" t="s">
        <v>4308</v>
      </c>
      <c r="F633" s="1" t="s">
        <v>112</v>
      </c>
      <c r="G633" s="1">
        <v>2000700</v>
      </c>
    </row>
    <row r="634" spans="1:7" x14ac:dyDescent="0.25">
      <c r="A634" s="1" t="str">
        <f t="shared" si="9"/>
        <v>08 17b estradiol 270 dopé</v>
      </c>
      <c r="B6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4" s="1" t="s">
        <v>4309</v>
      </c>
      <c r="D634" s="1" t="s">
        <v>4310</v>
      </c>
      <c r="E634" s="1" t="s">
        <v>4311</v>
      </c>
      <c r="F634" s="1" t="s">
        <v>112</v>
      </c>
      <c r="G634" s="1">
        <v>1953223</v>
      </c>
    </row>
    <row r="635" spans="1:7" x14ac:dyDescent="0.25">
      <c r="A635" s="1" t="str">
        <f t="shared" si="9"/>
        <v>08 17b estradiol 270 dopé</v>
      </c>
      <c r="B6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5" s="1" t="s">
        <v>4312</v>
      </c>
      <c r="D635" s="1" t="s">
        <v>4313</v>
      </c>
      <c r="E635" s="1" t="s">
        <v>4314</v>
      </c>
      <c r="F635" s="1" t="s">
        <v>112</v>
      </c>
      <c r="G635" s="1">
        <v>3895349</v>
      </c>
    </row>
    <row r="636" spans="1:7" x14ac:dyDescent="0.25">
      <c r="A636" s="1" t="str">
        <f t="shared" si="9"/>
        <v>08 17b estradiol 270 dopé</v>
      </c>
      <c r="B6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6" s="1" t="s">
        <v>4315</v>
      </c>
      <c r="D636" s="1" t="s">
        <v>4316</v>
      </c>
      <c r="E636" s="1" t="s">
        <v>4317</v>
      </c>
      <c r="F636" s="1" t="s">
        <v>112</v>
      </c>
      <c r="G636" s="1">
        <v>3878738</v>
      </c>
    </row>
    <row r="637" spans="1:7" x14ac:dyDescent="0.25">
      <c r="A637" s="1" t="str">
        <f t="shared" si="9"/>
        <v>08 17b estradiol 270 dopé</v>
      </c>
      <c r="B6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7" s="1" t="s">
        <v>4318</v>
      </c>
      <c r="D637" s="1" t="s">
        <v>4319</v>
      </c>
      <c r="E637" s="1" t="s">
        <v>4320</v>
      </c>
      <c r="F637" s="1" t="s">
        <v>112</v>
      </c>
      <c r="G637" s="1">
        <v>3373333</v>
      </c>
    </row>
    <row r="638" spans="1:7" x14ac:dyDescent="0.25">
      <c r="A638" s="1" t="str">
        <f t="shared" si="9"/>
        <v>08 17b estradiol 270 dopé</v>
      </c>
      <c r="B6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8" s="1" t="s">
        <v>4321</v>
      </c>
    </row>
    <row r="639" spans="1:7" x14ac:dyDescent="0.25">
      <c r="A639" s="1" t="str">
        <f t="shared" si="9"/>
        <v>08 17b estradiol 270 dopé</v>
      </c>
      <c r="B6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9" s="1" t="s">
        <v>4322</v>
      </c>
      <c r="D639" s="1" t="s">
        <v>4323</v>
      </c>
      <c r="E639" s="1" t="s">
        <v>4324</v>
      </c>
      <c r="F639" s="1" t="s">
        <v>112</v>
      </c>
      <c r="G639" s="1">
        <v>3182428</v>
      </c>
    </row>
    <row r="640" spans="1:7" x14ac:dyDescent="0.25">
      <c r="A640" s="1" t="str">
        <f t="shared" si="9"/>
        <v>08 17b estradiol 270 dopé</v>
      </c>
      <c r="B6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40" s="1" t="s">
        <v>4325</v>
      </c>
      <c r="D640" s="1" t="s">
        <v>4326</v>
      </c>
      <c r="E640" s="1" t="s">
        <v>4327</v>
      </c>
      <c r="F640" s="1" t="s">
        <v>112</v>
      </c>
      <c r="G640" s="1">
        <v>3365201</v>
      </c>
    </row>
    <row r="641" spans="1:10" x14ac:dyDescent="0.25">
      <c r="A641" s="1" t="str">
        <f t="shared" si="9"/>
        <v>08 17b estradiol 270 dopé</v>
      </c>
      <c r="B6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1" s="1" t="s">
        <v>4328</v>
      </c>
      <c r="D641" s="1" t="s">
        <v>4329</v>
      </c>
      <c r="E641" s="1" t="s">
        <v>4330</v>
      </c>
      <c r="F641" s="1" t="s">
        <v>112</v>
      </c>
      <c r="G641" s="1">
        <v>2742930</v>
      </c>
    </row>
    <row r="642" spans="1:10" x14ac:dyDescent="0.25">
      <c r="A642" s="1" t="str">
        <f t="shared" ref="A642:A705" si="10">IFERROR(LEFT(RIGHT(C642,LEN(C642)-SEARCH("@",C642)),SEARCH("/",RIGHT(C642,LEN(C642)-SEARCH("@",C642)-1))),"")</f>
        <v>08 17b estradiol 270 dopé</v>
      </c>
      <c r="B6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2" s="1" t="s">
        <v>4331</v>
      </c>
      <c r="D642" s="1" t="s">
        <v>4332</v>
      </c>
      <c r="E642" s="1" t="s">
        <v>4333</v>
      </c>
      <c r="F642" s="1" t="s">
        <v>112</v>
      </c>
      <c r="G642" s="1">
        <v>2438230</v>
      </c>
    </row>
    <row r="643" spans="1:10" x14ac:dyDescent="0.25">
      <c r="A643" s="1" t="str">
        <f t="shared" si="10"/>
        <v>08 17b estradiol 270 dopé</v>
      </c>
      <c r="B6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3" s="1" t="s">
        <v>4334</v>
      </c>
      <c r="D643" s="1" t="s">
        <v>4335</v>
      </c>
      <c r="E643" s="1" t="s">
        <v>4336</v>
      </c>
      <c r="F643" s="1" t="s">
        <v>112</v>
      </c>
      <c r="G643" s="1">
        <v>2772779</v>
      </c>
    </row>
    <row r="644" spans="1:10" x14ac:dyDescent="0.25">
      <c r="A644" s="1" t="str">
        <f t="shared" si="10"/>
        <v>08 17b estradiol 270 dopé</v>
      </c>
      <c r="B6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4" s="1" t="s">
        <v>4337</v>
      </c>
      <c r="D644" s="1" t="s">
        <v>4338</v>
      </c>
      <c r="E644" s="1" t="s">
        <v>4339</v>
      </c>
      <c r="F644" s="1" t="s">
        <v>112</v>
      </c>
      <c r="G644" s="1">
        <v>3242559</v>
      </c>
    </row>
    <row r="645" spans="1:10" x14ac:dyDescent="0.25">
      <c r="A645" s="1" t="str">
        <f t="shared" si="10"/>
        <v>08 17b estradiol 270 dopé</v>
      </c>
      <c r="B6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5" s="1" t="s">
        <v>4340</v>
      </c>
      <c r="D645" s="1" t="s">
        <v>4341</v>
      </c>
      <c r="E645" s="1" t="s">
        <v>4342</v>
      </c>
      <c r="F645" s="1" t="s">
        <v>112</v>
      </c>
      <c r="G645" s="1">
        <v>3194433</v>
      </c>
    </row>
    <row r="646" spans="1:10" x14ac:dyDescent="0.25">
      <c r="A646" s="1" t="str">
        <f t="shared" si="10"/>
        <v>08 17b estradiol 270 dopé</v>
      </c>
      <c r="B6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6" s="1" t="s">
        <v>4343</v>
      </c>
      <c r="D646" s="1" t="s">
        <v>4344</v>
      </c>
      <c r="E646" s="1" t="s">
        <v>4345</v>
      </c>
      <c r="F646" s="1" t="s">
        <v>112</v>
      </c>
      <c r="G646" s="1">
        <v>2916099</v>
      </c>
    </row>
    <row r="647" spans="1:10" x14ac:dyDescent="0.25">
      <c r="A647" s="1" t="str">
        <f t="shared" si="10"/>
        <v>08 17b estradiol 270 dopé</v>
      </c>
      <c r="B6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7" s="1" t="s">
        <v>4346</v>
      </c>
      <c r="D647" s="1" t="s">
        <v>4347</v>
      </c>
      <c r="E647" s="1" t="s">
        <v>4348</v>
      </c>
      <c r="F647" s="1" t="s">
        <v>112</v>
      </c>
      <c r="G647" s="1">
        <v>4272942</v>
      </c>
    </row>
    <row r="648" spans="1:10" x14ac:dyDescent="0.25">
      <c r="A648" s="1" t="str">
        <f t="shared" si="10"/>
        <v>08 17b estradiol 270 dopé</v>
      </c>
      <c r="B6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8" s="1" t="s">
        <v>4349</v>
      </c>
      <c r="D648" s="1" t="s">
        <v>4350</v>
      </c>
      <c r="E648" s="1" t="s">
        <v>4351</v>
      </c>
      <c r="F648" s="1" t="s">
        <v>112</v>
      </c>
      <c r="G648" s="1">
        <v>4427445</v>
      </c>
    </row>
    <row r="649" spans="1:10" x14ac:dyDescent="0.25">
      <c r="A649" s="1" t="str">
        <f t="shared" si="10"/>
        <v>08 17b estradiol 270 dopé</v>
      </c>
      <c r="B6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9" s="1" t="s">
        <v>4352</v>
      </c>
      <c r="D649" s="1" t="s">
        <v>4353</v>
      </c>
      <c r="E649" s="1" t="s">
        <v>4354</v>
      </c>
      <c r="F649" s="1" t="s">
        <v>112</v>
      </c>
      <c r="G649" s="1">
        <v>4355136</v>
      </c>
    </row>
    <row r="650" spans="1:10" x14ac:dyDescent="0.25">
      <c r="A650" s="1" t="str">
        <f t="shared" si="10"/>
        <v>08 17b estradiol 270 dopé</v>
      </c>
      <c r="B6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0" s="1" t="s">
        <v>4355</v>
      </c>
      <c r="D650" s="1" t="s">
        <v>2922</v>
      </c>
      <c r="E650" s="1" t="s">
        <v>4356</v>
      </c>
      <c r="F650" s="1" t="s">
        <v>112</v>
      </c>
      <c r="G650" s="1">
        <v>4755008</v>
      </c>
    </row>
    <row r="651" spans="1:10" x14ac:dyDescent="0.25">
      <c r="A651" s="1" t="str">
        <f t="shared" si="10"/>
        <v>08 17b estradiol 270 dopé</v>
      </c>
      <c r="B6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1" s="1" t="s">
        <v>4357</v>
      </c>
      <c r="D651" s="1" t="s">
        <v>4358</v>
      </c>
      <c r="E651" s="1" t="s">
        <v>4359</v>
      </c>
      <c r="F651" s="1" t="s">
        <v>112</v>
      </c>
      <c r="G651" s="1">
        <v>4475658</v>
      </c>
    </row>
    <row r="652" spans="1:10" x14ac:dyDescent="0.25">
      <c r="A652" s="1" t="str">
        <f t="shared" si="10"/>
        <v>08 17b estradiol 270 dopé</v>
      </c>
      <c r="B6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2" s="1" t="s">
        <v>4360</v>
      </c>
      <c r="D652" s="1" t="s">
        <v>898</v>
      </c>
      <c r="E652" s="1" t="s">
        <v>4361</v>
      </c>
      <c r="F652" s="1" t="s">
        <v>112</v>
      </c>
      <c r="G652" s="1">
        <v>4133797</v>
      </c>
    </row>
    <row r="653" spans="1:10" x14ac:dyDescent="0.25">
      <c r="A653" s="1" t="str">
        <f t="shared" si="10"/>
        <v/>
      </c>
      <c r="B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3" s="1" t="s">
        <v>112</v>
      </c>
    </row>
    <row r="654" spans="1:10" x14ac:dyDescent="0.25">
      <c r="A654" s="1" t="str">
        <f t="shared" si="10"/>
        <v/>
      </c>
      <c r="B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4" s="1" t="s">
        <v>232</v>
      </c>
      <c r="D654" s="1" t="s">
        <v>112</v>
      </c>
      <c r="E654" s="1" t="s">
        <v>233</v>
      </c>
      <c r="F654" s="1" t="s">
        <v>234</v>
      </c>
      <c r="G654" s="1" t="s">
        <v>235</v>
      </c>
      <c r="H654" s="1" t="s">
        <v>236</v>
      </c>
      <c r="I654" s="1" t="s">
        <v>237</v>
      </c>
      <c r="J654" s="1" t="s">
        <v>238</v>
      </c>
    </row>
    <row r="655" spans="1:10" x14ac:dyDescent="0.25">
      <c r="A655" s="1" t="str">
        <f t="shared" si="10"/>
        <v>08 17b estradiol 270 dopé</v>
      </c>
      <c r="B6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55" s="1" t="s">
        <v>4362</v>
      </c>
      <c r="D655" s="1" t="s">
        <v>112</v>
      </c>
      <c r="E655" s="1" t="s">
        <v>4363</v>
      </c>
      <c r="F655" s="1" t="s">
        <v>4364</v>
      </c>
      <c r="G655" s="1" t="s">
        <v>4365</v>
      </c>
      <c r="H655" s="1" t="s">
        <v>4366</v>
      </c>
      <c r="I655" s="1">
        <v>24</v>
      </c>
      <c r="J655" s="1">
        <v>24</v>
      </c>
    </row>
    <row r="656" spans="1:10" x14ac:dyDescent="0.25">
      <c r="A656" s="1" t="str">
        <f t="shared" si="10"/>
        <v/>
      </c>
      <c r="B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6" s="1" t="s">
        <v>112</v>
      </c>
    </row>
    <row r="657" spans="1:7" x14ac:dyDescent="0.25">
      <c r="A657" s="1" t="str">
        <f t="shared" si="10"/>
        <v/>
      </c>
      <c r="B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7" s="1" t="s">
        <v>112</v>
      </c>
    </row>
    <row r="658" spans="1:7" x14ac:dyDescent="0.25">
      <c r="A658" s="1" t="str">
        <f t="shared" si="10"/>
        <v/>
      </c>
      <c r="B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8" s="1" t="s">
        <v>112</v>
      </c>
    </row>
    <row r="659" spans="1:7" x14ac:dyDescent="0.25">
      <c r="A659" s="1" t="str">
        <f t="shared" si="10"/>
        <v/>
      </c>
      <c r="B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9" s="1" t="s">
        <v>112</v>
      </c>
    </row>
    <row r="660" spans="1:7" x14ac:dyDescent="0.25">
      <c r="A660" s="1" t="str">
        <f t="shared" si="10"/>
        <v/>
      </c>
      <c r="B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0" s="1" t="s">
        <v>112</v>
      </c>
    </row>
    <row r="661" spans="1:7" x14ac:dyDescent="0.25">
      <c r="A661" s="1" t="str">
        <f t="shared" si="10"/>
        <v/>
      </c>
      <c r="B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1" s="1" t="s">
        <v>244</v>
      </c>
      <c r="D661" s="1" t="s">
        <v>110</v>
      </c>
      <c r="E661" s="1" t="s">
        <v>111</v>
      </c>
      <c r="F661" s="1" t="s">
        <v>112</v>
      </c>
      <c r="G661" s="1" t="s">
        <v>113</v>
      </c>
    </row>
    <row r="662" spans="1:7" x14ac:dyDescent="0.25">
      <c r="A662" s="1" t="str">
        <f t="shared" si="10"/>
        <v>09 17b estradiol 540 dopé</v>
      </c>
      <c r="B66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2" s="1" t="s">
        <v>4367</v>
      </c>
    </row>
    <row r="663" spans="1:7" x14ac:dyDescent="0.25">
      <c r="A663" s="1" t="str">
        <f t="shared" si="10"/>
        <v>09 17b estradiol 540 dopé</v>
      </c>
      <c r="B6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3" s="1" t="s">
        <v>4368</v>
      </c>
    </row>
    <row r="664" spans="1:7" x14ac:dyDescent="0.25">
      <c r="A664" s="1" t="str">
        <f t="shared" si="10"/>
        <v>09 17b estradiol 540 dopé</v>
      </c>
      <c r="B6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4" s="1" t="s">
        <v>4369</v>
      </c>
    </row>
    <row r="665" spans="1:7" x14ac:dyDescent="0.25">
      <c r="A665" s="1" t="str">
        <f t="shared" si="10"/>
        <v>09 17b estradiol 540 dopé</v>
      </c>
      <c r="B6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5" s="1" t="s">
        <v>4370</v>
      </c>
      <c r="D665" s="1" t="s">
        <v>4371</v>
      </c>
      <c r="E665" s="1" t="s">
        <v>4372</v>
      </c>
      <c r="F665" s="1" t="s">
        <v>112</v>
      </c>
      <c r="G665" s="1">
        <v>5348164</v>
      </c>
    </row>
    <row r="666" spans="1:7" x14ac:dyDescent="0.25">
      <c r="A666" s="1" t="str">
        <f t="shared" si="10"/>
        <v>09 17b estradiol 540 dopé</v>
      </c>
      <c r="B6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6" s="1" t="s">
        <v>4373</v>
      </c>
      <c r="D666" s="1" t="s">
        <v>4374</v>
      </c>
      <c r="E666" s="1" t="s">
        <v>4375</v>
      </c>
      <c r="F666" s="1" t="s">
        <v>112</v>
      </c>
      <c r="G666" s="1">
        <v>5295085</v>
      </c>
    </row>
    <row r="667" spans="1:7" x14ac:dyDescent="0.25">
      <c r="A667" s="1" t="str">
        <f t="shared" si="10"/>
        <v>09 17b estradiol 540 dopé</v>
      </c>
      <c r="B6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7" s="1" t="s">
        <v>4376</v>
      </c>
      <c r="D667" s="1" t="s">
        <v>4377</v>
      </c>
      <c r="E667" s="1" t="s">
        <v>4378</v>
      </c>
      <c r="F667" s="1" t="s">
        <v>112</v>
      </c>
      <c r="G667" s="1">
        <v>5243562</v>
      </c>
    </row>
    <row r="668" spans="1:7" x14ac:dyDescent="0.25">
      <c r="A668" s="1" t="str">
        <f t="shared" si="10"/>
        <v>09 17b estradiol 540 dopé</v>
      </c>
      <c r="B6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8" s="1" t="s">
        <v>4379</v>
      </c>
      <c r="D668" s="1" t="s">
        <v>4380</v>
      </c>
      <c r="E668" s="1" t="s">
        <v>4381</v>
      </c>
      <c r="F668" s="1" t="s">
        <v>112</v>
      </c>
      <c r="G668" s="1">
        <v>3348978</v>
      </c>
    </row>
    <row r="669" spans="1:7" x14ac:dyDescent="0.25">
      <c r="A669" s="1" t="str">
        <f t="shared" si="10"/>
        <v>09 17b estradiol 540 dopé</v>
      </c>
      <c r="B6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9" s="1" t="s">
        <v>4382</v>
      </c>
      <c r="D669" s="1" t="s">
        <v>1363</v>
      </c>
      <c r="E669" s="1" t="s">
        <v>4383</v>
      </c>
      <c r="F669" s="1" t="s">
        <v>112</v>
      </c>
      <c r="G669" s="1">
        <v>3520460</v>
      </c>
    </row>
    <row r="670" spans="1:7" x14ac:dyDescent="0.25">
      <c r="A670" s="1" t="str">
        <f t="shared" si="10"/>
        <v>09 17b estradiol 540 dopé</v>
      </c>
      <c r="B6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70" s="1" t="s">
        <v>4384</v>
      </c>
      <c r="D670" s="1" t="s">
        <v>4385</v>
      </c>
      <c r="E670" s="1" t="s">
        <v>4386</v>
      </c>
      <c r="F670" s="1" t="s">
        <v>112</v>
      </c>
      <c r="G670" s="1">
        <v>3499284</v>
      </c>
    </row>
    <row r="671" spans="1:7" x14ac:dyDescent="0.25">
      <c r="A671" s="1" t="str">
        <f t="shared" si="10"/>
        <v>09 17b estradiol 540 dopé</v>
      </c>
      <c r="B6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1" s="1" t="s">
        <v>4387</v>
      </c>
      <c r="D671" s="1" t="s">
        <v>2863</v>
      </c>
      <c r="E671" s="1" t="s">
        <v>4388</v>
      </c>
      <c r="F671" s="1" t="s">
        <v>112</v>
      </c>
      <c r="G671" s="1">
        <v>4627759</v>
      </c>
    </row>
    <row r="672" spans="1:7" x14ac:dyDescent="0.25">
      <c r="A672" s="1" t="str">
        <f t="shared" si="10"/>
        <v>09 17b estradiol 540 dopé</v>
      </c>
      <c r="B6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2" s="1" t="s">
        <v>4389</v>
      </c>
      <c r="D672" s="1" t="s">
        <v>4390</v>
      </c>
      <c r="E672" s="1" t="s">
        <v>4391</v>
      </c>
      <c r="F672" s="1" t="s">
        <v>112</v>
      </c>
      <c r="G672" s="1">
        <v>4853619</v>
      </c>
    </row>
    <row r="673" spans="1:10" x14ac:dyDescent="0.25">
      <c r="A673" s="1" t="str">
        <f t="shared" si="10"/>
        <v>09 17b estradiol 540 dopé</v>
      </c>
      <c r="B6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3" s="1" t="s">
        <v>4392</v>
      </c>
      <c r="D673" s="1" t="s">
        <v>4393</v>
      </c>
      <c r="E673" s="1" t="s">
        <v>4394</v>
      </c>
      <c r="F673" s="1" t="s">
        <v>112</v>
      </c>
      <c r="G673" s="1">
        <v>4515024</v>
      </c>
    </row>
    <row r="674" spans="1:10" x14ac:dyDescent="0.25">
      <c r="A674" s="1" t="str">
        <f t="shared" si="10"/>
        <v>09 17b estradiol 540 dopé</v>
      </c>
      <c r="B6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4" s="1" t="s">
        <v>4395</v>
      </c>
      <c r="D674" s="1" t="s">
        <v>4396</v>
      </c>
      <c r="E674" s="1" t="s">
        <v>4397</v>
      </c>
      <c r="F674" s="1" t="s">
        <v>112</v>
      </c>
      <c r="G674" s="1">
        <v>6241782</v>
      </c>
    </row>
    <row r="675" spans="1:10" x14ac:dyDescent="0.25">
      <c r="A675" s="1" t="str">
        <f t="shared" si="10"/>
        <v>09 17b estradiol 540 dopé</v>
      </c>
      <c r="B6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5" s="1" t="s">
        <v>4398</v>
      </c>
      <c r="D675" s="1" t="s">
        <v>4399</v>
      </c>
      <c r="E675" s="1" t="s">
        <v>4400</v>
      </c>
      <c r="F675" s="1" t="s">
        <v>112</v>
      </c>
      <c r="G675" s="1">
        <v>6252467</v>
      </c>
    </row>
    <row r="676" spans="1:10" x14ac:dyDescent="0.25">
      <c r="A676" s="1" t="str">
        <f t="shared" si="10"/>
        <v>09 17b estradiol 540 dopé</v>
      </c>
      <c r="B6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6" s="1" t="s">
        <v>4401</v>
      </c>
      <c r="D676" s="1" t="s">
        <v>4402</v>
      </c>
      <c r="E676" s="1" t="s">
        <v>4403</v>
      </c>
      <c r="F676" s="1" t="s">
        <v>112</v>
      </c>
      <c r="G676" s="1">
        <v>6543000</v>
      </c>
    </row>
    <row r="677" spans="1:10" x14ac:dyDescent="0.25">
      <c r="A677" s="1" t="str">
        <f t="shared" si="10"/>
        <v>09 17b estradiol 540 dopé</v>
      </c>
      <c r="B6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7" s="1" t="s">
        <v>4404</v>
      </c>
      <c r="D677" s="1" t="s">
        <v>4405</v>
      </c>
      <c r="E677" s="1" t="s">
        <v>4406</v>
      </c>
      <c r="F677" s="1" t="s">
        <v>112</v>
      </c>
      <c r="G677" s="1">
        <v>6310781</v>
      </c>
    </row>
    <row r="678" spans="1:10" x14ac:dyDescent="0.25">
      <c r="A678" s="1" t="str">
        <f t="shared" si="10"/>
        <v>09 17b estradiol 540 dopé</v>
      </c>
      <c r="B6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8" s="1" t="s">
        <v>4407</v>
      </c>
      <c r="D678" s="1" t="s">
        <v>4408</v>
      </c>
      <c r="E678" s="1" t="s">
        <v>4409</v>
      </c>
      <c r="F678" s="1" t="s">
        <v>112</v>
      </c>
      <c r="G678" s="1">
        <v>6765398</v>
      </c>
    </row>
    <row r="679" spans="1:10" x14ac:dyDescent="0.25">
      <c r="A679" s="1" t="str">
        <f t="shared" si="10"/>
        <v>09 17b estradiol 540 dopé</v>
      </c>
      <c r="B6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9" s="1" t="s">
        <v>4410</v>
      </c>
      <c r="D679" s="1" t="s">
        <v>657</v>
      </c>
      <c r="E679" s="1" t="s">
        <v>4411</v>
      </c>
      <c r="F679" s="1" t="s">
        <v>112</v>
      </c>
      <c r="G679" s="1">
        <v>6256361</v>
      </c>
    </row>
    <row r="680" spans="1:10" x14ac:dyDescent="0.25">
      <c r="A680" s="1" t="str">
        <f t="shared" si="10"/>
        <v>09 17b estradiol 540 dopé</v>
      </c>
      <c r="B6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0" s="1" t="s">
        <v>4412</v>
      </c>
      <c r="D680" s="1" t="s">
        <v>4413</v>
      </c>
      <c r="E680" s="1" t="s">
        <v>4414</v>
      </c>
      <c r="F680" s="1" t="s">
        <v>112</v>
      </c>
      <c r="G680" s="1">
        <v>5439421</v>
      </c>
    </row>
    <row r="681" spans="1:10" x14ac:dyDescent="0.25">
      <c r="A681" s="1" t="str">
        <f t="shared" si="10"/>
        <v>09 17b estradiol 540 dopé</v>
      </c>
      <c r="B6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1" s="1" t="s">
        <v>4415</v>
      </c>
      <c r="D681" s="1" t="s">
        <v>4416</v>
      </c>
      <c r="E681" s="1" t="s">
        <v>4417</v>
      </c>
      <c r="F681" s="1" t="s">
        <v>112</v>
      </c>
      <c r="G681" s="1">
        <v>4554823</v>
      </c>
    </row>
    <row r="682" spans="1:10" x14ac:dyDescent="0.25">
      <c r="A682" s="1" t="str">
        <f t="shared" si="10"/>
        <v>09 17b estradiol 540 dopé</v>
      </c>
      <c r="B6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2" s="1" t="s">
        <v>4418</v>
      </c>
      <c r="D682" s="1" t="s">
        <v>1445</v>
      </c>
      <c r="E682" s="1" t="s">
        <v>4419</v>
      </c>
      <c r="F682" s="1" t="s">
        <v>112</v>
      </c>
      <c r="G682" s="1">
        <v>4833827</v>
      </c>
    </row>
    <row r="683" spans="1:10" x14ac:dyDescent="0.25">
      <c r="A683" s="1" t="str">
        <f t="shared" si="10"/>
        <v>09 17b estradiol 540 dopé</v>
      </c>
      <c r="B6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3" s="1" t="s">
        <v>4420</v>
      </c>
      <c r="D683" s="1" t="s">
        <v>3785</v>
      </c>
      <c r="E683" s="1" t="s">
        <v>4421</v>
      </c>
      <c r="F683" s="1" t="s">
        <v>112</v>
      </c>
      <c r="G683" s="1">
        <v>6891263</v>
      </c>
    </row>
    <row r="684" spans="1:10" x14ac:dyDescent="0.25">
      <c r="A684" s="1" t="str">
        <f t="shared" si="10"/>
        <v>09 17b estradiol 540 dopé</v>
      </c>
      <c r="B6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4" s="1" t="s">
        <v>4422</v>
      </c>
      <c r="D684" s="1" t="s">
        <v>4423</v>
      </c>
      <c r="E684" s="1" t="s">
        <v>4424</v>
      </c>
      <c r="F684" s="1" t="s">
        <v>112</v>
      </c>
      <c r="G684" s="1">
        <v>6878458</v>
      </c>
    </row>
    <row r="685" spans="1:10" x14ac:dyDescent="0.25">
      <c r="A685" s="1" t="str">
        <f t="shared" si="10"/>
        <v>09 17b estradiol 540 dopé</v>
      </c>
      <c r="B6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5" s="1" t="s">
        <v>4425</v>
      </c>
      <c r="D685" s="1" t="s">
        <v>4426</v>
      </c>
      <c r="E685" s="1" t="s">
        <v>4427</v>
      </c>
      <c r="F685" s="1" t="s">
        <v>112</v>
      </c>
      <c r="G685" s="1">
        <v>6777014</v>
      </c>
    </row>
    <row r="686" spans="1:10" x14ac:dyDescent="0.25">
      <c r="A686" s="1" t="str">
        <f t="shared" si="10"/>
        <v/>
      </c>
      <c r="B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6" s="1" t="s">
        <v>112</v>
      </c>
    </row>
    <row r="687" spans="1:10" x14ac:dyDescent="0.25">
      <c r="A687" s="1" t="str">
        <f t="shared" si="10"/>
        <v/>
      </c>
      <c r="B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7" s="1" t="s">
        <v>232</v>
      </c>
      <c r="D687" s="1" t="s">
        <v>112</v>
      </c>
      <c r="E687" s="1" t="s">
        <v>233</v>
      </c>
      <c r="F687" s="1" t="s">
        <v>234</v>
      </c>
      <c r="G687" s="1" t="s">
        <v>235</v>
      </c>
      <c r="H687" s="1" t="s">
        <v>236</v>
      </c>
      <c r="I687" s="1" t="s">
        <v>237</v>
      </c>
      <c r="J687" s="1" t="s">
        <v>238</v>
      </c>
    </row>
    <row r="688" spans="1:10" x14ac:dyDescent="0.25">
      <c r="A688" s="1" t="str">
        <f t="shared" si="10"/>
        <v>09 17b estradiol 540 dopé</v>
      </c>
      <c r="B6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88" s="1" t="s">
        <v>4428</v>
      </c>
      <c r="D688" s="1" t="s">
        <v>112</v>
      </c>
      <c r="E688" s="1" t="s">
        <v>4429</v>
      </c>
      <c r="F688" s="1" t="s">
        <v>4430</v>
      </c>
      <c r="G688" s="1" t="s">
        <v>4431</v>
      </c>
      <c r="H688" s="1" t="s">
        <v>4432</v>
      </c>
      <c r="I688" s="1">
        <v>24</v>
      </c>
      <c r="J688" s="1">
        <v>24</v>
      </c>
    </row>
    <row r="689" spans="1:3" x14ac:dyDescent="0.25">
      <c r="A689" s="1" t="str">
        <f t="shared" si="10"/>
        <v/>
      </c>
      <c r="B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9" s="1" t="s">
        <v>112</v>
      </c>
    </row>
    <row r="690" spans="1:3" x14ac:dyDescent="0.25">
      <c r="A690" s="1" t="str">
        <f t="shared" si="10"/>
        <v/>
      </c>
      <c r="B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0" s="1" t="s">
        <v>112</v>
      </c>
    </row>
    <row r="691" spans="1:3" x14ac:dyDescent="0.25">
      <c r="A691" s="1" t="str">
        <f t="shared" si="10"/>
        <v/>
      </c>
      <c r="B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1" s="1" t="s">
        <v>112</v>
      </c>
    </row>
    <row r="692" spans="1:3" x14ac:dyDescent="0.25">
      <c r="A692" s="1" t="str">
        <f t="shared" si="10"/>
        <v/>
      </c>
      <c r="B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2" s="1" t="s">
        <v>112</v>
      </c>
    </row>
    <row r="693" spans="1:3" x14ac:dyDescent="0.25">
      <c r="A693" s="1" t="str">
        <f t="shared" si="10"/>
        <v/>
      </c>
      <c r="B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4" spans="1:3" x14ac:dyDescent="0.25">
      <c r="A694" s="1" t="str">
        <f t="shared" si="10"/>
        <v/>
      </c>
      <c r="B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5" spans="1:3" x14ac:dyDescent="0.25">
      <c r="A695" s="1" t="str">
        <f t="shared" si="10"/>
        <v/>
      </c>
      <c r="B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6" spans="1:3" x14ac:dyDescent="0.25">
      <c r="A696" s="1" t="str">
        <f t="shared" si="10"/>
        <v/>
      </c>
      <c r="B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7" spans="1:3" x14ac:dyDescent="0.25">
      <c r="A697" s="1" t="str">
        <f t="shared" si="10"/>
        <v/>
      </c>
      <c r="B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8" spans="1:3" x14ac:dyDescent="0.25">
      <c r="A698" s="1" t="str">
        <f t="shared" si="10"/>
        <v/>
      </c>
      <c r="B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9" spans="1:3" x14ac:dyDescent="0.25">
      <c r="A699" s="1" t="str">
        <f t="shared" si="10"/>
        <v/>
      </c>
      <c r="B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0" spans="1:3" x14ac:dyDescent="0.25">
      <c r="A700" s="1" t="str">
        <f t="shared" si="10"/>
        <v/>
      </c>
      <c r="B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1" spans="1:3" x14ac:dyDescent="0.25">
      <c r="A701" s="1" t="str">
        <f t="shared" si="10"/>
        <v/>
      </c>
      <c r="B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2" spans="1:3" x14ac:dyDescent="0.25">
      <c r="A702" s="1" t="str">
        <f t="shared" si="10"/>
        <v/>
      </c>
      <c r="B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3" spans="1:3" x14ac:dyDescent="0.25">
      <c r="A703" s="1" t="str">
        <f t="shared" si="10"/>
        <v/>
      </c>
      <c r="B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4" spans="1:3" x14ac:dyDescent="0.25">
      <c r="A704" s="1" t="str">
        <f t="shared" si="10"/>
        <v/>
      </c>
      <c r="B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5" spans="1:2" x14ac:dyDescent="0.25">
      <c r="A705" s="1" t="str">
        <f t="shared" si="10"/>
        <v/>
      </c>
      <c r="B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6" spans="1:2" x14ac:dyDescent="0.25">
      <c r="A706" s="1" t="str">
        <f t="shared" ref="A706:A769" si="11">IFERROR(LEFT(RIGHT(C706,LEN(C706)-SEARCH("@",C706)),SEARCH("/",RIGHT(C706,LEN(C706)-SEARCH("@",C706)-1))),"")</f>
        <v/>
      </c>
      <c r="B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7" spans="1:2" x14ac:dyDescent="0.25">
      <c r="A707" s="1" t="str">
        <f t="shared" si="11"/>
        <v/>
      </c>
      <c r="B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8" spans="1:2" x14ac:dyDescent="0.25">
      <c r="A708" s="1" t="str">
        <f t="shared" si="11"/>
        <v/>
      </c>
      <c r="B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9" spans="1:2" x14ac:dyDescent="0.25">
      <c r="A709" s="1" t="str">
        <f t="shared" si="11"/>
        <v/>
      </c>
      <c r="B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0" spans="1:2" x14ac:dyDescent="0.25">
      <c r="A710" s="1" t="str">
        <f t="shared" si="11"/>
        <v/>
      </c>
      <c r="B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1" spans="1:2" x14ac:dyDescent="0.25">
      <c r="A711" s="1" t="str">
        <f t="shared" si="11"/>
        <v/>
      </c>
      <c r="B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2" spans="1:2" x14ac:dyDescent="0.25">
      <c r="A712" s="1" t="str">
        <f t="shared" si="11"/>
        <v/>
      </c>
      <c r="B7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3" spans="1:2" x14ac:dyDescent="0.25">
      <c r="A713" s="1" t="str">
        <f t="shared" si="11"/>
        <v/>
      </c>
      <c r="B7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4" spans="1:2" x14ac:dyDescent="0.25">
      <c r="A714" s="1" t="str">
        <f t="shared" si="11"/>
        <v/>
      </c>
      <c r="B7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5" spans="1:2" x14ac:dyDescent="0.25">
      <c r="A715" s="1" t="str">
        <f t="shared" si="11"/>
        <v/>
      </c>
      <c r="B7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6" spans="1:2" x14ac:dyDescent="0.25">
      <c r="A716" s="1" t="str">
        <f t="shared" si="11"/>
        <v/>
      </c>
      <c r="B7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7" spans="1:2" x14ac:dyDescent="0.25">
      <c r="A717" s="1" t="str">
        <f t="shared" si="11"/>
        <v/>
      </c>
      <c r="B7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8" spans="1:2" x14ac:dyDescent="0.25">
      <c r="A718" s="1" t="str">
        <f t="shared" si="11"/>
        <v/>
      </c>
      <c r="B7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9" spans="1:2" x14ac:dyDescent="0.25">
      <c r="A719" s="1" t="str">
        <f t="shared" si="11"/>
        <v/>
      </c>
      <c r="B7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0" spans="1:2" x14ac:dyDescent="0.25">
      <c r="A720" s="1" t="str">
        <f t="shared" si="11"/>
        <v/>
      </c>
      <c r="B7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1" spans="1:2" x14ac:dyDescent="0.25">
      <c r="A721" s="1" t="str">
        <f t="shared" si="11"/>
        <v/>
      </c>
      <c r="B7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2" spans="1:2" x14ac:dyDescent="0.25">
      <c r="A722" s="1" t="str">
        <f t="shared" si="11"/>
        <v/>
      </c>
      <c r="B7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3" spans="1:2" x14ac:dyDescent="0.25">
      <c r="A723" s="1" t="str">
        <f t="shared" si="11"/>
        <v/>
      </c>
      <c r="B7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4" spans="1:2" x14ac:dyDescent="0.25">
      <c r="A724" s="1" t="str">
        <f t="shared" si="11"/>
        <v/>
      </c>
      <c r="B7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5" spans="1:2" x14ac:dyDescent="0.25">
      <c r="A725" s="1" t="str">
        <f t="shared" si="11"/>
        <v/>
      </c>
      <c r="B7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6" spans="1:2" x14ac:dyDescent="0.25">
      <c r="A726" s="1" t="str">
        <f t="shared" si="11"/>
        <v/>
      </c>
      <c r="B7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7" spans="1:2" x14ac:dyDescent="0.25">
      <c r="A727" s="1" t="str">
        <f t="shared" si="11"/>
        <v/>
      </c>
      <c r="B7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8" spans="1:2" x14ac:dyDescent="0.25">
      <c r="A728" s="1" t="str">
        <f t="shared" si="11"/>
        <v/>
      </c>
      <c r="B7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9" spans="1:2" x14ac:dyDescent="0.25">
      <c r="A729" s="1" t="str">
        <f t="shared" si="11"/>
        <v/>
      </c>
      <c r="B7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0" spans="1:2" x14ac:dyDescent="0.25">
      <c r="A730" s="1" t="str">
        <f t="shared" si="11"/>
        <v/>
      </c>
      <c r="B7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1" spans="1:2" x14ac:dyDescent="0.25">
      <c r="A731" s="1" t="str">
        <f t="shared" si="11"/>
        <v/>
      </c>
      <c r="B7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2" spans="1:2" x14ac:dyDescent="0.25">
      <c r="A732" s="1" t="str">
        <f t="shared" si="11"/>
        <v/>
      </c>
      <c r="B7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3" spans="1:2" x14ac:dyDescent="0.25">
      <c r="A733" s="1" t="str">
        <f t="shared" si="11"/>
        <v/>
      </c>
      <c r="B7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4" spans="1:2" x14ac:dyDescent="0.25">
      <c r="A734" s="1" t="str">
        <f t="shared" si="11"/>
        <v/>
      </c>
      <c r="B7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5" spans="1:2" x14ac:dyDescent="0.25">
      <c r="A735" s="1" t="str">
        <f t="shared" si="11"/>
        <v/>
      </c>
      <c r="B7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6" spans="1:2" x14ac:dyDescent="0.25">
      <c r="A736" s="1" t="str">
        <f t="shared" si="11"/>
        <v/>
      </c>
      <c r="B7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7" spans="1:2" x14ac:dyDescent="0.25">
      <c r="A737" s="1" t="str">
        <f t="shared" si="11"/>
        <v/>
      </c>
      <c r="B7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8" spans="1:2" x14ac:dyDescent="0.25">
      <c r="A738" s="1" t="str">
        <f t="shared" si="11"/>
        <v/>
      </c>
      <c r="B7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9" spans="1:2" x14ac:dyDescent="0.25">
      <c r="A739" s="1" t="str">
        <f t="shared" si="11"/>
        <v/>
      </c>
      <c r="B7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0" spans="1:2" x14ac:dyDescent="0.25">
      <c r="A740" s="1" t="str">
        <f t="shared" si="11"/>
        <v/>
      </c>
      <c r="B7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1" spans="1:2" x14ac:dyDescent="0.25">
      <c r="A741" s="1" t="str">
        <f t="shared" si="11"/>
        <v/>
      </c>
      <c r="B7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2" spans="1:2" x14ac:dyDescent="0.25">
      <c r="A742" s="1" t="str">
        <f t="shared" si="11"/>
        <v/>
      </c>
      <c r="B7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3" spans="1:2" x14ac:dyDescent="0.25">
      <c r="A743" s="1" t="str">
        <f t="shared" si="11"/>
        <v/>
      </c>
      <c r="B7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4" spans="1:2" x14ac:dyDescent="0.25">
      <c r="A744" s="1" t="str">
        <f t="shared" si="11"/>
        <v/>
      </c>
      <c r="B7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5" spans="1:2" x14ac:dyDescent="0.25">
      <c r="A745" s="1" t="str">
        <f t="shared" si="11"/>
        <v/>
      </c>
      <c r="B7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6" spans="1:2" x14ac:dyDescent="0.25">
      <c r="A746" s="1" t="str">
        <f t="shared" si="11"/>
        <v/>
      </c>
      <c r="B7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7" spans="1:2" x14ac:dyDescent="0.25">
      <c r="A747" s="1" t="str">
        <f t="shared" si="11"/>
        <v/>
      </c>
      <c r="B7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8" spans="1:2" x14ac:dyDescent="0.25">
      <c r="A748" s="1" t="str">
        <f t="shared" si="11"/>
        <v/>
      </c>
      <c r="B7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9" spans="1:2" x14ac:dyDescent="0.25">
      <c r="A749" s="1" t="str">
        <f t="shared" si="11"/>
        <v/>
      </c>
      <c r="B7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0" spans="1:2" x14ac:dyDescent="0.25">
      <c r="A750" s="1" t="str">
        <f t="shared" si="11"/>
        <v/>
      </c>
      <c r="B7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1" spans="1:2" x14ac:dyDescent="0.25">
      <c r="A751" s="1" t="str">
        <f t="shared" si="11"/>
        <v/>
      </c>
      <c r="B7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2" spans="1:2" x14ac:dyDescent="0.25">
      <c r="A752" s="1" t="str">
        <f t="shared" si="11"/>
        <v/>
      </c>
      <c r="B7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3" spans="1:2" x14ac:dyDescent="0.25">
      <c r="A753" s="1" t="str">
        <f t="shared" si="11"/>
        <v/>
      </c>
      <c r="B7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4" spans="1:2" x14ac:dyDescent="0.25">
      <c r="A754" s="1" t="str">
        <f t="shared" si="11"/>
        <v/>
      </c>
      <c r="B7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5" spans="1:2" x14ac:dyDescent="0.25">
      <c r="A755" s="1" t="str">
        <f t="shared" si="11"/>
        <v/>
      </c>
      <c r="B7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6" spans="1:2" x14ac:dyDescent="0.25">
      <c r="A756" s="1" t="str">
        <f t="shared" si="11"/>
        <v/>
      </c>
      <c r="B7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7" spans="1:2" x14ac:dyDescent="0.25">
      <c r="A757" s="1" t="str">
        <f t="shared" si="11"/>
        <v/>
      </c>
      <c r="B7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8" spans="1:2" x14ac:dyDescent="0.25">
      <c r="A758" s="1" t="str">
        <f t="shared" si="11"/>
        <v/>
      </c>
      <c r="B7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9" spans="1:2" x14ac:dyDescent="0.25">
      <c r="A759" s="1" t="str">
        <f t="shared" si="11"/>
        <v/>
      </c>
      <c r="B7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0" spans="1:2" x14ac:dyDescent="0.25">
      <c r="A760" s="1" t="str">
        <f t="shared" si="11"/>
        <v/>
      </c>
      <c r="B7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1" spans="1:2" x14ac:dyDescent="0.25">
      <c r="A761" s="1" t="str">
        <f t="shared" si="11"/>
        <v/>
      </c>
      <c r="B7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2" spans="1:2" x14ac:dyDescent="0.25">
      <c r="A762" s="1" t="str">
        <f t="shared" si="11"/>
        <v/>
      </c>
      <c r="B7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3" spans="1:2" x14ac:dyDescent="0.25">
      <c r="A763" s="1" t="str">
        <f t="shared" si="11"/>
        <v/>
      </c>
      <c r="B7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4" spans="1:2" x14ac:dyDescent="0.25">
      <c r="A764" s="1" t="str">
        <f t="shared" si="11"/>
        <v/>
      </c>
      <c r="B7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5" spans="1:2" x14ac:dyDescent="0.25">
      <c r="A765" s="1" t="str">
        <f t="shared" si="11"/>
        <v/>
      </c>
      <c r="B7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6" spans="1:2" x14ac:dyDescent="0.25">
      <c r="A766" s="1" t="str">
        <f t="shared" si="11"/>
        <v/>
      </c>
      <c r="B7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7" spans="1:2" x14ac:dyDescent="0.25">
      <c r="A767" s="1" t="str">
        <f t="shared" si="11"/>
        <v/>
      </c>
      <c r="B7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8" spans="1:2" x14ac:dyDescent="0.25">
      <c r="A768" s="1" t="str">
        <f t="shared" si="11"/>
        <v/>
      </c>
      <c r="B7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9" spans="1:2" x14ac:dyDescent="0.25">
      <c r="A769" s="1" t="str">
        <f t="shared" si="11"/>
        <v/>
      </c>
      <c r="B7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0" spans="1:2" x14ac:dyDescent="0.25">
      <c r="A770" s="1" t="str">
        <f t="shared" ref="A770:A833" si="12">IFERROR(LEFT(RIGHT(C770,LEN(C770)-SEARCH("@",C770)),SEARCH("/",RIGHT(C770,LEN(C770)-SEARCH("@",C770)-1))),"")</f>
        <v/>
      </c>
      <c r="B7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1" spans="1:2" x14ac:dyDescent="0.25">
      <c r="A771" s="1" t="str">
        <f t="shared" si="12"/>
        <v/>
      </c>
      <c r="B7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2" spans="1:2" x14ac:dyDescent="0.25">
      <c r="A772" s="1" t="str">
        <f t="shared" si="12"/>
        <v/>
      </c>
      <c r="B7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3" spans="1:2" x14ac:dyDescent="0.25">
      <c r="A773" s="1" t="str">
        <f t="shared" si="12"/>
        <v/>
      </c>
      <c r="B7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4" spans="1:2" x14ac:dyDescent="0.25">
      <c r="A774" s="1" t="str">
        <f t="shared" si="12"/>
        <v/>
      </c>
      <c r="B7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5" spans="1:2" x14ac:dyDescent="0.25">
      <c r="A775" s="1" t="str">
        <f t="shared" si="12"/>
        <v/>
      </c>
      <c r="B7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6" spans="1:2" x14ac:dyDescent="0.25">
      <c r="A776" s="1" t="str">
        <f t="shared" si="12"/>
        <v/>
      </c>
      <c r="B7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7" spans="1:2" x14ac:dyDescent="0.25">
      <c r="A777" s="1" t="str">
        <f t="shared" si="12"/>
        <v/>
      </c>
      <c r="B7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8" spans="1:2" x14ac:dyDescent="0.25">
      <c r="A778" s="1" t="str">
        <f t="shared" si="12"/>
        <v/>
      </c>
      <c r="B7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9" spans="1:2" x14ac:dyDescent="0.25">
      <c r="A779" s="1" t="str">
        <f t="shared" si="12"/>
        <v/>
      </c>
      <c r="B7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0" spans="1:2" x14ac:dyDescent="0.25">
      <c r="A780" s="1" t="str">
        <f t="shared" si="12"/>
        <v/>
      </c>
      <c r="B7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1" spans="1:2" x14ac:dyDescent="0.25">
      <c r="A781" s="1" t="str">
        <f t="shared" si="12"/>
        <v/>
      </c>
      <c r="B7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2" spans="1:2" x14ac:dyDescent="0.25">
      <c r="A782" s="1" t="str">
        <f t="shared" si="12"/>
        <v/>
      </c>
      <c r="B7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3" spans="1:2" x14ac:dyDescent="0.25">
      <c r="A783" s="1" t="str">
        <f t="shared" si="12"/>
        <v/>
      </c>
      <c r="B7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4" spans="1:2" x14ac:dyDescent="0.25">
      <c r="A784" s="1" t="str">
        <f t="shared" si="12"/>
        <v/>
      </c>
      <c r="B7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5" spans="1:2" x14ac:dyDescent="0.25">
      <c r="A785" s="1" t="str">
        <f t="shared" si="12"/>
        <v/>
      </c>
      <c r="B7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6" spans="1:2" x14ac:dyDescent="0.25">
      <c r="A786" s="1" t="str">
        <f t="shared" si="12"/>
        <v/>
      </c>
      <c r="B7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7" spans="1:2" x14ac:dyDescent="0.25">
      <c r="A787" s="1" t="str">
        <f t="shared" si="12"/>
        <v/>
      </c>
      <c r="B7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8" spans="1:2" x14ac:dyDescent="0.25">
      <c r="A788" s="1" t="str">
        <f t="shared" si="12"/>
        <v/>
      </c>
      <c r="B7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9" spans="1:2" x14ac:dyDescent="0.25">
      <c r="A789" s="1" t="str">
        <f t="shared" si="12"/>
        <v/>
      </c>
      <c r="B7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0" spans="1:2" x14ac:dyDescent="0.25">
      <c r="A790" s="1" t="str">
        <f t="shared" si="12"/>
        <v/>
      </c>
      <c r="B7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1" spans="1:2" x14ac:dyDescent="0.25">
      <c r="A791" s="1" t="str">
        <f t="shared" si="12"/>
        <v/>
      </c>
      <c r="B7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2" spans="1:2" x14ac:dyDescent="0.25">
      <c r="A792" s="1" t="str">
        <f t="shared" si="12"/>
        <v/>
      </c>
      <c r="B7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3" spans="1:2" x14ac:dyDescent="0.25">
      <c r="A793" s="1" t="str">
        <f t="shared" si="12"/>
        <v/>
      </c>
      <c r="B7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4" spans="1:2" x14ac:dyDescent="0.25">
      <c r="A794" s="1" t="str">
        <f t="shared" si="12"/>
        <v/>
      </c>
      <c r="B7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5" spans="1:2" x14ac:dyDescent="0.25">
      <c r="A795" s="1" t="str">
        <f t="shared" si="12"/>
        <v/>
      </c>
      <c r="B7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6" spans="1:2" x14ac:dyDescent="0.25">
      <c r="A796" s="1" t="str">
        <f t="shared" si="12"/>
        <v/>
      </c>
      <c r="B7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7" spans="1:2" x14ac:dyDescent="0.25">
      <c r="A797" s="1" t="str">
        <f t="shared" si="12"/>
        <v/>
      </c>
      <c r="B7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8" spans="1:2" x14ac:dyDescent="0.25">
      <c r="A798" s="1" t="str">
        <f t="shared" si="12"/>
        <v/>
      </c>
      <c r="B7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9" spans="1:2" x14ac:dyDescent="0.25">
      <c r="A799" s="1" t="str">
        <f t="shared" si="12"/>
        <v/>
      </c>
      <c r="B7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0" spans="1:2" x14ac:dyDescent="0.25">
      <c r="A800" s="1" t="str">
        <f t="shared" si="12"/>
        <v/>
      </c>
      <c r="B8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1" spans="1:2" x14ac:dyDescent="0.25">
      <c r="A801" s="1" t="str">
        <f t="shared" si="12"/>
        <v/>
      </c>
      <c r="B8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2" spans="1:2" x14ac:dyDescent="0.25">
      <c r="A802" s="1" t="str">
        <f t="shared" si="12"/>
        <v/>
      </c>
      <c r="B8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3" spans="1:2" x14ac:dyDescent="0.25">
      <c r="A803" s="1" t="str">
        <f t="shared" si="12"/>
        <v/>
      </c>
      <c r="B8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4" spans="1:2" x14ac:dyDescent="0.25">
      <c r="A804" s="1" t="str">
        <f t="shared" si="12"/>
        <v/>
      </c>
      <c r="B8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5" spans="1:2" x14ac:dyDescent="0.25">
      <c r="A805" s="1" t="str">
        <f t="shared" si="12"/>
        <v/>
      </c>
      <c r="B8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6" spans="1:2" x14ac:dyDescent="0.25">
      <c r="A806" s="1" t="str">
        <f t="shared" si="12"/>
        <v/>
      </c>
      <c r="B8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7" spans="1:2" x14ac:dyDescent="0.25">
      <c r="A807" s="1" t="str">
        <f t="shared" si="12"/>
        <v/>
      </c>
      <c r="B8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8" spans="1:2" x14ac:dyDescent="0.25">
      <c r="A808" s="1" t="str">
        <f t="shared" si="12"/>
        <v/>
      </c>
      <c r="B8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9" spans="1:2" x14ac:dyDescent="0.25">
      <c r="A809" s="1" t="str">
        <f t="shared" si="12"/>
        <v/>
      </c>
      <c r="B8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0" spans="1:2" x14ac:dyDescent="0.25">
      <c r="A810" s="1" t="str">
        <f t="shared" si="12"/>
        <v/>
      </c>
      <c r="B8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1" spans="1:2" x14ac:dyDescent="0.25">
      <c r="A811" s="1" t="str">
        <f t="shared" si="12"/>
        <v/>
      </c>
      <c r="B8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2" spans="1:2" x14ac:dyDescent="0.25">
      <c r="A812" s="1" t="str">
        <f t="shared" si="12"/>
        <v/>
      </c>
      <c r="B8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3" spans="1:2" x14ac:dyDescent="0.25">
      <c r="A813" s="1" t="str">
        <f t="shared" si="12"/>
        <v/>
      </c>
      <c r="B8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4" spans="1:2" x14ac:dyDescent="0.25">
      <c r="A814" s="1" t="str">
        <f t="shared" si="12"/>
        <v/>
      </c>
      <c r="B8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5" spans="1:2" x14ac:dyDescent="0.25">
      <c r="A815" s="1" t="str">
        <f t="shared" si="12"/>
        <v/>
      </c>
      <c r="B8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6" spans="1:2" x14ac:dyDescent="0.25">
      <c r="A816" s="1" t="str">
        <f t="shared" si="12"/>
        <v/>
      </c>
      <c r="B8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7" spans="1:2" x14ac:dyDescent="0.25">
      <c r="A817" s="1" t="str">
        <f t="shared" si="12"/>
        <v/>
      </c>
      <c r="B8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8" spans="1:2" x14ac:dyDescent="0.25">
      <c r="A818" s="1" t="str">
        <f t="shared" si="12"/>
        <v/>
      </c>
      <c r="B8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9" spans="1:2" x14ac:dyDescent="0.25">
      <c r="A819" s="1" t="str">
        <f t="shared" si="12"/>
        <v/>
      </c>
      <c r="B8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0" spans="1:2" x14ac:dyDescent="0.25">
      <c r="A820" s="1" t="str">
        <f t="shared" si="12"/>
        <v/>
      </c>
      <c r="B8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1" spans="1:2" x14ac:dyDescent="0.25">
      <c r="A821" s="1" t="str">
        <f t="shared" si="12"/>
        <v/>
      </c>
      <c r="B8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2" spans="1:2" x14ac:dyDescent="0.25">
      <c r="A822" s="1" t="str">
        <f t="shared" si="12"/>
        <v/>
      </c>
      <c r="B8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3" spans="1:2" x14ac:dyDescent="0.25">
      <c r="A823" s="1" t="str">
        <f t="shared" si="12"/>
        <v/>
      </c>
      <c r="B8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4" spans="1:2" x14ac:dyDescent="0.25">
      <c r="A824" s="1" t="str">
        <f t="shared" si="12"/>
        <v/>
      </c>
      <c r="B8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5" spans="1:2" x14ac:dyDescent="0.25">
      <c r="A825" s="1" t="str">
        <f t="shared" si="12"/>
        <v/>
      </c>
      <c r="B8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6" spans="1:2" x14ac:dyDescent="0.25">
      <c r="A826" s="1" t="str">
        <f t="shared" si="12"/>
        <v/>
      </c>
      <c r="B8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7" spans="1:2" x14ac:dyDescent="0.25">
      <c r="A827" s="1" t="str">
        <f t="shared" si="12"/>
        <v/>
      </c>
      <c r="B8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8" spans="1:2" x14ac:dyDescent="0.25">
      <c r="A828" s="1" t="str">
        <f t="shared" si="12"/>
        <v/>
      </c>
      <c r="B8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9" spans="1:2" x14ac:dyDescent="0.25">
      <c r="A829" s="1" t="str">
        <f t="shared" si="12"/>
        <v/>
      </c>
      <c r="B8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0" spans="1:2" x14ac:dyDescent="0.25">
      <c r="A830" s="1" t="str">
        <f t="shared" si="12"/>
        <v/>
      </c>
      <c r="B8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1" spans="1:2" x14ac:dyDescent="0.25">
      <c r="A831" s="1" t="str">
        <f t="shared" si="12"/>
        <v/>
      </c>
      <c r="B8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2" spans="1:2" x14ac:dyDescent="0.25">
      <c r="A832" s="1" t="str">
        <f t="shared" si="12"/>
        <v/>
      </c>
      <c r="B8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3" spans="1:2" x14ac:dyDescent="0.25">
      <c r="A833" s="1" t="str">
        <f t="shared" si="12"/>
        <v/>
      </c>
      <c r="B8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4" spans="1:2" x14ac:dyDescent="0.25">
      <c r="A834" s="1" t="str">
        <f t="shared" ref="A834:A897" si="13">IFERROR(LEFT(RIGHT(C834,LEN(C834)-SEARCH("@",C834)),SEARCH("/",RIGHT(C834,LEN(C834)-SEARCH("@",C834)-1))),"")</f>
        <v/>
      </c>
      <c r="B8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5" spans="1:2" x14ac:dyDescent="0.25">
      <c r="A835" s="1" t="str">
        <f t="shared" si="13"/>
        <v/>
      </c>
      <c r="B8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6" spans="1:2" x14ac:dyDescent="0.25">
      <c r="A836" s="1" t="str">
        <f t="shared" si="13"/>
        <v/>
      </c>
      <c r="B8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7" spans="1:2" x14ac:dyDescent="0.25">
      <c r="A837" s="1" t="str">
        <f t="shared" si="13"/>
        <v/>
      </c>
      <c r="B8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8" spans="1:2" x14ac:dyDescent="0.25">
      <c r="A838" s="1" t="str">
        <f t="shared" si="13"/>
        <v/>
      </c>
      <c r="B8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9" spans="1:2" x14ac:dyDescent="0.25">
      <c r="A839" s="1" t="str">
        <f t="shared" si="13"/>
        <v/>
      </c>
      <c r="B8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0" spans="1:2" x14ac:dyDescent="0.25">
      <c r="A840" s="1" t="str">
        <f t="shared" si="13"/>
        <v/>
      </c>
      <c r="B8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1" spans="1:2" x14ac:dyDescent="0.25">
      <c r="A841" s="1" t="str">
        <f t="shared" si="13"/>
        <v/>
      </c>
      <c r="B8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2" spans="1:2" x14ac:dyDescent="0.25">
      <c r="A842" s="1" t="str">
        <f t="shared" si="13"/>
        <v/>
      </c>
      <c r="B8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3" spans="1:2" x14ac:dyDescent="0.25">
      <c r="A843" s="1" t="str">
        <f t="shared" si="13"/>
        <v/>
      </c>
      <c r="B8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4" spans="1:2" x14ac:dyDescent="0.25">
      <c r="A844" s="1" t="str">
        <f t="shared" si="13"/>
        <v/>
      </c>
      <c r="B8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5" spans="1:2" x14ac:dyDescent="0.25">
      <c r="A845" s="1" t="str">
        <f t="shared" si="13"/>
        <v/>
      </c>
      <c r="B8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6" spans="1:2" x14ac:dyDescent="0.25">
      <c r="A846" s="1" t="str">
        <f t="shared" si="13"/>
        <v/>
      </c>
      <c r="B8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7" spans="1:2" x14ac:dyDescent="0.25">
      <c r="A847" s="1" t="str">
        <f t="shared" si="13"/>
        <v/>
      </c>
      <c r="B8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8" spans="1:2" x14ac:dyDescent="0.25">
      <c r="A848" s="1" t="str">
        <f t="shared" si="13"/>
        <v/>
      </c>
      <c r="B8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9" spans="1:2" x14ac:dyDescent="0.25">
      <c r="A849" s="1" t="str">
        <f t="shared" si="13"/>
        <v/>
      </c>
      <c r="B8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0" spans="1:2" x14ac:dyDescent="0.25">
      <c r="A850" s="1" t="str">
        <f t="shared" si="13"/>
        <v/>
      </c>
      <c r="B8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1" spans="1:2" x14ac:dyDescent="0.25">
      <c r="A851" s="1" t="str">
        <f t="shared" si="13"/>
        <v/>
      </c>
      <c r="B8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2" spans="1:2" x14ac:dyDescent="0.25">
      <c r="A852" s="1" t="str">
        <f t="shared" si="13"/>
        <v/>
      </c>
      <c r="B8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3" spans="1:2" x14ac:dyDescent="0.25">
      <c r="A853" s="1" t="str">
        <f t="shared" si="13"/>
        <v/>
      </c>
      <c r="B8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4" spans="1:2" x14ac:dyDescent="0.25">
      <c r="A854" s="1" t="str">
        <f t="shared" si="13"/>
        <v/>
      </c>
      <c r="B8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5" spans="1:2" x14ac:dyDescent="0.25">
      <c r="A855" s="1" t="str">
        <f t="shared" si="13"/>
        <v/>
      </c>
      <c r="B8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6" spans="1:2" x14ac:dyDescent="0.25">
      <c r="A856" s="1" t="str">
        <f t="shared" si="13"/>
        <v/>
      </c>
      <c r="B8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7" spans="1:2" x14ac:dyDescent="0.25">
      <c r="A857" s="1" t="str">
        <f t="shared" si="13"/>
        <v/>
      </c>
      <c r="B8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8" spans="1:2" x14ac:dyDescent="0.25">
      <c r="A858" s="1" t="str">
        <f t="shared" si="13"/>
        <v/>
      </c>
      <c r="B8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9" spans="1:2" x14ac:dyDescent="0.25">
      <c r="A859" s="1" t="str">
        <f t="shared" si="13"/>
        <v/>
      </c>
      <c r="B8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0" spans="1:2" x14ac:dyDescent="0.25">
      <c r="A860" s="1" t="str">
        <f t="shared" si="13"/>
        <v/>
      </c>
      <c r="B8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1" spans="1:2" x14ac:dyDescent="0.25">
      <c r="A861" s="1" t="str">
        <f t="shared" si="13"/>
        <v/>
      </c>
      <c r="B8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2" spans="1:2" x14ac:dyDescent="0.25">
      <c r="A862" s="1" t="str">
        <f t="shared" si="13"/>
        <v/>
      </c>
      <c r="B8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3" spans="1:2" x14ac:dyDescent="0.25">
      <c r="A863" s="1" t="str">
        <f t="shared" si="13"/>
        <v/>
      </c>
      <c r="B8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4" spans="1:2" x14ac:dyDescent="0.25">
      <c r="A864" s="1" t="str">
        <f t="shared" si="13"/>
        <v/>
      </c>
      <c r="B8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5" spans="1:2" x14ac:dyDescent="0.25">
      <c r="A865" s="1" t="str">
        <f t="shared" si="13"/>
        <v/>
      </c>
      <c r="B8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6" spans="1:2" x14ac:dyDescent="0.25">
      <c r="A866" s="1" t="str">
        <f t="shared" si="13"/>
        <v/>
      </c>
      <c r="B8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7" spans="1:2" x14ac:dyDescent="0.25">
      <c r="A867" s="1" t="str">
        <f t="shared" si="13"/>
        <v/>
      </c>
      <c r="B8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8" spans="1:2" x14ac:dyDescent="0.25">
      <c r="A868" s="1" t="str">
        <f t="shared" si="13"/>
        <v/>
      </c>
      <c r="B8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9" spans="1:2" x14ac:dyDescent="0.25">
      <c r="A869" s="1" t="str">
        <f t="shared" si="13"/>
        <v/>
      </c>
      <c r="B8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0" spans="1:2" x14ac:dyDescent="0.25">
      <c r="A870" s="1" t="str">
        <f t="shared" si="13"/>
        <v/>
      </c>
      <c r="B8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1" spans="1:2" x14ac:dyDescent="0.25">
      <c r="A871" s="1" t="str">
        <f t="shared" si="13"/>
        <v/>
      </c>
      <c r="B8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2" spans="1:2" x14ac:dyDescent="0.25">
      <c r="A872" s="1" t="str">
        <f t="shared" si="13"/>
        <v/>
      </c>
      <c r="B8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3" spans="1:2" x14ac:dyDescent="0.25">
      <c r="A873" s="1" t="str">
        <f t="shared" si="13"/>
        <v/>
      </c>
      <c r="B8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4" spans="1:2" x14ac:dyDescent="0.25">
      <c r="A874" s="1" t="str">
        <f t="shared" si="13"/>
        <v/>
      </c>
      <c r="B8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5" spans="1:2" x14ac:dyDescent="0.25">
      <c r="A875" s="1" t="str">
        <f t="shared" si="13"/>
        <v/>
      </c>
      <c r="B8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6" spans="1:2" x14ac:dyDescent="0.25">
      <c r="A876" s="1" t="str">
        <f t="shared" si="13"/>
        <v/>
      </c>
      <c r="B8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7" spans="1:2" x14ac:dyDescent="0.25">
      <c r="A877" s="1" t="str">
        <f t="shared" si="13"/>
        <v/>
      </c>
      <c r="B8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8" spans="1:2" x14ac:dyDescent="0.25">
      <c r="A878" s="1" t="str">
        <f t="shared" si="13"/>
        <v/>
      </c>
      <c r="B8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9" spans="1:2" x14ac:dyDescent="0.25">
      <c r="A879" s="1" t="str">
        <f t="shared" si="13"/>
        <v/>
      </c>
      <c r="B8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0" spans="1:2" x14ac:dyDescent="0.25">
      <c r="A880" s="1" t="str">
        <f t="shared" si="13"/>
        <v/>
      </c>
      <c r="B8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1" spans="1:2" x14ac:dyDescent="0.25">
      <c r="A881" s="1" t="str">
        <f t="shared" si="13"/>
        <v/>
      </c>
      <c r="B8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2" spans="1:2" x14ac:dyDescent="0.25">
      <c r="A882" s="1" t="str">
        <f t="shared" si="13"/>
        <v/>
      </c>
      <c r="B8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3" spans="1:2" x14ac:dyDescent="0.25">
      <c r="A883" s="1" t="str">
        <f t="shared" si="13"/>
        <v/>
      </c>
      <c r="B8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4" spans="1:2" x14ac:dyDescent="0.25">
      <c r="A884" s="1" t="str">
        <f t="shared" si="13"/>
        <v/>
      </c>
      <c r="B8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5" spans="1:2" x14ac:dyDescent="0.25">
      <c r="A885" s="1" t="str">
        <f t="shared" si="13"/>
        <v/>
      </c>
      <c r="B8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6" spans="1:2" x14ac:dyDescent="0.25">
      <c r="A886" s="1" t="str">
        <f t="shared" si="13"/>
        <v/>
      </c>
      <c r="B8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7" spans="1:2" x14ac:dyDescent="0.25">
      <c r="A887" s="1" t="str">
        <f t="shared" si="13"/>
        <v/>
      </c>
      <c r="B8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8" spans="1:2" x14ac:dyDescent="0.25">
      <c r="A888" s="1" t="str">
        <f t="shared" si="13"/>
        <v/>
      </c>
      <c r="B8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9" spans="1:2" x14ac:dyDescent="0.25">
      <c r="A889" s="1" t="str">
        <f t="shared" si="13"/>
        <v/>
      </c>
      <c r="B8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0" spans="1:2" x14ac:dyDescent="0.25">
      <c r="A890" s="1" t="str">
        <f t="shared" si="13"/>
        <v/>
      </c>
      <c r="B8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1" spans="1:2" x14ac:dyDescent="0.25">
      <c r="A891" s="1" t="str">
        <f t="shared" si="13"/>
        <v/>
      </c>
      <c r="B8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2" spans="1:2" x14ac:dyDescent="0.25">
      <c r="A892" s="1" t="str">
        <f t="shared" si="13"/>
        <v/>
      </c>
      <c r="B8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3" spans="1:2" x14ac:dyDescent="0.25">
      <c r="A893" s="1" t="str">
        <f t="shared" si="13"/>
        <v/>
      </c>
      <c r="B8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4" spans="1:2" x14ac:dyDescent="0.25">
      <c r="A894" s="1" t="str">
        <f t="shared" si="13"/>
        <v/>
      </c>
      <c r="B8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5" spans="1:2" x14ac:dyDescent="0.25">
      <c r="A895" s="1" t="str">
        <f t="shared" si="13"/>
        <v/>
      </c>
      <c r="B8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6" spans="1:2" x14ac:dyDescent="0.25">
      <c r="A896" s="1" t="str">
        <f t="shared" si="13"/>
        <v/>
      </c>
      <c r="B8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7" spans="1:2" x14ac:dyDescent="0.25">
      <c r="A897" s="1" t="str">
        <f t="shared" si="13"/>
        <v/>
      </c>
      <c r="B8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8" spans="1:2" x14ac:dyDescent="0.25">
      <c r="A898" s="1" t="str">
        <f t="shared" ref="A898:A961" si="14">IFERROR(LEFT(RIGHT(C898,LEN(C898)-SEARCH("@",C898)),SEARCH("/",RIGHT(C898,LEN(C898)-SEARCH("@",C898)-1))),"")</f>
        <v/>
      </c>
      <c r="B8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9" spans="1:2" x14ac:dyDescent="0.25">
      <c r="A899" s="1" t="str">
        <f t="shared" si="14"/>
        <v/>
      </c>
      <c r="B8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0" spans="1:2" x14ac:dyDescent="0.25">
      <c r="A900" s="1" t="str">
        <f t="shared" si="14"/>
        <v/>
      </c>
      <c r="B9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1" spans="1:2" x14ac:dyDescent="0.25">
      <c r="A901" s="1" t="str">
        <f t="shared" si="14"/>
        <v/>
      </c>
      <c r="B9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2" spans="1:2" x14ac:dyDescent="0.25">
      <c r="A902" s="1" t="str">
        <f t="shared" si="14"/>
        <v/>
      </c>
      <c r="B9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3" spans="1:2" x14ac:dyDescent="0.25">
      <c r="A903" s="1" t="str">
        <f t="shared" si="14"/>
        <v/>
      </c>
      <c r="B9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4" spans="1:2" x14ac:dyDescent="0.25">
      <c r="A904" s="1" t="str">
        <f t="shared" si="14"/>
        <v/>
      </c>
      <c r="B9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5" spans="1:2" x14ac:dyDescent="0.25">
      <c r="A905" s="1" t="str">
        <f t="shared" si="14"/>
        <v/>
      </c>
      <c r="B9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6" spans="1:2" x14ac:dyDescent="0.25">
      <c r="A906" s="1" t="str">
        <f t="shared" si="14"/>
        <v/>
      </c>
      <c r="B9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7" spans="1:2" x14ac:dyDescent="0.25">
      <c r="A907" s="1" t="str">
        <f t="shared" si="14"/>
        <v/>
      </c>
      <c r="B9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8" spans="1:2" x14ac:dyDescent="0.25">
      <c r="A908" s="1" t="str">
        <f t="shared" si="14"/>
        <v/>
      </c>
      <c r="B9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9" spans="1:2" x14ac:dyDescent="0.25">
      <c r="A909" s="1" t="str">
        <f t="shared" si="14"/>
        <v/>
      </c>
      <c r="B9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0" spans="1:2" x14ac:dyDescent="0.25">
      <c r="A910" s="1" t="str">
        <f t="shared" si="14"/>
        <v/>
      </c>
      <c r="B9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1" spans="1:2" x14ac:dyDescent="0.25">
      <c r="A911" s="1" t="str">
        <f t="shared" si="14"/>
        <v/>
      </c>
      <c r="B9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2" spans="1:2" x14ac:dyDescent="0.25">
      <c r="A912" s="1" t="str">
        <f t="shared" si="14"/>
        <v/>
      </c>
      <c r="B9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3" spans="1:2" x14ac:dyDescent="0.25">
      <c r="A913" s="1" t="str">
        <f t="shared" si="14"/>
        <v/>
      </c>
      <c r="B9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4" spans="1:2" x14ac:dyDescent="0.25">
      <c r="A914" s="1" t="str">
        <f t="shared" si="14"/>
        <v/>
      </c>
      <c r="B9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5" spans="1:2" x14ac:dyDescent="0.25">
      <c r="A915" s="1" t="str">
        <f t="shared" si="14"/>
        <v/>
      </c>
      <c r="B9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6" spans="1:2" x14ac:dyDescent="0.25">
      <c r="A916" s="1" t="str">
        <f t="shared" si="14"/>
        <v/>
      </c>
      <c r="B9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7" spans="1:2" x14ac:dyDescent="0.25">
      <c r="A917" s="1" t="str">
        <f t="shared" si="14"/>
        <v/>
      </c>
      <c r="B9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8" spans="1:2" x14ac:dyDescent="0.25">
      <c r="A918" s="1" t="str">
        <f t="shared" si="14"/>
        <v/>
      </c>
      <c r="B9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9" spans="1:2" x14ac:dyDescent="0.25">
      <c r="A919" s="1" t="str">
        <f t="shared" si="14"/>
        <v/>
      </c>
      <c r="B9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0" spans="1:2" x14ac:dyDescent="0.25">
      <c r="A920" s="1" t="str">
        <f t="shared" si="14"/>
        <v/>
      </c>
      <c r="B9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1" spans="1:2" x14ac:dyDescent="0.25">
      <c r="A921" s="1" t="str">
        <f t="shared" si="14"/>
        <v/>
      </c>
      <c r="B9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2" spans="1:2" x14ac:dyDescent="0.25">
      <c r="A922" s="1" t="str">
        <f t="shared" si="14"/>
        <v/>
      </c>
      <c r="B9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3" spans="1:2" x14ac:dyDescent="0.25">
      <c r="A923" s="1" t="str">
        <f t="shared" si="14"/>
        <v/>
      </c>
      <c r="B9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4" spans="1:2" x14ac:dyDescent="0.25">
      <c r="A924" s="1" t="str">
        <f t="shared" si="14"/>
        <v/>
      </c>
      <c r="B9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5" spans="1:2" x14ac:dyDescent="0.25">
      <c r="A925" s="1" t="str">
        <f t="shared" si="14"/>
        <v/>
      </c>
      <c r="B9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6" spans="1:2" x14ac:dyDescent="0.25">
      <c r="A926" s="1" t="str">
        <f t="shared" si="14"/>
        <v/>
      </c>
      <c r="B9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7" spans="1:2" x14ac:dyDescent="0.25">
      <c r="A927" s="1" t="str">
        <f t="shared" si="14"/>
        <v/>
      </c>
      <c r="B9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8" spans="1:2" x14ac:dyDescent="0.25">
      <c r="A928" s="1" t="str">
        <f t="shared" si="14"/>
        <v/>
      </c>
      <c r="B9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9" spans="1:2" x14ac:dyDescent="0.25">
      <c r="A929" s="1" t="str">
        <f t="shared" si="14"/>
        <v/>
      </c>
      <c r="B9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0" spans="1:2" x14ac:dyDescent="0.25">
      <c r="A930" s="1" t="str">
        <f t="shared" si="14"/>
        <v/>
      </c>
      <c r="B9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1" spans="1:2" x14ac:dyDescent="0.25">
      <c r="A931" s="1" t="str">
        <f t="shared" si="14"/>
        <v/>
      </c>
      <c r="B9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2" spans="1:2" x14ac:dyDescent="0.25">
      <c r="A932" s="1" t="str">
        <f t="shared" si="14"/>
        <v/>
      </c>
      <c r="B9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3" spans="1:2" x14ac:dyDescent="0.25">
      <c r="A933" s="1" t="str">
        <f t="shared" si="14"/>
        <v/>
      </c>
      <c r="B9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4" spans="1:2" x14ac:dyDescent="0.25">
      <c r="A934" s="1" t="str">
        <f t="shared" si="14"/>
        <v/>
      </c>
      <c r="B9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5" spans="1:2" x14ac:dyDescent="0.25">
      <c r="A935" s="1" t="str">
        <f t="shared" si="14"/>
        <v/>
      </c>
      <c r="B9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6" spans="1:2" x14ac:dyDescent="0.25">
      <c r="A936" s="1" t="str">
        <f t="shared" si="14"/>
        <v/>
      </c>
      <c r="B9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7" spans="1:2" x14ac:dyDescent="0.25">
      <c r="A937" s="1" t="str">
        <f t="shared" si="14"/>
        <v/>
      </c>
      <c r="B9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8" spans="1:2" x14ac:dyDescent="0.25">
      <c r="A938" s="1" t="str">
        <f t="shared" si="14"/>
        <v/>
      </c>
      <c r="B9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9" spans="1:2" x14ac:dyDescent="0.25">
      <c r="A939" s="1" t="str">
        <f t="shared" si="14"/>
        <v/>
      </c>
      <c r="B9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0" spans="1:2" x14ac:dyDescent="0.25">
      <c r="A940" s="1" t="str">
        <f t="shared" si="14"/>
        <v/>
      </c>
      <c r="B9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1" spans="1:2" x14ac:dyDescent="0.25">
      <c r="A941" s="1" t="str">
        <f t="shared" si="14"/>
        <v/>
      </c>
      <c r="B9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2" spans="1:2" x14ac:dyDescent="0.25">
      <c r="A942" s="1" t="str">
        <f t="shared" si="14"/>
        <v/>
      </c>
      <c r="B9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3" spans="1:2" x14ac:dyDescent="0.25">
      <c r="A943" s="1" t="str">
        <f t="shared" si="14"/>
        <v/>
      </c>
      <c r="B9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4" spans="1:2" x14ac:dyDescent="0.25">
      <c r="A944" s="1" t="str">
        <f t="shared" si="14"/>
        <v/>
      </c>
      <c r="B9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5" spans="1:2" x14ac:dyDescent="0.25">
      <c r="A945" s="1" t="str">
        <f t="shared" si="14"/>
        <v/>
      </c>
      <c r="B9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6" spans="1:2" x14ac:dyDescent="0.25">
      <c r="A946" s="1" t="str">
        <f t="shared" si="14"/>
        <v/>
      </c>
      <c r="B9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7" spans="1:2" x14ac:dyDescent="0.25">
      <c r="A947" s="1" t="str">
        <f t="shared" si="14"/>
        <v/>
      </c>
      <c r="B9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8" spans="1:2" x14ac:dyDescent="0.25">
      <c r="A948" s="1" t="str">
        <f t="shared" si="14"/>
        <v/>
      </c>
      <c r="B9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9" spans="1:2" x14ac:dyDescent="0.25">
      <c r="A949" s="1" t="str">
        <f t="shared" si="14"/>
        <v/>
      </c>
      <c r="B9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0" spans="1:2" x14ac:dyDescent="0.25">
      <c r="A950" s="1" t="str">
        <f t="shared" si="14"/>
        <v/>
      </c>
      <c r="B9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1" spans="1:2" x14ac:dyDescent="0.25">
      <c r="A951" s="1" t="str">
        <f t="shared" si="14"/>
        <v/>
      </c>
      <c r="B9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2" spans="1:2" x14ac:dyDescent="0.25">
      <c r="A952" s="1" t="str">
        <f t="shared" si="14"/>
        <v/>
      </c>
      <c r="B9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3" spans="1:2" x14ac:dyDescent="0.25">
      <c r="A953" s="1" t="str">
        <f t="shared" si="14"/>
        <v/>
      </c>
      <c r="B9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4" spans="1:2" x14ac:dyDescent="0.25">
      <c r="A954" s="1" t="str">
        <f t="shared" si="14"/>
        <v/>
      </c>
      <c r="B9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5" spans="1:2" x14ac:dyDescent="0.25">
      <c r="A955" s="1" t="str">
        <f t="shared" si="14"/>
        <v/>
      </c>
      <c r="B9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6" spans="1:2" x14ac:dyDescent="0.25">
      <c r="A956" s="1" t="str">
        <f t="shared" si="14"/>
        <v/>
      </c>
      <c r="B9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7" spans="1:2" x14ac:dyDescent="0.25">
      <c r="A957" s="1" t="str">
        <f t="shared" si="14"/>
        <v/>
      </c>
      <c r="B9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8" spans="1:2" x14ac:dyDescent="0.25">
      <c r="A958" s="1" t="str">
        <f t="shared" si="14"/>
        <v/>
      </c>
      <c r="B9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9" spans="1:2" x14ac:dyDescent="0.25">
      <c r="A959" s="1" t="str">
        <f t="shared" si="14"/>
        <v/>
      </c>
      <c r="B9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0" spans="1:2" x14ac:dyDescent="0.25">
      <c r="A960" s="1" t="str">
        <f t="shared" si="14"/>
        <v/>
      </c>
      <c r="B9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1" spans="1:2" x14ac:dyDescent="0.25">
      <c r="A961" s="1" t="str">
        <f t="shared" si="14"/>
        <v/>
      </c>
      <c r="B9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2" spans="1:2" x14ac:dyDescent="0.25">
      <c r="A962" s="1" t="str">
        <f t="shared" ref="A962:A1010" si="15">IFERROR(LEFT(RIGHT(C962,LEN(C962)-SEARCH("@",C962)),SEARCH("/",RIGHT(C962,LEN(C962)-SEARCH("@",C962)-1))),"")</f>
        <v/>
      </c>
      <c r="B9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3" spans="1:2" x14ac:dyDescent="0.25">
      <c r="A963" s="1" t="str">
        <f t="shared" si="15"/>
        <v/>
      </c>
      <c r="B9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4" spans="1:2" x14ac:dyDescent="0.25">
      <c r="A964" s="1" t="str">
        <f t="shared" si="15"/>
        <v/>
      </c>
      <c r="B9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5" spans="1:2" x14ac:dyDescent="0.25">
      <c r="A965" s="1" t="str">
        <f t="shared" si="15"/>
        <v/>
      </c>
      <c r="B9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6" spans="1:2" x14ac:dyDescent="0.25">
      <c r="A966" s="1" t="str">
        <f t="shared" si="15"/>
        <v/>
      </c>
      <c r="B9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7" spans="1:2" x14ac:dyDescent="0.25">
      <c r="A967" s="1" t="str">
        <f t="shared" si="15"/>
        <v/>
      </c>
      <c r="B9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8" spans="1:2" x14ac:dyDescent="0.25">
      <c r="A968" s="1" t="str">
        <f t="shared" si="15"/>
        <v/>
      </c>
      <c r="B9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9" spans="1:2" x14ac:dyDescent="0.25">
      <c r="A969" s="1" t="str">
        <f t="shared" si="15"/>
        <v/>
      </c>
      <c r="B9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0" spans="1:2" x14ac:dyDescent="0.25">
      <c r="A970" s="1" t="str">
        <f t="shared" si="15"/>
        <v/>
      </c>
      <c r="B9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1" spans="1:2" x14ac:dyDescent="0.25">
      <c r="A971" s="1" t="str">
        <f t="shared" si="15"/>
        <v/>
      </c>
      <c r="B9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2" spans="1:2" x14ac:dyDescent="0.25">
      <c r="A972" s="1" t="str">
        <f t="shared" si="15"/>
        <v/>
      </c>
      <c r="B9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3" spans="1:2" x14ac:dyDescent="0.25">
      <c r="A973" s="1" t="str">
        <f t="shared" si="15"/>
        <v/>
      </c>
      <c r="B9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4" spans="1:2" x14ac:dyDescent="0.25">
      <c r="A974" s="1" t="str">
        <f t="shared" si="15"/>
        <v/>
      </c>
      <c r="B9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5" spans="1:2" x14ac:dyDescent="0.25">
      <c r="A975" s="1" t="str">
        <f t="shared" si="15"/>
        <v/>
      </c>
      <c r="B9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6" spans="1:2" x14ac:dyDescent="0.25">
      <c r="A976" s="1" t="str">
        <f t="shared" si="15"/>
        <v/>
      </c>
      <c r="B9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7" spans="1:2" x14ac:dyDescent="0.25">
      <c r="A977" s="1" t="str">
        <f t="shared" si="15"/>
        <v/>
      </c>
      <c r="B9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8" spans="1:2" x14ac:dyDescent="0.25">
      <c r="A978" s="1" t="str">
        <f t="shared" si="15"/>
        <v/>
      </c>
      <c r="B9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9" spans="1:2" x14ac:dyDescent="0.25">
      <c r="A979" s="1" t="str">
        <f t="shared" si="15"/>
        <v/>
      </c>
      <c r="B9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0" spans="1:2" x14ac:dyDescent="0.25">
      <c r="A980" s="1" t="str">
        <f t="shared" si="15"/>
        <v/>
      </c>
      <c r="B9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1" spans="1:2" x14ac:dyDescent="0.25">
      <c r="A981" s="1" t="str">
        <f t="shared" si="15"/>
        <v/>
      </c>
      <c r="B9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2" spans="1:2" x14ac:dyDescent="0.25">
      <c r="A982" s="1" t="str">
        <f t="shared" si="15"/>
        <v/>
      </c>
      <c r="B9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3" spans="1:2" x14ac:dyDescent="0.25">
      <c r="A983" s="1" t="str">
        <f t="shared" si="15"/>
        <v/>
      </c>
      <c r="B9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4" spans="1:2" x14ac:dyDescent="0.25">
      <c r="A984" s="1" t="str">
        <f t="shared" si="15"/>
        <v/>
      </c>
      <c r="B9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5" spans="1:2" x14ac:dyDescent="0.25">
      <c r="A985" s="1" t="str">
        <f t="shared" si="15"/>
        <v/>
      </c>
      <c r="B9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6" spans="1:2" x14ac:dyDescent="0.25">
      <c r="A986" s="1" t="str">
        <f t="shared" si="15"/>
        <v/>
      </c>
      <c r="B9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7" spans="1:2" x14ac:dyDescent="0.25">
      <c r="A987" s="1" t="str">
        <f t="shared" si="15"/>
        <v/>
      </c>
      <c r="B9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8" spans="1:2" x14ac:dyDescent="0.25">
      <c r="A988" s="1" t="str">
        <f t="shared" si="15"/>
        <v/>
      </c>
      <c r="B9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9" spans="1:2" x14ac:dyDescent="0.25">
      <c r="A989" s="1" t="str">
        <f t="shared" si="15"/>
        <v/>
      </c>
      <c r="B9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0" spans="1:2" x14ac:dyDescent="0.25">
      <c r="A990" s="1" t="str">
        <f t="shared" si="15"/>
        <v/>
      </c>
      <c r="B9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1" spans="1:2" x14ac:dyDescent="0.25">
      <c r="A991" s="1" t="str">
        <f t="shared" si="15"/>
        <v/>
      </c>
      <c r="B9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2" spans="1:2" x14ac:dyDescent="0.25">
      <c r="A992" s="1" t="str">
        <f t="shared" si="15"/>
        <v/>
      </c>
      <c r="B9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3" spans="1:2" x14ac:dyDescent="0.25">
      <c r="A993" s="1" t="str">
        <f t="shared" si="15"/>
        <v/>
      </c>
      <c r="B9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4" spans="1:2" x14ac:dyDescent="0.25">
      <c r="A994" s="1" t="str">
        <f t="shared" si="15"/>
        <v/>
      </c>
      <c r="B9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5" spans="1:2" x14ac:dyDescent="0.25">
      <c r="A995" s="1" t="str">
        <f t="shared" si="15"/>
        <v/>
      </c>
      <c r="B9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6" spans="1:2" x14ac:dyDescent="0.25">
      <c r="A996" s="1" t="str">
        <f t="shared" si="15"/>
        <v/>
      </c>
      <c r="B9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7" spans="1:2" x14ac:dyDescent="0.25">
      <c r="A997" s="1" t="str">
        <f t="shared" si="15"/>
        <v/>
      </c>
      <c r="B9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8" spans="1:2" x14ac:dyDescent="0.25">
      <c r="A998" s="1" t="str">
        <f t="shared" si="15"/>
        <v/>
      </c>
      <c r="B9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9" spans="1:2" x14ac:dyDescent="0.25">
      <c r="A999" s="1" t="str">
        <f t="shared" si="15"/>
        <v/>
      </c>
      <c r="B9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0" spans="1:2" x14ac:dyDescent="0.25">
      <c r="A1000" s="1" t="str">
        <f t="shared" si="15"/>
        <v/>
      </c>
      <c r="B10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1" spans="1:2" x14ac:dyDescent="0.25">
      <c r="A1001" s="1" t="str">
        <f t="shared" si="15"/>
        <v/>
      </c>
      <c r="B10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2" spans="1:2" x14ac:dyDescent="0.25">
      <c r="A1002" s="1" t="str">
        <f t="shared" si="15"/>
        <v/>
      </c>
      <c r="B10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3" spans="1:2" x14ac:dyDescent="0.25">
      <c r="A1003" s="1" t="str">
        <f t="shared" si="15"/>
        <v/>
      </c>
      <c r="B10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4" spans="1:2" x14ac:dyDescent="0.25">
      <c r="A1004" s="1" t="str">
        <f t="shared" si="15"/>
        <v/>
      </c>
      <c r="B10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5" spans="1:2" x14ac:dyDescent="0.25">
      <c r="A1005" s="1" t="str">
        <f t="shared" si="15"/>
        <v/>
      </c>
      <c r="B10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6" spans="1:2" x14ac:dyDescent="0.25">
      <c r="A1006" s="1" t="str">
        <f t="shared" si="15"/>
        <v/>
      </c>
      <c r="B10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7" spans="1:2" x14ac:dyDescent="0.25">
      <c r="A1007" s="1" t="str">
        <f t="shared" si="15"/>
        <v/>
      </c>
      <c r="B10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8" spans="1:2" x14ac:dyDescent="0.25">
      <c r="A1008" s="1" t="str">
        <f t="shared" si="15"/>
        <v/>
      </c>
      <c r="B10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9" spans="1:2" x14ac:dyDescent="0.25">
      <c r="A1009" s="1" t="str">
        <f t="shared" si="15"/>
        <v/>
      </c>
      <c r="B10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0" spans="1:2" x14ac:dyDescent="0.25">
      <c r="A1010" s="1" t="str">
        <f t="shared" si="15"/>
        <v/>
      </c>
      <c r="B10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1" spans="1:2" x14ac:dyDescent="0.25">
      <c r="A1011" s="1" t="str">
        <f t="shared" ref="A1011:A1074" si="16">IFERROR(LEFT(RIGHT(C1011,LEN(C1011)-SEARCH("@",C1011)),SEARCH("/",RIGHT(C1011,LEN(C1011)-SEARCH("@",C1011)-1))),"")</f>
        <v/>
      </c>
      <c r="B10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2" spans="1:2" x14ac:dyDescent="0.25">
      <c r="A1012" s="1" t="str">
        <f t="shared" si="16"/>
        <v/>
      </c>
      <c r="B10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3" spans="1:2" x14ac:dyDescent="0.25">
      <c r="A1013" s="1" t="str">
        <f t="shared" si="16"/>
        <v/>
      </c>
      <c r="B10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4" spans="1:2" x14ac:dyDescent="0.25">
      <c r="A1014" s="1" t="str">
        <f t="shared" si="16"/>
        <v/>
      </c>
      <c r="B10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5" spans="1:2" x14ac:dyDescent="0.25">
      <c r="A1015" s="1" t="str">
        <f t="shared" si="16"/>
        <v/>
      </c>
      <c r="B10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6" spans="1:2" x14ac:dyDescent="0.25">
      <c r="A1016" s="1" t="str">
        <f t="shared" si="16"/>
        <v/>
      </c>
      <c r="B10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7" spans="1:2" x14ac:dyDescent="0.25">
      <c r="A1017" s="1" t="str">
        <f t="shared" si="16"/>
        <v/>
      </c>
      <c r="B10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8" spans="1:2" x14ac:dyDescent="0.25">
      <c r="A1018" s="1" t="str">
        <f t="shared" si="16"/>
        <v/>
      </c>
      <c r="B10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9" spans="1:2" x14ac:dyDescent="0.25">
      <c r="A1019" s="1" t="str">
        <f t="shared" si="16"/>
        <v/>
      </c>
      <c r="B10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0" spans="1:2" x14ac:dyDescent="0.25">
      <c r="A1020" s="1" t="str">
        <f t="shared" si="16"/>
        <v/>
      </c>
      <c r="B10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1" spans="1:2" x14ac:dyDescent="0.25">
      <c r="A1021" s="1" t="str">
        <f t="shared" si="16"/>
        <v/>
      </c>
      <c r="B10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2" spans="1:2" x14ac:dyDescent="0.25">
      <c r="A1022" s="1" t="str">
        <f t="shared" si="16"/>
        <v/>
      </c>
      <c r="B10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3" spans="1:2" x14ac:dyDescent="0.25">
      <c r="A1023" s="1" t="str">
        <f t="shared" si="16"/>
        <v/>
      </c>
      <c r="B10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4" spans="1:2" x14ac:dyDescent="0.25">
      <c r="A1024" s="1" t="str">
        <f t="shared" si="16"/>
        <v/>
      </c>
      <c r="B10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5" spans="1:2" x14ac:dyDescent="0.25">
      <c r="A1025" s="1" t="str">
        <f t="shared" si="16"/>
        <v/>
      </c>
      <c r="B10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6" spans="1:2" x14ac:dyDescent="0.25">
      <c r="A1026" s="1" t="str">
        <f t="shared" si="16"/>
        <v/>
      </c>
      <c r="B10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7" spans="1:2" x14ac:dyDescent="0.25">
      <c r="A1027" s="1" t="str">
        <f t="shared" si="16"/>
        <v/>
      </c>
      <c r="B10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8" spans="1:2" x14ac:dyDescent="0.25">
      <c r="A1028" s="1" t="str">
        <f t="shared" si="16"/>
        <v/>
      </c>
      <c r="B10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9" spans="1:2" x14ac:dyDescent="0.25">
      <c r="A1029" s="1" t="str">
        <f t="shared" si="16"/>
        <v/>
      </c>
      <c r="B10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0" spans="1:2" x14ac:dyDescent="0.25">
      <c r="A1030" s="1" t="str">
        <f t="shared" si="16"/>
        <v/>
      </c>
      <c r="B10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1" spans="1:2" x14ac:dyDescent="0.25">
      <c r="A1031" s="1" t="str">
        <f t="shared" si="16"/>
        <v/>
      </c>
      <c r="B10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2" spans="1:2" x14ac:dyDescent="0.25">
      <c r="A1032" s="1" t="str">
        <f t="shared" si="16"/>
        <v/>
      </c>
      <c r="B10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3" spans="1:2" x14ac:dyDescent="0.25">
      <c r="A1033" s="1" t="str">
        <f t="shared" si="16"/>
        <v/>
      </c>
      <c r="B10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4" spans="1:2" x14ac:dyDescent="0.25">
      <c r="A1034" s="1" t="str">
        <f t="shared" si="16"/>
        <v/>
      </c>
      <c r="B10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5" spans="1:2" x14ac:dyDescent="0.25">
      <c r="A1035" s="1" t="str">
        <f t="shared" si="16"/>
        <v/>
      </c>
      <c r="B10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6" spans="1:2" x14ac:dyDescent="0.25">
      <c r="A1036" s="1" t="str">
        <f t="shared" si="16"/>
        <v/>
      </c>
      <c r="B10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7" spans="1:2" x14ac:dyDescent="0.25">
      <c r="A1037" s="1" t="str">
        <f t="shared" si="16"/>
        <v/>
      </c>
      <c r="B10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8" spans="1:2" x14ac:dyDescent="0.25">
      <c r="A1038" s="1" t="str">
        <f t="shared" si="16"/>
        <v/>
      </c>
      <c r="B10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9" spans="1:2" x14ac:dyDescent="0.25">
      <c r="A1039" s="1" t="str">
        <f t="shared" si="16"/>
        <v/>
      </c>
      <c r="B10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0" spans="1:2" x14ac:dyDescent="0.25">
      <c r="A1040" s="1" t="str">
        <f t="shared" si="16"/>
        <v/>
      </c>
      <c r="B10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1" spans="1:2" x14ac:dyDescent="0.25">
      <c r="A1041" s="1" t="str">
        <f t="shared" si="16"/>
        <v/>
      </c>
      <c r="B10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2" spans="1:2" x14ac:dyDescent="0.25">
      <c r="A1042" s="1" t="str">
        <f t="shared" si="16"/>
        <v/>
      </c>
      <c r="B10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3" spans="1:2" x14ac:dyDescent="0.25">
      <c r="A1043" s="1" t="str">
        <f t="shared" si="16"/>
        <v/>
      </c>
      <c r="B10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4" spans="1:2" x14ac:dyDescent="0.25">
      <c r="A1044" s="1" t="str">
        <f t="shared" si="16"/>
        <v/>
      </c>
      <c r="B10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5" spans="1:2" x14ac:dyDescent="0.25">
      <c r="A1045" s="1" t="str">
        <f t="shared" si="16"/>
        <v/>
      </c>
      <c r="B10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6" spans="1:2" x14ac:dyDescent="0.25">
      <c r="A1046" s="1" t="str">
        <f t="shared" si="16"/>
        <v/>
      </c>
      <c r="B10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7" spans="1:2" x14ac:dyDescent="0.25">
      <c r="A1047" s="1" t="str">
        <f t="shared" si="16"/>
        <v/>
      </c>
      <c r="B10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8" spans="1:2" x14ac:dyDescent="0.25">
      <c r="A1048" s="1" t="str">
        <f t="shared" si="16"/>
        <v/>
      </c>
      <c r="B10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9" spans="1:2" x14ac:dyDescent="0.25">
      <c r="A1049" s="1" t="str">
        <f t="shared" si="16"/>
        <v/>
      </c>
      <c r="B10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0" spans="1:2" x14ac:dyDescent="0.25">
      <c r="A1050" s="1" t="str">
        <f t="shared" si="16"/>
        <v/>
      </c>
      <c r="B10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1" spans="1:2" x14ac:dyDescent="0.25">
      <c r="A1051" s="1" t="str">
        <f t="shared" si="16"/>
        <v/>
      </c>
      <c r="B10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2" spans="1:2" x14ac:dyDescent="0.25">
      <c r="A1052" s="1" t="str">
        <f t="shared" si="16"/>
        <v/>
      </c>
      <c r="B10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3" spans="1:2" x14ac:dyDescent="0.25">
      <c r="A1053" s="1" t="str">
        <f t="shared" si="16"/>
        <v/>
      </c>
      <c r="B10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4" spans="1:2" x14ac:dyDescent="0.25">
      <c r="A1054" s="1" t="str">
        <f t="shared" si="16"/>
        <v/>
      </c>
      <c r="B10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5" spans="1:2" x14ac:dyDescent="0.25">
      <c r="A1055" s="1" t="str">
        <f t="shared" si="16"/>
        <v/>
      </c>
      <c r="B10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6" spans="1:2" x14ac:dyDescent="0.25">
      <c r="A1056" s="1" t="str">
        <f t="shared" si="16"/>
        <v/>
      </c>
      <c r="B10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7" spans="1:2" x14ac:dyDescent="0.25">
      <c r="A1057" s="1" t="str">
        <f t="shared" si="16"/>
        <v/>
      </c>
      <c r="B10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8" spans="1:2" x14ac:dyDescent="0.25">
      <c r="A1058" s="1" t="str">
        <f t="shared" si="16"/>
        <v/>
      </c>
      <c r="B10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9" spans="1:2" x14ac:dyDescent="0.25">
      <c r="A1059" s="1" t="str">
        <f t="shared" si="16"/>
        <v/>
      </c>
      <c r="B10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0" spans="1:2" x14ac:dyDescent="0.25">
      <c r="A1060" s="1" t="str">
        <f t="shared" si="16"/>
        <v/>
      </c>
      <c r="B10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1" spans="1:2" x14ac:dyDescent="0.25">
      <c r="A1061" s="1" t="str">
        <f t="shared" si="16"/>
        <v/>
      </c>
      <c r="B10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2" spans="1:2" x14ac:dyDescent="0.25">
      <c r="A1062" s="1" t="str">
        <f t="shared" si="16"/>
        <v/>
      </c>
      <c r="B10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3" spans="1:2" x14ac:dyDescent="0.25">
      <c r="A1063" s="1" t="str">
        <f t="shared" si="16"/>
        <v/>
      </c>
      <c r="B10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4" spans="1:2" x14ac:dyDescent="0.25">
      <c r="A1064" s="1" t="str">
        <f t="shared" si="16"/>
        <v/>
      </c>
      <c r="B10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5" spans="1:2" x14ac:dyDescent="0.25">
      <c r="A1065" s="1" t="str">
        <f t="shared" si="16"/>
        <v/>
      </c>
      <c r="B10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6" spans="1:2" x14ac:dyDescent="0.25">
      <c r="A1066" s="1" t="str">
        <f t="shared" si="16"/>
        <v/>
      </c>
      <c r="B10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7" spans="1:2" x14ac:dyDescent="0.25">
      <c r="A1067" s="1" t="str">
        <f t="shared" si="16"/>
        <v/>
      </c>
      <c r="B10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8" spans="1:2" x14ac:dyDescent="0.25">
      <c r="A1068" s="1" t="str">
        <f t="shared" si="16"/>
        <v/>
      </c>
      <c r="B10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9" spans="1:2" x14ac:dyDescent="0.25">
      <c r="A1069" s="1" t="str">
        <f t="shared" si="16"/>
        <v/>
      </c>
      <c r="B10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0" spans="1:2" x14ac:dyDescent="0.25">
      <c r="A1070" s="1" t="str">
        <f t="shared" si="16"/>
        <v/>
      </c>
      <c r="B10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1" spans="1:2" x14ac:dyDescent="0.25">
      <c r="A1071" s="1" t="str">
        <f t="shared" si="16"/>
        <v/>
      </c>
      <c r="B10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2" spans="1:2" x14ac:dyDescent="0.25">
      <c r="A1072" s="1" t="str">
        <f t="shared" si="16"/>
        <v/>
      </c>
      <c r="B10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3" spans="1:2" x14ac:dyDescent="0.25">
      <c r="A1073" s="1" t="str">
        <f t="shared" si="16"/>
        <v/>
      </c>
      <c r="B10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4" spans="1:2" x14ac:dyDescent="0.25">
      <c r="A1074" s="1" t="str">
        <f t="shared" si="16"/>
        <v/>
      </c>
      <c r="B10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5" spans="1:2" x14ac:dyDescent="0.25">
      <c r="A1075" s="1" t="str">
        <f t="shared" ref="A1075:A1138" si="17">IFERROR(LEFT(RIGHT(C1075,LEN(C1075)-SEARCH("@",C1075)),SEARCH("/",RIGHT(C1075,LEN(C1075)-SEARCH("@",C1075)-1))),"")</f>
        <v/>
      </c>
      <c r="B10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6" spans="1:2" x14ac:dyDescent="0.25">
      <c r="A1076" s="1" t="str">
        <f t="shared" si="17"/>
        <v/>
      </c>
      <c r="B10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7" spans="1:2" x14ac:dyDescent="0.25">
      <c r="A1077" s="1" t="str">
        <f t="shared" si="17"/>
        <v/>
      </c>
      <c r="B10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8" spans="1:2" x14ac:dyDescent="0.25">
      <c r="A1078" s="1" t="str">
        <f t="shared" si="17"/>
        <v/>
      </c>
      <c r="B10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9" spans="1:2" x14ac:dyDescent="0.25">
      <c r="A1079" s="1" t="str">
        <f t="shared" si="17"/>
        <v/>
      </c>
      <c r="B10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0" spans="1:2" x14ac:dyDescent="0.25">
      <c r="A1080" s="1" t="str">
        <f t="shared" si="17"/>
        <v/>
      </c>
      <c r="B10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1" spans="1:2" x14ac:dyDescent="0.25">
      <c r="A1081" s="1" t="str">
        <f t="shared" si="17"/>
        <v/>
      </c>
      <c r="B10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2" spans="1:2" x14ac:dyDescent="0.25">
      <c r="A1082" s="1" t="str">
        <f t="shared" si="17"/>
        <v/>
      </c>
      <c r="B10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3" spans="1:2" x14ac:dyDescent="0.25">
      <c r="A1083" s="1" t="str">
        <f t="shared" si="17"/>
        <v/>
      </c>
      <c r="B10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4" spans="1:2" x14ac:dyDescent="0.25">
      <c r="A1084" s="1" t="str">
        <f t="shared" si="17"/>
        <v/>
      </c>
      <c r="B10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5" spans="1:2" x14ac:dyDescent="0.25">
      <c r="A1085" s="1" t="str">
        <f t="shared" si="17"/>
        <v/>
      </c>
      <c r="B10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6" spans="1:2" x14ac:dyDescent="0.25">
      <c r="A1086" s="1" t="str">
        <f t="shared" si="17"/>
        <v/>
      </c>
      <c r="B10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7" spans="1:2" x14ac:dyDescent="0.25">
      <c r="A1087" s="1" t="str">
        <f t="shared" si="17"/>
        <v/>
      </c>
      <c r="B10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8" spans="1:2" x14ac:dyDescent="0.25">
      <c r="A1088" s="1" t="str">
        <f t="shared" si="17"/>
        <v/>
      </c>
      <c r="B10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9" spans="1:2" x14ac:dyDescent="0.25">
      <c r="A1089" s="1" t="str">
        <f t="shared" si="17"/>
        <v/>
      </c>
      <c r="B10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0" spans="1:2" x14ac:dyDescent="0.25">
      <c r="A1090" s="1" t="str">
        <f t="shared" si="17"/>
        <v/>
      </c>
      <c r="B10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1" spans="1:2" x14ac:dyDescent="0.25">
      <c r="A1091" s="1" t="str">
        <f t="shared" si="17"/>
        <v/>
      </c>
      <c r="B10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2" spans="1:2" x14ac:dyDescent="0.25">
      <c r="A1092" s="1" t="str">
        <f t="shared" si="17"/>
        <v/>
      </c>
      <c r="B10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3" spans="1:2" x14ac:dyDescent="0.25">
      <c r="A1093" s="1" t="str">
        <f t="shared" si="17"/>
        <v/>
      </c>
      <c r="B10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4" spans="1:2" x14ac:dyDescent="0.25">
      <c r="A1094" s="1" t="str">
        <f t="shared" si="17"/>
        <v/>
      </c>
      <c r="B10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5" spans="1:2" x14ac:dyDescent="0.25">
      <c r="A1095" s="1" t="str">
        <f t="shared" si="17"/>
        <v/>
      </c>
      <c r="B10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6" spans="1:2" x14ac:dyDescent="0.25">
      <c r="A1096" s="1" t="str">
        <f t="shared" si="17"/>
        <v/>
      </c>
      <c r="B10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7" spans="1:2" x14ac:dyDescent="0.25">
      <c r="A1097" s="1" t="str">
        <f t="shared" si="17"/>
        <v/>
      </c>
      <c r="B10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8" spans="1:2" x14ac:dyDescent="0.25">
      <c r="A1098" s="1" t="str">
        <f t="shared" si="17"/>
        <v/>
      </c>
      <c r="B10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9" spans="1:2" x14ac:dyDescent="0.25">
      <c r="A1099" s="1" t="str">
        <f t="shared" si="17"/>
        <v/>
      </c>
      <c r="B10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0" spans="1:2" x14ac:dyDescent="0.25">
      <c r="A1100" s="1" t="str">
        <f t="shared" si="17"/>
        <v/>
      </c>
      <c r="B1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1" spans="1:2" x14ac:dyDescent="0.25">
      <c r="A1101" s="1" t="str">
        <f t="shared" si="17"/>
        <v/>
      </c>
      <c r="B1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2" spans="1:2" x14ac:dyDescent="0.25">
      <c r="A1102" s="1" t="str">
        <f t="shared" si="17"/>
        <v/>
      </c>
      <c r="B11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3" spans="1:2" x14ac:dyDescent="0.25">
      <c r="A1103" s="1" t="str">
        <f t="shared" si="17"/>
        <v/>
      </c>
      <c r="B11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4" spans="1:2" x14ac:dyDescent="0.25">
      <c r="A1104" s="1" t="str">
        <f t="shared" si="17"/>
        <v/>
      </c>
      <c r="B11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5" spans="1:2" x14ac:dyDescent="0.25">
      <c r="A1105" s="1" t="str">
        <f t="shared" si="17"/>
        <v/>
      </c>
      <c r="B11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6" spans="1:2" x14ac:dyDescent="0.25">
      <c r="A1106" s="1" t="str">
        <f t="shared" si="17"/>
        <v/>
      </c>
      <c r="B11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7" spans="1:2" x14ac:dyDescent="0.25">
      <c r="A1107" s="1" t="str">
        <f t="shared" si="17"/>
        <v/>
      </c>
      <c r="B11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8" spans="1:2" x14ac:dyDescent="0.25">
      <c r="A1108" s="1" t="str">
        <f t="shared" si="17"/>
        <v/>
      </c>
      <c r="B11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9" spans="1:2" x14ac:dyDescent="0.25">
      <c r="A1109" s="1" t="str">
        <f t="shared" si="17"/>
        <v/>
      </c>
      <c r="B11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0" spans="1:2" x14ac:dyDescent="0.25">
      <c r="A1110" s="1" t="str">
        <f t="shared" si="17"/>
        <v/>
      </c>
      <c r="B11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1" spans="1:2" x14ac:dyDescent="0.25">
      <c r="A1111" s="1" t="str">
        <f t="shared" si="17"/>
        <v/>
      </c>
      <c r="B11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2" spans="1:2" x14ac:dyDescent="0.25">
      <c r="A1112" s="1" t="str">
        <f t="shared" si="17"/>
        <v/>
      </c>
      <c r="B11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3" spans="1:2" x14ac:dyDescent="0.25">
      <c r="A1113" s="1" t="str">
        <f t="shared" si="17"/>
        <v/>
      </c>
      <c r="B11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4" spans="1:2" x14ac:dyDescent="0.25">
      <c r="A1114" s="1" t="str">
        <f t="shared" si="17"/>
        <v/>
      </c>
      <c r="B11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5" spans="1:2" x14ac:dyDescent="0.25">
      <c r="A1115" s="1" t="str">
        <f t="shared" si="17"/>
        <v/>
      </c>
      <c r="B11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6" spans="1:2" x14ac:dyDescent="0.25">
      <c r="A1116" s="1" t="str">
        <f t="shared" si="17"/>
        <v/>
      </c>
      <c r="B11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7" spans="1:2" x14ac:dyDescent="0.25">
      <c r="A1117" s="1" t="str">
        <f t="shared" si="17"/>
        <v/>
      </c>
      <c r="B1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8" spans="1:2" x14ac:dyDescent="0.25">
      <c r="A1118" s="1" t="str">
        <f t="shared" si="17"/>
        <v/>
      </c>
      <c r="B11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9" spans="1:2" x14ac:dyDescent="0.25">
      <c r="A1119" s="1" t="str">
        <f t="shared" si="17"/>
        <v/>
      </c>
      <c r="B11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0" spans="1:2" x14ac:dyDescent="0.25">
      <c r="A1120" s="1" t="str">
        <f t="shared" si="17"/>
        <v/>
      </c>
      <c r="B1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1" spans="1:2" x14ac:dyDescent="0.25">
      <c r="A1121" s="1" t="str">
        <f t="shared" si="17"/>
        <v/>
      </c>
      <c r="B1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2" spans="1:2" x14ac:dyDescent="0.25">
      <c r="A1122" s="1" t="str">
        <f t="shared" si="17"/>
        <v/>
      </c>
      <c r="B1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3" spans="1:2" x14ac:dyDescent="0.25">
      <c r="A1123" s="1" t="str">
        <f t="shared" si="17"/>
        <v/>
      </c>
      <c r="B1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4" spans="1:2" x14ac:dyDescent="0.25">
      <c r="A1124" s="1" t="str">
        <f t="shared" si="17"/>
        <v/>
      </c>
      <c r="B1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5" spans="1:2" x14ac:dyDescent="0.25">
      <c r="A1125" s="1" t="str">
        <f t="shared" si="17"/>
        <v/>
      </c>
      <c r="B1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6" spans="1:2" x14ac:dyDescent="0.25">
      <c r="A1126" s="1" t="str">
        <f t="shared" si="17"/>
        <v/>
      </c>
      <c r="B1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7" spans="1:2" x14ac:dyDescent="0.25">
      <c r="A1127" s="1" t="str">
        <f t="shared" si="17"/>
        <v/>
      </c>
      <c r="B1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8" spans="1:2" x14ac:dyDescent="0.25">
      <c r="A1128" s="1" t="str">
        <f t="shared" si="17"/>
        <v/>
      </c>
      <c r="B1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9" spans="1:2" x14ac:dyDescent="0.25">
      <c r="A1129" s="1" t="str">
        <f t="shared" si="17"/>
        <v/>
      </c>
      <c r="B1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0" spans="1:2" x14ac:dyDescent="0.25">
      <c r="A1130" s="1" t="str">
        <f t="shared" si="17"/>
        <v/>
      </c>
      <c r="B1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1" spans="1:2" x14ac:dyDescent="0.25">
      <c r="A1131" s="1" t="str">
        <f t="shared" si="17"/>
        <v/>
      </c>
      <c r="B1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2" spans="1:2" x14ac:dyDescent="0.25">
      <c r="A1132" s="1" t="str">
        <f t="shared" si="17"/>
        <v/>
      </c>
      <c r="B1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3" spans="1:2" x14ac:dyDescent="0.25">
      <c r="A1133" s="1" t="str">
        <f t="shared" si="17"/>
        <v/>
      </c>
      <c r="B1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4" spans="1:2" x14ac:dyDescent="0.25">
      <c r="A1134" s="1" t="str">
        <f t="shared" si="17"/>
        <v/>
      </c>
      <c r="B1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5" spans="1:2" x14ac:dyDescent="0.25">
      <c r="A1135" s="1" t="str">
        <f t="shared" si="17"/>
        <v/>
      </c>
      <c r="B11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6" spans="1:2" x14ac:dyDescent="0.25">
      <c r="A1136" s="1" t="str">
        <f t="shared" si="17"/>
        <v/>
      </c>
      <c r="B11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7" spans="1:2" x14ac:dyDescent="0.25">
      <c r="A1137" s="1" t="str">
        <f t="shared" si="17"/>
        <v/>
      </c>
      <c r="B11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8" spans="1:2" x14ac:dyDescent="0.25">
      <c r="A1138" s="1" t="str">
        <f t="shared" si="17"/>
        <v/>
      </c>
      <c r="B11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9" spans="1:2" x14ac:dyDescent="0.25">
      <c r="A1139" s="1" t="str">
        <f t="shared" ref="A1139:A1202" si="18">IFERROR(LEFT(RIGHT(C1139,LEN(C1139)-SEARCH("@",C1139)),SEARCH("/",RIGHT(C1139,LEN(C1139)-SEARCH("@",C1139)-1))),"")</f>
        <v/>
      </c>
      <c r="B11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0" spans="1:2" x14ac:dyDescent="0.25">
      <c r="A1140" s="1" t="str">
        <f t="shared" si="18"/>
        <v/>
      </c>
      <c r="B11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1" spans="1:2" x14ac:dyDescent="0.25">
      <c r="A1141" s="1" t="str">
        <f t="shared" si="18"/>
        <v/>
      </c>
      <c r="B11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2" spans="1:2" x14ac:dyDescent="0.25">
      <c r="A1142" s="1" t="str">
        <f t="shared" si="18"/>
        <v/>
      </c>
      <c r="B11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3" spans="1:2" x14ac:dyDescent="0.25">
      <c r="A1143" s="1" t="str">
        <f t="shared" si="18"/>
        <v/>
      </c>
      <c r="B11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4" spans="1:2" x14ac:dyDescent="0.25">
      <c r="A1144" s="1" t="str">
        <f t="shared" si="18"/>
        <v/>
      </c>
      <c r="B11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5" spans="1:2" x14ac:dyDescent="0.25">
      <c r="A1145" s="1" t="str">
        <f t="shared" si="18"/>
        <v/>
      </c>
      <c r="B11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6" spans="1:2" x14ac:dyDescent="0.25">
      <c r="A1146" s="1" t="str">
        <f t="shared" si="18"/>
        <v/>
      </c>
      <c r="B11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7" spans="1:2" x14ac:dyDescent="0.25">
      <c r="A1147" s="1" t="str">
        <f t="shared" si="18"/>
        <v/>
      </c>
      <c r="B11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8" spans="1:2" x14ac:dyDescent="0.25">
      <c r="A1148" s="1" t="str">
        <f t="shared" si="18"/>
        <v/>
      </c>
      <c r="B11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9" spans="1:2" x14ac:dyDescent="0.25">
      <c r="A1149" s="1" t="str">
        <f t="shared" si="18"/>
        <v/>
      </c>
      <c r="B11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0" spans="1:2" x14ac:dyDescent="0.25">
      <c r="A1150" s="1" t="str">
        <f t="shared" si="18"/>
        <v/>
      </c>
      <c r="B11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1" spans="1:2" x14ac:dyDescent="0.25">
      <c r="A1151" s="1" t="str">
        <f t="shared" si="18"/>
        <v/>
      </c>
      <c r="B11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2" spans="1:2" x14ac:dyDescent="0.25">
      <c r="A1152" s="1" t="str">
        <f t="shared" si="18"/>
        <v/>
      </c>
      <c r="B11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3" spans="1:2" x14ac:dyDescent="0.25">
      <c r="A1153" s="1" t="str">
        <f t="shared" si="18"/>
        <v/>
      </c>
      <c r="B11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4" spans="1:2" x14ac:dyDescent="0.25">
      <c r="A1154" s="1" t="str">
        <f t="shared" si="18"/>
        <v/>
      </c>
      <c r="B11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5" spans="1:2" x14ac:dyDescent="0.25">
      <c r="A1155" s="1" t="str">
        <f t="shared" si="18"/>
        <v/>
      </c>
      <c r="B11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6" spans="1:2" x14ac:dyDescent="0.25">
      <c r="A1156" s="1" t="str">
        <f t="shared" si="18"/>
        <v/>
      </c>
      <c r="B11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7" spans="1:2" x14ac:dyDescent="0.25">
      <c r="A1157" s="1" t="str">
        <f t="shared" si="18"/>
        <v/>
      </c>
      <c r="B11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8" spans="1:2" x14ac:dyDescent="0.25">
      <c r="A1158" s="1" t="str">
        <f t="shared" si="18"/>
        <v/>
      </c>
      <c r="B1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9" spans="1:2" x14ac:dyDescent="0.25">
      <c r="A1159" s="1" t="str">
        <f t="shared" si="18"/>
        <v/>
      </c>
      <c r="B1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0" spans="1:2" x14ac:dyDescent="0.25">
      <c r="A1160" s="1" t="str">
        <f t="shared" si="18"/>
        <v/>
      </c>
      <c r="B1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1" spans="1:2" x14ac:dyDescent="0.25">
      <c r="A1161" s="1" t="str">
        <f t="shared" si="18"/>
        <v/>
      </c>
      <c r="B1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2" spans="1:2" x14ac:dyDescent="0.25">
      <c r="A1162" s="1" t="str">
        <f t="shared" si="18"/>
        <v/>
      </c>
      <c r="B1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3" spans="1:2" x14ac:dyDescent="0.25">
      <c r="A1163" s="1" t="str">
        <f t="shared" si="18"/>
        <v/>
      </c>
      <c r="B1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4" spans="1:2" x14ac:dyDescent="0.25">
      <c r="A1164" s="1" t="str">
        <f t="shared" si="18"/>
        <v/>
      </c>
      <c r="B1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5" spans="1:2" x14ac:dyDescent="0.25">
      <c r="A1165" s="1" t="str">
        <f t="shared" si="18"/>
        <v/>
      </c>
      <c r="B1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6" spans="1:2" x14ac:dyDescent="0.25">
      <c r="A1166" s="1" t="str">
        <f t="shared" si="18"/>
        <v/>
      </c>
      <c r="B1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7" spans="1:2" x14ac:dyDescent="0.25">
      <c r="A1167" s="1" t="str">
        <f t="shared" si="18"/>
        <v/>
      </c>
      <c r="B1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8" spans="1:2" x14ac:dyDescent="0.25">
      <c r="A1168" s="1" t="str">
        <f t="shared" si="18"/>
        <v/>
      </c>
      <c r="B11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9" spans="1:2" x14ac:dyDescent="0.25">
      <c r="A1169" s="1" t="str">
        <f t="shared" si="18"/>
        <v/>
      </c>
      <c r="B11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0" spans="1:2" x14ac:dyDescent="0.25">
      <c r="A1170" s="1" t="str">
        <f t="shared" si="18"/>
        <v/>
      </c>
      <c r="B11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1" spans="1:2" x14ac:dyDescent="0.25">
      <c r="A1171" s="1" t="str">
        <f t="shared" si="18"/>
        <v/>
      </c>
      <c r="B11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2" spans="1:2" x14ac:dyDescent="0.25">
      <c r="A1172" s="1" t="str">
        <f t="shared" si="18"/>
        <v/>
      </c>
      <c r="B11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3" spans="1:2" x14ac:dyDescent="0.25">
      <c r="A1173" s="1" t="str">
        <f t="shared" si="18"/>
        <v/>
      </c>
      <c r="B11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4" spans="1:2" x14ac:dyDescent="0.25">
      <c r="A1174" s="1" t="str">
        <f t="shared" si="18"/>
        <v/>
      </c>
      <c r="B11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5" spans="1:2" x14ac:dyDescent="0.25">
      <c r="A1175" s="1" t="str">
        <f t="shared" si="18"/>
        <v/>
      </c>
      <c r="B11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6" spans="1:2" x14ac:dyDescent="0.25">
      <c r="A1176" s="1" t="str">
        <f t="shared" si="18"/>
        <v/>
      </c>
      <c r="B11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7" spans="1:2" x14ac:dyDescent="0.25">
      <c r="A1177" s="1" t="str">
        <f t="shared" si="18"/>
        <v/>
      </c>
      <c r="B11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8" spans="1:2" x14ac:dyDescent="0.25">
      <c r="A1178" s="1" t="str">
        <f t="shared" si="18"/>
        <v/>
      </c>
      <c r="B11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9" spans="1:2" x14ac:dyDescent="0.25">
      <c r="A1179" s="1" t="str">
        <f t="shared" si="18"/>
        <v/>
      </c>
      <c r="B11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0" spans="1:2" x14ac:dyDescent="0.25">
      <c r="A1180" s="1" t="str">
        <f t="shared" si="18"/>
        <v/>
      </c>
      <c r="B11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1" spans="1:2" x14ac:dyDescent="0.25">
      <c r="A1181" s="1" t="str">
        <f t="shared" si="18"/>
        <v/>
      </c>
      <c r="B11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2" spans="1:2" x14ac:dyDescent="0.25">
      <c r="A1182" s="1" t="str">
        <f t="shared" si="18"/>
        <v/>
      </c>
      <c r="B11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3" spans="1:2" x14ac:dyDescent="0.25">
      <c r="A1183" s="1" t="str">
        <f t="shared" si="18"/>
        <v/>
      </c>
      <c r="B11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4" spans="1:2" x14ac:dyDescent="0.25">
      <c r="A1184" s="1" t="str">
        <f t="shared" si="18"/>
        <v/>
      </c>
      <c r="B11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5" spans="1:2" x14ac:dyDescent="0.25">
      <c r="A1185" s="1" t="str">
        <f t="shared" si="18"/>
        <v/>
      </c>
      <c r="B11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6" spans="1:2" x14ac:dyDescent="0.25">
      <c r="A1186" s="1" t="str">
        <f t="shared" si="18"/>
        <v/>
      </c>
      <c r="B11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7" spans="1:2" x14ac:dyDescent="0.25">
      <c r="A1187" s="1" t="str">
        <f t="shared" si="18"/>
        <v/>
      </c>
      <c r="B11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8" spans="1:2" x14ac:dyDescent="0.25">
      <c r="A1188" s="1" t="str">
        <f t="shared" si="18"/>
        <v/>
      </c>
      <c r="B11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9" spans="1:2" x14ac:dyDescent="0.25">
      <c r="A1189" s="1" t="str">
        <f t="shared" si="18"/>
        <v/>
      </c>
      <c r="B11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0" spans="1:2" x14ac:dyDescent="0.25">
      <c r="A1190" s="1" t="str">
        <f t="shared" si="18"/>
        <v/>
      </c>
      <c r="B11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1" spans="1:2" x14ac:dyDescent="0.25">
      <c r="A1191" s="1" t="str">
        <f t="shared" si="18"/>
        <v/>
      </c>
      <c r="B1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2" spans="1:2" x14ac:dyDescent="0.25">
      <c r="A1192" s="1" t="str">
        <f t="shared" si="18"/>
        <v/>
      </c>
      <c r="B1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3" spans="1:2" x14ac:dyDescent="0.25">
      <c r="A1193" s="1" t="str">
        <f t="shared" si="18"/>
        <v/>
      </c>
      <c r="B1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4" spans="1:2" x14ac:dyDescent="0.25">
      <c r="A1194" s="1" t="str">
        <f t="shared" si="18"/>
        <v/>
      </c>
      <c r="B1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5" spans="1:2" x14ac:dyDescent="0.25">
      <c r="A1195" s="1" t="str">
        <f t="shared" si="18"/>
        <v/>
      </c>
      <c r="B1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6" spans="1:2" x14ac:dyDescent="0.25">
      <c r="A1196" s="1" t="str">
        <f t="shared" si="18"/>
        <v/>
      </c>
      <c r="B1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7" spans="1:2" x14ac:dyDescent="0.25">
      <c r="A1197" s="1" t="str">
        <f t="shared" si="18"/>
        <v/>
      </c>
      <c r="B1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8" spans="1:2" x14ac:dyDescent="0.25">
      <c r="A1198" s="1" t="str">
        <f t="shared" si="18"/>
        <v/>
      </c>
      <c r="B1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9" spans="1:2" x14ac:dyDescent="0.25">
      <c r="A1199" s="1" t="str">
        <f t="shared" si="18"/>
        <v/>
      </c>
      <c r="B1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0" spans="1:2" x14ac:dyDescent="0.25">
      <c r="A1200" s="1" t="str">
        <f t="shared" si="18"/>
        <v/>
      </c>
      <c r="B1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1" spans="1:2" x14ac:dyDescent="0.25">
      <c r="A1201" s="1" t="str">
        <f t="shared" si="18"/>
        <v/>
      </c>
      <c r="B12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2" spans="1:2" x14ac:dyDescent="0.25">
      <c r="A1202" s="1" t="str">
        <f t="shared" si="18"/>
        <v/>
      </c>
      <c r="B1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3" spans="1:2" x14ac:dyDescent="0.25">
      <c r="A1203" s="1" t="str">
        <f t="shared" ref="A1203:A1266" si="19">IFERROR(LEFT(RIGHT(C1203,LEN(C1203)-SEARCH("@",C1203)),SEARCH("/",RIGHT(C1203,LEN(C1203)-SEARCH("@",C1203)-1))),"")</f>
        <v/>
      </c>
      <c r="B1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4" spans="1:2" x14ac:dyDescent="0.25">
      <c r="A1204" s="1" t="str">
        <f t="shared" si="19"/>
        <v/>
      </c>
      <c r="B1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5" spans="1:2" x14ac:dyDescent="0.25">
      <c r="A1205" s="1" t="str">
        <f t="shared" si="19"/>
        <v/>
      </c>
      <c r="B1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6" spans="1:2" x14ac:dyDescent="0.25">
      <c r="A1206" s="1" t="str">
        <f t="shared" si="19"/>
        <v/>
      </c>
      <c r="B1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7" spans="1:2" x14ac:dyDescent="0.25">
      <c r="A1207" s="1" t="str">
        <f t="shared" si="19"/>
        <v/>
      </c>
      <c r="B12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8" spans="1:2" x14ac:dyDescent="0.25">
      <c r="A1208" s="1" t="str">
        <f t="shared" si="19"/>
        <v/>
      </c>
      <c r="B12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9" spans="1:2" x14ac:dyDescent="0.25">
      <c r="A1209" s="1" t="str">
        <f t="shared" si="19"/>
        <v/>
      </c>
      <c r="B12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0" spans="1:2" x14ac:dyDescent="0.25">
      <c r="A1210" s="1" t="str">
        <f t="shared" si="19"/>
        <v/>
      </c>
      <c r="B12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1" spans="1:2" x14ac:dyDescent="0.25">
      <c r="A1211" s="1" t="str">
        <f t="shared" si="19"/>
        <v/>
      </c>
      <c r="B12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2" spans="1:2" x14ac:dyDescent="0.25">
      <c r="A1212" s="1" t="str">
        <f t="shared" si="19"/>
        <v/>
      </c>
      <c r="B12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3" spans="1:2" x14ac:dyDescent="0.25">
      <c r="A1213" s="1" t="str">
        <f t="shared" si="19"/>
        <v/>
      </c>
      <c r="B12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4" spans="1:2" x14ac:dyDescent="0.25">
      <c r="A1214" s="1" t="str">
        <f t="shared" si="19"/>
        <v/>
      </c>
      <c r="B12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5" spans="1:2" x14ac:dyDescent="0.25">
      <c r="A1215" s="1" t="str">
        <f t="shared" si="19"/>
        <v/>
      </c>
      <c r="B12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6" spans="1:2" x14ac:dyDescent="0.25">
      <c r="A1216" s="1" t="str">
        <f t="shared" si="19"/>
        <v/>
      </c>
      <c r="B12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7" spans="1:2" x14ac:dyDescent="0.25">
      <c r="A1217" s="1" t="str">
        <f t="shared" si="19"/>
        <v/>
      </c>
      <c r="B12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8" spans="1:2" x14ac:dyDescent="0.25">
      <c r="A1218" s="1" t="str">
        <f t="shared" si="19"/>
        <v/>
      </c>
      <c r="B12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9" spans="1:2" x14ac:dyDescent="0.25">
      <c r="A1219" s="1" t="str">
        <f t="shared" si="19"/>
        <v/>
      </c>
      <c r="B12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0" spans="1:2" x14ac:dyDescent="0.25">
      <c r="A1220" s="1" t="str">
        <f t="shared" si="19"/>
        <v/>
      </c>
      <c r="B12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1" spans="1:2" x14ac:dyDescent="0.25">
      <c r="A1221" s="1" t="str">
        <f t="shared" si="19"/>
        <v/>
      </c>
      <c r="B12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2" spans="1:2" x14ac:dyDescent="0.25">
      <c r="A1222" s="1" t="str">
        <f t="shared" si="19"/>
        <v/>
      </c>
      <c r="B12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3" spans="1:2" x14ac:dyDescent="0.25">
      <c r="A1223" s="1" t="str">
        <f t="shared" si="19"/>
        <v/>
      </c>
      <c r="B12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4" spans="1:2" x14ac:dyDescent="0.25">
      <c r="A1224" s="1" t="str">
        <f t="shared" si="19"/>
        <v/>
      </c>
      <c r="B1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5" spans="1:2" x14ac:dyDescent="0.25">
      <c r="A1225" s="1" t="str">
        <f t="shared" si="19"/>
        <v/>
      </c>
      <c r="B1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6" spans="1:2" x14ac:dyDescent="0.25">
      <c r="A1226" s="1" t="str">
        <f t="shared" si="19"/>
        <v/>
      </c>
      <c r="B1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7" spans="1:2" x14ac:dyDescent="0.25">
      <c r="A1227" s="1" t="str">
        <f t="shared" si="19"/>
        <v/>
      </c>
      <c r="B1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8" spans="1:2" x14ac:dyDescent="0.25">
      <c r="A1228" s="1" t="str">
        <f t="shared" si="19"/>
        <v/>
      </c>
      <c r="B1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9" spans="1:2" x14ac:dyDescent="0.25">
      <c r="A1229" s="1" t="str">
        <f t="shared" si="19"/>
        <v/>
      </c>
      <c r="B1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0" spans="1:2" x14ac:dyDescent="0.25">
      <c r="A1230" s="1" t="str">
        <f t="shared" si="19"/>
        <v/>
      </c>
      <c r="B1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1" spans="1:2" x14ac:dyDescent="0.25">
      <c r="A1231" s="1" t="str">
        <f t="shared" si="19"/>
        <v/>
      </c>
      <c r="B1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2" spans="1:2" x14ac:dyDescent="0.25">
      <c r="A1232" s="1" t="str">
        <f t="shared" si="19"/>
        <v/>
      </c>
      <c r="B1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3" spans="1:2" x14ac:dyDescent="0.25">
      <c r="A1233" s="1" t="str">
        <f t="shared" si="19"/>
        <v/>
      </c>
      <c r="B1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4" spans="1:2" x14ac:dyDescent="0.25">
      <c r="A1234" s="1" t="str">
        <f t="shared" si="19"/>
        <v/>
      </c>
      <c r="B12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5" spans="1:2" x14ac:dyDescent="0.25">
      <c r="A1235" s="1" t="str">
        <f t="shared" si="19"/>
        <v/>
      </c>
      <c r="B12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6" spans="1:2" x14ac:dyDescent="0.25">
      <c r="A1236" s="1" t="str">
        <f t="shared" si="19"/>
        <v/>
      </c>
      <c r="B12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7" spans="1:2" x14ac:dyDescent="0.25">
      <c r="A1237" s="1" t="str">
        <f t="shared" si="19"/>
        <v/>
      </c>
      <c r="B12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8" spans="1:2" x14ac:dyDescent="0.25">
      <c r="A1238" s="1" t="str">
        <f t="shared" si="19"/>
        <v/>
      </c>
      <c r="B12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9" spans="1:2" x14ac:dyDescent="0.25">
      <c r="A1239" s="1" t="str">
        <f t="shared" si="19"/>
        <v/>
      </c>
      <c r="B12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0" spans="1:2" x14ac:dyDescent="0.25">
      <c r="A1240" s="1" t="str">
        <f t="shared" si="19"/>
        <v/>
      </c>
      <c r="B1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1" spans="1:2" x14ac:dyDescent="0.25">
      <c r="A1241" s="1" t="str">
        <f t="shared" si="19"/>
        <v/>
      </c>
      <c r="B12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2" spans="1:2" x14ac:dyDescent="0.25">
      <c r="A1242" s="1" t="str">
        <f t="shared" si="19"/>
        <v/>
      </c>
      <c r="B12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3" spans="1:2" x14ac:dyDescent="0.25">
      <c r="A1243" s="1" t="str">
        <f t="shared" si="19"/>
        <v/>
      </c>
      <c r="B1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4" spans="1:2" x14ac:dyDescent="0.25">
      <c r="A1244" s="1" t="str">
        <f t="shared" si="19"/>
        <v/>
      </c>
      <c r="B1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5" spans="1:2" x14ac:dyDescent="0.25">
      <c r="A1245" s="1" t="str">
        <f t="shared" si="19"/>
        <v/>
      </c>
      <c r="B1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6" spans="1:2" x14ac:dyDescent="0.25">
      <c r="A1246" s="1" t="str">
        <f t="shared" si="19"/>
        <v/>
      </c>
      <c r="B1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7" spans="1:2" x14ac:dyDescent="0.25">
      <c r="A1247" s="1" t="str">
        <f t="shared" si="19"/>
        <v/>
      </c>
      <c r="B1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8" spans="1:2" x14ac:dyDescent="0.25">
      <c r="A1248" s="1" t="str">
        <f t="shared" si="19"/>
        <v/>
      </c>
      <c r="B12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9" spans="1:2" x14ac:dyDescent="0.25">
      <c r="A1249" s="1" t="str">
        <f t="shared" si="19"/>
        <v/>
      </c>
      <c r="B12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0" spans="1:2" x14ac:dyDescent="0.25">
      <c r="A1250" s="1" t="str">
        <f t="shared" si="19"/>
        <v/>
      </c>
      <c r="B12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1" spans="1:2" x14ac:dyDescent="0.25">
      <c r="A1251" s="1" t="str">
        <f t="shared" si="19"/>
        <v/>
      </c>
      <c r="B12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2" spans="1:2" x14ac:dyDescent="0.25">
      <c r="A1252" s="1" t="str">
        <f t="shared" si="19"/>
        <v/>
      </c>
      <c r="B12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3" spans="1:2" x14ac:dyDescent="0.25">
      <c r="A1253" s="1" t="str">
        <f t="shared" si="19"/>
        <v/>
      </c>
      <c r="B12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4" spans="1:2" x14ac:dyDescent="0.25">
      <c r="A1254" s="1" t="str">
        <f t="shared" si="19"/>
        <v/>
      </c>
      <c r="B12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5" spans="1:2" x14ac:dyDescent="0.25">
      <c r="A1255" s="1" t="str">
        <f t="shared" si="19"/>
        <v/>
      </c>
      <c r="B12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6" spans="1:2" x14ac:dyDescent="0.25">
      <c r="A1256" s="1" t="str">
        <f t="shared" si="19"/>
        <v/>
      </c>
      <c r="B12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7" spans="1:2" x14ac:dyDescent="0.25">
      <c r="A1257" s="1" t="str">
        <f t="shared" si="19"/>
        <v/>
      </c>
      <c r="B1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8" spans="1:2" x14ac:dyDescent="0.25">
      <c r="A1258" s="1" t="str">
        <f t="shared" si="19"/>
        <v/>
      </c>
      <c r="B1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9" spans="1:2" x14ac:dyDescent="0.25">
      <c r="A1259" s="1" t="str">
        <f t="shared" si="19"/>
        <v/>
      </c>
      <c r="B1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0" spans="1:2" x14ac:dyDescent="0.25">
      <c r="A1260" s="1" t="str">
        <f t="shared" si="19"/>
        <v/>
      </c>
      <c r="B1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1" spans="1:2" x14ac:dyDescent="0.25">
      <c r="A1261" s="1" t="str">
        <f t="shared" si="19"/>
        <v/>
      </c>
      <c r="B1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2" spans="1:2" x14ac:dyDescent="0.25">
      <c r="A1262" s="1" t="str">
        <f t="shared" si="19"/>
        <v/>
      </c>
      <c r="B1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3" spans="1:2" x14ac:dyDescent="0.25">
      <c r="A1263" s="1" t="str">
        <f t="shared" si="19"/>
        <v/>
      </c>
      <c r="B1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4" spans="1:2" x14ac:dyDescent="0.25">
      <c r="A1264" s="1" t="str">
        <f t="shared" si="19"/>
        <v/>
      </c>
      <c r="B1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5" spans="1:2" x14ac:dyDescent="0.25">
      <c r="A1265" s="1" t="str">
        <f t="shared" si="19"/>
        <v/>
      </c>
      <c r="B1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6" spans="1:2" x14ac:dyDescent="0.25">
      <c r="A1266" s="1" t="str">
        <f t="shared" si="19"/>
        <v/>
      </c>
      <c r="B1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7" spans="1:2" x14ac:dyDescent="0.25">
      <c r="A1267" s="1" t="str">
        <f t="shared" ref="A1267:A1330" si="20">IFERROR(LEFT(RIGHT(C1267,LEN(C1267)-SEARCH("@",C1267)),SEARCH("/",RIGHT(C1267,LEN(C1267)-SEARCH("@",C1267)-1))),"")</f>
        <v/>
      </c>
      <c r="B12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8" spans="1:2" x14ac:dyDescent="0.25">
      <c r="A1268" s="1" t="str">
        <f t="shared" si="20"/>
        <v/>
      </c>
      <c r="B12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9" spans="1:2" x14ac:dyDescent="0.25">
      <c r="A1269" s="1" t="str">
        <f t="shared" si="20"/>
        <v/>
      </c>
      <c r="B12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0" spans="1:2" x14ac:dyDescent="0.25">
      <c r="A1270" s="1" t="str">
        <f t="shared" si="20"/>
        <v/>
      </c>
      <c r="B12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1" spans="1:2" x14ac:dyDescent="0.25">
      <c r="A1271" s="1" t="str">
        <f t="shared" si="20"/>
        <v/>
      </c>
      <c r="B12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2" spans="1:2" x14ac:dyDescent="0.25">
      <c r="A1272" s="1" t="str">
        <f t="shared" si="20"/>
        <v/>
      </c>
      <c r="B12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3" spans="1:2" x14ac:dyDescent="0.25">
      <c r="A1273" s="1" t="str">
        <f t="shared" si="20"/>
        <v/>
      </c>
      <c r="B12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4" spans="1:2" x14ac:dyDescent="0.25">
      <c r="A1274" s="1" t="str">
        <f t="shared" si="20"/>
        <v/>
      </c>
      <c r="B12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5" spans="1:2" x14ac:dyDescent="0.25">
      <c r="A1275" s="1" t="str">
        <f t="shared" si="20"/>
        <v/>
      </c>
      <c r="B12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6" spans="1:2" x14ac:dyDescent="0.25">
      <c r="A1276" s="1" t="str">
        <f t="shared" si="20"/>
        <v/>
      </c>
      <c r="B12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7" spans="1:2" x14ac:dyDescent="0.25">
      <c r="A1277" s="1" t="str">
        <f t="shared" si="20"/>
        <v/>
      </c>
      <c r="B12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8" spans="1:2" x14ac:dyDescent="0.25">
      <c r="A1278" s="1" t="str">
        <f t="shared" si="20"/>
        <v/>
      </c>
      <c r="B12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9" spans="1:2" x14ac:dyDescent="0.25">
      <c r="A1279" s="1" t="str">
        <f t="shared" si="20"/>
        <v/>
      </c>
      <c r="B12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0" spans="1:2" x14ac:dyDescent="0.25">
      <c r="A1280" s="1" t="str">
        <f t="shared" si="20"/>
        <v/>
      </c>
      <c r="B12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1" spans="1:2" x14ac:dyDescent="0.25">
      <c r="A1281" s="1" t="str">
        <f t="shared" si="20"/>
        <v/>
      </c>
      <c r="B1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2" spans="1:2" x14ac:dyDescent="0.25">
      <c r="A1282" s="1" t="str">
        <f t="shared" si="20"/>
        <v/>
      </c>
      <c r="B12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3" spans="1:2" x14ac:dyDescent="0.25">
      <c r="A1283" s="1" t="str">
        <f t="shared" si="20"/>
        <v/>
      </c>
      <c r="B12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4" spans="1:2" x14ac:dyDescent="0.25">
      <c r="A1284" s="1" t="str">
        <f t="shared" si="20"/>
        <v/>
      </c>
      <c r="B1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5" spans="1:2" x14ac:dyDescent="0.25">
      <c r="A1285" s="1" t="str">
        <f t="shared" si="20"/>
        <v/>
      </c>
      <c r="B1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6" spans="1:2" x14ac:dyDescent="0.25">
      <c r="A1286" s="1" t="str">
        <f t="shared" si="20"/>
        <v/>
      </c>
      <c r="B1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7" spans="1:2" x14ac:dyDescent="0.25">
      <c r="A1287" s="1" t="str">
        <f t="shared" si="20"/>
        <v/>
      </c>
      <c r="B1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8" spans="1:2" x14ac:dyDescent="0.25">
      <c r="A1288" s="1" t="str">
        <f t="shared" si="20"/>
        <v/>
      </c>
      <c r="B1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9" spans="1:2" x14ac:dyDescent="0.25">
      <c r="A1289" s="1" t="str">
        <f t="shared" si="20"/>
        <v/>
      </c>
      <c r="B1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0" spans="1:2" x14ac:dyDescent="0.25">
      <c r="A1290" s="1" t="str">
        <f t="shared" si="20"/>
        <v/>
      </c>
      <c r="B1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1" spans="1:2" x14ac:dyDescent="0.25">
      <c r="A1291" s="1" t="str">
        <f t="shared" si="20"/>
        <v/>
      </c>
      <c r="B1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2" spans="1:2" x14ac:dyDescent="0.25">
      <c r="A1292" s="1" t="str">
        <f t="shared" si="20"/>
        <v/>
      </c>
      <c r="B1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3" spans="1:2" x14ac:dyDescent="0.25">
      <c r="A1293" s="1" t="str">
        <f t="shared" si="20"/>
        <v/>
      </c>
      <c r="B1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4" spans="1:2" x14ac:dyDescent="0.25">
      <c r="A1294" s="1" t="str">
        <f t="shared" si="20"/>
        <v/>
      </c>
      <c r="B1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5" spans="1:2" x14ac:dyDescent="0.25">
      <c r="A1295" s="1" t="str">
        <f t="shared" si="20"/>
        <v/>
      </c>
      <c r="B1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6" spans="1:2" x14ac:dyDescent="0.25">
      <c r="A1296" s="1" t="str">
        <f t="shared" si="20"/>
        <v/>
      </c>
      <c r="B1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7" spans="1:2" x14ac:dyDescent="0.25">
      <c r="A1297" s="1" t="str">
        <f t="shared" si="20"/>
        <v/>
      </c>
      <c r="B1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8" spans="1:2" x14ac:dyDescent="0.25">
      <c r="A1298" s="1" t="str">
        <f t="shared" si="20"/>
        <v/>
      </c>
      <c r="B1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9" spans="1:2" x14ac:dyDescent="0.25">
      <c r="A1299" s="1" t="str">
        <f t="shared" si="20"/>
        <v/>
      </c>
      <c r="B1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0" spans="1:2" x14ac:dyDescent="0.25">
      <c r="A1300" s="1" t="str">
        <f t="shared" si="20"/>
        <v/>
      </c>
      <c r="B13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1" spans="1:2" x14ac:dyDescent="0.25">
      <c r="A1301" s="1" t="str">
        <f t="shared" si="20"/>
        <v/>
      </c>
      <c r="B13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2" spans="1:2" x14ac:dyDescent="0.25">
      <c r="A1302" s="1" t="str">
        <f t="shared" si="20"/>
        <v/>
      </c>
      <c r="B13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3" spans="1:2" x14ac:dyDescent="0.25">
      <c r="A1303" s="1" t="str">
        <f t="shared" si="20"/>
        <v/>
      </c>
      <c r="B13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4" spans="1:2" x14ac:dyDescent="0.25">
      <c r="A1304" s="1" t="str">
        <f t="shared" si="20"/>
        <v/>
      </c>
      <c r="B13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5" spans="1:2" x14ac:dyDescent="0.25">
      <c r="A1305" s="1" t="str">
        <f t="shared" si="20"/>
        <v/>
      </c>
      <c r="B13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6" spans="1:2" x14ac:dyDescent="0.25">
      <c r="A1306" s="1" t="str">
        <f t="shared" si="20"/>
        <v/>
      </c>
      <c r="B13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7" spans="1:2" x14ac:dyDescent="0.25">
      <c r="A1307" s="1" t="str">
        <f t="shared" si="20"/>
        <v/>
      </c>
      <c r="B13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8" spans="1:2" x14ac:dyDescent="0.25">
      <c r="A1308" s="1" t="str">
        <f t="shared" si="20"/>
        <v/>
      </c>
      <c r="B13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9" spans="1:2" x14ac:dyDescent="0.25">
      <c r="A1309" s="1" t="str">
        <f t="shared" si="20"/>
        <v/>
      </c>
      <c r="B13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0" spans="1:2" x14ac:dyDescent="0.25">
      <c r="A1310" s="1" t="str">
        <f t="shared" si="20"/>
        <v/>
      </c>
      <c r="B13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1" spans="1:2" x14ac:dyDescent="0.25">
      <c r="A1311" s="1" t="str">
        <f t="shared" si="20"/>
        <v/>
      </c>
      <c r="B13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2" spans="1:2" x14ac:dyDescent="0.25">
      <c r="A1312" s="1" t="str">
        <f t="shared" si="20"/>
        <v/>
      </c>
      <c r="B13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3" spans="1:2" x14ac:dyDescent="0.25">
      <c r="A1313" s="1" t="str">
        <f t="shared" si="20"/>
        <v/>
      </c>
      <c r="B13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4" spans="1:2" x14ac:dyDescent="0.25">
      <c r="A1314" s="1" t="str">
        <f t="shared" si="20"/>
        <v/>
      </c>
      <c r="B13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5" spans="1:2" x14ac:dyDescent="0.25">
      <c r="A1315" s="1" t="str">
        <f t="shared" si="20"/>
        <v/>
      </c>
      <c r="B13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6" spans="1:2" x14ac:dyDescent="0.25">
      <c r="A1316" s="1" t="str">
        <f t="shared" si="20"/>
        <v/>
      </c>
      <c r="B13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7" spans="1:2" x14ac:dyDescent="0.25">
      <c r="A1317" s="1" t="str">
        <f t="shared" si="20"/>
        <v/>
      </c>
      <c r="B13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8" spans="1:2" x14ac:dyDescent="0.25">
      <c r="A1318" s="1" t="str">
        <f t="shared" si="20"/>
        <v/>
      </c>
      <c r="B13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9" spans="1:2" x14ac:dyDescent="0.25">
      <c r="A1319" s="1" t="str">
        <f t="shared" si="20"/>
        <v/>
      </c>
      <c r="B13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0" spans="1:2" x14ac:dyDescent="0.25">
      <c r="A1320" s="1" t="str">
        <f t="shared" si="20"/>
        <v/>
      </c>
      <c r="B13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1" spans="1:2" x14ac:dyDescent="0.25">
      <c r="A1321" s="1" t="str">
        <f t="shared" si="20"/>
        <v/>
      </c>
      <c r="B13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2" spans="1:2" x14ac:dyDescent="0.25">
      <c r="A1322" s="1" t="str">
        <f t="shared" si="20"/>
        <v/>
      </c>
      <c r="B1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3" spans="1:2" x14ac:dyDescent="0.25">
      <c r="A1323" s="1" t="str">
        <f t="shared" si="20"/>
        <v/>
      </c>
      <c r="B1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4" spans="1:2" x14ac:dyDescent="0.25">
      <c r="A1324" s="1" t="str">
        <f t="shared" si="20"/>
        <v/>
      </c>
      <c r="B1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5" spans="1:2" x14ac:dyDescent="0.25">
      <c r="A1325" s="1" t="str">
        <f t="shared" si="20"/>
        <v/>
      </c>
      <c r="B1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6" spans="1:2" x14ac:dyDescent="0.25">
      <c r="A1326" s="1" t="str">
        <f t="shared" si="20"/>
        <v/>
      </c>
      <c r="B1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7" spans="1:2" x14ac:dyDescent="0.25">
      <c r="A1327" s="1" t="str">
        <f t="shared" si="20"/>
        <v/>
      </c>
      <c r="B1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8" spans="1:2" x14ac:dyDescent="0.25">
      <c r="A1328" s="1" t="str">
        <f t="shared" si="20"/>
        <v/>
      </c>
      <c r="B1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9" spans="1:2" x14ac:dyDescent="0.25">
      <c r="A1329" s="1" t="str">
        <f t="shared" si="20"/>
        <v/>
      </c>
      <c r="B1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0" spans="1:2" x14ac:dyDescent="0.25">
      <c r="A1330" s="1" t="str">
        <f t="shared" si="20"/>
        <v/>
      </c>
      <c r="B1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1" spans="1:2" x14ac:dyDescent="0.25">
      <c r="A1331" s="1" t="str">
        <f t="shared" ref="A1331:A1394" si="21">IFERROR(LEFT(RIGHT(C1331,LEN(C1331)-SEARCH("@",C1331)),SEARCH("/",RIGHT(C1331,LEN(C1331)-SEARCH("@",C1331)-1))),"")</f>
        <v/>
      </c>
      <c r="B1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2" spans="1:2" x14ac:dyDescent="0.25">
      <c r="A1332" s="1" t="str">
        <f t="shared" si="21"/>
        <v/>
      </c>
      <c r="B1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3" spans="1:2" x14ac:dyDescent="0.25">
      <c r="A1333" s="1" t="str">
        <f t="shared" si="21"/>
        <v/>
      </c>
      <c r="B13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4" spans="1:2" x14ac:dyDescent="0.25">
      <c r="A1334" s="1" t="str">
        <f t="shared" si="21"/>
        <v/>
      </c>
      <c r="B13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5" spans="1:2" x14ac:dyDescent="0.25">
      <c r="A1335" s="1" t="str">
        <f t="shared" si="21"/>
        <v/>
      </c>
      <c r="B13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6" spans="1:2" x14ac:dyDescent="0.25">
      <c r="A1336" s="1" t="str">
        <f t="shared" si="21"/>
        <v/>
      </c>
      <c r="B13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7" spans="1:2" x14ac:dyDescent="0.25">
      <c r="A1337" s="1" t="str">
        <f t="shared" si="21"/>
        <v/>
      </c>
      <c r="B13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8" spans="1:2" x14ac:dyDescent="0.25">
      <c r="A1338" s="1" t="str">
        <f t="shared" si="21"/>
        <v/>
      </c>
      <c r="B13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9" spans="1:2" x14ac:dyDescent="0.25">
      <c r="A1339" s="1" t="str">
        <f t="shared" si="21"/>
        <v/>
      </c>
      <c r="B13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0" spans="1:2" x14ac:dyDescent="0.25">
      <c r="A1340" s="1" t="str">
        <f t="shared" si="21"/>
        <v/>
      </c>
      <c r="B13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1" spans="1:2" x14ac:dyDescent="0.25">
      <c r="A1341" s="1" t="str">
        <f t="shared" si="21"/>
        <v/>
      </c>
      <c r="B13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2" spans="1:2" x14ac:dyDescent="0.25">
      <c r="A1342" s="1" t="str">
        <f t="shared" si="21"/>
        <v/>
      </c>
      <c r="B13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3" spans="1:2" x14ac:dyDescent="0.25">
      <c r="A1343" s="1" t="str">
        <f t="shared" si="21"/>
        <v/>
      </c>
      <c r="B13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4" spans="1:2" x14ac:dyDescent="0.25">
      <c r="A1344" s="1" t="str">
        <f t="shared" si="21"/>
        <v/>
      </c>
      <c r="B13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5" spans="1:2" x14ac:dyDescent="0.25">
      <c r="A1345" s="1" t="str">
        <f t="shared" si="21"/>
        <v/>
      </c>
      <c r="B13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6" spans="1:2" x14ac:dyDescent="0.25">
      <c r="A1346" s="1" t="str">
        <f t="shared" si="21"/>
        <v/>
      </c>
      <c r="B13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7" spans="1:2" x14ac:dyDescent="0.25">
      <c r="A1347" s="1" t="str">
        <f t="shared" si="21"/>
        <v/>
      </c>
      <c r="B13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8" spans="1:2" x14ac:dyDescent="0.25">
      <c r="A1348" s="1" t="str">
        <f t="shared" si="21"/>
        <v/>
      </c>
      <c r="B13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9" spans="1:2" x14ac:dyDescent="0.25">
      <c r="A1349" s="1" t="str">
        <f t="shared" si="21"/>
        <v/>
      </c>
      <c r="B13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0" spans="1:2" x14ac:dyDescent="0.25">
      <c r="A1350" s="1" t="str">
        <f t="shared" si="21"/>
        <v/>
      </c>
      <c r="B13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1" spans="1:2" x14ac:dyDescent="0.25">
      <c r="A1351" s="1" t="str">
        <f t="shared" si="21"/>
        <v/>
      </c>
      <c r="B13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2" spans="1:2" x14ac:dyDescent="0.25">
      <c r="A1352" s="1" t="str">
        <f t="shared" si="21"/>
        <v/>
      </c>
      <c r="B13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3" spans="1:2" x14ac:dyDescent="0.25">
      <c r="A1353" s="1" t="str">
        <f t="shared" si="21"/>
        <v/>
      </c>
      <c r="B13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4" spans="1:2" x14ac:dyDescent="0.25">
      <c r="A1354" s="1" t="str">
        <f t="shared" si="21"/>
        <v/>
      </c>
      <c r="B13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5" spans="1:2" x14ac:dyDescent="0.25">
      <c r="A1355" s="1" t="str">
        <f t="shared" si="21"/>
        <v/>
      </c>
      <c r="B13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6" spans="1:2" x14ac:dyDescent="0.25">
      <c r="A1356" s="1" t="str">
        <f t="shared" si="21"/>
        <v/>
      </c>
      <c r="B1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7" spans="1:2" x14ac:dyDescent="0.25">
      <c r="A1357" s="1" t="str">
        <f t="shared" si="21"/>
        <v/>
      </c>
      <c r="B1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8" spans="1:2" x14ac:dyDescent="0.25">
      <c r="A1358" s="1" t="str">
        <f t="shared" si="21"/>
        <v/>
      </c>
      <c r="B1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9" spans="1:2" x14ac:dyDescent="0.25">
      <c r="A1359" s="1" t="str">
        <f t="shared" si="21"/>
        <v/>
      </c>
      <c r="B1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0" spans="1:2" x14ac:dyDescent="0.25">
      <c r="A1360" s="1" t="str">
        <f t="shared" si="21"/>
        <v/>
      </c>
      <c r="B1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1" spans="1:2" x14ac:dyDescent="0.25">
      <c r="A1361" s="1" t="str">
        <f t="shared" si="21"/>
        <v/>
      </c>
      <c r="B1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2" spans="1:2" x14ac:dyDescent="0.25">
      <c r="A1362" s="1" t="str">
        <f t="shared" si="21"/>
        <v/>
      </c>
      <c r="B1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3" spans="1:2" x14ac:dyDescent="0.25">
      <c r="A1363" s="1" t="str">
        <f t="shared" si="21"/>
        <v/>
      </c>
      <c r="B1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4" spans="1:2" x14ac:dyDescent="0.25">
      <c r="A1364" s="1" t="str">
        <f t="shared" si="21"/>
        <v/>
      </c>
      <c r="B1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5" spans="1:2" x14ac:dyDescent="0.25">
      <c r="A1365" s="1" t="str">
        <f t="shared" si="21"/>
        <v/>
      </c>
      <c r="B1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6" spans="1:2" x14ac:dyDescent="0.25">
      <c r="A1366" s="1" t="str">
        <f t="shared" si="21"/>
        <v/>
      </c>
      <c r="B1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7" spans="1:2" x14ac:dyDescent="0.25">
      <c r="A1367" s="1" t="str">
        <f t="shared" si="21"/>
        <v/>
      </c>
      <c r="B1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8" spans="1:2" x14ac:dyDescent="0.25">
      <c r="A1368" s="1" t="str">
        <f t="shared" si="21"/>
        <v/>
      </c>
      <c r="B1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9" spans="1:2" x14ac:dyDescent="0.25">
      <c r="A1369" s="1" t="str">
        <f t="shared" si="21"/>
        <v/>
      </c>
      <c r="B1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0" spans="1:2" x14ac:dyDescent="0.25">
      <c r="A1370" s="1" t="str">
        <f t="shared" si="21"/>
        <v/>
      </c>
      <c r="B1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1" spans="1:2" x14ac:dyDescent="0.25">
      <c r="A1371" s="1" t="str">
        <f t="shared" si="21"/>
        <v/>
      </c>
      <c r="B1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2" spans="1:2" x14ac:dyDescent="0.25">
      <c r="A1372" s="1" t="str">
        <f t="shared" si="21"/>
        <v/>
      </c>
      <c r="B13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3" spans="1:2" x14ac:dyDescent="0.25">
      <c r="A1373" s="1" t="str">
        <f t="shared" si="21"/>
        <v/>
      </c>
      <c r="B13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4" spans="1:2" x14ac:dyDescent="0.25">
      <c r="A1374" s="1" t="str">
        <f t="shared" si="21"/>
        <v/>
      </c>
      <c r="B13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5" spans="1:2" x14ac:dyDescent="0.25">
      <c r="A1375" s="1" t="str">
        <f t="shared" si="21"/>
        <v/>
      </c>
      <c r="B13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6" spans="1:2" x14ac:dyDescent="0.25">
      <c r="A1376" s="1" t="str">
        <f t="shared" si="21"/>
        <v/>
      </c>
      <c r="B13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7" spans="1:2" x14ac:dyDescent="0.25">
      <c r="A1377" s="1" t="str">
        <f t="shared" si="21"/>
        <v/>
      </c>
      <c r="B13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8" spans="1:2" x14ac:dyDescent="0.25">
      <c r="A1378" s="1" t="str">
        <f t="shared" si="21"/>
        <v/>
      </c>
      <c r="B13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9" spans="1:2" x14ac:dyDescent="0.25">
      <c r="A1379" s="1" t="str">
        <f t="shared" si="21"/>
        <v/>
      </c>
      <c r="B13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0" spans="1:2" x14ac:dyDescent="0.25">
      <c r="A1380" s="1" t="str">
        <f t="shared" si="21"/>
        <v/>
      </c>
      <c r="B13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1" spans="1:2" x14ac:dyDescent="0.25">
      <c r="A1381" s="1" t="str">
        <f t="shared" si="21"/>
        <v/>
      </c>
      <c r="B13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2" spans="1:2" x14ac:dyDescent="0.25">
      <c r="A1382" s="1" t="str">
        <f t="shared" si="21"/>
        <v/>
      </c>
      <c r="B13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3" spans="1:2" x14ac:dyDescent="0.25">
      <c r="A1383" s="1" t="str">
        <f t="shared" si="21"/>
        <v/>
      </c>
      <c r="B13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4" spans="1:2" x14ac:dyDescent="0.25">
      <c r="A1384" s="1" t="str">
        <f t="shared" si="21"/>
        <v/>
      </c>
      <c r="B13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5" spans="1:2" x14ac:dyDescent="0.25">
      <c r="A1385" s="1" t="str">
        <f t="shared" si="21"/>
        <v/>
      </c>
      <c r="B13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6" spans="1:2" x14ac:dyDescent="0.25">
      <c r="A1386" s="1" t="str">
        <f t="shared" si="21"/>
        <v/>
      </c>
      <c r="B13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7" spans="1:2" x14ac:dyDescent="0.25">
      <c r="A1387" s="1" t="str">
        <f t="shared" si="21"/>
        <v/>
      </c>
      <c r="B13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8" spans="1:2" x14ac:dyDescent="0.25">
      <c r="A1388" s="1" t="str">
        <f t="shared" si="21"/>
        <v/>
      </c>
      <c r="B13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9" spans="1:2" x14ac:dyDescent="0.25">
      <c r="A1389" s="1" t="str">
        <f t="shared" si="21"/>
        <v/>
      </c>
      <c r="B1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0" spans="1:2" x14ac:dyDescent="0.25">
      <c r="A1390" s="1" t="str">
        <f t="shared" si="21"/>
        <v/>
      </c>
      <c r="B1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1" spans="1:2" x14ac:dyDescent="0.25">
      <c r="A1391" s="1" t="str">
        <f t="shared" si="21"/>
        <v/>
      </c>
      <c r="B1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2" spans="1:2" x14ac:dyDescent="0.25">
      <c r="A1392" s="1" t="str">
        <f t="shared" si="21"/>
        <v/>
      </c>
      <c r="B1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3" spans="1:2" x14ac:dyDescent="0.25">
      <c r="A1393" s="1" t="str">
        <f t="shared" si="21"/>
        <v/>
      </c>
      <c r="B1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4" spans="1:2" x14ac:dyDescent="0.25">
      <c r="A1394" s="1" t="str">
        <f t="shared" si="21"/>
        <v/>
      </c>
      <c r="B1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5" spans="1:2" x14ac:dyDescent="0.25">
      <c r="A1395" s="1" t="str">
        <f t="shared" ref="A1395:A1458" si="22">IFERROR(LEFT(RIGHT(C1395,LEN(C1395)-SEARCH("@",C1395)),SEARCH("/",RIGHT(C1395,LEN(C1395)-SEARCH("@",C1395)-1))),"")</f>
        <v/>
      </c>
      <c r="B1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6" spans="1:2" x14ac:dyDescent="0.25">
      <c r="A1396" s="1" t="str">
        <f t="shared" si="22"/>
        <v/>
      </c>
      <c r="B1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7" spans="1:2" x14ac:dyDescent="0.25">
      <c r="A1397" s="1" t="str">
        <f t="shared" si="22"/>
        <v/>
      </c>
      <c r="B1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8" spans="1:2" x14ac:dyDescent="0.25">
      <c r="A1398" s="1" t="str">
        <f t="shared" si="22"/>
        <v/>
      </c>
      <c r="B1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9" spans="1:2" x14ac:dyDescent="0.25">
      <c r="A1399" s="1" t="str">
        <f t="shared" si="22"/>
        <v/>
      </c>
      <c r="B13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0" spans="1:2" x14ac:dyDescent="0.25">
      <c r="A1400" s="1" t="str">
        <f t="shared" si="22"/>
        <v/>
      </c>
      <c r="B14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1" spans="1:2" x14ac:dyDescent="0.25">
      <c r="A1401" s="1" t="str">
        <f t="shared" si="22"/>
        <v/>
      </c>
      <c r="B14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2" spans="1:2" x14ac:dyDescent="0.25">
      <c r="A1402" s="1" t="str">
        <f t="shared" si="22"/>
        <v/>
      </c>
      <c r="B14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3" spans="1:2" x14ac:dyDescent="0.25">
      <c r="A1403" s="1" t="str">
        <f t="shared" si="22"/>
        <v/>
      </c>
      <c r="B14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4" spans="1:2" x14ac:dyDescent="0.25">
      <c r="A1404" s="1" t="str">
        <f t="shared" si="22"/>
        <v/>
      </c>
      <c r="B1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5" spans="1:2" x14ac:dyDescent="0.25">
      <c r="A1405" s="1" t="str">
        <f t="shared" si="22"/>
        <v/>
      </c>
      <c r="B1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6" spans="1:2" x14ac:dyDescent="0.25">
      <c r="A1406" s="1" t="str">
        <f t="shared" si="22"/>
        <v/>
      </c>
      <c r="B14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7" spans="1:2" x14ac:dyDescent="0.25">
      <c r="A1407" s="1" t="str">
        <f t="shared" si="22"/>
        <v/>
      </c>
      <c r="B1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8" spans="1:2" x14ac:dyDescent="0.25">
      <c r="A1408" s="1" t="str">
        <f t="shared" si="22"/>
        <v/>
      </c>
      <c r="B1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9" spans="1:2" x14ac:dyDescent="0.25">
      <c r="A1409" s="1" t="str">
        <f t="shared" si="22"/>
        <v/>
      </c>
      <c r="B1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0" spans="1:2" x14ac:dyDescent="0.25">
      <c r="A1410" s="1" t="str">
        <f t="shared" si="22"/>
        <v/>
      </c>
      <c r="B1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1" spans="1:2" x14ac:dyDescent="0.25">
      <c r="A1411" s="1" t="str">
        <f t="shared" si="22"/>
        <v/>
      </c>
      <c r="B1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2" spans="1:2" x14ac:dyDescent="0.25">
      <c r="A1412" s="1" t="str">
        <f t="shared" si="22"/>
        <v/>
      </c>
      <c r="B1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3" spans="1:2" x14ac:dyDescent="0.25">
      <c r="A1413" s="1" t="str">
        <f t="shared" si="22"/>
        <v/>
      </c>
      <c r="B14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4" spans="1:2" x14ac:dyDescent="0.25">
      <c r="A1414" s="1" t="str">
        <f t="shared" si="22"/>
        <v/>
      </c>
      <c r="B14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5" spans="1:2" x14ac:dyDescent="0.25">
      <c r="A1415" s="1" t="str">
        <f t="shared" si="22"/>
        <v/>
      </c>
      <c r="B14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6" spans="1:2" x14ac:dyDescent="0.25">
      <c r="A1416" s="1" t="str">
        <f t="shared" si="22"/>
        <v/>
      </c>
      <c r="B14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7" spans="1:2" x14ac:dyDescent="0.25">
      <c r="A1417" s="1" t="str">
        <f t="shared" si="22"/>
        <v/>
      </c>
      <c r="B14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8" spans="1:2" x14ac:dyDescent="0.25">
      <c r="A1418" s="1" t="str">
        <f t="shared" si="22"/>
        <v/>
      </c>
      <c r="B14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9" spans="1:2" x14ac:dyDescent="0.25">
      <c r="A1419" s="1" t="str">
        <f t="shared" si="22"/>
        <v/>
      </c>
      <c r="B14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0" spans="1:2" x14ac:dyDescent="0.25">
      <c r="A1420" s="1" t="str">
        <f t="shared" si="22"/>
        <v/>
      </c>
      <c r="B14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1" spans="1:2" x14ac:dyDescent="0.25">
      <c r="A1421" s="1" t="str">
        <f t="shared" si="22"/>
        <v/>
      </c>
      <c r="B14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2" spans="1:2" x14ac:dyDescent="0.25">
      <c r="A1422" s="1" t="str">
        <f t="shared" si="22"/>
        <v/>
      </c>
      <c r="B1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3" spans="1:2" x14ac:dyDescent="0.25">
      <c r="A1423" s="1" t="str">
        <f t="shared" si="22"/>
        <v/>
      </c>
      <c r="B1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4" spans="1:2" x14ac:dyDescent="0.25">
      <c r="A1424" s="1" t="str">
        <f t="shared" si="22"/>
        <v/>
      </c>
      <c r="B1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5" spans="1:2" x14ac:dyDescent="0.25">
      <c r="A1425" s="1" t="str">
        <f t="shared" si="22"/>
        <v/>
      </c>
      <c r="B1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6" spans="1:2" x14ac:dyDescent="0.25">
      <c r="A1426" s="1" t="str">
        <f t="shared" si="22"/>
        <v/>
      </c>
      <c r="B1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7" spans="1:2" x14ac:dyDescent="0.25">
      <c r="A1427" s="1" t="str">
        <f t="shared" si="22"/>
        <v/>
      </c>
      <c r="B1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8" spans="1:2" x14ac:dyDescent="0.25">
      <c r="A1428" s="1" t="str">
        <f t="shared" si="22"/>
        <v/>
      </c>
      <c r="B1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9" spans="1:2" x14ac:dyDescent="0.25">
      <c r="A1429" s="1" t="str">
        <f t="shared" si="22"/>
        <v/>
      </c>
      <c r="B1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0" spans="1:2" x14ac:dyDescent="0.25">
      <c r="A1430" s="1" t="str">
        <f t="shared" si="22"/>
        <v/>
      </c>
      <c r="B1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1" spans="1:2" x14ac:dyDescent="0.25">
      <c r="A1431" s="1" t="str">
        <f t="shared" si="22"/>
        <v/>
      </c>
      <c r="B1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2" spans="1:2" x14ac:dyDescent="0.25">
      <c r="A1432" s="1" t="str">
        <f t="shared" si="22"/>
        <v/>
      </c>
      <c r="B14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3" spans="1:2" x14ac:dyDescent="0.25">
      <c r="A1433" s="1" t="str">
        <f t="shared" si="22"/>
        <v/>
      </c>
      <c r="B14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4" spans="1:2" x14ac:dyDescent="0.25">
      <c r="A1434" s="1" t="str">
        <f t="shared" si="22"/>
        <v/>
      </c>
      <c r="B14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5" spans="1:2" x14ac:dyDescent="0.25">
      <c r="A1435" s="1" t="str">
        <f t="shared" si="22"/>
        <v/>
      </c>
      <c r="B14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6" spans="1:2" x14ac:dyDescent="0.25">
      <c r="A1436" s="1" t="str">
        <f t="shared" si="22"/>
        <v/>
      </c>
      <c r="B14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7" spans="1:2" x14ac:dyDescent="0.25">
      <c r="A1437" s="1" t="str">
        <f t="shared" si="22"/>
        <v/>
      </c>
      <c r="B14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8" spans="1:2" x14ac:dyDescent="0.25">
      <c r="A1438" s="1" t="str">
        <f t="shared" si="22"/>
        <v/>
      </c>
      <c r="B14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9" spans="1:2" x14ac:dyDescent="0.25">
      <c r="A1439" s="1" t="str">
        <f t="shared" si="22"/>
        <v/>
      </c>
      <c r="B14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0" spans="1:2" x14ac:dyDescent="0.25">
      <c r="A1440" s="1" t="str">
        <f t="shared" si="22"/>
        <v/>
      </c>
      <c r="B14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1" spans="1:2" x14ac:dyDescent="0.25">
      <c r="A1441" s="1" t="str">
        <f t="shared" si="22"/>
        <v/>
      </c>
      <c r="B14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2" spans="1:2" x14ac:dyDescent="0.25">
      <c r="A1442" s="1" t="str">
        <f t="shared" si="22"/>
        <v/>
      </c>
      <c r="B14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3" spans="1:2" x14ac:dyDescent="0.25">
      <c r="A1443" s="1" t="str">
        <f t="shared" si="22"/>
        <v/>
      </c>
      <c r="B14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4" spans="1:2" x14ac:dyDescent="0.25">
      <c r="A1444" s="1" t="str">
        <f t="shared" si="22"/>
        <v/>
      </c>
      <c r="B14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5" spans="1:2" x14ac:dyDescent="0.25">
      <c r="A1445" s="1" t="str">
        <f t="shared" si="22"/>
        <v/>
      </c>
      <c r="B1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6" spans="1:2" x14ac:dyDescent="0.25">
      <c r="A1446" s="1" t="str">
        <f t="shared" si="22"/>
        <v/>
      </c>
      <c r="B1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7" spans="1:2" x14ac:dyDescent="0.25">
      <c r="A1447" s="1" t="str">
        <f t="shared" si="22"/>
        <v/>
      </c>
      <c r="B14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8" spans="1:2" x14ac:dyDescent="0.25">
      <c r="A1448" s="1" t="str">
        <f t="shared" si="22"/>
        <v/>
      </c>
      <c r="B1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9" spans="1:2" x14ac:dyDescent="0.25">
      <c r="A1449" s="1" t="str">
        <f t="shared" si="22"/>
        <v/>
      </c>
      <c r="B1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0" spans="1:2" x14ac:dyDescent="0.25">
      <c r="A1450" s="1" t="str">
        <f t="shared" si="22"/>
        <v/>
      </c>
      <c r="B1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1" spans="1:2" x14ac:dyDescent="0.25">
      <c r="A1451" s="1" t="str">
        <f t="shared" si="22"/>
        <v/>
      </c>
      <c r="B1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2" spans="1:2" x14ac:dyDescent="0.25">
      <c r="A1452" s="1" t="str">
        <f t="shared" si="22"/>
        <v/>
      </c>
      <c r="B1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3" spans="1:2" x14ac:dyDescent="0.25">
      <c r="A1453" s="1" t="str">
        <f t="shared" si="22"/>
        <v/>
      </c>
      <c r="B1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4" spans="1:2" x14ac:dyDescent="0.25">
      <c r="A1454" s="1" t="str">
        <f t="shared" si="22"/>
        <v/>
      </c>
      <c r="B14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5" spans="1:2" x14ac:dyDescent="0.25">
      <c r="A1455" s="1" t="str">
        <f t="shared" si="22"/>
        <v/>
      </c>
      <c r="B1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6" spans="1:2" x14ac:dyDescent="0.25">
      <c r="A1456" s="1" t="str">
        <f t="shared" si="22"/>
        <v/>
      </c>
      <c r="B1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7" spans="1:2" x14ac:dyDescent="0.25">
      <c r="A1457" s="1" t="str">
        <f t="shared" si="22"/>
        <v/>
      </c>
      <c r="B1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8" spans="1:2" x14ac:dyDescent="0.25">
      <c r="A1458" s="1" t="str">
        <f t="shared" si="22"/>
        <v/>
      </c>
      <c r="B1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9" spans="1:2" x14ac:dyDescent="0.25">
      <c r="A1459" s="1" t="str">
        <f t="shared" ref="A1459:A1522" si="23">IFERROR(LEFT(RIGHT(C1459,LEN(C1459)-SEARCH("@",C1459)),SEARCH("/",RIGHT(C1459,LEN(C1459)-SEARCH("@",C1459)-1))),"")</f>
        <v/>
      </c>
      <c r="B1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0" spans="1:2" x14ac:dyDescent="0.25">
      <c r="A1460" s="1" t="str">
        <f t="shared" si="23"/>
        <v/>
      </c>
      <c r="B1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1" spans="1:2" x14ac:dyDescent="0.25">
      <c r="A1461" s="1" t="str">
        <f t="shared" si="23"/>
        <v/>
      </c>
      <c r="B1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2" spans="1:2" x14ac:dyDescent="0.25">
      <c r="A1462" s="1" t="str">
        <f t="shared" si="23"/>
        <v/>
      </c>
      <c r="B1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3" spans="1:2" x14ac:dyDescent="0.25">
      <c r="A1463" s="1" t="str">
        <f t="shared" si="23"/>
        <v/>
      </c>
      <c r="B1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4" spans="1:2" x14ac:dyDescent="0.25">
      <c r="A1464" s="1" t="str">
        <f t="shared" si="23"/>
        <v/>
      </c>
      <c r="B1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5" spans="1:2" x14ac:dyDescent="0.25">
      <c r="A1465" s="1" t="str">
        <f t="shared" si="23"/>
        <v/>
      </c>
      <c r="B14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6" spans="1:2" x14ac:dyDescent="0.25">
      <c r="A1466" s="1" t="str">
        <f t="shared" si="23"/>
        <v/>
      </c>
      <c r="B14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7" spans="1:2" x14ac:dyDescent="0.25">
      <c r="A1467" s="1" t="str">
        <f t="shared" si="23"/>
        <v/>
      </c>
      <c r="B14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8" spans="1:2" x14ac:dyDescent="0.25">
      <c r="A1468" s="1" t="str">
        <f t="shared" si="23"/>
        <v/>
      </c>
      <c r="B14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9" spans="1:2" x14ac:dyDescent="0.25">
      <c r="A1469" s="1" t="str">
        <f t="shared" si="23"/>
        <v/>
      </c>
      <c r="B14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0" spans="1:2" x14ac:dyDescent="0.25">
      <c r="A1470" s="1" t="str">
        <f t="shared" si="23"/>
        <v/>
      </c>
      <c r="B14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1" spans="1:2" x14ac:dyDescent="0.25">
      <c r="A1471" s="1" t="str">
        <f t="shared" si="23"/>
        <v/>
      </c>
      <c r="B14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2" spans="1:2" x14ac:dyDescent="0.25">
      <c r="A1472" s="1" t="str">
        <f t="shared" si="23"/>
        <v/>
      </c>
      <c r="B14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3" spans="1:2" x14ac:dyDescent="0.25">
      <c r="A1473" s="1" t="str">
        <f t="shared" si="23"/>
        <v/>
      </c>
      <c r="B14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4" spans="1:2" x14ac:dyDescent="0.25">
      <c r="A1474" s="1" t="str">
        <f t="shared" si="23"/>
        <v/>
      </c>
      <c r="B14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5" spans="1:2" x14ac:dyDescent="0.25">
      <c r="A1475" s="1" t="str">
        <f t="shared" si="23"/>
        <v/>
      </c>
      <c r="B14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6" spans="1:2" x14ac:dyDescent="0.25">
      <c r="A1476" s="1" t="str">
        <f t="shared" si="23"/>
        <v/>
      </c>
      <c r="B14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7" spans="1:2" x14ac:dyDescent="0.25">
      <c r="A1477" s="1" t="str">
        <f t="shared" si="23"/>
        <v/>
      </c>
      <c r="B14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8" spans="1:2" x14ac:dyDescent="0.25">
      <c r="A1478" s="1" t="str">
        <f t="shared" si="23"/>
        <v/>
      </c>
      <c r="B14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9" spans="1:2" x14ac:dyDescent="0.25">
      <c r="A1479" s="1" t="str">
        <f t="shared" si="23"/>
        <v/>
      </c>
      <c r="B14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0" spans="1:2" x14ac:dyDescent="0.25">
      <c r="A1480" s="1" t="str">
        <f t="shared" si="23"/>
        <v/>
      </c>
      <c r="B14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1" spans="1:2" x14ac:dyDescent="0.25">
      <c r="A1481" s="1" t="str">
        <f t="shared" si="23"/>
        <v/>
      </c>
      <c r="B14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2" spans="1:2" x14ac:dyDescent="0.25">
      <c r="A1482" s="1" t="str">
        <f t="shared" si="23"/>
        <v/>
      </c>
      <c r="B14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3" spans="1:2" x14ac:dyDescent="0.25">
      <c r="A1483" s="1" t="str">
        <f t="shared" si="23"/>
        <v/>
      </c>
      <c r="B14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4" spans="1:2" x14ac:dyDescent="0.25">
      <c r="A1484" s="1" t="str">
        <f t="shared" si="23"/>
        <v/>
      </c>
      <c r="B14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5" spans="1:2" x14ac:dyDescent="0.25">
      <c r="A1485" s="1" t="str">
        <f t="shared" si="23"/>
        <v/>
      </c>
      <c r="B1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6" spans="1:2" x14ac:dyDescent="0.25">
      <c r="A1486" s="1" t="str">
        <f t="shared" si="23"/>
        <v/>
      </c>
      <c r="B1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7" spans="1:2" x14ac:dyDescent="0.25">
      <c r="A1487" s="1" t="str">
        <f t="shared" si="23"/>
        <v/>
      </c>
      <c r="B1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8" spans="1:2" x14ac:dyDescent="0.25">
      <c r="A1488" s="1" t="str">
        <f t="shared" si="23"/>
        <v/>
      </c>
      <c r="B1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9" spans="1:2" x14ac:dyDescent="0.25">
      <c r="A1489" s="1" t="str">
        <f t="shared" si="23"/>
        <v/>
      </c>
      <c r="B1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0" spans="1:2" x14ac:dyDescent="0.25">
      <c r="A1490" s="1" t="str">
        <f t="shared" si="23"/>
        <v/>
      </c>
      <c r="B1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1" spans="1:2" x14ac:dyDescent="0.25">
      <c r="A1491" s="1" t="str">
        <f t="shared" si="23"/>
        <v/>
      </c>
      <c r="B1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2" spans="1:2" x14ac:dyDescent="0.25">
      <c r="A1492" s="1" t="str">
        <f t="shared" si="23"/>
        <v/>
      </c>
      <c r="B1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3" spans="1:2" x14ac:dyDescent="0.25">
      <c r="A1493" s="1" t="str">
        <f t="shared" si="23"/>
        <v/>
      </c>
      <c r="B1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4" spans="1:2" x14ac:dyDescent="0.25">
      <c r="A1494" s="1" t="str">
        <f t="shared" si="23"/>
        <v/>
      </c>
      <c r="B1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5" spans="1:2" x14ac:dyDescent="0.25">
      <c r="A1495" s="1" t="str">
        <f t="shared" si="23"/>
        <v/>
      </c>
      <c r="B1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6" spans="1:2" x14ac:dyDescent="0.25">
      <c r="A1496" s="1" t="str">
        <f t="shared" si="23"/>
        <v/>
      </c>
      <c r="B1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7" spans="1:2" x14ac:dyDescent="0.25">
      <c r="A1497" s="1" t="str">
        <f t="shared" si="23"/>
        <v/>
      </c>
      <c r="B1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8" spans="1:2" x14ac:dyDescent="0.25">
      <c r="A1498" s="1" t="str">
        <f t="shared" si="23"/>
        <v/>
      </c>
      <c r="B14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9" spans="1:2" x14ac:dyDescent="0.25">
      <c r="A1499" s="1" t="str">
        <f t="shared" si="23"/>
        <v/>
      </c>
      <c r="B14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0" spans="1:2" x14ac:dyDescent="0.25">
      <c r="A1500" s="1" t="str">
        <f t="shared" si="23"/>
        <v/>
      </c>
      <c r="B15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1" spans="1:2" x14ac:dyDescent="0.25">
      <c r="A1501" s="1" t="str">
        <f t="shared" si="23"/>
        <v/>
      </c>
      <c r="B15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2" spans="1:2" x14ac:dyDescent="0.25">
      <c r="A1502" s="1" t="str">
        <f t="shared" si="23"/>
        <v/>
      </c>
      <c r="B15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3" spans="1:2" x14ac:dyDescent="0.25">
      <c r="A1503" s="1" t="str">
        <f t="shared" si="23"/>
        <v/>
      </c>
      <c r="B15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4" spans="1:2" x14ac:dyDescent="0.25">
      <c r="A1504" s="1" t="str">
        <f t="shared" si="23"/>
        <v/>
      </c>
      <c r="B15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5" spans="1:2" x14ac:dyDescent="0.25">
      <c r="A1505" s="1" t="str">
        <f t="shared" si="23"/>
        <v/>
      </c>
      <c r="B15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6" spans="1:2" x14ac:dyDescent="0.25">
      <c r="A1506" s="1" t="str">
        <f t="shared" si="23"/>
        <v/>
      </c>
      <c r="B15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7" spans="1:2" x14ac:dyDescent="0.25">
      <c r="A1507" s="1" t="str">
        <f t="shared" si="23"/>
        <v/>
      </c>
      <c r="B15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8" spans="1:2" x14ac:dyDescent="0.25">
      <c r="A1508" s="1" t="str">
        <f t="shared" si="23"/>
        <v/>
      </c>
      <c r="B15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9" spans="1:2" x14ac:dyDescent="0.25">
      <c r="A1509" s="1" t="str">
        <f t="shared" si="23"/>
        <v/>
      </c>
      <c r="B15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0" spans="1:2" x14ac:dyDescent="0.25">
      <c r="A1510" s="1" t="str">
        <f t="shared" si="23"/>
        <v/>
      </c>
      <c r="B15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1" spans="1:2" x14ac:dyDescent="0.25">
      <c r="A1511" s="1" t="str">
        <f t="shared" si="23"/>
        <v/>
      </c>
      <c r="B15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2" spans="1:2" x14ac:dyDescent="0.25">
      <c r="A1512" s="1" t="str">
        <f t="shared" si="23"/>
        <v/>
      </c>
      <c r="B15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3" spans="1:2" x14ac:dyDescent="0.25">
      <c r="A1513" s="1" t="str">
        <f t="shared" si="23"/>
        <v/>
      </c>
      <c r="B15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4" spans="1:2" x14ac:dyDescent="0.25">
      <c r="A1514" s="1" t="str">
        <f t="shared" si="23"/>
        <v/>
      </c>
      <c r="B15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5" spans="1:2" x14ac:dyDescent="0.25">
      <c r="A1515" s="1" t="str">
        <f t="shared" si="23"/>
        <v/>
      </c>
      <c r="B15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6" spans="1:2" x14ac:dyDescent="0.25">
      <c r="A1516" s="1" t="str">
        <f t="shared" si="23"/>
        <v/>
      </c>
      <c r="B15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7" spans="1:2" x14ac:dyDescent="0.25">
      <c r="A1517" s="1" t="str">
        <f t="shared" si="23"/>
        <v/>
      </c>
      <c r="B15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8" spans="1:2" x14ac:dyDescent="0.25">
      <c r="A1518" s="1" t="str">
        <f t="shared" si="23"/>
        <v/>
      </c>
      <c r="B15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9" spans="1:2" x14ac:dyDescent="0.25">
      <c r="A1519" s="1" t="str">
        <f t="shared" si="23"/>
        <v/>
      </c>
      <c r="B15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0" spans="1:2" x14ac:dyDescent="0.25">
      <c r="A1520" s="1" t="str">
        <f t="shared" si="23"/>
        <v/>
      </c>
      <c r="B15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1" spans="1:2" x14ac:dyDescent="0.25">
      <c r="A1521" s="1" t="str">
        <f t="shared" si="23"/>
        <v/>
      </c>
      <c r="B1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2" spans="1:2" x14ac:dyDescent="0.25">
      <c r="A1522" s="1" t="str">
        <f t="shared" si="23"/>
        <v/>
      </c>
      <c r="B1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3" spans="1:2" x14ac:dyDescent="0.25">
      <c r="A1523" s="1" t="str">
        <f t="shared" ref="A1523:A1586" si="24">IFERROR(LEFT(RIGHT(C1523,LEN(C1523)-SEARCH("@",C1523)),SEARCH("/",RIGHT(C1523,LEN(C1523)-SEARCH("@",C1523)-1))),"")</f>
        <v/>
      </c>
      <c r="B1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4" spans="1:2" x14ac:dyDescent="0.25">
      <c r="A1524" s="1" t="str">
        <f t="shared" si="24"/>
        <v/>
      </c>
      <c r="B1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5" spans="1:2" x14ac:dyDescent="0.25">
      <c r="A1525" s="1" t="str">
        <f t="shared" si="24"/>
        <v/>
      </c>
      <c r="B1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6" spans="1:2" x14ac:dyDescent="0.25">
      <c r="A1526" s="1" t="str">
        <f t="shared" si="24"/>
        <v/>
      </c>
      <c r="B1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7" spans="1:2" x14ac:dyDescent="0.25">
      <c r="A1527" s="1" t="str">
        <f t="shared" si="24"/>
        <v/>
      </c>
      <c r="B1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8" spans="1:2" x14ac:dyDescent="0.25">
      <c r="A1528" s="1" t="str">
        <f t="shared" si="24"/>
        <v/>
      </c>
      <c r="B1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9" spans="1:2" x14ac:dyDescent="0.25">
      <c r="A1529" s="1" t="str">
        <f t="shared" si="24"/>
        <v/>
      </c>
      <c r="B1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0" spans="1:2" x14ac:dyDescent="0.25">
      <c r="A1530" s="1" t="str">
        <f t="shared" si="24"/>
        <v/>
      </c>
      <c r="B1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1" spans="1:2" x14ac:dyDescent="0.25">
      <c r="A1531" s="1" t="str">
        <f t="shared" si="24"/>
        <v/>
      </c>
      <c r="B1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2" spans="1:2" x14ac:dyDescent="0.25">
      <c r="A1532" s="1" t="str">
        <f t="shared" si="24"/>
        <v/>
      </c>
      <c r="B1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3" spans="1:2" x14ac:dyDescent="0.25">
      <c r="A1533" s="1" t="str">
        <f t="shared" si="24"/>
        <v/>
      </c>
      <c r="B1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4" spans="1:2" x14ac:dyDescent="0.25">
      <c r="A1534" s="1" t="str">
        <f t="shared" si="24"/>
        <v/>
      </c>
      <c r="B1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5" spans="1:2" x14ac:dyDescent="0.25">
      <c r="A1535" s="1" t="str">
        <f t="shared" si="24"/>
        <v/>
      </c>
      <c r="B1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6" spans="1:2" x14ac:dyDescent="0.25">
      <c r="A1536" s="1" t="str">
        <f t="shared" si="24"/>
        <v/>
      </c>
      <c r="B15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7" spans="1:2" x14ac:dyDescent="0.25">
      <c r="A1537" s="1" t="str">
        <f t="shared" si="24"/>
        <v/>
      </c>
      <c r="B15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8" spans="1:2" x14ac:dyDescent="0.25">
      <c r="A1538" s="1" t="str">
        <f t="shared" si="24"/>
        <v/>
      </c>
      <c r="B15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9" spans="1:2" x14ac:dyDescent="0.25">
      <c r="A1539" s="1" t="str">
        <f t="shared" si="24"/>
        <v/>
      </c>
      <c r="B15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0" spans="1:2" x14ac:dyDescent="0.25">
      <c r="A1540" s="1" t="str">
        <f t="shared" si="24"/>
        <v/>
      </c>
      <c r="B15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1" spans="1:2" x14ac:dyDescent="0.25">
      <c r="A1541" s="1" t="str">
        <f t="shared" si="24"/>
        <v/>
      </c>
      <c r="B15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2" spans="1:2" x14ac:dyDescent="0.25">
      <c r="A1542" s="1" t="str">
        <f t="shared" si="24"/>
        <v/>
      </c>
      <c r="B15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3" spans="1:2" x14ac:dyDescent="0.25">
      <c r="A1543" s="1" t="str">
        <f t="shared" si="24"/>
        <v/>
      </c>
      <c r="B15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4" spans="1:2" x14ac:dyDescent="0.25">
      <c r="A1544" s="1" t="str">
        <f t="shared" si="24"/>
        <v/>
      </c>
      <c r="B15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5" spans="1:2" x14ac:dyDescent="0.25">
      <c r="A1545" s="1" t="str">
        <f t="shared" si="24"/>
        <v/>
      </c>
      <c r="B15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6" spans="1:2" x14ac:dyDescent="0.25">
      <c r="A1546" s="1" t="str">
        <f t="shared" si="24"/>
        <v/>
      </c>
      <c r="B15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7" spans="1:2" x14ac:dyDescent="0.25">
      <c r="A1547" s="1" t="str">
        <f t="shared" si="24"/>
        <v/>
      </c>
      <c r="B15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8" spans="1:2" x14ac:dyDescent="0.25">
      <c r="A1548" s="1" t="str">
        <f t="shared" si="24"/>
        <v/>
      </c>
      <c r="B15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9" spans="1:2" x14ac:dyDescent="0.25">
      <c r="A1549" s="1" t="str">
        <f t="shared" si="24"/>
        <v/>
      </c>
      <c r="B15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0" spans="1:2" x14ac:dyDescent="0.25">
      <c r="A1550" s="1" t="str">
        <f t="shared" si="24"/>
        <v/>
      </c>
      <c r="B15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1" spans="1:2" x14ac:dyDescent="0.25">
      <c r="A1551" s="1" t="str">
        <f t="shared" si="24"/>
        <v/>
      </c>
      <c r="B15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2" spans="1:2" x14ac:dyDescent="0.25">
      <c r="A1552" s="1" t="str">
        <f t="shared" si="24"/>
        <v/>
      </c>
      <c r="B15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3" spans="1:2" x14ac:dyDescent="0.25">
      <c r="A1553" s="1" t="str">
        <f t="shared" si="24"/>
        <v/>
      </c>
      <c r="B15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4" spans="1:2" x14ac:dyDescent="0.25">
      <c r="A1554" s="1" t="str">
        <f t="shared" si="24"/>
        <v/>
      </c>
      <c r="B1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5" spans="1:2" x14ac:dyDescent="0.25">
      <c r="A1555" s="1" t="str">
        <f t="shared" si="24"/>
        <v/>
      </c>
      <c r="B1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6" spans="1:2" x14ac:dyDescent="0.25">
      <c r="A1556" s="1" t="str">
        <f t="shared" si="24"/>
        <v/>
      </c>
      <c r="B1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7" spans="1:2" x14ac:dyDescent="0.25">
      <c r="A1557" s="1" t="str">
        <f t="shared" si="24"/>
        <v/>
      </c>
      <c r="B1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8" spans="1:2" x14ac:dyDescent="0.25">
      <c r="A1558" s="1" t="str">
        <f t="shared" si="24"/>
        <v/>
      </c>
      <c r="B1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9" spans="1:2" x14ac:dyDescent="0.25">
      <c r="A1559" s="1" t="str">
        <f t="shared" si="24"/>
        <v/>
      </c>
      <c r="B1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0" spans="1:2" x14ac:dyDescent="0.25">
      <c r="A1560" s="1" t="str">
        <f t="shared" si="24"/>
        <v/>
      </c>
      <c r="B1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1" spans="1:2" x14ac:dyDescent="0.25">
      <c r="A1561" s="1" t="str">
        <f t="shared" si="24"/>
        <v/>
      </c>
      <c r="B1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2" spans="1:2" x14ac:dyDescent="0.25">
      <c r="A1562" s="1" t="str">
        <f t="shared" si="24"/>
        <v/>
      </c>
      <c r="B1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3" spans="1:2" x14ac:dyDescent="0.25">
      <c r="A1563" s="1" t="str">
        <f t="shared" si="24"/>
        <v/>
      </c>
      <c r="B1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4" spans="1:2" x14ac:dyDescent="0.25">
      <c r="A1564" s="1" t="str">
        <f t="shared" si="24"/>
        <v/>
      </c>
      <c r="B15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5" spans="1:2" x14ac:dyDescent="0.25">
      <c r="A1565" s="1" t="str">
        <f t="shared" si="24"/>
        <v/>
      </c>
      <c r="B15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6" spans="1:2" x14ac:dyDescent="0.25">
      <c r="A1566" s="1" t="str">
        <f t="shared" si="24"/>
        <v/>
      </c>
      <c r="B15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7" spans="1:2" x14ac:dyDescent="0.25">
      <c r="A1567" s="1" t="str">
        <f t="shared" si="24"/>
        <v/>
      </c>
      <c r="B1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8" spans="1:2" x14ac:dyDescent="0.25">
      <c r="A1568" s="1" t="str">
        <f t="shared" si="24"/>
        <v/>
      </c>
      <c r="B1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9" spans="1:2" x14ac:dyDescent="0.25">
      <c r="A1569" s="1" t="str">
        <f t="shared" si="24"/>
        <v/>
      </c>
      <c r="B1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0" spans="1:2" x14ac:dyDescent="0.25">
      <c r="A1570" s="1" t="str">
        <f t="shared" si="24"/>
        <v/>
      </c>
      <c r="B1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1" spans="1:2" x14ac:dyDescent="0.25">
      <c r="A1571" s="1" t="str">
        <f t="shared" si="24"/>
        <v/>
      </c>
      <c r="B1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2" spans="1:2" x14ac:dyDescent="0.25">
      <c r="A1572" s="1" t="str">
        <f t="shared" si="24"/>
        <v/>
      </c>
      <c r="B1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3" spans="1:2" x14ac:dyDescent="0.25">
      <c r="A1573" s="1" t="str">
        <f t="shared" si="24"/>
        <v/>
      </c>
      <c r="B1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4" spans="1:2" x14ac:dyDescent="0.25">
      <c r="A1574" s="1" t="str">
        <f t="shared" si="24"/>
        <v/>
      </c>
      <c r="B1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5" spans="1:2" x14ac:dyDescent="0.25">
      <c r="A1575" s="1" t="str">
        <f t="shared" si="24"/>
        <v/>
      </c>
      <c r="B1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6" spans="1:2" x14ac:dyDescent="0.25">
      <c r="A1576" s="1" t="str">
        <f t="shared" si="24"/>
        <v/>
      </c>
      <c r="B1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7" spans="1:2" x14ac:dyDescent="0.25">
      <c r="A1577" s="1" t="str">
        <f t="shared" si="24"/>
        <v/>
      </c>
      <c r="B15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8" spans="1:2" x14ac:dyDescent="0.25">
      <c r="A1578" s="1" t="str">
        <f t="shared" si="24"/>
        <v/>
      </c>
      <c r="B15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9" spans="1:2" x14ac:dyDescent="0.25">
      <c r="A1579" s="1" t="str">
        <f t="shared" si="24"/>
        <v/>
      </c>
      <c r="B15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0" spans="1:2" x14ac:dyDescent="0.25">
      <c r="A1580" s="1" t="str">
        <f t="shared" si="24"/>
        <v/>
      </c>
      <c r="B15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1" spans="1:2" x14ac:dyDescent="0.25">
      <c r="A1581" s="1" t="str">
        <f t="shared" si="24"/>
        <v/>
      </c>
      <c r="B15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2" spans="1:2" x14ac:dyDescent="0.25">
      <c r="A1582" s="1" t="str">
        <f t="shared" si="24"/>
        <v/>
      </c>
      <c r="B15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3" spans="1:2" x14ac:dyDescent="0.25">
      <c r="A1583" s="1" t="str">
        <f t="shared" si="24"/>
        <v/>
      </c>
      <c r="B15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4" spans="1:2" x14ac:dyDescent="0.25">
      <c r="A1584" s="1" t="str">
        <f t="shared" si="24"/>
        <v/>
      </c>
      <c r="B15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5" spans="1:2" x14ac:dyDescent="0.25">
      <c r="A1585" s="1" t="str">
        <f t="shared" si="24"/>
        <v/>
      </c>
      <c r="B15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6" spans="1:2" x14ac:dyDescent="0.25">
      <c r="A1586" s="1" t="str">
        <f t="shared" si="24"/>
        <v/>
      </c>
      <c r="B15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7" spans="1:2" x14ac:dyDescent="0.25">
      <c r="A1587" s="1" t="str">
        <f t="shared" ref="A1587:A1650" si="25">IFERROR(LEFT(RIGHT(C1587,LEN(C1587)-SEARCH("@",C1587)),SEARCH("/",RIGHT(C1587,LEN(C1587)-SEARCH("@",C1587)-1))),"")</f>
        <v/>
      </c>
      <c r="B1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8" spans="1:2" x14ac:dyDescent="0.25">
      <c r="A1588" s="1" t="str">
        <f t="shared" si="25"/>
        <v/>
      </c>
      <c r="B1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9" spans="1:2" x14ac:dyDescent="0.25">
      <c r="A1589" s="1" t="str">
        <f t="shared" si="25"/>
        <v/>
      </c>
      <c r="B1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0" spans="1:2" x14ac:dyDescent="0.25">
      <c r="A1590" s="1" t="str">
        <f t="shared" si="25"/>
        <v/>
      </c>
      <c r="B1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1" spans="1:2" x14ac:dyDescent="0.25">
      <c r="A1591" s="1" t="str">
        <f t="shared" si="25"/>
        <v/>
      </c>
      <c r="B1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2" spans="1:2" x14ac:dyDescent="0.25">
      <c r="A1592" s="1" t="str">
        <f t="shared" si="25"/>
        <v/>
      </c>
      <c r="B1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3" spans="1:2" x14ac:dyDescent="0.25">
      <c r="A1593" s="1" t="str">
        <f t="shared" si="25"/>
        <v/>
      </c>
      <c r="B1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4" spans="1:2" x14ac:dyDescent="0.25">
      <c r="A1594" s="1" t="str">
        <f t="shared" si="25"/>
        <v/>
      </c>
      <c r="B1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5" spans="1:2" x14ac:dyDescent="0.25">
      <c r="A1595" s="1" t="str">
        <f t="shared" si="25"/>
        <v/>
      </c>
      <c r="B1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6" spans="1:2" x14ac:dyDescent="0.25">
      <c r="A1596" s="1" t="str">
        <f t="shared" si="25"/>
        <v/>
      </c>
      <c r="B1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7" spans="1:2" x14ac:dyDescent="0.25">
      <c r="A1597" s="1" t="str">
        <f t="shared" si="25"/>
        <v/>
      </c>
      <c r="B15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8" spans="1:2" x14ac:dyDescent="0.25">
      <c r="A1598" s="1" t="str">
        <f t="shared" si="25"/>
        <v/>
      </c>
      <c r="B15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9" spans="1:2" x14ac:dyDescent="0.25">
      <c r="A1599" s="1" t="str">
        <f t="shared" si="25"/>
        <v/>
      </c>
      <c r="B15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0" spans="1:2" x14ac:dyDescent="0.25">
      <c r="A1600" s="1" t="str">
        <f t="shared" si="25"/>
        <v/>
      </c>
      <c r="B16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1" spans="1:2" x14ac:dyDescent="0.25">
      <c r="A1601" s="1" t="str">
        <f t="shared" si="25"/>
        <v/>
      </c>
      <c r="B16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2" spans="1:2" x14ac:dyDescent="0.25">
      <c r="A1602" s="1" t="str">
        <f t="shared" si="25"/>
        <v/>
      </c>
      <c r="B16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3" spans="1:2" x14ac:dyDescent="0.25">
      <c r="A1603" s="1" t="str">
        <f t="shared" si="25"/>
        <v/>
      </c>
      <c r="B16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4" spans="1:2" x14ac:dyDescent="0.25">
      <c r="A1604" s="1" t="str">
        <f t="shared" si="25"/>
        <v/>
      </c>
      <c r="B16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5" spans="1:2" x14ac:dyDescent="0.25">
      <c r="A1605" s="1" t="str">
        <f t="shared" si="25"/>
        <v/>
      </c>
      <c r="B16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6" spans="1:2" x14ac:dyDescent="0.25">
      <c r="A1606" s="1" t="str">
        <f t="shared" si="25"/>
        <v/>
      </c>
      <c r="B16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7" spans="1:2" x14ac:dyDescent="0.25">
      <c r="A1607" s="1" t="str">
        <f t="shared" si="25"/>
        <v/>
      </c>
      <c r="B16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8" spans="1:2" x14ac:dyDescent="0.25">
      <c r="A1608" s="1" t="str">
        <f t="shared" si="25"/>
        <v/>
      </c>
      <c r="B16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9" spans="1:2" x14ac:dyDescent="0.25">
      <c r="A1609" s="1" t="str">
        <f t="shared" si="25"/>
        <v/>
      </c>
      <c r="B1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0" spans="1:2" x14ac:dyDescent="0.25">
      <c r="A1610" s="1" t="str">
        <f t="shared" si="25"/>
        <v/>
      </c>
      <c r="B1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1" spans="1:2" x14ac:dyDescent="0.25">
      <c r="A1611" s="1" t="str">
        <f t="shared" si="25"/>
        <v/>
      </c>
      <c r="B16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2" spans="1:2" x14ac:dyDescent="0.25">
      <c r="A1612" s="1" t="str">
        <f t="shared" si="25"/>
        <v/>
      </c>
      <c r="B1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3" spans="1:2" x14ac:dyDescent="0.25">
      <c r="A1613" s="1" t="str">
        <f t="shared" si="25"/>
        <v/>
      </c>
      <c r="B1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4" spans="1:2" x14ac:dyDescent="0.25">
      <c r="A1614" s="1" t="str">
        <f t="shared" si="25"/>
        <v/>
      </c>
      <c r="B1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5" spans="1:2" x14ac:dyDescent="0.25">
      <c r="A1615" s="1" t="str">
        <f t="shared" si="25"/>
        <v/>
      </c>
      <c r="B1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6" spans="1:2" x14ac:dyDescent="0.25">
      <c r="A1616" s="1" t="str">
        <f t="shared" si="25"/>
        <v/>
      </c>
      <c r="B1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7" spans="1:2" x14ac:dyDescent="0.25">
      <c r="A1617" s="1" t="str">
        <f t="shared" si="25"/>
        <v/>
      </c>
      <c r="B1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8" spans="1:2" x14ac:dyDescent="0.25">
      <c r="A1618" s="1" t="str">
        <f t="shared" si="25"/>
        <v/>
      </c>
      <c r="B16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9" spans="1:2" x14ac:dyDescent="0.25">
      <c r="A1619" s="1" t="str">
        <f t="shared" si="25"/>
        <v/>
      </c>
      <c r="B16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0" spans="1:2" x14ac:dyDescent="0.25">
      <c r="A1620" s="1" t="str">
        <f t="shared" si="25"/>
        <v/>
      </c>
      <c r="B1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1" spans="1:2" x14ac:dyDescent="0.25">
      <c r="A1621" s="1" t="str">
        <f t="shared" si="25"/>
        <v/>
      </c>
      <c r="B1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2" spans="1:2" x14ac:dyDescent="0.25">
      <c r="A1622" s="1" t="str">
        <f t="shared" si="25"/>
        <v/>
      </c>
      <c r="B1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3" spans="1:2" x14ac:dyDescent="0.25">
      <c r="A1623" s="1" t="str">
        <f t="shared" si="25"/>
        <v/>
      </c>
      <c r="B1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4" spans="1:2" x14ac:dyDescent="0.25">
      <c r="A1624" s="1" t="str">
        <f t="shared" si="25"/>
        <v/>
      </c>
      <c r="B1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5" spans="1:2" x14ac:dyDescent="0.25">
      <c r="A1625" s="1" t="str">
        <f t="shared" si="25"/>
        <v/>
      </c>
      <c r="B1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6" spans="1:2" x14ac:dyDescent="0.25">
      <c r="A1626" s="1" t="str">
        <f t="shared" si="25"/>
        <v/>
      </c>
      <c r="B1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7" spans="1:2" x14ac:dyDescent="0.25">
      <c r="A1627" s="1" t="str">
        <f t="shared" si="25"/>
        <v/>
      </c>
      <c r="B1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8" spans="1:2" x14ac:dyDescent="0.25">
      <c r="A1628" s="1" t="str">
        <f t="shared" si="25"/>
        <v/>
      </c>
      <c r="B1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9" spans="1:2" x14ac:dyDescent="0.25">
      <c r="A1629" s="1" t="str">
        <f t="shared" si="25"/>
        <v/>
      </c>
      <c r="B1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0" spans="1:2" x14ac:dyDescent="0.25">
      <c r="A1630" s="1" t="str">
        <f t="shared" si="25"/>
        <v/>
      </c>
      <c r="B16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1" spans="1:2" x14ac:dyDescent="0.25">
      <c r="A1631" s="1" t="str">
        <f t="shared" si="25"/>
        <v/>
      </c>
      <c r="B16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2" spans="1:2" x14ac:dyDescent="0.25">
      <c r="A1632" s="1" t="str">
        <f t="shared" si="25"/>
        <v/>
      </c>
      <c r="B16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3" spans="1:2" x14ac:dyDescent="0.25">
      <c r="A1633" s="1" t="str">
        <f t="shared" si="25"/>
        <v/>
      </c>
      <c r="B16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4" spans="1:2" x14ac:dyDescent="0.25">
      <c r="A1634" s="1" t="str">
        <f t="shared" si="25"/>
        <v/>
      </c>
      <c r="B16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5" spans="1:2" x14ac:dyDescent="0.25">
      <c r="A1635" s="1" t="str">
        <f t="shared" si="25"/>
        <v/>
      </c>
      <c r="B16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6" spans="1:2" x14ac:dyDescent="0.25">
      <c r="A1636" s="1" t="str">
        <f t="shared" si="25"/>
        <v/>
      </c>
      <c r="B16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7" spans="1:2" x14ac:dyDescent="0.25">
      <c r="A1637" s="1" t="str">
        <f t="shared" si="25"/>
        <v/>
      </c>
      <c r="B16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8" spans="1:2" x14ac:dyDescent="0.25">
      <c r="A1638" s="1" t="str">
        <f t="shared" si="25"/>
        <v/>
      </c>
      <c r="B16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9" spans="1:2" x14ac:dyDescent="0.25">
      <c r="A1639" s="1" t="str">
        <f t="shared" si="25"/>
        <v/>
      </c>
      <c r="B16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0" spans="1:2" x14ac:dyDescent="0.25">
      <c r="A1640" s="1" t="str">
        <f t="shared" si="25"/>
        <v/>
      </c>
      <c r="B16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1" spans="1:2" x14ac:dyDescent="0.25">
      <c r="A1641" s="1" t="str">
        <f t="shared" si="25"/>
        <v/>
      </c>
      <c r="B16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2" spans="1:2" x14ac:dyDescent="0.25">
      <c r="A1642" s="1" t="str">
        <f t="shared" si="25"/>
        <v/>
      </c>
      <c r="B16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3" spans="1:2" x14ac:dyDescent="0.25">
      <c r="A1643" s="1" t="str">
        <f t="shared" si="25"/>
        <v/>
      </c>
      <c r="B16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4" spans="1:2" x14ac:dyDescent="0.25">
      <c r="A1644" s="1" t="str">
        <f t="shared" si="25"/>
        <v/>
      </c>
      <c r="B16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5" spans="1:2" x14ac:dyDescent="0.25">
      <c r="A1645" s="1" t="str">
        <f t="shared" si="25"/>
        <v/>
      </c>
      <c r="B16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6" spans="1:2" x14ac:dyDescent="0.25">
      <c r="A1646" s="1" t="str">
        <f t="shared" si="25"/>
        <v/>
      </c>
      <c r="B16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7" spans="1:2" x14ac:dyDescent="0.25">
      <c r="A1647" s="1" t="str">
        <f t="shared" si="25"/>
        <v/>
      </c>
      <c r="B16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8" spans="1:2" x14ac:dyDescent="0.25">
      <c r="A1648" s="1" t="str">
        <f t="shared" si="25"/>
        <v/>
      </c>
      <c r="B16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9" spans="1:2" x14ac:dyDescent="0.25">
      <c r="A1649" s="1" t="str">
        <f t="shared" si="25"/>
        <v/>
      </c>
      <c r="B16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0" spans="1:2" x14ac:dyDescent="0.25">
      <c r="A1650" s="1" t="str">
        <f t="shared" si="25"/>
        <v/>
      </c>
      <c r="B1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1" spans="1:2" x14ac:dyDescent="0.25">
      <c r="A1651" s="1" t="str">
        <f t="shared" ref="A1651:A1711" si="26">IFERROR(LEFT(RIGHT(C1651,LEN(C1651)-SEARCH("@",C1651)),SEARCH("/",RIGHT(C1651,LEN(C1651)-SEARCH("@",C1651)-1))),"")</f>
        <v/>
      </c>
      <c r="B1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2" spans="1:2" x14ac:dyDescent="0.25">
      <c r="A1652" s="1" t="str">
        <f t="shared" si="26"/>
        <v/>
      </c>
      <c r="B1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3" spans="1:2" x14ac:dyDescent="0.25">
      <c r="A1653" s="1" t="str">
        <f t="shared" si="26"/>
        <v/>
      </c>
      <c r="B1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4" spans="1:2" x14ac:dyDescent="0.25">
      <c r="A1654" s="1" t="str">
        <f t="shared" si="26"/>
        <v/>
      </c>
      <c r="B1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5" spans="1:2" x14ac:dyDescent="0.25">
      <c r="A1655" s="1" t="str">
        <f t="shared" si="26"/>
        <v/>
      </c>
      <c r="B1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6" spans="1:2" x14ac:dyDescent="0.25">
      <c r="A1656" s="1" t="str">
        <f t="shared" si="26"/>
        <v/>
      </c>
      <c r="B1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7" spans="1:2" x14ac:dyDescent="0.25">
      <c r="A1657" s="1" t="str">
        <f t="shared" si="26"/>
        <v/>
      </c>
      <c r="B1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8" spans="1:2" x14ac:dyDescent="0.25">
      <c r="A1658" s="1" t="str">
        <f t="shared" si="26"/>
        <v/>
      </c>
      <c r="B1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9" spans="1:2" x14ac:dyDescent="0.25">
      <c r="A1659" s="1" t="str">
        <f t="shared" si="26"/>
        <v/>
      </c>
      <c r="B1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0" spans="1:2" x14ac:dyDescent="0.25">
      <c r="A1660" s="1" t="str">
        <f t="shared" si="26"/>
        <v/>
      </c>
      <c r="B1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1" spans="1:2" x14ac:dyDescent="0.25">
      <c r="A1661" s="1" t="str">
        <f t="shared" si="26"/>
        <v/>
      </c>
      <c r="B1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2" spans="1:2" x14ac:dyDescent="0.25">
      <c r="A1662" s="1" t="str">
        <f t="shared" si="26"/>
        <v/>
      </c>
      <c r="B1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3" spans="1:2" x14ac:dyDescent="0.25">
      <c r="A1663" s="1" t="str">
        <f t="shared" si="26"/>
        <v/>
      </c>
      <c r="B16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4" spans="1:2" x14ac:dyDescent="0.25">
      <c r="A1664" s="1" t="str">
        <f t="shared" si="26"/>
        <v/>
      </c>
      <c r="B16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5" spans="1:2" x14ac:dyDescent="0.25">
      <c r="A1665" s="1" t="str">
        <f t="shared" si="26"/>
        <v/>
      </c>
      <c r="B16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6" spans="1:2" x14ac:dyDescent="0.25">
      <c r="A1666" s="1" t="str">
        <f t="shared" si="26"/>
        <v/>
      </c>
      <c r="B16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7" spans="1:2" x14ac:dyDescent="0.25">
      <c r="A1667" s="1" t="str">
        <f t="shared" si="26"/>
        <v/>
      </c>
      <c r="B16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8" spans="1:2" x14ac:dyDescent="0.25">
      <c r="A1668" s="1" t="str">
        <f t="shared" si="26"/>
        <v/>
      </c>
      <c r="B16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9" spans="1:2" x14ac:dyDescent="0.25">
      <c r="A1669" s="1" t="str">
        <f t="shared" si="26"/>
        <v/>
      </c>
      <c r="B16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0" spans="1:2" x14ac:dyDescent="0.25">
      <c r="A1670" s="1" t="str">
        <f t="shared" si="26"/>
        <v/>
      </c>
      <c r="B16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1" spans="1:2" x14ac:dyDescent="0.25">
      <c r="A1671" s="1" t="str">
        <f t="shared" si="26"/>
        <v/>
      </c>
      <c r="B16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2" spans="1:2" x14ac:dyDescent="0.25">
      <c r="A1672" s="1" t="str">
        <f t="shared" si="26"/>
        <v/>
      </c>
      <c r="B16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3" spans="1:2" x14ac:dyDescent="0.25">
      <c r="A1673" s="1" t="str">
        <f t="shared" si="26"/>
        <v/>
      </c>
      <c r="B16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4" spans="1:2" x14ac:dyDescent="0.25">
      <c r="A1674" s="1" t="str">
        <f t="shared" si="26"/>
        <v/>
      </c>
      <c r="B16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5" spans="1:2" x14ac:dyDescent="0.25">
      <c r="A1675" s="1" t="str">
        <f t="shared" si="26"/>
        <v/>
      </c>
      <c r="B16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6" spans="1:2" x14ac:dyDescent="0.25">
      <c r="A1676" s="1" t="str">
        <f t="shared" si="26"/>
        <v/>
      </c>
      <c r="B16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7" spans="1:2" x14ac:dyDescent="0.25">
      <c r="A1677" s="1" t="str">
        <f t="shared" si="26"/>
        <v/>
      </c>
      <c r="B16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8" spans="1:2" x14ac:dyDescent="0.25">
      <c r="A1678" s="1" t="str">
        <f t="shared" si="26"/>
        <v/>
      </c>
      <c r="B16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9" spans="1:2" x14ac:dyDescent="0.25">
      <c r="A1679" s="1" t="str">
        <f t="shared" si="26"/>
        <v/>
      </c>
      <c r="B16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0" spans="1:2" x14ac:dyDescent="0.25">
      <c r="A1680" s="1" t="str">
        <f t="shared" si="26"/>
        <v/>
      </c>
      <c r="B16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1" spans="1:2" x14ac:dyDescent="0.25">
      <c r="A1681" s="1" t="str">
        <f t="shared" si="26"/>
        <v/>
      </c>
      <c r="B16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2" spans="1:2" x14ac:dyDescent="0.25">
      <c r="A1682" s="1" t="str">
        <f t="shared" si="26"/>
        <v/>
      </c>
      <c r="B16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3" spans="1:2" x14ac:dyDescent="0.25">
      <c r="A1683" s="1" t="str">
        <f t="shared" si="26"/>
        <v/>
      </c>
      <c r="B16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4" spans="1:2" x14ac:dyDescent="0.25">
      <c r="A1684" s="1" t="str">
        <f t="shared" si="26"/>
        <v/>
      </c>
      <c r="B16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5" spans="1:2" x14ac:dyDescent="0.25">
      <c r="A1685" s="1" t="str">
        <f t="shared" si="26"/>
        <v/>
      </c>
      <c r="B1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6" spans="1:2" x14ac:dyDescent="0.25">
      <c r="A1686" s="1" t="str">
        <f t="shared" si="26"/>
        <v/>
      </c>
      <c r="B1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7" spans="1:2" x14ac:dyDescent="0.25">
      <c r="A1687" s="1" t="str">
        <f t="shared" si="26"/>
        <v/>
      </c>
      <c r="B1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8" spans="1:2" x14ac:dyDescent="0.25">
      <c r="A1688" s="1" t="str">
        <f t="shared" si="26"/>
        <v/>
      </c>
      <c r="B1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9" spans="1:2" x14ac:dyDescent="0.25">
      <c r="A1689" s="1" t="str">
        <f t="shared" si="26"/>
        <v/>
      </c>
      <c r="B1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0" spans="1:2" x14ac:dyDescent="0.25">
      <c r="A1690" s="1" t="str">
        <f t="shared" si="26"/>
        <v/>
      </c>
      <c r="B1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1" spans="1:2" x14ac:dyDescent="0.25">
      <c r="A1691" s="1" t="str">
        <f t="shared" si="26"/>
        <v/>
      </c>
      <c r="B1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2" spans="1:2" x14ac:dyDescent="0.25">
      <c r="A1692" s="1" t="str">
        <f t="shared" si="26"/>
        <v/>
      </c>
      <c r="B1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3" spans="1:2" x14ac:dyDescent="0.25">
      <c r="A1693" s="1" t="str">
        <f t="shared" si="26"/>
        <v/>
      </c>
      <c r="B1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4" spans="1:2" x14ac:dyDescent="0.25">
      <c r="A1694" s="1" t="str">
        <f t="shared" si="26"/>
        <v/>
      </c>
      <c r="B1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5" spans="1:2" x14ac:dyDescent="0.25">
      <c r="A1695" s="1" t="str">
        <f t="shared" si="26"/>
        <v/>
      </c>
      <c r="B1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6" spans="1:2" x14ac:dyDescent="0.25">
      <c r="A1696" s="1" t="str">
        <f t="shared" si="26"/>
        <v/>
      </c>
      <c r="B1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7" spans="1:2" x14ac:dyDescent="0.25">
      <c r="A1697" s="1" t="str">
        <f t="shared" si="26"/>
        <v/>
      </c>
      <c r="B1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8" spans="1:2" x14ac:dyDescent="0.25">
      <c r="A1698" s="1" t="str">
        <f t="shared" si="26"/>
        <v/>
      </c>
      <c r="B1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9" spans="1:2" x14ac:dyDescent="0.25">
      <c r="A1699" s="1" t="str">
        <f t="shared" si="26"/>
        <v/>
      </c>
      <c r="B1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0" spans="1:2" x14ac:dyDescent="0.25">
      <c r="A1700" s="1" t="str">
        <f t="shared" si="26"/>
        <v/>
      </c>
      <c r="B1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1" spans="1:2" x14ac:dyDescent="0.25">
      <c r="A1701" s="1" t="str">
        <f t="shared" si="26"/>
        <v/>
      </c>
      <c r="B1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2" spans="1:2" x14ac:dyDescent="0.25">
      <c r="A1702" s="1" t="str">
        <f t="shared" si="26"/>
        <v/>
      </c>
      <c r="B1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3" spans="1:2" x14ac:dyDescent="0.25">
      <c r="A1703" s="1" t="str">
        <f t="shared" si="26"/>
        <v/>
      </c>
      <c r="B1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4" spans="1:2" x14ac:dyDescent="0.25">
      <c r="A1704" s="1" t="str">
        <f t="shared" si="26"/>
        <v/>
      </c>
      <c r="B1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5" spans="1:2" x14ac:dyDescent="0.25">
      <c r="A1705" s="1" t="str">
        <f t="shared" si="26"/>
        <v/>
      </c>
      <c r="B1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6" spans="1:2" x14ac:dyDescent="0.25">
      <c r="A1706" s="1" t="str">
        <f t="shared" si="26"/>
        <v/>
      </c>
      <c r="B1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7" spans="1:2" x14ac:dyDescent="0.25">
      <c r="A1707" s="1" t="str">
        <f t="shared" si="26"/>
        <v/>
      </c>
      <c r="B1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8" spans="1:2" x14ac:dyDescent="0.25">
      <c r="A1708" s="1" t="str">
        <f t="shared" si="26"/>
        <v/>
      </c>
      <c r="B1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9" spans="1:2" x14ac:dyDescent="0.25">
      <c r="A1709" s="1" t="str">
        <f t="shared" si="26"/>
        <v/>
      </c>
      <c r="B1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0" spans="1:2" x14ac:dyDescent="0.25">
      <c r="A1710" s="1" t="str">
        <f t="shared" si="26"/>
        <v/>
      </c>
      <c r="B1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1" spans="1:2" x14ac:dyDescent="0.25">
      <c r="A1711" s="1" t="str">
        <f t="shared" si="26"/>
        <v/>
      </c>
      <c r="B1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sheetData>
  <conditionalFormatting sqref="A1:J10 EO1:XFD10 A11:K13 M15:XFD18 K1:L4 A14:J18 K5 A19:XFD1048576 AH11:XFD14">
    <cfRule type="containsText" dxfId="24" priority="1" operator="containsText" text="ERREUR">
      <formula>NOT(ISERROR(SEARCH("ERREUR",A1)))</formula>
    </cfRule>
    <cfRule type="containsText" dxfId="23" priority="2" operator="containsText" text="OK">
      <formula>NOT(ISERROR(SEARCH("OK",A1)))</formula>
    </cfRule>
  </conditionalFormatting>
  <pageMargins left="0.7" right="0.7" top="0.75" bottom="0.75" header="0.3" footer="0.3"/>
  <pageSetup paperSize="9" orientation="portrait" horizontalDpi="300" verticalDpi="300" r:id="rId2"/>
  <headerFooter>
    <oddFooter>&amp;C&amp;1#&amp;"Arial"&amp;10&amp;K000000Internal</oddFooter>
  </headerFooter>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79"/>
  <sheetViews>
    <sheetView showGridLines="0" topLeftCell="J34" zoomScaleNormal="100" zoomScaleSheetLayoutView="40" zoomScalePageLayoutView="30" workbookViewId="0">
      <selection activeCell="R64" sqref="R64"/>
    </sheetView>
  </sheetViews>
  <sheetFormatPr defaultColWidth="9.140625" defaultRowHeight="15" x14ac:dyDescent="0.25"/>
  <cols>
    <col min="1" max="1" width="33.5703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3" width="26.42578125" style="1" customWidth="1"/>
    <col min="14" max="14" width="11.7109375" style="1" customWidth="1"/>
    <col min="15" max="15" width="14.85546875" style="1" customWidth="1"/>
    <col min="16" max="16" width="17.7109375" style="1" customWidth="1"/>
    <col min="17" max="18" width="25.85546875" style="1" bestFit="1" customWidth="1"/>
    <col min="19" max="22" width="25.85546875" style="1" customWidth="1"/>
    <col min="23" max="16384" width="9.140625" style="1"/>
  </cols>
  <sheetData>
    <row r="1" spans="1:22" ht="27" thickBot="1" x14ac:dyDescent="0.45">
      <c r="A1" s="218" t="s">
        <v>43</v>
      </c>
      <c r="B1" s="219"/>
      <c r="C1" s="219"/>
      <c r="D1" s="219"/>
      <c r="E1" s="219"/>
      <c r="F1" s="219"/>
      <c r="G1" s="219"/>
      <c r="H1" s="219"/>
      <c r="I1" s="219"/>
      <c r="J1" s="219"/>
      <c r="K1" s="219"/>
      <c r="L1" s="219"/>
      <c r="M1" s="219"/>
      <c r="N1" s="219"/>
      <c r="O1" s="219"/>
      <c r="P1" s="219"/>
      <c r="Q1" s="219"/>
      <c r="R1" s="219"/>
      <c r="S1" s="219"/>
      <c r="T1" s="219"/>
      <c r="U1" s="219"/>
      <c r="V1" s="219"/>
    </row>
    <row r="2" spans="1:22" ht="15.75" thickBot="1" x14ac:dyDescent="0.3"/>
    <row r="3" spans="1:22" ht="15.75" thickBot="1" x14ac:dyDescent="0.3">
      <c r="A3" s="152" t="s">
        <v>22</v>
      </c>
      <c r="B3" s="226" t="s">
        <v>6</v>
      </c>
      <c r="C3" s="227"/>
      <c r="D3" s="227"/>
      <c r="E3" s="227"/>
      <c r="F3" s="227"/>
      <c r="G3" s="227"/>
      <c r="H3" s="227"/>
      <c r="I3" s="227"/>
      <c r="J3" s="227"/>
      <c r="K3" s="227"/>
      <c r="L3" s="227"/>
      <c r="M3" s="227"/>
      <c r="O3" s="226" t="s">
        <v>3</v>
      </c>
      <c r="P3" s="227"/>
      <c r="Q3" s="227"/>
      <c r="R3" s="227"/>
      <c r="S3" s="227"/>
      <c r="T3" s="227"/>
      <c r="U3" s="227"/>
      <c r="V3" s="227"/>
    </row>
    <row r="4" spans="1:22" x14ac:dyDescent="0.2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estradiol 34ng/L</v>
      </c>
      <c r="J4" s="35" t="str">
        <f>'Page de garde'!A16</f>
        <v>estradiol 68ng/L</v>
      </c>
      <c r="K4" s="35" t="str">
        <f>'Page de garde'!A17</f>
        <v>estradiol 135ng/L</v>
      </c>
      <c r="L4" s="35" t="str">
        <f>'Page de garde'!A18</f>
        <v>estradiol 270ng/L</v>
      </c>
      <c r="M4" s="35" t="str">
        <f>'Page de garde'!A19</f>
        <v>estradiol 540ng/L</v>
      </c>
      <c r="N4" s="3"/>
      <c r="O4" s="36" t="str">
        <f>'Page de garde'!A36</f>
        <v>Testo -30µg/L</v>
      </c>
      <c r="P4" s="36" t="str">
        <f>'Page de garde'!A37</f>
        <v>Testo 30µg/L + EE2 -64ng/L</v>
      </c>
      <c r="Q4" s="36" t="str">
        <f>'Page de garde'!A38</f>
        <v>Testo 30µg/L + FAD-10µg/L</v>
      </c>
      <c r="R4" s="36" t="str">
        <f>'Page de garde'!A39</f>
        <v>estradiol-34ng/L + Testosterone</v>
      </c>
      <c r="S4" s="36" t="str">
        <f>'Page de garde'!A40</f>
        <v>estradiol-68ng/L + Testosterone</v>
      </c>
      <c r="T4" s="36" t="str">
        <f>'Page de garde'!A41</f>
        <v>estradiol-135ng/L + Testosterone</v>
      </c>
      <c r="U4" s="36" t="str">
        <f>'Page de garde'!A42</f>
        <v>estradiol-270ng/L + Testosterone</v>
      </c>
      <c r="V4" s="36" t="str">
        <f>'Page de garde'!A43</f>
        <v>estradiol-540ng/L + Testosterone</v>
      </c>
    </row>
    <row r="5" spans="1:22" x14ac:dyDescent="0.25">
      <c r="A5" s="228" t="s">
        <v>33</v>
      </c>
      <c r="B5" s="195">
        <v>368025.66666666669</v>
      </c>
      <c r="C5" s="195">
        <v>387189.33333333331</v>
      </c>
      <c r="D5" s="195">
        <v>797804.33333333337</v>
      </c>
      <c r="E5" s="195">
        <v>310432.33333333331</v>
      </c>
      <c r="F5" s="195">
        <v>839355</v>
      </c>
      <c r="G5" s="195">
        <v>3516624.3333333335</v>
      </c>
      <c r="H5" s="195">
        <v>5310701.5</v>
      </c>
      <c r="I5" s="195">
        <v>231259.66666666666</v>
      </c>
      <c r="J5" s="195">
        <v>70967.5</v>
      </c>
      <c r="K5" s="195">
        <v>718148.33333333337</v>
      </c>
      <c r="L5" s="195">
        <v>2709079.3333333335</v>
      </c>
      <c r="M5" s="195">
        <v>5120553</v>
      </c>
      <c r="N5" s="3"/>
      <c r="O5" s="195">
        <v>1417500.6666666667</v>
      </c>
      <c r="P5" s="195">
        <v>4569683</v>
      </c>
      <c r="Q5" s="195">
        <v>145381.66666666666</v>
      </c>
      <c r="R5" s="195">
        <v>2942574.3333333335</v>
      </c>
      <c r="S5" s="195">
        <v>6244096.333333333</v>
      </c>
      <c r="T5" s="195"/>
      <c r="U5" s="195">
        <v>4518874.333333333</v>
      </c>
      <c r="V5" s="195"/>
    </row>
    <row r="6" spans="1:22" x14ac:dyDescent="0.25">
      <c r="A6" s="228"/>
      <c r="B6" s="195">
        <v>211302.33333333334</v>
      </c>
      <c r="C6" s="195">
        <v>236630.66666666666</v>
      </c>
      <c r="D6" s="195">
        <v>28292</v>
      </c>
      <c r="E6" s="195">
        <v>104829.5</v>
      </c>
      <c r="F6" s="195">
        <v>156290.66666666666</v>
      </c>
      <c r="G6" s="195">
        <v>2300555.6666666665</v>
      </c>
      <c r="H6" s="195">
        <v>6015165.333333333</v>
      </c>
      <c r="I6" s="195">
        <v>179932</v>
      </c>
      <c r="J6" s="195"/>
      <c r="K6" s="195">
        <v>1125331</v>
      </c>
      <c r="L6" s="195">
        <v>465857.66666666669</v>
      </c>
      <c r="M6" s="195">
        <v>6081908</v>
      </c>
      <c r="N6" s="3"/>
      <c r="O6" s="195">
        <v>2886682.6666666665</v>
      </c>
      <c r="P6" s="195">
        <v>3626561.6666666665</v>
      </c>
      <c r="Q6" s="195">
        <v>122439.66666666667</v>
      </c>
      <c r="R6" s="195">
        <v>4053961.5</v>
      </c>
      <c r="S6" s="195">
        <v>272998</v>
      </c>
      <c r="T6" s="195">
        <v>6040653</v>
      </c>
      <c r="U6" s="195">
        <v>1954477.3333333333</v>
      </c>
      <c r="V6" s="195">
        <v>5295603.666666667</v>
      </c>
    </row>
    <row r="7" spans="1:22" x14ac:dyDescent="0.25">
      <c r="A7" s="228"/>
      <c r="B7" s="195">
        <v>31179.5</v>
      </c>
      <c r="C7" s="195">
        <v>178403.66666666666</v>
      </c>
      <c r="D7" s="195">
        <v>41421.333333333336</v>
      </c>
      <c r="E7" s="195">
        <v>181669.66666666666</v>
      </c>
      <c r="F7" s="195">
        <v>1417342.5</v>
      </c>
      <c r="G7" s="195">
        <v>4708078.333333333</v>
      </c>
      <c r="H7" s="195">
        <v>4749045.333333333</v>
      </c>
      <c r="I7" s="195">
        <v>195094.33333333334</v>
      </c>
      <c r="J7" s="195">
        <v>41933</v>
      </c>
      <c r="K7" s="195">
        <v>1125172.3333333333</v>
      </c>
      <c r="L7" s="195">
        <v>4969345.666666667</v>
      </c>
      <c r="M7" s="195">
        <v>6900736.666666667</v>
      </c>
      <c r="N7" s="3"/>
      <c r="O7" s="195">
        <v>3153674.6666666665</v>
      </c>
      <c r="P7" s="195">
        <v>3966519</v>
      </c>
      <c r="Q7" s="195">
        <v>431062.33333333331</v>
      </c>
      <c r="R7" s="195">
        <v>2691375.5</v>
      </c>
      <c r="S7" s="195">
        <v>4512645</v>
      </c>
      <c r="T7" s="195">
        <v>5145787.666666667</v>
      </c>
      <c r="U7" s="195">
        <v>3715806.6666666665</v>
      </c>
      <c r="V7" s="195">
        <v>3456240.6666666665</v>
      </c>
    </row>
    <row r="8" spans="1:22" x14ac:dyDescent="0.25">
      <c r="A8" s="228"/>
      <c r="B8" s="195">
        <v>97543.666666666672</v>
      </c>
      <c r="C8" s="195">
        <v>102114.66666666667</v>
      </c>
      <c r="D8" s="195">
        <v>123045.33333333333</v>
      </c>
      <c r="E8" s="195">
        <v>5450012.333333333</v>
      </c>
      <c r="F8" s="195">
        <v>2616640.3333333335</v>
      </c>
      <c r="G8" s="195">
        <v>1361948</v>
      </c>
      <c r="H8" s="195">
        <v>4232134</v>
      </c>
      <c r="I8" s="195">
        <v>256184.33333333334</v>
      </c>
      <c r="J8" s="195">
        <v>131805</v>
      </c>
      <c r="K8" s="195">
        <v>173630.33333333334</v>
      </c>
      <c r="L8" s="195">
        <v>3924881.3333333335</v>
      </c>
      <c r="M8" s="195">
        <v>8072601</v>
      </c>
      <c r="N8" s="3"/>
      <c r="O8" s="195">
        <v>1619956.6666666667</v>
      </c>
      <c r="P8" s="195">
        <v>2351032.3333333335</v>
      </c>
      <c r="Q8" s="195">
        <v>52322.666666666664</v>
      </c>
      <c r="R8" s="195">
        <v>573527.5</v>
      </c>
      <c r="S8" s="195">
        <v>1914797</v>
      </c>
      <c r="T8" s="195">
        <v>3529501.3333333335</v>
      </c>
      <c r="U8" s="195">
        <v>3273814.5</v>
      </c>
      <c r="V8" s="195">
        <v>4665467.333333333</v>
      </c>
    </row>
    <row r="9" spans="1:22" x14ac:dyDescent="0.25">
      <c r="A9" s="228"/>
      <c r="B9" s="195">
        <v>29135.333333333332</v>
      </c>
      <c r="C9" s="195">
        <v>48025.666666666664</v>
      </c>
      <c r="D9" s="195">
        <v>40199</v>
      </c>
      <c r="E9" s="195">
        <v>147609.66666666666</v>
      </c>
      <c r="F9" s="195">
        <v>1308197.6666666667</v>
      </c>
      <c r="G9" s="195">
        <v>2593309</v>
      </c>
      <c r="H9" s="195">
        <v>5635965</v>
      </c>
      <c r="I9" s="195">
        <v>324982</v>
      </c>
      <c r="J9" s="195">
        <v>127191</v>
      </c>
      <c r="K9" s="195">
        <v>2496342.3333333335</v>
      </c>
      <c r="L9" s="195">
        <v>3971839.6666666665</v>
      </c>
      <c r="M9" s="195">
        <v>3999331.3333333335</v>
      </c>
      <c r="N9" s="3"/>
      <c r="O9" s="195">
        <v>861958.33333333337</v>
      </c>
      <c r="P9" s="195">
        <v>3157474.3333333335</v>
      </c>
      <c r="Q9" s="195">
        <v>217063</v>
      </c>
      <c r="R9" s="195">
        <v>1515130.5</v>
      </c>
      <c r="S9" s="195">
        <v>4279965</v>
      </c>
      <c r="T9" s="195">
        <v>4607535</v>
      </c>
      <c r="U9" s="195">
        <v>2651313</v>
      </c>
      <c r="V9" s="195">
        <v>6345749.666666667</v>
      </c>
    </row>
    <row r="10" spans="1:22" x14ac:dyDescent="0.25">
      <c r="A10" s="228"/>
      <c r="B10" s="195">
        <v>42618</v>
      </c>
      <c r="C10" s="195">
        <v>191836</v>
      </c>
      <c r="D10" s="195">
        <v>438005.33333333331</v>
      </c>
      <c r="E10" s="195"/>
      <c r="F10" s="195">
        <v>821644</v>
      </c>
      <c r="G10" s="195">
        <v>284512.66666666669</v>
      </c>
      <c r="H10" s="195">
        <v>6949916</v>
      </c>
      <c r="I10" s="195">
        <v>247063.66666666666</v>
      </c>
      <c r="J10" s="195">
        <v>2380413</v>
      </c>
      <c r="K10" s="195">
        <v>394738.33333333331</v>
      </c>
      <c r="L10" s="195">
        <v>2341768</v>
      </c>
      <c r="M10" s="195">
        <v>6444908</v>
      </c>
      <c r="N10" s="3"/>
      <c r="O10" s="195">
        <v>1710831</v>
      </c>
      <c r="P10" s="195">
        <v>3706534.6666666665</v>
      </c>
      <c r="Q10" s="195">
        <v>169405.33333333334</v>
      </c>
      <c r="R10" s="195">
        <v>1244108.5</v>
      </c>
      <c r="S10" s="195">
        <v>2490379.6666666665</v>
      </c>
      <c r="T10" s="195">
        <v>1517452.6666666667</v>
      </c>
      <c r="U10" s="195">
        <v>3117697</v>
      </c>
      <c r="V10" s="195">
        <v>6444180</v>
      </c>
    </row>
    <row r="11" spans="1:22" x14ac:dyDescent="0.25">
      <c r="A11" s="228"/>
      <c r="B11" s="195">
        <v>61133.333333333336</v>
      </c>
      <c r="C11" s="195">
        <v>57622</v>
      </c>
      <c r="D11" s="195">
        <v>566321</v>
      </c>
      <c r="E11" s="195">
        <v>248376</v>
      </c>
      <c r="F11" s="195">
        <v>1468316.3333333333</v>
      </c>
      <c r="G11" s="195">
        <v>1320101.3333333333</v>
      </c>
      <c r="H11" s="195">
        <v>5164887.333333333</v>
      </c>
      <c r="I11" s="195">
        <v>89721</v>
      </c>
      <c r="J11" s="195">
        <v>115503.66666666667</v>
      </c>
      <c r="K11" s="195">
        <v>45559.666666666664</v>
      </c>
      <c r="L11" s="195">
        <v>6461692.666666667</v>
      </c>
      <c r="M11" s="195">
        <v>7010270.666666667</v>
      </c>
      <c r="N11" s="3"/>
      <c r="O11" s="195">
        <v>1497906</v>
      </c>
      <c r="P11" s="195">
        <v>3698589.3333333335</v>
      </c>
      <c r="Q11" s="195">
        <v>100730.33333333333</v>
      </c>
      <c r="R11" s="195">
        <v>2852961.3333333335</v>
      </c>
      <c r="S11" s="195">
        <v>4117228.5</v>
      </c>
      <c r="T11" s="195">
        <v>4708049.333333333</v>
      </c>
      <c r="U11" s="195">
        <v>4351841</v>
      </c>
      <c r="V11" s="195">
        <v>4942690.333333333</v>
      </c>
    </row>
    <row r="12" spans="1:22" x14ac:dyDescent="0.25">
      <c r="A12" s="228"/>
      <c r="B12" s="195">
        <v>242802.66666666666</v>
      </c>
      <c r="C12" s="195">
        <v>49828</v>
      </c>
      <c r="D12" s="195">
        <v>15696.333333333334</v>
      </c>
      <c r="E12" s="195">
        <v>623294.66666666663</v>
      </c>
      <c r="F12" s="195">
        <v>2156554.5</v>
      </c>
      <c r="G12" s="195">
        <v>2996987.6666666665</v>
      </c>
      <c r="H12" s="195">
        <v>6336362.333333333</v>
      </c>
      <c r="I12" s="195">
        <v>96995.666666666672</v>
      </c>
      <c r="J12" s="195">
        <v>79937</v>
      </c>
      <c r="K12" s="195">
        <v>425081.5</v>
      </c>
      <c r="L12" s="195">
        <v>5566100.333333333</v>
      </c>
      <c r="M12" s="195">
        <v>3948573.3333333335</v>
      </c>
      <c r="N12" s="3"/>
      <c r="O12" s="195">
        <v>55091</v>
      </c>
      <c r="P12" s="195">
        <v>4024732</v>
      </c>
      <c r="Q12" s="195">
        <v>265319.33333333331</v>
      </c>
      <c r="R12" s="195">
        <v>2009006.3333333333</v>
      </c>
      <c r="S12" s="195">
        <v>2359302.3333333335</v>
      </c>
      <c r="T12" s="195">
        <v>2563452.3333333335</v>
      </c>
      <c r="U12" s="195">
        <v>4454821</v>
      </c>
      <c r="V12" s="195">
        <v>6848911.666666667</v>
      </c>
    </row>
    <row r="13" spans="1:22" ht="16.5" x14ac:dyDescent="0.25">
      <c r="A13" s="228"/>
      <c r="B13" s="14"/>
      <c r="C13" s="13"/>
      <c r="D13" s="32"/>
      <c r="E13" s="32"/>
      <c r="F13" s="32"/>
      <c r="G13" s="32"/>
      <c r="H13" s="32"/>
      <c r="I13" s="32"/>
      <c r="J13" s="32"/>
      <c r="K13" s="13"/>
      <c r="L13" s="13"/>
      <c r="M13" s="13"/>
      <c r="N13" s="3"/>
      <c r="O13" s="195">
        <v>1034622.5</v>
      </c>
      <c r="P13" s="13"/>
      <c r="Q13" s="13"/>
      <c r="R13" s="32"/>
      <c r="S13" s="32"/>
      <c r="T13" s="32"/>
      <c r="U13" s="32"/>
      <c r="V13" s="32"/>
    </row>
    <row r="14" spans="1:22" ht="16.5" x14ac:dyDescent="0.25">
      <c r="A14" s="228"/>
      <c r="B14" s="14"/>
      <c r="C14" s="32"/>
      <c r="D14" s="32"/>
      <c r="E14" s="32"/>
      <c r="F14" s="32"/>
      <c r="G14" s="32"/>
      <c r="H14" s="32"/>
      <c r="I14" s="32"/>
      <c r="J14" s="32"/>
      <c r="K14" s="13"/>
      <c r="L14" s="13"/>
      <c r="M14" s="13"/>
      <c r="N14" s="3"/>
      <c r="O14" s="195">
        <v>3215082</v>
      </c>
      <c r="P14" s="13"/>
      <c r="Q14" s="13"/>
      <c r="R14" s="32"/>
      <c r="S14" s="32"/>
      <c r="T14" s="32"/>
      <c r="U14" s="32"/>
      <c r="V14" s="32"/>
    </row>
    <row r="15" spans="1:22" ht="16.5" x14ac:dyDescent="0.25">
      <c r="A15" s="228"/>
      <c r="B15" s="14"/>
      <c r="C15" s="32"/>
      <c r="D15" s="32"/>
      <c r="E15" s="32"/>
      <c r="F15" s="32"/>
      <c r="G15" s="32"/>
      <c r="H15" s="32"/>
      <c r="I15" s="32"/>
      <c r="J15" s="32"/>
      <c r="K15" s="13"/>
      <c r="L15" s="13"/>
      <c r="M15" s="13"/>
      <c r="N15" s="3"/>
      <c r="O15" s="195">
        <v>1769325.3333333333</v>
      </c>
      <c r="P15" s="13"/>
      <c r="Q15" s="13"/>
      <c r="R15" s="32"/>
      <c r="S15" s="32"/>
      <c r="T15" s="32"/>
      <c r="U15" s="32"/>
      <c r="V15" s="32"/>
    </row>
    <row r="16" spans="1:22" ht="16.5" x14ac:dyDescent="0.25">
      <c r="A16" s="228"/>
      <c r="B16" s="14"/>
      <c r="C16" s="32"/>
      <c r="D16" s="32"/>
      <c r="E16" s="32"/>
      <c r="F16" s="32"/>
      <c r="G16" s="32"/>
      <c r="H16" s="32"/>
      <c r="I16" s="32"/>
      <c r="J16" s="32"/>
      <c r="K16" s="13"/>
      <c r="L16" s="13"/>
      <c r="M16" s="13"/>
      <c r="N16" s="3"/>
      <c r="O16" s="195">
        <v>2017881.6666666667</v>
      </c>
      <c r="P16" s="13"/>
      <c r="Q16" s="13"/>
      <c r="R16" s="32"/>
      <c r="S16" s="32"/>
      <c r="T16" s="32"/>
      <c r="U16" s="32"/>
      <c r="V16" s="32"/>
    </row>
    <row r="17" spans="1:22" ht="16.5" x14ac:dyDescent="0.25">
      <c r="A17" s="228"/>
      <c r="B17" s="14"/>
      <c r="C17" s="32"/>
      <c r="D17" s="32"/>
      <c r="E17" s="32"/>
      <c r="F17" s="32"/>
      <c r="G17" s="32"/>
      <c r="H17" s="32"/>
      <c r="I17" s="32"/>
      <c r="J17" s="32"/>
      <c r="K17" s="13"/>
      <c r="L17" s="13"/>
      <c r="M17" s="13"/>
      <c r="N17" s="3"/>
      <c r="O17" s="195">
        <v>16092.666666666666</v>
      </c>
      <c r="P17" s="13"/>
      <c r="Q17" s="13"/>
      <c r="R17" s="32"/>
      <c r="S17" s="32"/>
      <c r="T17" s="32"/>
      <c r="U17" s="32"/>
      <c r="V17" s="32"/>
    </row>
    <row r="18" spans="1:22" ht="16.5" x14ac:dyDescent="0.25">
      <c r="A18" s="228"/>
      <c r="B18" s="14"/>
      <c r="C18" s="32"/>
      <c r="D18" s="32"/>
      <c r="E18" s="32"/>
      <c r="F18" s="32"/>
      <c r="G18" s="32"/>
      <c r="H18" s="32"/>
      <c r="I18" s="32"/>
      <c r="J18" s="32"/>
      <c r="K18" s="13"/>
      <c r="L18" s="13"/>
      <c r="M18" s="13"/>
      <c r="N18" s="3"/>
      <c r="O18" s="195">
        <v>2131575.6666666665</v>
      </c>
      <c r="P18" s="13"/>
      <c r="Q18" s="13"/>
      <c r="R18" s="32"/>
      <c r="S18" s="32"/>
      <c r="T18" s="32"/>
      <c r="U18" s="32"/>
      <c r="V18" s="32"/>
    </row>
    <row r="19" spans="1:22" ht="16.5" x14ac:dyDescent="0.25">
      <c r="A19" s="228"/>
      <c r="B19" s="14"/>
      <c r="C19" s="32"/>
      <c r="D19" s="32"/>
      <c r="E19" s="32"/>
      <c r="F19" s="32"/>
      <c r="G19" s="32"/>
      <c r="H19" s="32"/>
      <c r="I19" s="32"/>
      <c r="J19" s="32"/>
      <c r="K19" s="13"/>
      <c r="L19" s="13"/>
      <c r="M19" s="13"/>
      <c r="N19" s="3"/>
      <c r="O19" s="195"/>
      <c r="P19" s="13"/>
      <c r="Q19" s="13"/>
      <c r="R19" s="32"/>
      <c r="S19" s="32"/>
      <c r="T19" s="32"/>
      <c r="U19" s="32"/>
      <c r="V19" s="32"/>
    </row>
    <row r="20" spans="1:22" ht="16.5" x14ac:dyDescent="0.25">
      <c r="A20" s="228"/>
      <c r="B20" s="14"/>
      <c r="C20" s="32"/>
      <c r="D20" s="32"/>
      <c r="E20" s="32"/>
      <c r="F20" s="32"/>
      <c r="G20" s="32"/>
      <c r="H20" s="32"/>
      <c r="I20" s="32"/>
      <c r="J20" s="32"/>
      <c r="K20" s="13"/>
      <c r="L20" s="13"/>
      <c r="M20" s="13"/>
      <c r="N20" s="3"/>
      <c r="O20" s="195">
        <v>1943698.3333333333</v>
      </c>
      <c r="P20" s="13"/>
      <c r="Q20" s="13"/>
      <c r="R20" s="32"/>
      <c r="S20" s="32"/>
      <c r="T20" s="32"/>
      <c r="U20" s="32"/>
      <c r="V20" s="32"/>
    </row>
    <row r="21" spans="1:22" x14ac:dyDescent="0.25">
      <c r="A21" s="3"/>
      <c r="B21" s="7"/>
      <c r="C21" s="7"/>
      <c r="D21" s="7"/>
      <c r="E21" s="7"/>
      <c r="F21" s="7"/>
      <c r="G21" s="7"/>
      <c r="H21" s="7"/>
      <c r="I21" s="7"/>
      <c r="J21" s="7"/>
      <c r="N21" s="3"/>
      <c r="O21" s="7"/>
      <c r="R21" s="7"/>
      <c r="S21" s="7"/>
      <c r="T21" s="7"/>
      <c r="U21" s="7"/>
      <c r="V21" s="7"/>
    </row>
    <row r="22" spans="1:22" x14ac:dyDescent="0.25">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estradiol 34ng/L</v>
      </c>
      <c r="J22" s="3" t="str">
        <f t="shared" si="0"/>
        <v>estradiol 68ng/L</v>
      </c>
      <c r="K22" s="3" t="str">
        <f t="shared" si="0"/>
        <v>estradiol 135ng/L</v>
      </c>
      <c r="L22" s="3" t="str">
        <f t="shared" si="0"/>
        <v>estradiol 270ng/L</v>
      </c>
      <c r="M22" s="3" t="str">
        <f t="shared" si="0"/>
        <v>estradiol 540ng/L</v>
      </c>
      <c r="N22" s="3" t="s">
        <v>41</v>
      </c>
      <c r="O22" s="3" t="str">
        <f t="shared" si="0"/>
        <v>Testo -30µg/L</v>
      </c>
      <c r="P22" s="3" t="str">
        <f t="shared" si="0"/>
        <v>Testo 30µg/L + EE2 -64ng/L</v>
      </c>
      <c r="Q22" s="3" t="str">
        <f t="shared" si="0"/>
        <v>Testo 30µg/L + FAD-10µg/L</v>
      </c>
      <c r="R22" s="3" t="str">
        <f t="shared" si="0"/>
        <v>estradiol-34ng/L + Testosterone</v>
      </c>
      <c r="S22" s="3" t="str">
        <f t="shared" si="0"/>
        <v>estradiol-68ng/L + Testosterone</v>
      </c>
      <c r="T22" s="3" t="str">
        <f t="shared" si="0"/>
        <v>estradiol-135ng/L + Testosterone</v>
      </c>
      <c r="U22" s="3" t="str">
        <f t="shared" si="0"/>
        <v>estradiol-270ng/L + Testosterone</v>
      </c>
      <c r="V22" s="3" t="str">
        <f t="shared" si="0"/>
        <v>estradiol-540ng/L + Testosterone</v>
      </c>
    </row>
    <row r="23" spans="1:22" x14ac:dyDescent="0.25">
      <c r="A23" s="5" t="s">
        <v>0</v>
      </c>
      <c r="B23" s="5">
        <f t="shared" ref="B23:J23" si="1">AVERAGE(B5:B20)</f>
        <v>135467.5625</v>
      </c>
      <c r="C23" s="5">
        <f t="shared" si="1"/>
        <v>156456.25</v>
      </c>
      <c r="D23" s="5">
        <f t="shared" si="1"/>
        <v>256348.08333333334</v>
      </c>
      <c r="E23" s="5">
        <f t="shared" si="1"/>
        <v>1009460.5952380953</v>
      </c>
      <c r="F23" s="5">
        <f t="shared" si="1"/>
        <v>1348042.625</v>
      </c>
      <c r="G23" s="5">
        <f t="shared" si="1"/>
        <v>2385264.625</v>
      </c>
      <c r="H23" s="5">
        <f t="shared" si="1"/>
        <v>5549272.104166667</v>
      </c>
      <c r="I23" s="5">
        <f t="shared" si="1"/>
        <v>202654.08333333337</v>
      </c>
      <c r="J23" s="5">
        <f t="shared" si="1"/>
        <v>421107.16666666663</v>
      </c>
      <c r="K23" s="5"/>
      <c r="L23" s="5">
        <f>AVERAGE(L5:L20)</f>
        <v>3801320.583333333</v>
      </c>
      <c r="M23" s="5"/>
      <c r="N23" s="5" t="s">
        <v>0</v>
      </c>
      <c r="O23" s="5">
        <f>AVERAGE(O5:O20)</f>
        <v>1688791.9444444445</v>
      </c>
      <c r="P23" s="5">
        <f>AVERAGE(P5:P20)</f>
        <v>3637640.7916666665</v>
      </c>
      <c r="Q23" s="5">
        <f>AVERAGE(Q5:Q20)</f>
        <v>187965.54166666663</v>
      </c>
      <c r="R23" s="5">
        <f>AVERAGE(R5:R20)</f>
        <v>2235330.6875</v>
      </c>
      <c r="S23" s="5">
        <f>AVERAGE(S5:S20)</f>
        <v>3273926.4791666665</v>
      </c>
      <c r="T23" s="5">
        <f t="shared" ref="T23:V23" si="2">AVERAGE(T5:T20)</f>
        <v>4016061.6190476189</v>
      </c>
      <c r="U23" s="5">
        <f t="shared" si="2"/>
        <v>3504830.6041666665</v>
      </c>
      <c r="V23" s="5">
        <f t="shared" si="2"/>
        <v>5428406.1904761912</v>
      </c>
    </row>
    <row r="24" spans="1:22" x14ac:dyDescent="0.25">
      <c r="A24" s="3" t="s">
        <v>1</v>
      </c>
      <c r="B24" s="3">
        <f t="shared" ref="B24:J24" si="3">STDEV(B5:B20)</f>
        <v>124855.56945320313</v>
      </c>
      <c r="C24" s="3">
        <f t="shared" si="3"/>
        <v>117866.20768181884</v>
      </c>
      <c r="D24" s="3">
        <f t="shared" si="3"/>
        <v>303047.34080451931</v>
      </c>
      <c r="E24" s="3">
        <f t="shared" si="3"/>
        <v>1965616.7987901682</v>
      </c>
      <c r="F24" s="3">
        <f t="shared" si="3"/>
        <v>778278.20937556215</v>
      </c>
      <c r="G24" s="3">
        <f t="shared" si="3"/>
        <v>1398724.4191923691</v>
      </c>
      <c r="H24" s="3">
        <f t="shared" si="3"/>
        <v>877152.02839182236</v>
      </c>
      <c r="I24" s="3">
        <f t="shared" si="3"/>
        <v>80277.307383753781</v>
      </c>
      <c r="J24" s="3">
        <f t="shared" si="3"/>
        <v>864592.70004980767</v>
      </c>
      <c r="K24" s="3"/>
      <c r="L24" s="3">
        <f>STDEV(L5:L20)</f>
        <v>1929072.7365380849</v>
      </c>
      <c r="M24" s="3"/>
      <c r="N24" s="3" t="s">
        <v>1</v>
      </c>
      <c r="O24" s="3">
        <f>STDEV(O5:O20)</f>
        <v>962881.04956593085</v>
      </c>
      <c r="P24" s="3">
        <f>STDEV(P5:P20)</f>
        <v>656963.59413356264</v>
      </c>
      <c r="Q24" s="3">
        <f>STDEV(Q5:Q20)</f>
        <v>118554.87001772079</v>
      </c>
      <c r="R24" s="3">
        <f>STDEV(R5:R20)</f>
        <v>1115544.6059320171</v>
      </c>
      <c r="S24" s="3">
        <f>STDEV(S5:S20)</f>
        <v>1866352.1316014053</v>
      </c>
      <c r="T24" s="3">
        <f t="shared" ref="T24:V24" si="4">STDEV(T5:T20)</f>
        <v>1570233.5444708653</v>
      </c>
      <c r="U24" s="3">
        <f t="shared" si="4"/>
        <v>927980.32455288933</v>
      </c>
      <c r="V24" s="3">
        <f t="shared" si="4"/>
        <v>1198347.4906833442</v>
      </c>
    </row>
    <row r="25" spans="1:22" ht="15.75" thickBot="1" x14ac:dyDescent="0.3"/>
    <row r="26" spans="1:22" ht="15.75" thickBot="1" x14ac:dyDescent="0.3">
      <c r="B26" s="226" t="s">
        <v>6</v>
      </c>
      <c r="C26" s="227"/>
      <c r="D26" s="227"/>
      <c r="E26" s="227"/>
      <c r="F26" s="227"/>
      <c r="G26" s="227"/>
      <c r="H26" s="227"/>
      <c r="I26" s="227"/>
      <c r="J26" s="227"/>
      <c r="K26" s="227"/>
      <c r="L26" s="227"/>
      <c r="M26" s="227"/>
      <c r="O26" s="226" t="s">
        <v>3</v>
      </c>
      <c r="P26" s="227"/>
      <c r="Q26" s="227"/>
      <c r="R26" s="227"/>
      <c r="S26" s="227"/>
      <c r="T26" s="227"/>
      <c r="U26" s="227"/>
      <c r="V26" s="227"/>
    </row>
    <row r="27" spans="1:22" x14ac:dyDescent="0.25">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estradiol 34ng/L</v>
      </c>
      <c r="J27" s="35" t="str">
        <f t="shared" si="5"/>
        <v>estradiol 68ng/L</v>
      </c>
      <c r="K27" s="35" t="str">
        <f t="shared" si="5"/>
        <v>estradiol 135ng/L</v>
      </c>
      <c r="L27" s="35" t="str">
        <f t="shared" si="5"/>
        <v>estradiol 270ng/L</v>
      </c>
      <c r="M27" s="35" t="str">
        <f t="shared" si="5"/>
        <v>estradiol 540ng/L</v>
      </c>
      <c r="N27" s="3"/>
      <c r="O27" s="36" t="str">
        <f>O4</f>
        <v>Testo -30µg/L</v>
      </c>
      <c r="P27" s="36" t="str">
        <f t="shared" ref="P27:V27" si="6">P4</f>
        <v>Testo 30µg/L + EE2 -64ng/L</v>
      </c>
      <c r="Q27" s="36" t="str">
        <f t="shared" si="6"/>
        <v>Testo 30µg/L + FAD-10µg/L</v>
      </c>
      <c r="R27" s="36" t="str">
        <f t="shared" si="6"/>
        <v>estradiol-34ng/L + Testosterone</v>
      </c>
      <c r="S27" s="36" t="str">
        <f t="shared" si="6"/>
        <v>estradiol-68ng/L + Testosterone</v>
      </c>
      <c r="T27" s="36" t="str">
        <f t="shared" si="6"/>
        <v>estradiol-135ng/L + Testosterone</v>
      </c>
      <c r="U27" s="36" t="str">
        <f t="shared" si="6"/>
        <v>estradiol-270ng/L + Testosterone</v>
      </c>
      <c r="V27" s="36" t="str">
        <f t="shared" si="6"/>
        <v>estradiol-540ng/L + Testosterone</v>
      </c>
    </row>
    <row r="28" spans="1:22" x14ac:dyDescent="0.25">
      <c r="A28" s="229" t="s">
        <v>34</v>
      </c>
      <c r="B28" s="11">
        <f t="shared" ref="B28:M28" si="7">IF(B5="","",(B5/$O$23))</f>
        <v>0.21792244324550866</v>
      </c>
      <c r="C28" s="11">
        <f t="shared" si="7"/>
        <v>0.22927000250507798</v>
      </c>
      <c r="D28" s="11">
        <f t="shared" si="7"/>
        <v>0.4724112617648612</v>
      </c>
      <c r="E28" s="11">
        <f t="shared" si="7"/>
        <v>0.18381916988327124</v>
      </c>
      <c r="F28" s="11">
        <f t="shared" si="7"/>
        <v>0.49701504247529998</v>
      </c>
      <c r="G28" s="11">
        <f t="shared" si="7"/>
        <v>2.0823313048725987</v>
      </c>
      <c r="H28" s="11">
        <f t="shared" si="7"/>
        <v>3.1446748176827914</v>
      </c>
      <c r="I28" s="11">
        <f t="shared" si="7"/>
        <v>0.1369379262066194</v>
      </c>
      <c r="J28" s="11">
        <f t="shared" si="7"/>
        <v>4.2022642418125644E-2</v>
      </c>
      <c r="K28" s="11">
        <f t="shared" si="7"/>
        <v>0.42524381744938977</v>
      </c>
      <c r="L28" s="11">
        <f t="shared" si="7"/>
        <v>1.6041522120266443</v>
      </c>
      <c r="M28" s="11">
        <f t="shared" si="7"/>
        <v>3.0320804269850359</v>
      </c>
      <c r="N28" s="6"/>
      <c r="O28" s="11">
        <f t="shared" ref="O28:V39" si="8">IF(O5="","",(O5/$O$23))</f>
        <v>0.83935778550446405</v>
      </c>
      <c r="P28" s="11">
        <f t="shared" si="8"/>
        <v>2.7058886768335877</v>
      </c>
      <c r="Q28" s="11">
        <f t="shared" si="8"/>
        <v>8.6086191460661141E-2</v>
      </c>
      <c r="R28" s="11">
        <f t="shared" si="8"/>
        <v>1.7424137668428665</v>
      </c>
      <c r="S28" s="11">
        <f t="shared" si="8"/>
        <v>3.6973745367949573</v>
      </c>
      <c r="T28" s="11" t="str">
        <f t="shared" si="8"/>
        <v/>
      </c>
      <c r="U28" s="11">
        <f t="shared" si="8"/>
        <v>2.6758028709213733</v>
      </c>
      <c r="V28" s="11" t="str">
        <f t="shared" si="8"/>
        <v/>
      </c>
    </row>
    <row r="29" spans="1:22" x14ac:dyDescent="0.25">
      <c r="A29" s="229"/>
      <c r="B29" s="11">
        <f t="shared" ref="B29:M29" si="9">IF(B6="","",(B6/$O$23))</f>
        <v>0.12512040576013328</v>
      </c>
      <c r="C29" s="11">
        <f t="shared" si="9"/>
        <v>0.14011830613303294</v>
      </c>
      <c r="D29" s="11">
        <f t="shared" si="9"/>
        <v>1.6752803738240896E-2</v>
      </c>
      <c r="E29" s="11">
        <f t="shared" si="9"/>
        <v>6.2073661794073372E-2</v>
      </c>
      <c r="F29" s="11">
        <f t="shared" si="9"/>
        <v>9.2545838568694153E-2</v>
      </c>
      <c r="G29" s="11">
        <f t="shared" si="9"/>
        <v>1.3622493133240705</v>
      </c>
      <c r="H29" s="11">
        <f t="shared" si="9"/>
        <v>3.5618155055281955</v>
      </c>
      <c r="I29" s="11">
        <f t="shared" si="9"/>
        <v>0.10654480002223811</v>
      </c>
      <c r="J29" s="11" t="str">
        <f t="shared" si="9"/>
        <v/>
      </c>
      <c r="K29" s="11">
        <f t="shared" si="9"/>
        <v>0.66635265741405225</v>
      </c>
      <c r="L29" s="11">
        <f t="shared" si="9"/>
        <v>0.27585261061860294</v>
      </c>
      <c r="M29" s="11">
        <f t="shared" si="9"/>
        <v>3.601336458293412</v>
      </c>
      <c r="N29" s="6"/>
      <c r="O29" s="11">
        <f t="shared" si="8"/>
        <v>1.7093181171090246</v>
      </c>
      <c r="P29" s="11">
        <f t="shared" si="8"/>
        <v>2.1474295152797422</v>
      </c>
      <c r="Q29" s="11">
        <f t="shared" si="8"/>
        <v>7.2501332724526454E-2</v>
      </c>
      <c r="R29" s="11">
        <f t="shared" si="8"/>
        <v>2.4005097332067251</v>
      </c>
      <c r="S29" s="11">
        <f t="shared" si="8"/>
        <v>0.16165283171682057</v>
      </c>
      <c r="T29" s="11">
        <f t="shared" si="8"/>
        <v>3.5769077534220304</v>
      </c>
      <c r="U29" s="11">
        <f t="shared" si="8"/>
        <v>1.157322747637981</v>
      </c>
      <c r="V29" s="11">
        <f t="shared" si="8"/>
        <v>3.1357347979349472</v>
      </c>
    </row>
    <row r="30" spans="1:22" x14ac:dyDescent="0.25">
      <c r="A30" s="229"/>
      <c r="B30" s="11">
        <f t="shared" ref="B30:M30" si="10">IF(B7="","",(B7/$O$23))</f>
        <v>1.8462605830499152E-2</v>
      </c>
      <c r="C30" s="11">
        <f t="shared" si="10"/>
        <v>0.10563981386431556</v>
      </c>
      <c r="D30" s="11">
        <f t="shared" si="10"/>
        <v>2.452719736708571E-2</v>
      </c>
      <c r="E30" s="11">
        <f t="shared" si="10"/>
        <v>0.10757374066373217</v>
      </c>
      <c r="F30" s="11">
        <f t="shared" si="10"/>
        <v>0.83926412881265711</v>
      </c>
      <c r="G30" s="11">
        <f t="shared" si="10"/>
        <v>2.7878379860949254</v>
      </c>
      <c r="H30" s="11">
        <f t="shared" si="10"/>
        <v>2.8120961548615204</v>
      </c>
      <c r="I30" s="11">
        <f t="shared" si="10"/>
        <v>0.11552301275188329</v>
      </c>
      <c r="J30" s="11">
        <f t="shared" si="10"/>
        <v>2.4830175284732626E-2</v>
      </c>
      <c r="K30" s="11">
        <f t="shared" si="10"/>
        <v>0.66625870465261894</v>
      </c>
      <c r="L30" s="11">
        <f t="shared" si="10"/>
        <v>2.94254462961772</v>
      </c>
      <c r="M30" s="11">
        <f t="shared" si="10"/>
        <v>4.0861970530874228</v>
      </c>
      <c r="N30" s="6"/>
      <c r="O30" s="11">
        <f t="shared" si="8"/>
        <v>1.867414560473948</v>
      </c>
      <c r="P30" s="11">
        <f t="shared" si="8"/>
        <v>2.3487315965998707</v>
      </c>
      <c r="Q30" s="11">
        <f t="shared" si="8"/>
        <v>0.25524892794010706</v>
      </c>
      <c r="R30" s="11">
        <f t="shared" si="8"/>
        <v>1.5936690773861855</v>
      </c>
      <c r="S30" s="11">
        <f t="shared" si="8"/>
        <v>2.6721142381363667</v>
      </c>
      <c r="T30" s="11">
        <f t="shared" si="8"/>
        <v>3.0470228636479297</v>
      </c>
      <c r="U30" s="11">
        <f t="shared" si="8"/>
        <v>2.2002749828896428</v>
      </c>
      <c r="V30" s="11">
        <f t="shared" si="8"/>
        <v>2.046575765615493</v>
      </c>
    </row>
    <row r="31" spans="1:22" x14ac:dyDescent="0.25">
      <c r="A31" s="229"/>
      <c r="B31" s="11">
        <f t="shared" ref="B31:M31" si="11">IF(B8="","",(B8/$O$23))</f>
        <v>5.7759433888557088E-2</v>
      </c>
      <c r="C31" s="11">
        <f t="shared" si="11"/>
        <v>6.0466102412786528E-2</v>
      </c>
      <c r="D31" s="11">
        <f t="shared" si="11"/>
        <v>7.2859971731929998E-2</v>
      </c>
      <c r="E31" s="11">
        <f t="shared" si="11"/>
        <v>3.2271662304300031</v>
      </c>
      <c r="F31" s="11">
        <f t="shared" si="11"/>
        <v>1.5494154516435237</v>
      </c>
      <c r="G31" s="11">
        <f t="shared" si="11"/>
        <v>0.80646287097729785</v>
      </c>
      <c r="H31" s="11">
        <f t="shared" si="11"/>
        <v>2.5060126642137845</v>
      </c>
      <c r="I31" s="11">
        <f t="shared" si="11"/>
        <v>0.15169679970116706</v>
      </c>
      <c r="J31" s="11">
        <f t="shared" si="11"/>
        <v>7.8046914206095053E-2</v>
      </c>
      <c r="K31" s="11">
        <f t="shared" si="11"/>
        <v>0.10281333583128374</v>
      </c>
      <c r="L31" s="11">
        <f t="shared" si="11"/>
        <v>2.3240762997744442</v>
      </c>
      <c r="M31" s="11">
        <f t="shared" si="11"/>
        <v>4.7801039237285163</v>
      </c>
      <c r="N31" s="6"/>
      <c r="O31" s="11">
        <f t="shared" si="8"/>
        <v>0.95923993005519559</v>
      </c>
      <c r="P31" s="11">
        <f t="shared" si="8"/>
        <v>1.3921385290043788</v>
      </c>
      <c r="Q31" s="11">
        <f t="shared" si="8"/>
        <v>3.0982304740847788E-2</v>
      </c>
      <c r="R31" s="11">
        <f t="shared" si="8"/>
        <v>0.33960814527018079</v>
      </c>
      <c r="S31" s="11">
        <f t="shared" si="8"/>
        <v>1.1338264647098986</v>
      </c>
      <c r="T31" s="11">
        <f t="shared" si="8"/>
        <v>2.0899562820300046</v>
      </c>
      <c r="U31" s="11">
        <f t="shared" si="8"/>
        <v>1.9385540716070708</v>
      </c>
      <c r="V31" s="11">
        <f t="shared" si="8"/>
        <v>2.7626063403968417</v>
      </c>
    </row>
    <row r="32" spans="1:22" x14ac:dyDescent="0.25">
      <c r="A32" s="229"/>
      <c r="B32" s="11">
        <f t="shared" ref="B32:M32" si="12">IF(B9="","",(B9/$O$23))</f>
        <v>1.7252174508043307E-2</v>
      </c>
      <c r="C32" s="11">
        <f t="shared" si="12"/>
        <v>2.843788237186641E-2</v>
      </c>
      <c r="D32" s="11">
        <f t="shared" si="12"/>
        <v>2.3803405820498579E-2</v>
      </c>
      <c r="E32" s="11">
        <f t="shared" si="12"/>
        <v>8.7405477715743876E-2</v>
      </c>
      <c r="F32" s="11">
        <f t="shared" si="12"/>
        <v>0.7746351887633024</v>
      </c>
      <c r="G32" s="11">
        <f t="shared" si="12"/>
        <v>1.5356000533583261</v>
      </c>
      <c r="H32" s="11">
        <f t="shared" si="12"/>
        <v>3.3372761035131786</v>
      </c>
      <c r="I32" s="11">
        <f t="shared" si="12"/>
        <v>0.19243459863074378</v>
      </c>
      <c r="J32" s="11">
        <f t="shared" si="12"/>
        <v>7.5314783693998216E-2</v>
      </c>
      <c r="K32" s="11">
        <f t="shared" si="12"/>
        <v>1.4781822838185943</v>
      </c>
      <c r="L32" s="11">
        <f t="shared" si="12"/>
        <v>2.3518821721838967</v>
      </c>
      <c r="M32" s="11">
        <f t="shared" si="12"/>
        <v>2.3681610671402025</v>
      </c>
      <c r="N32" s="6"/>
      <c r="O32" s="11">
        <f t="shared" si="8"/>
        <v>0.51039936338451009</v>
      </c>
      <c r="P32" s="11">
        <f t="shared" si="8"/>
        <v>1.869664492254572</v>
      </c>
      <c r="Q32" s="11">
        <f t="shared" si="8"/>
        <v>0.12853152261536066</v>
      </c>
      <c r="R32" s="11">
        <f t="shared" si="8"/>
        <v>0.89716824205863133</v>
      </c>
      <c r="S32" s="11">
        <f t="shared" si="8"/>
        <v>2.5343352768111194</v>
      </c>
      <c r="T32" s="11">
        <f t="shared" si="8"/>
        <v>2.7283023318279289</v>
      </c>
      <c r="U32" s="11">
        <f t="shared" si="8"/>
        <v>1.5699464985736846</v>
      </c>
      <c r="V32" s="11">
        <f t="shared" si="8"/>
        <v>3.7575674656324844</v>
      </c>
    </row>
    <row r="33" spans="1:22" x14ac:dyDescent="0.25">
      <c r="A33" s="229"/>
      <c r="B33" s="11">
        <f t="shared" ref="B33:M33" si="13">IF(B10="","",(B10/$O$23))</f>
        <v>2.5235790672852768E-2</v>
      </c>
      <c r="C33" s="11">
        <f t="shared" si="13"/>
        <v>0.1135936256867376</v>
      </c>
      <c r="D33" s="11">
        <f t="shared" si="13"/>
        <v>0.2593601507718124</v>
      </c>
      <c r="E33" s="11" t="str">
        <f t="shared" si="13"/>
        <v/>
      </c>
      <c r="F33" s="11">
        <f t="shared" si="13"/>
        <v>0.48652766417019661</v>
      </c>
      <c r="G33" s="11">
        <f t="shared" si="13"/>
        <v>0.16847111783225716</v>
      </c>
      <c r="H33" s="11">
        <f t="shared" si="13"/>
        <v>4.1153180667771885</v>
      </c>
      <c r="I33" s="11">
        <f t="shared" si="13"/>
        <v>0.14629609495676643</v>
      </c>
      <c r="J33" s="11">
        <f t="shared" si="13"/>
        <v>1.4095359750090917</v>
      </c>
      <c r="K33" s="11">
        <f t="shared" si="13"/>
        <v>0.23374006172393774</v>
      </c>
      <c r="L33" s="11">
        <f t="shared" si="13"/>
        <v>1.3866527535873359</v>
      </c>
      <c r="M33" s="11">
        <f t="shared" si="13"/>
        <v>3.8162830070344498</v>
      </c>
      <c r="N33" s="6"/>
      <c r="O33" s="11">
        <f t="shared" si="8"/>
        <v>1.0130501898875446</v>
      </c>
      <c r="P33" s="11">
        <f t="shared" si="8"/>
        <v>2.1947846677383289</v>
      </c>
      <c r="Q33" s="11">
        <f t="shared" si="8"/>
        <v>0.10031154748849894</v>
      </c>
      <c r="R33" s="11">
        <f t="shared" si="8"/>
        <v>0.73668547750520541</v>
      </c>
      <c r="S33" s="11">
        <f t="shared" si="8"/>
        <v>1.4746515548343151</v>
      </c>
      <c r="T33" s="11">
        <f t="shared" si="8"/>
        <v>0.89854328809334616</v>
      </c>
      <c r="U33" s="11">
        <f t="shared" si="8"/>
        <v>1.8461107718189744</v>
      </c>
      <c r="V33" s="11">
        <f t="shared" si="8"/>
        <v>3.8158519296584621</v>
      </c>
    </row>
    <row r="34" spans="1:22" x14ac:dyDescent="0.25">
      <c r="A34" s="229"/>
      <c r="B34" s="11">
        <f t="shared" ref="B34:M34" si="14">IF(B11="","",(B11/$O$23))</f>
        <v>3.619944631690207E-2</v>
      </c>
      <c r="C34" s="11">
        <f t="shared" si="14"/>
        <v>3.4120248020815667E-2</v>
      </c>
      <c r="D34" s="11">
        <f t="shared" si="14"/>
        <v>0.33534089374538112</v>
      </c>
      <c r="E34" s="11">
        <f t="shared" si="14"/>
        <v>0.14707317903609926</v>
      </c>
      <c r="F34" s="11">
        <f t="shared" si="14"/>
        <v>0.86944773639144735</v>
      </c>
      <c r="G34" s="11">
        <f t="shared" si="14"/>
        <v>0.7816838170480509</v>
      </c>
      <c r="H34" s="11">
        <f t="shared" si="14"/>
        <v>3.0583325259953242</v>
      </c>
      <c r="I34" s="11">
        <f t="shared" si="14"/>
        <v>5.3127325894200175E-2</v>
      </c>
      <c r="J34" s="11">
        <f t="shared" si="14"/>
        <v>6.8394254867590265E-2</v>
      </c>
      <c r="K34" s="11">
        <f t="shared" si="14"/>
        <v>2.6977666974633902E-2</v>
      </c>
      <c r="L34" s="11">
        <f t="shared" si="14"/>
        <v>3.8262218670117742</v>
      </c>
      <c r="M34" s="11">
        <f t="shared" si="14"/>
        <v>4.151056433995965</v>
      </c>
      <c r="N34" s="6"/>
      <c r="O34" s="11">
        <f t="shared" si="8"/>
        <v>0.88696893949998112</v>
      </c>
      <c r="P34" s="11">
        <f t="shared" si="8"/>
        <v>2.1900799239956372</v>
      </c>
      <c r="Q34" s="11">
        <f t="shared" si="8"/>
        <v>5.9646384307257105E-2</v>
      </c>
      <c r="R34" s="11">
        <f t="shared" si="8"/>
        <v>1.6893503919879611</v>
      </c>
      <c r="S34" s="11">
        <f t="shared" si="8"/>
        <v>2.4379726073092023</v>
      </c>
      <c r="T34" s="11">
        <f t="shared" si="8"/>
        <v>2.7878208140565959</v>
      </c>
      <c r="U34" s="11">
        <f t="shared" si="8"/>
        <v>2.5768958777403506</v>
      </c>
      <c r="V34" s="11">
        <f t="shared" si="8"/>
        <v>2.9267609604564471</v>
      </c>
    </row>
    <row r="35" spans="1:22" x14ac:dyDescent="0.25">
      <c r="A35" s="229"/>
      <c r="B35" s="11">
        <f t="shared" ref="B35:M35" si="15">IF(B12="","",(B12/$O$23))</f>
        <v>0.14377298960088333</v>
      </c>
      <c r="C35" s="11">
        <f t="shared" si="15"/>
        <v>2.9505114685037019E-2</v>
      </c>
      <c r="D35" s="11">
        <f t="shared" si="15"/>
        <v>9.2944150906030618E-3</v>
      </c>
      <c r="E35" s="11">
        <f t="shared" si="15"/>
        <v>0.36907723815067672</v>
      </c>
      <c r="F35" s="11">
        <f t="shared" si="15"/>
        <v>1.2769805701018035</v>
      </c>
      <c r="G35" s="11">
        <f t="shared" si="15"/>
        <v>1.774634037381422</v>
      </c>
      <c r="H35" s="11">
        <f t="shared" si="15"/>
        <v>3.7520088570873553</v>
      </c>
      <c r="I35" s="11">
        <f t="shared" si="15"/>
        <v>5.7434941578060977E-2</v>
      </c>
      <c r="J35" s="11">
        <f t="shared" si="15"/>
        <v>4.733383544548856E-2</v>
      </c>
      <c r="K35" s="11">
        <f t="shared" si="15"/>
        <v>0.25170744175940363</v>
      </c>
      <c r="L35" s="11">
        <f t="shared" si="15"/>
        <v>3.2959064920009387</v>
      </c>
      <c r="M35" s="11">
        <f t="shared" si="15"/>
        <v>2.3381052629501267</v>
      </c>
      <c r="N35" s="6"/>
      <c r="O35" s="11">
        <f t="shared" si="8"/>
        <v>3.2621543572155701E-2</v>
      </c>
      <c r="P35" s="11">
        <f t="shared" si="8"/>
        <v>2.3832017989190497</v>
      </c>
      <c r="Q35" s="11">
        <f t="shared" si="8"/>
        <v>0.15710599177485679</v>
      </c>
      <c r="R35" s="11">
        <f t="shared" si="8"/>
        <v>1.1896115089501025</v>
      </c>
      <c r="S35" s="11">
        <f t="shared" si="8"/>
        <v>1.3970355206244569</v>
      </c>
      <c r="T35" s="11">
        <f t="shared" si="8"/>
        <v>1.5179207490693134</v>
      </c>
      <c r="U35" s="11">
        <f t="shared" si="8"/>
        <v>2.6378743779864995</v>
      </c>
      <c r="V35" s="11">
        <f t="shared" si="8"/>
        <v>4.0555094363146829</v>
      </c>
    </row>
    <row r="36" spans="1:22" x14ac:dyDescent="0.25">
      <c r="A36" s="229"/>
      <c r="B36" s="11" t="str">
        <f t="shared" ref="B36:M36" si="16">IF(B13="","",(B13/$O$23))</f>
        <v/>
      </c>
      <c r="C36" s="11" t="str">
        <f t="shared" si="16"/>
        <v/>
      </c>
      <c r="D36" s="11" t="str">
        <f t="shared" si="16"/>
        <v/>
      </c>
      <c r="E36" s="11" t="str">
        <f t="shared" si="16"/>
        <v/>
      </c>
      <c r="F36" s="11" t="str">
        <f t="shared" si="16"/>
        <v/>
      </c>
      <c r="G36" s="11" t="str">
        <f t="shared" si="16"/>
        <v/>
      </c>
      <c r="H36" s="11" t="str">
        <f t="shared" si="16"/>
        <v/>
      </c>
      <c r="I36" s="11" t="str">
        <f t="shared" si="16"/>
        <v/>
      </c>
      <c r="J36" s="11" t="str">
        <f t="shared" si="16"/>
        <v/>
      </c>
      <c r="K36" s="11" t="str">
        <f t="shared" si="16"/>
        <v/>
      </c>
      <c r="L36" s="11" t="str">
        <f t="shared" si="16"/>
        <v/>
      </c>
      <c r="M36" s="11" t="str">
        <f t="shared" si="16"/>
        <v/>
      </c>
      <c r="N36" s="6"/>
      <c r="O36" s="11">
        <f t="shared" si="8"/>
        <v>0.61264059400778104</v>
      </c>
      <c r="P36" s="11" t="str">
        <f t="shared" si="8"/>
        <v/>
      </c>
      <c r="Q36" s="11" t="str">
        <f t="shared" si="8"/>
        <v/>
      </c>
      <c r="R36" s="11" t="str">
        <f t="shared" si="8"/>
        <v/>
      </c>
      <c r="S36" s="11" t="str">
        <f t="shared" si="8"/>
        <v/>
      </c>
      <c r="T36" s="11" t="str">
        <f t="shared" si="8"/>
        <v/>
      </c>
      <c r="U36" s="11" t="str">
        <f t="shared" si="8"/>
        <v/>
      </c>
      <c r="V36" s="11" t="str">
        <f t="shared" si="8"/>
        <v/>
      </c>
    </row>
    <row r="37" spans="1:22" x14ac:dyDescent="0.25">
      <c r="A37" s="229"/>
      <c r="B37" s="11" t="str">
        <f t="shared" ref="B37:M37" si="17">IF(B14="","",(B14/$O$23))</f>
        <v/>
      </c>
      <c r="C37" s="11" t="str">
        <f t="shared" si="17"/>
        <v/>
      </c>
      <c r="D37" s="11" t="str">
        <f t="shared" si="17"/>
        <v/>
      </c>
      <c r="E37" s="11" t="str">
        <f t="shared" si="17"/>
        <v/>
      </c>
      <c r="F37" s="11" t="str">
        <f t="shared" si="17"/>
        <v/>
      </c>
      <c r="G37" s="11" t="str">
        <f t="shared" si="17"/>
        <v/>
      </c>
      <c r="H37" s="11" t="str">
        <f t="shared" si="17"/>
        <v/>
      </c>
      <c r="I37" s="11" t="str">
        <f t="shared" si="17"/>
        <v/>
      </c>
      <c r="J37" s="11" t="str">
        <f t="shared" si="17"/>
        <v/>
      </c>
      <c r="K37" s="11" t="str">
        <f t="shared" si="17"/>
        <v/>
      </c>
      <c r="L37" s="11" t="str">
        <f t="shared" si="17"/>
        <v/>
      </c>
      <c r="M37" s="11" t="str">
        <f t="shared" si="17"/>
        <v/>
      </c>
      <c r="N37" s="6"/>
      <c r="O37" s="11">
        <f t="shared" si="8"/>
        <v>1.9037762529460984</v>
      </c>
      <c r="P37" s="11" t="str">
        <f t="shared" si="8"/>
        <v/>
      </c>
      <c r="Q37" s="11" t="str">
        <f t="shared" si="8"/>
        <v/>
      </c>
      <c r="R37" s="11" t="str">
        <f t="shared" si="8"/>
        <v/>
      </c>
      <c r="S37" s="11" t="str">
        <f t="shared" si="8"/>
        <v/>
      </c>
      <c r="T37" s="11" t="str">
        <f t="shared" si="8"/>
        <v/>
      </c>
      <c r="U37" s="11" t="str">
        <f t="shared" si="8"/>
        <v/>
      </c>
      <c r="V37" s="11" t="str">
        <f t="shared" si="8"/>
        <v/>
      </c>
    </row>
    <row r="38" spans="1:22" x14ac:dyDescent="0.25">
      <c r="A38" s="229"/>
      <c r="B38" s="11" t="str">
        <f t="shared" ref="B38:M38" si="18">IF(B15="","",(B15/$O$23))</f>
        <v/>
      </c>
      <c r="C38" s="11" t="str">
        <f t="shared" si="18"/>
        <v/>
      </c>
      <c r="D38" s="11" t="str">
        <f t="shared" si="18"/>
        <v/>
      </c>
      <c r="E38" s="11" t="str">
        <f t="shared" si="18"/>
        <v/>
      </c>
      <c r="F38" s="11" t="str">
        <f t="shared" si="18"/>
        <v/>
      </c>
      <c r="G38" s="11" t="str">
        <f t="shared" si="18"/>
        <v/>
      </c>
      <c r="H38" s="11" t="str">
        <f t="shared" si="18"/>
        <v/>
      </c>
      <c r="I38" s="11" t="str">
        <f t="shared" si="18"/>
        <v/>
      </c>
      <c r="J38" s="11" t="str">
        <f t="shared" si="18"/>
        <v/>
      </c>
      <c r="K38" s="11" t="str">
        <f t="shared" si="18"/>
        <v/>
      </c>
      <c r="L38" s="11" t="str">
        <f t="shared" si="18"/>
        <v/>
      </c>
      <c r="M38" s="11" t="str">
        <f t="shared" si="18"/>
        <v/>
      </c>
      <c r="N38" s="6"/>
      <c r="O38" s="11">
        <f t="shared" si="8"/>
        <v>1.0476869807164917</v>
      </c>
      <c r="P38" s="11" t="str">
        <f t="shared" si="8"/>
        <v/>
      </c>
      <c r="Q38" s="11" t="str">
        <f t="shared" si="8"/>
        <v/>
      </c>
      <c r="R38" s="11" t="str">
        <f t="shared" si="8"/>
        <v/>
      </c>
      <c r="S38" s="11" t="str">
        <f t="shared" si="8"/>
        <v/>
      </c>
      <c r="T38" s="11" t="str">
        <f t="shared" si="8"/>
        <v/>
      </c>
      <c r="U38" s="11" t="str">
        <f t="shared" si="8"/>
        <v/>
      </c>
      <c r="V38" s="11" t="str">
        <f t="shared" si="8"/>
        <v/>
      </c>
    </row>
    <row r="39" spans="1:22" x14ac:dyDescent="0.25">
      <c r="A39" s="229"/>
      <c r="B39" s="11" t="str">
        <f t="shared" ref="B39:M39" si="19">IF(B16="","",(B16/$O$23))</f>
        <v/>
      </c>
      <c r="C39" s="11" t="str">
        <f t="shared" si="19"/>
        <v/>
      </c>
      <c r="D39" s="11" t="str">
        <f t="shared" si="19"/>
        <v/>
      </c>
      <c r="E39" s="11" t="str">
        <f t="shared" si="19"/>
        <v/>
      </c>
      <c r="F39" s="11" t="str">
        <f t="shared" si="19"/>
        <v/>
      </c>
      <c r="G39" s="11" t="str">
        <f t="shared" si="19"/>
        <v/>
      </c>
      <c r="H39" s="11" t="str">
        <f t="shared" si="19"/>
        <v/>
      </c>
      <c r="I39" s="11" t="str">
        <f t="shared" si="19"/>
        <v/>
      </c>
      <c r="J39" s="11" t="str">
        <f t="shared" si="19"/>
        <v/>
      </c>
      <c r="K39" s="11" t="str">
        <f t="shared" si="19"/>
        <v/>
      </c>
      <c r="L39" s="11" t="str">
        <f t="shared" si="19"/>
        <v/>
      </c>
      <c r="M39" s="11" t="str">
        <f t="shared" si="19"/>
        <v/>
      </c>
      <c r="N39" s="6"/>
      <c r="O39" s="11">
        <f t="shared" si="8"/>
        <v>1.1948669421978335</v>
      </c>
      <c r="P39" s="11" t="str">
        <f t="shared" si="8"/>
        <v/>
      </c>
      <c r="Q39" s="11" t="str">
        <f t="shared" ref="Q39:V39" si="20">IF(Q16="","",(Q16/$O$23))</f>
        <v/>
      </c>
      <c r="R39" s="11" t="str">
        <f t="shared" si="20"/>
        <v/>
      </c>
      <c r="S39" s="11" t="str">
        <f t="shared" si="20"/>
        <v/>
      </c>
      <c r="T39" s="11" t="str">
        <f t="shared" si="20"/>
        <v/>
      </c>
      <c r="U39" s="11" t="str">
        <f t="shared" si="20"/>
        <v/>
      </c>
      <c r="V39" s="11" t="str">
        <f t="shared" si="20"/>
        <v/>
      </c>
    </row>
    <row r="40" spans="1:22" x14ac:dyDescent="0.25">
      <c r="A40" s="229"/>
      <c r="B40" s="11" t="str">
        <f t="shared" ref="B40:M40" si="21">IF(B17="","",(B17/$O$23))</f>
        <v/>
      </c>
      <c r="C40" s="11" t="str">
        <f t="shared" si="21"/>
        <v/>
      </c>
      <c r="D40" s="11" t="str">
        <f t="shared" si="21"/>
        <v/>
      </c>
      <c r="E40" s="11" t="str">
        <f t="shared" si="21"/>
        <v/>
      </c>
      <c r="F40" s="11" t="str">
        <f t="shared" si="21"/>
        <v/>
      </c>
      <c r="G40" s="11" t="str">
        <f t="shared" si="21"/>
        <v/>
      </c>
      <c r="H40" s="11" t="str">
        <f t="shared" si="21"/>
        <v/>
      </c>
      <c r="I40" s="11" t="str">
        <f t="shared" si="21"/>
        <v/>
      </c>
      <c r="J40" s="11" t="str">
        <f t="shared" si="21"/>
        <v/>
      </c>
      <c r="K40" s="11" t="str">
        <f t="shared" si="21"/>
        <v/>
      </c>
      <c r="L40" s="11" t="str">
        <f t="shared" si="21"/>
        <v/>
      </c>
      <c r="M40" s="11" t="str">
        <f t="shared" si="21"/>
        <v/>
      </c>
      <c r="N40" s="6"/>
      <c r="O40" s="11">
        <f t="shared" ref="O40:V43" si="22">IF(O17="","",(O17/$O$23))</f>
        <v>9.5290996144351044E-3</v>
      </c>
      <c r="P40" s="11" t="str">
        <f t="shared" si="22"/>
        <v/>
      </c>
      <c r="Q40" s="11" t="str">
        <f t="shared" si="22"/>
        <v/>
      </c>
      <c r="R40" s="11" t="str">
        <f t="shared" si="22"/>
        <v/>
      </c>
      <c r="S40" s="11" t="str">
        <f t="shared" si="22"/>
        <v/>
      </c>
      <c r="T40" s="11" t="str">
        <f t="shared" si="22"/>
        <v/>
      </c>
      <c r="U40" s="11" t="str">
        <f t="shared" si="22"/>
        <v/>
      </c>
      <c r="V40" s="11" t="str">
        <f t="shared" si="22"/>
        <v/>
      </c>
    </row>
    <row r="41" spans="1:22" x14ac:dyDescent="0.25">
      <c r="A41" s="229"/>
      <c r="B41" s="11" t="str">
        <f t="shared" ref="B41:M41" si="23">IF(B18="","",(B18/$O$23))</f>
        <v/>
      </c>
      <c r="C41" s="11" t="str">
        <f t="shared" si="23"/>
        <v/>
      </c>
      <c r="D41" s="11" t="str">
        <f t="shared" si="23"/>
        <v/>
      </c>
      <c r="E41" s="11" t="str">
        <f t="shared" si="23"/>
        <v/>
      </c>
      <c r="F41" s="11" t="str">
        <f t="shared" si="23"/>
        <v/>
      </c>
      <c r="G41" s="11" t="str">
        <f t="shared" si="23"/>
        <v/>
      </c>
      <c r="H41" s="11" t="str">
        <f t="shared" si="23"/>
        <v/>
      </c>
      <c r="I41" s="11" t="str">
        <f t="shared" si="23"/>
        <v/>
      </c>
      <c r="J41" s="11" t="str">
        <f t="shared" si="23"/>
        <v/>
      </c>
      <c r="K41" s="11" t="str">
        <f t="shared" si="23"/>
        <v/>
      </c>
      <c r="L41" s="11" t="str">
        <f t="shared" si="23"/>
        <v/>
      </c>
      <c r="M41" s="11" t="str">
        <f t="shared" si="23"/>
        <v/>
      </c>
      <c r="N41" s="6"/>
      <c r="O41" s="11">
        <f t="shared" si="22"/>
        <v>1.2621896223977329</v>
      </c>
      <c r="P41" s="11" t="str">
        <f t="shared" si="22"/>
        <v/>
      </c>
      <c r="Q41" s="11" t="str">
        <f t="shared" si="22"/>
        <v/>
      </c>
      <c r="R41" s="11" t="str">
        <f t="shared" si="22"/>
        <v/>
      </c>
      <c r="S41" s="11" t="str">
        <f t="shared" si="22"/>
        <v/>
      </c>
      <c r="T41" s="11" t="str">
        <f t="shared" si="22"/>
        <v/>
      </c>
      <c r="U41" s="11" t="str">
        <f t="shared" si="22"/>
        <v/>
      </c>
      <c r="V41" s="11" t="str">
        <f t="shared" si="22"/>
        <v/>
      </c>
    </row>
    <row r="42" spans="1:22" x14ac:dyDescent="0.25">
      <c r="A42" s="229"/>
      <c r="B42" s="11" t="str">
        <f t="shared" ref="B42:M42" si="24">IF(B19="","",(B19/$O$23))</f>
        <v/>
      </c>
      <c r="C42" s="11" t="str">
        <f t="shared" si="24"/>
        <v/>
      </c>
      <c r="D42" s="11" t="str">
        <f t="shared" si="24"/>
        <v/>
      </c>
      <c r="E42" s="11" t="str">
        <f t="shared" si="24"/>
        <v/>
      </c>
      <c r="F42" s="11" t="str">
        <f t="shared" si="24"/>
        <v/>
      </c>
      <c r="G42" s="11" t="str">
        <f t="shared" si="24"/>
        <v/>
      </c>
      <c r="H42" s="11" t="str">
        <f t="shared" si="24"/>
        <v/>
      </c>
      <c r="I42" s="11" t="str">
        <f t="shared" si="24"/>
        <v/>
      </c>
      <c r="J42" s="11" t="str">
        <f t="shared" si="24"/>
        <v/>
      </c>
      <c r="K42" s="11" t="str">
        <f t="shared" si="24"/>
        <v/>
      </c>
      <c r="L42" s="11" t="str">
        <f t="shared" si="24"/>
        <v/>
      </c>
      <c r="M42" s="11" t="str">
        <f t="shared" si="24"/>
        <v/>
      </c>
      <c r="N42" s="6"/>
      <c r="O42" s="11" t="str">
        <f t="shared" si="22"/>
        <v/>
      </c>
      <c r="P42" s="11" t="str">
        <f t="shared" si="22"/>
        <v/>
      </c>
      <c r="Q42" s="11" t="str">
        <f t="shared" si="22"/>
        <v/>
      </c>
      <c r="R42" s="11" t="str">
        <f t="shared" si="22"/>
        <v/>
      </c>
      <c r="S42" s="11" t="str">
        <f t="shared" si="22"/>
        <v/>
      </c>
      <c r="T42" s="11" t="str">
        <f t="shared" si="22"/>
        <v/>
      </c>
      <c r="U42" s="11" t="str">
        <f t="shared" si="22"/>
        <v/>
      </c>
      <c r="V42" s="11" t="str">
        <f t="shared" si="22"/>
        <v/>
      </c>
    </row>
    <row r="43" spans="1:22" x14ac:dyDescent="0.25">
      <c r="A43" s="229"/>
      <c r="B43" s="11" t="str">
        <f t="shared" ref="B43:M43" si="25">IF(B20="","",(B20/$O$23))</f>
        <v/>
      </c>
      <c r="C43" s="11" t="str">
        <f t="shared" si="25"/>
        <v/>
      </c>
      <c r="D43" s="11" t="str">
        <f t="shared" si="25"/>
        <v/>
      </c>
      <c r="E43" s="11" t="str">
        <f t="shared" si="25"/>
        <v/>
      </c>
      <c r="F43" s="11" t="str">
        <f t="shared" si="25"/>
        <v/>
      </c>
      <c r="G43" s="11" t="str">
        <f t="shared" si="25"/>
        <v/>
      </c>
      <c r="H43" s="11" t="str">
        <f t="shared" si="25"/>
        <v/>
      </c>
      <c r="I43" s="11" t="str">
        <f t="shared" si="25"/>
        <v/>
      </c>
      <c r="J43" s="11" t="str">
        <f t="shared" si="25"/>
        <v/>
      </c>
      <c r="K43" s="11" t="str">
        <f t="shared" si="25"/>
        <v/>
      </c>
      <c r="L43" s="11" t="str">
        <f t="shared" si="25"/>
        <v/>
      </c>
      <c r="M43" s="11" t="str">
        <f t="shared" si="25"/>
        <v/>
      </c>
      <c r="N43" s="6"/>
      <c r="O43" s="11">
        <f t="shared" si="22"/>
        <v>1.150940078632803</v>
      </c>
      <c r="P43" s="11" t="str">
        <f t="shared" si="22"/>
        <v/>
      </c>
      <c r="Q43" s="11" t="str">
        <f t="shared" si="22"/>
        <v/>
      </c>
      <c r="R43" s="11" t="str">
        <f t="shared" si="22"/>
        <v/>
      </c>
      <c r="S43" s="11" t="str">
        <f t="shared" si="22"/>
        <v/>
      </c>
      <c r="T43" s="11" t="str">
        <f t="shared" si="22"/>
        <v/>
      </c>
      <c r="U43" s="11" t="str">
        <f t="shared" si="22"/>
        <v/>
      </c>
      <c r="V43" s="11" t="str">
        <f t="shared" si="22"/>
        <v/>
      </c>
    </row>
    <row r="44" spans="1:22" x14ac:dyDescent="0.25">
      <c r="A44" s="7"/>
      <c r="B44" s="3"/>
      <c r="C44" s="3"/>
      <c r="D44" s="3"/>
      <c r="E44" s="3"/>
      <c r="F44" s="3"/>
      <c r="G44" s="3"/>
      <c r="H44" s="3"/>
      <c r="I44" s="3"/>
      <c r="J44" s="3"/>
      <c r="K44" s="3"/>
      <c r="L44" s="3"/>
      <c r="M44" s="3"/>
      <c r="N44" s="7"/>
      <c r="O44" s="3"/>
      <c r="P44" s="3"/>
      <c r="Q44" s="3"/>
      <c r="R44" s="3"/>
      <c r="S44" s="3"/>
      <c r="T44" s="3"/>
      <c r="U44" s="3"/>
      <c r="V44" s="3"/>
    </row>
    <row r="45" spans="1:22" x14ac:dyDescent="0.25">
      <c r="A45" s="7" t="str">
        <f>A4</f>
        <v>Noms des groupes</v>
      </c>
      <c r="B45" s="7" t="str">
        <f t="shared" ref="B45:V45" si="26">B4</f>
        <v>Témoin solvant</v>
      </c>
      <c r="C45" s="7" t="str">
        <f t="shared" si="26"/>
        <v>EE2-33.8ng/L</v>
      </c>
      <c r="D45" s="7" t="str">
        <f t="shared" si="26"/>
        <v>EE2-50.6ng/L</v>
      </c>
      <c r="E45" s="7" t="str">
        <f t="shared" si="26"/>
        <v>EE2-76ng/L</v>
      </c>
      <c r="F45" s="7" t="str">
        <f t="shared" si="26"/>
        <v>EE2-114ng/L</v>
      </c>
      <c r="G45" s="7" t="str">
        <f t="shared" si="26"/>
        <v>EE2-170.9ng/L</v>
      </c>
      <c r="H45" s="7" t="str">
        <f t="shared" si="26"/>
        <v>EE2-488ng/L</v>
      </c>
      <c r="I45" s="7" t="str">
        <f t="shared" si="26"/>
        <v>estradiol 34ng/L</v>
      </c>
      <c r="J45" s="7" t="str">
        <f t="shared" si="26"/>
        <v>estradiol 68ng/L</v>
      </c>
      <c r="K45" s="7" t="str">
        <f t="shared" si="26"/>
        <v>estradiol 135ng/L</v>
      </c>
      <c r="L45" s="7" t="str">
        <f t="shared" si="26"/>
        <v>estradiol 270ng/L</v>
      </c>
      <c r="M45" s="7" t="str">
        <f t="shared" si="26"/>
        <v>estradiol 540ng/L</v>
      </c>
      <c r="N45" s="7"/>
      <c r="O45" s="7" t="str">
        <f t="shared" si="26"/>
        <v>Testo -30µg/L</v>
      </c>
      <c r="P45" s="7" t="str">
        <f t="shared" si="26"/>
        <v>Testo 30µg/L + EE2 -64ng/L</v>
      </c>
      <c r="Q45" s="7" t="str">
        <f t="shared" si="26"/>
        <v>Testo 30µg/L + FAD-10µg/L</v>
      </c>
      <c r="R45" s="7" t="str">
        <f t="shared" si="26"/>
        <v>estradiol-34ng/L + Testosterone</v>
      </c>
      <c r="S45" s="7" t="str">
        <f t="shared" si="26"/>
        <v>estradiol-68ng/L + Testosterone</v>
      </c>
      <c r="T45" s="7" t="str">
        <f t="shared" si="26"/>
        <v>estradiol-135ng/L + Testosterone</v>
      </c>
      <c r="U45" s="7" t="str">
        <f t="shared" si="26"/>
        <v>estradiol-270ng/L + Testosterone</v>
      </c>
      <c r="V45" s="7" t="str">
        <f t="shared" si="26"/>
        <v>estradiol-540ng/L + Testosterone</v>
      </c>
    </row>
    <row r="46" spans="1:22" x14ac:dyDescent="0.25">
      <c r="A46" s="8" t="s">
        <v>0</v>
      </c>
      <c r="B46" s="10">
        <f t="shared" ref="B46:H46" si="27">AVERAGE(B28:B43)</f>
        <v>8.0215661227922452E-2</v>
      </c>
      <c r="C46" s="10">
        <f t="shared" si="27"/>
        <v>9.2643886959958704E-2</v>
      </c>
      <c r="D46" s="10">
        <f t="shared" si="27"/>
        <v>0.15179376250380164</v>
      </c>
      <c r="E46" s="10">
        <f t="shared" si="27"/>
        <v>0.59774124252479999</v>
      </c>
      <c r="F46" s="10">
        <f t="shared" si="27"/>
        <v>0.79822895261586568</v>
      </c>
      <c r="G46" s="10">
        <f t="shared" si="27"/>
        <v>1.4124088126111187</v>
      </c>
      <c r="H46" s="10">
        <f t="shared" si="27"/>
        <v>3.2859418369574174</v>
      </c>
      <c r="I46" s="10">
        <f>AVERAGE(I28:I43)</f>
        <v>0.11999943746770991</v>
      </c>
      <c r="J46" s="9">
        <f>AVERAGE(J28:J43)</f>
        <v>0.24935408298930314</v>
      </c>
      <c r="K46" s="9">
        <f t="shared" ref="K46:M46" si="28">AVERAGE(K28:K43)</f>
        <v>0.48140949620298923</v>
      </c>
      <c r="L46" s="9">
        <f t="shared" si="28"/>
        <v>2.2509111296026698</v>
      </c>
      <c r="M46" s="9">
        <f t="shared" si="28"/>
        <v>3.5216654541518913</v>
      </c>
      <c r="N46" s="8" t="s">
        <v>0</v>
      </c>
      <c r="O46" s="10">
        <f t="shared" ref="O46:V46" si="29">AVERAGE(O28:O43)</f>
        <v>1</v>
      </c>
      <c r="P46" s="10">
        <f t="shared" si="29"/>
        <v>2.1539899000781459</v>
      </c>
      <c r="Q46" s="10">
        <f t="shared" si="29"/>
        <v>0.11130177538151448</v>
      </c>
      <c r="R46" s="10">
        <f t="shared" si="29"/>
        <v>1.3236270429009824</v>
      </c>
      <c r="S46" s="10">
        <f t="shared" si="29"/>
        <v>1.9386203788671421</v>
      </c>
      <c r="T46" s="10">
        <f t="shared" si="29"/>
        <v>2.3780677260210217</v>
      </c>
      <c r="U46" s="10">
        <f t="shared" si="29"/>
        <v>2.0753477748969473</v>
      </c>
      <c r="V46" s="10">
        <f t="shared" si="29"/>
        <v>3.2143723851441943</v>
      </c>
    </row>
    <row r="47" spans="1:22" x14ac:dyDescent="0.25">
      <c r="A47" s="8" t="s">
        <v>1</v>
      </c>
      <c r="B47" s="8">
        <f t="shared" ref="B47:M47" si="30">STDEV(B28:B43)</f>
        <v>7.3931883595214784E-2</v>
      </c>
      <c r="C47" s="8">
        <f t="shared" si="30"/>
        <v>6.9793208138846777E-2</v>
      </c>
      <c r="D47" s="8">
        <f t="shared" si="30"/>
        <v>0.1794462259258417</v>
      </c>
      <c r="E47" s="8">
        <f t="shared" si="30"/>
        <v>1.1639188623894046</v>
      </c>
      <c r="F47" s="8">
        <f t="shared" si="30"/>
        <v>0.4608490773157905</v>
      </c>
      <c r="G47" s="8">
        <f t="shared" si="30"/>
        <v>0.82823963235595732</v>
      </c>
      <c r="H47" s="8">
        <f t="shared" si="30"/>
        <v>0.51939614662265465</v>
      </c>
      <c r="I47" s="8">
        <f t="shared" si="30"/>
        <v>4.7535344805403147E-2</v>
      </c>
      <c r="J47" s="8">
        <f t="shared" si="30"/>
        <v>0.51195927532342023</v>
      </c>
      <c r="K47" s="8">
        <f t="shared" si="30"/>
        <v>0.46736805609388499</v>
      </c>
      <c r="L47" s="8">
        <f t="shared" si="30"/>
        <v>1.1422796886757314</v>
      </c>
      <c r="M47" s="8">
        <f t="shared" si="30"/>
        <v>0.87527333532056595</v>
      </c>
      <c r="N47" s="8" t="s">
        <v>1</v>
      </c>
      <c r="O47" s="8">
        <f t="shared" ref="O47:V47" si="31">STDEV(O28:O43)</f>
        <v>0.57015966515797534</v>
      </c>
      <c r="P47" s="8">
        <f t="shared" si="31"/>
        <v>0.38901393170114917</v>
      </c>
      <c r="Q47" s="8">
        <f t="shared" si="31"/>
        <v>7.0200992139811097E-2</v>
      </c>
      <c r="R47" s="8">
        <f t="shared" si="31"/>
        <v>0.66055774934371392</v>
      </c>
      <c r="S47" s="8">
        <f t="shared" si="31"/>
        <v>1.1051403565377451</v>
      </c>
      <c r="T47" s="8">
        <f t="shared" si="31"/>
        <v>0.9297969176347638</v>
      </c>
      <c r="U47" s="8">
        <f t="shared" si="31"/>
        <v>0.54949357592901182</v>
      </c>
      <c r="V47" s="8">
        <f t="shared" si="31"/>
        <v>0.70958858764426269</v>
      </c>
    </row>
    <row r="48" spans="1:22" x14ac:dyDescent="0.25">
      <c r="A48" s="8" t="s">
        <v>2</v>
      </c>
      <c r="B48" s="8">
        <f t="shared" ref="B48:M48" si="32" xml:space="preserve"> B47/SQRT(COUNT(B28:B43))</f>
        <v>2.6138868118035421E-2</v>
      </c>
      <c r="C48" s="8">
        <f t="shared" si="32"/>
        <v>2.4675625377871345E-2</v>
      </c>
      <c r="D48" s="8">
        <f t="shared" si="32"/>
        <v>6.344382160524796E-2</v>
      </c>
      <c r="E48" s="8">
        <f t="shared" si="32"/>
        <v>0.43991997944851052</v>
      </c>
      <c r="F48" s="8">
        <f t="shared" si="32"/>
        <v>0.16293475383677949</v>
      </c>
      <c r="G48" s="8">
        <f t="shared" si="32"/>
        <v>0.29282693024317524</v>
      </c>
      <c r="H48" s="8">
        <f t="shared" si="32"/>
        <v>0.18363426869952071</v>
      </c>
      <c r="I48" s="8">
        <f t="shared" si="32"/>
        <v>1.6806282328970645E-2</v>
      </c>
      <c r="J48" s="8">
        <f t="shared" si="32"/>
        <v>0.19350241769980239</v>
      </c>
      <c r="K48" s="8">
        <f t="shared" si="32"/>
        <v>0.16523956088698039</v>
      </c>
      <c r="L48" s="8">
        <f t="shared" si="32"/>
        <v>0.40385685693713397</v>
      </c>
      <c r="M48" s="8">
        <f t="shared" si="32"/>
        <v>0.30945585539846954</v>
      </c>
      <c r="N48" s="8" t="s">
        <v>2</v>
      </c>
      <c r="O48" s="8">
        <f t="shared" ref="O48:V48" si="33" xml:space="preserve"> O47/SQRT(COUNT(O28:O43))</f>
        <v>0.14721459252240238</v>
      </c>
      <c r="P48" s="8">
        <f t="shared" si="33"/>
        <v>0.1375371945409615</v>
      </c>
      <c r="Q48" s="8">
        <f t="shared" si="33"/>
        <v>2.4819798794041972E-2</v>
      </c>
      <c r="R48" s="8">
        <f t="shared" si="33"/>
        <v>0.2335424319631319</v>
      </c>
      <c r="S48" s="8">
        <f t="shared" si="33"/>
        <v>0.39072612013537922</v>
      </c>
      <c r="T48" s="8">
        <f t="shared" si="33"/>
        <v>0.35143020197942731</v>
      </c>
      <c r="U48" s="8">
        <f t="shared" si="33"/>
        <v>0.19427531687892463</v>
      </c>
      <c r="V48" s="8">
        <f t="shared" si="33"/>
        <v>0.26819927658232556</v>
      </c>
    </row>
    <row r="49" spans="1:22" ht="15.75" thickBot="1" x14ac:dyDescent="0.3">
      <c r="A49" s="8"/>
      <c r="B49" s="8"/>
      <c r="C49" s="8"/>
      <c r="D49" s="8"/>
      <c r="E49" s="8"/>
      <c r="F49" s="8"/>
      <c r="G49" s="8"/>
      <c r="H49" s="8"/>
      <c r="I49" s="8"/>
      <c r="J49" s="8"/>
      <c r="K49" s="8"/>
      <c r="L49" s="8"/>
      <c r="M49" s="8"/>
      <c r="N49" s="8"/>
      <c r="O49" s="8"/>
      <c r="P49" s="8"/>
      <c r="Q49" s="8"/>
      <c r="R49" s="8"/>
      <c r="S49" s="8"/>
      <c r="T49" s="8"/>
      <c r="U49" s="8"/>
      <c r="V49" s="8"/>
    </row>
    <row r="50" spans="1:22" ht="27" thickBot="1" x14ac:dyDescent="0.45">
      <c r="A50" s="220" t="s">
        <v>44</v>
      </c>
      <c r="B50" s="221"/>
      <c r="C50" s="221"/>
      <c r="D50" s="221"/>
      <c r="E50" s="221"/>
      <c r="F50" s="221"/>
      <c r="G50" s="221"/>
      <c r="H50" s="221"/>
      <c r="I50" s="221"/>
      <c r="J50" s="221"/>
      <c r="K50" s="221"/>
      <c r="L50" s="221"/>
      <c r="M50" s="221"/>
      <c r="N50" s="221"/>
      <c r="O50" s="221"/>
      <c r="P50" s="221"/>
      <c r="Q50" s="221"/>
      <c r="R50" s="221"/>
      <c r="S50" s="221"/>
      <c r="T50" s="221"/>
      <c r="U50" s="221"/>
      <c r="V50" s="221"/>
    </row>
    <row r="51" spans="1:22" ht="15.75" thickBot="1" x14ac:dyDescent="0.3"/>
    <row r="52" spans="1:22" x14ac:dyDescent="0.25">
      <c r="A52" s="45" t="str">
        <f t="shared" ref="A52:H52" si="34">A27</f>
        <v>Noms des groupes</v>
      </c>
      <c r="B52" s="46" t="str">
        <f t="shared" si="34"/>
        <v>Témoin solvant</v>
      </c>
      <c r="C52" s="46" t="str">
        <f t="shared" si="34"/>
        <v>EE2-33.8ng/L</v>
      </c>
      <c r="D52" s="46" t="str">
        <f t="shared" si="34"/>
        <v>EE2-50.6ng/L</v>
      </c>
      <c r="E52" s="46" t="str">
        <f t="shared" si="34"/>
        <v>EE2-76ng/L</v>
      </c>
      <c r="F52" s="46" t="str">
        <f t="shared" si="34"/>
        <v>EE2-114ng/L</v>
      </c>
      <c r="G52" s="46" t="str">
        <f t="shared" si="34"/>
        <v>EE2-170.9ng/L</v>
      </c>
      <c r="H52" s="46" t="str">
        <f t="shared" si="34"/>
        <v>EE2-488ng/L</v>
      </c>
      <c r="I52" s="46" t="str">
        <f>I4</f>
        <v>estradiol 34ng/L</v>
      </c>
      <c r="J52" s="46" t="str">
        <f>J4</f>
        <v>estradiol 68ng/L</v>
      </c>
      <c r="K52" s="46" t="str">
        <f t="shared" ref="K52:M52" si="35">K4</f>
        <v>estradiol 135ng/L</v>
      </c>
      <c r="L52" s="46" t="str">
        <f t="shared" si="35"/>
        <v>estradiol 270ng/L</v>
      </c>
      <c r="M52" s="46" t="str">
        <f t="shared" si="35"/>
        <v>estradiol 540ng/L</v>
      </c>
      <c r="N52" s="47"/>
      <c r="O52" s="46" t="str">
        <f>O27</f>
        <v>Testo -30µg/L</v>
      </c>
      <c r="P52" s="46" t="str">
        <f>P27</f>
        <v>Testo 30µg/L + EE2 -64ng/L</v>
      </c>
      <c r="Q52" s="46" t="str">
        <f>Q27</f>
        <v>Testo 30µg/L + FAD-10µg/L</v>
      </c>
      <c r="R52" s="46" t="str">
        <f>R27</f>
        <v>estradiol-34ng/L + Testosterone</v>
      </c>
      <c r="S52" s="46" t="str">
        <f t="shared" ref="S52:V52" si="36">S27</f>
        <v>estradiol-68ng/L + Testosterone</v>
      </c>
      <c r="T52" s="46" t="str">
        <f t="shared" si="36"/>
        <v>estradiol-135ng/L + Testosterone</v>
      </c>
      <c r="U52" s="46" t="str">
        <f t="shared" si="36"/>
        <v>estradiol-270ng/L + Testosterone</v>
      </c>
      <c r="V52" s="46" t="str">
        <f t="shared" si="36"/>
        <v>estradiol-540ng/L + Testosterone</v>
      </c>
    </row>
    <row r="53" spans="1:22" s="3" customFormat="1" x14ac:dyDescent="0.25">
      <c r="A53" s="61" t="s">
        <v>32</v>
      </c>
      <c r="B53" s="141">
        <f t="shared" ref="B53:V53" si="37">B46</f>
        <v>8.0215661227922452E-2</v>
      </c>
      <c r="C53" s="141">
        <f t="shared" si="37"/>
        <v>9.2643886959958704E-2</v>
      </c>
      <c r="D53" s="141">
        <f t="shared" si="37"/>
        <v>0.15179376250380164</v>
      </c>
      <c r="E53" s="141">
        <f t="shared" si="37"/>
        <v>0.59774124252479999</v>
      </c>
      <c r="F53" s="141">
        <f t="shared" si="37"/>
        <v>0.79822895261586568</v>
      </c>
      <c r="G53" s="141">
        <f t="shared" si="37"/>
        <v>1.4124088126111187</v>
      </c>
      <c r="H53" s="141">
        <f t="shared" si="37"/>
        <v>3.2859418369574174</v>
      </c>
      <c r="I53" s="141">
        <f t="shared" si="37"/>
        <v>0.11999943746770991</v>
      </c>
      <c r="J53" s="141">
        <f t="shared" si="37"/>
        <v>0.24935408298930314</v>
      </c>
      <c r="K53" s="141">
        <f t="shared" si="37"/>
        <v>0.48140949620298923</v>
      </c>
      <c r="L53" s="141">
        <f t="shared" si="37"/>
        <v>2.2509111296026698</v>
      </c>
      <c r="M53" s="141">
        <f t="shared" si="37"/>
        <v>3.5216654541518913</v>
      </c>
      <c r="N53" s="141"/>
      <c r="O53" s="141">
        <f t="shared" si="37"/>
        <v>1</v>
      </c>
      <c r="P53" s="141">
        <f t="shared" si="37"/>
        <v>2.1539899000781459</v>
      </c>
      <c r="Q53" s="141">
        <f t="shared" si="37"/>
        <v>0.11130177538151448</v>
      </c>
      <c r="R53" s="141">
        <f t="shared" si="37"/>
        <v>1.3236270429009824</v>
      </c>
      <c r="S53" s="141">
        <f t="shared" si="37"/>
        <v>1.9386203788671421</v>
      </c>
      <c r="T53" s="141">
        <f t="shared" si="37"/>
        <v>2.3780677260210217</v>
      </c>
      <c r="U53" s="141">
        <f t="shared" si="37"/>
        <v>2.0753477748969473</v>
      </c>
      <c r="V53" s="141">
        <f t="shared" si="37"/>
        <v>3.2143723851441943</v>
      </c>
    </row>
    <row r="54" spans="1:22" s="3" customFormat="1" x14ac:dyDescent="0.25">
      <c r="A54" s="61" t="s">
        <v>2</v>
      </c>
      <c r="B54" s="141">
        <f t="shared" ref="B54:V54" si="38">B48</f>
        <v>2.6138868118035421E-2</v>
      </c>
      <c r="C54" s="141">
        <f t="shared" si="38"/>
        <v>2.4675625377871345E-2</v>
      </c>
      <c r="D54" s="141">
        <f t="shared" si="38"/>
        <v>6.344382160524796E-2</v>
      </c>
      <c r="E54" s="141">
        <f t="shared" si="38"/>
        <v>0.43991997944851052</v>
      </c>
      <c r="F54" s="141">
        <f t="shared" si="38"/>
        <v>0.16293475383677949</v>
      </c>
      <c r="G54" s="141">
        <f t="shared" si="38"/>
        <v>0.29282693024317524</v>
      </c>
      <c r="H54" s="141">
        <f t="shared" si="38"/>
        <v>0.18363426869952071</v>
      </c>
      <c r="I54" s="141">
        <f t="shared" si="38"/>
        <v>1.6806282328970645E-2</v>
      </c>
      <c r="J54" s="141">
        <f t="shared" si="38"/>
        <v>0.19350241769980239</v>
      </c>
      <c r="K54" s="141">
        <f t="shared" si="38"/>
        <v>0.16523956088698039</v>
      </c>
      <c r="L54" s="141">
        <f t="shared" si="38"/>
        <v>0.40385685693713397</v>
      </c>
      <c r="M54" s="141">
        <f t="shared" si="38"/>
        <v>0.30945585539846954</v>
      </c>
      <c r="N54" s="141"/>
      <c r="O54" s="141">
        <f t="shared" si="38"/>
        <v>0.14721459252240238</v>
      </c>
      <c r="P54" s="141">
        <f t="shared" si="38"/>
        <v>0.1375371945409615</v>
      </c>
      <c r="Q54" s="141">
        <f t="shared" si="38"/>
        <v>2.4819798794041972E-2</v>
      </c>
      <c r="R54" s="141">
        <f t="shared" si="38"/>
        <v>0.2335424319631319</v>
      </c>
      <c r="S54" s="141">
        <f t="shared" si="38"/>
        <v>0.39072612013537922</v>
      </c>
      <c r="T54" s="141">
        <f t="shared" si="38"/>
        <v>0.35143020197942731</v>
      </c>
      <c r="U54" s="141">
        <f t="shared" si="38"/>
        <v>0.19427531687892463</v>
      </c>
      <c r="V54" s="141">
        <f t="shared" si="38"/>
        <v>0.26819927658232556</v>
      </c>
    </row>
    <row r="55" spans="1:22" s="3" customFormat="1" x14ac:dyDescent="0.25">
      <c r="A55" s="61" t="s">
        <v>79</v>
      </c>
      <c r="B55" s="141">
        <f>(B53*100/$B53)-100</f>
        <v>0</v>
      </c>
      <c r="C55" s="141">
        <f t="shared" ref="C55:M55" si="39">(C53*100/$B53)-100</f>
        <v>15.493515283409636</v>
      </c>
      <c r="D55" s="141">
        <f t="shared" si="39"/>
        <v>89.232077851355285</v>
      </c>
      <c r="E55" s="141">
        <f t="shared" si="39"/>
        <v>645.16775574085887</v>
      </c>
      <c r="F55" s="141">
        <f t="shared" si="39"/>
        <v>895.10362489913416</v>
      </c>
      <c r="G55" s="141">
        <f t="shared" si="39"/>
        <v>1660.764408084777</v>
      </c>
      <c r="H55" s="141">
        <f t="shared" si="39"/>
        <v>3996.3844050612979</v>
      </c>
      <c r="I55" s="141">
        <f t="shared" si="39"/>
        <v>49.596021064698334</v>
      </c>
      <c r="J55" s="141">
        <f t="shared" si="39"/>
        <v>210.85461264327887</v>
      </c>
      <c r="K55" s="141">
        <f t="shared" si="39"/>
        <v>500.14402279266426</v>
      </c>
      <c r="L55" s="141">
        <f t="shared" si="39"/>
        <v>2706.0743938854985</v>
      </c>
      <c r="M55" s="141">
        <f t="shared" si="39"/>
        <v>4290.2467426473413</v>
      </c>
      <c r="N55" s="141"/>
      <c r="O55" s="141">
        <f>(O53*100/$O53)-100</f>
        <v>0</v>
      </c>
      <c r="P55" s="141">
        <f t="shared" ref="P55:V55" si="40">(P53*100/$O53)-100</f>
        <v>115.3989900078146</v>
      </c>
      <c r="Q55" s="141">
        <f t="shared" si="40"/>
        <v>-88.869822461848557</v>
      </c>
      <c r="R55" s="141">
        <f t="shared" si="40"/>
        <v>32.362704290098236</v>
      </c>
      <c r="S55" s="141">
        <f t="shared" si="40"/>
        <v>93.862037886714205</v>
      </c>
      <c r="T55" s="141">
        <f t="shared" si="40"/>
        <v>137.80677260210217</v>
      </c>
      <c r="U55" s="141">
        <f t="shared" si="40"/>
        <v>107.53477748969473</v>
      </c>
      <c r="V55" s="141">
        <f t="shared" si="40"/>
        <v>221.43723851441945</v>
      </c>
    </row>
    <row r="56" spans="1:22" s="3" customFormat="1" x14ac:dyDescent="0.25">
      <c r="A56" s="61" t="s">
        <v>81</v>
      </c>
      <c r="B56" s="141" t="e">
        <f ca="1">[1]!SWTEST(B28:B43)</f>
        <v>#NAME?</v>
      </c>
      <c r="C56" s="141" t="e">
        <f ca="1">[1]!SWTEST(C28:C43)</f>
        <v>#NAME?</v>
      </c>
      <c r="D56" s="141" t="e">
        <f ca="1">[1]!SWTEST(D28:D43)</f>
        <v>#NAME?</v>
      </c>
      <c r="E56" s="141" t="e">
        <f ca="1">[1]!SWTEST(E28:E43)</f>
        <v>#NAME?</v>
      </c>
      <c r="F56" s="141" t="e">
        <f ca="1">[1]!SWTEST(F28:F43)</f>
        <v>#NAME?</v>
      </c>
      <c r="G56" s="141" t="e">
        <f ca="1">[1]!SWTEST(G28:G43)</f>
        <v>#NAME?</v>
      </c>
      <c r="H56" s="141" t="e">
        <f ca="1">[1]!SWTEST(H28:H43)</f>
        <v>#NAME?</v>
      </c>
      <c r="I56" s="141" t="e">
        <f ca="1">[1]!SWTEST(I28:I43)</f>
        <v>#NAME?</v>
      </c>
      <c r="J56" s="141" t="e">
        <f ca="1">[1]!SWTEST(J28:J43)</f>
        <v>#NAME?</v>
      </c>
      <c r="K56" s="141" t="e">
        <f ca="1">[1]!SWTEST(K28:K43)</f>
        <v>#NAME?</v>
      </c>
      <c r="L56" s="141" t="e">
        <f ca="1">[1]!SWTEST(L28:L43)</f>
        <v>#NAME?</v>
      </c>
      <c r="M56" s="141" t="e">
        <f ca="1">[1]!SWTEST(M28:M43)</f>
        <v>#NAME?</v>
      </c>
      <c r="N56" s="141"/>
      <c r="O56" s="141" t="e">
        <f ca="1">[1]!SWTEST(O28:O43)</f>
        <v>#NAME?</v>
      </c>
      <c r="P56" s="141" t="e">
        <f ca="1">[1]!SWTEST(P28:P43)</f>
        <v>#NAME?</v>
      </c>
      <c r="Q56" s="141" t="e">
        <f ca="1">[1]!SWTEST(Q28:Q43)</f>
        <v>#NAME?</v>
      </c>
      <c r="R56" s="141" t="e">
        <f ca="1">[1]!SWTEST(R28:R43)</f>
        <v>#NAME?</v>
      </c>
      <c r="S56" s="141" t="e">
        <f ca="1">[1]!SWTEST(S28:S43)</f>
        <v>#NAME?</v>
      </c>
      <c r="T56" s="141" t="e">
        <f ca="1">[1]!SWTEST(T28:T43)</f>
        <v>#NAME?</v>
      </c>
      <c r="U56" s="141" t="e">
        <f ca="1">[1]!SWTEST(U28:U43)</f>
        <v>#NAME?</v>
      </c>
      <c r="V56" s="141" t="e">
        <f ca="1">[1]!SWTEST(V28:V43)</f>
        <v>#NAME?</v>
      </c>
    </row>
    <row r="57" spans="1:22" s="3" customFormat="1" x14ac:dyDescent="0.25">
      <c r="A57" s="61" t="s">
        <v>85</v>
      </c>
      <c r="B57" s="141" t="e">
        <f ca="1">IF(B56&gt;0.05,"Oui","Non")</f>
        <v>#NAME?</v>
      </c>
      <c r="C57" s="141" t="e">
        <f t="shared" ref="C57:V57" ca="1" si="41">IF(C56&gt;0.05,"Oui","Non")</f>
        <v>#NAME?</v>
      </c>
      <c r="D57" s="141" t="e">
        <f t="shared" ca="1" si="41"/>
        <v>#NAME?</v>
      </c>
      <c r="E57" s="141" t="e">
        <f t="shared" ca="1" si="41"/>
        <v>#NAME?</v>
      </c>
      <c r="F57" s="141" t="e">
        <f t="shared" ca="1" si="41"/>
        <v>#NAME?</v>
      </c>
      <c r="G57" s="141" t="e">
        <f t="shared" ca="1" si="41"/>
        <v>#NAME?</v>
      </c>
      <c r="H57" s="141" t="e">
        <f t="shared" ca="1" si="41"/>
        <v>#NAME?</v>
      </c>
      <c r="I57" s="141" t="e">
        <f t="shared" ca="1" si="41"/>
        <v>#NAME?</v>
      </c>
      <c r="J57" s="141" t="e">
        <f t="shared" ca="1" si="41"/>
        <v>#NAME?</v>
      </c>
      <c r="K57" s="141" t="e">
        <f t="shared" ca="1" si="41"/>
        <v>#NAME?</v>
      </c>
      <c r="L57" s="141" t="e">
        <f t="shared" ca="1" si="41"/>
        <v>#NAME?</v>
      </c>
      <c r="M57" s="141" t="e">
        <f t="shared" ca="1" si="41"/>
        <v>#NAME?</v>
      </c>
      <c r="N57" s="141"/>
      <c r="O57" s="141" t="e">
        <f t="shared" ca="1" si="41"/>
        <v>#NAME?</v>
      </c>
      <c r="P57" s="141" t="e">
        <f t="shared" ca="1" si="41"/>
        <v>#NAME?</v>
      </c>
      <c r="Q57" s="141" t="e">
        <f t="shared" ca="1" si="41"/>
        <v>#NAME?</v>
      </c>
      <c r="R57" s="141" t="e">
        <f t="shared" ca="1" si="41"/>
        <v>#NAME?</v>
      </c>
      <c r="S57" s="141" t="e">
        <f t="shared" ca="1" si="41"/>
        <v>#NAME?</v>
      </c>
      <c r="T57" s="141" t="e">
        <f t="shared" ca="1" si="41"/>
        <v>#NAME?</v>
      </c>
      <c r="U57" s="141" t="e">
        <f t="shared" ca="1" si="41"/>
        <v>#NAME?</v>
      </c>
      <c r="V57" s="141" t="e">
        <f t="shared" ca="1" si="41"/>
        <v>#NAME?</v>
      </c>
    </row>
    <row r="58" spans="1:22" s="3" customFormat="1" x14ac:dyDescent="0.25">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25">
      <c r="A59" s="61" t="s">
        <v>82</v>
      </c>
      <c r="B59" s="150"/>
      <c r="C59" s="150" t="s">
        <v>4433</v>
      </c>
      <c r="D59" s="150" t="s">
        <v>4433</v>
      </c>
      <c r="E59" s="150" t="s">
        <v>4433</v>
      </c>
      <c r="F59" s="150" t="s">
        <v>4433</v>
      </c>
      <c r="G59" s="150" t="s">
        <v>4433</v>
      </c>
      <c r="H59" s="150" t="s">
        <v>4433</v>
      </c>
      <c r="I59" s="150" t="s">
        <v>4433</v>
      </c>
      <c r="J59" s="150" t="s">
        <v>4433</v>
      </c>
      <c r="K59" s="150" t="s">
        <v>4433</v>
      </c>
      <c r="L59" s="150" t="s">
        <v>4433</v>
      </c>
      <c r="M59" s="150" t="s">
        <v>4433</v>
      </c>
      <c r="N59" s="150"/>
      <c r="O59" s="150" t="e">
        <f t="shared" ref="O59" ca="1" si="42">IF($B57="Non",IF(O57="Non","MW",IF(O57="Oui","MW","")),IF($B57="Oui",IF(O57="Oui","T-Test Welch",IF(O57="Non","MW",""))))</f>
        <v>#NAME?</v>
      </c>
      <c r="P59" s="150" t="e">
        <f ca="1">IF($O57="Non",IF(P57="Non","MW",IF(P57="Oui","MW","")),IF($O57="Oui",IF(P57="Oui","T-Test Welch",IF(P57="Non","MW",""))))</f>
        <v>#NAME?</v>
      </c>
      <c r="Q59" s="150" t="e">
        <f t="shared" ref="Q59" ca="1" si="43">IF($O57="Non",IF(Q57="Non","MW",IF(Q57="Oui","MW","")),IF($O57="Oui",IF(Q57="Oui","T-Test Welch",IF(Q57="Non","MW",""))))</f>
        <v>#NAME?</v>
      </c>
      <c r="R59" s="150" t="s">
        <v>4434</v>
      </c>
      <c r="S59" s="150" t="s">
        <v>4434</v>
      </c>
      <c r="T59" s="150" t="s">
        <v>4434</v>
      </c>
      <c r="U59" s="150" t="s">
        <v>4434</v>
      </c>
      <c r="V59" s="150" t="s">
        <v>4434</v>
      </c>
    </row>
    <row r="60" spans="1:22" s="3" customFormat="1" ht="15.75" x14ac:dyDescent="0.25">
      <c r="A60" s="61" t="s">
        <v>83</v>
      </c>
      <c r="B60" s="151"/>
      <c r="C60" s="196">
        <v>0.99990000000000001</v>
      </c>
      <c r="D60" s="196">
        <v>0.99990000000000001</v>
      </c>
      <c r="E60" s="196">
        <v>0.81679999999999997</v>
      </c>
      <c r="F60" s="196">
        <v>4.5699999999999998E-2</v>
      </c>
      <c r="G60" s="196">
        <v>6.7000000000000002E-3</v>
      </c>
      <c r="H60" s="196">
        <v>1E-4</v>
      </c>
      <c r="I60" s="196">
        <v>0.99990000000000001</v>
      </c>
      <c r="J60" s="196">
        <v>0.99990000000000001</v>
      </c>
      <c r="K60" s="196">
        <v>0.27779999999999999</v>
      </c>
      <c r="L60" s="196">
        <v>1.1999999999999999E-3</v>
      </c>
      <c r="M60" s="196">
        <v>1E-4</v>
      </c>
      <c r="N60" s="151"/>
      <c r="O60" s="196">
        <v>1E-4</v>
      </c>
      <c r="P60" s="196">
        <v>1E-4</v>
      </c>
      <c r="Q60" s="196">
        <v>1E-4</v>
      </c>
      <c r="R60" s="196">
        <v>0.78390000000000004</v>
      </c>
      <c r="S60" s="196">
        <v>2.6800000000000001E-2</v>
      </c>
      <c r="T60" s="196">
        <v>1E-3</v>
      </c>
      <c r="U60" s="196">
        <v>8.8999999999999999E-3</v>
      </c>
      <c r="V60" s="196">
        <v>1E-4</v>
      </c>
    </row>
    <row r="61" spans="1:22" s="3" customFormat="1" ht="15.75" thickBot="1" x14ac:dyDescent="0.3">
      <c r="A61" s="62" t="s">
        <v>84</v>
      </c>
      <c r="B61" s="142"/>
      <c r="C61" s="142" t="str">
        <f t="shared" ref="C61:O61" si="44">IF(C60&gt;0.05,"NS",IF(C60&gt;0.01,"*",IF(C60&gt;0.001,"**","***")))</f>
        <v>NS</v>
      </c>
      <c r="D61" s="142" t="str">
        <f t="shared" si="44"/>
        <v>NS</v>
      </c>
      <c r="E61" s="142" t="str">
        <f t="shared" si="44"/>
        <v>NS</v>
      </c>
      <c r="F61" s="142" t="str">
        <f t="shared" si="44"/>
        <v>*</v>
      </c>
      <c r="G61" s="142" t="str">
        <f t="shared" si="44"/>
        <v>**</v>
      </c>
      <c r="H61" s="142" t="str">
        <f t="shared" si="44"/>
        <v>***</v>
      </c>
      <c r="I61" s="142" t="str">
        <f t="shared" si="44"/>
        <v>NS</v>
      </c>
      <c r="J61" s="142" t="str">
        <f t="shared" si="44"/>
        <v>NS</v>
      </c>
      <c r="K61" s="142" t="str">
        <f t="shared" si="44"/>
        <v>NS</v>
      </c>
      <c r="L61" s="142" t="str">
        <f t="shared" si="44"/>
        <v>**</v>
      </c>
      <c r="M61" s="142" t="str">
        <f t="shared" si="44"/>
        <v>***</v>
      </c>
      <c r="N61" s="142"/>
      <c r="O61" s="142" t="str">
        <f t="shared" si="44"/>
        <v>***</v>
      </c>
      <c r="P61" s="142" t="str">
        <f>IF(P60&gt;0.05,"NS",IF(P60&gt;0.01,"*",IF(P60&gt;0.001,"**","***")))</f>
        <v>***</v>
      </c>
      <c r="Q61" s="142" t="str">
        <f t="shared" ref="Q61:V61" si="45">IF(Q60&gt;0.05,"NS",IF(Q60&gt;0.01,"*",IF(Q60&gt;0.001,"**","***")))</f>
        <v>***</v>
      </c>
      <c r="R61" s="142" t="str">
        <f t="shared" si="45"/>
        <v>NS</v>
      </c>
      <c r="S61" s="142" t="str">
        <f t="shared" si="45"/>
        <v>*</v>
      </c>
      <c r="T61" s="142" t="str">
        <f t="shared" si="45"/>
        <v>***</v>
      </c>
      <c r="U61" s="142" t="str">
        <f t="shared" si="45"/>
        <v>**</v>
      </c>
      <c r="V61" s="142" t="str">
        <f t="shared" si="45"/>
        <v>***</v>
      </c>
    </row>
    <row r="63" spans="1:22" x14ac:dyDescent="0.25">
      <c r="A63" s="2" t="s">
        <v>39</v>
      </c>
    </row>
    <row r="64" spans="1:22" x14ac:dyDescent="0.25">
      <c r="A64" s="1" t="s">
        <v>23</v>
      </c>
      <c r="B64" s="1">
        <f>B46+(3*B47)</f>
        <v>0.30201131201356679</v>
      </c>
    </row>
    <row r="65" spans="1:22" x14ac:dyDescent="0.25">
      <c r="A65" s="1" t="s">
        <v>24</v>
      </c>
      <c r="B65" s="1">
        <f>B46+(10*B47)</f>
        <v>0.81953449718007032</v>
      </c>
    </row>
    <row r="66" spans="1:22" ht="15.75" thickBot="1" x14ac:dyDescent="0.3"/>
    <row r="67" spans="1:22" ht="27" thickBot="1" x14ac:dyDescent="0.45">
      <c r="A67" s="220" t="s">
        <v>45</v>
      </c>
      <c r="B67" s="221"/>
      <c r="C67" s="221"/>
      <c r="D67" s="221"/>
      <c r="E67" s="221"/>
      <c r="F67" s="221"/>
      <c r="G67" s="221"/>
      <c r="H67" s="221"/>
      <c r="I67" s="221"/>
      <c r="J67" s="221"/>
      <c r="K67" s="221"/>
      <c r="L67" s="221"/>
      <c r="M67" s="221"/>
      <c r="N67" s="221"/>
      <c r="O67" s="221"/>
      <c r="P67" s="221"/>
      <c r="Q67" s="221"/>
      <c r="R67" s="221"/>
      <c r="S67" s="221"/>
      <c r="T67" s="221"/>
      <c r="U67" s="221"/>
      <c r="V67" s="221"/>
    </row>
    <row r="68" spans="1:22" ht="16.5" x14ac:dyDescent="0.25">
      <c r="A68" s="12"/>
      <c r="B68" s="12"/>
      <c r="C68" s="12"/>
      <c r="D68" s="12"/>
      <c r="E68" s="12"/>
      <c r="F68" s="12"/>
      <c r="N68" s="12"/>
      <c r="O68" s="12"/>
      <c r="P68" s="12"/>
      <c r="Q68" s="12"/>
      <c r="R68" s="12"/>
      <c r="S68" s="12"/>
      <c r="T68" s="12"/>
      <c r="U68" s="12"/>
      <c r="V68" s="12"/>
    </row>
    <row r="69" spans="1:22" ht="16.5" x14ac:dyDescent="0.25">
      <c r="A69" s="12"/>
      <c r="B69" s="12"/>
      <c r="C69" s="12"/>
      <c r="D69" s="12"/>
      <c r="E69" s="12"/>
      <c r="F69" s="12"/>
      <c r="N69" s="12"/>
      <c r="O69" s="12"/>
      <c r="P69" s="12"/>
      <c r="Q69" s="12"/>
      <c r="R69" s="12"/>
      <c r="S69" s="12"/>
      <c r="T69" s="12"/>
      <c r="U69" s="12"/>
      <c r="V69" s="12"/>
    </row>
    <row r="70" spans="1:22" ht="16.5" x14ac:dyDescent="0.25">
      <c r="A70" s="12"/>
      <c r="B70" s="12"/>
      <c r="C70" s="12"/>
      <c r="D70" s="12"/>
      <c r="E70" s="12"/>
      <c r="F70" s="12"/>
      <c r="N70" s="12"/>
      <c r="O70" s="12"/>
      <c r="P70" s="12"/>
      <c r="Q70" s="12"/>
      <c r="R70" s="12"/>
      <c r="S70" s="196"/>
      <c r="T70" s="12"/>
      <c r="U70" s="12"/>
      <c r="V70" s="12"/>
    </row>
    <row r="71" spans="1:22" ht="16.5" x14ac:dyDescent="0.25">
      <c r="A71" s="12"/>
      <c r="B71" s="12"/>
      <c r="C71" s="12"/>
      <c r="D71" s="12"/>
      <c r="E71" s="12"/>
      <c r="F71" s="12"/>
      <c r="K71" s="196"/>
      <c r="N71" s="12"/>
      <c r="O71" s="12"/>
      <c r="P71" s="12"/>
      <c r="Q71" s="12"/>
      <c r="R71" s="12"/>
      <c r="S71" s="196"/>
      <c r="T71" s="12"/>
      <c r="U71" s="12"/>
      <c r="V71" s="12"/>
    </row>
    <row r="72" spans="1:22" ht="16.5" x14ac:dyDescent="0.25">
      <c r="A72" s="12"/>
      <c r="B72" s="12"/>
      <c r="C72" s="12"/>
      <c r="D72" s="12"/>
      <c r="E72" s="12"/>
      <c r="F72" s="12"/>
      <c r="K72" s="196"/>
      <c r="N72" s="12"/>
      <c r="O72" s="12"/>
      <c r="P72" s="12"/>
      <c r="Q72" s="12"/>
      <c r="R72" s="12"/>
      <c r="S72" s="196"/>
      <c r="T72" s="12"/>
      <c r="U72" s="12"/>
      <c r="V72" s="12"/>
    </row>
    <row r="73" spans="1:22" ht="16.5" x14ac:dyDescent="0.25">
      <c r="A73" s="12"/>
      <c r="B73" s="12"/>
      <c r="C73" s="12"/>
      <c r="D73" s="12"/>
      <c r="E73" s="12"/>
      <c r="F73" s="12"/>
      <c r="K73" s="196"/>
      <c r="N73" s="12"/>
      <c r="O73" s="12"/>
      <c r="P73" s="12"/>
      <c r="Q73" s="12"/>
      <c r="R73" s="12"/>
      <c r="S73" s="196"/>
      <c r="T73" s="12"/>
      <c r="U73" s="12"/>
      <c r="V73" s="12"/>
    </row>
    <row r="74" spans="1:22" ht="16.5" x14ac:dyDescent="0.25">
      <c r="A74" s="12"/>
      <c r="B74" s="12"/>
      <c r="C74" s="196"/>
      <c r="D74" s="12"/>
      <c r="E74" s="12"/>
      <c r="F74" s="12"/>
      <c r="K74" s="196"/>
      <c r="N74" s="12"/>
      <c r="O74" s="12"/>
      <c r="P74" s="12"/>
      <c r="Q74" s="12"/>
      <c r="R74" s="12"/>
      <c r="S74" s="196"/>
      <c r="T74" s="12"/>
      <c r="U74" s="12"/>
      <c r="V74" s="12"/>
    </row>
    <row r="75" spans="1:22" ht="15.75" x14ac:dyDescent="0.25">
      <c r="C75" s="196"/>
      <c r="K75" s="196"/>
    </row>
    <row r="76" spans="1:22" ht="15.75" x14ac:dyDescent="0.25">
      <c r="C76" s="196"/>
    </row>
    <row r="77" spans="1:22" ht="15.75" x14ac:dyDescent="0.25">
      <c r="C77" s="196"/>
    </row>
    <row r="78" spans="1:22" ht="15.75" x14ac:dyDescent="0.25">
      <c r="C78" s="196"/>
    </row>
    <row r="79" spans="1:22" ht="15.75" x14ac:dyDescent="0.25">
      <c r="C79" s="196"/>
    </row>
  </sheetData>
  <protectedRanges>
    <protectedRange sqref="O51:V51" name="Plage2"/>
    <protectedRange sqref="R5:V20" name="Plage1"/>
    <protectedRange sqref="B51:J51" name="Plage2_1"/>
    <protectedRange sqref="O5:O20 B5:J20" name="Plage1_1"/>
  </protectedRanges>
  <mergeCells count="9">
    <mergeCell ref="A28:A43"/>
    <mergeCell ref="A50:V50"/>
    <mergeCell ref="A67:V67"/>
    <mergeCell ref="A1:V1"/>
    <mergeCell ref="B3:M3"/>
    <mergeCell ref="O3:V3"/>
    <mergeCell ref="A5:A20"/>
    <mergeCell ref="B26:M26"/>
    <mergeCell ref="O26:V26"/>
  </mergeCells>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100"/>
  <sheetViews>
    <sheetView showGridLines="0" zoomScaleNormal="100" workbookViewId="0">
      <selection activeCell="W48" sqref="W48"/>
    </sheetView>
  </sheetViews>
  <sheetFormatPr defaultColWidth="11.42578125" defaultRowHeight="15" x14ac:dyDescent="0.25"/>
  <cols>
    <col min="1" max="1" width="42.85546875" customWidth="1"/>
    <col min="2" max="2" width="14" bestFit="1" customWidth="1"/>
    <col min="3" max="13" width="22.7109375" bestFit="1" customWidth="1"/>
    <col min="14" max="14" width="8.42578125" customWidth="1"/>
    <col min="15" max="15" width="22.7109375" customWidth="1"/>
    <col min="18" max="22" width="29.140625" customWidth="1"/>
  </cols>
  <sheetData>
    <row r="1" spans="1:22" s="1" customFormat="1" ht="21.75" thickBot="1" x14ac:dyDescent="0.3">
      <c r="A1" s="37" t="s">
        <v>8</v>
      </c>
      <c r="B1" s="55" t="e">
        <f>'Page de garde'!#REF!</f>
        <v>#REF!</v>
      </c>
      <c r="C1" s="38"/>
      <c r="D1" s="38"/>
      <c r="E1" s="38"/>
      <c r="F1" s="38"/>
      <c r="G1" s="38"/>
      <c r="H1" s="56"/>
      <c r="I1" s="55"/>
      <c r="J1" s="57"/>
      <c r="K1" s="57"/>
      <c r="L1" s="57"/>
      <c r="M1" s="57"/>
      <c r="N1" s="57"/>
      <c r="O1" s="57"/>
      <c r="P1" s="57"/>
      <c r="Q1" s="57"/>
      <c r="R1" s="57"/>
      <c r="S1" s="57"/>
      <c r="T1" s="57"/>
      <c r="U1" s="57"/>
      <c r="V1" s="57"/>
    </row>
    <row r="2" spans="1:22" ht="15.75" thickBot="1" x14ac:dyDescent="0.3">
      <c r="A2" s="1"/>
      <c r="B2" s="1"/>
      <c r="C2" s="1"/>
      <c r="D2" s="1"/>
      <c r="E2" s="1"/>
      <c r="F2" s="1"/>
      <c r="G2" s="1"/>
      <c r="H2" s="1"/>
      <c r="I2" s="1"/>
      <c r="J2" s="1"/>
      <c r="K2" s="1"/>
      <c r="L2" s="1"/>
      <c r="M2" s="1"/>
    </row>
    <row r="3" spans="1:22" s="33" customFormat="1" ht="15.75" thickBot="1" x14ac:dyDescent="0.3">
      <c r="B3" s="226" t="s">
        <v>6</v>
      </c>
      <c r="C3" s="227"/>
      <c r="D3" s="227"/>
      <c r="E3" s="227"/>
      <c r="F3" s="227"/>
      <c r="G3" s="227"/>
      <c r="H3" s="227"/>
      <c r="I3" s="227"/>
      <c r="J3" s="227"/>
      <c r="K3" s="227"/>
      <c r="L3" s="227"/>
      <c r="M3" s="227"/>
      <c r="N3" s="72"/>
      <c r="O3" s="226" t="s">
        <v>3</v>
      </c>
      <c r="P3" s="227"/>
      <c r="Q3" s="227"/>
      <c r="R3" s="227"/>
      <c r="S3" s="227"/>
      <c r="T3" s="227"/>
      <c r="U3" s="227"/>
      <c r="V3" s="227"/>
    </row>
    <row r="4" spans="1:22" x14ac:dyDescent="0.25">
      <c r="A4" s="34" t="s">
        <v>41</v>
      </c>
      <c r="B4" s="35" t="str">
        <f>'R1'!B4</f>
        <v>Témoin solvant</v>
      </c>
      <c r="C4" s="35" t="str">
        <f>'R1'!C4</f>
        <v>EE2-33.8ng/L</v>
      </c>
      <c r="D4" s="35" t="str">
        <f>'R1'!D4</f>
        <v>EE2-50.6ng/L</v>
      </c>
      <c r="E4" s="35" t="str">
        <f>'R1'!E4</f>
        <v>EE2-76ng/L</v>
      </c>
      <c r="F4" s="35" t="str">
        <f>'R1'!F4</f>
        <v>EE2-114ng/L</v>
      </c>
      <c r="G4" s="35" t="str">
        <f>'R1'!G4</f>
        <v>EE2-170.9ng/L</v>
      </c>
      <c r="H4" s="35" t="str">
        <f>'R1'!H4</f>
        <v>EE2-488ng/L</v>
      </c>
      <c r="I4" s="35" t="str">
        <f>'R1'!I4</f>
        <v>estradiol 34ng/L</v>
      </c>
      <c r="J4" s="35" t="str">
        <f>'R1'!J4</f>
        <v>estradiol 68ng/L</v>
      </c>
      <c r="K4" s="35" t="str">
        <f>'R1'!K4</f>
        <v>estradiol 135ng/L</v>
      </c>
      <c r="L4" s="35" t="str">
        <f>'R1'!L4</f>
        <v>estradiol 270ng/L</v>
      </c>
      <c r="M4" s="35" t="str">
        <f>'R1'!M4</f>
        <v>estradiol 540ng/L</v>
      </c>
      <c r="O4" s="35" t="str">
        <f>'R1'!O4</f>
        <v>Testo -30µg/L</v>
      </c>
      <c r="P4" s="35" t="str">
        <f>'R1'!P4</f>
        <v>Testo 30µg/L + EE2 -64ng/L</v>
      </c>
      <c r="Q4" s="35" t="str">
        <f>'R1'!Q4</f>
        <v>Testo 30µg/L + FAD-10µg/L</v>
      </c>
      <c r="R4" s="35" t="str">
        <f>'R1'!R4</f>
        <v>estradiol-34ng/L + Testosterone</v>
      </c>
      <c r="S4" s="35" t="str">
        <f>'R1'!S4</f>
        <v>estradiol-68ng/L + Testosterone</v>
      </c>
      <c r="T4" s="35" t="str">
        <f>'R1'!T4</f>
        <v>estradiol-135ng/L + Testosterone</v>
      </c>
      <c r="U4" s="35" t="str">
        <f>'R1'!U4</f>
        <v>estradiol-270ng/L + Testosterone</v>
      </c>
      <c r="V4" s="35" t="str">
        <f>'R1'!V4</f>
        <v>estradiol-540ng/L + Testosterone</v>
      </c>
    </row>
    <row r="5" spans="1:22" s="1" customFormat="1" x14ac:dyDescent="0.25">
      <c r="A5" s="34"/>
      <c r="B5" s="35"/>
      <c r="C5" s="194" t="s">
        <v>164</v>
      </c>
      <c r="D5" s="35"/>
      <c r="E5" s="35"/>
      <c r="F5" s="35"/>
      <c r="G5" s="35"/>
      <c r="H5" s="35"/>
      <c r="I5" s="35"/>
      <c r="J5" s="35"/>
      <c r="K5" s="35"/>
      <c r="L5" s="35"/>
      <c r="M5" s="35"/>
      <c r="O5" s="35"/>
      <c r="P5" s="35"/>
      <c r="Q5" s="35"/>
      <c r="R5" s="35"/>
      <c r="S5" s="35"/>
      <c r="T5" s="35"/>
      <c r="U5" s="35"/>
      <c r="V5" s="35"/>
    </row>
    <row r="6" spans="1:22" s="1" customFormat="1" x14ac:dyDescent="0.25">
      <c r="A6" s="71" t="s">
        <v>4</v>
      </c>
      <c r="B6" s="53">
        <f>'R1'!B28</f>
        <v>0.1016107784177359</v>
      </c>
      <c r="C6" s="53">
        <f>'R1'!C28</f>
        <v>4.4410510857880593E-2</v>
      </c>
      <c r="D6" s="53">
        <f>'R1'!D28</f>
        <v>0.28402942298691569</v>
      </c>
      <c r="E6" s="53">
        <f>'R1'!E28</f>
        <v>0.23526703339509694</v>
      </c>
      <c r="F6" s="53">
        <f>'R1'!F28</f>
        <v>0.81158541263326511</v>
      </c>
      <c r="G6" s="53">
        <f>'R1'!G28</f>
        <v>0.97318663023781327</v>
      </c>
      <c r="H6" s="53">
        <f>'R1'!H28</f>
        <v>1.0638927018789497</v>
      </c>
      <c r="I6" s="53">
        <f>'R1'!I28</f>
        <v>0.15309240370052421</v>
      </c>
      <c r="J6" s="53">
        <f>'R1'!J28</f>
        <v>1.0178301950469811E-2</v>
      </c>
      <c r="K6" s="53">
        <f>'R1'!K28</f>
        <v>0.36636349106017169</v>
      </c>
      <c r="L6" s="53">
        <f>'R1'!L28</f>
        <v>2.2387472207551031</v>
      </c>
      <c r="M6" s="53">
        <f>'R1'!M28</f>
        <v>2.8090970071673631</v>
      </c>
      <c r="N6"/>
      <c r="O6" s="53">
        <f>'R1'!O28</f>
        <v>1.8456251761797109</v>
      </c>
      <c r="P6" s="53">
        <f>'R1'!P28</f>
        <v>0.10313712920824894</v>
      </c>
      <c r="Q6" s="53">
        <f>'R1'!Q28</f>
        <v>7.7837488962025497E-2</v>
      </c>
      <c r="R6" s="53">
        <f>'R1'!R28</f>
        <v>1.4145813608133542</v>
      </c>
      <c r="S6" s="53">
        <f>'R1'!S28</f>
        <v>1.9430564658191718</v>
      </c>
      <c r="T6" s="53">
        <f>'R1'!T28</f>
        <v>1.8893176932930635</v>
      </c>
      <c r="U6" s="53">
        <f>'R1'!U28</f>
        <v>3.1801473315385382</v>
      </c>
      <c r="V6" s="53">
        <f>'R1'!V28</f>
        <v>3.2534702282765222</v>
      </c>
    </row>
    <row r="7" spans="1:22" s="1" customFormat="1" x14ac:dyDescent="0.25">
      <c r="A7" s="230" t="s">
        <v>34</v>
      </c>
      <c r="B7" s="53">
        <f>'R1'!B29</f>
        <v>0.23399524808315383</v>
      </c>
      <c r="C7" s="53">
        <f>'R1'!C29</f>
        <v>1.7710165004718975E-2</v>
      </c>
      <c r="D7" s="53">
        <f>'R1'!D29</f>
        <v>0.11669326198254991</v>
      </c>
      <c r="E7" s="53">
        <f>'R1'!E29</f>
        <v>9.3686348599165761E-2</v>
      </c>
      <c r="F7" s="53">
        <f>'R1'!F29</f>
        <v>0.76244459880371263</v>
      </c>
      <c r="G7" s="53">
        <f>'R1'!G29</f>
        <v>1.6152201945565985</v>
      </c>
      <c r="H7" s="53">
        <f>'R1'!H29</f>
        <v>3.3288540633100161</v>
      </c>
      <c r="I7" s="53">
        <f>'R1'!I29</f>
        <v>7.0711144249077183E-3</v>
      </c>
      <c r="J7" s="53">
        <f>'R1'!J29</f>
        <v>0.24610244179141919</v>
      </c>
      <c r="K7" s="53">
        <f>'R1'!K29</f>
        <v>0.69698822195964161</v>
      </c>
      <c r="L7" s="53">
        <f>'R1'!L29</f>
        <v>1.6106125593944829</v>
      </c>
      <c r="M7" s="53">
        <f>'R1'!M29</f>
        <v>2.3568380621018723</v>
      </c>
      <c r="N7"/>
      <c r="O7" s="53">
        <f>'R1'!O29</f>
        <v>1.1342532603373647</v>
      </c>
      <c r="P7" s="53">
        <f>'R1'!P29</f>
        <v>1.6628700883464564</v>
      </c>
      <c r="Q7" s="53">
        <f>'R1'!Q29</f>
        <v>9.0978278060765042E-2</v>
      </c>
      <c r="R7" s="53">
        <f>'R1'!R29</f>
        <v>1.1581038126488516</v>
      </c>
      <c r="S7" s="53">
        <f>'R1'!S29</f>
        <v>1.7746883469800419</v>
      </c>
      <c r="T7" s="53">
        <f>'R1'!T29</f>
        <v>2.1871368240460209</v>
      </c>
      <c r="U7" s="53">
        <f>'R1'!U29</f>
        <v>2.0246418731955109</v>
      </c>
      <c r="V7" s="53">
        <f>'R1'!V29</f>
        <v>2.2122689870037116</v>
      </c>
    </row>
    <row r="8" spans="1:22" s="1" customFormat="1" x14ac:dyDescent="0.25">
      <c r="A8" s="231"/>
      <c r="B8" s="53">
        <f>'R1'!B30</f>
        <v>2.7270215240276015E-2</v>
      </c>
      <c r="C8" s="53">
        <f>'R1'!C30</f>
        <v>6.7188910785355493E-2</v>
      </c>
      <c r="D8" s="53">
        <f>'R1'!D30</f>
        <v>6.8003520316779212E-2</v>
      </c>
      <c r="E8" s="53">
        <f>'R1'!E30</f>
        <v>3.6920703211640787E-2</v>
      </c>
      <c r="F8" s="53">
        <f>'R1'!F30</f>
        <v>1.1640341462186241E-2</v>
      </c>
      <c r="G8" s="53">
        <f>'R1'!G30</f>
        <v>1.5400490928967165</v>
      </c>
      <c r="H8" s="53">
        <f>'R1'!H30</f>
        <v>2.5663095736079873</v>
      </c>
      <c r="I8" s="53">
        <f>'R1'!I30</f>
        <v>4.7839850252229407E-2</v>
      </c>
      <c r="J8" s="53">
        <f>'R1'!J30</f>
        <v>2.8638914076516812E-2</v>
      </c>
      <c r="K8" s="53">
        <f>'R1'!K30</f>
        <v>0.22174945761433376</v>
      </c>
      <c r="L8" s="53">
        <f>'R1'!L30</f>
        <v>1.6753670203137252</v>
      </c>
      <c r="M8" s="53">
        <f>'R1'!M30</f>
        <v>3.3818233335210786</v>
      </c>
      <c r="N8"/>
      <c r="O8" s="53">
        <f>'R1'!O30</f>
        <v>0.8118204763120147</v>
      </c>
      <c r="P8" s="53">
        <f>'R1'!P30</f>
        <v>1.8370697663722995</v>
      </c>
      <c r="Q8" s="53">
        <f>'R1'!Q30</f>
        <v>0.14191563937299687</v>
      </c>
      <c r="R8" s="53">
        <f>'R1'!R30</f>
        <v>1.1851005560855412</v>
      </c>
      <c r="S8" s="53">
        <f>'R1'!S30</f>
        <v>1.0080594211652745</v>
      </c>
      <c r="T8" s="53">
        <f>'R1'!T30</f>
        <v>1.3370463730515945</v>
      </c>
      <c r="U8" s="53">
        <f>'R1'!U30</f>
        <v>2.1351688447173331</v>
      </c>
      <c r="V8" s="53">
        <f>'R1'!V30</f>
        <v>1.5056625815808042</v>
      </c>
    </row>
    <row r="9" spans="1:22" s="1" customFormat="1" x14ac:dyDescent="0.25">
      <c r="A9" s="231"/>
      <c r="B9" s="53">
        <f>'R1'!B31</f>
        <v>6.6061676982003811E-2</v>
      </c>
      <c r="C9" s="53">
        <f>'R1'!C31</f>
        <v>0.1088365674228975</v>
      </c>
      <c r="D9" s="53">
        <f>'R1'!D31</f>
        <v>0.10336251642143891</v>
      </c>
      <c r="E9" s="53">
        <f>'R1'!E31</f>
        <v>0.2138023997532241</v>
      </c>
      <c r="F9" s="53">
        <f>'R1'!F31</f>
        <v>0.37293559759960199</v>
      </c>
      <c r="G9" s="53">
        <f>'R1'!G31</f>
        <v>1.8221481354388276</v>
      </c>
      <c r="H9" s="53">
        <f>'R1'!H31</f>
        <v>2.589461485106066</v>
      </c>
      <c r="I9" s="53">
        <f>'R1'!I31</f>
        <v>4.9288789318265046E-2</v>
      </c>
      <c r="J9" s="53">
        <f>'R1'!J31</f>
        <v>4.0404751853576996E-2</v>
      </c>
      <c r="K9" s="53">
        <f>'R1'!K31</f>
        <v>0.36957384459547005</v>
      </c>
      <c r="L9" s="53">
        <f>'R1'!L31</f>
        <v>1.9780033933596901</v>
      </c>
      <c r="M9" s="53">
        <f>'R1'!M31</f>
        <v>2.0415695843082045</v>
      </c>
      <c r="N9"/>
      <c r="O9" s="53">
        <f>'R1'!O31</f>
        <v>0.97074406702750005</v>
      </c>
      <c r="P9" s="53">
        <f>'R1'!P31</f>
        <v>2.1031458473315467</v>
      </c>
      <c r="Q9" s="53">
        <f>'R1'!Q31</f>
        <v>3.8556546931679071E-2</v>
      </c>
      <c r="R9" s="53">
        <f>'R1'!R31</f>
        <v>1.5665112488284094</v>
      </c>
      <c r="S9" s="53" t="str">
        <f>'R1'!S31</f>
        <v/>
      </c>
      <c r="T9" s="53">
        <f>'R1'!T31</f>
        <v>2.3553084361999388</v>
      </c>
      <c r="U9" s="53">
        <f>'R1'!U31</f>
        <v>1.4984078376133141</v>
      </c>
      <c r="V9" s="53">
        <f>'R1'!V31</f>
        <v>2.003505792776564</v>
      </c>
    </row>
    <row r="10" spans="1:22" s="1" customFormat="1" x14ac:dyDescent="0.25">
      <c r="A10" s="231"/>
      <c r="B10" s="53">
        <f>'R1'!B32</f>
        <v>1.995436067105898E-2</v>
      </c>
      <c r="C10" s="53">
        <f>'R1'!C32</f>
        <v>8.0831982880992609E-2</v>
      </c>
      <c r="D10" s="53">
        <f>'R1'!D32</f>
        <v>2.1351940035277885E-2</v>
      </c>
      <c r="E10" s="53">
        <f>'R1'!E32</f>
        <v>0.15135361727380106</v>
      </c>
      <c r="F10" s="53">
        <f>'R1'!F32</f>
        <v>0.39569791970737778</v>
      </c>
      <c r="G10" s="53">
        <f>'R1'!G32</f>
        <v>1.2875420218543998</v>
      </c>
      <c r="H10" s="53">
        <f>'R1'!H32</f>
        <v>2.7861271620905073</v>
      </c>
      <c r="I10" s="53">
        <f>'R1'!I32</f>
        <v>6.267119231859461E-2</v>
      </c>
      <c r="J10" s="53">
        <f>'R1'!J32</f>
        <v>1.813176116571897E-2</v>
      </c>
      <c r="K10" s="53">
        <f>'R1'!K32</f>
        <v>2.8864152421005863E-2</v>
      </c>
      <c r="L10" s="53">
        <f>'R1'!L32</f>
        <v>1.4039841423385011</v>
      </c>
      <c r="M10" s="53">
        <f>'R1'!M32</f>
        <v>1.0677888935193776</v>
      </c>
      <c r="N10"/>
      <c r="O10" s="53">
        <f>'R1'!O32</f>
        <v>0.89734063232231942</v>
      </c>
      <c r="P10" s="53">
        <f>'R1'!P32</f>
        <v>1.7664804711549238</v>
      </c>
      <c r="Q10" s="53">
        <f>'R1'!Q32</f>
        <v>8.763915309917257E-2</v>
      </c>
      <c r="R10" s="53">
        <f>'R1'!R32</f>
        <v>0.7324694392677551</v>
      </c>
      <c r="S10" s="53">
        <f>'R1'!S32</f>
        <v>0.70142852870192507</v>
      </c>
      <c r="T10" s="53">
        <f>'R1'!T32</f>
        <v>1.5054211909822655</v>
      </c>
      <c r="U10" s="53">
        <f>'R1'!U32</f>
        <v>2.3509099615626132</v>
      </c>
      <c r="V10" s="53">
        <f>'R1'!V32</f>
        <v>2.5265778571512612</v>
      </c>
    </row>
    <row r="11" spans="1:22" s="1" customFormat="1" x14ac:dyDescent="0.25">
      <c r="A11" s="231"/>
      <c r="B11" s="53">
        <f>'R1'!B33</f>
        <v>0.21025076472107107</v>
      </c>
      <c r="C11" s="53">
        <f>'R1'!C33</f>
        <v>1.9387766395364783E-2</v>
      </c>
      <c r="D11" s="53">
        <f>'R1'!D33</f>
        <v>4.5231521743443782E-2</v>
      </c>
      <c r="E11" s="53">
        <f>'R1'!E33</f>
        <v>5.0985743640030202E-2</v>
      </c>
      <c r="F11" s="53">
        <f>'R1'!F33</f>
        <v>1.297456379598142</v>
      </c>
      <c r="G11" s="53">
        <f>'R1'!G33</f>
        <v>0.89080083029098833</v>
      </c>
      <c r="H11" s="53">
        <f>'R1'!H33</f>
        <v>2.2155790825686248</v>
      </c>
      <c r="I11" s="53">
        <f>'R1'!I33</f>
        <v>0.11651953220857851</v>
      </c>
      <c r="J11" s="53">
        <f>'R1'!J33</f>
        <v>2.6819440813896079E-2</v>
      </c>
      <c r="K11" s="53">
        <f>'R1'!K33</f>
        <v>0.25990658982144965</v>
      </c>
      <c r="L11" s="53">
        <f>'R1'!L33</f>
        <v>2.721775093269847</v>
      </c>
      <c r="M11" s="53">
        <f>'R1'!M33</f>
        <v>2.8057787238238991</v>
      </c>
      <c r="N11"/>
      <c r="O11" s="53">
        <f>'R1'!O33</f>
        <v>0.91725330975712127</v>
      </c>
      <c r="P11" s="53">
        <f>'R1'!P33</f>
        <v>2.025930034064555</v>
      </c>
      <c r="Q11" s="53">
        <f>'R1'!Q33</f>
        <v>8.1714327671334061E-2</v>
      </c>
      <c r="R11" s="53">
        <f>'R1'!R33</f>
        <v>1.3259117385664267</v>
      </c>
      <c r="S11" s="53" t="str">
        <f>'R1'!S33</f>
        <v/>
      </c>
      <c r="T11" s="53">
        <f>'R1'!T33</f>
        <v>2.0863472053825491</v>
      </c>
      <c r="U11" s="53" t="str">
        <f>'R1'!U33</f>
        <v/>
      </c>
      <c r="V11" s="53">
        <f>'R1'!V33</f>
        <v>2.4506659104012605</v>
      </c>
    </row>
    <row r="12" spans="1:22" s="1" customFormat="1" x14ac:dyDescent="0.25">
      <c r="A12" s="231"/>
      <c r="B12" s="53">
        <f>'R1'!B34</f>
        <v>1.0155822776631181E-2</v>
      </c>
      <c r="C12" s="53">
        <f>'R1'!C34</f>
        <v>5.3129750670652337E-3</v>
      </c>
      <c r="D12" s="53">
        <f>'R1'!D34</f>
        <v>5.5294152713300258E-2</v>
      </c>
      <c r="E12" s="53">
        <f>'R1'!E34</f>
        <v>0.3328400460378319</v>
      </c>
      <c r="F12" s="53">
        <f>'R1'!F34</f>
        <v>0.69941597273421363</v>
      </c>
      <c r="G12" s="53">
        <f>'R1'!G34</f>
        <v>0.97400771555772692</v>
      </c>
      <c r="H12" s="53">
        <f>'R1'!H34</f>
        <v>2.7649295988980813</v>
      </c>
      <c r="I12" s="53">
        <f>'R1'!I34</f>
        <v>9.4089485041251933E-3</v>
      </c>
      <c r="J12" s="53">
        <f>'R1'!J34</f>
        <v>2.8448808745444427E-2</v>
      </c>
      <c r="K12" s="53">
        <f>'R1'!K34</f>
        <v>0.43958664576854045</v>
      </c>
      <c r="L12" s="53">
        <f>'R1'!L34</f>
        <v>1.3229589278837168</v>
      </c>
      <c r="M12" s="53">
        <f>'R1'!M34</f>
        <v>0.46762651219256296</v>
      </c>
      <c r="N12"/>
      <c r="O12" s="53">
        <f>'R1'!O34</f>
        <v>0.53246463732172111</v>
      </c>
      <c r="P12" s="53">
        <f>'R1'!P34</f>
        <v>1.5400072607917585</v>
      </c>
      <c r="Q12" s="53">
        <f>'R1'!Q34</f>
        <v>4.8459665088501816E-2</v>
      </c>
      <c r="R12" s="53">
        <f>'R1'!R34</f>
        <v>1.2819103188986689</v>
      </c>
      <c r="S12" s="53">
        <f>'R1'!S34</f>
        <v>1.4169028193354707</v>
      </c>
      <c r="T12" s="53">
        <f>'R1'!T34</f>
        <v>1.8734881865870425</v>
      </c>
      <c r="U12" s="53">
        <f>'R1'!U34</f>
        <v>1.8358074342228647</v>
      </c>
      <c r="V12" s="53">
        <f>'R1'!V34</f>
        <v>1.3237994405691003</v>
      </c>
    </row>
    <row r="13" spans="1:22" s="1" customFormat="1" x14ac:dyDescent="0.25">
      <c r="A13" s="231"/>
      <c r="B13" s="53">
        <f>'R1'!B35</f>
        <v>6.3080134640016577E-2</v>
      </c>
      <c r="C13" s="53">
        <f>'R1'!C35</f>
        <v>0.1591008933382787</v>
      </c>
      <c r="D13" s="53">
        <f>'R1'!D35</f>
        <v>3.189095084807219E-2</v>
      </c>
      <c r="E13" s="53" t="str">
        <f>'R1'!E35</f>
        <v/>
      </c>
      <c r="F13" s="53">
        <f>'R1'!F35</f>
        <v>0.17294062098782861</v>
      </c>
      <c r="G13" s="53">
        <f>'R1'!G35</f>
        <v>1.0899008082728423</v>
      </c>
      <c r="H13" s="53">
        <f>'R1'!H35</f>
        <v>3.0980658936507401</v>
      </c>
      <c r="I13" s="53">
        <f>'R1'!I35</f>
        <v>9.0382654388391812E-2</v>
      </c>
      <c r="J13" s="53" t="str">
        <f>'R1'!J35</f>
        <v/>
      </c>
      <c r="K13" s="53">
        <f>'R1'!K35</f>
        <v>0.60747183454189213</v>
      </c>
      <c r="L13" s="53">
        <f>'R1'!L35</f>
        <v>1.8140240726923262</v>
      </c>
      <c r="M13" s="53">
        <f>'R1'!M35</f>
        <v>2.1661196897191077</v>
      </c>
      <c r="N13"/>
      <c r="O13" s="53">
        <f>'R1'!O35</f>
        <v>0.91479638071716929</v>
      </c>
      <c r="P13" s="53">
        <f>'R1'!P35</f>
        <v>0.64464673106035053</v>
      </c>
      <c r="Q13" s="53">
        <f>'R1'!Q35</f>
        <v>3.1452979129971213E-2</v>
      </c>
      <c r="R13" s="53">
        <f>'R1'!R35</f>
        <v>0.92869401829137643</v>
      </c>
      <c r="S13" s="53">
        <f>'R1'!S35</f>
        <v>5.7142357635198177E-2</v>
      </c>
      <c r="T13" s="53">
        <f>'R1'!T35</f>
        <v>2.3283538226056089</v>
      </c>
      <c r="U13" s="53" t="str">
        <f>'R1'!U35</f>
        <v/>
      </c>
      <c r="V13" s="53">
        <f>'R1'!V35</f>
        <v>3.3084391028783169</v>
      </c>
    </row>
    <row r="14" spans="1:22" s="1" customFormat="1" x14ac:dyDescent="0.25">
      <c r="A14" s="231"/>
      <c r="B14" s="53" t="str">
        <f>'R1'!B36</f>
        <v/>
      </c>
      <c r="C14" s="53" t="str">
        <f>'R1'!C36</f>
        <v/>
      </c>
      <c r="D14" s="53" t="str">
        <f>'R1'!D36</f>
        <v/>
      </c>
      <c r="E14" s="53" t="str">
        <f>'R1'!E36</f>
        <v/>
      </c>
      <c r="F14" s="53" t="str">
        <f>'R1'!F36</f>
        <v/>
      </c>
      <c r="G14" s="53" t="str">
        <f>'R1'!G36</f>
        <v/>
      </c>
      <c r="H14" s="53" t="str">
        <f>'R1'!H36</f>
        <v/>
      </c>
      <c r="I14" s="53" t="str">
        <f>'R1'!I36</f>
        <v/>
      </c>
      <c r="J14" s="53" t="str">
        <f>'R1'!J36</f>
        <v/>
      </c>
      <c r="K14" s="53" t="str">
        <f>'R1'!K36</f>
        <v/>
      </c>
      <c r="L14" s="53" t="str">
        <f>'R1'!L36</f>
        <v/>
      </c>
      <c r="M14" s="53" t="str">
        <f>'R1'!M36</f>
        <v/>
      </c>
      <c r="N14"/>
      <c r="O14" s="53">
        <f>'R1'!O36</f>
        <v>0.29148685169070582</v>
      </c>
      <c r="P14" s="53" t="str">
        <f>'R1'!P36</f>
        <v/>
      </c>
      <c r="Q14" s="53" t="str">
        <f>'R1'!Q36</f>
        <v/>
      </c>
      <c r="R14" s="53" t="str">
        <f>'R1'!R36</f>
        <v/>
      </c>
      <c r="S14" s="53" t="str">
        <f>'R1'!S36</f>
        <v/>
      </c>
      <c r="T14" s="53" t="str">
        <f>'R1'!T36</f>
        <v/>
      </c>
      <c r="U14" s="53" t="str">
        <f>'R1'!U36</f>
        <v/>
      </c>
      <c r="V14" s="53" t="str">
        <f>'R1'!V36</f>
        <v/>
      </c>
    </row>
    <row r="15" spans="1:22" s="1" customFormat="1" x14ac:dyDescent="0.25">
      <c r="A15" s="231"/>
      <c r="B15" s="53" t="str">
        <f>'R1'!B37</f>
        <v/>
      </c>
      <c r="C15" s="53" t="str">
        <f>'R1'!C37</f>
        <v/>
      </c>
      <c r="D15" s="53" t="str">
        <f>'R1'!D37</f>
        <v/>
      </c>
      <c r="E15" s="53" t="str">
        <f>'R1'!E37</f>
        <v/>
      </c>
      <c r="F15" s="53" t="str">
        <f>'R1'!F37</f>
        <v/>
      </c>
      <c r="G15" s="53" t="str">
        <f>'R1'!G37</f>
        <v/>
      </c>
      <c r="H15" s="53" t="str">
        <f>'R1'!H37</f>
        <v/>
      </c>
      <c r="I15" s="53" t="str">
        <f>'R1'!I37</f>
        <v/>
      </c>
      <c r="J15" s="53" t="str">
        <f>'R1'!J37</f>
        <v/>
      </c>
      <c r="K15" s="53" t="str">
        <f>'R1'!K37</f>
        <v/>
      </c>
      <c r="L15" s="53" t="str">
        <f>'R1'!L37</f>
        <v/>
      </c>
      <c r="M15" s="53" t="str">
        <f>'R1'!M37</f>
        <v/>
      </c>
      <c r="N15"/>
      <c r="O15" s="53">
        <f>'R1'!O37</f>
        <v>1.1295327826999535</v>
      </c>
      <c r="P15" s="53" t="str">
        <f>'R1'!P37</f>
        <v/>
      </c>
      <c r="Q15" s="53" t="str">
        <f>'R1'!Q37</f>
        <v/>
      </c>
      <c r="R15" s="53" t="str">
        <f>'R1'!R37</f>
        <v/>
      </c>
      <c r="S15" s="53" t="str">
        <f>'R1'!S37</f>
        <v/>
      </c>
      <c r="T15" s="53" t="str">
        <f>'R1'!T37</f>
        <v/>
      </c>
      <c r="U15" s="53" t="str">
        <f>'R1'!U37</f>
        <v/>
      </c>
      <c r="V15" s="53" t="str">
        <f>'R1'!V37</f>
        <v/>
      </c>
    </row>
    <row r="16" spans="1:22" s="1" customFormat="1" x14ac:dyDescent="0.25">
      <c r="A16" s="231"/>
      <c r="B16" s="53" t="str">
        <f>'R1'!B38</f>
        <v/>
      </c>
      <c r="C16" s="53" t="str">
        <f>'R1'!C38</f>
        <v/>
      </c>
      <c r="D16" s="53" t="str">
        <f>'R1'!D38</f>
        <v/>
      </c>
      <c r="E16" s="53" t="str">
        <f>'R1'!E38</f>
        <v/>
      </c>
      <c r="F16" s="53" t="str">
        <f>'R1'!F38</f>
        <v/>
      </c>
      <c r="G16" s="53" t="str">
        <f>'R1'!G38</f>
        <v/>
      </c>
      <c r="H16" s="53" t="str">
        <f>'R1'!H38</f>
        <v/>
      </c>
      <c r="I16" s="53" t="str">
        <f>'R1'!I38</f>
        <v/>
      </c>
      <c r="J16" s="53" t="str">
        <f>'R1'!J38</f>
        <v/>
      </c>
      <c r="K16" s="53" t="str">
        <f>'R1'!K38</f>
        <v/>
      </c>
      <c r="L16" s="53" t="str">
        <f>'R1'!L38</f>
        <v/>
      </c>
      <c r="M16" s="53" t="str">
        <f>'R1'!M38</f>
        <v/>
      </c>
      <c r="N16"/>
      <c r="O16" s="53">
        <f>'R1'!O38</f>
        <v>1.6049259238881133</v>
      </c>
      <c r="P16" s="53" t="str">
        <f>'R1'!P38</f>
        <v/>
      </c>
      <c r="Q16" s="53" t="str">
        <f>'R1'!Q38</f>
        <v/>
      </c>
      <c r="R16" s="53" t="str">
        <f>'R1'!R38</f>
        <v/>
      </c>
      <c r="S16" s="53" t="str">
        <f>'R1'!S38</f>
        <v/>
      </c>
      <c r="T16" s="53" t="str">
        <f>'R1'!T38</f>
        <v/>
      </c>
      <c r="U16" s="53" t="str">
        <f>'R1'!U38</f>
        <v/>
      </c>
      <c r="V16" s="53" t="str">
        <f>'R1'!V38</f>
        <v/>
      </c>
    </row>
    <row r="17" spans="1:22" s="1" customFormat="1" x14ac:dyDescent="0.25">
      <c r="A17" s="231"/>
      <c r="B17" s="53" t="str">
        <f>'R1'!B39</f>
        <v/>
      </c>
      <c r="C17" s="53" t="str">
        <f>'R1'!C39</f>
        <v/>
      </c>
      <c r="D17" s="53" t="str">
        <f>'R1'!D39</f>
        <v/>
      </c>
      <c r="E17" s="53" t="str">
        <f>'R1'!E39</f>
        <v/>
      </c>
      <c r="F17" s="53" t="str">
        <f>'R1'!F39</f>
        <v/>
      </c>
      <c r="G17" s="53" t="str">
        <f>'R1'!G39</f>
        <v/>
      </c>
      <c r="H17" s="53" t="str">
        <f>'R1'!H39</f>
        <v/>
      </c>
      <c r="I17" s="53" t="str">
        <f>'R1'!I39</f>
        <v/>
      </c>
      <c r="J17" s="53" t="str">
        <f>'R1'!J39</f>
        <v/>
      </c>
      <c r="K17" s="53" t="str">
        <f>'R1'!K39</f>
        <v/>
      </c>
      <c r="L17" s="53" t="str">
        <f>'R1'!L39</f>
        <v/>
      </c>
      <c r="M17" s="53" t="str">
        <f>'R1'!M39</f>
        <v/>
      </c>
      <c r="N17"/>
      <c r="O17" s="53">
        <f>'R1'!O39</f>
        <v>1.1890997648670043</v>
      </c>
      <c r="P17" s="53" t="str">
        <f>'R1'!P39</f>
        <v/>
      </c>
      <c r="Q17" s="53" t="str">
        <f>'R1'!Q39</f>
        <v/>
      </c>
      <c r="R17" s="53" t="str">
        <f>'R1'!R39</f>
        <v/>
      </c>
      <c r="S17" s="53" t="str">
        <f>'R1'!S39</f>
        <v/>
      </c>
      <c r="T17" s="53" t="str">
        <f>'R1'!T39</f>
        <v/>
      </c>
      <c r="U17" s="53" t="str">
        <f>'R1'!U39</f>
        <v/>
      </c>
      <c r="V17" s="53" t="str">
        <f>'R1'!V39</f>
        <v/>
      </c>
    </row>
    <row r="18" spans="1:22" s="1" customFormat="1" x14ac:dyDescent="0.25">
      <c r="A18" s="231"/>
      <c r="B18" s="53" t="str">
        <f>'R1'!B40</f>
        <v/>
      </c>
      <c r="C18" s="53" t="str">
        <f>'R1'!C40</f>
        <v/>
      </c>
      <c r="D18" s="53" t="str">
        <f>'R1'!D40</f>
        <v/>
      </c>
      <c r="E18" s="53" t="str">
        <f>'R1'!E40</f>
        <v/>
      </c>
      <c r="F18" s="53" t="str">
        <f>'R1'!F40</f>
        <v/>
      </c>
      <c r="G18" s="53" t="str">
        <f>'R1'!G40</f>
        <v/>
      </c>
      <c r="H18" s="53" t="str">
        <f>'R1'!H40</f>
        <v/>
      </c>
      <c r="I18" s="53" t="str">
        <f>'R1'!I40</f>
        <v/>
      </c>
      <c r="J18" s="53" t="str">
        <f>'R1'!J40</f>
        <v/>
      </c>
      <c r="K18" s="53" t="str">
        <f>'R1'!K40</f>
        <v/>
      </c>
      <c r="L18" s="53" t="str">
        <f>'R1'!L40</f>
        <v/>
      </c>
      <c r="M18" s="53" t="str">
        <f>'R1'!M40</f>
        <v/>
      </c>
      <c r="N18"/>
      <c r="O18" s="53">
        <f>'R1'!O40</f>
        <v>0.72393345682581345</v>
      </c>
      <c r="P18" s="53" t="str">
        <f>'R1'!P40</f>
        <v/>
      </c>
      <c r="Q18" s="53" t="str">
        <f>'R1'!Q40</f>
        <v/>
      </c>
      <c r="R18" s="53" t="str">
        <f>'R1'!R40</f>
        <v/>
      </c>
      <c r="S18" s="53" t="str">
        <f>'R1'!S40</f>
        <v/>
      </c>
      <c r="T18" s="53" t="str">
        <f>'R1'!T40</f>
        <v/>
      </c>
      <c r="U18" s="53" t="str">
        <f>'R1'!U40</f>
        <v/>
      </c>
      <c r="V18" s="53" t="str">
        <f>'R1'!V40</f>
        <v/>
      </c>
    </row>
    <row r="19" spans="1:22" s="1" customFormat="1" x14ac:dyDescent="0.25">
      <c r="A19" s="231"/>
      <c r="B19" s="53" t="str">
        <f>'R1'!B41</f>
        <v/>
      </c>
      <c r="C19" s="53" t="str">
        <f>'R1'!C41</f>
        <v/>
      </c>
      <c r="D19" s="53" t="str">
        <f>'R1'!D41</f>
        <v/>
      </c>
      <c r="E19" s="53" t="str">
        <f>'R1'!E41</f>
        <v/>
      </c>
      <c r="F19" s="53" t="str">
        <f>'R1'!F41</f>
        <v/>
      </c>
      <c r="G19" s="53" t="str">
        <f>'R1'!G41</f>
        <v/>
      </c>
      <c r="H19" s="53" t="str">
        <f>'R1'!H41</f>
        <v/>
      </c>
      <c r="I19" s="53" t="str">
        <f>'R1'!I41</f>
        <v/>
      </c>
      <c r="J19" s="53" t="str">
        <f>'R1'!J41</f>
        <v/>
      </c>
      <c r="K19" s="53" t="str">
        <f>'R1'!K41</f>
        <v/>
      </c>
      <c r="L19" s="53" t="str">
        <f>'R1'!L41</f>
        <v/>
      </c>
      <c r="M19" s="53" t="str">
        <f>'R1'!M41</f>
        <v/>
      </c>
      <c r="N19"/>
      <c r="O19" s="53">
        <f>'R1'!O41</f>
        <v>1.1230380878850006</v>
      </c>
      <c r="P19" s="53" t="str">
        <f>'R1'!P41</f>
        <v/>
      </c>
      <c r="Q19" s="53" t="str">
        <f>'R1'!Q41</f>
        <v/>
      </c>
      <c r="R19" s="53" t="str">
        <f>'R1'!R41</f>
        <v/>
      </c>
      <c r="S19" s="53" t="str">
        <f>'R1'!S41</f>
        <v/>
      </c>
      <c r="T19" s="53" t="str">
        <f>'R1'!T41</f>
        <v/>
      </c>
      <c r="U19" s="53" t="str">
        <f>'R1'!U41</f>
        <v/>
      </c>
      <c r="V19" s="53" t="str">
        <f>'R1'!V41</f>
        <v/>
      </c>
    </row>
    <row r="20" spans="1:22" s="1" customFormat="1" x14ac:dyDescent="0.25">
      <c r="A20" s="231"/>
      <c r="B20" s="53" t="str">
        <f>'R1'!B42</f>
        <v/>
      </c>
      <c r="C20" s="53" t="str">
        <f>'R1'!C42</f>
        <v/>
      </c>
      <c r="D20" s="53" t="str">
        <f>'R1'!D42</f>
        <v/>
      </c>
      <c r="E20" s="53" t="str">
        <f>'R1'!E42</f>
        <v/>
      </c>
      <c r="F20" s="53" t="str">
        <f>'R1'!F42</f>
        <v/>
      </c>
      <c r="G20" s="53" t="str">
        <f>'R1'!G42</f>
        <v/>
      </c>
      <c r="H20" s="53" t="str">
        <f>'R1'!H42</f>
        <v/>
      </c>
      <c r="I20" s="53" t="str">
        <f>'R1'!I42</f>
        <v/>
      </c>
      <c r="J20" s="53" t="str">
        <f>'R1'!J42</f>
        <v/>
      </c>
      <c r="K20" s="53" t="str">
        <f>'R1'!K42</f>
        <v/>
      </c>
      <c r="L20" s="53" t="str">
        <f>'R1'!L42</f>
        <v/>
      </c>
      <c r="M20" s="53" t="str">
        <f>'R1'!M42</f>
        <v/>
      </c>
      <c r="N20"/>
      <c r="O20" s="53">
        <f>'R1'!O42</f>
        <v>0.99058588296066497</v>
      </c>
      <c r="P20" s="53" t="str">
        <f>'R1'!P42</f>
        <v/>
      </c>
      <c r="Q20" s="53" t="str">
        <f>'R1'!Q42</f>
        <v/>
      </c>
      <c r="R20" s="53" t="str">
        <f>'R1'!R42</f>
        <v/>
      </c>
      <c r="S20" s="53" t="str">
        <f>'R1'!S42</f>
        <v/>
      </c>
      <c r="T20" s="53" t="str">
        <f>'R1'!T42</f>
        <v/>
      </c>
      <c r="U20" s="53" t="str">
        <f>'R1'!U42</f>
        <v/>
      </c>
      <c r="V20" s="53" t="str">
        <f>'R1'!V42</f>
        <v/>
      </c>
    </row>
    <row r="21" spans="1:22" s="1" customFormat="1" x14ac:dyDescent="0.25">
      <c r="A21" s="232"/>
      <c r="B21" s="53" t="str">
        <f>'R1'!B43</f>
        <v/>
      </c>
      <c r="C21" s="53" t="str">
        <f>'R1'!C43</f>
        <v/>
      </c>
      <c r="D21" s="53" t="str">
        <f>'R1'!D43</f>
        <v/>
      </c>
      <c r="E21" s="53" t="str">
        <f>'R1'!E43</f>
        <v/>
      </c>
      <c r="F21" s="53" t="str">
        <f>'R1'!F43</f>
        <v/>
      </c>
      <c r="G21" s="53" t="str">
        <f>'R1'!G43</f>
        <v/>
      </c>
      <c r="H21" s="53" t="str">
        <f>'R1'!H43</f>
        <v/>
      </c>
      <c r="I21" s="53" t="str">
        <f>'R1'!I43</f>
        <v/>
      </c>
      <c r="J21" s="53" t="str">
        <f>'R1'!J43</f>
        <v/>
      </c>
      <c r="K21" s="53" t="str">
        <f>'R1'!K43</f>
        <v/>
      </c>
      <c r="L21" s="53" t="str">
        <f>'R1'!L43</f>
        <v/>
      </c>
      <c r="M21" s="53" t="str">
        <f>'R1'!M43</f>
        <v/>
      </c>
      <c r="N21"/>
      <c r="O21" s="53">
        <f>'R1'!O43</f>
        <v>0.92309930920782368</v>
      </c>
      <c r="P21" s="53" t="str">
        <f>'R1'!P43</f>
        <v/>
      </c>
      <c r="Q21" s="53" t="str">
        <f>'R1'!Q43</f>
        <v/>
      </c>
      <c r="R21" s="53" t="str">
        <f>'R1'!R43</f>
        <v/>
      </c>
      <c r="S21" s="53" t="str">
        <f>'R1'!S43</f>
        <v/>
      </c>
      <c r="T21" s="53" t="str">
        <f>'R1'!T43</f>
        <v/>
      </c>
      <c r="U21" s="53" t="str">
        <f>'R1'!U43</f>
        <v/>
      </c>
      <c r="V21" s="53" t="str">
        <f>'R1'!V43</f>
        <v/>
      </c>
    </row>
    <row r="22" spans="1:22" x14ac:dyDescent="0.25">
      <c r="A22" s="39" t="s">
        <v>5</v>
      </c>
      <c r="B22" s="54">
        <f>'R2'!B28</f>
        <v>0.30362748504704157</v>
      </c>
      <c r="C22" s="54">
        <f>'R2'!C28</f>
        <v>0.16470099487011999</v>
      </c>
      <c r="D22" s="54">
        <f>'R2'!D28</f>
        <v>9.9327707229815945E-2</v>
      </c>
      <c r="E22" s="54">
        <f>'R2'!E28</f>
        <v>0.18099272039392694</v>
      </c>
      <c r="F22" s="54">
        <f>'R2'!F28</f>
        <v>0.77316629626334088</v>
      </c>
      <c r="G22" s="54">
        <f>'R2'!G28</f>
        <v>1.2822720590837104</v>
      </c>
      <c r="H22" s="54">
        <f>'R2'!H28</f>
        <v>0.92562451244376043</v>
      </c>
      <c r="I22" s="54">
        <f>'R2'!I28</f>
        <v>5.181106276859547E-2</v>
      </c>
      <c r="J22" s="54">
        <f>'R2'!J28</f>
        <v>0.33605947812291015</v>
      </c>
      <c r="K22" s="54">
        <f>'R2'!K28</f>
        <v>0.14123063525441165</v>
      </c>
      <c r="L22" s="54">
        <f>'R2'!L28</f>
        <v>2.2620806239061682</v>
      </c>
      <c r="M22" s="54">
        <f>'R2'!M28</f>
        <v>2.0741209848647149</v>
      </c>
      <c r="O22" s="54">
        <f>'R2'!O28</f>
        <v>1.61185482124184</v>
      </c>
      <c r="P22" s="54">
        <f>'R2'!P28</f>
        <v>1.3063729753970368</v>
      </c>
      <c r="Q22" s="54">
        <f>'R2'!Q28</f>
        <v>0.11104845189373544</v>
      </c>
      <c r="R22" s="54">
        <f>'R2'!R28</f>
        <v>1.83047855537225</v>
      </c>
      <c r="S22" s="54">
        <f>'R2'!S28</f>
        <v>1.7555303997468892</v>
      </c>
      <c r="T22" s="54">
        <f>'R2'!T28</f>
        <v>5.361404925922543E-2</v>
      </c>
      <c r="U22" s="54">
        <f>'R2'!U28</f>
        <v>2.3604957339337957</v>
      </c>
      <c r="V22" s="54">
        <f>'R2'!V28</f>
        <v>2.0874492863783023</v>
      </c>
    </row>
    <row r="23" spans="1:22" x14ac:dyDescent="0.25">
      <c r="A23" s="230" t="s">
        <v>34</v>
      </c>
      <c r="B23" s="54">
        <f>'R2'!B29</f>
        <v>2.631696999962543E-2</v>
      </c>
      <c r="C23" s="54">
        <f>'R2'!C29</f>
        <v>0.10820480256498444</v>
      </c>
      <c r="D23" s="54">
        <f>'R2'!D29</f>
        <v>0.10659398855463348</v>
      </c>
      <c r="E23" s="54">
        <f>'R2'!E29</f>
        <v>0.18659222376575449</v>
      </c>
      <c r="F23" s="54">
        <f>'R2'!F29</f>
        <v>0.35493738922877688</v>
      </c>
      <c r="G23" s="54">
        <f>'R2'!G29</f>
        <v>1.3737155127755467</v>
      </c>
      <c r="H23" s="54">
        <f>'R2'!H29</f>
        <v>2.3416689010295442</v>
      </c>
      <c r="I23" s="54">
        <f>'R2'!I29</f>
        <v>0.28701196814082308</v>
      </c>
      <c r="J23" s="54">
        <f>'R2'!J29</f>
        <v>8.172097710675004E-2</v>
      </c>
      <c r="K23" s="54">
        <f>'R2'!K29</f>
        <v>0.64713090780473448</v>
      </c>
      <c r="L23" s="54">
        <f>'R2'!L29</f>
        <v>1.5593277753340848</v>
      </c>
      <c r="M23" s="54">
        <f>'R2'!M29</f>
        <v>3.3873212651581968</v>
      </c>
      <c r="O23" s="54">
        <f>'R2'!O29</f>
        <v>1.9173841920220589</v>
      </c>
      <c r="P23" s="54">
        <f>'R2'!P29</f>
        <v>2.4232076251908214</v>
      </c>
      <c r="Q23" s="54">
        <f>'R2'!Q29</f>
        <v>5.2425925873833289E-2</v>
      </c>
      <c r="R23" s="54">
        <f>'R2'!R29</f>
        <v>1.5202076469545771</v>
      </c>
      <c r="S23" s="54">
        <f>'R2'!S29</f>
        <v>2.6402575585004566</v>
      </c>
      <c r="T23" s="54">
        <f>'R2'!T29</f>
        <v>1.9718597602818571</v>
      </c>
      <c r="U23" s="54">
        <f>'R2'!U29</f>
        <v>1.94466542963652</v>
      </c>
      <c r="V23" s="54">
        <f>'R2'!V29</f>
        <v>2.6727455155189643</v>
      </c>
    </row>
    <row r="24" spans="1:22" x14ac:dyDescent="0.25">
      <c r="A24" s="231"/>
      <c r="B24" s="54">
        <f>'R2'!B30</f>
        <v>3.0681861419953282E-2</v>
      </c>
      <c r="C24" s="54">
        <f>'R2'!C30</f>
        <v>0.10168144998133795</v>
      </c>
      <c r="D24" s="54">
        <f>'R2'!D30</f>
        <v>6.3019396836023728E-2</v>
      </c>
      <c r="E24" s="54">
        <f>'R2'!E30</f>
        <v>0.11811604641690857</v>
      </c>
      <c r="F24" s="54">
        <f>'R2'!F30</f>
        <v>0.33397459918046879</v>
      </c>
      <c r="G24" s="54">
        <f>'R2'!G30</f>
        <v>1.6747283861109339</v>
      </c>
      <c r="H24" s="54">
        <f>'R2'!H30</f>
        <v>2.6280372838300186</v>
      </c>
      <c r="I24" s="54">
        <f>'R2'!I30</f>
        <v>0.16179634780494759</v>
      </c>
      <c r="J24" s="54">
        <f>'R2'!J30</f>
        <v>5.3322533378124232E-2</v>
      </c>
      <c r="K24" s="54">
        <f>'R2'!K30</f>
        <v>5.6129613675574071E-2</v>
      </c>
      <c r="L24" s="54">
        <f>'R2'!L30</f>
        <v>1.5569229543809477</v>
      </c>
      <c r="M24" s="54">
        <f>'R2'!M30</f>
        <v>2.9454013998980511</v>
      </c>
      <c r="O24" s="54">
        <f>'R2'!O30</f>
        <v>0.5887805027545957</v>
      </c>
      <c r="P24" s="54">
        <f>'R2'!P30</f>
        <v>2.5422235362727039</v>
      </c>
      <c r="Q24" s="54">
        <f>'R2'!Q30</f>
        <v>6.7585936113162062E-2</v>
      </c>
      <c r="R24" s="54">
        <f>'R2'!R30</f>
        <v>0.86007208096590815</v>
      </c>
      <c r="S24" s="54">
        <f>'R2'!S30</f>
        <v>1.8908526935756507</v>
      </c>
      <c r="T24" s="54">
        <f>'R2'!T30</f>
        <v>2.139337188528458</v>
      </c>
      <c r="U24" s="54">
        <f>'R2'!U30</f>
        <v>3.10821916368254</v>
      </c>
      <c r="V24" s="54">
        <f>'R2'!V30</f>
        <v>1.3101436570719103</v>
      </c>
    </row>
    <row r="25" spans="1:22" x14ac:dyDescent="0.25">
      <c r="A25" s="231"/>
      <c r="B25" s="54">
        <f>'R2'!B31</f>
        <v>4.3715389891757148E-2</v>
      </c>
      <c r="C25" s="54">
        <f>'R2'!C31</f>
        <v>0.22405031188053803</v>
      </c>
      <c r="D25" s="54">
        <f>'R2'!D31</f>
        <v>9.8933886892726447E-2</v>
      </c>
      <c r="E25" s="54">
        <f>'R2'!E31</f>
        <v>0.16427489903172018</v>
      </c>
      <c r="F25" s="54">
        <f>'R2'!F31</f>
        <v>0.75897677185469692</v>
      </c>
      <c r="G25" s="54">
        <f>'R2'!G31</f>
        <v>1.5700684107380298</v>
      </c>
      <c r="H25" s="54">
        <f>'R2'!H31</f>
        <v>3.2073548464848356</v>
      </c>
      <c r="I25" s="54">
        <f>'R2'!I31</f>
        <v>6.0447868477036065E-2</v>
      </c>
      <c r="J25" s="54">
        <f>'R2'!J31</f>
        <v>0.38371721686279464</v>
      </c>
      <c r="K25" s="54">
        <f>'R2'!K31</f>
        <v>0.6580092322739024</v>
      </c>
      <c r="L25" s="54">
        <f>'R2'!L31</f>
        <v>2.5549144706617914</v>
      </c>
      <c r="M25" s="54">
        <f>'R2'!M31</f>
        <v>2.0394745666828884</v>
      </c>
      <c r="O25" s="54">
        <f>'R2'!O31</f>
        <v>1.0609534686466455</v>
      </c>
      <c r="P25" s="54">
        <f>'R2'!P31</f>
        <v>1.8813385272214984</v>
      </c>
      <c r="Q25" s="54" t="str">
        <f>'R2'!Q31</f>
        <v/>
      </c>
      <c r="R25" s="54">
        <f>'R2'!R31</f>
        <v>1.0252694967346223</v>
      </c>
      <c r="S25" s="54">
        <f>'R2'!S31</f>
        <v>1.4129989433474641</v>
      </c>
      <c r="T25" s="54">
        <f>'R2'!T31</f>
        <v>2.0550859897822873</v>
      </c>
      <c r="U25" s="54">
        <f>'R2'!U31</f>
        <v>2.6631416291932797</v>
      </c>
      <c r="V25" s="54">
        <f>'R2'!V31</f>
        <v>1.3799697054445959</v>
      </c>
    </row>
    <row r="26" spans="1:22" x14ac:dyDescent="0.25">
      <c r="A26" s="231"/>
      <c r="B26" s="54">
        <f>'R2'!B32</f>
        <v>1.6255304545264096E-2</v>
      </c>
      <c r="C26" s="54">
        <f>'R2'!C32</f>
        <v>0.12466486407498341</v>
      </c>
      <c r="D26" s="54">
        <f>'R2'!D32</f>
        <v>0.10739140071086052</v>
      </c>
      <c r="E26" s="54">
        <f>'R2'!E32</f>
        <v>7.2194226268142203E-2</v>
      </c>
      <c r="F26" s="54">
        <f>'R2'!F32</f>
        <v>0.25187890054245049</v>
      </c>
      <c r="G26" s="54">
        <f>'R2'!G32</f>
        <v>1.2327250190951047</v>
      </c>
      <c r="H26" s="54">
        <f>'R2'!H32</f>
        <v>2.2866619714201915</v>
      </c>
      <c r="I26" s="54">
        <f>'R2'!I32</f>
        <v>0.19680771603599401</v>
      </c>
      <c r="J26" s="54">
        <f>'R2'!J32</f>
        <v>0.16299720372755391</v>
      </c>
      <c r="K26" s="54">
        <f>'R2'!K32</f>
        <v>0.24254062086516406</v>
      </c>
      <c r="L26" s="54">
        <f>'R2'!L32</f>
        <v>2.2893871785422992</v>
      </c>
      <c r="M26" s="54">
        <f>'R2'!M32</f>
        <v>2.2016968622734776</v>
      </c>
      <c r="O26" s="54">
        <f>'R2'!O32</f>
        <v>0.44295771509585902</v>
      </c>
      <c r="P26" s="54" t="str">
        <f>'R2'!P32</f>
        <v/>
      </c>
      <c r="Q26" s="54">
        <f>'R2'!Q32</f>
        <v>0.23158856612236059</v>
      </c>
      <c r="R26" s="54">
        <f>'R2'!R32</f>
        <v>1.6403315848796087</v>
      </c>
      <c r="S26" s="54">
        <f>'R2'!S32</f>
        <v>1.9424203576095938</v>
      </c>
      <c r="T26" s="54">
        <f>'R2'!T32</f>
        <v>2.287168015748076</v>
      </c>
      <c r="U26" s="54">
        <f>'R2'!U32</f>
        <v>2.7697772205729971</v>
      </c>
      <c r="V26" s="54">
        <f>'R2'!V32</f>
        <v>2.3532294526089785</v>
      </c>
    </row>
    <row r="27" spans="1:22" x14ac:dyDescent="0.25">
      <c r="A27" s="231"/>
      <c r="B27" s="54">
        <f>'R2'!B33</f>
        <v>6.1338109712719906E-2</v>
      </c>
      <c r="C27" s="54">
        <f>'R2'!C33</f>
        <v>4.053876990957974E-2</v>
      </c>
      <c r="D27" s="54">
        <f>'R2'!D33</f>
        <v>2.6150558699291376E-2</v>
      </c>
      <c r="E27" s="54">
        <f>'R2'!E33</f>
        <v>0.33299478602601085</v>
      </c>
      <c r="F27" s="54">
        <f>'R2'!F33</f>
        <v>0.8548843123149249</v>
      </c>
      <c r="G27" s="54">
        <f>'R2'!G33</f>
        <v>1.5603044793806184</v>
      </c>
      <c r="H27" s="54">
        <f>'R2'!H33</f>
        <v>1.8567795356739785</v>
      </c>
      <c r="I27" s="54">
        <f>'R2'!I33</f>
        <v>0.18686434473551783</v>
      </c>
      <c r="J27" s="54">
        <f>'R2'!J33</f>
        <v>9.585646225861294E-2</v>
      </c>
      <c r="K27" s="54">
        <f>'R2'!K33</f>
        <v>1.3491341652615227</v>
      </c>
      <c r="L27" s="54">
        <f>'R2'!L33</f>
        <v>2.1552784731733587</v>
      </c>
      <c r="M27" s="54">
        <f>'R2'!M33</f>
        <v>2.5720823724092434</v>
      </c>
      <c r="O27" s="54">
        <f>'R2'!O33</f>
        <v>0.83587500438606299</v>
      </c>
      <c r="P27" s="54">
        <f>'R2'!P33</f>
        <v>1.3416758595091844</v>
      </c>
      <c r="Q27" s="54">
        <f>'R2'!Q33</f>
        <v>5.0999141442054599E-2</v>
      </c>
      <c r="R27" s="54">
        <f>'R2'!R33</f>
        <v>1.8749946145809169</v>
      </c>
      <c r="S27" s="54">
        <f>'R2'!S33</f>
        <v>1.8744246114614453</v>
      </c>
      <c r="T27" s="54">
        <f>'R2'!T33</f>
        <v>2.4158902656643888</v>
      </c>
      <c r="U27" s="54">
        <f>'R2'!U33</f>
        <v>3.0840797536520546</v>
      </c>
      <c r="V27" s="54">
        <f>'R2'!V33</f>
        <v>1.7736365118237156</v>
      </c>
    </row>
    <row r="28" spans="1:22" x14ac:dyDescent="0.25">
      <c r="A28" s="231"/>
      <c r="B28" s="54">
        <f>'R2'!B34</f>
        <v>1.7638709518859628E-2</v>
      </c>
      <c r="C28" s="54">
        <f>'R2'!C34</f>
        <v>1.1781446294824268E-2</v>
      </c>
      <c r="D28" s="54">
        <f>'R2'!D34</f>
        <v>8.6819395918096634E-2</v>
      </c>
      <c r="E28" s="54">
        <f>'R2'!E34</f>
        <v>0.45041912995612166</v>
      </c>
      <c r="F28" s="54">
        <f>'R2'!F34</f>
        <v>0.93194932627852078</v>
      </c>
      <c r="G28" s="54">
        <f>'R2'!G34</f>
        <v>1.8924507750487873</v>
      </c>
      <c r="H28" s="54">
        <f>'R2'!H34</f>
        <v>3.0872630360083555</v>
      </c>
      <c r="I28" s="54">
        <f>'R2'!I34</f>
        <v>9.2782146732423812E-2</v>
      </c>
      <c r="J28" s="54">
        <f>'R2'!J34</f>
        <v>0.126547947107856</v>
      </c>
      <c r="K28" s="54">
        <f>'R2'!K34</f>
        <v>0.15303784272918086</v>
      </c>
      <c r="L28" s="54">
        <f>'R2'!L34</f>
        <v>1.7038442935063025</v>
      </c>
      <c r="M28" s="54">
        <f>'R2'!M34</f>
        <v>2.1295315062932048</v>
      </c>
      <c r="O28" s="54">
        <f>'R2'!O34</f>
        <v>0.87098564199155248</v>
      </c>
      <c r="P28" s="54">
        <f>'R2'!P34</f>
        <v>1.92663911799642</v>
      </c>
      <c r="Q28" s="54">
        <f>'R2'!Q34</f>
        <v>4.5697668272693642E-2</v>
      </c>
      <c r="R28" s="54">
        <f>'R2'!R34</f>
        <v>2.0963485896272167</v>
      </c>
      <c r="S28" s="54">
        <f>'R2'!S34</f>
        <v>1.441880927384712</v>
      </c>
      <c r="T28" s="54">
        <f>'R2'!T34</f>
        <v>2.0369188799690394</v>
      </c>
      <c r="U28" s="54">
        <f>'R2'!U34</f>
        <v>1.8166539810128262</v>
      </c>
      <c r="V28" s="54">
        <f>'R2'!V34</f>
        <v>1.6213609187206643</v>
      </c>
    </row>
    <row r="29" spans="1:22" x14ac:dyDescent="0.25">
      <c r="A29" s="231"/>
      <c r="B29" s="54" t="str">
        <f>'R2'!B35</f>
        <v/>
      </c>
      <c r="C29" s="54">
        <f>'R2'!C35</f>
        <v>0.20278653057459722</v>
      </c>
      <c r="D29" s="54">
        <f>'R2'!D35</f>
        <v>6.7105504912464545E-2</v>
      </c>
      <c r="E29" s="54">
        <f>'R2'!E35</f>
        <v>0.5368125040621976</v>
      </c>
      <c r="F29" s="54" t="str">
        <f>'R2'!F35</f>
        <v/>
      </c>
      <c r="G29" s="54">
        <f>'R2'!G35</f>
        <v>1.2707273491494147</v>
      </c>
      <c r="H29" s="54">
        <f>'R2'!H35</f>
        <v>1.7560813040605394</v>
      </c>
      <c r="I29" s="54">
        <f>'R2'!I35</f>
        <v>8.1673156065817751E-2</v>
      </c>
      <c r="J29" s="54">
        <f>'R2'!J35</f>
        <v>0.15265675492930555</v>
      </c>
      <c r="K29" s="54">
        <f>'R2'!K35</f>
        <v>0.30113768181063788</v>
      </c>
      <c r="L29" s="54">
        <f>'R2'!L35</f>
        <v>0.90354111106784685</v>
      </c>
      <c r="M29" s="54">
        <f>'R2'!M35</f>
        <v>3.0797021296945126</v>
      </c>
      <c r="O29" s="54">
        <f>'R2'!O35</f>
        <v>1.415639242212684</v>
      </c>
      <c r="P29" s="54">
        <f>'R2'!P35</f>
        <v>1.9220374902155637</v>
      </c>
      <c r="Q29" s="54">
        <f>'R2'!Q35</f>
        <v>1.3462733418128085E-2</v>
      </c>
      <c r="R29" s="54">
        <f>'R2'!R35</f>
        <v>0.29975427683704231</v>
      </c>
      <c r="S29" s="54">
        <f>'R2'!S35</f>
        <v>1.6426021219809639</v>
      </c>
      <c r="T29" s="54">
        <f>'R2'!T35</f>
        <v>1.8413249004456242</v>
      </c>
      <c r="U29" s="54">
        <f>'R2'!U35</f>
        <v>0.62230290439537561</v>
      </c>
      <c r="V29" s="54">
        <f>'R2'!V35</f>
        <v>2.9931612950411655</v>
      </c>
    </row>
    <row r="30" spans="1:22" x14ac:dyDescent="0.25">
      <c r="A30" s="231"/>
      <c r="B30" s="54" t="str">
        <f>'R2'!B36</f>
        <v/>
      </c>
      <c r="C30" s="54" t="str">
        <f>'R2'!C36</f>
        <v/>
      </c>
      <c r="D30" s="54" t="str">
        <f>'R2'!D36</f>
        <v/>
      </c>
      <c r="E30" s="54" t="str">
        <f>'R2'!E36</f>
        <v/>
      </c>
      <c r="F30" s="54" t="str">
        <f>'R2'!F36</f>
        <v/>
      </c>
      <c r="G30" s="54" t="str">
        <f>'R2'!G36</f>
        <v/>
      </c>
      <c r="H30" s="54" t="str">
        <f>'R2'!H36</f>
        <v/>
      </c>
      <c r="I30" s="54" t="str">
        <f>'R2'!I36</f>
        <v/>
      </c>
      <c r="J30" s="54" t="str">
        <f>'R2'!J36</f>
        <v/>
      </c>
      <c r="K30" s="54" t="str">
        <f>'R2'!K36</f>
        <v/>
      </c>
      <c r="L30" s="54" t="str">
        <f>'R2'!L36</f>
        <v/>
      </c>
      <c r="M30" s="54" t="str">
        <f>'R2'!M36</f>
        <v/>
      </c>
      <c r="O30" s="54">
        <f>'R2'!O36</f>
        <v>0.8229373400752612</v>
      </c>
      <c r="P30" s="54" t="str">
        <f>'R2'!P36</f>
        <v/>
      </c>
      <c r="Q30" s="54" t="str">
        <f>'R2'!Q36</f>
        <v/>
      </c>
      <c r="R30" s="54" t="str">
        <f>'R2'!R36</f>
        <v/>
      </c>
      <c r="S30" s="54" t="str">
        <f>'R2'!S36</f>
        <v/>
      </c>
      <c r="T30" s="54" t="str">
        <f>'R2'!T36</f>
        <v/>
      </c>
      <c r="U30" s="54" t="str">
        <f>'R2'!U36</f>
        <v/>
      </c>
      <c r="V30" s="54" t="str">
        <f>'R2'!V36</f>
        <v/>
      </c>
    </row>
    <row r="31" spans="1:22" s="1" customFormat="1" x14ac:dyDescent="0.25">
      <c r="A31" s="231"/>
      <c r="B31" s="54" t="str">
        <f>'R2'!B37</f>
        <v/>
      </c>
      <c r="C31" s="54" t="str">
        <f>'R2'!C37</f>
        <v/>
      </c>
      <c r="D31" s="54" t="str">
        <f>'R2'!D37</f>
        <v/>
      </c>
      <c r="E31" s="54" t="str">
        <f>'R2'!E37</f>
        <v/>
      </c>
      <c r="F31" s="54" t="str">
        <f>'R2'!F37</f>
        <v/>
      </c>
      <c r="G31" s="54" t="str">
        <f>'R2'!G37</f>
        <v/>
      </c>
      <c r="H31" s="54" t="str">
        <f>'R2'!H37</f>
        <v/>
      </c>
      <c r="I31" s="54" t="str">
        <f>'R2'!I37</f>
        <v/>
      </c>
      <c r="J31" s="54" t="str">
        <f>'R2'!J37</f>
        <v/>
      </c>
      <c r="K31" s="54" t="str">
        <f>'R2'!K37</f>
        <v/>
      </c>
      <c r="L31" s="54" t="str">
        <f>'R2'!L37</f>
        <v/>
      </c>
      <c r="M31" s="54" t="str">
        <f>'R2'!M37</f>
        <v/>
      </c>
      <c r="N31"/>
      <c r="O31" s="54" t="str">
        <f>'R2'!O37</f>
        <v/>
      </c>
      <c r="P31" s="54" t="str">
        <f>'R2'!P37</f>
        <v/>
      </c>
      <c r="Q31" s="54" t="str">
        <f>'R2'!Q37</f>
        <v/>
      </c>
      <c r="R31" s="54" t="str">
        <f>'R2'!R37</f>
        <v/>
      </c>
      <c r="S31" s="54" t="str">
        <f>'R2'!S37</f>
        <v/>
      </c>
      <c r="T31" s="54" t="str">
        <f>'R2'!T37</f>
        <v/>
      </c>
      <c r="U31" s="54" t="str">
        <f>'R2'!U37</f>
        <v/>
      </c>
      <c r="V31" s="54" t="str">
        <f>'R2'!V37</f>
        <v/>
      </c>
    </row>
    <row r="32" spans="1:22" s="1" customFormat="1" x14ac:dyDescent="0.25">
      <c r="A32" s="231"/>
      <c r="B32" s="54" t="str">
        <f>'R2'!B38</f>
        <v/>
      </c>
      <c r="C32" s="54" t="str">
        <f>'R2'!C38</f>
        <v/>
      </c>
      <c r="D32" s="54" t="str">
        <f>'R2'!D38</f>
        <v/>
      </c>
      <c r="E32" s="54" t="str">
        <f>'R2'!E38</f>
        <v/>
      </c>
      <c r="F32" s="54" t="str">
        <f>'R2'!F38</f>
        <v/>
      </c>
      <c r="G32" s="54" t="str">
        <f>'R2'!G38</f>
        <v/>
      </c>
      <c r="H32" s="54" t="str">
        <f>'R2'!H38</f>
        <v/>
      </c>
      <c r="I32" s="54" t="str">
        <f>'R2'!I38</f>
        <v/>
      </c>
      <c r="J32" s="54" t="str">
        <f>'R2'!J38</f>
        <v/>
      </c>
      <c r="K32" s="54" t="str">
        <f>'R2'!K38</f>
        <v/>
      </c>
      <c r="L32" s="54" t="str">
        <f>'R2'!L38</f>
        <v/>
      </c>
      <c r="M32" s="54" t="str">
        <f>'R2'!M38</f>
        <v/>
      </c>
      <c r="N32"/>
      <c r="O32" s="54">
        <f>'R2'!O38</f>
        <v>6.8196061530134147E-2</v>
      </c>
      <c r="P32" s="54" t="str">
        <f>'R2'!P38</f>
        <v/>
      </c>
      <c r="Q32" s="54" t="str">
        <f>'R2'!Q38</f>
        <v/>
      </c>
      <c r="R32" s="54" t="str">
        <f>'R2'!R38</f>
        <v/>
      </c>
      <c r="S32" s="54" t="str">
        <f>'R2'!S38</f>
        <v/>
      </c>
      <c r="T32" s="54" t="str">
        <f>'R2'!T38</f>
        <v/>
      </c>
      <c r="U32" s="54" t="str">
        <f>'R2'!U38</f>
        <v/>
      </c>
      <c r="V32" s="54" t="str">
        <f>'R2'!V38</f>
        <v/>
      </c>
    </row>
    <row r="33" spans="1:22" s="1" customFormat="1" x14ac:dyDescent="0.25">
      <c r="A33" s="231"/>
      <c r="B33" s="54" t="str">
        <f>'R2'!B39</f>
        <v/>
      </c>
      <c r="C33" s="54" t="str">
        <f>'R2'!C39</f>
        <v/>
      </c>
      <c r="D33" s="54" t="str">
        <f>'R2'!D39</f>
        <v/>
      </c>
      <c r="E33" s="54" t="str">
        <f>'R2'!E39</f>
        <v/>
      </c>
      <c r="F33" s="54" t="str">
        <f>'R2'!F39</f>
        <v/>
      </c>
      <c r="G33" s="54" t="str">
        <f>'R2'!G39</f>
        <v/>
      </c>
      <c r="H33" s="54" t="str">
        <f>'R2'!H39</f>
        <v/>
      </c>
      <c r="I33" s="54" t="str">
        <f>'R2'!I39</f>
        <v/>
      </c>
      <c r="J33" s="54" t="str">
        <f>'R2'!J39</f>
        <v/>
      </c>
      <c r="K33" s="54" t="str">
        <f>'R2'!K39</f>
        <v/>
      </c>
      <c r="L33" s="54" t="str">
        <f>'R2'!L39</f>
        <v/>
      </c>
      <c r="M33" s="54" t="str">
        <f>'R2'!M39</f>
        <v/>
      </c>
      <c r="N33"/>
      <c r="O33" s="54">
        <f>'R2'!O39</f>
        <v>0.82093596288850346</v>
      </c>
      <c r="P33" s="54" t="str">
        <f>'R2'!P39</f>
        <v/>
      </c>
      <c r="Q33" s="54" t="str">
        <f>'R2'!Q39</f>
        <v/>
      </c>
      <c r="R33" s="54" t="str">
        <f>'R2'!R39</f>
        <v/>
      </c>
      <c r="S33" s="54" t="str">
        <f>'R2'!S39</f>
        <v/>
      </c>
      <c r="T33" s="54" t="str">
        <f>'R2'!T39</f>
        <v/>
      </c>
      <c r="U33" s="54" t="str">
        <f>'R2'!U39</f>
        <v/>
      </c>
      <c r="V33" s="54" t="str">
        <f>'R2'!V39</f>
        <v/>
      </c>
    </row>
    <row r="34" spans="1:22" s="1" customFormat="1" x14ac:dyDescent="0.25">
      <c r="A34" s="231"/>
      <c r="B34" s="54" t="str">
        <f>'R2'!B40</f>
        <v/>
      </c>
      <c r="C34" s="54" t="str">
        <f>'R2'!C40</f>
        <v/>
      </c>
      <c r="D34" s="54" t="str">
        <f>'R2'!D40</f>
        <v/>
      </c>
      <c r="E34" s="54" t="str">
        <f>'R2'!E40</f>
        <v/>
      </c>
      <c r="F34" s="54" t="str">
        <f>'R2'!F40</f>
        <v/>
      </c>
      <c r="G34" s="54" t="str">
        <f>'R2'!G40</f>
        <v/>
      </c>
      <c r="H34" s="54" t="str">
        <f>'R2'!H40</f>
        <v/>
      </c>
      <c r="I34" s="54" t="str">
        <f>'R2'!I40</f>
        <v/>
      </c>
      <c r="J34" s="54" t="str">
        <f>'R2'!J40</f>
        <v/>
      </c>
      <c r="K34" s="54" t="str">
        <f>'R2'!K40</f>
        <v/>
      </c>
      <c r="L34" s="54" t="str">
        <f>'R2'!L40</f>
        <v/>
      </c>
      <c r="M34" s="54" t="str">
        <f>'R2'!M40</f>
        <v/>
      </c>
      <c r="N34"/>
      <c r="O34" s="54">
        <f>'R2'!O40</f>
        <v>1.7582458353869486</v>
      </c>
      <c r="P34" s="54" t="str">
        <f>'R2'!P40</f>
        <v/>
      </c>
      <c r="Q34" s="54" t="str">
        <f>'R2'!Q40</f>
        <v/>
      </c>
      <c r="R34" s="54" t="str">
        <f>'R2'!R40</f>
        <v/>
      </c>
      <c r="S34" s="54" t="str">
        <f>'R2'!S40</f>
        <v/>
      </c>
      <c r="T34" s="54" t="str">
        <f>'R2'!T40</f>
        <v/>
      </c>
      <c r="U34" s="54" t="str">
        <f>'R2'!U40</f>
        <v/>
      </c>
      <c r="V34" s="54" t="str">
        <f>'R2'!V40</f>
        <v/>
      </c>
    </row>
    <row r="35" spans="1:22" s="1" customFormat="1" x14ac:dyDescent="0.25">
      <c r="A35" s="231"/>
      <c r="B35" s="54" t="str">
        <f>'R2'!B41</f>
        <v/>
      </c>
      <c r="C35" s="54" t="str">
        <f>'R2'!C41</f>
        <v/>
      </c>
      <c r="D35" s="54" t="str">
        <f>'R2'!D41</f>
        <v/>
      </c>
      <c r="E35" s="54" t="str">
        <f>'R2'!E41</f>
        <v/>
      </c>
      <c r="F35" s="54" t="str">
        <f>'R2'!F41</f>
        <v/>
      </c>
      <c r="G35" s="54" t="str">
        <f>'R2'!G41</f>
        <v/>
      </c>
      <c r="H35" s="54" t="str">
        <f>'R2'!H41</f>
        <v/>
      </c>
      <c r="I35" s="54" t="str">
        <f>'R2'!I41</f>
        <v/>
      </c>
      <c r="J35" s="54" t="str">
        <f>'R2'!J41</f>
        <v/>
      </c>
      <c r="K35" s="54" t="str">
        <f>'R2'!K41</f>
        <v/>
      </c>
      <c r="L35" s="54" t="str">
        <f>'R2'!L41</f>
        <v/>
      </c>
      <c r="M35" s="54" t="str">
        <f>'R2'!M41</f>
        <v/>
      </c>
      <c r="N35"/>
      <c r="O35" s="54">
        <f>'R2'!O41</f>
        <v>1.1133183967840574</v>
      </c>
      <c r="P35" s="54" t="str">
        <f>'R2'!P41</f>
        <v/>
      </c>
      <c r="Q35" s="54" t="str">
        <f>'R2'!Q41</f>
        <v/>
      </c>
      <c r="R35" s="54" t="str">
        <f>'R2'!R41</f>
        <v/>
      </c>
      <c r="S35" s="54" t="str">
        <f>'R2'!S41</f>
        <v/>
      </c>
      <c r="T35" s="54" t="str">
        <f>'R2'!T41</f>
        <v/>
      </c>
      <c r="U35" s="54" t="str">
        <f>'R2'!U41</f>
        <v/>
      </c>
      <c r="V35" s="54" t="str">
        <f>'R2'!V41</f>
        <v/>
      </c>
    </row>
    <row r="36" spans="1:22" x14ac:dyDescent="0.25">
      <c r="A36" s="231"/>
      <c r="B36" s="54" t="str">
        <f>'R2'!B42</f>
        <v/>
      </c>
      <c r="C36" s="54" t="str">
        <f>'R2'!C42</f>
        <v/>
      </c>
      <c r="D36" s="54" t="str">
        <f>'R2'!D42</f>
        <v/>
      </c>
      <c r="E36" s="54" t="str">
        <f>'R2'!E42</f>
        <v/>
      </c>
      <c r="F36" s="54" t="str">
        <f>'R2'!F42</f>
        <v/>
      </c>
      <c r="G36" s="54" t="str">
        <f>'R2'!G42</f>
        <v/>
      </c>
      <c r="H36" s="54" t="str">
        <f>'R2'!H42</f>
        <v/>
      </c>
      <c r="I36" s="54" t="str">
        <f>'R2'!I42</f>
        <v/>
      </c>
      <c r="J36" s="54" t="str">
        <f>'R2'!J42</f>
        <v/>
      </c>
      <c r="K36" s="54" t="str">
        <f>'R2'!K42</f>
        <v/>
      </c>
      <c r="L36" s="54" t="str">
        <f>'R2'!L42</f>
        <v/>
      </c>
      <c r="M36" s="54" t="str">
        <f>'R2'!M42</f>
        <v/>
      </c>
      <c r="O36" s="54">
        <f>'R2'!O42</f>
        <v>6.9904442308207651E-2</v>
      </c>
      <c r="P36" s="54" t="str">
        <f>'R2'!P42</f>
        <v/>
      </c>
      <c r="Q36" s="54" t="str">
        <f>'R2'!Q42</f>
        <v/>
      </c>
      <c r="R36" s="54" t="str">
        <f>'R2'!R42</f>
        <v/>
      </c>
      <c r="S36" s="54" t="str">
        <f>'R2'!S42</f>
        <v/>
      </c>
      <c r="T36" s="54" t="str">
        <f>'R2'!T42</f>
        <v/>
      </c>
      <c r="U36" s="54" t="str">
        <f>'R2'!U42</f>
        <v/>
      </c>
      <c r="V36" s="54" t="str">
        <f>'R2'!V42</f>
        <v/>
      </c>
    </row>
    <row r="37" spans="1:22" x14ac:dyDescent="0.25">
      <c r="A37" s="232"/>
      <c r="B37" s="54" t="str">
        <f>'R2'!B43</f>
        <v/>
      </c>
      <c r="C37" s="54" t="str">
        <f>'R2'!C43</f>
        <v/>
      </c>
      <c r="D37" s="54" t="str">
        <f>'R2'!D43</f>
        <v/>
      </c>
      <c r="E37" s="54" t="str">
        <f>'R2'!E43</f>
        <v/>
      </c>
      <c r="F37" s="54" t="str">
        <f>'R2'!F43</f>
        <v/>
      </c>
      <c r="G37" s="54" t="str">
        <f>'R2'!G43</f>
        <v/>
      </c>
      <c r="H37" s="54" t="str">
        <f>'R2'!H43</f>
        <v/>
      </c>
      <c r="I37" s="54" t="str">
        <f>'R2'!I43</f>
        <v/>
      </c>
      <c r="J37" s="54" t="str">
        <f>'R2'!J43</f>
        <v/>
      </c>
      <c r="K37" s="54" t="str">
        <f>'R2'!K43</f>
        <v/>
      </c>
      <c r="L37" s="54" t="str">
        <f>'R2'!L43</f>
        <v/>
      </c>
      <c r="M37" s="54" t="str">
        <f>'R2'!M43</f>
        <v/>
      </c>
      <c r="O37" s="54">
        <f>'R2'!O43</f>
        <v>1.6020313726755904</v>
      </c>
      <c r="P37" s="54" t="str">
        <f>'R2'!P43</f>
        <v/>
      </c>
      <c r="Q37" s="54" t="str">
        <f>'R2'!Q43</f>
        <v/>
      </c>
      <c r="R37" s="54" t="str">
        <f>'R2'!R43</f>
        <v/>
      </c>
      <c r="S37" s="54" t="str">
        <f>'R2'!S43</f>
        <v/>
      </c>
      <c r="T37" s="54" t="str">
        <f>'R2'!T43</f>
        <v/>
      </c>
      <c r="U37" s="54" t="str">
        <f>'R2'!U43</f>
        <v/>
      </c>
      <c r="V37" s="54" t="str">
        <f>'R2'!V43</f>
        <v/>
      </c>
    </row>
    <row r="38" spans="1:22" s="1" customFormat="1" x14ac:dyDescent="0.25">
      <c r="A38" s="153" t="s">
        <v>116</v>
      </c>
      <c r="B38" s="154">
        <f>'R3'!B28</f>
        <v>0.21792244324550866</v>
      </c>
      <c r="C38" s="154">
        <f>'R3'!C28</f>
        <v>0.22927000250507798</v>
      </c>
      <c r="D38" s="154">
        <f>'R3'!D28</f>
        <v>0.4724112617648612</v>
      </c>
      <c r="E38" s="154">
        <f>'R3'!E28</f>
        <v>0.18381916988327124</v>
      </c>
      <c r="F38" s="154">
        <f>'R3'!F28</f>
        <v>0.49701504247529998</v>
      </c>
      <c r="G38" s="154">
        <f>'R3'!G28</f>
        <v>2.0823313048725987</v>
      </c>
      <c r="H38" s="154">
        <f>'R3'!H28</f>
        <v>3.1446748176827914</v>
      </c>
      <c r="I38" s="154">
        <f>'R3'!I28</f>
        <v>0.1369379262066194</v>
      </c>
      <c r="J38" s="154">
        <f>'R3'!J28</f>
        <v>4.2022642418125644E-2</v>
      </c>
      <c r="K38" s="154">
        <f>'R3'!K28</f>
        <v>0.42524381744938977</v>
      </c>
      <c r="L38" s="154">
        <f>'R3'!L28</f>
        <v>1.6041522120266443</v>
      </c>
      <c r="M38" s="154">
        <f>'R3'!M28</f>
        <v>3.0320804269850359</v>
      </c>
      <c r="N38"/>
      <c r="O38" s="154">
        <f>'R3'!O28</f>
        <v>0.83935778550446405</v>
      </c>
      <c r="P38" s="154">
        <f>'R3'!P28</f>
        <v>2.7058886768335877</v>
      </c>
      <c r="Q38" s="154">
        <f>'R3'!Q28</f>
        <v>8.6086191460661141E-2</v>
      </c>
      <c r="R38" s="154">
        <f>'R3'!R28</f>
        <v>1.7424137668428665</v>
      </c>
      <c r="S38" s="154">
        <f>'R3'!S28</f>
        <v>3.6973745367949573</v>
      </c>
      <c r="T38" s="154" t="str">
        <f>'R3'!T28</f>
        <v/>
      </c>
      <c r="U38" s="154">
        <f>'R3'!U28</f>
        <v>2.6758028709213733</v>
      </c>
      <c r="V38" s="154" t="str">
        <f>'R3'!V28</f>
        <v/>
      </c>
    </row>
    <row r="39" spans="1:22" s="1" customFormat="1" x14ac:dyDescent="0.25">
      <c r="A39" s="230" t="s">
        <v>34</v>
      </c>
      <c r="B39" s="154">
        <f>'R3'!B29</f>
        <v>0.12512040576013328</v>
      </c>
      <c r="C39" s="154">
        <f>'R3'!C29</f>
        <v>0.14011830613303294</v>
      </c>
      <c r="D39" s="154">
        <f>'R3'!D29</f>
        <v>1.6752803738240896E-2</v>
      </c>
      <c r="E39" s="154">
        <f>'R3'!E29</f>
        <v>6.2073661794073372E-2</v>
      </c>
      <c r="F39" s="154">
        <f>'R3'!F29</f>
        <v>9.2545838568694153E-2</v>
      </c>
      <c r="G39" s="154">
        <f>'R3'!G29</f>
        <v>1.3622493133240705</v>
      </c>
      <c r="H39" s="154">
        <f>'R3'!H29</f>
        <v>3.5618155055281955</v>
      </c>
      <c r="I39" s="154">
        <f>'R3'!I29</f>
        <v>0.10654480002223811</v>
      </c>
      <c r="J39" s="154" t="str">
        <f>'R3'!J29</f>
        <v/>
      </c>
      <c r="K39" s="154">
        <f>'R3'!K29</f>
        <v>0.66635265741405225</v>
      </c>
      <c r="L39" s="154">
        <f>'R3'!L29</f>
        <v>0.27585261061860294</v>
      </c>
      <c r="M39" s="154">
        <f>'R3'!M29</f>
        <v>3.601336458293412</v>
      </c>
      <c r="N39"/>
      <c r="O39" s="154">
        <f>'R3'!O29</f>
        <v>1.7093181171090246</v>
      </c>
      <c r="P39" s="154">
        <f>'R3'!P29</f>
        <v>2.1474295152797422</v>
      </c>
      <c r="Q39" s="154">
        <f>'R3'!Q29</f>
        <v>7.2501332724526454E-2</v>
      </c>
      <c r="R39" s="154">
        <f>'R3'!R29</f>
        <v>2.4005097332067251</v>
      </c>
      <c r="S39" s="154">
        <f>'R3'!S29</f>
        <v>0.16165283171682057</v>
      </c>
      <c r="T39" s="154">
        <f>'R3'!T29</f>
        <v>3.5769077534220304</v>
      </c>
      <c r="U39" s="154">
        <f>'R3'!U29</f>
        <v>1.157322747637981</v>
      </c>
      <c r="V39" s="154">
        <f>'R3'!V29</f>
        <v>3.1357347979349472</v>
      </c>
    </row>
    <row r="40" spans="1:22" s="1" customFormat="1" x14ac:dyDescent="0.25">
      <c r="A40" s="231"/>
      <c r="B40" s="154">
        <f>'R3'!B30</f>
        <v>1.8462605830499152E-2</v>
      </c>
      <c r="C40" s="154">
        <f>'R3'!C30</f>
        <v>0.10563981386431556</v>
      </c>
      <c r="D40" s="154">
        <f>'R3'!D30</f>
        <v>2.452719736708571E-2</v>
      </c>
      <c r="E40" s="154">
        <f>'R3'!E30</f>
        <v>0.10757374066373217</v>
      </c>
      <c r="F40" s="154">
        <f>'R3'!F30</f>
        <v>0.83926412881265711</v>
      </c>
      <c r="G40" s="154">
        <f>'R3'!G30</f>
        <v>2.7878379860949254</v>
      </c>
      <c r="H40" s="154">
        <f>'R3'!H30</f>
        <v>2.8120961548615204</v>
      </c>
      <c r="I40" s="154">
        <f>'R3'!I30</f>
        <v>0.11552301275188329</v>
      </c>
      <c r="J40" s="154">
        <f>'R3'!J30</f>
        <v>2.4830175284732626E-2</v>
      </c>
      <c r="K40" s="154">
        <f>'R3'!K30</f>
        <v>0.66625870465261894</v>
      </c>
      <c r="L40" s="154">
        <f>'R3'!L30</f>
        <v>2.94254462961772</v>
      </c>
      <c r="M40" s="154">
        <f>'R3'!M30</f>
        <v>4.0861970530874228</v>
      </c>
      <c r="N40"/>
      <c r="O40" s="154">
        <f>'R3'!O30</f>
        <v>1.867414560473948</v>
      </c>
      <c r="P40" s="154">
        <f>'R3'!P30</f>
        <v>2.3487315965998707</v>
      </c>
      <c r="Q40" s="154">
        <f>'R3'!Q30</f>
        <v>0.25524892794010706</v>
      </c>
      <c r="R40" s="154">
        <f>'R3'!R30</f>
        <v>1.5936690773861855</v>
      </c>
      <c r="S40" s="154">
        <f>'R3'!S30</f>
        <v>2.6721142381363667</v>
      </c>
      <c r="T40" s="154">
        <f>'R3'!T30</f>
        <v>3.0470228636479297</v>
      </c>
      <c r="U40" s="154">
        <f>'R3'!U30</f>
        <v>2.2002749828896428</v>
      </c>
      <c r="V40" s="154">
        <f>'R3'!V30</f>
        <v>2.046575765615493</v>
      </c>
    </row>
    <row r="41" spans="1:22" s="1" customFormat="1" x14ac:dyDescent="0.25">
      <c r="A41" s="231"/>
      <c r="B41" s="154">
        <f>'R3'!B31</f>
        <v>5.7759433888557088E-2</v>
      </c>
      <c r="C41" s="154">
        <f>'R3'!C31</f>
        <v>6.0466102412786528E-2</v>
      </c>
      <c r="D41" s="154">
        <f>'R3'!D31</f>
        <v>7.2859971731929998E-2</v>
      </c>
      <c r="E41" s="154">
        <f>'R3'!E31</f>
        <v>3.2271662304300031</v>
      </c>
      <c r="F41" s="154">
        <f>'R3'!F31</f>
        <v>1.5494154516435237</v>
      </c>
      <c r="G41" s="154">
        <f>'R3'!G31</f>
        <v>0.80646287097729785</v>
      </c>
      <c r="H41" s="154">
        <f>'R3'!H31</f>
        <v>2.5060126642137845</v>
      </c>
      <c r="I41" s="154">
        <f>'R3'!I31</f>
        <v>0.15169679970116706</v>
      </c>
      <c r="J41" s="154">
        <f>'R3'!J31</f>
        <v>7.8046914206095053E-2</v>
      </c>
      <c r="K41" s="154">
        <f>'R3'!K31</f>
        <v>0.10281333583128374</v>
      </c>
      <c r="L41" s="154">
        <f>'R3'!L31</f>
        <v>2.3240762997744442</v>
      </c>
      <c r="M41" s="154">
        <f>'R3'!M31</f>
        <v>4.7801039237285163</v>
      </c>
      <c r="N41"/>
      <c r="O41" s="154">
        <f>'R3'!O31</f>
        <v>0.95923993005519559</v>
      </c>
      <c r="P41" s="154">
        <f>'R3'!P31</f>
        <v>1.3921385290043788</v>
      </c>
      <c r="Q41" s="154">
        <f>'R3'!Q31</f>
        <v>3.0982304740847788E-2</v>
      </c>
      <c r="R41" s="154">
        <f>'R3'!R31</f>
        <v>0.33960814527018079</v>
      </c>
      <c r="S41" s="154">
        <f>'R3'!S31</f>
        <v>1.1338264647098986</v>
      </c>
      <c r="T41" s="154">
        <f>'R3'!T31</f>
        <v>2.0899562820300046</v>
      </c>
      <c r="U41" s="154">
        <f>'R3'!U31</f>
        <v>1.9385540716070708</v>
      </c>
      <c r="V41" s="154">
        <f>'R3'!V31</f>
        <v>2.7626063403968417</v>
      </c>
    </row>
    <row r="42" spans="1:22" s="1" customFormat="1" x14ac:dyDescent="0.25">
      <c r="A42" s="231"/>
      <c r="B42" s="154">
        <f>'R3'!B32</f>
        <v>1.7252174508043307E-2</v>
      </c>
      <c r="C42" s="154">
        <f>'R3'!C32</f>
        <v>2.843788237186641E-2</v>
      </c>
      <c r="D42" s="154">
        <f>'R3'!D32</f>
        <v>2.3803405820498579E-2</v>
      </c>
      <c r="E42" s="154">
        <f>'R3'!E32</f>
        <v>8.7405477715743876E-2</v>
      </c>
      <c r="F42" s="154">
        <f>'R3'!F32</f>
        <v>0.7746351887633024</v>
      </c>
      <c r="G42" s="154">
        <f>'R3'!G32</f>
        <v>1.5356000533583261</v>
      </c>
      <c r="H42" s="154">
        <f>'R3'!H32</f>
        <v>3.3372761035131786</v>
      </c>
      <c r="I42" s="154">
        <f>'R3'!I32</f>
        <v>0.19243459863074378</v>
      </c>
      <c r="J42" s="154">
        <f>'R3'!J32</f>
        <v>7.5314783693998216E-2</v>
      </c>
      <c r="K42" s="154">
        <f>'R3'!K32</f>
        <v>1.4781822838185943</v>
      </c>
      <c r="L42" s="154">
        <f>'R3'!L32</f>
        <v>2.3518821721838967</v>
      </c>
      <c r="M42" s="154">
        <f>'R3'!M32</f>
        <v>2.3681610671402025</v>
      </c>
      <c r="N42"/>
      <c r="O42" s="154">
        <f>'R3'!O32</f>
        <v>0.51039936338451009</v>
      </c>
      <c r="P42" s="154">
        <f>'R3'!P32</f>
        <v>1.869664492254572</v>
      </c>
      <c r="Q42" s="154">
        <f>'R3'!Q32</f>
        <v>0.12853152261536066</v>
      </c>
      <c r="R42" s="154">
        <f>'R3'!R32</f>
        <v>0.89716824205863133</v>
      </c>
      <c r="S42" s="154">
        <f>'R3'!S32</f>
        <v>2.5343352768111194</v>
      </c>
      <c r="T42" s="154">
        <f>'R3'!T32</f>
        <v>2.7283023318279289</v>
      </c>
      <c r="U42" s="154">
        <f>'R3'!U32</f>
        <v>1.5699464985736846</v>
      </c>
      <c r="V42" s="154">
        <f>'R3'!V32</f>
        <v>3.7575674656324844</v>
      </c>
    </row>
    <row r="43" spans="1:22" s="1" customFormat="1" x14ac:dyDescent="0.25">
      <c r="A43" s="231"/>
      <c r="B43" s="154">
        <f>'R3'!B33</f>
        <v>2.5235790672852768E-2</v>
      </c>
      <c r="C43" s="154">
        <f>'R3'!C33</f>
        <v>0.1135936256867376</v>
      </c>
      <c r="D43" s="154">
        <f>'R3'!D33</f>
        <v>0.2593601507718124</v>
      </c>
      <c r="E43" s="154" t="str">
        <f>'R3'!E33</f>
        <v/>
      </c>
      <c r="F43" s="154">
        <f>'R3'!F33</f>
        <v>0.48652766417019661</v>
      </c>
      <c r="G43" s="154">
        <f>'R3'!G33</f>
        <v>0.16847111783225716</v>
      </c>
      <c r="H43" s="154">
        <f>'R3'!H33</f>
        <v>4.1153180667771885</v>
      </c>
      <c r="I43" s="154">
        <f>'R3'!I33</f>
        <v>0.14629609495676643</v>
      </c>
      <c r="J43" s="154">
        <f>'R3'!J33</f>
        <v>1.4095359750090917</v>
      </c>
      <c r="K43" s="154">
        <f>'R3'!K33</f>
        <v>0.23374006172393774</v>
      </c>
      <c r="L43" s="154">
        <f>'R3'!L33</f>
        <v>1.3866527535873359</v>
      </c>
      <c r="M43" s="154">
        <f>'R3'!M33</f>
        <v>3.8162830070344498</v>
      </c>
      <c r="N43"/>
      <c r="O43" s="154">
        <f>'R3'!O33</f>
        <v>1.0130501898875446</v>
      </c>
      <c r="P43" s="154">
        <f>'R3'!P33</f>
        <v>2.1947846677383289</v>
      </c>
      <c r="Q43" s="154">
        <f>'R3'!Q33</f>
        <v>0.10031154748849894</v>
      </c>
      <c r="R43" s="154">
        <f>'R3'!R33</f>
        <v>0.73668547750520541</v>
      </c>
      <c r="S43" s="154">
        <f>'R3'!S33</f>
        <v>1.4746515548343151</v>
      </c>
      <c r="T43" s="154">
        <f>'R3'!T33</f>
        <v>0.89854328809334616</v>
      </c>
      <c r="U43" s="154">
        <f>'R3'!U33</f>
        <v>1.8461107718189744</v>
      </c>
      <c r="V43" s="154">
        <f>'R3'!V33</f>
        <v>3.8158519296584621</v>
      </c>
    </row>
    <row r="44" spans="1:22" s="1" customFormat="1" x14ac:dyDescent="0.25">
      <c r="A44" s="231"/>
      <c r="B44" s="154">
        <f>'R3'!B34</f>
        <v>3.619944631690207E-2</v>
      </c>
      <c r="C44" s="154">
        <f>'R3'!C34</f>
        <v>3.4120248020815667E-2</v>
      </c>
      <c r="D44" s="154">
        <f>'R3'!D34</f>
        <v>0.33534089374538112</v>
      </c>
      <c r="E44" s="154">
        <f>'R3'!E34</f>
        <v>0.14707317903609926</v>
      </c>
      <c r="F44" s="154">
        <f>'R3'!F34</f>
        <v>0.86944773639144735</v>
      </c>
      <c r="G44" s="154">
        <f>'R3'!G34</f>
        <v>0.7816838170480509</v>
      </c>
      <c r="H44" s="154">
        <f>'R3'!H34</f>
        <v>3.0583325259953242</v>
      </c>
      <c r="I44" s="154">
        <f>'R3'!I34</f>
        <v>5.3127325894200175E-2</v>
      </c>
      <c r="J44" s="154">
        <f>'R3'!J34</f>
        <v>6.8394254867590265E-2</v>
      </c>
      <c r="K44" s="154">
        <f>'R3'!K34</f>
        <v>2.6977666974633902E-2</v>
      </c>
      <c r="L44" s="154">
        <f>'R3'!L34</f>
        <v>3.8262218670117742</v>
      </c>
      <c r="M44" s="154">
        <f>'R3'!M34</f>
        <v>4.151056433995965</v>
      </c>
      <c r="N44"/>
      <c r="O44" s="154">
        <f>'R3'!O34</f>
        <v>0.88696893949998112</v>
      </c>
      <c r="P44" s="154">
        <f>'R3'!P34</f>
        <v>2.1900799239956372</v>
      </c>
      <c r="Q44" s="154">
        <f>'R3'!Q34</f>
        <v>5.9646384307257105E-2</v>
      </c>
      <c r="R44" s="154">
        <f>'R3'!R34</f>
        <v>1.6893503919879611</v>
      </c>
      <c r="S44" s="154">
        <f>'R3'!S34</f>
        <v>2.4379726073092023</v>
      </c>
      <c r="T44" s="154">
        <f>'R3'!T34</f>
        <v>2.7878208140565959</v>
      </c>
      <c r="U44" s="154">
        <f>'R3'!U34</f>
        <v>2.5768958777403506</v>
      </c>
      <c r="V44" s="154">
        <f>'R3'!V34</f>
        <v>2.9267609604564471</v>
      </c>
    </row>
    <row r="45" spans="1:22" s="1" customFormat="1" x14ac:dyDescent="0.25">
      <c r="A45" s="231"/>
      <c r="B45" s="154">
        <f>'R3'!B35</f>
        <v>0.14377298960088333</v>
      </c>
      <c r="C45" s="154">
        <f>'R3'!C35</f>
        <v>2.9505114685037019E-2</v>
      </c>
      <c r="D45" s="154">
        <f>'R3'!D35</f>
        <v>9.2944150906030618E-3</v>
      </c>
      <c r="E45" s="154">
        <f>'R3'!E35</f>
        <v>0.36907723815067672</v>
      </c>
      <c r="F45" s="154">
        <f>'R3'!F35</f>
        <v>1.2769805701018035</v>
      </c>
      <c r="G45" s="154">
        <f>'R3'!G35</f>
        <v>1.774634037381422</v>
      </c>
      <c r="H45" s="154">
        <f>'R3'!H35</f>
        <v>3.7520088570873553</v>
      </c>
      <c r="I45" s="154">
        <f>'R3'!I35</f>
        <v>5.7434941578060977E-2</v>
      </c>
      <c r="J45" s="154">
        <f>'R3'!J35</f>
        <v>4.733383544548856E-2</v>
      </c>
      <c r="K45" s="154">
        <f>'R3'!K35</f>
        <v>0.25170744175940363</v>
      </c>
      <c r="L45" s="154">
        <f>'R3'!L35</f>
        <v>3.2959064920009387</v>
      </c>
      <c r="M45" s="154">
        <f>'R3'!M35</f>
        <v>2.3381052629501267</v>
      </c>
      <c r="N45"/>
      <c r="O45" s="154">
        <f>'R3'!O35</f>
        <v>3.2621543572155701E-2</v>
      </c>
      <c r="P45" s="154">
        <f>'R3'!P35</f>
        <v>2.3832017989190497</v>
      </c>
      <c r="Q45" s="154">
        <f>'R3'!Q35</f>
        <v>0.15710599177485679</v>
      </c>
      <c r="R45" s="154">
        <f>'R3'!R35</f>
        <v>1.1896115089501025</v>
      </c>
      <c r="S45" s="154">
        <f>'R3'!S35</f>
        <v>1.3970355206244569</v>
      </c>
      <c r="T45" s="154">
        <f>'R3'!T35</f>
        <v>1.5179207490693134</v>
      </c>
      <c r="U45" s="154">
        <f>'R3'!U35</f>
        <v>2.6378743779864995</v>
      </c>
      <c r="V45" s="154">
        <f>'R3'!V35</f>
        <v>4.0555094363146829</v>
      </c>
    </row>
    <row r="46" spans="1:22" s="1" customFormat="1" x14ac:dyDescent="0.25">
      <c r="A46" s="231"/>
      <c r="B46" s="154" t="str">
        <f>'R3'!B36</f>
        <v/>
      </c>
      <c r="C46" s="154" t="str">
        <f>'R3'!C36</f>
        <v/>
      </c>
      <c r="D46" s="154" t="str">
        <f>'R3'!D36</f>
        <v/>
      </c>
      <c r="E46" s="154" t="str">
        <f>'R3'!E36</f>
        <v/>
      </c>
      <c r="F46" s="154" t="str">
        <f>'R3'!F36</f>
        <v/>
      </c>
      <c r="G46" s="154" t="str">
        <f>'R3'!G36</f>
        <v/>
      </c>
      <c r="H46" s="154" t="str">
        <f>'R3'!H36</f>
        <v/>
      </c>
      <c r="I46" s="154" t="str">
        <f>'R3'!I36</f>
        <v/>
      </c>
      <c r="J46" s="154" t="str">
        <f>'R3'!J36</f>
        <v/>
      </c>
      <c r="K46" s="154" t="str">
        <f>'R3'!K36</f>
        <v/>
      </c>
      <c r="L46" s="154" t="str">
        <f>'R3'!L36</f>
        <v/>
      </c>
      <c r="M46" s="154" t="str">
        <f>'R3'!M36</f>
        <v/>
      </c>
      <c r="N46"/>
      <c r="O46" s="154">
        <f>'R3'!O36</f>
        <v>0.61264059400778104</v>
      </c>
      <c r="P46" s="154" t="str">
        <f>'R3'!P36</f>
        <v/>
      </c>
      <c r="Q46" s="154" t="str">
        <f>'R3'!Q36</f>
        <v/>
      </c>
      <c r="R46" s="154" t="str">
        <f>'R3'!R36</f>
        <v/>
      </c>
      <c r="S46" s="154" t="str">
        <f>'R3'!S36</f>
        <v/>
      </c>
      <c r="T46" s="154" t="str">
        <f>'R3'!T36</f>
        <v/>
      </c>
      <c r="U46" s="154" t="str">
        <f>'R3'!U36</f>
        <v/>
      </c>
      <c r="V46" s="154" t="str">
        <f>'R3'!V36</f>
        <v/>
      </c>
    </row>
    <row r="47" spans="1:22" s="1" customFormat="1" x14ac:dyDescent="0.25">
      <c r="A47" s="231"/>
      <c r="B47" s="154" t="str">
        <f>'R3'!B37</f>
        <v/>
      </c>
      <c r="C47" s="154" t="str">
        <f>'R3'!C37</f>
        <v/>
      </c>
      <c r="D47" s="154" t="str">
        <f>'R3'!D37</f>
        <v/>
      </c>
      <c r="E47" s="154" t="str">
        <f>'R3'!E37</f>
        <v/>
      </c>
      <c r="F47" s="154" t="str">
        <f>'R3'!F37</f>
        <v/>
      </c>
      <c r="G47" s="154" t="str">
        <f>'R3'!G37</f>
        <v/>
      </c>
      <c r="H47" s="154" t="str">
        <f>'R3'!H37</f>
        <v/>
      </c>
      <c r="I47" s="154" t="str">
        <f>'R3'!I37</f>
        <v/>
      </c>
      <c r="J47" s="154" t="str">
        <f>'R3'!J37</f>
        <v/>
      </c>
      <c r="K47" s="154" t="str">
        <f>'R3'!K37</f>
        <v/>
      </c>
      <c r="L47" s="154" t="str">
        <f>'R3'!L37</f>
        <v/>
      </c>
      <c r="M47" s="154" t="str">
        <f>'R3'!M37</f>
        <v/>
      </c>
      <c r="N47"/>
      <c r="O47" s="154">
        <f>'R3'!O37</f>
        <v>1.9037762529460984</v>
      </c>
      <c r="P47" s="154" t="str">
        <f>'R3'!P37</f>
        <v/>
      </c>
      <c r="Q47" s="154" t="str">
        <f>'R3'!Q37</f>
        <v/>
      </c>
      <c r="R47" s="154" t="str">
        <f>'R3'!R37</f>
        <v/>
      </c>
      <c r="S47" s="154" t="str">
        <f>'R3'!S37</f>
        <v/>
      </c>
      <c r="T47" s="154" t="str">
        <f>'R3'!T37</f>
        <v/>
      </c>
      <c r="U47" s="154" t="str">
        <f>'R3'!U37</f>
        <v/>
      </c>
      <c r="V47" s="154" t="str">
        <f>'R3'!V37</f>
        <v/>
      </c>
    </row>
    <row r="48" spans="1:22" s="1" customFormat="1" x14ac:dyDescent="0.25">
      <c r="A48" s="231"/>
      <c r="B48" s="154" t="str">
        <f>'R3'!B38</f>
        <v/>
      </c>
      <c r="C48" s="154" t="str">
        <f>'R3'!C38</f>
        <v/>
      </c>
      <c r="D48" s="154" t="str">
        <f>'R3'!D38</f>
        <v/>
      </c>
      <c r="E48" s="154" t="str">
        <f>'R3'!E38</f>
        <v/>
      </c>
      <c r="F48" s="154" t="str">
        <f>'R3'!F38</f>
        <v/>
      </c>
      <c r="G48" s="154" t="str">
        <f>'R3'!G38</f>
        <v/>
      </c>
      <c r="H48" s="154" t="str">
        <f>'R3'!H38</f>
        <v/>
      </c>
      <c r="I48" s="154" t="str">
        <f>'R3'!I38</f>
        <v/>
      </c>
      <c r="J48" s="154" t="str">
        <f>'R3'!J38</f>
        <v/>
      </c>
      <c r="K48" s="154" t="str">
        <f>'R3'!K38</f>
        <v/>
      </c>
      <c r="L48" s="154" t="str">
        <f>'R3'!L38</f>
        <v/>
      </c>
      <c r="M48" s="154" t="str">
        <f>'R3'!M38</f>
        <v/>
      </c>
      <c r="N48"/>
      <c r="O48" s="154">
        <f>'R3'!O38</f>
        <v>1.0476869807164917</v>
      </c>
      <c r="P48" s="154" t="str">
        <f>'R3'!P38</f>
        <v/>
      </c>
      <c r="Q48" s="154" t="str">
        <f>'R3'!Q38</f>
        <v/>
      </c>
      <c r="R48" s="154" t="str">
        <f>'R3'!R38</f>
        <v/>
      </c>
      <c r="S48" s="154" t="str">
        <f>'R3'!S38</f>
        <v/>
      </c>
      <c r="T48" s="154" t="str">
        <f>'R3'!T38</f>
        <v/>
      </c>
      <c r="U48" s="154" t="str">
        <f>'R3'!U38</f>
        <v/>
      </c>
      <c r="V48" s="154" t="str">
        <f>'R3'!V38</f>
        <v/>
      </c>
    </row>
    <row r="49" spans="1:24" s="1" customFormat="1" x14ac:dyDescent="0.25">
      <c r="A49" s="231"/>
      <c r="B49" s="154" t="str">
        <f>'R3'!B39</f>
        <v/>
      </c>
      <c r="C49" s="154" t="str">
        <f>'R3'!C39</f>
        <v/>
      </c>
      <c r="D49" s="154" t="str">
        <f>'R3'!D39</f>
        <v/>
      </c>
      <c r="E49" s="154" t="str">
        <f>'R3'!E39</f>
        <v/>
      </c>
      <c r="F49" s="154" t="str">
        <f>'R3'!F39</f>
        <v/>
      </c>
      <c r="G49" s="154" t="str">
        <f>'R3'!G39</f>
        <v/>
      </c>
      <c r="H49" s="154" t="str">
        <f>'R3'!H39</f>
        <v/>
      </c>
      <c r="I49" s="154" t="str">
        <f>'R3'!I39</f>
        <v/>
      </c>
      <c r="J49" s="154" t="str">
        <f>'R3'!J39</f>
        <v/>
      </c>
      <c r="K49" s="154" t="str">
        <f>'R3'!K39</f>
        <v/>
      </c>
      <c r="L49" s="154" t="str">
        <f>'R3'!L39</f>
        <v/>
      </c>
      <c r="M49" s="154" t="str">
        <f>'R3'!M39</f>
        <v/>
      </c>
      <c r="N49"/>
      <c r="O49" s="154">
        <f>'R3'!O39</f>
        <v>1.1948669421978335</v>
      </c>
      <c r="P49" s="154" t="str">
        <f>'R3'!P39</f>
        <v/>
      </c>
      <c r="Q49" s="154" t="str">
        <f>'R3'!Q39</f>
        <v/>
      </c>
      <c r="R49" s="154" t="str">
        <f>'R3'!R39</f>
        <v/>
      </c>
      <c r="S49" s="154" t="str">
        <f>'R3'!S39</f>
        <v/>
      </c>
      <c r="T49" s="154" t="str">
        <f>'R3'!T39</f>
        <v/>
      </c>
      <c r="U49" s="154" t="str">
        <f>'R3'!U39</f>
        <v/>
      </c>
      <c r="V49" s="154" t="str">
        <f>'R3'!V39</f>
        <v/>
      </c>
    </row>
    <row r="50" spans="1:24" s="1" customFormat="1" x14ac:dyDescent="0.25">
      <c r="A50" s="231"/>
      <c r="B50" s="154" t="str">
        <f>'R3'!B40</f>
        <v/>
      </c>
      <c r="C50" s="154" t="str">
        <f>'R3'!C40</f>
        <v/>
      </c>
      <c r="D50" s="154" t="str">
        <f>'R3'!D40</f>
        <v/>
      </c>
      <c r="E50" s="154" t="str">
        <f>'R3'!E40</f>
        <v/>
      </c>
      <c r="F50" s="154" t="str">
        <f>'R3'!F40</f>
        <v/>
      </c>
      <c r="G50" s="154" t="str">
        <f>'R3'!G40</f>
        <v/>
      </c>
      <c r="H50" s="154" t="str">
        <f>'R3'!H40</f>
        <v/>
      </c>
      <c r="I50" s="154" t="str">
        <f>'R3'!I40</f>
        <v/>
      </c>
      <c r="J50" s="154" t="str">
        <f>'R3'!J40</f>
        <v/>
      </c>
      <c r="K50" s="154" t="str">
        <f>'R3'!K40</f>
        <v/>
      </c>
      <c r="L50" s="154" t="str">
        <f>'R3'!L40</f>
        <v/>
      </c>
      <c r="M50" s="154" t="str">
        <f>'R3'!M40</f>
        <v/>
      </c>
      <c r="N50"/>
      <c r="O50" s="154">
        <f>'R3'!O40</f>
        <v>9.5290996144351044E-3</v>
      </c>
      <c r="P50" s="154" t="str">
        <f>'R3'!P40</f>
        <v/>
      </c>
      <c r="Q50" s="154" t="str">
        <f>'R3'!Q40</f>
        <v/>
      </c>
      <c r="R50" s="154" t="str">
        <f>'R3'!R40</f>
        <v/>
      </c>
      <c r="S50" s="154" t="str">
        <f>'R3'!S40</f>
        <v/>
      </c>
      <c r="T50" s="154" t="str">
        <f>'R3'!T40</f>
        <v/>
      </c>
      <c r="U50" s="154" t="str">
        <f>'R3'!U40</f>
        <v/>
      </c>
      <c r="V50" s="154" t="str">
        <f>'R3'!V40</f>
        <v/>
      </c>
    </row>
    <row r="51" spans="1:24" s="1" customFormat="1" x14ac:dyDescent="0.25">
      <c r="A51" s="231"/>
      <c r="B51" s="154" t="str">
        <f>'R3'!B41</f>
        <v/>
      </c>
      <c r="C51" s="154" t="str">
        <f>'R3'!C41</f>
        <v/>
      </c>
      <c r="D51" s="154" t="str">
        <f>'R3'!D41</f>
        <v/>
      </c>
      <c r="E51" s="154" t="str">
        <f>'R3'!E41</f>
        <v/>
      </c>
      <c r="F51" s="154" t="str">
        <f>'R3'!F41</f>
        <v/>
      </c>
      <c r="G51" s="154" t="str">
        <f>'R3'!G41</f>
        <v/>
      </c>
      <c r="H51" s="154" t="str">
        <f>'R3'!H41</f>
        <v/>
      </c>
      <c r="I51" s="154" t="str">
        <f>'R3'!I41</f>
        <v/>
      </c>
      <c r="J51" s="154" t="str">
        <f>'R3'!J41</f>
        <v/>
      </c>
      <c r="K51" s="154" t="str">
        <f>'R3'!K41</f>
        <v/>
      </c>
      <c r="L51" s="154" t="str">
        <f>'R3'!L41</f>
        <v/>
      </c>
      <c r="M51" s="154" t="str">
        <f>'R3'!M41</f>
        <v/>
      </c>
      <c r="N51"/>
      <c r="O51" s="154">
        <f>'R3'!O41</f>
        <v>1.2621896223977329</v>
      </c>
      <c r="P51" s="154" t="str">
        <f>'R3'!P41</f>
        <v/>
      </c>
      <c r="Q51" s="154" t="str">
        <f>'R3'!Q41</f>
        <v/>
      </c>
      <c r="R51" s="154" t="str">
        <f>'R3'!R41</f>
        <v/>
      </c>
      <c r="S51" s="154" t="str">
        <f>'R3'!S41</f>
        <v/>
      </c>
      <c r="T51" s="154" t="str">
        <f>'R3'!T41</f>
        <v/>
      </c>
      <c r="U51" s="154" t="str">
        <f>'R3'!U41</f>
        <v/>
      </c>
      <c r="V51" s="154" t="str">
        <f>'R3'!V41</f>
        <v/>
      </c>
    </row>
    <row r="52" spans="1:24" s="1" customFormat="1" x14ac:dyDescent="0.25">
      <c r="A52" s="231"/>
      <c r="B52" s="154" t="str">
        <f>'R3'!B42</f>
        <v/>
      </c>
      <c r="C52" s="154" t="str">
        <f>'R3'!C42</f>
        <v/>
      </c>
      <c r="D52" s="154" t="str">
        <f>'R3'!D42</f>
        <v/>
      </c>
      <c r="E52" s="154" t="str">
        <f>'R3'!E42</f>
        <v/>
      </c>
      <c r="F52" s="154" t="str">
        <f>'R3'!F42</f>
        <v/>
      </c>
      <c r="G52" s="154" t="str">
        <f>'R3'!G42</f>
        <v/>
      </c>
      <c r="H52" s="154" t="str">
        <f>'R3'!H42</f>
        <v/>
      </c>
      <c r="I52" s="154" t="str">
        <f>'R3'!I42</f>
        <v/>
      </c>
      <c r="J52" s="154" t="str">
        <f>'R3'!J42</f>
        <v/>
      </c>
      <c r="K52" s="154" t="str">
        <f>'R3'!K42</f>
        <v/>
      </c>
      <c r="L52" s="154" t="str">
        <f>'R3'!L42</f>
        <v/>
      </c>
      <c r="M52" s="154" t="str">
        <f>'R3'!M42</f>
        <v/>
      </c>
      <c r="N52"/>
      <c r="O52" s="154" t="str">
        <f>'R3'!O42</f>
        <v/>
      </c>
      <c r="P52" s="154" t="str">
        <f>'R3'!P42</f>
        <v/>
      </c>
      <c r="Q52" s="154" t="str">
        <f>'R3'!Q42</f>
        <v/>
      </c>
      <c r="R52" s="154" t="str">
        <f>'R3'!R42</f>
        <v/>
      </c>
      <c r="S52" s="154" t="str">
        <f>'R3'!S42</f>
        <v/>
      </c>
      <c r="T52" s="154" t="str">
        <f>'R3'!T42</f>
        <v/>
      </c>
      <c r="U52" s="154" t="str">
        <f>'R3'!U42</f>
        <v/>
      </c>
      <c r="V52" s="154" t="str">
        <f>'R3'!V42</f>
        <v/>
      </c>
    </row>
    <row r="53" spans="1:24" s="1" customFormat="1" x14ac:dyDescent="0.25">
      <c r="A53" s="232"/>
      <c r="B53" s="154" t="str">
        <f>'R3'!B43</f>
        <v/>
      </c>
      <c r="C53" s="154" t="str">
        <f>'R3'!C43</f>
        <v/>
      </c>
      <c r="D53" s="154" t="str">
        <f>'R3'!D43</f>
        <v/>
      </c>
      <c r="E53" s="154" t="str">
        <f>'R3'!E43</f>
        <v/>
      </c>
      <c r="F53" s="154" t="str">
        <f>'R3'!F43</f>
        <v/>
      </c>
      <c r="G53" s="154" t="str">
        <f>'R3'!G43</f>
        <v/>
      </c>
      <c r="H53" s="154" t="str">
        <f>'R3'!H43</f>
        <v/>
      </c>
      <c r="I53" s="154" t="str">
        <f>'R3'!I43</f>
        <v/>
      </c>
      <c r="J53" s="154" t="str">
        <f>'R3'!J43</f>
        <v/>
      </c>
      <c r="K53" s="154" t="str">
        <f>'R3'!K43</f>
        <v/>
      </c>
      <c r="L53" s="154" t="str">
        <f>'R3'!L43</f>
        <v/>
      </c>
      <c r="M53" s="154" t="str">
        <f>'R3'!M43</f>
        <v/>
      </c>
      <c r="N53"/>
      <c r="O53" s="154">
        <f>'R3'!O43</f>
        <v>1.150940078632803</v>
      </c>
      <c r="P53" s="154" t="str">
        <f>'R3'!P43</f>
        <v/>
      </c>
      <c r="Q53" s="154" t="str">
        <f>'R3'!Q43</f>
        <v/>
      </c>
      <c r="R53" s="154" t="str">
        <f>'R3'!R43</f>
        <v/>
      </c>
      <c r="S53" s="154" t="str">
        <f>'R3'!S43</f>
        <v/>
      </c>
      <c r="T53" s="154" t="str">
        <f>'R3'!T43</f>
        <v/>
      </c>
      <c r="U53" s="154" t="str">
        <f>'R3'!U43</f>
        <v/>
      </c>
      <c r="V53" s="154" t="str">
        <f>'R3'!V43</f>
        <v/>
      </c>
    </row>
    <row r="54" spans="1:24" s="60" customFormat="1" x14ac:dyDescent="0.25">
      <c r="A54" s="58"/>
      <c r="B54" s="59"/>
      <c r="C54" s="59"/>
      <c r="D54" s="59"/>
      <c r="E54" s="59"/>
      <c r="F54" s="59"/>
      <c r="G54" s="59"/>
      <c r="H54" s="59"/>
      <c r="I54" s="59"/>
      <c r="J54" s="59"/>
      <c r="K54" s="59"/>
      <c r="L54" s="59"/>
      <c r="M54" s="59"/>
      <c r="N54"/>
      <c r="O54" s="59"/>
      <c r="P54" s="59"/>
      <c r="Q54" s="59"/>
      <c r="R54" s="59"/>
      <c r="S54" s="59"/>
      <c r="T54" s="59"/>
      <c r="U54" s="59"/>
      <c r="V54" s="59"/>
    </row>
    <row r="55" spans="1:24" s="41" customFormat="1" x14ac:dyDescent="0.25">
      <c r="A55" s="41" t="s">
        <v>47</v>
      </c>
      <c r="B55" s="15" t="str">
        <f t="shared" ref="B55:M55" si="0">B4</f>
        <v>Témoin solvant</v>
      </c>
      <c r="C55" s="15" t="str">
        <f t="shared" si="0"/>
        <v>EE2-33.8ng/L</v>
      </c>
      <c r="D55" s="15" t="str">
        <f t="shared" si="0"/>
        <v>EE2-50.6ng/L</v>
      </c>
      <c r="E55" s="15" t="str">
        <f t="shared" si="0"/>
        <v>EE2-76ng/L</v>
      </c>
      <c r="F55" s="15" t="str">
        <f t="shared" si="0"/>
        <v>EE2-114ng/L</v>
      </c>
      <c r="G55" s="15" t="str">
        <f t="shared" si="0"/>
        <v>EE2-170.9ng/L</v>
      </c>
      <c r="H55" s="15" t="str">
        <f t="shared" si="0"/>
        <v>EE2-488ng/L</v>
      </c>
      <c r="I55" s="15" t="str">
        <f t="shared" si="0"/>
        <v>estradiol 34ng/L</v>
      </c>
      <c r="J55" s="15" t="str">
        <f t="shared" si="0"/>
        <v>estradiol 68ng/L</v>
      </c>
      <c r="K55" s="15" t="str">
        <f t="shared" si="0"/>
        <v>estradiol 135ng/L</v>
      </c>
      <c r="L55" s="15" t="str">
        <f t="shared" si="0"/>
        <v>estradiol 270ng/L</v>
      </c>
      <c r="M55" s="15" t="str">
        <f t="shared" si="0"/>
        <v>estradiol 540ng/L</v>
      </c>
      <c r="O55" s="15" t="str">
        <f t="shared" ref="O55:V55" si="1">O4</f>
        <v>Testo -30µg/L</v>
      </c>
      <c r="P55" s="15" t="str">
        <f t="shared" si="1"/>
        <v>Testo 30µg/L + EE2 -64ng/L</v>
      </c>
      <c r="Q55" s="15" t="str">
        <f t="shared" si="1"/>
        <v>Testo 30µg/L + FAD-10µg/L</v>
      </c>
      <c r="R55" s="15" t="str">
        <f t="shared" si="1"/>
        <v>estradiol-34ng/L + Testosterone</v>
      </c>
      <c r="S55" s="15" t="str">
        <f t="shared" si="1"/>
        <v>estradiol-68ng/L + Testosterone</v>
      </c>
      <c r="T55" s="15" t="str">
        <f t="shared" si="1"/>
        <v>estradiol-135ng/L + Testosterone</v>
      </c>
      <c r="U55" s="15" t="str">
        <f t="shared" si="1"/>
        <v>estradiol-270ng/L + Testosterone</v>
      </c>
      <c r="V55" s="15" t="str">
        <f t="shared" si="1"/>
        <v>estradiol-540ng/L + Testosterone</v>
      </c>
    </row>
    <row r="56" spans="1:24" x14ac:dyDescent="0.25">
      <c r="A56" t="s">
        <v>48</v>
      </c>
      <c r="B56" s="9">
        <f t="shared" ref="B56:V56" si="2">AVERAGE(B6:B53)</f>
        <v>8.1464266151762957E-2</v>
      </c>
      <c r="C56" s="9">
        <f t="shared" si="2"/>
        <v>9.2597501565966203E-2</v>
      </c>
      <c r="D56" s="9">
        <f t="shared" si="2"/>
        <v>0.10814788445133766</v>
      </c>
      <c r="E56" s="9">
        <f t="shared" si="2"/>
        <v>0.33370186934114421</v>
      </c>
      <c r="F56" s="9">
        <f t="shared" si="2"/>
        <v>0.65955287217897529</v>
      </c>
      <c r="G56" s="9">
        <f t="shared" si="2"/>
        <v>1.3895465800573756</v>
      </c>
      <c r="H56" s="9">
        <f t="shared" si="2"/>
        <v>2.6995927353217302</v>
      </c>
      <c r="I56" s="9">
        <f t="shared" si="2"/>
        <v>0.10897769148410213</v>
      </c>
      <c r="J56" s="9">
        <f t="shared" si="2"/>
        <v>0.16077643521891233</v>
      </c>
      <c r="K56" s="9">
        <f t="shared" si="2"/>
        <v>0.43292212112839784</v>
      </c>
      <c r="L56" s="9">
        <f t="shared" si="2"/>
        <v>1.989919097808398</v>
      </c>
      <c r="M56" s="9">
        <f t="shared" si="2"/>
        <v>2.737470688618453</v>
      </c>
      <c r="N56" s="9"/>
      <c r="O56" s="9">
        <f t="shared" si="2"/>
        <v>0.99999999999999967</v>
      </c>
      <c r="P56" s="9">
        <f t="shared" si="2"/>
        <v>1.8373348548155883</v>
      </c>
      <c r="Q56" s="9">
        <f t="shared" si="2"/>
        <v>8.9642465413240446E-2</v>
      </c>
      <c r="R56" s="9">
        <f t="shared" si="2"/>
        <v>1.305406486773349</v>
      </c>
      <c r="S56" s="9">
        <f t="shared" si="2"/>
        <v>1.6823276629173358</v>
      </c>
      <c r="T56" s="9">
        <f t="shared" si="2"/>
        <v>2.0439170810423555</v>
      </c>
      <c r="U56" s="9">
        <f t="shared" si="2"/>
        <v>2.1816909680956886</v>
      </c>
      <c r="V56" s="9">
        <f t="shared" si="2"/>
        <v>2.4902909973589216</v>
      </c>
    </row>
    <row r="57" spans="1:24" x14ac:dyDescent="0.25">
      <c r="A57" t="s">
        <v>1</v>
      </c>
      <c r="B57" s="3">
        <f>STDEV(B6:B53)</f>
        <v>8.421956620609157E-2</v>
      </c>
      <c r="C57" s="3">
        <f t="shared" ref="C57:V57" si="3">STDEV(C6:C53)</f>
        <v>6.7788863775414251E-2</v>
      </c>
      <c r="D57" s="3">
        <f t="shared" si="3"/>
        <v>0.1150527272323765</v>
      </c>
      <c r="E57" s="3">
        <f t="shared" si="3"/>
        <v>0.65981959161361114</v>
      </c>
      <c r="F57" s="3">
        <f t="shared" si="3"/>
        <v>0.39261479622196216</v>
      </c>
      <c r="G57" s="3">
        <f t="shared" si="3"/>
        <v>0.51953978395751477</v>
      </c>
      <c r="H57" s="3">
        <f t="shared" si="3"/>
        <v>0.76908745501547571</v>
      </c>
      <c r="I57" s="3">
        <f t="shared" si="3"/>
        <v>6.7172423447655005E-2</v>
      </c>
      <c r="J57" s="3">
        <f t="shared" si="3"/>
        <v>0.29672243437349805</v>
      </c>
      <c r="K57" s="3">
        <f t="shared" si="3"/>
        <v>0.37237858799405515</v>
      </c>
      <c r="L57" s="3">
        <f t="shared" si="3"/>
        <v>0.76565980937638156</v>
      </c>
      <c r="M57" s="3">
        <f t="shared" si="3"/>
        <v>0.97349493702759227</v>
      </c>
      <c r="N57" s="3"/>
      <c r="O57" s="3">
        <f t="shared" si="3"/>
        <v>0.49986566497795554</v>
      </c>
      <c r="P57" s="3">
        <f t="shared" si="3"/>
        <v>0.5994815200580017</v>
      </c>
      <c r="Q57" s="3">
        <f t="shared" si="3"/>
        <v>6.0523790474324733E-2</v>
      </c>
      <c r="R57" s="3">
        <f t="shared" si="3"/>
        <v>0.52405570277250235</v>
      </c>
      <c r="S57" s="3">
        <f t="shared" si="3"/>
        <v>0.83045523022070145</v>
      </c>
      <c r="T57" s="3">
        <f t="shared" si="3"/>
        <v>0.71432925501296207</v>
      </c>
      <c r="U57" s="3">
        <f t="shared" si="3"/>
        <v>0.64536660194821271</v>
      </c>
      <c r="V57" s="3">
        <f t="shared" si="3"/>
        <v>0.82439316554657749</v>
      </c>
      <c r="W57" s="3"/>
      <c r="X57" s="3"/>
    </row>
    <row r="58" spans="1:24" x14ac:dyDescent="0.25">
      <c r="A58" t="s">
        <v>2</v>
      </c>
      <c r="B58" s="3">
        <f xml:space="preserve"> B57/SQRT(COUNT(B6:B53))</f>
        <v>1.7560993499604199E-2</v>
      </c>
      <c r="C58" s="3">
        <f t="shared" ref="C58:V58" si="4" xml:space="preserve"> C57/SQRT(COUNT(C6:C53))</f>
        <v>1.3837343874400282E-2</v>
      </c>
      <c r="D58" s="3">
        <f t="shared" si="4"/>
        <v>2.3485039602911425E-2</v>
      </c>
      <c r="E58" s="3">
        <f t="shared" si="4"/>
        <v>0.14067400959748821</v>
      </c>
      <c r="F58" s="3">
        <f t="shared" si="4"/>
        <v>8.1865844184360256E-2</v>
      </c>
      <c r="G58" s="3">
        <f t="shared" si="4"/>
        <v>0.10605061431431008</v>
      </c>
      <c r="H58" s="3">
        <f t="shared" si="4"/>
        <v>0.15698931936363555</v>
      </c>
      <c r="I58" s="3">
        <f t="shared" si="4"/>
        <v>1.3711513519409933E-2</v>
      </c>
      <c r="J58" s="3">
        <f t="shared" si="4"/>
        <v>6.3261435567210381E-2</v>
      </c>
      <c r="K58" s="3">
        <f t="shared" si="4"/>
        <v>7.6011460976960113E-2</v>
      </c>
      <c r="L58" s="3">
        <f t="shared" si="4"/>
        <v>0.15628965412739751</v>
      </c>
      <c r="M58" s="3">
        <f t="shared" si="4"/>
        <v>0.19871382190837028</v>
      </c>
      <c r="N58" s="3"/>
      <c r="O58" s="3">
        <f t="shared" si="4"/>
        <v>7.3701171459018222E-2</v>
      </c>
      <c r="P58" s="3">
        <f t="shared" si="4"/>
        <v>0.12500053789293875</v>
      </c>
      <c r="Q58" s="3">
        <f t="shared" si="4"/>
        <v>1.2620082707266986E-2</v>
      </c>
      <c r="R58" s="3">
        <f t="shared" si="4"/>
        <v>0.10697242238235621</v>
      </c>
      <c r="S58" s="3">
        <f t="shared" si="4"/>
        <v>0.17705364998431691</v>
      </c>
      <c r="T58" s="3">
        <f t="shared" si="4"/>
        <v>0.14894794605285452</v>
      </c>
      <c r="U58" s="3">
        <f t="shared" si="4"/>
        <v>0.13759262184734503</v>
      </c>
      <c r="V58" s="3">
        <f t="shared" si="4"/>
        <v>0.17189785786660167</v>
      </c>
      <c r="W58" s="3"/>
      <c r="X58" s="3"/>
    </row>
    <row r="59" spans="1:24" s="1" customFormat="1" ht="15.75" thickBot="1" x14ac:dyDescent="0.3">
      <c r="B59" s="3"/>
      <c r="C59" s="3"/>
      <c r="D59" s="3"/>
      <c r="E59" s="3"/>
      <c r="F59" s="3"/>
      <c r="G59" s="3"/>
      <c r="H59" s="3"/>
      <c r="I59" s="3"/>
      <c r="J59" s="3"/>
      <c r="K59" s="3"/>
      <c r="L59" s="3"/>
      <c r="M59" s="3"/>
      <c r="N59" s="3"/>
      <c r="O59" s="3"/>
      <c r="P59" s="3"/>
      <c r="Q59" s="3"/>
      <c r="R59" s="3"/>
      <c r="S59" s="3"/>
      <c r="T59" s="3"/>
      <c r="U59" s="3"/>
      <c r="V59" s="3"/>
    </row>
    <row r="60" spans="1:24" s="48" customFormat="1" ht="27" thickBot="1" x14ac:dyDescent="0.3">
      <c r="A60" s="233" t="s">
        <v>46</v>
      </c>
      <c r="B60" s="234"/>
      <c r="C60" s="234"/>
      <c r="D60" s="234"/>
      <c r="E60" s="234"/>
      <c r="F60" s="234"/>
      <c r="G60" s="234"/>
      <c r="H60" s="234"/>
      <c r="I60" s="234"/>
      <c r="J60" s="234"/>
      <c r="K60" s="234"/>
      <c r="L60" s="234"/>
      <c r="M60" s="234"/>
      <c r="N60" s="234"/>
      <c r="O60" s="234"/>
      <c r="P60" s="234"/>
      <c r="Q60" s="234"/>
      <c r="R60" s="234"/>
      <c r="S60" s="234"/>
      <c r="T60" s="234"/>
      <c r="U60" s="234"/>
      <c r="V60" s="234"/>
    </row>
    <row r="61" spans="1:24" s="1" customFormat="1" x14ac:dyDescent="0.25">
      <c r="B61" s="3"/>
      <c r="C61" s="3"/>
      <c r="D61" s="3"/>
      <c r="E61" s="3"/>
      <c r="F61" s="3"/>
      <c r="G61" s="3"/>
      <c r="H61" s="3"/>
      <c r="I61" s="3"/>
      <c r="J61" s="3"/>
      <c r="K61" s="3"/>
      <c r="L61" s="3"/>
      <c r="M61" s="3"/>
      <c r="N61" s="3"/>
      <c r="O61" s="3"/>
      <c r="P61" s="3"/>
      <c r="Q61" s="3"/>
      <c r="R61" s="3"/>
      <c r="S61" s="3"/>
      <c r="T61" s="3"/>
      <c r="U61" s="3"/>
      <c r="V61" s="3"/>
    </row>
    <row r="62" spans="1:24" s="1" customFormat="1" x14ac:dyDescent="0.25">
      <c r="A62" s="1" t="s">
        <v>47</v>
      </c>
      <c r="B62" s="3" t="str">
        <f t="shared" ref="B62" si="5">B4</f>
        <v>Témoin solvant</v>
      </c>
      <c r="C62" s="3" t="str">
        <f t="shared" ref="C62:V62" si="6">C4</f>
        <v>EE2-33.8ng/L</v>
      </c>
      <c r="D62" s="3" t="str">
        <f t="shared" si="6"/>
        <v>EE2-50.6ng/L</v>
      </c>
      <c r="E62" s="3" t="str">
        <f t="shared" si="6"/>
        <v>EE2-76ng/L</v>
      </c>
      <c r="F62" s="3" t="str">
        <f t="shared" si="6"/>
        <v>EE2-114ng/L</v>
      </c>
      <c r="G62" s="3" t="str">
        <f t="shared" si="6"/>
        <v>EE2-170.9ng/L</v>
      </c>
      <c r="H62" s="3" t="str">
        <f t="shared" si="6"/>
        <v>EE2-488ng/L</v>
      </c>
      <c r="I62" s="3" t="str">
        <f t="shared" si="6"/>
        <v>estradiol 34ng/L</v>
      </c>
      <c r="J62" s="3" t="str">
        <f t="shared" si="6"/>
        <v>estradiol 68ng/L</v>
      </c>
      <c r="K62" s="3" t="str">
        <f t="shared" si="6"/>
        <v>estradiol 135ng/L</v>
      </c>
      <c r="L62" s="3" t="str">
        <f t="shared" si="6"/>
        <v>estradiol 270ng/L</v>
      </c>
      <c r="M62" s="3" t="str">
        <f t="shared" si="6"/>
        <v>estradiol 540ng/L</v>
      </c>
      <c r="N62" s="3"/>
      <c r="O62" s="3" t="str">
        <f t="shared" si="6"/>
        <v>Testo -30µg/L</v>
      </c>
      <c r="P62" s="3" t="str">
        <f t="shared" si="6"/>
        <v>Testo 30µg/L + EE2 -64ng/L</v>
      </c>
      <c r="Q62" s="3" t="str">
        <f t="shared" si="6"/>
        <v>Testo 30µg/L + FAD-10µg/L</v>
      </c>
      <c r="R62" s="3" t="str">
        <f t="shared" si="6"/>
        <v>estradiol-34ng/L + Testosterone</v>
      </c>
      <c r="S62" s="3" t="str">
        <f t="shared" si="6"/>
        <v>estradiol-68ng/L + Testosterone</v>
      </c>
      <c r="T62" s="3" t="str">
        <f t="shared" si="6"/>
        <v>estradiol-135ng/L + Testosterone</v>
      </c>
      <c r="U62" s="3" t="str">
        <f t="shared" si="6"/>
        <v>estradiol-270ng/L + Testosterone</v>
      </c>
      <c r="V62" s="3" t="str">
        <f t="shared" si="6"/>
        <v>estradiol-540ng/L + Testosterone</v>
      </c>
    </row>
    <row r="63" spans="1:24" s="1" customFormat="1" x14ac:dyDescent="0.25">
      <c r="A63" s="1" t="s">
        <v>49</v>
      </c>
      <c r="B63" s="3">
        <f>COUNT(B6:B53)</f>
        <v>23</v>
      </c>
      <c r="C63" s="3">
        <f t="shared" ref="C63:V63" si="7">COUNT(C6:C53)</f>
        <v>24</v>
      </c>
      <c r="D63" s="3">
        <f t="shared" si="7"/>
        <v>24</v>
      </c>
      <c r="E63" s="3">
        <f t="shared" si="7"/>
        <v>22</v>
      </c>
      <c r="F63" s="3">
        <f t="shared" si="7"/>
        <v>23</v>
      </c>
      <c r="G63" s="3">
        <f t="shared" si="7"/>
        <v>24</v>
      </c>
      <c r="H63" s="3">
        <f t="shared" si="7"/>
        <v>24</v>
      </c>
      <c r="I63" s="3">
        <f t="shared" si="7"/>
        <v>24</v>
      </c>
      <c r="J63" s="3">
        <f t="shared" si="7"/>
        <v>22</v>
      </c>
      <c r="K63" s="3">
        <f t="shared" si="7"/>
        <v>24</v>
      </c>
      <c r="L63" s="3">
        <f t="shared" si="7"/>
        <v>24</v>
      </c>
      <c r="M63" s="3">
        <f t="shared" si="7"/>
        <v>24</v>
      </c>
      <c r="N63" s="3"/>
      <c r="O63" s="3">
        <f t="shared" si="7"/>
        <v>46</v>
      </c>
      <c r="P63" s="3">
        <f t="shared" si="7"/>
        <v>23</v>
      </c>
      <c r="Q63" s="3">
        <f t="shared" si="7"/>
        <v>23</v>
      </c>
      <c r="R63" s="3">
        <f t="shared" si="7"/>
        <v>24</v>
      </c>
      <c r="S63" s="3">
        <f t="shared" si="7"/>
        <v>22</v>
      </c>
      <c r="T63" s="3">
        <f t="shared" si="7"/>
        <v>23</v>
      </c>
      <c r="U63" s="3">
        <f t="shared" si="7"/>
        <v>22</v>
      </c>
      <c r="V63" s="3">
        <f t="shared" si="7"/>
        <v>23</v>
      </c>
    </row>
    <row r="64" spans="1:24" s="1" customFormat="1" ht="15.75" thickBot="1" x14ac:dyDescent="0.3">
      <c r="B64" s="3" t="str">
        <f>IF(B63&gt;=21,"OK","ATTENTION")</f>
        <v>OK</v>
      </c>
      <c r="C64" s="3" t="str">
        <f t="shared" ref="C64:V64" si="8">IF(C63&gt;=21,"OK","ATTENTION")</f>
        <v>OK</v>
      </c>
      <c r="D64" s="3" t="str">
        <f t="shared" si="8"/>
        <v>OK</v>
      </c>
      <c r="E64" s="3" t="str">
        <f t="shared" si="8"/>
        <v>OK</v>
      </c>
      <c r="F64" s="3" t="str">
        <f t="shared" si="8"/>
        <v>OK</v>
      </c>
      <c r="G64" s="3" t="str">
        <f t="shared" si="8"/>
        <v>OK</v>
      </c>
      <c r="H64" s="3" t="str">
        <f t="shared" si="8"/>
        <v>OK</v>
      </c>
      <c r="I64" s="3" t="str">
        <f t="shared" si="8"/>
        <v>OK</v>
      </c>
      <c r="J64" s="3" t="str">
        <f t="shared" si="8"/>
        <v>OK</v>
      </c>
      <c r="K64" s="3" t="str">
        <f t="shared" si="8"/>
        <v>OK</v>
      </c>
      <c r="L64" s="3" t="str">
        <f t="shared" si="8"/>
        <v>OK</v>
      </c>
      <c r="M64" s="3" t="str">
        <f t="shared" si="8"/>
        <v>OK</v>
      </c>
      <c r="N64" s="3"/>
      <c r="O64" s="3" t="str">
        <f>IF(O63&gt;=41,"OK","ATTENTION")</f>
        <v>OK</v>
      </c>
      <c r="P64" s="3" t="str">
        <f t="shared" si="8"/>
        <v>OK</v>
      </c>
      <c r="Q64" s="3" t="str">
        <f t="shared" si="8"/>
        <v>OK</v>
      </c>
      <c r="R64" s="3" t="str">
        <f t="shared" si="8"/>
        <v>OK</v>
      </c>
      <c r="S64" s="3" t="str">
        <f t="shared" si="8"/>
        <v>OK</v>
      </c>
      <c r="T64" s="3" t="str">
        <f t="shared" si="8"/>
        <v>OK</v>
      </c>
      <c r="U64" s="3" t="str">
        <f t="shared" si="8"/>
        <v>OK</v>
      </c>
      <c r="V64" s="3" t="str">
        <f t="shared" si="8"/>
        <v>OK</v>
      </c>
    </row>
    <row r="65" spans="1:22" s="48" customFormat="1" ht="27" thickBot="1" x14ac:dyDescent="0.3">
      <c r="A65" s="233" t="s">
        <v>58</v>
      </c>
      <c r="B65" s="234"/>
      <c r="C65" s="234"/>
      <c r="D65" s="234"/>
      <c r="E65" s="234"/>
      <c r="F65" s="234"/>
      <c r="G65" s="234"/>
      <c r="H65" s="234"/>
      <c r="I65" s="234"/>
      <c r="J65" s="234"/>
      <c r="K65" s="234"/>
      <c r="L65" s="234"/>
      <c r="M65" s="234"/>
      <c r="N65" s="234"/>
      <c r="O65" s="234"/>
      <c r="P65" s="234"/>
      <c r="Q65" s="234"/>
      <c r="R65" s="234"/>
      <c r="S65" s="234"/>
      <c r="T65" s="234"/>
      <c r="U65" s="234"/>
      <c r="V65" s="234"/>
    </row>
    <row r="66" spans="1:22" s="1" customFormat="1" x14ac:dyDescent="0.25">
      <c r="B66" s="1" t="s">
        <v>61</v>
      </c>
      <c r="C66" s="3"/>
      <c r="D66" s="3"/>
      <c r="E66" s="3"/>
      <c r="F66" s="3"/>
      <c r="G66" s="3"/>
      <c r="H66" s="3"/>
      <c r="I66" s="3"/>
      <c r="J66" s="3"/>
      <c r="K66" s="3"/>
      <c r="L66" s="3"/>
      <c r="M66" s="3"/>
      <c r="N66" s="3"/>
      <c r="O66" s="3"/>
      <c r="P66" s="3"/>
      <c r="Q66" s="3"/>
      <c r="R66" s="3"/>
      <c r="S66" s="3"/>
      <c r="T66" s="3"/>
      <c r="U66" s="3"/>
      <c r="V66" s="3"/>
    </row>
    <row r="67" spans="1:22" s="1" customFormat="1" x14ac:dyDescent="0.25">
      <c r="A67" s="1" t="s">
        <v>59</v>
      </c>
      <c r="B67" s="3">
        <v>3.5</v>
      </c>
      <c r="C67" s="3"/>
      <c r="D67" s="3"/>
      <c r="E67" s="3"/>
      <c r="F67" s="3"/>
      <c r="G67" s="3"/>
      <c r="H67" s="3"/>
      <c r="I67" s="3"/>
      <c r="J67" s="3"/>
      <c r="K67" s="3"/>
      <c r="L67" s="3"/>
      <c r="M67" s="3"/>
      <c r="N67" s="3"/>
      <c r="O67" s="3"/>
      <c r="P67" s="3"/>
      <c r="Q67" s="3"/>
      <c r="R67" s="3"/>
      <c r="S67" s="3"/>
      <c r="T67" s="3"/>
      <c r="U67" s="3"/>
      <c r="V67" s="3"/>
    </row>
    <row r="68" spans="1:22" s="1" customFormat="1" x14ac:dyDescent="0.25">
      <c r="A68" s="1" t="s">
        <v>62</v>
      </c>
      <c r="B68" s="3">
        <v>2</v>
      </c>
      <c r="C68" s="3"/>
      <c r="D68" s="3"/>
      <c r="E68" s="3"/>
      <c r="F68" s="3"/>
      <c r="G68" s="3"/>
      <c r="H68" s="3"/>
      <c r="I68" s="3"/>
      <c r="J68" s="3"/>
      <c r="K68" s="3"/>
      <c r="L68" s="3"/>
      <c r="M68" s="3"/>
      <c r="N68" s="3"/>
      <c r="O68" s="3"/>
      <c r="P68" s="3"/>
      <c r="Q68" s="3"/>
      <c r="R68" s="3"/>
      <c r="S68" s="3"/>
      <c r="T68" s="3"/>
      <c r="U68" s="3"/>
      <c r="V68" s="3"/>
    </row>
    <row r="69" spans="1:22" s="1" customFormat="1" ht="15.75" thickBot="1" x14ac:dyDescent="0.3">
      <c r="A69" s="1" t="s">
        <v>63</v>
      </c>
      <c r="B69" s="3">
        <v>0.5</v>
      </c>
      <c r="C69" s="3"/>
      <c r="D69" s="3"/>
      <c r="E69" s="3"/>
      <c r="F69" s="3"/>
      <c r="G69" s="3"/>
      <c r="H69" s="3"/>
      <c r="I69" s="3"/>
      <c r="J69" s="3"/>
      <c r="K69" s="3"/>
      <c r="L69" s="3"/>
      <c r="M69" s="3"/>
      <c r="N69" s="3"/>
      <c r="O69" s="3"/>
      <c r="P69" s="3"/>
      <c r="Q69" s="3"/>
      <c r="R69" s="3"/>
      <c r="S69" s="3"/>
      <c r="T69" s="3"/>
      <c r="U69" s="3"/>
      <c r="V69" s="3"/>
    </row>
    <row r="70" spans="1:22" s="48" customFormat="1" ht="27" thickBot="1" x14ac:dyDescent="0.3">
      <c r="A70" s="233" t="s">
        <v>53</v>
      </c>
      <c r="B70" s="234"/>
      <c r="C70" s="234"/>
      <c r="D70" s="234"/>
      <c r="E70" s="234"/>
      <c r="F70" s="234"/>
      <c r="G70" s="234"/>
      <c r="H70" s="234"/>
      <c r="I70" s="234"/>
      <c r="J70" s="234"/>
      <c r="K70" s="234"/>
      <c r="L70" s="234"/>
      <c r="M70" s="234"/>
      <c r="N70" s="234"/>
      <c r="O70" s="234"/>
      <c r="P70" s="234"/>
      <c r="Q70" s="234"/>
      <c r="R70" s="234"/>
      <c r="S70" s="234"/>
      <c r="T70" s="234"/>
      <c r="U70" s="234"/>
      <c r="V70" s="234"/>
    </row>
    <row r="71" spans="1:22" ht="15.75" thickBot="1" x14ac:dyDescent="0.3"/>
    <row r="72" spans="1:22" s="48" customFormat="1" ht="27" thickBot="1" x14ac:dyDescent="0.3">
      <c r="A72" s="233" t="s">
        <v>54</v>
      </c>
      <c r="B72" s="234"/>
      <c r="C72" s="234"/>
      <c r="D72" s="234"/>
      <c r="E72" s="234"/>
      <c r="F72" s="234"/>
      <c r="G72" s="234"/>
      <c r="H72" s="234"/>
      <c r="I72" s="234"/>
      <c r="J72" s="234"/>
      <c r="K72" s="234"/>
      <c r="L72" s="234"/>
      <c r="M72" s="234"/>
      <c r="N72" s="234"/>
      <c r="O72" s="234"/>
      <c r="P72" s="234"/>
      <c r="Q72" s="234"/>
      <c r="R72" s="234"/>
      <c r="S72" s="234"/>
      <c r="T72" s="234"/>
      <c r="U72" s="234"/>
      <c r="V72" s="234"/>
    </row>
    <row r="73" spans="1:22" ht="15.75" thickBot="1" x14ac:dyDescent="0.3">
      <c r="J73" s="3">
        <v>1</v>
      </c>
      <c r="K73" s="3">
        <v>2</v>
      </c>
      <c r="L73" s="3">
        <v>3</v>
      </c>
      <c r="M73" s="3">
        <v>4</v>
      </c>
      <c r="R73" s="3">
        <v>1</v>
      </c>
      <c r="S73" s="3">
        <v>2</v>
      </c>
      <c r="T73" s="3">
        <v>3</v>
      </c>
      <c r="U73" s="3">
        <v>4</v>
      </c>
      <c r="V73" s="3">
        <v>5</v>
      </c>
    </row>
    <row r="74" spans="1:22" s="1" customFormat="1" x14ac:dyDescent="0.25">
      <c r="A74" s="45" t="s">
        <v>41</v>
      </c>
      <c r="B74" s="46" t="str">
        <f t="shared" ref="B74:M74" si="9">B4</f>
        <v>Témoin solvant</v>
      </c>
      <c r="C74" s="46" t="str">
        <f t="shared" si="9"/>
        <v>EE2-33.8ng/L</v>
      </c>
      <c r="D74" s="46" t="str">
        <f t="shared" si="9"/>
        <v>EE2-50.6ng/L</v>
      </c>
      <c r="E74" s="46" t="str">
        <f t="shared" si="9"/>
        <v>EE2-76ng/L</v>
      </c>
      <c r="F74" s="46" t="str">
        <f t="shared" si="9"/>
        <v>EE2-114ng/L</v>
      </c>
      <c r="G74" s="46" t="str">
        <f t="shared" si="9"/>
        <v>EE2-170.9ng/L</v>
      </c>
      <c r="H74" s="46" t="str">
        <f t="shared" si="9"/>
        <v>EE2-488ng/L</v>
      </c>
      <c r="I74" s="46" t="str">
        <f t="shared" si="9"/>
        <v>estradiol 34ng/L</v>
      </c>
      <c r="J74" s="46" t="str">
        <f t="shared" si="9"/>
        <v>estradiol 68ng/L</v>
      </c>
      <c r="K74" s="46" t="str">
        <f t="shared" si="9"/>
        <v>estradiol 135ng/L</v>
      </c>
      <c r="L74" s="46" t="str">
        <f t="shared" si="9"/>
        <v>estradiol 270ng/L</v>
      </c>
      <c r="M74" s="46" t="str">
        <f t="shared" si="9"/>
        <v>estradiol 540ng/L</v>
      </c>
      <c r="N74" s="46"/>
      <c r="O74" s="46" t="str">
        <f t="shared" ref="O74:V74" si="10">O4</f>
        <v>Testo -30µg/L</v>
      </c>
      <c r="P74" s="46" t="str">
        <f t="shared" si="10"/>
        <v>Testo 30µg/L + EE2 -64ng/L</v>
      </c>
      <c r="Q74" s="46" t="str">
        <f t="shared" si="10"/>
        <v>Testo 30µg/L + FAD-10µg/L</v>
      </c>
      <c r="R74" s="46" t="str">
        <f t="shared" si="10"/>
        <v>estradiol-34ng/L + Testosterone</v>
      </c>
      <c r="S74" s="46" t="str">
        <f t="shared" si="10"/>
        <v>estradiol-68ng/L + Testosterone</v>
      </c>
      <c r="T74" s="46" t="str">
        <f t="shared" si="10"/>
        <v>estradiol-135ng/L + Testosterone</v>
      </c>
      <c r="U74" s="46" t="str">
        <f t="shared" si="10"/>
        <v>estradiol-270ng/L + Testosterone</v>
      </c>
      <c r="V74" s="46" t="str">
        <f t="shared" si="10"/>
        <v>estradiol-540ng/L + Testosterone</v>
      </c>
    </row>
    <row r="75" spans="1:22" s="3" customFormat="1" x14ac:dyDescent="0.25">
      <c r="A75" s="61" t="s">
        <v>32</v>
      </c>
      <c r="B75" s="141">
        <f>B56</f>
        <v>8.1464266151762957E-2</v>
      </c>
      <c r="C75" s="141">
        <f t="shared" ref="C75:V75" si="11">C56</f>
        <v>9.2597501565966203E-2</v>
      </c>
      <c r="D75" s="141">
        <f t="shared" si="11"/>
        <v>0.10814788445133766</v>
      </c>
      <c r="E75" s="141">
        <f t="shared" si="11"/>
        <v>0.33370186934114421</v>
      </c>
      <c r="F75" s="141">
        <f t="shared" si="11"/>
        <v>0.65955287217897529</v>
      </c>
      <c r="G75" s="141">
        <f t="shared" si="11"/>
        <v>1.3895465800573756</v>
      </c>
      <c r="H75" s="141">
        <f t="shared" si="11"/>
        <v>2.6995927353217302</v>
      </c>
      <c r="I75" s="141">
        <f t="shared" si="11"/>
        <v>0.10897769148410213</v>
      </c>
      <c r="J75" s="141">
        <f t="shared" si="11"/>
        <v>0.16077643521891233</v>
      </c>
      <c r="K75" s="141">
        <f t="shared" si="11"/>
        <v>0.43292212112839784</v>
      </c>
      <c r="L75" s="141">
        <f t="shared" si="11"/>
        <v>1.989919097808398</v>
      </c>
      <c r="M75" s="141">
        <f t="shared" si="11"/>
        <v>2.737470688618453</v>
      </c>
      <c r="N75" s="141"/>
      <c r="O75" s="141">
        <f t="shared" si="11"/>
        <v>0.99999999999999967</v>
      </c>
      <c r="P75" s="141">
        <f t="shared" si="11"/>
        <v>1.8373348548155883</v>
      </c>
      <c r="Q75" s="141">
        <f t="shared" si="11"/>
        <v>8.9642465413240446E-2</v>
      </c>
      <c r="R75" s="141">
        <f t="shared" si="11"/>
        <v>1.305406486773349</v>
      </c>
      <c r="S75" s="141">
        <f t="shared" si="11"/>
        <v>1.6823276629173358</v>
      </c>
      <c r="T75" s="141">
        <f t="shared" si="11"/>
        <v>2.0439170810423555</v>
      </c>
      <c r="U75" s="141">
        <f t="shared" si="11"/>
        <v>2.1816909680956886</v>
      </c>
      <c r="V75" s="141">
        <f t="shared" si="11"/>
        <v>2.4902909973589216</v>
      </c>
    </row>
    <row r="76" spans="1:22" s="3" customFormat="1" x14ac:dyDescent="0.25">
      <c r="A76" s="61" t="s">
        <v>2</v>
      </c>
      <c r="B76" s="141">
        <f>B58</f>
        <v>1.7560993499604199E-2</v>
      </c>
      <c r="C76" s="141">
        <f t="shared" ref="C76:V76" si="12">C58</f>
        <v>1.3837343874400282E-2</v>
      </c>
      <c r="D76" s="141">
        <f t="shared" si="12"/>
        <v>2.3485039602911425E-2</v>
      </c>
      <c r="E76" s="141">
        <f t="shared" si="12"/>
        <v>0.14067400959748821</v>
      </c>
      <c r="F76" s="141">
        <f t="shared" si="12"/>
        <v>8.1865844184360256E-2</v>
      </c>
      <c r="G76" s="141">
        <f t="shared" si="12"/>
        <v>0.10605061431431008</v>
      </c>
      <c r="H76" s="141">
        <f t="shared" si="12"/>
        <v>0.15698931936363555</v>
      </c>
      <c r="I76" s="141">
        <f t="shared" si="12"/>
        <v>1.3711513519409933E-2</v>
      </c>
      <c r="J76" s="141">
        <f t="shared" si="12"/>
        <v>6.3261435567210381E-2</v>
      </c>
      <c r="K76" s="141">
        <f t="shared" si="12"/>
        <v>7.6011460976960113E-2</v>
      </c>
      <c r="L76" s="141">
        <f t="shared" si="12"/>
        <v>0.15628965412739751</v>
      </c>
      <c r="M76" s="141">
        <f t="shared" si="12"/>
        <v>0.19871382190837028</v>
      </c>
      <c r="N76" s="141"/>
      <c r="O76" s="141">
        <f t="shared" si="12"/>
        <v>7.3701171459018222E-2</v>
      </c>
      <c r="P76" s="141">
        <f t="shared" si="12"/>
        <v>0.12500053789293875</v>
      </c>
      <c r="Q76" s="141">
        <f t="shared" si="12"/>
        <v>1.2620082707266986E-2</v>
      </c>
      <c r="R76" s="141">
        <f t="shared" si="12"/>
        <v>0.10697242238235621</v>
      </c>
      <c r="S76" s="141">
        <f t="shared" si="12"/>
        <v>0.17705364998431691</v>
      </c>
      <c r="T76" s="141">
        <f t="shared" si="12"/>
        <v>0.14894794605285452</v>
      </c>
      <c r="U76" s="141">
        <f t="shared" si="12"/>
        <v>0.13759262184734503</v>
      </c>
      <c r="V76" s="141">
        <f t="shared" si="12"/>
        <v>0.17189785786660167</v>
      </c>
    </row>
    <row r="77" spans="1:22" s="3" customFormat="1" x14ac:dyDescent="0.25">
      <c r="A77" s="61" t="s">
        <v>79</v>
      </c>
      <c r="B77" s="141">
        <f>(B75*100/$B$75)-100</f>
        <v>0</v>
      </c>
      <c r="C77" s="141">
        <f t="shared" ref="C77:M77" si="13">(C75*100/$B$75)-100</f>
        <v>13.66640361488399</v>
      </c>
      <c r="D77" s="141">
        <f t="shared" si="13"/>
        <v>32.754997448654052</v>
      </c>
      <c r="E77" s="141">
        <f t="shared" si="13"/>
        <v>309.62974946521706</v>
      </c>
      <c r="F77" s="141">
        <f t="shared" si="13"/>
        <v>709.62230844904263</v>
      </c>
      <c r="G77" s="141">
        <f t="shared" si="13"/>
        <v>1605.7130023963332</v>
      </c>
      <c r="H77" s="141">
        <f t="shared" si="13"/>
        <v>3213.8366830587461</v>
      </c>
      <c r="I77" s="141">
        <f t="shared" si="13"/>
        <v>33.773612200818633</v>
      </c>
      <c r="J77" s="141">
        <f t="shared" si="13"/>
        <v>97.358231791342291</v>
      </c>
      <c r="K77" s="141">
        <f t="shared" si="13"/>
        <v>431.42579142846557</v>
      </c>
      <c r="L77" s="141">
        <f t="shared" si="13"/>
        <v>2342.6895273337391</v>
      </c>
      <c r="M77" s="141">
        <f t="shared" si="13"/>
        <v>3260.3330858203672</v>
      </c>
      <c r="N77" s="141"/>
      <c r="O77" s="141">
        <f>(O75*100/$O$75)-100</f>
        <v>0</v>
      </c>
      <c r="P77" s="141">
        <f t="shared" ref="P77:V77" si="14">(P75*100/$O$75)-100</f>
        <v>83.733485481558887</v>
      </c>
      <c r="Q77" s="141">
        <f t="shared" si="14"/>
        <v>-91.035753458675956</v>
      </c>
      <c r="R77" s="141">
        <f t="shared" si="14"/>
        <v>30.540648677334957</v>
      </c>
      <c r="S77" s="141">
        <f t="shared" si="14"/>
        <v>68.23276629173364</v>
      </c>
      <c r="T77" s="141">
        <f t="shared" si="14"/>
        <v>104.39170810423559</v>
      </c>
      <c r="U77" s="141">
        <f t="shared" si="14"/>
        <v>118.16909680956894</v>
      </c>
      <c r="V77" s="141">
        <f t="shared" si="14"/>
        <v>149.02909973589223</v>
      </c>
    </row>
    <row r="78" spans="1:22" s="3" customFormat="1" x14ac:dyDescent="0.25">
      <c r="A78" s="61" t="s">
        <v>81</v>
      </c>
      <c r="B78" s="141" t="e">
        <f ca="1">[1]!DPTEST(B6:B53)</f>
        <v>#NAME?</v>
      </c>
      <c r="C78" s="141" t="e">
        <f ca="1">[1]!DPTEST(C6:C53)</f>
        <v>#NAME?</v>
      </c>
      <c r="D78" s="141" t="e">
        <f ca="1">[1]!DPTEST(D6:D53)</f>
        <v>#NAME?</v>
      </c>
      <c r="E78" s="141" t="e">
        <f ca="1">[1]!DPTEST(E6:E53)</f>
        <v>#NAME?</v>
      </c>
      <c r="F78" s="141" t="e">
        <f ca="1">[1]!DPTEST(F6:F53)</f>
        <v>#NAME?</v>
      </c>
      <c r="G78" s="141" t="e">
        <f ca="1">[1]!DPTEST(G6:G53)</f>
        <v>#NAME?</v>
      </c>
      <c r="H78" s="141" t="e">
        <f ca="1">[1]!DPTEST(H6:H53)</f>
        <v>#NAME?</v>
      </c>
      <c r="I78" s="141" t="e">
        <f ca="1">[1]!DPTEST(I6:I53)</f>
        <v>#NAME?</v>
      </c>
      <c r="J78" s="141" t="e">
        <f ca="1">[1]!DPTEST(J6:J53)</f>
        <v>#NAME?</v>
      </c>
      <c r="K78" s="141" t="e">
        <f ca="1">[1]!DPTEST(K6:K53)</f>
        <v>#NAME?</v>
      </c>
      <c r="L78" s="141" t="e">
        <f ca="1">[1]!DPTEST(L6:L53)</f>
        <v>#NAME?</v>
      </c>
      <c r="M78" s="141" t="e">
        <f ca="1">[1]!DPTEST(M6:M53)</f>
        <v>#NAME?</v>
      </c>
      <c r="N78" s="141"/>
      <c r="O78" s="141" t="e">
        <f ca="1">[1]!DPTEST(O6:O53)</f>
        <v>#NAME?</v>
      </c>
      <c r="P78" s="141" t="e">
        <f ca="1">[1]!DPTEST(P6:P53)</f>
        <v>#NAME?</v>
      </c>
      <c r="Q78" s="141" t="e">
        <f ca="1">[1]!DPTEST(Q6:Q53)</f>
        <v>#NAME?</v>
      </c>
      <c r="R78" s="141" t="e">
        <f ca="1">[1]!DPTEST(R6:R53)</f>
        <v>#NAME?</v>
      </c>
      <c r="S78" s="141" t="e">
        <f ca="1">[1]!DPTEST(S6:S53)</f>
        <v>#NAME?</v>
      </c>
      <c r="T78" s="141" t="e">
        <f ca="1">[1]!DPTEST(T6:T53)</f>
        <v>#NAME?</v>
      </c>
      <c r="U78" s="141" t="e">
        <f ca="1">[1]!DPTEST(U6:U53)</f>
        <v>#NAME?</v>
      </c>
      <c r="V78" s="141" t="e">
        <f ca="1">[1]!DPTEST(V6:V53)</f>
        <v>#NAME?</v>
      </c>
    </row>
    <row r="79" spans="1:22" s="3" customFormat="1" x14ac:dyDescent="0.25">
      <c r="A79" s="61" t="s">
        <v>85</v>
      </c>
      <c r="B79" s="141" t="e">
        <f ca="1">IF(B78&gt;0.05,"Oui","Non")</f>
        <v>#NAME?</v>
      </c>
      <c r="C79" s="141" t="e">
        <f t="shared" ref="C79:V79" ca="1" si="15">IF(C78&gt;0.05,"Oui","Non")</f>
        <v>#NAME?</v>
      </c>
      <c r="D79" s="141" t="e">
        <f t="shared" ca="1" si="15"/>
        <v>#NAME?</v>
      </c>
      <c r="E79" s="141" t="e">
        <f t="shared" ca="1" si="15"/>
        <v>#NAME?</v>
      </c>
      <c r="F79" s="141" t="e">
        <f t="shared" ca="1" si="15"/>
        <v>#NAME?</v>
      </c>
      <c r="G79" s="141" t="e">
        <f t="shared" ca="1" si="15"/>
        <v>#NAME?</v>
      </c>
      <c r="H79" s="141" t="e">
        <f t="shared" ca="1" si="15"/>
        <v>#NAME?</v>
      </c>
      <c r="I79" s="141" t="e">
        <f t="shared" ca="1" si="15"/>
        <v>#NAME?</v>
      </c>
      <c r="J79" s="141" t="e">
        <f t="shared" ca="1" si="15"/>
        <v>#NAME?</v>
      </c>
      <c r="K79" s="141" t="e">
        <f t="shared" ca="1" si="15"/>
        <v>#NAME?</v>
      </c>
      <c r="L79" s="141" t="e">
        <f t="shared" ca="1" si="15"/>
        <v>#NAME?</v>
      </c>
      <c r="M79" s="141" t="e">
        <f t="shared" ca="1" si="15"/>
        <v>#NAME?</v>
      </c>
      <c r="N79" s="141"/>
      <c r="O79" s="141" t="e">
        <f t="shared" ca="1" si="15"/>
        <v>#NAME?</v>
      </c>
      <c r="P79" s="141" t="e">
        <f t="shared" ca="1" si="15"/>
        <v>#NAME?</v>
      </c>
      <c r="Q79" s="141" t="e">
        <f t="shared" ca="1" si="15"/>
        <v>#NAME?</v>
      </c>
      <c r="R79" s="141" t="e">
        <f t="shared" ca="1" si="15"/>
        <v>#NAME?</v>
      </c>
      <c r="S79" s="141" t="e">
        <f t="shared" ca="1" si="15"/>
        <v>#NAME?</v>
      </c>
      <c r="T79" s="141" t="e">
        <f t="shared" ca="1" si="15"/>
        <v>#NAME?</v>
      </c>
      <c r="U79" s="141" t="e">
        <f t="shared" ca="1" si="15"/>
        <v>#NAME?</v>
      </c>
      <c r="V79" s="141" t="e">
        <f t="shared" ca="1" si="15"/>
        <v>#NAME?</v>
      </c>
    </row>
    <row r="80" spans="1:22" s="3" customFormat="1" x14ac:dyDescent="0.25">
      <c r="A80" s="61" t="s">
        <v>122</v>
      </c>
      <c r="B80" s="141" t="str">
        <f ca="1">IF(COUNTIF(B79:I79, "Non")=0, "Oui","Non")</f>
        <v>Oui</v>
      </c>
      <c r="C80" s="141"/>
      <c r="D80" s="141"/>
      <c r="E80" s="141"/>
      <c r="F80" s="141"/>
      <c r="G80" s="141"/>
      <c r="H80" s="141"/>
      <c r="I80" s="141"/>
      <c r="J80" s="141" t="str">
        <f ca="1">IF(COUNTIF(J79:M79, "Non")&gt;0, "Oui","Non")</f>
        <v>Non</v>
      </c>
      <c r="K80" s="141"/>
      <c r="L80" s="141"/>
      <c r="M80" s="141"/>
      <c r="N80" s="141"/>
      <c r="O80" s="141"/>
      <c r="P80" s="141"/>
      <c r="Q80" s="141"/>
      <c r="R80" s="141" t="str">
        <f ca="1">IF(COUNTIF(R79:V79, "Non")&gt;0, "Oui","Non")</f>
        <v>Non</v>
      </c>
      <c r="S80" s="141"/>
      <c r="T80" s="141"/>
      <c r="U80" s="141"/>
      <c r="V80" s="141"/>
    </row>
    <row r="81" spans="1:22" s="3" customFormat="1" x14ac:dyDescent="0.25">
      <c r="A81" s="61" t="s">
        <v>82</v>
      </c>
      <c r="B81" s="141"/>
      <c r="C81" s="141" t="str">
        <f t="shared" ref="C81:I81" ca="1" si="16">IF($B80="Non","Kruskal-Wallis","ANOVA")</f>
        <v>ANOVA</v>
      </c>
      <c r="D81" s="141" t="str">
        <f t="shared" ca="1" si="16"/>
        <v>ANOVA</v>
      </c>
      <c r="E81" s="141" t="str">
        <f t="shared" ca="1" si="16"/>
        <v>ANOVA</v>
      </c>
      <c r="F81" s="141" t="str">
        <f t="shared" ca="1" si="16"/>
        <v>ANOVA</v>
      </c>
      <c r="G81" s="141" t="str">
        <f t="shared" ca="1" si="16"/>
        <v>ANOVA</v>
      </c>
      <c r="H81" s="141" t="str">
        <f t="shared" ca="1" si="16"/>
        <v>ANOVA</v>
      </c>
      <c r="I81" s="141" t="str">
        <f t="shared" ca="1" si="16"/>
        <v>ANOVA</v>
      </c>
      <c r="J81" s="141" t="s">
        <v>4433</v>
      </c>
      <c r="K81" s="141" t="s">
        <v>4433</v>
      </c>
      <c r="L81" s="141" t="s">
        <v>4433</v>
      </c>
      <c r="M81" s="141" t="s">
        <v>4433</v>
      </c>
      <c r="N81" s="141"/>
      <c r="O81" s="141" t="e">
        <f ca="1">IF($B79="Non",IF(O79="Non","Mann Withney",IF(O79="Oui","Mann Withney","")),IF($B79="Oui",IF(O79="Oui","T-Test Welch",IF(O79="Non","Mann Withney",""))))</f>
        <v>#NAME?</v>
      </c>
      <c r="P81" s="141" t="e">
        <f t="shared" ref="P81:Q81" ca="1" si="17">IF($O79="Non",IF(P79="Non","Mann Withney",IF(P$79="Oui","Mann Withney","")),IF($O79="Oui",IF(P79="Oui","T-Test Welch",IF(P79="Non","Mann Withney",""))))</f>
        <v>#NAME?</v>
      </c>
      <c r="Q81" s="141" t="e">
        <f t="shared" ca="1" si="17"/>
        <v>#NAME?</v>
      </c>
      <c r="R81" s="141" t="s">
        <v>4434</v>
      </c>
      <c r="S81" s="141" t="s">
        <v>4434</v>
      </c>
      <c r="T81" s="141" t="s">
        <v>4434</v>
      </c>
      <c r="U81" s="141" t="s">
        <v>4434</v>
      </c>
      <c r="V81" s="141" t="s">
        <v>4434</v>
      </c>
    </row>
    <row r="82" spans="1:22" s="3" customFormat="1" ht="15.75" x14ac:dyDescent="0.25">
      <c r="A82" s="61" t="s">
        <v>83</v>
      </c>
      <c r="B82" s="141"/>
      <c r="C82" s="196">
        <v>0.99990000000000001</v>
      </c>
      <c r="D82" s="196">
        <v>0.99990000000000001</v>
      </c>
      <c r="E82" s="196">
        <v>6.7199999999999996E-2</v>
      </c>
      <c r="F82" s="196">
        <v>1E-4</v>
      </c>
      <c r="G82" s="196">
        <v>1E-4</v>
      </c>
      <c r="H82" s="196">
        <v>1E-4</v>
      </c>
      <c r="I82" s="196">
        <v>0.99990000000000001</v>
      </c>
      <c r="J82" s="196">
        <v>0.99990000000000001</v>
      </c>
      <c r="K82" s="196">
        <v>3.5000000000000001E-3</v>
      </c>
      <c r="L82" s="196">
        <v>1E-4</v>
      </c>
      <c r="M82" s="196">
        <v>1E-4</v>
      </c>
      <c r="N82" s="141"/>
      <c r="O82" s="196">
        <v>1E-4</v>
      </c>
      <c r="P82" s="196">
        <v>1E-4</v>
      </c>
      <c r="Q82" s="196">
        <v>1E-4</v>
      </c>
      <c r="R82" s="196">
        <v>0.23719999999999999</v>
      </c>
      <c r="S82" s="196">
        <v>5.0000000000000001E-4</v>
      </c>
      <c r="T82" s="196">
        <v>1E-4</v>
      </c>
      <c r="U82" s="196">
        <v>1E-4</v>
      </c>
      <c r="V82" s="196">
        <v>1E-4</v>
      </c>
    </row>
    <row r="83" spans="1:22" s="3" customFormat="1" ht="15.75" thickBot="1" x14ac:dyDescent="0.3">
      <c r="A83" s="62" t="s">
        <v>84</v>
      </c>
      <c r="B83" s="142"/>
      <c r="C83" s="142" t="str">
        <f t="shared" ref="C83:O83" si="18">IF(C82&gt;0.05,"NS",IF(C82&gt;0.01,"*",IF(C82&gt;0.001,"**","***")))</f>
        <v>NS</v>
      </c>
      <c r="D83" s="142" t="str">
        <f t="shared" si="18"/>
        <v>NS</v>
      </c>
      <c r="E83" s="142" t="str">
        <f t="shared" si="18"/>
        <v>NS</v>
      </c>
      <c r="F83" s="142" t="str">
        <f t="shared" si="18"/>
        <v>***</v>
      </c>
      <c r="G83" s="142" t="str">
        <f t="shared" si="18"/>
        <v>***</v>
      </c>
      <c r="H83" s="142" t="str">
        <f t="shared" si="18"/>
        <v>***</v>
      </c>
      <c r="I83" s="142" t="str">
        <f t="shared" si="18"/>
        <v>NS</v>
      </c>
      <c r="J83" s="142" t="str">
        <f t="shared" si="18"/>
        <v>NS</v>
      </c>
      <c r="K83" s="142" t="str">
        <f t="shared" si="18"/>
        <v>**</v>
      </c>
      <c r="L83" s="142" t="str">
        <f t="shared" si="18"/>
        <v>***</v>
      </c>
      <c r="M83" s="142" t="str">
        <f t="shared" si="18"/>
        <v>***</v>
      </c>
      <c r="N83" s="142"/>
      <c r="O83" s="142" t="str">
        <f t="shared" si="18"/>
        <v>***</v>
      </c>
      <c r="P83" s="142" t="str">
        <f t="shared" ref="P83" si="19">IF(P82&gt;0.05,"NS",IF(P82&gt;0.01,"*",IF(P82&gt;0.001,"**","***")))</f>
        <v>***</v>
      </c>
      <c r="Q83" s="142" t="str">
        <f t="shared" ref="Q83:V83" si="20">IF(Q82&gt;0.05,"NS",IF(Q82&gt;0.01,"*",IF(Q82&gt;0.001,"**","***")))</f>
        <v>***</v>
      </c>
      <c r="R83" s="142" t="str">
        <f t="shared" si="20"/>
        <v>NS</v>
      </c>
      <c r="S83" s="142" t="str">
        <f t="shared" si="20"/>
        <v>***</v>
      </c>
      <c r="T83" s="142" t="str">
        <f t="shared" si="20"/>
        <v>***</v>
      </c>
      <c r="U83" s="142" t="str">
        <f t="shared" si="20"/>
        <v>***</v>
      </c>
      <c r="V83" s="142" t="str">
        <f t="shared" si="20"/>
        <v>***</v>
      </c>
    </row>
    <row r="84" spans="1:22" s="1" customFormat="1" x14ac:dyDescent="0.25"/>
    <row r="85" spans="1:22" s="1" customFormat="1" x14ac:dyDescent="0.25">
      <c r="A85" s="2" t="s">
        <v>39</v>
      </c>
    </row>
    <row r="86" spans="1:22" x14ac:dyDescent="0.25">
      <c r="A86" s="1" t="s">
        <v>23</v>
      </c>
      <c r="B86" s="1">
        <f>B56+(3*B57)</f>
        <v>0.33412296477003767</v>
      </c>
    </row>
    <row r="87" spans="1:22" x14ac:dyDescent="0.25">
      <c r="A87" s="1" t="s">
        <v>24</v>
      </c>
      <c r="B87" s="1">
        <f>B56+(10*B57)</f>
        <v>0.92365992821267862</v>
      </c>
    </row>
    <row r="88" spans="1:22" ht="15.75" thickBot="1" x14ac:dyDescent="0.3"/>
    <row r="89" spans="1:22" s="48" customFormat="1" ht="27" thickBot="1" x14ac:dyDescent="0.3">
      <c r="A89" s="49" t="s">
        <v>55</v>
      </c>
      <c r="B89" s="50"/>
      <c r="C89" s="50"/>
      <c r="D89" s="50"/>
      <c r="E89" s="50"/>
      <c r="F89" s="50"/>
      <c r="G89" s="50"/>
      <c r="H89" s="50"/>
      <c r="I89" s="50"/>
      <c r="J89" s="50"/>
      <c r="K89" s="50"/>
      <c r="L89" s="50"/>
      <c r="M89" s="50"/>
      <c r="N89" s="50"/>
      <c r="O89" s="50"/>
      <c r="P89" s="50"/>
      <c r="Q89" s="50"/>
      <c r="R89" s="50"/>
      <c r="S89" s="50"/>
      <c r="T89" s="50"/>
      <c r="U89" s="50"/>
      <c r="V89" s="50"/>
    </row>
    <row r="90" spans="1:22" ht="15.75" thickBot="1" x14ac:dyDescent="0.3"/>
    <row r="91" spans="1:22" s="48" customFormat="1" ht="27" thickBot="1" x14ac:dyDescent="0.3">
      <c r="A91" s="49" t="s">
        <v>56</v>
      </c>
      <c r="B91" s="50"/>
      <c r="C91" s="50"/>
      <c r="D91" s="50"/>
      <c r="E91" s="50"/>
      <c r="F91" s="50"/>
      <c r="G91" s="50"/>
      <c r="H91" s="50"/>
      <c r="I91" s="50"/>
      <c r="J91" s="50"/>
      <c r="K91" s="50"/>
      <c r="L91" s="50"/>
      <c r="M91" s="50"/>
      <c r="N91" s="50"/>
      <c r="O91" s="50"/>
      <c r="P91" s="50"/>
      <c r="Q91" s="50"/>
      <c r="R91" s="50"/>
      <c r="S91" s="50"/>
      <c r="T91" s="50"/>
      <c r="U91" s="50"/>
      <c r="V91" s="50"/>
    </row>
    <row r="92" spans="1:22" ht="15.75" thickBot="1" x14ac:dyDescent="0.3"/>
    <row r="93" spans="1:22" s="48" customFormat="1" ht="27" thickBot="1" x14ac:dyDescent="0.3">
      <c r="A93" s="233" t="s">
        <v>57</v>
      </c>
      <c r="B93" s="234"/>
      <c r="C93" s="234"/>
      <c r="D93" s="234"/>
      <c r="E93" s="234"/>
      <c r="F93" s="234"/>
      <c r="G93" s="234"/>
      <c r="H93" s="234"/>
      <c r="I93" s="234"/>
      <c r="J93" s="234"/>
      <c r="K93" s="234"/>
      <c r="L93" s="234"/>
      <c r="M93" s="234"/>
      <c r="N93" s="234"/>
      <c r="O93" s="234"/>
      <c r="P93" s="234"/>
      <c r="Q93" s="234"/>
      <c r="R93" s="234"/>
      <c r="S93" s="234"/>
      <c r="T93" s="234"/>
      <c r="U93" s="234"/>
      <c r="V93" s="234"/>
    </row>
    <row r="95" spans="1:22" ht="15.75" x14ac:dyDescent="0.25">
      <c r="C95" s="196"/>
      <c r="K95" s="196"/>
    </row>
    <row r="96" spans="1:22" ht="15.75" x14ac:dyDescent="0.25">
      <c r="C96" s="196"/>
      <c r="K96" s="196"/>
      <c r="R96" s="196"/>
    </row>
    <row r="97" spans="3:18" ht="15.75" x14ac:dyDescent="0.25">
      <c r="C97" s="196"/>
      <c r="K97" s="196"/>
      <c r="R97" s="196"/>
    </row>
    <row r="98" spans="3:18" ht="15.75" x14ac:dyDescent="0.25">
      <c r="C98" s="196"/>
      <c r="K98" s="196"/>
      <c r="R98" s="196"/>
    </row>
    <row r="99" spans="3:18" ht="15.75" x14ac:dyDescent="0.25">
      <c r="C99" s="196"/>
      <c r="K99" s="196"/>
      <c r="R99" s="196"/>
    </row>
    <row r="100" spans="3:18" ht="15.75" x14ac:dyDescent="0.25">
      <c r="C100" s="196"/>
      <c r="R100" s="196"/>
    </row>
  </sheetData>
  <mergeCells count="10">
    <mergeCell ref="A7:A21"/>
    <mergeCell ref="A23:A37"/>
    <mergeCell ref="A93:V93"/>
    <mergeCell ref="O3:V3"/>
    <mergeCell ref="B3:M3"/>
    <mergeCell ref="A60:V60"/>
    <mergeCell ref="A72:V72"/>
    <mergeCell ref="A70:V70"/>
    <mergeCell ref="A65:V65"/>
    <mergeCell ref="A39:A53"/>
  </mergeCells>
  <pageMargins left="0.7" right="0.7" top="0.75" bottom="0.75" header="0.3" footer="0.3"/>
  <pageSetup paperSize="9" orientation="portrait" r:id="rId1"/>
  <headerFooter>
    <oddHeader>&amp;C&amp;"-,Gras"&amp;14Données poolées normalisées&amp;R&amp;"-,Gras"&amp;14Page : &amp;P/&amp;P</oddHeader>
    <oddFooter>&amp;C&amp;1#&amp;"Arial"&amp;10&amp;K000000Internal</oddFoot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53"/>
  <sheetViews>
    <sheetView showGridLines="0" zoomScale="70" zoomScaleNormal="70" workbookViewId="0">
      <selection activeCell="A7" sqref="A7"/>
    </sheetView>
  </sheetViews>
  <sheetFormatPr defaultColWidth="9.140625" defaultRowHeight="15" x14ac:dyDescent="0.25"/>
  <cols>
    <col min="1" max="1" width="33.7109375" style="41" bestFit="1" customWidth="1"/>
    <col min="2" max="3" width="14" style="41" bestFit="1" customWidth="1"/>
    <col min="4" max="4" width="14" style="41" customWidth="1"/>
    <col min="5" max="5" width="16" style="15" bestFit="1" customWidth="1"/>
    <col min="6" max="8" width="16" style="15" customWidth="1"/>
    <col min="9" max="13" width="19.140625" style="15" customWidth="1"/>
    <col min="14" max="14" width="32.140625" style="15" bestFit="1" customWidth="1"/>
    <col min="15" max="15" width="19.5703125" style="41" customWidth="1"/>
    <col min="16" max="16384" width="9.140625" style="41"/>
  </cols>
  <sheetData>
    <row r="1" spans="1:15" s="48" customFormat="1" ht="27" thickBot="1" x14ac:dyDescent="0.3">
      <c r="A1" s="233" t="s">
        <v>104</v>
      </c>
      <c r="B1" s="234"/>
      <c r="C1" s="234"/>
      <c r="D1" s="234"/>
      <c r="E1" s="234"/>
      <c r="F1" s="234"/>
      <c r="G1" s="234"/>
      <c r="H1" s="234"/>
      <c r="I1" s="234"/>
      <c r="J1" s="234"/>
      <c r="K1" s="234"/>
      <c r="L1" s="234"/>
      <c r="M1" s="234"/>
      <c r="N1" s="234"/>
      <c r="O1" s="235"/>
    </row>
    <row r="2" spans="1:15" s="48" customFormat="1" ht="27" thickBot="1" x14ac:dyDescent="0.3">
      <c r="A2" s="233" t="s">
        <v>105</v>
      </c>
      <c r="B2" s="234"/>
      <c r="C2" s="234"/>
      <c r="D2" s="234"/>
      <c r="E2" s="234"/>
      <c r="F2" s="234"/>
      <c r="G2" s="234"/>
      <c r="H2" s="234"/>
      <c r="I2" s="234"/>
      <c r="J2" s="234"/>
      <c r="K2" s="234"/>
      <c r="L2" s="234"/>
      <c r="M2" s="234"/>
      <c r="N2" s="234"/>
      <c r="O2" s="235"/>
    </row>
    <row r="3" spans="1:15" s="76" customFormat="1" ht="15.75" x14ac:dyDescent="0.25">
      <c r="H3" s="77"/>
      <c r="I3" s="77"/>
      <c r="J3" s="77"/>
      <c r="K3" s="77"/>
      <c r="L3" s="77"/>
      <c r="M3" s="77"/>
      <c r="N3" s="77"/>
    </row>
    <row r="4" spans="1:15" s="76" customFormat="1" ht="15.75" x14ac:dyDescent="0.25">
      <c r="O4"/>
    </row>
    <row r="5" spans="1:15" s="76" customFormat="1" ht="45.75" customHeight="1" thickBot="1" x14ac:dyDescent="0.3">
      <c r="A5" s="78"/>
      <c r="B5" s="87" t="s">
        <v>25</v>
      </c>
      <c r="C5" s="87" t="s">
        <v>26</v>
      </c>
      <c r="D5" s="87" t="s">
        <v>27</v>
      </c>
      <c r="E5" s="88" t="s">
        <v>64</v>
      </c>
      <c r="F5" s="126" t="s">
        <v>80</v>
      </c>
      <c r="G5" s="94" t="s">
        <v>42</v>
      </c>
      <c r="H5" s="94" t="s">
        <v>65</v>
      </c>
      <c r="I5" s="94" t="s">
        <v>66</v>
      </c>
      <c r="J5" s="95" t="s">
        <v>77</v>
      </c>
      <c r="K5" s="95" t="s">
        <v>67</v>
      </c>
      <c r="L5" s="96" t="s">
        <v>76</v>
      </c>
      <c r="M5" s="96" t="s">
        <v>68</v>
      </c>
      <c r="N5" s="96" t="s">
        <v>69</v>
      </c>
      <c r="O5"/>
    </row>
    <row r="6" spans="1:15" s="76" customFormat="1" ht="15.75" x14ac:dyDescent="0.25">
      <c r="A6" s="79" t="s">
        <v>28</v>
      </c>
      <c r="B6" s="99">
        <v>64</v>
      </c>
      <c r="C6" s="79"/>
      <c r="D6" s="79"/>
      <c r="E6" s="89"/>
      <c r="F6" s="90"/>
      <c r="G6" s="128">
        <f>IF(F6="NS","NC",ROUND(B6,2-(1+INT(LOG10(ABS(B6))))))</f>
        <v>64</v>
      </c>
      <c r="H6" s="120"/>
      <c r="I6" s="120"/>
      <c r="J6" s="121"/>
      <c r="K6" s="122"/>
      <c r="L6" s="124"/>
      <c r="M6" s="121"/>
      <c r="N6" s="91"/>
      <c r="O6"/>
    </row>
    <row r="7" spans="1:15" s="76" customFormat="1" ht="15.75" x14ac:dyDescent="0.25">
      <c r="A7" s="79" t="str">
        <f>'Page de garde'!A15</f>
        <v>estradiol 34ng/L</v>
      </c>
      <c r="B7" s="98"/>
      <c r="C7" s="80"/>
      <c r="D7" s="80"/>
      <c r="E7" s="81"/>
      <c r="F7" s="97" t="str">
        <f>HLOOKUP(A7,'pooled normalised values'!$B$74:$V$83,10,FALSE)</f>
        <v>NS</v>
      </c>
      <c r="G7" s="128" t="str">
        <f>IF(F7="NS","NC",ROUND(B7,2-(1+INT(LOG10(ABS(B7))))))</f>
        <v>NC</v>
      </c>
      <c r="H7" s="119" t="str">
        <f>IF(VLOOKUP(A7,liste_groupe[],4,FALSE)="%",VLOOKUP(A7,liste_groupe[],3,FALSE)/100,IF(ISBLANK(VLOOKUP(A7,liste_groupe[],4,FALSE)),"Non","Non"))</f>
        <v>Non</v>
      </c>
      <c r="I7" s="128" t="str">
        <f>IF(F7="NS","NC",IF(H7="Non",G7,G7*(1/H7)))</f>
        <v>NC</v>
      </c>
      <c r="J7" s="129">
        <v>64</v>
      </c>
      <c r="K7" s="130">
        <f>IF(F7="NS",0,ROUND(I7/J7*100,0))</f>
        <v>0</v>
      </c>
      <c r="L7" s="125">
        <v>1</v>
      </c>
      <c r="M7" s="131">
        <f>IF(K7&gt;100,125,K7)</f>
        <v>0</v>
      </c>
      <c r="N7" s="92" t="str">
        <f>IF(H7="Non",CONCATENATE(VLOOKUP(A7,liste_groupe[],5,FALSE),"-",VLOOKUP(A7,liste_groupe[],3,FALSE),VLOOKUP(A7,liste_groupe[],4,FALSE)," : ",ROUND(K7,0),"%"),CONCATENATE(VLOOKUP(A7,liste_groupe[],5,FALSE)," : ",ROUND(K7,0),"%"))</f>
        <v>estradiol-34ng/L : 0%</v>
      </c>
      <c r="O7"/>
    </row>
    <row r="8" spans="1:15" s="76" customFormat="1" ht="15.75" x14ac:dyDescent="0.25">
      <c r="A8" s="79" t="str">
        <f>'Page de garde'!A16</f>
        <v>estradiol 68ng/L</v>
      </c>
      <c r="B8" s="98"/>
      <c r="C8" s="82"/>
      <c r="D8" s="80"/>
      <c r="E8" s="81"/>
      <c r="F8" s="97" t="str">
        <f>HLOOKUP(A8,'pooled normalised values'!$B$74:$V$83,10,FALSE)</f>
        <v>NS</v>
      </c>
      <c r="G8" s="128" t="str">
        <f t="shared" ref="G8:G13" si="0">IF(F8="NS","NC",ROUND(B8,2-(1+INT(LOG10(ABS(B8))))))</f>
        <v>NC</v>
      </c>
      <c r="H8" s="119" t="str">
        <f>IF(VLOOKUP(A8,liste_groupe[],4,FALSE)="%",VLOOKUP(A8,liste_groupe[],3,FALSE)/100,IF(ISBLANK(VLOOKUP(A8,liste_groupe[],4,FALSE)),"Non","Non"))</f>
        <v>Non</v>
      </c>
      <c r="I8" s="128" t="str">
        <f t="shared" ref="I8:I26" si="1">IF(F8="NS","NC",IF(H8="Non",G8,G8*(1/H8)))</f>
        <v>NC</v>
      </c>
      <c r="J8" s="129">
        <v>64</v>
      </c>
      <c r="K8" s="130">
        <f t="shared" ref="K8:K26" si="2">IF(F8="NS",0,ROUND(I8/J8*100,0))</f>
        <v>0</v>
      </c>
      <c r="L8" s="125"/>
      <c r="M8" s="131">
        <f t="shared" ref="M8:M26" si="3">IF(K8&gt;100,125,K8)</f>
        <v>0</v>
      </c>
      <c r="N8" s="92" t="str">
        <f>IF(H8="Non",CONCATENATE(VLOOKUP(A8,liste_groupe[],5,FALSE),"-",VLOOKUP(A8,liste_groupe[],3,FALSE),VLOOKUP(A8,liste_groupe[],4,FALSE)," : ",ROUND(K8,0),"%"),CONCATENATE(VLOOKUP(A8,liste_groupe[],5,FALSE)," : ",ROUND(K8,0),"%"))</f>
        <v>estradiol-68ng/L : 0%</v>
      </c>
      <c r="O8"/>
    </row>
    <row r="9" spans="1:15" s="76" customFormat="1" ht="15.75" x14ac:dyDescent="0.25">
      <c r="A9" s="79" t="str">
        <f>'Page de garde'!A17</f>
        <v>estradiol 135ng/L</v>
      </c>
      <c r="B9" s="98"/>
      <c r="C9" s="82"/>
      <c r="D9" s="80"/>
      <c r="E9" s="81"/>
      <c r="F9" s="97" t="str">
        <f>HLOOKUP(A9,'pooled normalised values'!$B$74:$V$83,10,FALSE)</f>
        <v>**</v>
      </c>
      <c r="G9" s="128" t="e">
        <f t="shared" si="0"/>
        <v>#NUM!</v>
      </c>
      <c r="H9" s="119" t="str">
        <f>IF(VLOOKUP(A9,liste_groupe[],4,FALSE)="%",VLOOKUP(A9,liste_groupe[],3,FALSE)/100,IF(ISBLANK(VLOOKUP(A9,liste_groupe[],4,FALSE)),"Non","Non"))</f>
        <v>Non</v>
      </c>
      <c r="I9" s="128" t="e">
        <f t="shared" si="1"/>
        <v>#NUM!</v>
      </c>
      <c r="J9" s="129">
        <v>64</v>
      </c>
      <c r="K9" s="130" t="e">
        <f t="shared" si="2"/>
        <v>#NUM!</v>
      </c>
      <c r="L9" s="125"/>
      <c r="M9" s="131" t="e">
        <f t="shared" si="3"/>
        <v>#NUM!</v>
      </c>
      <c r="N9" s="92" t="e">
        <f>IF(H9="Non",CONCATENATE(VLOOKUP(A9,liste_groupe[],5,FALSE),"-",VLOOKUP(A9,liste_groupe[],3,FALSE),VLOOKUP(A9,liste_groupe[],4,FALSE)," : ",ROUND(K9,0),"%"),CONCATENATE(VLOOKUP(A9,liste_groupe[],5,FALSE)," : ",ROUND(K9,0),"%"))</f>
        <v>#NUM!</v>
      </c>
      <c r="O9"/>
    </row>
    <row r="10" spans="1:15" s="76" customFormat="1" ht="15.75" x14ac:dyDescent="0.25">
      <c r="A10" s="79" t="str">
        <f>'Page de garde'!A18</f>
        <v>estradiol 270ng/L</v>
      </c>
      <c r="B10" s="99"/>
      <c r="C10" s="79"/>
      <c r="D10" s="84"/>
      <c r="E10" s="81"/>
      <c r="F10" s="97" t="str">
        <f>HLOOKUP(A10,'pooled normalised values'!$B$74:$V$83,10,FALSE)</f>
        <v>***</v>
      </c>
      <c r="G10" s="128" t="e">
        <f t="shared" si="0"/>
        <v>#NUM!</v>
      </c>
      <c r="H10" s="119" t="str">
        <f>IF(VLOOKUP(A10,liste_groupe[],4,FALSE)="%",VLOOKUP(A10,liste_groupe[],3,FALSE)/100,IF(ISBLANK(VLOOKUP(A10,liste_groupe[],4,FALSE)),"Non","Non"))</f>
        <v>Non</v>
      </c>
      <c r="I10" s="128" t="e">
        <f t="shared" si="1"/>
        <v>#NUM!</v>
      </c>
      <c r="J10" s="129">
        <v>64</v>
      </c>
      <c r="K10" s="130" t="e">
        <f t="shared" si="2"/>
        <v>#NUM!</v>
      </c>
      <c r="L10" s="125"/>
      <c r="M10" s="131" t="e">
        <f t="shared" si="3"/>
        <v>#NUM!</v>
      </c>
      <c r="N10" s="92" t="e">
        <f>IF(H10="Non",CONCATENATE(VLOOKUP(A10,liste_groupe[],5,FALSE),"-",VLOOKUP(A10,liste_groupe[],3,FALSE),VLOOKUP(A10,liste_groupe[],4,FALSE)," : ",ROUND(K10,0),"%"),CONCATENATE(VLOOKUP(A10,liste_groupe[],5,FALSE)," : ",ROUND(K10,0),"%"))</f>
        <v>#NUM!</v>
      </c>
      <c r="O10"/>
    </row>
    <row r="11" spans="1:15" s="76" customFormat="1" ht="15.75" x14ac:dyDescent="0.25">
      <c r="A11" s="79" t="str">
        <f>'Page de garde'!A19</f>
        <v>estradiol 540ng/L</v>
      </c>
      <c r="B11" s="99"/>
      <c r="C11" s="79"/>
      <c r="D11" s="84"/>
      <c r="E11" s="81"/>
      <c r="F11" s="97" t="str">
        <f>HLOOKUP(A11,'pooled normalised values'!$B$74:$V$83,10,FALSE)</f>
        <v>***</v>
      </c>
      <c r="G11" s="128" t="e">
        <f t="shared" si="0"/>
        <v>#NUM!</v>
      </c>
      <c r="H11" s="119" t="str">
        <f>IF(VLOOKUP(A11,liste_groupe[],4,FALSE)="%",VLOOKUP(A11,liste_groupe[],3,FALSE)/100,IF(ISBLANK(VLOOKUP(A11,liste_groupe[],4,FALSE)),"Non","Non"))</f>
        <v>Non</v>
      </c>
      <c r="I11" s="128" t="e">
        <f t="shared" si="1"/>
        <v>#NUM!</v>
      </c>
      <c r="J11" s="129">
        <v>64</v>
      </c>
      <c r="K11" s="130" t="e">
        <f t="shared" si="2"/>
        <v>#NUM!</v>
      </c>
      <c r="L11" s="125"/>
      <c r="M11" s="131" t="e">
        <f t="shared" si="3"/>
        <v>#NUM!</v>
      </c>
      <c r="N11" s="92" t="e">
        <f>IF(H11="Non",CONCATENATE(VLOOKUP(A11,liste_groupe[],5,FALSE),"-",VLOOKUP(A11,liste_groupe[],3,FALSE),VLOOKUP(A11,liste_groupe[],4,FALSE)," : ",ROUND(K11,0),"%"),CONCATENATE(VLOOKUP(A11,liste_groupe[],5,FALSE)," : ",ROUND(K11,0),"%"))</f>
        <v>#NUM!</v>
      </c>
      <c r="O11"/>
    </row>
    <row r="12" spans="1:15" s="76" customFormat="1" ht="15.75" x14ac:dyDescent="0.25">
      <c r="A12" s="79" t="str">
        <f>'Page de garde'!A20</f>
        <v xml:space="preserve"> </v>
      </c>
      <c r="B12" s="99"/>
      <c r="C12" s="79"/>
      <c r="D12" s="84"/>
      <c r="E12" s="81"/>
      <c r="F12" s="97" t="e">
        <f>HLOOKUP(A12,'pooled normalised values'!$B$74:$V$83,10,FALSE)</f>
        <v>#N/A</v>
      </c>
      <c r="G12" s="128" t="e">
        <f t="shared" si="0"/>
        <v>#N/A</v>
      </c>
      <c r="H12" s="119" t="str">
        <f>IF(VLOOKUP(A12,liste_groupe[],4,FALSE)="%",VLOOKUP(A12,liste_groupe[],3,FALSE)/100,IF(ISBLANK(VLOOKUP(A12,liste_groupe[],4,FALSE)),"Non","Non"))</f>
        <v>Non</v>
      </c>
      <c r="I12" s="128" t="e">
        <f t="shared" si="1"/>
        <v>#N/A</v>
      </c>
      <c r="J12" s="129">
        <v>64</v>
      </c>
      <c r="K12" s="130" t="e">
        <f t="shared" si="2"/>
        <v>#N/A</v>
      </c>
      <c r="L12" s="125"/>
      <c r="M12" s="131" t="e">
        <f t="shared" si="3"/>
        <v>#N/A</v>
      </c>
      <c r="N12" s="92" t="e">
        <f>IF(H12="Non",CONCATENATE(VLOOKUP(A12,liste_groupe[],5,FALSE),"-",VLOOKUP(A12,liste_groupe[],3,FALSE),VLOOKUP(A12,liste_groupe[],4,FALSE)," : ",ROUND(K12,0),"%"),CONCATENATE(VLOOKUP(A12,liste_groupe[],5,FALSE)," : ",ROUND(K12,0),"%"))</f>
        <v>#N/A</v>
      </c>
      <c r="O12"/>
    </row>
    <row r="13" spans="1:15" s="76" customFormat="1" ht="15.75" x14ac:dyDescent="0.25">
      <c r="A13" s="79" t="str">
        <f>'Page de garde'!A21</f>
        <v xml:space="preserve"> </v>
      </c>
      <c r="B13" s="99"/>
      <c r="C13" s="79"/>
      <c r="D13" s="79"/>
      <c r="E13" s="81"/>
      <c r="F13" s="97" t="e">
        <f>HLOOKUP(A13,'pooled normalised values'!$B$74:$V$83,10,FALSE)</f>
        <v>#N/A</v>
      </c>
      <c r="G13" s="128" t="e">
        <f t="shared" si="0"/>
        <v>#N/A</v>
      </c>
      <c r="H13" s="119" t="str">
        <f>IF(VLOOKUP(A13,liste_groupe[],4,FALSE)="%",VLOOKUP(A13,liste_groupe[],3,FALSE)/100,IF(ISBLANK(VLOOKUP(A13,liste_groupe[],4,FALSE)),"Non","Non"))</f>
        <v>Non</v>
      </c>
      <c r="I13" s="128" t="e">
        <f t="shared" si="1"/>
        <v>#N/A</v>
      </c>
      <c r="J13" s="129">
        <v>64</v>
      </c>
      <c r="K13" s="130" t="e">
        <f t="shared" si="2"/>
        <v>#N/A</v>
      </c>
      <c r="L13" s="125"/>
      <c r="M13" s="131" t="e">
        <f t="shared" si="3"/>
        <v>#N/A</v>
      </c>
      <c r="N13" s="92" t="e">
        <f>IF(H13="Non",CONCATENATE(VLOOKUP(A13,liste_groupe[],5,FALSE),"-",VLOOKUP(A13,liste_groupe[],3,FALSE),VLOOKUP(A13,liste_groupe[],4,FALSE)," : ",ROUND(K13,0),"%"),CONCATENATE(VLOOKUP(A13,liste_groupe[],5,FALSE)," : ",ROUND(K13,0),"%"))</f>
        <v>#N/A</v>
      </c>
      <c r="O13"/>
    </row>
    <row r="14" spans="1:15" s="76" customFormat="1" ht="15.75" x14ac:dyDescent="0.25">
      <c r="A14" s="79" t="str">
        <f>'Page de garde'!A22</f>
        <v xml:space="preserve"> </v>
      </c>
      <c r="B14" s="99"/>
      <c r="C14" s="79"/>
      <c r="D14" s="79"/>
      <c r="E14" s="81"/>
      <c r="F14" s="97" t="e">
        <f>HLOOKUP(A14,'pooled normalised values'!$B$74:$V$83,10,FALSE)</f>
        <v>#N/A</v>
      </c>
      <c r="G14" s="128" t="e">
        <f t="shared" ref="G14:G25" si="4">IF(F14="NS","NC",ROUND(B14,2-(1+INT(LOG10(ABS(B14))))))</f>
        <v>#N/A</v>
      </c>
      <c r="H14" s="119" t="str">
        <f>IF(VLOOKUP(A14,liste_groupe[],4,FALSE)="%",VLOOKUP(A14,liste_groupe[],3,FALSE)/100,IF(ISBLANK(VLOOKUP(A14,liste_groupe[],4,FALSE)),"Non","Non"))</f>
        <v>Non</v>
      </c>
      <c r="I14" s="128" t="e">
        <f t="shared" si="1"/>
        <v>#N/A</v>
      </c>
      <c r="J14" s="129">
        <v>64</v>
      </c>
      <c r="K14" s="130" t="e">
        <f t="shared" si="2"/>
        <v>#N/A</v>
      </c>
      <c r="L14" s="125"/>
      <c r="M14" s="131" t="e">
        <f t="shared" si="3"/>
        <v>#N/A</v>
      </c>
      <c r="N14" s="92" t="e">
        <f>IF(H14="Non",CONCATENATE(VLOOKUP(A14,liste_groupe[],5,FALSE),"-",VLOOKUP(A14,liste_groupe[],3,FALSE),VLOOKUP(A14,liste_groupe[],4,FALSE)," : ",ROUND(K14,0),"%"),CONCATENATE(VLOOKUP(A14,liste_groupe[],5,FALSE)," : ",ROUND(K14,0),"%"))</f>
        <v>#N/A</v>
      </c>
      <c r="O14" s="1"/>
    </row>
    <row r="15" spans="1:15" s="76" customFormat="1" ht="15.75" x14ac:dyDescent="0.25">
      <c r="A15" s="79" t="str">
        <f>'Page de garde'!A23</f>
        <v xml:space="preserve"> </v>
      </c>
      <c r="B15" s="99"/>
      <c r="C15" s="79"/>
      <c r="D15" s="79"/>
      <c r="E15" s="81"/>
      <c r="F15" s="97" t="e">
        <f>HLOOKUP(A15,'pooled normalised values'!$B$74:$V$83,10,FALSE)</f>
        <v>#N/A</v>
      </c>
      <c r="G15" s="128" t="e">
        <f t="shared" si="4"/>
        <v>#N/A</v>
      </c>
      <c r="H15" s="119" t="str">
        <f>IF(VLOOKUP(A15,liste_groupe[],4,FALSE)="%",VLOOKUP(A15,liste_groupe[],3,FALSE)/100,IF(ISBLANK(VLOOKUP(A15,liste_groupe[],4,FALSE)),"Non","Non"))</f>
        <v>Non</v>
      </c>
      <c r="I15" s="128" t="e">
        <f t="shared" si="1"/>
        <v>#N/A</v>
      </c>
      <c r="J15" s="129">
        <v>64</v>
      </c>
      <c r="K15" s="130" t="e">
        <f t="shared" si="2"/>
        <v>#N/A</v>
      </c>
      <c r="L15" s="125"/>
      <c r="M15" s="131" t="e">
        <f t="shared" si="3"/>
        <v>#N/A</v>
      </c>
      <c r="N15" s="92" t="e">
        <f>IF(H15="Non",CONCATENATE(VLOOKUP(A15,liste_groupe[],5,FALSE),"-",VLOOKUP(A15,liste_groupe[],3,FALSE),VLOOKUP(A15,liste_groupe[],4,FALSE)," : ",ROUND(K15,0),"%"),CONCATENATE(VLOOKUP(A15,liste_groupe[],5,FALSE)," : ",ROUND(K15,0),"%"))</f>
        <v>#N/A</v>
      </c>
      <c r="O15" s="1"/>
    </row>
    <row r="16" spans="1:15" s="76" customFormat="1" ht="15.75" x14ac:dyDescent="0.25">
      <c r="A16" s="79" t="str">
        <f>'Page de garde'!A24</f>
        <v xml:space="preserve"> </v>
      </c>
      <c r="B16" s="99"/>
      <c r="C16" s="79"/>
      <c r="D16" s="79"/>
      <c r="E16" s="81"/>
      <c r="F16" s="97" t="e">
        <f>HLOOKUP(A16,'pooled normalised values'!$B$74:$V$83,10,FALSE)</f>
        <v>#N/A</v>
      </c>
      <c r="G16" s="128" t="e">
        <f t="shared" si="4"/>
        <v>#N/A</v>
      </c>
      <c r="H16" s="119" t="str">
        <f>IF(VLOOKUP(A16,liste_groupe[],4,FALSE)="%",VLOOKUP(A16,liste_groupe[],3,FALSE)/100,IF(ISBLANK(VLOOKUP(A16,liste_groupe[],4,FALSE)),"Non","Non"))</f>
        <v>Non</v>
      </c>
      <c r="I16" s="128" t="e">
        <f t="shared" si="1"/>
        <v>#N/A</v>
      </c>
      <c r="J16" s="129">
        <v>64</v>
      </c>
      <c r="K16" s="130" t="e">
        <f t="shared" si="2"/>
        <v>#N/A</v>
      </c>
      <c r="L16" s="125"/>
      <c r="M16" s="131" t="e">
        <f t="shared" si="3"/>
        <v>#N/A</v>
      </c>
      <c r="N16" s="92" t="e">
        <f>IF(H16="Non",CONCATENATE(VLOOKUP(A16,liste_groupe[],5,FALSE),"-",VLOOKUP(A16,liste_groupe[],3,FALSE),VLOOKUP(A16,liste_groupe[],4,FALSE)," : ",ROUND(K16,0),"%"),CONCATENATE(VLOOKUP(A16,liste_groupe[],5,FALSE)," : ",ROUND(K16,0),"%"))</f>
        <v>#N/A</v>
      </c>
      <c r="O16" s="1"/>
    </row>
    <row r="17" spans="1:15" s="76" customFormat="1" ht="15.75" x14ac:dyDescent="0.25">
      <c r="A17" s="79" t="str">
        <f>'Page de garde'!A25</f>
        <v xml:space="preserve"> </v>
      </c>
      <c r="B17" s="99"/>
      <c r="C17" s="79"/>
      <c r="D17" s="79"/>
      <c r="E17" s="81"/>
      <c r="F17" s="97" t="e">
        <f>HLOOKUP(A17,'pooled normalised values'!$B$74:$V$83,10,FALSE)</f>
        <v>#N/A</v>
      </c>
      <c r="G17" s="128" t="e">
        <f t="shared" si="4"/>
        <v>#N/A</v>
      </c>
      <c r="H17" s="119" t="str">
        <f>IF(VLOOKUP(A17,liste_groupe[],4,FALSE)="%",VLOOKUP(A17,liste_groupe[],3,FALSE)/100,IF(ISBLANK(VLOOKUP(A17,liste_groupe[],4,FALSE)),"Non","Non"))</f>
        <v>Non</v>
      </c>
      <c r="I17" s="128" t="e">
        <f t="shared" si="1"/>
        <v>#N/A</v>
      </c>
      <c r="J17" s="129">
        <v>64</v>
      </c>
      <c r="K17" s="130" t="e">
        <f t="shared" si="2"/>
        <v>#N/A</v>
      </c>
      <c r="L17" s="125"/>
      <c r="M17" s="131" t="e">
        <f t="shared" si="3"/>
        <v>#N/A</v>
      </c>
      <c r="N17" s="92" t="e">
        <f>IF(H17="Non",CONCATENATE(VLOOKUP(A17,liste_groupe[],5,FALSE),"-",VLOOKUP(A17,liste_groupe[],3,FALSE),VLOOKUP(A17,liste_groupe[],4,FALSE)," : ",ROUND(K17,0),"%"),CONCATENATE(VLOOKUP(A17,liste_groupe[],5,FALSE)," : ",ROUND(K17,0),"%"))</f>
        <v>#N/A</v>
      </c>
      <c r="O17" s="1"/>
    </row>
    <row r="18" spans="1:15" s="76" customFormat="1" ht="15.75" x14ac:dyDescent="0.25">
      <c r="A18" s="79" t="str">
        <f>'Page de garde'!A26</f>
        <v xml:space="preserve"> </v>
      </c>
      <c r="B18" s="99"/>
      <c r="C18" s="79"/>
      <c r="D18" s="79"/>
      <c r="E18" s="81"/>
      <c r="F18" s="97" t="e">
        <f>HLOOKUP(A18,'pooled normalised values'!$B$74:$V$83,10,FALSE)</f>
        <v>#N/A</v>
      </c>
      <c r="G18" s="128" t="e">
        <f t="shared" si="4"/>
        <v>#N/A</v>
      </c>
      <c r="H18" s="119" t="str">
        <f>IF(VLOOKUP(A18,liste_groupe[],4,FALSE)="%",VLOOKUP(A18,liste_groupe[],3,FALSE)/100,IF(ISBLANK(VLOOKUP(A18,liste_groupe[],4,FALSE)),"Non","Non"))</f>
        <v>Non</v>
      </c>
      <c r="I18" s="128" t="e">
        <f t="shared" si="1"/>
        <v>#N/A</v>
      </c>
      <c r="J18" s="129">
        <v>64</v>
      </c>
      <c r="K18" s="130" t="e">
        <f t="shared" si="2"/>
        <v>#N/A</v>
      </c>
      <c r="L18" s="125"/>
      <c r="M18" s="131" t="e">
        <f t="shared" si="3"/>
        <v>#N/A</v>
      </c>
      <c r="N18" s="92" t="e">
        <f>IF(H18="Non",CONCATENATE(VLOOKUP(A18,liste_groupe[],5,FALSE),"-",VLOOKUP(A18,liste_groupe[],3,FALSE),VLOOKUP(A18,liste_groupe[],4,FALSE)," : ",ROUND(K18,0),"%"),CONCATENATE(VLOOKUP(A18,liste_groupe[],5,FALSE)," : ",ROUND(K18,0),"%"))</f>
        <v>#N/A</v>
      </c>
      <c r="O18" s="1"/>
    </row>
    <row r="19" spans="1:15" s="76" customFormat="1" ht="15.75" x14ac:dyDescent="0.25">
      <c r="A19" s="79" t="str">
        <f>'Page de garde'!A27</f>
        <v xml:space="preserve"> </v>
      </c>
      <c r="B19" s="99"/>
      <c r="C19" s="79"/>
      <c r="D19" s="79"/>
      <c r="E19" s="81"/>
      <c r="F19" s="97" t="e">
        <f>HLOOKUP(A19,'pooled normalised values'!$B$74:$V$83,10,FALSE)</f>
        <v>#N/A</v>
      </c>
      <c r="G19" s="128" t="e">
        <f t="shared" si="4"/>
        <v>#N/A</v>
      </c>
      <c r="H19" s="119" t="str">
        <f>IF(VLOOKUP(A19,liste_groupe[],4,FALSE)="%",VLOOKUP(A19,liste_groupe[],3,FALSE)/100,IF(ISBLANK(VLOOKUP(A19,liste_groupe[],4,FALSE)),"Non","Non"))</f>
        <v>Non</v>
      </c>
      <c r="I19" s="128" t="e">
        <f t="shared" si="1"/>
        <v>#N/A</v>
      </c>
      <c r="J19" s="129">
        <v>64</v>
      </c>
      <c r="K19" s="130" t="e">
        <f t="shared" si="2"/>
        <v>#N/A</v>
      </c>
      <c r="L19" s="125"/>
      <c r="M19" s="131" t="e">
        <f t="shared" si="3"/>
        <v>#N/A</v>
      </c>
      <c r="N19" s="92" t="e">
        <f>IF(H19="Non",CONCATENATE(VLOOKUP(A19,liste_groupe[],5,FALSE),"-",VLOOKUP(A19,liste_groupe[],3,FALSE),VLOOKUP(A19,liste_groupe[],4,FALSE)," : ",ROUND(K19,0),"%"),CONCATENATE(VLOOKUP(A19,liste_groupe[],5,FALSE)," : ",ROUND(K19,0),"%"))</f>
        <v>#N/A</v>
      </c>
      <c r="O19" s="1"/>
    </row>
    <row r="20" spans="1:15" s="76" customFormat="1" ht="15.75" x14ac:dyDescent="0.25">
      <c r="A20" s="79" t="str">
        <f>'Page de garde'!A28</f>
        <v xml:space="preserve"> </v>
      </c>
      <c r="B20" s="99"/>
      <c r="C20" s="79"/>
      <c r="D20" s="79"/>
      <c r="E20" s="81"/>
      <c r="F20" s="97" t="e">
        <f>HLOOKUP(A20,'pooled normalised values'!$B$74:$V$83,10,FALSE)</f>
        <v>#N/A</v>
      </c>
      <c r="G20" s="128" t="e">
        <f t="shared" si="4"/>
        <v>#N/A</v>
      </c>
      <c r="H20" s="119" t="str">
        <f>IF(VLOOKUP(A20,liste_groupe[],4,FALSE)="%",VLOOKUP(A20,liste_groupe[],3,FALSE)/100,IF(ISBLANK(VLOOKUP(A20,liste_groupe[],4,FALSE)),"Non","Non"))</f>
        <v>Non</v>
      </c>
      <c r="I20" s="128" t="e">
        <f t="shared" si="1"/>
        <v>#N/A</v>
      </c>
      <c r="J20" s="129">
        <v>64</v>
      </c>
      <c r="K20" s="130" t="e">
        <f t="shared" si="2"/>
        <v>#N/A</v>
      </c>
      <c r="L20" s="125"/>
      <c r="M20" s="131" t="e">
        <f t="shared" si="3"/>
        <v>#N/A</v>
      </c>
      <c r="N20" s="92" t="e">
        <f>IF(H20="Non",CONCATENATE(VLOOKUP(A20,liste_groupe[],5,FALSE),"-",VLOOKUP(A20,liste_groupe[],3,FALSE),VLOOKUP(A20,liste_groupe[],4,FALSE)," : ",ROUND(K20,0),"%"),CONCATENATE(VLOOKUP(A20,liste_groupe[],5,FALSE)," : ",ROUND(K20,0),"%"))</f>
        <v>#N/A</v>
      </c>
      <c r="O20" s="1"/>
    </row>
    <row r="21" spans="1:15" s="76" customFormat="1" ht="15.75" x14ac:dyDescent="0.25">
      <c r="A21" s="79" t="str">
        <f>'Page de garde'!A29</f>
        <v xml:space="preserve"> </v>
      </c>
      <c r="B21" s="99"/>
      <c r="C21" s="79"/>
      <c r="D21" s="79"/>
      <c r="E21" s="81"/>
      <c r="F21" s="97" t="e">
        <f>HLOOKUP(A21,'pooled normalised values'!$B$74:$V$83,10,FALSE)</f>
        <v>#N/A</v>
      </c>
      <c r="G21" s="128" t="e">
        <f t="shared" si="4"/>
        <v>#N/A</v>
      </c>
      <c r="H21" s="119" t="str">
        <f>IF(VLOOKUP(A21,liste_groupe[],4,FALSE)="%",VLOOKUP(A21,liste_groupe[],3,FALSE)/100,IF(ISBLANK(VLOOKUP(A21,liste_groupe[],4,FALSE)),"Non","Non"))</f>
        <v>Non</v>
      </c>
      <c r="I21" s="128" t="e">
        <f t="shared" si="1"/>
        <v>#N/A</v>
      </c>
      <c r="J21" s="129">
        <v>64</v>
      </c>
      <c r="K21" s="130" t="e">
        <f t="shared" si="2"/>
        <v>#N/A</v>
      </c>
      <c r="L21" s="125"/>
      <c r="M21" s="131" t="e">
        <f t="shared" si="3"/>
        <v>#N/A</v>
      </c>
      <c r="N21" s="92" t="e">
        <f>IF(H21="Non",CONCATENATE(VLOOKUP(A21,liste_groupe[],5,FALSE),"-",VLOOKUP(A21,liste_groupe[],3,FALSE),VLOOKUP(A21,liste_groupe[],4,FALSE)," : ",ROUND(K21,0),"%"),CONCATENATE(VLOOKUP(A21,liste_groupe[],5,FALSE)," : ",ROUND(K21,0),"%"))</f>
        <v>#N/A</v>
      </c>
      <c r="O21" s="1"/>
    </row>
    <row r="22" spans="1:15" s="76" customFormat="1" ht="15.75" x14ac:dyDescent="0.25">
      <c r="A22" s="79" t="str">
        <f>'Page de garde'!A30</f>
        <v xml:space="preserve"> </v>
      </c>
      <c r="B22" s="99"/>
      <c r="C22" s="79"/>
      <c r="D22" s="79"/>
      <c r="E22" s="81"/>
      <c r="F22" s="97" t="e">
        <f>HLOOKUP(A22,'pooled normalised values'!$B$74:$V$83,10,FALSE)</f>
        <v>#N/A</v>
      </c>
      <c r="G22" s="128" t="e">
        <f t="shared" si="4"/>
        <v>#N/A</v>
      </c>
      <c r="H22" s="119" t="str">
        <f>IF(VLOOKUP(A22,liste_groupe[],4,FALSE)="%",VLOOKUP(A22,liste_groupe[],3,FALSE)/100,IF(ISBLANK(VLOOKUP(A22,liste_groupe[],4,FALSE)),"Non","Non"))</f>
        <v>Non</v>
      </c>
      <c r="I22" s="128" t="e">
        <f t="shared" si="1"/>
        <v>#N/A</v>
      </c>
      <c r="J22" s="129">
        <v>64</v>
      </c>
      <c r="K22" s="130" t="e">
        <f t="shared" si="2"/>
        <v>#N/A</v>
      </c>
      <c r="L22" s="125"/>
      <c r="M22" s="131" t="e">
        <f t="shared" si="3"/>
        <v>#N/A</v>
      </c>
      <c r="N22" s="92" t="e">
        <f>IF(H22="Non",CONCATENATE(VLOOKUP(A22,liste_groupe[],5,FALSE),"-",VLOOKUP(A22,liste_groupe[],3,FALSE),VLOOKUP(A22,liste_groupe[],4,FALSE)," : ",ROUND(K22,0),"%"),CONCATENATE(VLOOKUP(A22,liste_groupe[],5,FALSE)," : ",ROUND(K22,0),"%"))</f>
        <v>#N/A</v>
      </c>
      <c r="O22" s="1"/>
    </row>
    <row r="23" spans="1:15" s="76" customFormat="1" ht="15.75" x14ac:dyDescent="0.25">
      <c r="A23" s="79" t="str">
        <f>'Page de garde'!A31</f>
        <v xml:space="preserve"> </v>
      </c>
      <c r="B23" s="99"/>
      <c r="C23" s="79"/>
      <c r="D23" s="79"/>
      <c r="E23" s="81"/>
      <c r="F23" s="97" t="e">
        <f>HLOOKUP(A23,'pooled normalised values'!$B$74:$V$83,10,FALSE)</f>
        <v>#N/A</v>
      </c>
      <c r="G23" s="128" t="e">
        <f t="shared" si="4"/>
        <v>#N/A</v>
      </c>
      <c r="H23" s="119" t="str">
        <f>IF(VLOOKUP(A23,liste_groupe[],4,FALSE)="%",VLOOKUP(A23,liste_groupe[],3,FALSE)/100,IF(ISBLANK(VLOOKUP(A23,liste_groupe[],4,FALSE)),"Non","Non"))</f>
        <v>Non</v>
      </c>
      <c r="I23" s="128" t="e">
        <f t="shared" si="1"/>
        <v>#N/A</v>
      </c>
      <c r="J23" s="129">
        <v>64</v>
      </c>
      <c r="K23" s="130" t="e">
        <f t="shared" si="2"/>
        <v>#N/A</v>
      </c>
      <c r="L23" s="125"/>
      <c r="M23" s="131" t="e">
        <f t="shared" si="3"/>
        <v>#N/A</v>
      </c>
      <c r="N23" s="92" t="e">
        <f>IF(H23="Non",CONCATENATE(VLOOKUP(A23,liste_groupe[],5,FALSE),"-",VLOOKUP(A23,liste_groupe[],3,FALSE),VLOOKUP(A23,liste_groupe[],4,FALSE)," : ",ROUND(K23,0),"%"),CONCATENATE(VLOOKUP(A23,liste_groupe[],5,FALSE)," : ",ROUND(K23,0),"%"))</f>
        <v>#N/A</v>
      </c>
      <c r="O23" s="1"/>
    </row>
    <row r="24" spans="1:15" s="76" customFormat="1" ht="15.75" x14ac:dyDescent="0.25">
      <c r="A24" s="79" t="str">
        <f>'Page de garde'!A32</f>
        <v xml:space="preserve"> </v>
      </c>
      <c r="B24" s="99"/>
      <c r="C24" s="79"/>
      <c r="D24" s="79"/>
      <c r="E24" s="81"/>
      <c r="F24" s="97" t="e">
        <f>HLOOKUP(A24,'pooled normalised values'!$B$74:$V$83,10,FALSE)</f>
        <v>#N/A</v>
      </c>
      <c r="G24" s="128" t="e">
        <f t="shared" si="4"/>
        <v>#N/A</v>
      </c>
      <c r="H24" s="119" t="str">
        <f>IF(VLOOKUP(A24,liste_groupe[],4,FALSE)="%",VLOOKUP(A24,liste_groupe[],3,FALSE)/100,IF(ISBLANK(VLOOKUP(A24,liste_groupe[],4,FALSE)),"Non","Non"))</f>
        <v>Non</v>
      </c>
      <c r="I24" s="128" t="e">
        <f t="shared" si="1"/>
        <v>#N/A</v>
      </c>
      <c r="J24" s="129">
        <v>64</v>
      </c>
      <c r="K24" s="130" t="e">
        <f t="shared" si="2"/>
        <v>#N/A</v>
      </c>
      <c r="L24" s="125"/>
      <c r="M24" s="131" t="e">
        <f t="shared" si="3"/>
        <v>#N/A</v>
      </c>
      <c r="N24" s="92" t="e">
        <f>IF(H24="Non",CONCATENATE(VLOOKUP(A24,liste_groupe[],5,FALSE),"-",VLOOKUP(A24,liste_groupe[],3,FALSE),VLOOKUP(A24,liste_groupe[],4,FALSE)," : ",ROUND(K24,0),"%"),CONCATENATE(VLOOKUP(A24,liste_groupe[],5,FALSE)," : ",ROUND(K24,0),"%"))</f>
        <v>#N/A</v>
      </c>
      <c r="O24" s="1"/>
    </row>
    <row r="25" spans="1:15" s="76" customFormat="1" ht="15.75" x14ac:dyDescent="0.25">
      <c r="A25" s="79" t="str">
        <f>'Page de garde'!A33</f>
        <v xml:space="preserve"> </v>
      </c>
      <c r="B25" s="99"/>
      <c r="C25" s="79"/>
      <c r="D25" s="79"/>
      <c r="E25" s="81"/>
      <c r="F25" s="97" t="e">
        <f>HLOOKUP(A25,'pooled normalised values'!$B$74:$V$83,10,FALSE)</f>
        <v>#N/A</v>
      </c>
      <c r="G25" s="128" t="e">
        <f t="shared" si="4"/>
        <v>#N/A</v>
      </c>
      <c r="H25" s="119" t="str">
        <f>IF(VLOOKUP(A25,liste_groupe[],4,FALSE)="%",VLOOKUP(A25,liste_groupe[],3,FALSE)/100,IF(ISBLANK(VLOOKUP(A25,liste_groupe[],4,FALSE)),"Non","Non"))</f>
        <v>Non</v>
      </c>
      <c r="I25" s="128" t="e">
        <f t="shared" si="1"/>
        <v>#N/A</v>
      </c>
      <c r="J25" s="129">
        <v>64</v>
      </c>
      <c r="K25" s="130" t="e">
        <f t="shared" si="2"/>
        <v>#N/A</v>
      </c>
      <c r="L25" s="125"/>
      <c r="M25" s="131" t="e">
        <f t="shared" si="3"/>
        <v>#N/A</v>
      </c>
      <c r="N25" s="92" t="e">
        <f>IF(H25="Non",CONCATENATE(VLOOKUP(A25,liste_groupe[],5,FALSE),"-",VLOOKUP(A25,liste_groupe[],3,FALSE),VLOOKUP(A25,liste_groupe[],4,FALSE)," : ",ROUND(K25,0),"%"),CONCATENATE(VLOOKUP(A25,liste_groupe[],5,FALSE)," : ",ROUND(K25,0),"%"))</f>
        <v>#N/A</v>
      </c>
      <c r="O25" s="1"/>
    </row>
    <row r="26" spans="1:15" s="76" customFormat="1" ht="15.75" x14ac:dyDescent="0.25">
      <c r="A26" s="79" t="str">
        <f>'Page de garde'!A34</f>
        <v xml:space="preserve"> </v>
      </c>
      <c r="B26" s="98"/>
      <c r="C26" s="85"/>
      <c r="D26" s="85"/>
      <c r="E26" s="81"/>
      <c r="F26" s="97" t="e">
        <f>HLOOKUP(A26,'pooled normalised values'!$B$74:$V$83,10,FALSE)</f>
        <v>#N/A</v>
      </c>
      <c r="G26" s="128" t="e">
        <f t="shared" ref="G26" si="5">IF(F26="NS","NC",ROUND(B26,2-(1+INT(LOG10(ABS(B26))))))</f>
        <v>#N/A</v>
      </c>
      <c r="H26" s="119" t="str">
        <f>IF(VLOOKUP(A26,liste_groupe[],4,FALSE)="%",VLOOKUP(A26,liste_groupe[],3,FALSE)/100,IF(ISBLANK(VLOOKUP(A26,liste_groupe[],4,FALSE)),"Non","Non"))</f>
        <v>Non</v>
      </c>
      <c r="I26" s="128" t="e">
        <f t="shared" si="1"/>
        <v>#N/A</v>
      </c>
      <c r="J26" s="129">
        <v>64</v>
      </c>
      <c r="K26" s="130" t="e">
        <f t="shared" si="2"/>
        <v>#N/A</v>
      </c>
      <c r="L26" s="125"/>
      <c r="M26" s="131" t="e">
        <f t="shared" si="3"/>
        <v>#N/A</v>
      </c>
      <c r="N26" s="92" t="e">
        <f>IF(H26="Non",CONCATENATE(VLOOKUP(A26,liste_groupe[],5,FALSE),"-",VLOOKUP(A26,liste_groupe[],3,FALSE),VLOOKUP(A26,liste_groupe[],4,FALSE)," : ",ROUND(K26,0),"%"),CONCATENATE(VLOOKUP(A26,liste_groupe[],5,FALSE)," : ",ROUND(K26,0),"%"))</f>
        <v>#N/A</v>
      </c>
      <c r="O26"/>
    </row>
    <row r="27" spans="1:15" s="76" customFormat="1" ht="15.75" x14ac:dyDescent="0.25">
      <c r="A27"/>
      <c r="B27"/>
      <c r="C27"/>
      <c r="D27"/>
      <c r="E27"/>
      <c r="F27"/>
      <c r="G27"/>
      <c r="H27"/>
      <c r="I27"/>
      <c r="J27"/>
      <c r="K27"/>
      <c r="L27"/>
      <c r="M27"/>
      <c r="N27"/>
      <c r="O27" s="1"/>
    </row>
    <row r="28" spans="1:15" s="76" customFormat="1" ht="32.25" thickBot="1" x14ac:dyDescent="0.3">
      <c r="A28"/>
      <c r="B28" s="87" t="s">
        <v>25</v>
      </c>
      <c r="C28" s="87" t="s">
        <v>26</v>
      </c>
      <c r="D28" s="87" t="s">
        <v>27</v>
      </c>
      <c r="E28" s="88" t="s">
        <v>64</v>
      </c>
      <c r="F28" s="126" t="s">
        <v>80</v>
      </c>
      <c r="G28" s="94" t="s">
        <v>42</v>
      </c>
      <c r="H28" s="94" t="s">
        <v>65</v>
      </c>
      <c r="I28" s="94" t="s">
        <v>66</v>
      </c>
      <c r="J28" s="95" t="s">
        <v>77</v>
      </c>
      <c r="K28" s="95" t="s">
        <v>67</v>
      </c>
      <c r="L28" s="96" t="s">
        <v>76</v>
      </c>
      <c r="M28" s="96" t="s">
        <v>68</v>
      </c>
      <c r="N28" s="96" t="s">
        <v>69</v>
      </c>
      <c r="O28" s="1"/>
    </row>
    <row r="29" spans="1:15" s="76" customFormat="1" ht="15.75" x14ac:dyDescent="0.25">
      <c r="A29" s="83" t="s">
        <v>29</v>
      </c>
      <c r="B29" s="99"/>
      <c r="C29" s="79"/>
      <c r="D29" s="79"/>
      <c r="E29" s="81"/>
      <c r="F29" s="90"/>
      <c r="G29" s="133"/>
      <c r="H29" s="120"/>
      <c r="I29" s="120"/>
      <c r="J29" s="121"/>
      <c r="K29" s="122"/>
      <c r="L29" s="124"/>
      <c r="M29" s="121"/>
      <c r="N29" s="91"/>
      <c r="O29"/>
    </row>
    <row r="30" spans="1:15" s="76" customFormat="1" ht="15.75" x14ac:dyDescent="0.25">
      <c r="A30" s="83" t="s">
        <v>31</v>
      </c>
      <c r="B30" s="99"/>
      <c r="C30" s="79"/>
      <c r="D30" s="79"/>
      <c r="E30" s="81"/>
      <c r="F30" s="90"/>
      <c r="G30" s="132" t="e">
        <f>IF(F30="NS","NC",ROUND(B30-$B$29,2-(1+INT(LOG10(ABS(B30-$B$29))))))</f>
        <v>#NUM!</v>
      </c>
      <c r="H30" s="120"/>
      <c r="I30" s="133"/>
      <c r="J30" s="134"/>
      <c r="K30" s="135"/>
      <c r="L30" s="134"/>
      <c r="M30" s="134"/>
      <c r="N30" s="136"/>
      <c r="O30"/>
    </row>
    <row r="31" spans="1:15" s="76" customFormat="1" ht="15.75" x14ac:dyDescent="0.25">
      <c r="A31" s="83" t="s">
        <v>30</v>
      </c>
      <c r="B31" s="99"/>
      <c r="C31" s="79"/>
      <c r="D31" s="79"/>
      <c r="E31" s="81"/>
      <c r="F31" s="90"/>
      <c r="G31" s="132" t="e">
        <f t="shared" ref="G31:G51" si="6">IF(F31="NS","NC",ROUND(B31-$B$29,2-(1+INT(LOG10(ABS(B31-$B$29))))))</f>
        <v>#NUM!</v>
      </c>
      <c r="H31" s="120"/>
      <c r="I31" s="133"/>
      <c r="J31" s="134"/>
      <c r="K31" s="135"/>
      <c r="L31" s="134"/>
      <c r="M31" s="134"/>
      <c r="N31" s="136"/>
    </row>
    <row r="32" spans="1:15" s="76" customFormat="1" ht="15.75" x14ac:dyDescent="0.25">
      <c r="A32" s="127" t="str">
        <f>'Page de garde'!A39</f>
        <v>estradiol-34ng/L + Testosterone</v>
      </c>
      <c r="B32" s="99"/>
      <c r="C32" s="79"/>
      <c r="D32" s="79"/>
      <c r="E32" s="81"/>
      <c r="F32" s="93" t="str">
        <f>HLOOKUP(A32,'pooled normalised values'!$B$74:$V$83,10,FALSE)</f>
        <v>NS</v>
      </c>
      <c r="G32" s="132" t="str">
        <f t="shared" si="6"/>
        <v>NC</v>
      </c>
      <c r="H32" s="123" t="str">
        <f>IF(VLOOKUP(A32,liste_groupe[],4,FALSE)="%",VLOOKUP(A32,liste_groupe[],3,FALSE)/100,IF(ISBLANK(VLOOKUP(A32,liste_groupe[],4,FALSE)),"Non","Non"))</f>
        <v>Non</v>
      </c>
      <c r="I32" s="132" t="str">
        <f>IF(F32="NS","NC",IF(H32="Non",G32,G32*(1/H32)))</f>
        <v>NC</v>
      </c>
      <c r="J32" s="137" t="e">
        <f>IF(G32&lt;0,$G$31,$G$30)</f>
        <v>#NUM!</v>
      </c>
      <c r="K32" s="138">
        <f>IF(F32="NS",0,IF(I32&lt;0,-ROUND(I32/J32*100,0),ROUND(I32/J32*100,0)))</f>
        <v>0</v>
      </c>
      <c r="L32" s="139">
        <v>1</v>
      </c>
      <c r="M32" s="131">
        <f>IF(I32&lt;0,IF(K32&lt;-100,-125,K32),IF(K32&gt;100,125,K32))</f>
        <v>0</v>
      </c>
      <c r="N32" s="140" t="str">
        <f>IF(H32="Non",CONCATENATE(VLOOKUP(A32,liste_groupe[],5,FALSE),"-",VLOOKUP(A32,liste_groupe[],3,FALSE),VLOOKUP(A32,liste_groupe[],4,FALSE)," : ",ROUND(K32,0),"%"),CONCATENATE(VLOOKUP(A32,liste_groupe[],5,FALSE)," : ",ROUND(K32,0),"%"))</f>
        <v>estradiol-34ng/L : 0%</v>
      </c>
    </row>
    <row r="33" spans="1:14" s="76" customFormat="1" ht="15.75" x14ac:dyDescent="0.25">
      <c r="A33" s="127" t="str">
        <f>'Page de garde'!A40</f>
        <v>estradiol-68ng/L + Testosterone</v>
      </c>
      <c r="B33" s="98"/>
      <c r="C33" s="86"/>
      <c r="D33" s="86"/>
      <c r="E33" s="81"/>
      <c r="F33" s="93" t="str">
        <f>HLOOKUP(A33,'pooled normalised values'!$B$74:$V$83,10,FALSE)</f>
        <v>***</v>
      </c>
      <c r="G33" s="132" t="e">
        <f>IF(F33="NS","NC",ROUND(B33-$B$29,2-(1+INT(LOG10(ABS(B33-$B$29))))))</f>
        <v>#NUM!</v>
      </c>
      <c r="H33" s="123" t="str">
        <f>IF(VLOOKUP(A33,liste_groupe[],4,FALSE)="%",VLOOKUP(A33,liste_groupe[],3,FALSE)/100,IF(ISBLANK(VLOOKUP(A33,liste_groupe[],4,FALSE)),"Non","Non"))</f>
        <v>Non</v>
      </c>
      <c r="I33" s="132" t="e">
        <f t="shared" ref="I33:I51" si="7">IF(F33="NS","NC",IF(H33="Non",G33,G33*(1/H33)))</f>
        <v>#NUM!</v>
      </c>
      <c r="J33" s="137" t="e">
        <f t="shared" ref="J33:J51" si="8">IF(G33&lt;0,$G$31,$G$30)</f>
        <v>#NUM!</v>
      </c>
      <c r="K33" s="138" t="e">
        <f t="shared" ref="K33:K51" si="9">IF(F33="NS",0,IF(I33&lt;0,-ROUND(I33/J33*100,0),ROUND(I33/J33*100,0)))</f>
        <v>#NUM!</v>
      </c>
      <c r="L33" s="139"/>
      <c r="M33" s="131" t="e">
        <f t="shared" ref="M33:M51" si="10">IF(I33&lt;0,IF(K33&lt;-100,-125,K33),IF(K33&gt;100,125,K33))</f>
        <v>#NUM!</v>
      </c>
      <c r="N33" s="140" t="e">
        <f>IF(H33="Non",CONCATENATE(VLOOKUP(A33,liste_groupe[],5,FALSE),"-",VLOOKUP(A33,liste_groupe[],3,FALSE),VLOOKUP(A33,liste_groupe[],4,FALSE)," : ",ROUND(K33,0),"%"),CONCATENATE(VLOOKUP(A33,liste_groupe[],5,FALSE)," : ",ROUND(K33,0),"%"))</f>
        <v>#NUM!</v>
      </c>
    </row>
    <row r="34" spans="1:14" s="76" customFormat="1" ht="15.75" x14ac:dyDescent="0.25">
      <c r="A34" s="127" t="str">
        <f>'Page de garde'!A41</f>
        <v>estradiol-135ng/L + Testosterone</v>
      </c>
      <c r="B34" s="99"/>
      <c r="C34" s="79"/>
      <c r="D34" s="79"/>
      <c r="E34" s="81"/>
      <c r="F34" s="93" t="str">
        <f>HLOOKUP(A34,'pooled normalised values'!$B$74:$V$83,10,FALSE)</f>
        <v>***</v>
      </c>
      <c r="G34" s="132" t="e">
        <f t="shared" si="6"/>
        <v>#NUM!</v>
      </c>
      <c r="H34" s="123" t="str">
        <f>IF(VLOOKUP(A34,liste_groupe[],4,FALSE)="%",VLOOKUP(A34,liste_groupe[],3,FALSE)/100,IF(ISBLANK(VLOOKUP(A34,liste_groupe[],4,FALSE)),"Non","Non"))</f>
        <v>Non</v>
      </c>
      <c r="I34" s="132" t="e">
        <f t="shared" si="7"/>
        <v>#NUM!</v>
      </c>
      <c r="J34" s="137" t="e">
        <f t="shared" si="8"/>
        <v>#NUM!</v>
      </c>
      <c r="K34" s="138" t="e">
        <f t="shared" si="9"/>
        <v>#NUM!</v>
      </c>
      <c r="L34" s="139"/>
      <c r="M34" s="131" t="e">
        <f t="shared" si="10"/>
        <v>#NUM!</v>
      </c>
      <c r="N34" s="140" t="e">
        <f>IF(H34="Non",CONCATENATE(VLOOKUP(A34,liste_groupe[],5,FALSE),"-",VLOOKUP(A34,liste_groupe[],3,FALSE),VLOOKUP(A34,liste_groupe[],4,FALSE)," : ",ROUND(K34,0),"%"),CONCATENATE(VLOOKUP(A34,liste_groupe[],5,FALSE)," : ",ROUND(K34,0),"%"))</f>
        <v>#NUM!</v>
      </c>
    </row>
    <row r="35" spans="1:14" s="76" customFormat="1" ht="15.75" x14ac:dyDescent="0.25">
      <c r="A35" s="127" t="str">
        <f>'Page de garde'!A42</f>
        <v>estradiol-270ng/L + Testosterone</v>
      </c>
      <c r="B35" s="98"/>
      <c r="C35" s="86"/>
      <c r="D35" s="86"/>
      <c r="E35" s="81"/>
      <c r="F35" s="93" t="str">
        <f>HLOOKUP(A35,'pooled normalised values'!$B$74:$V$83,10,FALSE)</f>
        <v>***</v>
      </c>
      <c r="G35" s="132" t="e">
        <f t="shared" si="6"/>
        <v>#NUM!</v>
      </c>
      <c r="H35" s="123" t="str">
        <f>IF(VLOOKUP(A35,liste_groupe[],4,FALSE)="%",VLOOKUP(A35,liste_groupe[],3,FALSE)/100,IF(ISBLANK(VLOOKUP(A35,liste_groupe[],4,FALSE)),"Non","Non"))</f>
        <v>Non</v>
      </c>
      <c r="I35" s="132" t="e">
        <f t="shared" si="7"/>
        <v>#NUM!</v>
      </c>
      <c r="J35" s="137" t="e">
        <f t="shared" si="8"/>
        <v>#NUM!</v>
      </c>
      <c r="K35" s="138" t="e">
        <f t="shared" si="9"/>
        <v>#NUM!</v>
      </c>
      <c r="L35" s="139"/>
      <c r="M35" s="131" t="e">
        <f t="shared" si="10"/>
        <v>#NUM!</v>
      </c>
      <c r="N35" s="140" t="e">
        <f>IF(H35="Non",CONCATENATE(VLOOKUP(A35,liste_groupe[],5,FALSE),"-",VLOOKUP(A35,liste_groupe[],3,FALSE),VLOOKUP(A35,liste_groupe[],4,FALSE)," : ",ROUND(K35,0),"%"),CONCATENATE(VLOOKUP(A35,liste_groupe[],5,FALSE)," : ",ROUND(K35,0),"%"))</f>
        <v>#NUM!</v>
      </c>
    </row>
    <row r="36" spans="1:14" s="76" customFormat="1" ht="15.75" x14ac:dyDescent="0.25">
      <c r="A36" s="127" t="str">
        <f>'Page de garde'!A43</f>
        <v>estradiol-540ng/L + Testosterone</v>
      </c>
      <c r="B36" s="98"/>
      <c r="C36" s="86"/>
      <c r="D36" s="86"/>
      <c r="E36" s="81"/>
      <c r="F36" s="93" t="str">
        <f>HLOOKUP(A36,'pooled normalised values'!$B$74:$V$83,10,FALSE)</f>
        <v>***</v>
      </c>
      <c r="G36" s="132" t="e">
        <f t="shared" si="6"/>
        <v>#NUM!</v>
      </c>
      <c r="H36" s="123" t="str">
        <f>IF(VLOOKUP(A36,liste_groupe[],4,FALSE)="%",VLOOKUP(A36,liste_groupe[],3,FALSE)/100,IF(ISBLANK(VLOOKUP(A36,liste_groupe[],4,FALSE)),"Non","Non"))</f>
        <v>Non</v>
      </c>
      <c r="I36" s="132" t="e">
        <f t="shared" si="7"/>
        <v>#NUM!</v>
      </c>
      <c r="J36" s="137" t="e">
        <f t="shared" si="8"/>
        <v>#NUM!</v>
      </c>
      <c r="K36" s="138" t="e">
        <f t="shared" si="9"/>
        <v>#NUM!</v>
      </c>
      <c r="L36" s="139"/>
      <c r="M36" s="131" t="e">
        <f t="shared" si="10"/>
        <v>#NUM!</v>
      </c>
      <c r="N36" s="140" t="e">
        <f>IF(H36="Non",CONCATENATE(VLOOKUP(A36,liste_groupe[],5,FALSE),"-",VLOOKUP(A36,liste_groupe[],3,FALSE),VLOOKUP(A36,liste_groupe[],4,FALSE)," : ",ROUND(K36,0),"%"),CONCATENATE(VLOOKUP(A36,liste_groupe[],5,FALSE)," : ",ROUND(K36,0),"%"))</f>
        <v>#NUM!</v>
      </c>
    </row>
    <row r="37" spans="1:14" s="76" customFormat="1" ht="15.75" x14ac:dyDescent="0.25">
      <c r="A37" s="127" t="str">
        <f>'Page de garde'!A44</f>
        <v>0-00 + Testostérone</v>
      </c>
      <c r="B37" s="98"/>
      <c r="C37" s="86"/>
      <c r="D37" s="86"/>
      <c r="E37" s="81"/>
      <c r="F37" s="93" t="e">
        <f>HLOOKUP(A37,'pooled normalised values'!$B$74:$V$83,10,FALSE)</f>
        <v>#N/A</v>
      </c>
      <c r="G37" s="132" t="e">
        <f t="shared" si="6"/>
        <v>#N/A</v>
      </c>
      <c r="H37" s="123" t="str">
        <f>IF(VLOOKUP(A37,liste_groupe[],4,FALSE)="%",VLOOKUP(A37,liste_groupe[],3,FALSE)/100,IF(ISBLANK(VLOOKUP(A37,liste_groupe[],4,FALSE)),"Non","Non"))</f>
        <v>Non</v>
      </c>
      <c r="I37" s="132" t="e">
        <f t="shared" si="7"/>
        <v>#N/A</v>
      </c>
      <c r="J37" s="137" t="e">
        <f t="shared" si="8"/>
        <v>#N/A</v>
      </c>
      <c r="K37" s="138" t="e">
        <f t="shared" si="9"/>
        <v>#N/A</v>
      </c>
      <c r="L37" s="139"/>
      <c r="M37" s="131" t="e">
        <f t="shared" si="10"/>
        <v>#N/A</v>
      </c>
      <c r="N37" s="140" t="e">
        <f>IF(H37="Non",CONCATENATE(VLOOKUP(A37,liste_groupe[],5,FALSE),"-",VLOOKUP(A37,liste_groupe[],3,FALSE),VLOOKUP(A37,liste_groupe[],4,FALSE)," : ",ROUND(K37,0),"%"),CONCATENATE(VLOOKUP(A37,liste_groupe[],5,FALSE)," : ",ROUND(K37,0),"%"))</f>
        <v>#N/A</v>
      </c>
    </row>
    <row r="38" spans="1:14" s="76" customFormat="1" ht="15.75" x14ac:dyDescent="0.25">
      <c r="A38" s="127" t="str">
        <f>'Page de garde'!A45</f>
        <v>0-00 + Testostérone</v>
      </c>
      <c r="B38" s="98"/>
      <c r="C38" s="86"/>
      <c r="D38" s="86"/>
      <c r="E38" s="81"/>
      <c r="F38" s="93" t="e">
        <f>HLOOKUP(A38,'pooled normalised values'!$B$74:$V$83,10,FALSE)</f>
        <v>#N/A</v>
      </c>
      <c r="G38" s="132" t="e">
        <f t="shared" si="6"/>
        <v>#N/A</v>
      </c>
      <c r="H38" s="123" t="str">
        <f>IF(VLOOKUP(A38,liste_groupe[],4,FALSE)="%",VLOOKUP(A38,liste_groupe[],3,FALSE)/100,IF(ISBLANK(VLOOKUP(A38,liste_groupe[],4,FALSE)),"Non","Non"))</f>
        <v>Non</v>
      </c>
      <c r="I38" s="132" t="e">
        <f t="shared" si="7"/>
        <v>#N/A</v>
      </c>
      <c r="J38" s="137" t="e">
        <f t="shared" si="8"/>
        <v>#N/A</v>
      </c>
      <c r="K38" s="138" t="e">
        <f t="shared" si="9"/>
        <v>#N/A</v>
      </c>
      <c r="L38" s="139"/>
      <c r="M38" s="131" t="e">
        <f t="shared" si="10"/>
        <v>#N/A</v>
      </c>
      <c r="N38" s="140" t="e">
        <f>IF(H38="Non",CONCATENATE(VLOOKUP(A38,liste_groupe[],5,FALSE),"-",VLOOKUP(A38,liste_groupe[],3,FALSE),VLOOKUP(A38,liste_groupe[],4,FALSE)," : ",ROUND(K38,0),"%"),CONCATENATE(VLOOKUP(A38,liste_groupe[],5,FALSE)," : ",ROUND(K38,0),"%"))</f>
        <v>#N/A</v>
      </c>
    </row>
    <row r="39" spans="1:14" s="76" customFormat="1" ht="15.75" x14ac:dyDescent="0.25">
      <c r="A39" s="127" t="str">
        <f>'Page de garde'!A46</f>
        <v>0-00 + Testostérone</v>
      </c>
      <c r="B39" s="98"/>
      <c r="C39" s="86"/>
      <c r="D39" s="86"/>
      <c r="E39" s="81"/>
      <c r="F39" s="93" t="e">
        <f>HLOOKUP(A39,'pooled normalised values'!$B$74:$V$83,10,FALSE)</f>
        <v>#N/A</v>
      </c>
      <c r="G39" s="132" t="e">
        <f t="shared" ref="G39:G50" si="11">IF(F39="NS","NC",ROUND(B39-$B$29,2-(1+INT(LOG10(ABS(B39-$B$29))))))</f>
        <v>#N/A</v>
      </c>
      <c r="H39" s="123" t="str">
        <f>IF(VLOOKUP(A39,liste_groupe[],4,FALSE)="%",VLOOKUP(A39,liste_groupe[],3,FALSE)/100,IF(ISBLANK(VLOOKUP(A39,liste_groupe[],4,FALSE)),"Non","Non"))</f>
        <v>Non</v>
      </c>
      <c r="I39" s="132" t="e">
        <f t="shared" si="7"/>
        <v>#N/A</v>
      </c>
      <c r="J39" s="137" t="e">
        <f t="shared" ref="J39:J50" si="12">IF(G39&lt;0,$G$31,$G$30)</f>
        <v>#N/A</v>
      </c>
      <c r="K39" s="138" t="e">
        <f t="shared" si="9"/>
        <v>#N/A</v>
      </c>
      <c r="L39" s="139"/>
      <c r="M39" s="131" t="e">
        <f t="shared" si="10"/>
        <v>#N/A</v>
      </c>
      <c r="N39" s="140" t="e">
        <f>IF(H39="Non",CONCATENATE(VLOOKUP(A39,liste_groupe[],5,FALSE),"-",VLOOKUP(A39,liste_groupe[],3,FALSE),VLOOKUP(A39,liste_groupe[],4,FALSE)," : ",ROUND(K39,0),"%"),CONCATENATE(VLOOKUP(A39,liste_groupe[],5,FALSE)," : ",ROUND(K39,0),"%"))</f>
        <v>#N/A</v>
      </c>
    </row>
    <row r="40" spans="1:14" s="76" customFormat="1" ht="15.75" x14ac:dyDescent="0.25">
      <c r="A40" s="127" t="str">
        <f>'Page de garde'!A47</f>
        <v>0-00 + Testostérone</v>
      </c>
      <c r="B40" s="98"/>
      <c r="C40" s="86"/>
      <c r="D40" s="86"/>
      <c r="E40" s="81"/>
      <c r="F40" s="93" t="e">
        <f>HLOOKUP(A40,'pooled normalised values'!$B$74:$V$83,10,FALSE)</f>
        <v>#N/A</v>
      </c>
      <c r="G40" s="132" t="e">
        <f t="shared" si="11"/>
        <v>#N/A</v>
      </c>
      <c r="H40" s="123" t="str">
        <f>IF(VLOOKUP(A40,liste_groupe[],4,FALSE)="%",VLOOKUP(A40,liste_groupe[],3,FALSE)/100,IF(ISBLANK(VLOOKUP(A40,liste_groupe[],4,FALSE)),"Non","Non"))</f>
        <v>Non</v>
      </c>
      <c r="I40" s="132" t="e">
        <f t="shared" si="7"/>
        <v>#N/A</v>
      </c>
      <c r="J40" s="137" t="e">
        <f t="shared" si="12"/>
        <v>#N/A</v>
      </c>
      <c r="K40" s="138" t="e">
        <f t="shared" si="9"/>
        <v>#N/A</v>
      </c>
      <c r="L40" s="139"/>
      <c r="M40" s="131" t="e">
        <f t="shared" si="10"/>
        <v>#N/A</v>
      </c>
      <c r="N40" s="140" t="e">
        <f>IF(H40="Non",CONCATENATE(VLOOKUP(A40,liste_groupe[],5,FALSE),"-",VLOOKUP(A40,liste_groupe[],3,FALSE),VLOOKUP(A40,liste_groupe[],4,FALSE)," : ",ROUND(K40,0),"%"),CONCATENATE(VLOOKUP(A40,liste_groupe[],5,FALSE)," : ",ROUND(K40,0),"%"))</f>
        <v>#N/A</v>
      </c>
    </row>
    <row r="41" spans="1:14" s="76" customFormat="1" ht="15.75" x14ac:dyDescent="0.25">
      <c r="A41" s="127" t="str">
        <f>'Page de garde'!A48</f>
        <v>0-00 + Testostérone</v>
      </c>
      <c r="B41" s="98"/>
      <c r="C41" s="86"/>
      <c r="D41" s="86"/>
      <c r="E41" s="81"/>
      <c r="F41" s="93" t="e">
        <f>HLOOKUP(A41,'pooled normalised values'!$B$74:$V$83,10,FALSE)</f>
        <v>#N/A</v>
      </c>
      <c r="G41" s="132" t="e">
        <f t="shared" si="11"/>
        <v>#N/A</v>
      </c>
      <c r="H41" s="123" t="str">
        <f>IF(VLOOKUP(A41,liste_groupe[],4,FALSE)="%",VLOOKUP(A41,liste_groupe[],3,FALSE)/100,IF(ISBLANK(VLOOKUP(A41,liste_groupe[],4,FALSE)),"Non","Non"))</f>
        <v>Non</v>
      </c>
      <c r="I41" s="132" t="e">
        <f t="shared" si="7"/>
        <v>#N/A</v>
      </c>
      <c r="J41" s="137" t="e">
        <f t="shared" si="12"/>
        <v>#N/A</v>
      </c>
      <c r="K41" s="138" t="e">
        <f t="shared" si="9"/>
        <v>#N/A</v>
      </c>
      <c r="L41" s="139"/>
      <c r="M41" s="131" t="e">
        <f t="shared" si="10"/>
        <v>#N/A</v>
      </c>
      <c r="N41" s="140" t="e">
        <f>IF(H41="Non",CONCATENATE(VLOOKUP(A41,liste_groupe[],5,FALSE),"-",VLOOKUP(A41,liste_groupe[],3,FALSE),VLOOKUP(A41,liste_groupe[],4,FALSE)," : ",ROUND(K41,0),"%"),CONCATENATE(VLOOKUP(A41,liste_groupe[],5,FALSE)," : ",ROUND(K41,0),"%"))</f>
        <v>#N/A</v>
      </c>
    </row>
    <row r="42" spans="1:14" s="76" customFormat="1" ht="15.75" x14ac:dyDescent="0.25">
      <c r="A42" s="127" t="str">
        <f>'Page de garde'!A49</f>
        <v>0-00 + Testostérone</v>
      </c>
      <c r="B42" s="98"/>
      <c r="C42" s="86"/>
      <c r="D42" s="86"/>
      <c r="E42" s="81"/>
      <c r="F42" s="93" t="e">
        <f>HLOOKUP(A42,'pooled normalised values'!$B$74:$V$83,10,FALSE)</f>
        <v>#N/A</v>
      </c>
      <c r="G42" s="132" t="e">
        <f t="shared" si="11"/>
        <v>#N/A</v>
      </c>
      <c r="H42" s="123" t="str">
        <f>IF(VLOOKUP(A42,liste_groupe[],4,FALSE)="%",VLOOKUP(A42,liste_groupe[],3,FALSE)/100,IF(ISBLANK(VLOOKUP(A42,liste_groupe[],4,FALSE)),"Non","Non"))</f>
        <v>Non</v>
      </c>
      <c r="I42" s="132" t="e">
        <f t="shared" si="7"/>
        <v>#N/A</v>
      </c>
      <c r="J42" s="137" t="e">
        <f t="shared" si="12"/>
        <v>#N/A</v>
      </c>
      <c r="K42" s="138" t="e">
        <f t="shared" si="9"/>
        <v>#N/A</v>
      </c>
      <c r="L42" s="139"/>
      <c r="M42" s="131" t="e">
        <f t="shared" si="10"/>
        <v>#N/A</v>
      </c>
      <c r="N42" s="140" t="e">
        <f>IF(H42="Non",CONCATENATE(VLOOKUP(A42,liste_groupe[],5,FALSE),"-",VLOOKUP(A42,liste_groupe[],3,FALSE),VLOOKUP(A42,liste_groupe[],4,FALSE)," : ",ROUND(K42,0),"%"),CONCATENATE(VLOOKUP(A42,liste_groupe[],5,FALSE)," : ",ROUND(K42,0),"%"))</f>
        <v>#N/A</v>
      </c>
    </row>
    <row r="43" spans="1:14" s="76" customFormat="1" ht="15.75" x14ac:dyDescent="0.25">
      <c r="A43" s="127" t="str">
        <f>'Page de garde'!A50</f>
        <v>0-00 + Testostérone</v>
      </c>
      <c r="B43" s="98"/>
      <c r="C43" s="86"/>
      <c r="D43" s="86"/>
      <c r="E43" s="81"/>
      <c r="F43" s="93" t="e">
        <f>HLOOKUP(A43,'pooled normalised values'!$B$74:$V$83,10,FALSE)</f>
        <v>#N/A</v>
      </c>
      <c r="G43" s="132" t="e">
        <f t="shared" si="11"/>
        <v>#N/A</v>
      </c>
      <c r="H43" s="123" t="str">
        <f>IF(VLOOKUP(A43,liste_groupe[],4,FALSE)="%",VLOOKUP(A43,liste_groupe[],3,FALSE)/100,IF(ISBLANK(VLOOKUP(A43,liste_groupe[],4,FALSE)),"Non","Non"))</f>
        <v>Non</v>
      </c>
      <c r="I43" s="132" t="e">
        <f t="shared" si="7"/>
        <v>#N/A</v>
      </c>
      <c r="J43" s="137" t="e">
        <f t="shared" si="12"/>
        <v>#N/A</v>
      </c>
      <c r="K43" s="138" t="e">
        <f t="shared" si="9"/>
        <v>#N/A</v>
      </c>
      <c r="L43" s="139"/>
      <c r="M43" s="131" t="e">
        <f t="shared" si="10"/>
        <v>#N/A</v>
      </c>
      <c r="N43" s="140" t="e">
        <f>IF(H43="Non",CONCATENATE(VLOOKUP(A43,liste_groupe[],5,FALSE),"-",VLOOKUP(A43,liste_groupe[],3,FALSE),VLOOKUP(A43,liste_groupe[],4,FALSE)," : ",ROUND(K43,0),"%"),CONCATENATE(VLOOKUP(A43,liste_groupe[],5,FALSE)," : ",ROUND(K43,0),"%"))</f>
        <v>#N/A</v>
      </c>
    </row>
    <row r="44" spans="1:14" s="76" customFormat="1" ht="15.75" x14ac:dyDescent="0.25">
      <c r="A44" s="127" t="str">
        <f>'Page de garde'!A51</f>
        <v>0-00 + Testostérone</v>
      </c>
      <c r="B44" s="98"/>
      <c r="C44" s="86"/>
      <c r="D44" s="86"/>
      <c r="E44" s="81"/>
      <c r="F44" s="93" t="e">
        <f>HLOOKUP(A44,'pooled normalised values'!$B$74:$V$83,10,FALSE)</f>
        <v>#N/A</v>
      </c>
      <c r="G44" s="132" t="e">
        <f t="shared" si="11"/>
        <v>#N/A</v>
      </c>
      <c r="H44" s="123" t="str">
        <f>IF(VLOOKUP(A44,liste_groupe[],4,FALSE)="%",VLOOKUP(A44,liste_groupe[],3,FALSE)/100,IF(ISBLANK(VLOOKUP(A44,liste_groupe[],4,FALSE)),"Non","Non"))</f>
        <v>Non</v>
      </c>
      <c r="I44" s="132" t="e">
        <f t="shared" si="7"/>
        <v>#N/A</v>
      </c>
      <c r="J44" s="137" t="e">
        <f t="shared" si="12"/>
        <v>#N/A</v>
      </c>
      <c r="K44" s="138" t="e">
        <f t="shared" si="9"/>
        <v>#N/A</v>
      </c>
      <c r="L44" s="139"/>
      <c r="M44" s="131" t="e">
        <f t="shared" si="10"/>
        <v>#N/A</v>
      </c>
      <c r="N44" s="140" t="e">
        <f>IF(H44="Non",CONCATENATE(VLOOKUP(A44,liste_groupe[],5,FALSE),"-",VLOOKUP(A44,liste_groupe[],3,FALSE),VLOOKUP(A44,liste_groupe[],4,FALSE)," : ",ROUND(K44,0),"%"),CONCATENATE(VLOOKUP(A44,liste_groupe[],5,FALSE)," : ",ROUND(K44,0),"%"))</f>
        <v>#N/A</v>
      </c>
    </row>
    <row r="45" spans="1:14" s="76" customFormat="1" ht="15.75" x14ac:dyDescent="0.25">
      <c r="A45" s="127" t="str">
        <f>'Page de garde'!A52</f>
        <v>0-00 + Testostérone</v>
      </c>
      <c r="B45" s="98"/>
      <c r="C45" s="86"/>
      <c r="D45" s="86"/>
      <c r="E45" s="81"/>
      <c r="F45" s="93" t="e">
        <f>HLOOKUP(A45,'pooled normalised values'!$B$74:$V$83,10,FALSE)</f>
        <v>#N/A</v>
      </c>
      <c r="G45" s="132" t="e">
        <f t="shared" si="11"/>
        <v>#N/A</v>
      </c>
      <c r="H45" s="123" t="str">
        <f>IF(VLOOKUP(A45,liste_groupe[],4,FALSE)="%",VLOOKUP(A45,liste_groupe[],3,FALSE)/100,IF(ISBLANK(VLOOKUP(A45,liste_groupe[],4,FALSE)),"Non","Non"))</f>
        <v>Non</v>
      </c>
      <c r="I45" s="132" t="e">
        <f t="shared" si="7"/>
        <v>#N/A</v>
      </c>
      <c r="J45" s="137" t="e">
        <f t="shared" si="12"/>
        <v>#N/A</v>
      </c>
      <c r="K45" s="138" t="e">
        <f t="shared" si="9"/>
        <v>#N/A</v>
      </c>
      <c r="L45" s="139"/>
      <c r="M45" s="131" t="e">
        <f t="shared" si="10"/>
        <v>#N/A</v>
      </c>
      <c r="N45" s="140" t="e">
        <f>IF(H45="Non",CONCATENATE(VLOOKUP(A45,liste_groupe[],5,FALSE),"-",VLOOKUP(A45,liste_groupe[],3,FALSE),VLOOKUP(A45,liste_groupe[],4,FALSE)," : ",ROUND(K45,0),"%"),CONCATENATE(VLOOKUP(A45,liste_groupe[],5,FALSE)," : ",ROUND(K45,0),"%"))</f>
        <v>#N/A</v>
      </c>
    </row>
    <row r="46" spans="1:14" s="76" customFormat="1" ht="15.75" x14ac:dyDescent="0.25">
      <c r="A46" s="127" t="str">
        <f>'Page de garde'!A53</f>
        <v>0-00 + Testostérone</v>
      </c>
      <c r="B46" s="98"/>
      <c r="C46" s="86"/>
      <c r="D46" s="86"/>
      <c r="E46" s="81"/>
      <c r="F46" s="93" t="e">
        <f>HLOOKUP(A46,'pooled normalised values'!$B$74:$V$83,10,FALSE)</f>
        <v>#N/A</v>
      </c>
      <c r="G46" s="132" t="e">
        <f t="shared" si="11"/>
        <v>#N/A</v>
      </c>
      <c r="H46" s="123" t="str">
        <f>IF(VLOOKUP(A46,liste_groupe[],4,FALSE)="%",VLOOKUP(A46,liste_groupe[],3,FALSE)/100,IF(ISBLANK(VLOOKUP(A46,liste_groupe[],4,FALSE)),"Non","Non"))</f>
        <v>Non</v>
      </c>
      <c r="I46" s="132" t="e">
        <f t="shared" si="7"/>
        <v>#N/A</v>
      </c>
      <c r="J46" s="137" t="e">
        <f t="shared" si="12"/>
        <v>#N/A</v>
      </c>
      <c r="K46" s="138" t="e">
        <f t="shared" si="9"/>
        <v>#N/A</v>
      </c>
      <c r="L46" s="139"/>
      <c r="M46" s="131" t="e">
        <f t="shared" si="10"/>
        <v>#N/A</v>
      </c>
      <c r="N46" s="140" t="e">
        <f>IF(H46="Non",CONCATENATE(VLOOKUP(A46,liste_groupe[],5,FALSE),"-",VLOOKUP(A46,liste_groupe[],3,FALSE),VLOOKUP(A46,liste_groupe[],4,FALSE)," : ",ROUND(K46,0),"%"),CONCATENATE(VLOOKUP(A46,liste_groupe[],5,FALSE)," : ",ROUND(K46,0),"%"))</f>
        <v>#N/A</v>
      </c>
    </row>
    <row r="47" spans="1:14" s="76" customFormat="1" ht="15.75" x14ac:dyDescent="0.25">
      <c r="A47" s="127" t="str">
        <f>'Page de garde'!A54</f>
        <v>0-00 + Testostérone</v>
      </c>
      <c r="B47" s="98"/>
      <c r="C47" s="86"/>
      <c r="D47" s="86"/>
      <c r="E47" s="81"/>
      <c r="F47" s="93" t="e">
        <f>HLOOKUP(A47,'pooled normalised values'!$B$74:$V$83,10,FALSE)</f>
        <v>#N/A</v>
      </c>
      <c r="G47" s="132" t="e">
        <f t="shared" si="11"/>
        <v>#N/A</v>
      </c>
      <c r="H47" s="123" t="str">
        <f>IF(VLOOKUP(A47,liste_groupe[],4,FALSE)="%",VLOOKUP(A47,liste_groupe[],3,FALSE)/100,IF(ISBLANK(VLOOKUP(A47,liste_groupe[],4,FALSE)),"Non","Non"))</f>
        <v>Non</v>
      </c>
      <c r="I47" s="132" t="e">
        <f t="shared" si="7"/>
        <v>#N/A</v>
      </c>
      <c r="J47" s="137" t="e">
        <f t="shared" si="12"/>
        <v>#N/A</v>
      </c>
      <c r="K47" s="138" t="e">
        <f t="shared" si="9"/>
        <v>#N/A</v>
      </c>
      <c r="L47" s="139"/>
      <c r="M47" s="131" t="e">
        <f t="shared" si="10"/>
        <v>#N/A</v>
      </c>
      <c r="N47" s="140" t="e">
        <f>IF(H47="Non",CONCATENATE(VLOOKUP(A47,liste_groupe[],5,FALSE),"-",VLOOKUP(A47,liste_groupe[],3,FALSE),VLOOKUP(A47,liste_groupe[],4,FALSE)," : ",ROUND(K47,0),"%"),CONCATENATE(VLOOKUP(A47,liste_groupe[],5,FALSE)," : ",ROUND(K47,0),"%"))</f>
        <v>#N/A</v>
      </c>
    </row>
    <row r="48" spans="1:14" s="76" customFormat="1" ht="15.75" x14ac:dyDescent="0.25">
      <c r="A48" s="127" t="str">
        <f>'Page de garde'!A55</f>
        <v>0-00 + Testostérone</v>
      </c>
      <c r="B48" s="98"/>
      <c r="C48" s="86"/>
      <c r="D48" s="86"/>
      <c r="E48" s="81"/>
      <c r="F48" s="93" t="e">
        <f>HLOOKUP(A48,'pooled normalised values'!$B$74:$V$83,10,FALSE)</f>
        <v>#N/A</v>
      </c>
      <c r="G48" s="132" t="e">
        <f t="shared" si="11"/>
        <v>#N/A</v>
      </c>
      <c r="H48" s="123" t="str">
        <f>IF(VLOOKUP(A48,liste_groupe[],4,FALSE)="%",VLOOKUP(A48,liste_groupe[],3,FALSE)/100,IF(ISBLANK(VLOOKUP(A48,liste_groupe[],4,FALSE)),"Non","Non"))</f>
        <v>Non</v>
      </c>
      <c r="I48" s="132" t="e">
        <f t="shared" si="7"/>
        <v>#N/A</v>
      </c>
      <c r="J48" s="137" t="e">
        <f t="shared" si="12"/>
        <v>#N/A</v>
      </c>
      <c r="K48" s="138" t="e">
        <f t="shared" si="9"/>
        <v>#N/A</v>
      </c>
      <c r="L48" s="139"/>
      <c r="M48" s="131" t="e">
        <f t="shared" si="10"/>
        <v>#N/A</v>
      </c>
      <c r="N48" s="140" t="e">
        <f>IF(H48="Non",CONCATENATE(VLOOKUP(A48,liste_groupe[],5,FALSE),"-",VLOOKUP(A48,liste_groupe[],3,FALSE),VLOOKUP(A48,liste_groupe[],4,FALSE)," : ",ROUND(K48,0),"%"),CONCATENATE(VLOOKUP(A48,liste_groupe[],5,FALSE)," : ",ROUND(K48,0),"%"))</f>
        <v>#N/A</v>
      </c>
    </row>
    <row r="49" spans="1:15" s="76" customFormat="1" ht="15.75" x14ac:dyDescent="0.25">
      <c r="A49" s="127" t="str">
        <f>'Page de garde'!A56</f>
        <v>0-00 + Testostérone</v>
      </c>
      <c r="B49" s="98"/>
      <c r="C49" s="86"/>
      <c r="D49" s="86"/>
      <c r="E49" s="81"/>
      <c r="F49" s="93" t="e">
        <f>HLOOKUP(A49,'pooled normalised values'!$B$74:$V$83,10,FALSE)</f>
        <v>#N/A</v>
      </c>
      <c r="G49" s="132" t="e">
        <f t="shared" si="11"/>
        <v>#N/A</v>
      </c>
      <c r="H49" s="123" t="str">
        <f>IF(VLOOKUP(A49,liste_groupe[],4,FALSE)="%",VLOOKUP(A49,liste_groupe[],3,FALSE)/100,IF(ISBLANK(VLOOKUP(A49,liste_groupe[],4,FALSE)),"Non","Non"))</f>
        <v>Non</v>
      </c>
      <c r="I49" s="132" t="e">
        <f t="shared" si="7"/>
        <v>#N/A</v>
      </c>
      <c r="J49" s="137" t="e">
        <f t="shared" si="12"/>
        <v>#N/A</v>
      </c>
      <c r="K49" s="138" t="e">
        <f t="shared" si="9"/>
        <v>#N/A</v>
      </c>
      <c r="L49" s="139"/>
      <c r="M49" s="131" t="e">
        <f t="shared" si="10"/>
        <v>#N/A</v>
      </c>
      <c r="N49" s="140" t="e">
        <f>IF(H49="Non",CONCATENATE(VLOOKUP(A49,liste_groupe[],5,FALSE),"-",VLOOKUP(A49,liste_groupe[],3,FALSE),VLOOKUP(A49,liste_groupe[],4,FALSE)," : ",ROUND(K49,0),"%"),CONCATENATE(VLOOKUP(A49,liste_groupe[],5,FALSE)," : ",ROUND(K49,0),"%"))</f>
        <v>#N/A</v>
      </c>
    </row>
    <row r="50" spans="1:15" s="76" customFormat="1" ht="15.75" x14ac:dyDescent="0.25">
      <c r="A50" s="127" t="str">
        <f>'Page de garde'!A57</f>
        <v>0-00 + Testostérone</v>
      </c>
      <c r="B50" s="98"/>
      <c r="C50" s="86"/>
      <c r="D50" s="86"/>
      <c r="E50" s="81"/>
      <c r="F50" s="93" t="e">
        <f>HLOOKUP(A50,'pooled normalised values'!$B$74:$V$83,10,FALSE)</f>
        <v>#N/A</v>
      </c>
      <c r="G50" s="132" t="e">
        <f t="shared" si="11"/>
        <v>#N/A</v>
      </c>
      <c r="H50" s="123" t="str">
        <f>IF(VLOOKUP(A50,liste_groupe[],4,FALSE)="%",VLOOKUP(A50,liste_groupe[],3,FALSE)/100,IF(ISBLANK(VLOOKUP(A50,liste_groupe[],4,FALSE)),"Non","Non"))</f>
        <v>Non</v>
      </c>
      <c r="I50" s="132" t="e">
        <f t="shared" si="7"/>
        <v>#N/A</v>
      </c>
      <c r="J50" s="137" t="e">
        <f t="shared" si="12"/>
        <v>#N/A</v>
      </c>
      <c r="K50" s="138" t="e">
        <f t="shared" si="9"/>
        <v>#N/A</v>
      </c>
      <c r="L50" s="139"/>
      <c r="M50" s="131" t="e">
        <f t="shared" si="10"/>
        <v>#N/A</v>
      </c>
      <c r="N50" s="140" t="e">
        <f>IF(H50="Non",CONCATENATE(VLOOKUP(A50,liste_groupe[],5,FALSE),"-",VLOOKUP(A50,liste_groupe[],3,FALSE),VLOOKUP(A50,liste_groupe[],4,FALSE)," : ",ROUND(K50,0),"%"),CONCATENATE(VLOOKUP(A50,liste_groupe[],5,FALSE)," : ",ROUND(K50,0),"%"))</f>
        <v>#N/A</v>
      </c>
    </row>
    <row r="51" spans="1:15" s="76" customFormat="1" ht="15.75" x14ac:dyDescent="0.25">
      <c r="A51" s="127" t="str">
        <f>'Page de garde'!A58</f>
        <v>0-00 + Testostérone</v>
      </c>
      <c r="B51" s="98"/>
      <c r="C51" s="86"/>
      <c r="D51" s="86"/>
      <c r="E51" s="81"/>
      <c r="F51" s="93" t="e">
        <f>HLOOKUP(A51,'pooled normalised values'!$B$74:$V$83,10,FALSE)</f>
        <v>#N/A</v>
      </c>
      <c r="G51" s="132" t="e">
        <f t="shared" si="6"/>
        <v>#N/A</v>
      </c>
      <c r="H51" s="123" t="str">
        <f>IF(VLOOKUP(A51,liste_groupe[],4,FALSE)="%",VLOOKUP(A51,liste_groupe[],3,FALSE)/100,IF(ISBLANK(VLOOKUP(A51,liste_groupe[],4,FALSE)),"Non","Non"))</f>
        <v>Non</v>
      </c>
      <c r="I51" s="132" t="e">
        <f t="shared" si="7"/>
        <v>#N/A</v>
      </c>
      <c r="J51" s="137" t="e">
        <f t="shared" si="8"/>
        <v>#N/A</v>
      </c>
      <c r="K51" s="138" t="e">
        <f t="shared" si="9"/>
        <v>#N/A</v>
      </c>
      <c r="L51" s="139"/>
      <c r="M51" s="131" t="e">
        <f t="shared" si="10"/>
        <v>#N/A</v>
      </c>
      <c r="N51" s="140" t="e">
        <f>IF(H51="Non",CONCATENATE(VLOOKUP(A51,liste_groupe[],5,FALSE),"-",VLOOKUP(A51,liste_groupe[],3,FALSE),VLOOKUP(A51,liste_groupe[],4,FALSE)," : ",ROUND(K51,0),"%"),CONCATENATE(VLOOKUP(A51,liste_groupe[],5,FALSE)," : ",ROUND(K51,0),"%"))</f>
        <v>#N/A</v>
      </c>
    </row>
    <row r="52" spans="1:15" s="76" customFormat="1" ht="16.5" thickBot="1" x14ac:dyDescent="0.3">
      <c r="E52" s="77"/>
      <c r="F52" s="77"/>
      <c r="G52" s="77"/>
      <c r="H52" s="77"/>
      <c r="I52" s="77"/>
      <c r="J52" s="77"/>
      <c r="K52" s="77"/>
      <c r="L52" s="77"/>
      <c r="M52" s="77"/>
      <c r="N52" s="77"/>
    </row>
    <row r="53" spans="1:15" s="48" customFormat="1" ht="27" thickBot="1" x14ac:dyDescent="0.3">
      <c r="A53" s="233" t="s">
        <v>60</v>
      </c>
      <c r="B53" s="234"/>
      <c r="C53" s="234"/>
      <c r="D53" s="234"/>
      <c r="E53" s="234"/>
      <c r="F53" s="234"/>
      <c r="G53" s="234"/>
      <c r="H53" s="234"/>
      <c r="I53" s="234"/>
      <c r="J53" s="234"/>
      <c r="K53" s="234"/>
      <c r="L53" s="234"/>
      <c r="M53" s="234"/>
      <c r="N53" s="234"/>
      <c r="O53" s="235"/>
    </row>
  </sheetData>
  <mergeCells count="3">
    <mergeCell ref="A2:O2"/>
    <mergeCell ref="A1:O1"/>
    <mergeCell ref="A53:O53"/>
  </mergeCells>
  <pageMargins left="0.7" right="0.7" top="0.75" bottom="0.75" header="0.3" footer="0.3"/>
  <pageSetup paperSize="9" orientation="portrait" r:id="rId1"/>
  <headerFooter>
    <oddFooter>&amp;C&amp;1#&amp;"Arial"&amp;10&amp;K000000Internal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
  <sheetViews>
    <sheetView showGridLines="0" workbookViewId="0">
      <selection activeCell="B6" sqref="B6"/>
    </sheetView>
  </sheetViews>
  <sheetFormatPr defaultColWidth="11.42578125" defaultRowHeight="15" x14ac:dyDescent="0.25"/>
  <cols>
    <col min="1" max="1" width="22.85546875" style="179" customWidth="1"/>
    <col min="2" max="2" width="46.28515625" style="179" customWidth="1"/>
    <col min="3" max="3" width="15.28515625" style="179" customWidth="1"/>
    <col min="4" max="4" width="24.7109375" style="179" customWidth="1"/>
    <col min="5" max="5" width="24.42578125" style="179" customWidth="1"/>
    <col min="6" max="6" width="23.140625" style="179" customWidth="1"/>
    <col min="7" max="7" width="21.28515625" style="179" customWidth="1"/>
    <col min="8" max="16384" width="11.42578125" style="179"/>
  </cols>
  <sheetData>
    <row r="1" spans="1:7" ht="30.75" thickBot="1" x14ac:dyDescent="0.3">
      <c r="A1" s="184" t="s">
        <v>131</v>
      </c>
      <c r="B1" s="185" t="s">
        <v>132</v>
      </c>
      <c r="C1" s="185" t="s">
        <v>138</v>
      </c>
      <c r="D1" s="185" t="s">
        <v>137</v>
      </c>
      <c r="E1" s="185" t="s">
        <v>139</v>
      </c>
      <c r="F1" s="186" t="s">
        <v>140</v>
      </c>
      <c r="G1" s="187" t="s">
        <v>141</v>
      </c>
    </row>
    <row r="2" spans="1:7" ht="60" x14ac:dyDescent="0.25">
      <c r="A2" s="180" t="s">
        <v>133</v>
      </c>
      <c r="B2" s="181" t="s">
        <v>134</v>
      </c>
      <c r="C2" s="181" t="s">
        <v>135</v>
      </c>
      <c r="D2" s="181" t="s">
        <v>142</v>
      </c>
      <c r="E2" s="181" t="s">
        <v>136</v>
      </c>
      <c r="F2" s="182" t="s">
        <v>135</v>
      </c>
      <c r="G2" s="183" t="s">
        <v>135</v>
      </c>
    </row>
  </sheetData>
  <pageMargins left="0.7" right="0.7" top="0.75" bottom="0.75" header="0.3" footer="0.3"/>
  <pageSetup paperSize="9" orientation="portrait" horizontalDpi="300" verticalDpi="300" r:id="rId1"/>
  <headerFooter>
    <oddFooter>&amp;C&amp;1#&amp;"Arial"&amp;10&amp;K000000Internal</oddFooter>
  </headerFooter>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K24"/>
  <sheetViews>
    <sheetView zoomScale="70" zoomScaleNormal="70" workbookViewId="0">
      <selection activeCell="A16" sqref="A16"/>
    </sheetView>
  </sheetViews>
  <sheetFormatPr defaultColWidth="11.42578125" defaultRowHeight="12.75" x14ac:dyDescent="0.2"/>
  <cols>
    <col min="1" max="1" width="18.85546875" style="17" customWidth="1"/>
    <col min="2" max="2" width="7.28515625" style="17" bestFit="1" customWidth="1"/>
    <col min="3" max="3" width="10.5703125" style="17" customWidth="1"/>
    <col min="4" max="4" width="13.7109375" style="17" bestFit="1" customWidth="1"/>
    <col min="5" max="5" width="12" style="17" bestFit="1" customWidth="1"/>
    <col min="6" max="19" width="14.85546875" style="17" customWidth="1"/>
    <col min="20" max="21" width="11.42578125" style="17"/>
    <col min="22" max="22" width="13.5703125" style="17" bestFit="1" customWidth="1"/>
    <col min="23" max="34" width="13.5703125" style="17" customWidth="1"/>
    <col min="35" max="35" width="13.5703125" style="17" bestFit="1" customWidth="1"/>
    <col min="36" max="282" width="11.42578125" style="17"/>
    <col min="283" max="283" width="18.7109375" style="17" customWidth="1"/>
    <col min="284" max="284" width="13.7109375" style="17" bestFit="1" customWidth="1"/>
    <col min="285" max="285" width="17.28515625" style="17" customWidth="1"/>
    <col min="286" max="286" width="11" style="17" customWidth="1"/>
    <col min="287" max="287" width="12" style="17" bestFit="1" customWidth="1"/>
    <col min="288" max="288" width="14.85546875" style="17" customWidth="1"/>
    <col min="289" max="538" width="11.42578125" style="17"/>
    <col min="539" max="539" width="18.7109375" style="17" customWidth="1"/>
    <col min="540" max="540" width="13.7109375" style="17" bestFit="1" customWidth="1"/>
    <col min="541" max="541" width="17.28515625" style="17" customWidth="1"/>
    <col min="542" max="542" width="11" style="17" customWidth="1"/>
    <col min="543" max="543" width="12" style="17" bestFit="1" customWidth="1"/>
    <col min="544" max="544" width="14.85546875" style="17" customWidth="1"/>
    <col min="545" max="794" width="11.42578125" style="17"/>
    <col min="795" max="795" width="18.7109375" style="17" customWidth="1"/>
    <col min="796" max="796" width="13.7109375" style="17" bestFit="1" customWidth="1"/>
    <col min="797" max="797" width="17.28515625" style="17" customWidth="1"/>
    <col min="798" max="798" width="11" style="17" customWidth="1"/>
    <col min="799" max="799" width="12" style="17" bestFit="1" customWidth="1"/>
    <col min="800" max="800" width="14.85546875" style="17" customWidth="1"/>
    <col min="801" max="1050" width="11.42578125" style="17"/>
    <col min="1051" max="1051" width="18.7109375" style="17" customWidth="1"/>
    <col min="1052" max="1052" width="13.7109375" style="17" bestFit="1" customWidth="1"/>
    <col min="1053" max="1053" width="17.28515625" style="17" customWidth="1"/>
    <col min="1054" max="1054" width="11" style="17" customWidth="1"/>
    <col min="1055" max="1055" width="12" style="17" bestFit="1" customWidth="1"/>
    <col min="1056" max="1056" width="14.85546875" style="17" customWidth="1"/>
    <col min="1057" max="1306" width="11.42578125" style="17"/>
    <col min="1307" max="1307" width="18.7109375" style="17" customWidth="1"/>
    <col min="1308" max="1308" width="13.7109375" style="17" bestFit="1" customWidth="1"/>
    <col min="1309" max="1309" width="17.28515625" style="17" customWidth="1"/>
    <col min="1310" max="1310" width="11" style="17" customWidth="1"/>
    <col min="1311" max="1311" width="12" style="17" bestFit="1" customWidth="1"/>
    <col min="1312" max="1312" width="14.85546875" style="17" customWidth="1"/>
    <col min="1313" max="1562" width="11.42578125" style="17"/>
    <col min="1563" max="1563" width="18.7109375" style="17" customWidth="1"/>
    <col min="1564" max="1564" width="13.7109375" style="17" bestFit="1" customWidth="1"/>
    <col min="1565" max="1565" width="17.28515625" style="17" customWidth="1"/>
    <col min="1566" max="1566" width="11" style="17" customWidth="1"/>
    <col min="1567" max="1567" width="12" style="17" bestFit="1" customWidth="1"/>
    <col min="1568" max="1568" width="14.85546875" style="17" customWidth="1"/>
    <col min="1569" max="1818" width="11.42578125" style="17"/>
    <col min="1819" max="1819" width="18.7109375" style="17" customWidth="1"/>
    <col min="1820" max="1820" width="13.7109375" style="17" bestFit="1" customWidth="1"/>
    <col min="1821" max="1821" width="17.28515625" style="17" customWidth="1"/>
    <col min="1822" max="1822" width="11" style="17" customWidth="1"/>
    <col min="1823" max="1823" width="12" style="17" bestFit="1" customWidth="1"/>
    <col min="1824" max="1824" width="14.85546875" style="17" customWidth="1"/>
    <col min="1825" max="2074" width="11.42578125" style="17"/>
    <col min="2075" max="2075" width="18.7109375" style="17" customWidth="1"/>
    <col min="2076" max="2076" width="13.7109375" style="17" bestFit="1" customWidth="1"/>
    <col min="2077" max="2077" width="17.28515625" style="17" customWidth="1"/>
    <col min="2078" max="2078" width="11" style="17" customWidth="1"/>
    <col min="2079" max="2079" width="12" style="17" bestFit="1" customWidth="1"/>
    <col min="2080" max="2080" width="14.85546875" style="17" customWidth="1"/>
    <col min="2081" max="2330" width="11.42578125" style="17"/>
    <col min="2331" max="2331" width="18.7109375" style="17" customWidth="1"/>
    <col min="2332" max="2332" width="13.7109375" style="17" bestFit="1" customWidth="1"/>
    <col min="2333" max="2333" width="17.28515625" style="17" customWidth="1"/>
    <col min="2334" max="2334" width="11" style="17" customWidth="1"/>
    <col min="2335" max="2335" width="12" style="17" bestFit="1" customWidth="1"/>
    <col min="2336" max="2336" width="14.85546875" style="17" customWidth="1"/>
    <col min="2337" max="2586" width="11.42578125" style="17"/>
    <col min="2587" max="2587" width="18.7109375" style="17" customWidth="1"/>
    <col min="2588" max="2588" width="13.7109375" style="17" bestFit="1" customWidth="1"/>
    <col min="2589" max="2589" width="17.28515625" style="17" customWidth="1"/>
    <col min="2590" max="2590" width="11" style="17" customWidth="1"/>
    <col min="2591" max="2591" width="12" style="17" bestFit="1" customWidth="1"/>
    <col min="2592" max="2592" width="14.85546875" style="17" customWidth="1"/>
    <col min="2593" max="2842" width="11.42578125" style="17"/>
    <col min="2843" max="2843" width="18.7109375" style="17" customWidth="1"/>
    <col min="2844" max="2844" width="13.7109375" style="17" bestFit="1" customWidth="1"/>
    <col min="2845" max="2845" width="17.28515625" style="17" customWidth="1"/>
    <col min="2846" max="2846" width="11" style="17" customWidth="1"/>
    <col min="2847" max="2847" width="12" style="17" bestFit="1" customWidth="1"/>
    <col min="2848" max="2848" width="14.85546875" style="17" customWidth="1"/>
    <col min="2849" max="3098" width="11.42578125" style="17"/>
    <col min="3099" max="3099" width="18.7109375" style="17" customWidth="1"/>
    <col min="3100" max="3100" width="13.7109375" style="17" bestFit="1" customWidth="1"/>
    <col min="3101" max="3101" width="17.28515625" style="17" customWidth="1"/>
    <col min="3102" max="3102" width="11" style="17" customWidth="1"/>
    <col min="3103" max="3103" width="12" style="17" bestFit="1" customWidth="1"/>
    <col min="3104" max="3104" width="14.85546875" style="17" customWidth="1"/>
    <col min="3105" max="3354" width="11.42578125" style="17"/>
    <col min="3355" max="3355" width="18.7109375" style="17" customWidth="1"/>
    <col min="3356" max="3356" width="13.7109375" style="17" bestFit="1" customWidth="1"/>
    <col min="3357" max="3357" width="17.28515625" style="17" customWidth="1"/>
    <col min="3358" max="3358" width="11" style="17" customWidth="1"/>
    <col min="3359" max="3359" width="12" style="17" bestFit="1" customWidth="1"/>
    <col min="3360" max="3360" width="14.85546875" style="17" customWidth="1"/>
    <col min="3361" max="3610" width="11.42578125" style="17"/>
    <col min="3611" max="3611" width="18.7109375" style="17" customWidth="1"/>
    <col min="3612" max="3612" width="13.7109375" style="17" bestFit="1" customWidth="1"/>
    <col min="3613" max="3613" width="17.28515625" style="17" customWidth="1"/>
    <col min="3614" max="3614" width="11" style="17" customWidth="1"/>
    <col min="3615" max="3615" width="12" style="17" bestFit="1" customWidth="1"/>
    <col min="3616" max="3616" width="14.85546875" style="17" customWidth="1"/>
    <col min="3617" max="3866" width="11.42578125" style="17"/>
    <col min="3867" max="3867" width="18.7109375" style="17" customWidth="1"/>
    <col min="3868" max="3868" width="13.7109375" style="17" bestFit="1" customWidth="1"/>
    <col min="3869" max="3869" width="17.28515625" style="17" customWidth="1"/>
    <col min="3870" max="3870" width="11" style="17" customWidth="1"/>
    <col min="3871" max="3871" width="12" style="17" bestFit="1" customWidth="1"/>
    <col min="3872" max="3872" width="14.85546875" style="17" customWidth="1"/>
    <col min="3873" max="4122" width="11.42578125" style="17"/>
    <col min="4123" max="4123" width="18.7109375" style="17" customWidth="1"/>
    <col min="4124" max="4124" width="13.7109375" style="17" bestFit="1" customWidth="1"/>
    <col min="4125" max="4125" width="17.28515625" style="17" customWidth="1"/>
    <col min="4126" max="4126" width="11" style="17" customWidth="1"/>
    <col min="4127" max="4127" width="12" style="17" bestFit="1" customWidth="1"/>
    <col min="4128" max="4128" width="14.85546875" style="17" customWidth="1"/>
    <col min="4129" max="4378" width="11.42578125" style="17"/>
    <col min="4379" max="4379" width="18.7109375" style="17" customWidth="1"/>
    <col min="4380" max="4380" width="13.7109375" style="17" bestFit="1" customWidth="1"/>
    <col min="4381" max="4381" width="17.28515625" style="17" customWidth="1"/>
    <col min="4382" max="4382" width="11" style="17" customWidth="1"/>
    <col min="4383" max="4383" width="12" style="17" bestFit="1" customWidth="1"/>
    <col min="4384" max="4384" width="14.85546875" style="17" customWidth="1"/>
    <col min="4385" max="4634" width="11.42578125" style="17"/>
    <col min="4635" max="4635" width="18.7109375" style="17" customWidth="1"/>
    <col min="4636" max="4636" width="13.7109375" style="17" bestFit="1" customWidth="1"/>
    <col min="4637" max="4637" width="17.28515625" style="17" customWidth="1"/>
    <col min="4638" max="4638" width="11" style="17" customWidth="1"/>
    <col min="4639" max="4639" width="12" style="17" bestFit="1" customWidth="1"/>
    <col min="4640" max="4640" width="14.85546875" style="17" customWidth="1"/>
    <col min="4641" max="4890" width="11.42578125" style="17"/>
    <col min="4891" max="4891" width="18.7109375" style="17" customWidth="1"/>
    <col min="4892" max="4892" width="13.7109375" style="17" bestFit="1" customWidth="1"/>
    <col min="4893" max="4893" width="17.28515625" style="17" customWidth="1"/>
    <col min="4894" max="4894" width="11" style="17" customWidth="1"/>
    <col min="4895" max="4895" width="12" style="17" bestFit="1" customWidth="1"/>
    <col min="4896" max="4896" width="14.85546875" style="17" customWidth="1"/>
    <col min="4897" max="5146" width="11.42578125" style="17"/>
    <col min="5147" max="5147" width="18.7109375" style="17" customWidth="1"/>
    <col min="5148" max="5148" width="13.7109375" style="17" bestFit="1" customWidth="1"/>
    <col min="5149" max="5149" width="17.28515625" style="17" customWidth="1"/>
    <col min="5150" max="5150" width="11" style="17" customWidth="1"/>
    <col min="5151" max="5151" width="12" style="17" bestFit="1" customWidth="1"/>
    <col min="5152" max="5152" width="14.85546875" style="17" customWidth="1"/>
    <col min="5153" max="5402" width="11.42578125" style="17"/>
    <col min="5403" max="5403" width="18.7109375" style="17" customWidth="1"/>
    <col min="5404" max="5404" width="13.7109375" style="17" bestFit="1" customWidth="1"/>
    <col min="5405" max="5405" width="17.28515625" style="17" customWidth="1"/>
    <col min="5406" max="5406" width="11" style="17" customWidth="1"/>
    <col min="5407" max="5407" width="12" style="17" bestFit="1" customWidth="1"/>
    <col min="5408" max="5408" width="14.85546875" style="17" customWidth="1"/>
    <col min="5409" max="5658" width="11.42578125" style="17"/>
    <col min="5659" max="5659" width="18.7109375" style="17" customWidth="1"/>
    <col min="5660" max="5660" width="13.7109375" style="17" bestFit="1" customWidth="1"/>
    <col min="5661" max="5661" width="17.28515625" style="17" customWidth="1"/>
    <col min="5662" max="5662" width="11" style="17" customWidth="1"/>
    <col min="5663" max="5663" width="12" style="17" bestFit="1" customWidth="1"/>
    <col min="5664" max="5664" width="14.85546875" style="17" customWidth="1"/>
    <col min="5665" max="5914" width="11.42578125" style="17"/>
    <col min="5915" max="5915" width="18.7109375" style="17" customWidth="1"/>
    <col min="5916" max="5916" width="13.7109375" style="17" bestFit="1" customWidth="1"/>
    <col min="5917" max="5917" width="17.28515625" style="17" customWidth="1"/>
    <col min="5918" max="5918" width="11" style="17" customWidth="1"/>
    <col min="5919" max="5919" width="12" style="17" bestFit="1" customWidth="1"/>
    <col min="5920" max="5920" width="14.85546875" style="17" customWidth="1"/>
    <col min="5921" max="6170" width="11.42578125" style="17"/>
    <col min="6171" max="6171" width="18.7109375" style="17" customWidth="1"/>
    <col min="6172" max="6172" width="13.7109375" style="17" bestFit="1" customWidth="1"/>
    <col min="6173" max="6173" width="17.28515625" style="17" customWidth="1"/>
    <col min="6174" max="6174" width="11" style="17" customWidth="1"/>
    <col min="6175" max="6175" width="12" style="17" bestFit="1" customWidth="1"/>
    <col min="6176" max="6176" width="14.85546875" style="17" customWidth="1"/>
    <col min="6177" max="6426" width="11.42578125" style="17"/>
    <col min="6427" max="6427" width="18.7109375" style="17" customWidth="1"/>
    <col min="6428" max="6428" width="13.7109375" style="17" bestFit="1" customWidth="1"/>
    <col min="6429" max="6429" width="17.28515625" style="17" customWidth="1"/>
    <col min="6430" max="6430" width="11" style="17" customWidth="1"/>
    <col min="6431" max="6431" width="12" style="17" bestFit="1" customWidth="1"/>
    <col min="6432" max="6432" width="14.85546875" style="17" customWidth="1"/>
    <col min="6433" max="6682" width="11.42578125" style="17"/>
    <col min="6683" max="6683" width="18.7109375" style="17" customWidth="1"/>
    <col min="6684" max="6684" width="13.7109375" style="17" bestFit="1" customWidth="1"/>
    <col min="6685" max="6685" width="17.28515625" style="17" customWidth="1"/>
    <col min="6686" max="6686" width="11" style="17" customWidth="1"/>
    <col min="6687" max="6687" width="12" style="17" bestFit="1" customWidth="1"/>
    <col min="6688" max="6688" width="14.85546875" style="17" customWidth="1"/>
    <col min="6689" max="6938" width="11.42578125" style="17"/>
    <col min="6939" max="6939" width="18.7109375" style="17" customWidth="1"/>
    <col min="6940" max="6940" width="13.7109375" style="17" bestFit="1" customWidth="1"/>
    <col min="6941" max="6941" width="17.28515625" style="17" customWidth="1"/>
    <col min="6942" max="6942" width="11" style="17" customWidth="1"/>
    <col min="6943" max="6943" width="12" style="17" bestFit="1" customWidth="1"/>
    <col min="6944" max="6944" width="14.85546875" style="17" customWidth="1"/>
    <col min="6945" max="7194" width="11.42578125" style="17"/>
    <col min="7195" max="7195" width="18.7109375" style="17" customWidth="1"/>
    <col min="7196" max="7196" width="13.7109375" style="17" bestFit="1" customWidth="1"/>
    <col min="7197" max="7197" width="17.28515625" style="17" customWidth="1"/>
    <col min="7198" max="7198" width="11" style="17" customWidth="1"/>
    <col min="7199" max="7199" width="12" style="17" bestFit="1" customWidth="1"/>
    <col min="7200" max="7200" width="14.85546875" style="17" customWidth="1"/>
    <col min="7201" max="7450" width="11.42578125" style="17"/>
    <col min="7451" max="7451" width="18.7109375" style="17" customWidth="1"/>
    <col min="7452" max="7452" width="13.7109375" style="17" bestFit="1" customWidth="1"/>
    <col min="7453" max="7453" width="17.28515625" style="17" customWidth="1"/>
    <col min="7454" max="7454" width="11" style="17" customWidth="1"/>
    <col min="7455" max="7455" width="12" style="17" bestFit="1" customWidth="1"/>
    <col min="7456" max="7456" width="14.85546875" style="17" customWidth="1"/>
    <col min="7457" max="7706" width="11.42578125" style="17"/>
    <col min="7707" max="7707" width="18.7109375" style="17" customWidth="1"/>
    <col min="7708" max="7708" width="13.7109375" style="17" bestFit="1" customWidth="1"/>
    <col min="7709" max="7709" width="17.28515625" style="17" customWidth="1"/>
    <col min="7710" max="7710" width="11" style="17" customWidth="1"/>
    <col min="7711" max="7711" width="12" style="17" bestFit="1" customWidth="1"/>
    <col min="7712" max="7712" width="14.85546875" style="17" customWidth="1"/>
    <col min="7713" max="7962" width="11.42578125" style="17"/>
    <col min="7963" max="7963" width="18.7109375" style="17" customWidth="1"/>
    <col min="7964" max="7964" width="13.7109375" style="17" bestFit="1" customWidth="1"/>
    <col min="7965" max="7965" width="17.28515625" style="17" customWidth="1"/>
    <col min="7966" max="7966" width="11" style="17" customWidth="1"/>
    <col min="7967" max="7967" width="12" style="17" bestFit="1" customWidth="1"/>
    <col min="7968" max="7968" width="14.85546875" style="17" customWidth="1"/>
    <col min="7969" max="8218" width="11.42578125" style="17"/>
    <col min="8219" max="8219" width="18.7109375" style="17" customWidth="1"/>
    <col min="8220" max="8220" width="13.7109375" style="17" bestFit="1" customWidth="1"/>
    <col min="8221" max="8221" width="17.28515625" style="17" customWidth="1"/>
    <col min="8222" max="8222" width="11" style="17" customWidth="1"/>
    <col min="8223" max="8223" width="12" style="17" bestFit="1" customWidth="1"/>
    <col min="8224" max="8224" width="14.85546875" style="17" customWidth="1"/>
    <col min="8225" max="8474" width="11.42578125" style="17"/>
    <col min="8475" max="8475" width="18.7109375" style="17" customWidth="1"/>
    <col min="8476" max="8476" width="13.7109375" style="17" bestFit="1" customWidth="1"/>
    <col min="8477" max="8477" width="17.28515625" style="17" customWidth="1"/>
    <col min="8478" max="8478" width="11" style="17" customWidth="1"/>
    <col min="8479" max="8479" width="12" style="17" bestFit="1" customWidth="1"/>
    <col min="8480" max="8480" width="14.85546875" style="17" customWidth="1"/>
    <col min="8481" max="8730" width="11.42578125" style="17"/>
    <col min="8731" max="8731" width="18.7109375" style="17" customWidth="1"/>
    <col min="8732" max="8732" width="13.7109375" style="17" bestFit="1" customWidth="1"/>
    <col min="8733" max="8733" width="17.28515625" style="17" customWidth="1"/>
    <col min="8734" max="8734" width="11" style="17" customWidth="1"/>
    <col min="8735" max="8735" width="12" style="17" bestFit="1" customWidth="1"/>
    <col min="8736" max="8736" width="14.85546875" style="17" customWidth="1"/>
    <col min="8737" max="8986" width="11.42578125" style="17"/>
    <col min="8987" max="8987" width="18.7109375" style="17" customWidth="1"/>
    <col min="8988" max="8988" width="13.7109375" style="17" bestFit="1" customWidth="1"/>
    <col min="8989" max="8989" width="17.28515625" style="17" customWidth="1"/>
    <col min="8990" max="8990" width="11" style="17" customWidth="1"/>
    <col min="8991" max="8991" width="12" style="17" bestFit="1" customWidth="1"/>
    <col min="8992" max="8992" width="14.85546875" style="17" customWidth="1"/>
    <col min="8993" max="9242" width="11.42578125" style="17"/>
    <col min="9243" max="9243" width="18.7109375" style="17" customWidth="1"/>
    <col min="9244" max="9244" width="13.7109375" style="17" bestFit="1" customWidth="1"/>
    <col min="9245" max="9245" width="17.28515625" style="17" customWidth="1"/>
    <col min="9246" max="9246" width="11" style="17" customWidth="1"/>
    <col min="9247" max="9247" width="12" style="17" bestFit="1" customWidth="1"/>
    <col min="9248" max="9248" width="14.85546875" style="17" customWidth="1"/>
    <col min="9249" max="9498" width="11.42578125" style="17"/>
    <col min="9499" max="9499" width="18.7109375" style="17" customWidth="1"/>
    <col min="9500" max="9500" width="13.7109375" style="17" bestFit="1" customWidth="1"/>
    <col min="9501" max="9501" width="17.28515625" style="17" customWidth="1"/>
    <col min="9502" max="9502" width="11" style="17" customWidth="1"/>
    <col min="9503" max="9503" width="12" style="17" bestFit="1" customWidth="1"/>
    <col min="9504" max="9504" width="14.85546875" style="17" customWidth="1"/>
    <col min="9505" max="9754" width="11.42578125" style="17"/>
    <col min="9755" max="9755" width="18.7109375" style="17" customWidth="1"/>
    <col min="9756" max="9756" width="13.7109375" style="17" bestFit="1" customWidth="1"/>
    <col min="9757" max="9757" width="17.28515625" style="17" customWidth="1"/>
    <col min="9758" max="9758" width="11" style="17" customWidth="1"/>
    <col min="9759" max="9759" width="12" style="17" bestFit="1" customWidth="1"/>
    <col min="9760" max="9760" width="14.85546875" style="17" customWidth="1"/>
    <col min="9761" max="10010" width="11.42578125" style="17"/>
    <col min="10011" max="10011" width="18.7109375" style="17" customWidth="1"/>
    <col min="10012" max="10012" width="13.7109375" style="17" bestFit="1" customWidth="1"/>
    <col min="10013" max="10013" width="17.28515625" style="17" customWidth="1"/>
    <col min="10014" max="10014" width="11" style="17" customWidth="1"/>
    <col min="10015" max="10015" width="12" style="17" bestFit="1" customWidth="1"/>
    <col min="10016" max="10016" width="14.85546875" style="17" customWidth="1"/>
    <col min="10017" max="10266" width="11.42578125" style="17"/>
    <col min="10267" max="10267" width="18.7109375" style="17" customWidth="1"/>
    <col min="10268" max="10268" width="13.7109375" style="17" bestFit="1" customWidth="1"/>
    <col min="10269" max="10269" width="17.28515625" style="17" customWidth="1"/>
    <col min="10270" max="10270" width="11" style="17" customWidth="1"/>
    <col min="10271" max="10271" width="12" style="17" bestFit="1" customWidth="1"/>
    <col min="10272" max="10272" width="14.85546875" style="17" customWidth="1"/>
    <col min="10273" max="10522" width="11.42578125" style="17"/>
    <col min="10523" max="10523" width="18.7109375" style="17" customWidth="1"/>
    <col min="10524" max="10524" width="13.7109375" style="17" bestFit="1" customWidth="1"/>
    <col min="10525" max="10525" width="17.28515625" style="17" customWidth="1"/>
    <col min="10526" max="10526" width="11" style="17" customWidth="1"/>
    <col min="10527" max="10527" width="12" style="17" bestFit="1" customWidth="1"/>
    <col min="10528" max="10528" width="14.85546875" style="17" customWidth="1"/>
    <col min="10529" max="10778" width="11.42578125" style="17"/>
    <col min="10779" max="10779" width="18.7109375" style="17" customWidth="1"/>
    <col min="10780" max="10780" width="13.7109375" style="17" bestFit="1" customWidth="1"/>
    <col min="10781" max="10781" width="17.28515625" style="17" customWidth="1"/>
    <col min="10782" max="10782" width="11" style="17" customWidth="1"/>
    <col min="10783" max="10783" width="12" style="17" bestFit="1" customWidth="1"/>
    <col min="10784" max="10784" width="14.85546875" style="17" customWidth="1"/>
    <col min="10785" max="11034" width="11.42578125" style="17"/>
    <col min="11035" max="11035" width="18.7109375" style="17" customWidth="1"/>
    <col min="11036" max="11036" width="13.7109375" style="17" bestFit="1" customWidth="1"/>
    <col min="11037" max="11037" width="17.28515625" style="17" customWidth="1"/>
    <col min="11038" max="11038" width="11" style="17" customWidth="1"/>
    <col min="11039" max="11039" width="12" style="17" bestFit="1" customWidth="1"/>
    <col min="11040" max="11040" width="14.85546875" style="17" customWidth="1"/>
    <col min="11041" max="11290" width="11.42578125" style="17"/>
    <col min="11291" max="11291" width="18.7109375" style="17" customWidth="1"/>
    <col min="11292" max="11292" width="13.7109375" style="17" bestFit="1" customWidth="1"/>
    <col min="11293" max="11293" width="17.28515625" style="17" customWidth="1"/>
    <col min="11294" max="11294" width="11" style="17" customWidth="1"/>
    <col min="11295" max="11295" width="12" style="17" bestFit="1" customWidth="1"/>
    <col min="11296" max="11296" width="14.85546875" style="17" customWidth="1"/>
    <col min="11297" max="11546" width="11.42578125" style="17"/>
    <col min="11547" max="11547" width="18.7109375" style="17" customWidth="1"/>
    <col min="11548" max="11548" width="13.7109375" style="17" bestFit="1" customWidth="1"/>
    <col min="11549" max="11549" width="17.28515625" style="17" customWidth="1"/>
    <col min="11550" max="11550" width="11" style="17" customWidth="1"/>
    <col min="11551" max="11551" width="12" style="17" bestFit="1" customWidth="1"/>
    <col min="11552" max="11552" width="14.85546875" style="17" customWidth="1"/>
    <col min="11553" max="11802" width="11.42578125" style="17"/>
    <col min="11803" max="11803" width="18.7109375" style="17" customWidth="1"/>
    <col min="11804" max="11804" width="13.7109375" style="17" bestFit="1" customWidth="1"/>
    <col min="11805" max="11805" width="17.28515625" style="17" customWidth="1"/>
    <col min="11806" max="11806" width="11" style="17" customWidth="1"/>
    <col min="11807" max="11807" width="12" style="17" bestFit="1" customWidth="1"/>
    <col min="11808" max="11808" width="14.85546875" style="17" customWidth="1"/>
    <col min="11809" max="12058" width="11.42578125" style="17"/>
    <col min="12059" max="12059" width="18.7109375" style="17" customWidth="1"/>
    <col min="12060" max="12060" width="13.7109375" style="17" bestFit="1" customWidth="1"/>
    <col min="12061" max="12061" width="17.28515625" style="17" customWidth="1"/>
    <col min="12062" max="12062" width="11" style="17" customWidth="1"/>
    <col min="12063" max="12063" width="12" style="17" bestFit="1" customWidth="1"/>
    <col min="12064" max="12064" width="14.85546875" style="17" customWidth="1"/>
    <col min="12065" max="12314" width="11.42578125" style="17"/>
    <col min="12315" max="12315" width="18.7109375" style="17" customWidth="1"/>
    <col min="12316" max="12316" width="13.7109375" style="17" bestFit="1" customWidth="1"/>
    <col min="12317" max="12317" width="17.28515625" style="17" customWidth="1"/>
    <col min="12318" max="12318" width="11" style="17" customWidth="1"/>
    <col min="12319" max="12319" width="12" style="17" bestFit="1" customWidth="1"/>
    <col min="12320" max="12320" width="14.85546875" style="17" customWidth="1"/>
    <col min="12321" max="12570" width="11.42578125" style="17"/>
    <col min="12571" max="12571" width="18.7109375" style="17" customWidth="1"/>
    <col min="12572" max="12572" width="13.7109375" style="17" bestFit="1" customWidth="1"/>
    <col min="12573" max="12573" width="17.28515625" style="17" customWidth="1"/>
    <col min="12574" max="12574" width="11" style="17" customWidth="1"/>
    <col min="12575" max="12575" width="12" style="17" bestFit="1" customWidth="1"/>
    <col min="12576" max="12576" width="14.85546875" style="17" customWidth="1"/>
    <col min="12577" max="12826" width="11.42578125" style="17"/>
    <col min="12827" max="12827" width="18.7109375" style="17" customWidth="1"/>
    <col min="12828" max="12828" width="13.7109375" style="17" bestFit="1" customWidth="1"/>
    <col min="12829" max="12829" width="17.28515625" style="17" customWidth="1"/>
    <col min="12830" max="12830" width="11" style="17" customWidth="1"/>
    <col min="12831" max="12831" width="12" style="17" bestFit="1" customWidth="1"/>
    <col min="12832" max="12832" width="14.85546875" style="17" customWidth="1"/>
    <col min="12833" max="13082" width="11.42578125" style="17"/>
    <col min="13083" max="13083" width="18.7109375" style="17" customWidth="1"/>
    <col min="13084" max="13084" width="13.7109375" style="17" bestFit="1" customWidth="1"/>
    <col min="13085" max="13085" width="17.28515625" style="17" customWidth="1"/>
    <col min="13086" max="13086" width="11" style="17" customWidth="1"/>
    <col min="13087" max="13087" width="12" style="17" bestFit="1" customWidth="1"/>
    <col min="13088" max="13088" width="14.85546875" style="17" customWidth="1"/>
    <col min="13089" max="13338" width="11.42578125" style="17"/>
    <col min="13339" max="13339" width="18.7109375" style="17" customWidth="1"/>
    <col min="13340" max="13340" width="13.7109375" style="17" bestFit="1" customWidth="1"/>
    <col min="13341" max="13341" width="17.28515625" style="17" customWidth="1"/>
    <col min="13342" max="13342" width="11" style="17" customWidth="1"/>
    <col min="13343" max="13343" width="12" style="17" bestFit="1" customWidth="1"/>
    <col min="13344" max="13344" width="14.85546875" style="17" customWidth="1"/>
    <col min="13345" max="13594" width="11.42578125" style="17"/>
    <col min="13595" max="13595" width="18.7109375" style="17" customWidth="1"/>
    <col min="13596" max="13596" width="13.7109375" style="17" bestFit="1" customWidth="1"/>
    <col min="13597" max="13597" width="17.28515625" style="17" customWidth="1"/>
    <col min="13598" max="13598" width="11" style="17" customWidth="1"/>
    <col min="13599" max="13599" width="12" style="17" bestFit="1" customWidth="1"/>
    <col min="13600" max="13600" width="14.85546875" style="17" customWidth="1"/>
    <col min="13601" max="13850" width="11.42578125" style="17"/>
    <col min="13851" max="13851" width="18.7109375" style="17" customWidth="1"/>
    <col min="13852" max="13852" width="13.7109375" style="17" bestFit="1" customWidth="1"/>
    <col min="13853" max="13853" width="17.28515625" style="17" customWidth="1"/>
    <col min="13854" max="13854" width="11" style="17" customWidth="1"/>
    <col min="13855" max="13855" width="12" style="17" bestFit="1" customWidth="1"/>
    <col min="13856" max="13856" width="14.85546875" style="17" customWidth="1"/>
    <col min="13857" max="14106" width="11.42578125" style="17"/>
    <col min="14107" max="14107" width="18.7109375" style="17" customWidth="1"/>
    <col min="14108" max="14108" width="13.7109375" style="17" bestFit="1" customWidth="1"/>
    <col min="14109" max="14109" width="17.28515625" style="17" customWidth="1"/>
    <col min="14110" max="14110" width="11" style="17" customWidth="1"/>
    <col min="14111" max="14111" width="12" style="17" bestFit="1" customWidth="1"/>
    <col min="14112" max="14112" width="14.85546875" style="17" customWidth="1"/>
    <col min="14113" max="14362" width="11.42578125" style="17"/>
    <col min="14363" max="14363" width="18.7109375" style="17" customWidth="1"/>
    <col min="14364" max="14364" width="13.7109375" style="17" bestFit="1" customWidth="1"/>
    <col min="14365" max="14365" width="17.28515625" style="17" customWidth="1"/>
    <col min="14366" max="14366" width="11" style="17" customWidth="1"/>
    <col min="14367" max="14367" width="12" style="17" bestFit="1" customWidth="1"/>
    <col min="14368" max="14368" width="14.85546875" style="17" customWidth="1"/>
    <col min="14369" max="14618" width="11.42578125" style="17"/>
    <col min="14619" max="14619" width="18.7109375" style="17" customWidth="1"/>
    <col min="14620" max="14620" width="13.7109375" style="17" bestFit="1" customWidth="1"/>
    <col min="14621" max="14621" width="17.28515625" style="17" customWidth="1"/>
    <col min="14622" max="14622" width="11" style="17" customWidth="1"/>
    <col min="14623" max="14623" width="12" style="17" bestFit="1" customWidth="1"/>
    <col min="14624" max="14624" width="14.85546875" style="17" customWidth="1"/>
    <col min="14625" max="14874" width="11.42578125" style="17"/>
    <col min="14875" max="14875" width="18.7109375" style="17" customWidth="1"/>
    <col min="14876" max="14876" width="13.7109375" style="17" bestFit="1" customWidth="1"/>
    <col min="14877" max="14877" width="17.28515625" style="17" customWidth="1"/>
    <col min="14878" max="14878" width="11" style="17" customWidth="1"/>
    <col min="14879" max="14879" width="12" style="17" bestFit="1" customWidth="1"/>
    <col min="14880" max="14880" width="14.85546875" style="17" customWidth="1"/>
    <col min="14881" max="15130" width="11.42578125" style="17"/>
    <col min="15131" max="15131" width="18.7109375" style="17" customWidth="1"/>
    <col min="15132" max="15132" width="13.7109375" style="17" bestFit="1" customWidth="1"/>
    <col min="15133" max="15133" width="17.28515625" style="17" customWidth="1"/>
    <col min="15134" max="15134" width="11" style="17" customWidth="1"/>
    <col min="15135" max="15135" width="12" style="17" bestFit="1" customWidth="1"/>
    <col min="15136" max="15136" width="14.85546875" style="17" customWidth="1"/>
    <col min="15137" max="15386" width="11.42578125" style="17"/>
    <col min="15387" max="15387" width="18.7109375" style="17" customWidth="1"/>
    <col min="15388" max="15388" width="13.7109375" style="17" bestFit="1" customWidth="1"/>
    <col min="15389" max="15389" width="17.28515625" style="17" customWidth="1"/>
    <col min="15390" max="15390" width="11" style="17" customWidth="1"/>
    <col min="15391" max="15391" width="12" style="17" bestFit="1" customWidth="1"/>
    <col min="15392" max="15392" width="14.85546875" style="17" customWidth="1"/>
    <col min="15393" max="15642" width="11.42578125" style="17"/>
    <col min="15643" max="15643" width="18.7109375" style="17" customWidth="1"/>
    <col min="15644" max="15644" width="13.7109375" style="17" bestFit="1" customWidth="1"/>
    <col min="15645" max="15645" width="17.28515625" style="17" customWidth="1"/>
    <col min="15646" max="15646" width="11" style="17" customWidth="1"/>
    <col min="15647" max="15647" width="12" style="17" bestFit="1" customWidth="1"/>
    <col min="15648" max="15648" width="14.85546875" style="17" customWidth="1"/>
    <col min="15649" max="15898" width="11.42578125" style="17"/>
    <col min="15899" max="15899" width="18.7109375" style="17" customWidth="1"/>
    <col min="15900" max="15900" width="13.7109375" style="17" bestFit="1" customWidth="1"/>
    <col min="15901" max="15901" width="17.28515625" style="17" customWidth="1"/>
    <col min="15902" max="15902" width="11" style="17" customWidth="1"/>
    <col min="15903" max="15903" width="12" style="17" bestFit="1" customWidth="1"/>
    <col min="15904" max="15904" width="14.85546875" style="17" customWidth="1"/>
    <col min="15905" max="16154" width="11.42578125" style="17"/>
    <col min="16155" max="16155" width="18.7109375" style="17" customWidth="1"/>
    <col min="16156" max="16156" width="13.7109375" style="17" bestFit="1" customWidth="1"/>
    <col min="16157" max="16157" width="17.28515625" style="17" customWidth="1"/>
    <col min="16158" max="16158" width="11" style="17" customWidth="1"/>
    <col min="16159" max="16159" width="12" style="17" bestFit="1" customWidth="1"/>
    <col min="16160" max="16160" width="14.85546875" style="17" customWidth="1"/>
    <col min="16161" max="16384" width="11.42578125" style="17"/>
  </cols>
  <sheetData>
    <row r="2" spans="1:37" x14ac:dyDescent="0.2">
      <c r="A2" s="17" t="s">
        <v>70</v>
      </c>
      <c r="B2" s="63">
        <f>'pooled normalised values'!B75</f>
        <v>8.1464266151762957E-2</v>
      </c>
      <c r="D2" s="17" t="s">
        <v>9</v>
      </c>
      <c r="E2" s="18"/>
      <c r="F2" s="19" t="str">
        <f>'pooled normalised values'!J74</f>
        <v>estradiol 68ng/L</v>
      </c>
      <c r="G2" s="19" t="str">
        <f>'pooled normalised values'!K74</f>
        <v>estradiol 135ng/L</v>
      </c>
      <c r="H2" s="19" t="str">
        <f>'pooled normalised values'!L74</f>
        <v>estradiol 270ng/L</v>
      </c>
      <c r="I2" s="19" t="str">
        <f>'pooled normalised values'!M74</f>
        <v>estradiol 540ng/L</v>
      </c>
      <c r="J2" s="19" t="e">
        <f>'pooled normalised values'!#REF!</f>
        <v>#REF!</v>
      </c>
      <c r="K2" s="19" t="e">
        <f>'pooled normalised values'!#REF!</f>
        <v>#REF!</v>
      </c>
      <c r="L2" s="19" t="e">
        <f>'pooled normalised values'!#REF!</f>
        <v>#REF!</v>
      </c>
      <c r="M2" s="19" t="e">
        <f>'pooled normalised values'!#REF!</f>
        <v>#REF!</v>
      </c>
      <c r="N2" s="19" t="e">
        <f>'pooled normalised values'!#REF!</f>
        <v>#REF!</v>
      </c>
      <c r="O2" s="19" t="e">
        <f>'pooled normalised values'!#REF!</f>
        <v>#REF!</v>
      </c>
      <c r="P2" s="19" t="e">
        <f>'pooled normalised values'!#REF!</f>
        <v>#REF!</v>
      </c>
      <c r="Q2" s="19" t="e">
        <f>'pooled normalised values'!#REF!</f>
        <v>#REF!</v>
      </c>
      <c r="R2" s="19" t="e">
        <f>'pooled normalised values'!#REF!</f>
        <v>#REF!</v>
      </c>
      <c r="S2" s="19" t="e">
        <f>'pooled normalised values'!#REF!</f>
        <v>#REF!</v>
      </c>
      <c r="T2" s="18"/>
      <c r="U2" s="20"/>
      <c r="V2" s="19" t="str">
        <f>'pooled normalised values'!R74</f>
        <v>estradiol-34ng/L + Testosterone</v>
      </c>
      <c r="W2" s="19" t="str">
        <f>'pooled normalised values'!S74</f>
        <v>estradiol-68ng/L + Testosterone</v>
      </c>
      <c r="X2" s="19" t="str">
        <f>'pooled normalised values'!T74</f>
        <v>estradiol-135ng/L + Testosterone</v>
      </c>
      <c r="Y2" s="19" t="str">
        <f>'pooled normalised values'!U74</f>
        <v>estradiol-270ng/L + Testosterone</v>
      </c>
      <c r="Z2" s="19" t="str">
        <f>'pooled normalised values'!V74</f>
        <v>estradiol-540ng/L + Testosterone</v>
      </c>
      <c r="AA2" s="19" t="e">
        <f>'pooled normalised values'!#REF!</f>
        <v>#REF!</v>
      </c>
      <c r="AB2" s="19" t="e">
        <f>'pooled normalised values'!#REF!</f>
        <v>#REF!</v>
      </c>
      <c r="AC2" s="19" t="e">
        <f>'pooled normalised values'!#REF!</f>
        <v>#REF!</v>
      </c>
      <c r="AD2" s="19" t="e">
        <f>'pooled normalised values'!#REF!</f>
        <v>#REF!</v>
      </c>
      <c r="AE2" s="19" t="e">
        <f>'pooled normalised values'!#REF!</f>
        <v>#REF!</v>
      </c>
      <c r="AF2" s="19" t="e">
        <f>'pooled normalised values'!#REF!</f>
        <v>#REF!</v>
      </c>
      <c r="AG2" s="19" t="e">
        <f>'pooled normalised values'!#REF!</f>
        <v>#REF!</v>
      </c>
      <c r="AH2" s="19" t="e">
        <f>'pooled normalised values'!#REF!</f>
        <v>#REF!</v>
      </c>
      <c r="AI2" s="19" t="e">
        <f>'pooled normalised values'!#REF!</f>
        <v>#REF!</v>
      </c>
      <c r="AJ2" s="20"/>
      <c r="AK2" s="17" t="s">
        <v>9</v>
      </c>
    </row>
    <row r="3" spans="1:37" x14ac:dyDescent="0.2">
      <c r="A3" s="17" t="s">
        <v>71</v>
      </c>
      <c r="B3" s="63">
        <f>'summary results'!E6</f>
        <v>0</v>
      </c>
      <c r="D3" s="21" t="s">
        <v>10</v>
      </c>
      <c r="E3" s="22"/>
      <c r="F3" s="19">
        <f>HLOOKUP(F2,'pooled normalised values'!B74:V83,2,FALSE)</f>
        <v>0.16077643521891233</v>
      </c>
      <c r="G3" s="19">
        <f>HLOOKUP(G2,'pooled normalised values'!C74:W83,2,FALSE)</f>
        <v>0.43292212112839784</v>
      </c>
      <c r="H3" s="19">
        <f>HLOOKUP(H2,'pooled normalised values'!C74:X83,2,FALSE)</f>
        <v>1.989919097808398</v>
      </c>
      <c r="I3" s="19">
        <f>HLOOKUP(I2,'pooled normalised values'!D74:Y83,2,FALSE)</f>
        <v>2.737470688618453</v>
      </c>
      <c r="J3" s="19" t="e">
        <f>HLOOKUP(J2,'pooled normalised values'!E74:Z83,2,FALSE)</f>
        <v>#REF!</v>
      </c>
      <c r="K3" s="19" t="e">
        <f>HLOOKUP(K2,'pooled normalised values'!F74:AA83,2,FALSE)</f>
        <v>#REF!</v>
      </c>
      <c r="L3" s="19" t="e">
        <f>HLOOKUP(L2,'pooled normalised values'!G74:AB83,2,FALSE)</f>
        <v>#REF!</v>
      </c>
      <c r="M3" s="19" t="e">
        <f>HLOOKUP(M2,'pooled normalised values'!H74:AC83,2,FALSE)</f>
        <v>#REF!</v>
      </c>
      <c r="N3" s="19" t="e">
        <f>HLOOKUP(N2,'pooled normalised values'!I74:AD83,2,FALSE)</f>
        <v>#REF!</v>
      </c>
      <c r="O3" s="19" t="e">
        <f>HLOOKUP(O2,'pooled normalised values'!J74:AE83,2,FALSE)</f>
        <v>#REF!</v>
      </c>
      <c r="P3" s="19" t="e">
        <f>HLOOKUP(P2,'pooled normalised values'!K74:AF83,2,FALSE)</f>
        <v>#REF!</v>
      </c>
      <c r="Q3" s="19" t="e">
        <f>HLOOKUP(Q2,'pooled normalised values'!L74:AG83,2,FALSE)</f>
        <v>#REF!</v>
      </c>
      <c r="R3" s="19" t="e">
        <f>HLOOKUP(R2,'pooled normalised values'!M74:AH83,2,FALSE)</f>
        <v>#REF!</v>
      </c>
      <c r="S3" s="19" t="e">
        <f>HLOOKUP(S2,'pooled normalised values'!N74:AI83,2,FALSE)</f>
        <v>#REF!</v>
      </c>
      <c r="T3" s="22"/>
      <c r="U3" s="20"/>
      <c r="V3" s="19">
        <f>HLOOKUP(V2,'pooled normalised values'!N74:AL83,2,FALSE)</f>
        <v>1.305406486773349</v>
      </c>
      <c r="W3" s="19">
        <f>HLOOKUP(W2,'pooled normalised values'!N74:AM83,2,FALSE)</f>
        <v>1.6823276629173358</v>
      </c>
      <c r="X3" s="19">
        <f>HLOOKUP(X2,'pooled normalised values'!N74:AN83,2,FALSE)</f>
        <v>2.0439170810423555</v>
      </c>
      <c r="Y3" s="19">
        <f>HLOOKUP(Y2,'pooled normalised values'!N74:AO83,2,FALSE)</f>
        <v>2.1816909680956886</v>
      </c>
      <c r="Z3" s="19">
        <f>HLOOKUP(Z2,'pooled normalised values'!N74:AP83,2,FALSE)</f>
        <v>2.4902909973589216</v>
      </c>
      <c r="AA3" s="19" t="e">
        <f>HLOOKUP(AA2,'pooled normalised values'!N74:AQ83,2,FALSE)</f>
        <v>#REF!</v>
      </c>
      <c r="AB3" s="19" t="e">
        <f>HLOOKUP(AB2,'pooled normalised values'!N74:AR83,2,FALSE)</f>
        <v>#REF!</v>
      </c>
      <c r="AC3" s="19" t="e">
        <f>HLOOKUP(AC2,'pooled normalised values'!N74:AS83,2,FALSE)</f>
        <v>#REF!</v>
      </c>
      <c r="AD3" s="19" t="e">
        <f>HLOOKUP(AD2,'pooled normalised values'!N74:AT83,2,FALSE)</f>
        <v>#REF!</v>
      </c>
      <c r="AE3" s="19" t="e">
        <f>HLOOKUP(AE2,'pooled normalised values'!N74:AU83,2,FALSE)</f>
        <v>#REF!</v>
      </c>
      <c r="AF3" s="19" t="e">
        <f>HLOOKUP(AF2,'pooled normalised values'!N74:AV83,2,FALSE)</f>
        <v>#REF!</v>
      </c>
      <c r="AG3" s="19" t="e">
        <f>HLOOKUP(AG2,'pooled normalised values'!N74:AW83,2,FALSE)</f>
        <v>#REF!</v>
      </c>
      <c r="AH3" s="19" t="e">
        <f>HLOOKUP(AH2,'pooled normalised values'!N74:AX83,2,FALSE)</f>
        <v>#REF!</v>
      </c>
      <c r="AI3" s="19" t="e">
        <f>HLOOKUP(AI2,'pooled normalised values'!N74:AY83,2,FALSE)</f>
        <v>#REF!</v>
      </c>
      <c r="AJ3" s="20"/>
      <c r="AK3" s="21" t="s">
        <v>10</v>
      </c>
    </row>
    <row r="4" spans="1:37" x14ac:dyDescent="0.2">
      <c r="A4" s="17" t="s">
        <v>72</v>
      </c>
      <c r="B4" s="63">
        <f>'pooled normalised values'!O75</f>
        <v>0.99999999999999967</v>
      </c>
      <c r="D4" s="21" t="s">
        <v>2</v>
      </c>
      <c r="E4" s="22"/>
      <c r="F4" s="19">
        <f>HLOOKUP(F2,'pooled normalised values'!B74:V83,3,FALSE)</f>
        <v>6.3261435567210381E-2</v>
      </c>
      <c r="G4" s="19">
        <f>HLOOKUP(G2,'pooled normalised values'!C74:W83,3,FALSE)</f>
        <v>7.6011460976960113E-2</v>
      </c>
      <c r="H4" s="19">
        <f>HLOOKUP(H2,'pooled normalised values'!C74:X83,3,FALSE)</f>
        <v>0.15628965412739751</v>
      </c>
      <c r="I4" s="19">
        <f>HLOOKUP(I2,'pooled normalised values'!D74:Y83,3,FALSE)</f>
        <v>0.19871382190837028</v>
      </c>
      <c r="J4" s="19" t="e">
        <f>HLOOKUP(J2,'pooled normalised values'!E74:Z83,3,FALSE)</f>
        <v>#REF!</v>
      </c>
      <c r="K4" s="19" t="e">
        <f>HLOOKUP(K2,'pooled normalised values'!F74:AA83,3,FALSE)</f>
        <v>#REF!</v>
      </c>
      <c r="L4" s="19" t="e">
        <f>HLOOKUP(L2,'pooled normalised values'!G74:AB83,3,FALSE)</f>
        <v>#REF!</v>
      </c>
      <c r="M4" s="19" t="e">
        <f>HLOOKUP(M2,'pooled normalised values'!H74:AC83,3,FALSE)</f>
        <v>#REF!</v>
      </c>
      <c r="N4" s="19" t="e">
        <f>HLOOKUP(N2,'pooled normalised values'!I74:AD83,3,FALSE)</f>
        <v>#REF!</v>
      </c>
      <c r="O4" s="19" t="e">
        <f>HLOOKUP(O2,'pooled normalised values'!J74:AE83,3,FALSE)</f>
        <v>#REF!</v>
      </c>
      <c r="P4" s="19" t="e">
        <f>HLOOKUP(P2,'pooled normalised values'!K74:AF83,3,FALSE)</f>
        <v>#REF!</v>
      </c>
      <c r="Q4" s="19" t="e">
        <f>HLOOKUP(Q2,'pooled normalised values'!L74:AG83,3,FALSE)</f>
        <v>#REF!</v>
      </c>
      <c r="R4" s="19" t="e">
        <f>HLOOKUP(R2,'pooled normalised values'!M74:AH83,3,FALSE)</f>
        <v>#REF!</v>
      </c>
      <c r="S4" s="19" t="e">
        <f>HLOOKUP(S2,'pooled normalised values'!N74:AI83,3,FALSE)</f>
        <v>#REF!</v>
      </c>
      <c r="T4" s="22"/>
      <c r="U4" s="20"/>
      <c r="V4" s="19">
        <f>HLOOKUP(V2,'pooled normalised values'!N74:AL83,3,FALSE)</f>
        <v>0.10697242238235621</v>
      </c>
      <c r="W4" s="19">
        <f>HLOOKUP(W2,'pooled normalised values'!N74:AM83,3,FALSE)</f>
        <v>0.17705364998431691</v>
      </c>
      <c r="X4" s="19">
        <f>HLOOKUP(X2,'pooled normalised values'!N74:AN83,3,FALSE)</f>
        <v>0.14894794605285452</v>
      </c>
      <c r="Y4" s="19">
        <f>HLOOKUP(Y2,'pooled normalised values'!N74:AO83,3,FALSE)</f>
        <v>0.13759262184734503</v>
      </c>
      <c r="Z4" s="19">
        <f>HLOOKUP(Z2,'pooled normalised values'!N74:AP83,3,FALSE)</f>
        <v>0.17189785786660167</v>
      </c>
      <c r="AA4" s="19" t="e">
        <f>HLOOKUP(AA2,'pooled normalised values'!N74:AQ83,3,FALSE)</f>
        <v>#REF!</v>
      </c>
      <c r="AB4" s="19" t="e">
        <f>HLOOKUP(AB2,'pooled normalised values'!N74:AR83,3,FALSE)</f>
        <v>#REF!</v>
      </c>
      <c r="AC4" s="19" t="e">
        <f>HLOOKUP(AC2,'pooled normalised values'!N74:AS83,3,FALSE)</f>
        <v>#REF!</v>
      </c>
      <c r="AD4" s="19" t="e">
        <f>HLOOKUP(AD2,'pooled normalised values'!N74:AT83,3,FALSE)</f>
        <v>#REF!</v>
      </c>
      <c r="AE4" s="19" t="e">
        <f>HLOOKUP(AE2,'pooled normalised values'!N74:AU83,3,FALSE)</f>
        <v>#REF!</v>
      </c>
      <c r="AF4" s="19" t="e">
        <f>HLOOKUP(AF2,'pooled normalised values'!N74:AV83,3,FALSE)</f>
        <v>#REF!</v>
      </c>
      <c r="AG4" s="19" t="e">
        <f>HLOOKUP(AG2,'pooled normalised values'!N74:AW83,3,FALSE)</f>
        <v>#REF!</v>
      </c>
      <c r="AH4" s="19" t="e">
        <f>HLOOKUP(AH2,'pooled normalised values'!N74:AX83,3,FALSE)</f>
        <v>#REF!</v>
      </c>
      <c r="AI4" s="19" t="e">
        <f>HLOOKUP(AI2,'pooled normalised values'!N74:AY83,3,FALSE)</f>
        <v>#REF!</v>
      </c>
      <c r="AJ4" s="20"/>
      <c r="AK4" s="21" t="s">
        <v>2</v>
      </c>
    </row>
    <row r="5" spans="1:37" x14ac:dyDescent="0.2">
      <c r="A5" s="17" t="s">
        <v>73</v>
      </c>
      <c r="B5" s="63">
        <f>'pooled normalised values'!P75</f>
        <v>1.8373348548155883</v>
      </c>
      <c r="D5" s="23" t="s">
        <v>11</v>
      </c>
      <c r="E5" s="22"/>
      <c r="F5" s="19" t="str">
        <f>HLOOKUP(F2,'pooled normalised values'!B74:V83,10,FALSE)</f>
        <v>NS</v>
      </c>
      <c r="G5" s="19" t="str">
        <f>HLOOKUP(G2,'pooled normalised values'!C74:W83,10,FALSE)</f>
        <v>**</v>
      </c>
      <c r="H5" s="19" t="str">
        <f>HLOOKUP(H2,'pooled normalised values'!C74:X83,10,FALSE)</f>
        <v>***</v>
      </c>
      <c r="I5" s="19" t="str">
        <f>HLOOKUP(I2,'pooled normalised values'!D74:Y83,10,FALSE)</f>
        <v>***</v>
      </c>
      <c r="J5" s="19" t="e">
        <f>HLOOKUP(J2,'pooled normalised values'!E74:Z83,10,FALSE)</f>
        <v>#REF!</v>
      </c>
      <c r="K5" s="19" t="e">
        <f>HLOOKUP(K2,'pooled normalised values'!F74:AA83,10,FALSE)</f>
        <v>#REF!</v>
      </c>
      <c r="L5" s="19" t="e">
        <f>HLOOKUP(L2,'pooled normalised values'!G74:AB83,10,FALSE)</f>
        <v>#REF!</v>
      </c>
      <c r="M5" s="19" t="e">
        <f>HLOOKUP(M2,'pooled normalised values'!H74:AC83,10,FALSE)</f>
        <v>#REF!</v>
      </c>
      <c r="N5" s="19" t="e">
        <f>HLOOKUP(N2,'pooled normalised values'!I74:AD83,10,FALSE)</f>
        <v>#REF!</v>
      </c>
      <c r="O5" s="19" t="e">
        <f>HLOOKUP(O2,'pooled normalised values'!J74:AE83,10,FALSE)</f>
        <v>#REF!</v>
      </c>
      <c r="P5" s="19" t="e">
        <f>HLOOKUP(P2,'pooled normalised values'!K74:AF83,10,FALSE)</f>
        <v>#REF!</v>
      </c>
      <c r="Q5" s="19" t="e">
        <f>HLOOKUP(Q2,'pooled normalised values'!L74:AG83,10,FALSE)</f>
        <v>#REF!</v>
      </c>
      <c r="R5" s="19" t="e">
        <f>HLOOKUP(R2,'pooled normalised values'!M74:AH83,10,FALSE)</f>
        <v>#REF!</v>
      </c>
      <c r="S5" s="19" t="e">
        <f>HLOOKUP(S2,'pooled normalised values'!N74:AI83,10,FALSE)</f>
        <v>#REF!</v>
      </c>
      <c r="T5" s="22"/>
      <c r="U5" s="20"/>
      <c r="V5" s="19" t="str">
        <f>HLOOKUP(V2,'pooled normalised values'!N74:AL83,10,FALSE)</f>
        <v>NS</v>
      </c>
      <c r="W5" s="19" t="str">
        <f>HLOOKUP(W2,'pooled normalised values'!N74:AM83,10,FALSE)</f>
        <v>***</v>
      </c>
      <c r="X5" s="19" t="str">
        <f>HLOOKUP(X2,'pooled normalised values'!N74:AN83,10,FALSE)</f>
        <v>***</v>
      </c>
      <c r="Y5" s="19" t="str">
        <f>HLOOKUP(Y2,'pooled normalised values'!N74:AO83,10,FALSE)</f>
        <v>***</v>
      </c>
      <c r="Z5" s="19" t="str">
        <f>HLOOKUP(Z2,'pooled normalised values'!N74:AP83,10,FALSE)</f>
        <v>***</v>
      </c>
      <c r="AA5" s="19" t="e">
        <f>HLOOKUP(AA2,'pooled normalised values'!N74:AQ83,10,FALSE)</f>
        <v>#REF!</v>
      </c>
      <c r="AB5" s="19" t="e">
        <f>HLOOKUP(AB2,'pooled normalised values'!N74:AR83,10,FALSE)</f>
        <v>#REF!</v>
      </c>
      <c r="AC5" s="19" t="e">
        <f>HLOOKUP(AC2,'pooled normalised values'!N74:AS83,10,FALSE)</f>
        <v>#REF!</v>
      </c>
      <c r="AD5" s="19" t="e">
        <f>HLOOKUP(AD2,'pooled normalised values'!N74:AT83,10,FALSE)</f>
        <v>#REF!</v>
      </c>
      <c r="AE5" s="19" t="e">
        <f>HLOOKUP(AE2,'pooled normalised values'!N74:AU83,10,FALSE)</f>
        <v>#REF!</v>
      </c>
      <c r="AF5" s="19" t="e">
        <f>HLOOKUP(AF2,'pooled normalised values'!N74:AV83,10,FALSE)</f>
        <v>#REF!</v>
      </c>
      <c r="AG5" s="19" t="e">
        <f>HLOOKUP(AG2,'pooled normalised values'!N74:AW83,10,FALSE)</f>
        <v>#REF!</v>
      </c>
      <c r="AH5" s="19" t="e">
        <f>HLOOKUP(AH2,'pooled normalised values'!N74:AX83,10,FALSE)</f>
        <v>#REF!</v>
      </c>
      <c r="AI5" s="19" t="e">
        <f>HLOOKUP(AI2,'pooled normalised values'!N74:AY83,10,FALSE)</f>
        <v>#REF!</v>
      </c>
      <c r="AJ5" s="20"/>
      <c r="AK5" s="23" t="s">
        <v>11</v>
      </c>
    </row>
    <row r="6" spans="1:37" x14ac:dyDescent="0.2">
      <c r="A6" s="17" t="s">
        <v>74</v>
      </c>
      <c r="B6" s="63">
        <f>'pooled normalised values'!Q75</f>
        <v>8.9642465413240446E-2</v>
      </c>
      <c r="D6" s="21" t="s">
        <v>12</v>
      </c>
      <c r="E6" s="24">
        <f>$B$2</f>
        <v>8.1464266151762957E-2</v>
      </c>
      <c r="F6" s="24">
        <f>$B$2</f>
        <v>8.1464266151762957E-2</v>
      </c>
      <c r="G6" s="24">
        <f t="shared" ref="G6:R6" si="0">$B$2</f>
        <v>8.1464266151762957E-2</v>
      </c>
      <c r="H6" s="24">
        <f t="shared" si="0"/>
        <v>8.1464266151762957E-2</v>
      </c>
      <c r="I6" s="24">
        <f t="shared" si="0"/>
        <v>8.1464266151762957E-2</v>
      </c>
      <c r="J6" s="24">
        <f t="shared" si="0"/>
        <v>8.1464266151762957E-2</v>
      </c>
      <c r="K6" s="24">
        <f t="shared" si="0"/>
        <v>8.1464266151762957E-2</v>
      </c>
      <c r="L6" s="24">
        <f t="shared" si="0"/>
        <v>8.1464266151762957E-2</v>
      </c>
      <c r="M6" s="24">
        <f t="shared" si="0"/>
        <v>8.1464266151762957E-2</v>
      </c>
      <c r="N6" s="24">
        <f t="shared" si="0"/>
        <v>8.1464266151762957E-2</v>
      </c>
      <c r="O6" s="24">
        <f t="shared" si="0"/>
        <v>8.1464266151762957E-2</v>
      </c>
      <c r="P6" s="24">
        <f t="shared" si="0"/>
        <v>8.1464266151762957E-2</v>
      </c>
      <c r="Q6" s="24">
        <f t="shared" si="0"/>
        <v>8.1464266151762957E-2</v>
      </c>
      <c r="R6" s="24">
        <f t="shared" si="0"/>
        <v>8.1464266151762957E-2</v>
      </c>
      <c r="S6" s="24">
        <f>$B$2</f>
        <v>8.1464266151762957E-2</v>
      </c>
      <c r="T6" s="24">
        <f>$B$2</f>
        <v>8.1464266151762957E-2</v>
      </c>
      <c r="U6" s="25"/>
      <c r="V6" s="25"/>
      <c r="W6" s="25"/>
      <c r="X6" s="25"/>
      <c r="Y6" s="25"/>
      <c r="Z6" s="25"/>
      <c r="AA6" s="25"/>
      <c r="AB6" s="25"/>
      <c r="AC6" s="25"/>
      <c r="AD6" s="25"/>
      <c r="AE6" s="25"/>
      <c r="AF6" s="25"/>
      <c r="AG6" s="25"/>
      <c r="AH6" s="25"/>
      <c r="AI6" s="25"/>
      <c r="AJ6" s="25"/>
      <c r="AK6" s="21" t="s">
        <v>12</v>
      </c>
    </row>
    <row r="7" spans="1:37" x14ac:dyDescent="0.2">
      <c r="B7" s="26"/>
      <c r="D7" s="26" t="s">
        <v>13</v>
      </c>
      <c r="E7" s="24"/>
      <c r="F7" s="24"/>
      <c r="G7" s="24"/>
      <c r="H7" s="24"/>
      <c r="I7" s="24"/>
      <c r="J7" s="24"/>
      <c r="K7" s="24"/>
      <c r="L7" s="24"/>
      <c r="M7" s="24"/>
      <c r="N7" s="24"/>
      <c r="O7" s="24"/>
      <c r="P7" s="24"/>
      <c r="Q7" s="24"/>
      <c r="R7" s="24"/>
      <c r="S7" s="24"/>
      <c r="T7" s="27"/>
      <c r="U7" s="25">
        <f t="shared" ref="U7:AJ7" si="1">$B$4</f>
        <v>0.99999999999999967</v>
      </c>
      <c r="V7" s="25">
        <f t="shared" si="1"/>
        <v>0.99999999999999967</v>
      </c>
      <c r="W7" s="25">
        <f t="shared" si="1"/>
        <v>0.99999999999999967</v>
      </c>
      <c r="X7" s="25">
        <f t="shared" si="1"/>
        <v>0.99999999999999967</v>
      </c>
      <c r="Y7" s="25">
        <f t="shared" si="1"/>
        <v>0.99999999999999967</v>
      </c>
      <c r="Z7" s="25">
        <f t="shared" si="1"/>
        <v>0.99999999999999967</v>
      </c>
      <c r="AA7" s="25">
        <f t="shared" si="1"/>
        <v>0.99999999999999967</v>
      </c>
      <c r="AB7" s="25">
        <f t="shared" si="1"/>
        <v>0.99999999999999967</v>
      </c>
      <c r="AC7" s="25">
        <f t="shared" si="1"/>
        <v>0.99999999999999967</v>
      </c>
      <c r="AD7" s="25">
        <f t="shared" si="1"/>
        <v>0.99999999999999967</v>
      </c>
      <c r="AE7" s="25">
        <f t="shared" si="1"/>
        <v>0.99999999999999967</v>
      </c>
      <c r="AF7" s="25">
        <f t="shared" si="1"/>
        <v>0.99999999999999967</v>
      </c>
      <c r="AG7" s="25">
        <f t="shared" si="1"/>
        <v>0.99999999999999967</v>
      </c>
      <c r="AH7" s="25">
        <f t="shared" si="1"/>
        <v>0.99999999999999967</v>
      </c>
      <c r="AI7" s="25">
        <f t="shared" si="1"/>
        <v>0.99999999999999967</v>
      </c>
      <c r="AJ7" s="25">
        <f t="shared" si="1"/>
        <v>0.99999999999999967</v>
      </c>
      <c r="AK7" s="26" t="s">
        <v>13</v>
      </c>
    </row>
    <row r="8" spans="1:37" x14ac:dyDescent="0.2">
      <c r="D8" s="28" t="s">
        <v>14</v>
      </c>
      <c r="E8" s="24">
        <v>0</v>
      </c>
      <c r="F8" s="24">
        <v>0</v>
      </c>
      <c r="G8" s="24">
        <v>0</v>
      </c>
      <c r="H8" s="24">
        <v>0</v>
      </c>
      <c r="I8" s="24">
        <v>0</v>
      </c>
      <c r="J8" s="24">
        <v>0</v>
      </c>
      <c r="K8" s="24">
        <v>0</v>
      </c>
      <c r="L8" s="24">
        <v>0</v>
      </c>
      <c r="M8" s="24">
        <v>0</v>
      </c>
      <c r="N8" s="24">
        <v>0</v>
      </c>
      <c r="O8" s="24">
        <v>0</v>
      </c>
      <c r="P8" s="24">
        <v>0</v>
      </c>
      <c r="Q8" s="24">
        <v>0</v>
      </c>
      <c r="R8" s="24">
        <v>0</v>
      </c>
      <c r="S8" s="24">
        <v>0</v>
      </c>
      <c r="T8" s="27">
        <v>0</v>
      </c>
      <c r="U8" s="25">
        <f>$B$6</f>
        <v>8.9642465413240446E-2</v>
      </c>
      <c r="V8" s="25">
        <f t="shared" ref="V8:AJ8" si="2">$B$6</f>
        <v>8.9642465413240446E-2</v>
      </c>
      <c r="W8" s="25">
        <f t="shared" si="2"/>
        <v>8.9642465413240446E-2</v>
      </c>
      <c r="X8" s="25">
        <f t="shared" si="2"/>
        <v>8.9642465413240446E-2</v>
      </c>
      <c r="Y8" s="25">
        <f t="shared" si="2"/>
        <v>8.9642465413240446E-2</v>
      </c>
      <c r="Z8" s="25">
        <f t="shared" si="2"/>
        <v>8.9642465413240446E-2</v>
      </c>
      <c r="AA8" s="25">
        <f t="shared" si="2"/>
        <v>8.9642465413240446E-2</v>
      </c>
      <c r="AB8" s="25">
        <f t="shared" si="2"/>
        <v>8.9642465413240446E-2</v>
      </c>
      <c r="AC8" s="25">
        <f t="shared" si="2"/>
        <v>8.9642465413240446E-2</v>
      </c>
      <c r="AD8" s="25">
        <f t="shared" si="2"/>
        <v>8.9642465413240446E-2</v>
      </c>
      <c r="AE8" s="25">
        <f t="shared" si="2"/>
        <v>8.9642465413240446E-2</v>
      </c>
      <c r="AF8" s="25">
        <f t="shared" si="2"/>
        <v>8.9642465413240446E-2</v>
      </c>
      <c r="AG8" s="25">
        <f t="shared" si="2"/>
        <v>8.9642465413240446E-2</v>
      </c>
      <c r="AH8" s="25">
        <f t="shared" si="2"/>
        <v>8.9642465413240446E-2</v>
      </c>
      <c r="AI8" s="25">
        <f t="shared" si="2"/>
        <v>8.9642465413240446E-2</v>
      </c>
      <c r="AJ8" s="25">
        <f t="shared" si="2"/>
        <v>8.9642465413240446E-2</v>
      </c>
      <c r="AK8" s="28" t="s">
        <v>14</v>
      </c>
    </row>
    <row r="9" spans="1:37" x14ac:dyDescent="0.2">
      <c r="D9" s="28" t="s">
        <v>15</v>
      </c>
      <c r="E9" s="29">
        <f>$B$3-E8</f>
        <v>0</v>
      </c>
      <c r="F9" s="29">
        <f>$B$3-F8</f>
        <v>0</v>
      </c>
      <c r="G9" s="29">
        <f t="shared" ref="G9:R9" si="3">$B$3-G8</f>
        <v>0</v>
      </c>
      <c r="H9" s="29">
        <f t="shared" si="3"/>
        <v>0</v>
      </c>
      <c r="I9" s="29">
        <f t="shared" si="3"/>
        <v>0</v>
      </c>
      <c r="J9" s="29">
        <f t="shared" si="3"/>
        <v>0</v>
      </c>
      <c r="K9" s="29">
        <f t="shared" si="3"/>
        <v>0</v>
      </c>
      <c r="L9" s="29">
        <f t="shared" si="3"/>
        <v>0</v>
      </c>
      <c r="M9" s="29">
        <f t="shared" si="3"/>
        <v>0</v>
      </c>
      <c r="N9" s="29">
        <f t="shared" si="3"/>
        <v>0</v>
      </c>
      <c r="O9" s="29">
        <f t="shared" si="3"/>
        <v>0</v>
      </c>
      <c r="P9" s="29">
        <f t="shared" si="3"/>
        <v>0</v>
      </c>
      <c r="Q9" s="29">
        <f t="shared" si="3"/>
        <v>0</v>
      </c>
      <c r="R9" s="29">
        <f t="shared" si="3"/>
        <v>0</v>
      </c>
      <c r="S9" s="29">
        <f>$B$3-S8</f>
        <v>0</v>
      </c>
      <c r="T9" s="29">
        <f>$B$3-T8</f>
        <v>0</v>
      </c>
      <c r="U9" s="25">
        <f>$B$5-U8</f>
        <v>1.7476923894023479</v>
      </c>
      <c r="V9" s="25">
        <f>$B$5-V8</f>
        <v>1.7476923894023479</v>
      </c>
      <c r="W9" s="25">
        <f t="shared" ref="W9:AH9" si="4">$B$5-W8</f>
        <v>1.7476923894023479</v>
      </c>
      <c r="X9" s="25">
        <f t="shared" si="4"/>
        <v>1.7476923894023479</v>
      </c>
      <c r="Y9" s="25">
        <f t="shared" si="4"/>
        <v>1.7476923894023479</v>
      </c>
      <c r="Z9" s="25">
        <f t="shared" si="4"/>
        <v>1.7476923894023479</v>
      </c>
      <c r="AA9" s="25">
        <f t="shared" si="4"/>
        <v>1.7476923894023479</v>
      </c>
      <c r="AB9" s="25">
        <f t="shared" si="4"/>
        <v>1.7476923894023479</v>
      </c>
      <c r="AC9" s="25">
        <f t="shared" si="4"/>
        <v>1.7476923894023479</v>
      </c>
      <c r="AD9" s="25">
        <f t="shared" si="4"/>
        <v>1.7476923894023479</v>
      </c>
      <c r="AE9" s="25">
        <f t="shared" si="4"/>
        <v>1.7476923894023479</v>
      </c>
      <c r="AF9" s="25">
        <f t="shared" si="4"/>
        <v>1.7476923894023479</v>
      </c>
      <c r="AG9" s="25">
        <f t="shared" si="4"/>
        <v>1.7476923894023479</v>
      </c>
      <c r="AH9" s="25">
        <f t="shared" si="4"/>
        <v>1.7476923894023479</v>
      </c>
      <c r="AI9" s="25">
        <f>$B$5-AI8</f>
        <v>1.7476923894023479</v>
      </c>
      <c r="AJ9" s="25">
        <f>$B$5-AJ8</f>
        <v>1.7476923894023479</v>
      </c>
      <c r="AK9" s="28" t="s">
        <v>15</v>
      </c>
    </row>
    <row r="10" spans="1:37" x14ac:dyDescent="0.2">
      <c r="D10" s="28" t="s">
        <v>16</v>
      </c>
      <c r="E10" s="27">
        <f>2.5-E9</f>
        <v>2.5</v>
      </c>
      <c r="F10" s="27">
        <f>2.5-F9</f>
        <v>2.5</v>
      </c>
      <c r="G10" s="27">
        <f t="shared" ref="G10:R10" si="5">2.5-G9</f>
        <v>2.5</v>
      </c>
      <c r="H10" s="27">
        <f t="shared" si="5"/>
        <v>2.5</v>
      </c>
      <c r="I10" s="27">
        <f t="shared" si="5"/>
        <v>2.5</v>
      </c>
      <c r="J10" s="27">
        <f t="shared" si="5"/>
        <v>2.5</v>
      </c>
      <c r="K10" s="27">
        <f t="shared" si="5"/>
        <v>2.5</v>
      </c>
      <c r="L10" s="27">
        <f t="shared" si="5"/>
        <v>2.5</v>
      </c>
      <c r="M10" s="27">
        <f t="shared" si="5"/>
        <v>2.5</v>
      </c>
      <c r="N10" s="27">
        <f t="shared" si="5"/>
        <v>2.5</v>
      </c>
      <c r="O10" s="27">
        <f t="shared" si="5"/>
        <v>2.5</v>
      </c>
      <c r="P10" s="27">
        <f t="shared" si="5"/>
        <v>2.5</v>
      </c>
      <c r="Q10" s="27">
        <f t="shared" si="5"/>
        <v>2.5</v>
      </c>
      <c r="R10" s="27">
        <f t="shared" si="5"/>
        <v>2.5</v>
      </c>
      <c r="S10" s="27">
        <f>2.5-S9</f>
        <v>2.5</v>
      </c>
      <c r="T10" s="27">
        <f>2.5-T9</f>
        <v>2.5</v>
      </c>
      <c r="U10" s="25">
        <f>2.5-U9</f>
        <v>0.75230761059765205</v>
      </c>
      <c r="V10" s="25">
        <f>2.5-V9</f>
        <v>0.75230761059765205</v>
      </c>
      <c r="W10" s="25">
        <f t="shared" ref="W10:AH10" si="6">2.5-W9</f>
        <v>0.75230761059765205</v>
      </c>
      <c r="X10" s="25">
        <f t="shared" si="6"/>
        <v>0.75230761059765205</v>
      </c>
      <c r="Y10" s="25">
        <f t="shared" si="6"/>
        <v>0.75230761059765205</v>
      </c>
      <c r="Z10" s="25">
        <f t="shared" si="6"/>
        <v>0.75230761059765205</v>
      </c>
      <c r="AA10" s="25">
        <f t="shared" si="6"/>
        <v>0.75230761059765205</v>
      </c>
      <c r="AB10" s="25">
        <f t="shared" si="6"/>
        <v>0.75230761059765205</v>
      </c>
      <c r="AC10" s="25">
        <f t="shared" si="6"/>
        <v>0.75230761059765205</v>
      </c>
      <c r="AD10" s="25">
        <f t="shared" si="6"/>
        <v>0.75230761059765205</v>
      </c>
      <c r="AE10" s="25">
        <f t="shared" si="6"/>
        <v>0.75230761059765205</v>
      </c>
      <c r="AF10" s="25">
        <f t="shared" si="6"/>
        <v>0.75230761059765205</v>
      </c>
      <c r="AG10" s="25">
        <f t="shared" si="6"/>
        <v>0.75230761059765205</v>
      </c>
      <c r="AH10" s="25">
        <f t="shared" si="6"/>
        <v>0.75230761059765205</v>
      </c>
      <c r="AI10" s="25">
        <f>2.5-AI9</f>
        <v>0.75230761059765205</v>
      </c>
      <c r="AJ10" s="25">
        <f>2.5-AJ9</f>
        <v>0.75230761059765205</v>
      </c>
      <c r="AK10" s="28" t="s">
        <v>16</v>
      </c>
    </row>
    <row r="17" spans="2:20" x14ac:dyDescent="0.2">
      <c r="C17" s="23"/>
      <c r="D17" s="23"/>
    </row>
    <row r="18" spans="2:20" x14ac:dyDescent="0.2">
      <c r="B18" s="30"/>
    </row>
    <row r="19" spans="2:20" x14ac:dyDescent="0.2">
      <c r="B19" s="30"/>
    </row>
    <row r="20" spans="2:20" x14ac:dyDescent="0.2">
      <c r="B20" s="31"/>
    </row>
    <row r="21" spans="2:20" x14ac:dyDescent="0.2">
      <c r="B21" s="30"/>
    </row>
    <row r="22" spans="2:20" x14ac:dyDescent="0.2">
      <c r="B22" s="30"/>
      <c r="T22" s="23"/>
    </row>
    <row r="23" spans="2:20" x14ac:dyDescent="0.2">
      <c r="B23" s="31"/>
      <c r="T23" s="23"/>
    </row>
    <row r="24" spans="2:20" x14ac:dyDescent="0.2">
      <c r="T24" s="23"/>
    </row>
  </sheetData>
  <pageMargins left="0.7" right="0.7" top="0.75" bottom="0.75" header="0.3" footer="0.3"/>
  <pageSetup paperSize="9" orientation="portrait" horizontalDpi="300" verticalDpi="300" r:id="rId1"/>
  <headerFooter>
    <oddFooter>&amp;C&amp;1#&amp;"Arial"&amp;10&amp;K000000Internal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K24"/>
  <sheetViews>
    <sheetView topLeftCell="A16" zoomScale="70" zoomScaleNormal="70" workbookViewId="0">
      <selection activeCell="N34" sqref="N34"/>
    </sheetView>
  </sheetViews>
  <sheetFormatPr defaultColWidth="11.42578125" defaultRowHeight="12.75" x14ac:dyDescent="0.2"/>
  <cols>
    <col min="1" max="1" width="18.85546875" style="17" customWidth="1"/>
    <col min="2" max="2" width="7.28515625" style="17" bestFit="1" customWidth="1"/>
    <col min="3" max="3" width="10.5703125" style="17" customWidth="1"/>
    <col min="4" max="4" width="13.7109375" style="17" bestFit="1" customWidth="1"/>
    <col min="5" max="5" width="12" style="17" bestFit="1" customWidth="1"/>
    <col min="6" max="6" width="14.85546875" style="17" customWidth="1"/>
    <col min="7" max="8" width="11.42578125" style="17"/>
    <col min="9" max="9" width="13.5703125" style="17" bestFit="1" customWidth="1"/>
    <col min="10" max="256" width="11.42578125" style="17"/>
    <col min="257" max="257" width="18.7109375" style="17" customWidth="1"/>
    <col min="258" max="258" width="13.7109375" style="17" bestFit="1" customWidth="1"/>
    <col min="259" max="259" width="17.28515625" style="17" customWidth="1"/>
    <col min="260" max="260" width="11" style="17" customWidth="1"/>
    <col min="261" max="261" width="12" style="17" bestFit="1" customWidth="1"/>
    <col min="262" max="262" width="14.85546875" style="17" customWidth="1"/>
    <col min="263" max="512" width="11.42578125" style="17"/>
    <col min="513" max="513" width="18.7109375" style="17" customWidth="1"/>
    <col min="514" max="514" width="13.7109375" style="17" bestFit="1" customWidth="1"/>
    <col min="515" max="515" width="17.28515625" style="17" customWidth="1"/>
    <col min="516" max="516" width="11" style="17" customWidth="1"/>
    <col min="517" max="517" width="12" style="17" bestFit="1" customWidth="1"/>
    <col min="518" max="518" width="14.85546875" style="17" customWidth="1"/>
    <col min="519" max="768" width="11.42578125" style="17"/>
    <col min="769" max="769" width="18.7109375" style="17" customWidth="1"/>
    <col min="770" max="770" width="13.7109375" style="17" bestFit="1" customWidth="1"/>
    <col min="771" max="771" width="17.28515625" style="17" customWidth="1"/>
    <col min="772" max="772" width="11" style="17" customWidth="1"/>
    <col min="773" max="773" width="12" style="17" bestFit="1" customWidth="1"/>
    <col min="774" max="774" width="14.85546875" style="17" customWidth="1"/>
    <col min="775" max="1024" width="11.42578125" style="17"/>
    <col min="1025" max="1025" width="18.7109375" style="17" customWidth="1"/>
    <col min="1026" max="1026" width="13.7109375" style="17" bestFit="1" customWidth="1"/>
    <col min="1027" max="1027" width="17.28515625" style="17" customWidth="1"/>
    <col min="1028" max="1028" width="11" style="17" customWidth="1"/>
    <col min="1029" max="1029" width="12" style="17" bestFit="1" customWidth="1"/>
    <col min="1030" max="1030" width="14.85546875" style="17" customWidth="1"/>
    <col min="1031" max="1280" width="11.42578125" style="17"/>
    <col min="1281" max="1281" width="18.7109375" style="17" customWidth="1"/>
    <col min="1282" max="1282" width="13.7109375" style="17" bestFit="1" customWidth="1"/>
    <col min="1283" max="1283" width="17.28515625" style="17" customWidth="1"/>
    <col min="1284" max="1284" width="11" style="17" customWidth="1"/>
    <col min="1285" max="1285" width="12" style="17" bestFit="1" customWidth="1"/>
    <col min="1286" max="1286" width="14.85546875" style="17" customWidth="1"/>
    <col min="1287" max="1536" width="11.42578125" style="17"/>
    <col min="1537" max="1537" width="18.7109375" style="17" customWidth="1"/>
    <col min="1538" max="1538" width="13.7109375" style="17" bestFit="1" customWidth="1"/>
    <col min="1539" max="1539" width="17.28515625" style="17" customWidth="1"/>
    <col min="1540" max="1540" width="11" style="17" customWidth="1"/>
    <col min="1541" max="1541" width="12" style="17" bestFit="1" customWidth="1"/>
    <col min="1542" max="1542" width="14.85546875" style="17" customWidth="1"/>
    <col min="1543" max="1792" width="11.42578125" style="17"/>
    <col min="1793" max="1793" width="18.7109375" style="17" customWidth="1"/>
    <col min="1794" max="1794" width="13.7109375" style="17" bestFit="1" customWidth="1"/>
    <col min="1795" max="1795" width="17.28515625" style="17" customWidth="1"/>
    <col min="1796" max="1796" width="11" style="17" customWidth="1"/>
    <col min="1797" max="1797" width="12" style="17" bestFit="1" customWidth="1"/>
    <col min="1798" max="1798" width="14.85546875" style="17" customWidth="1"/>
    <col min="1799" max="2048" width="11.42578125" style="17"/>
    <col min="2049" max="2049" width="18.7109375" style="17" customWidth="1"/>
    <col min="2050" max="2050" width="13.7109375" style="17" bestFit="1" customWidth="1"/>
    <col min="2051" max="2051" width="17.28515625" style="17" customWidth="1"/>
    <col min="2052" max="2052" width="11" style="17" customWidth="1"/>
    <col min="2053" max="2053" width="12" style="17" bestFit="1" customWidth="1"/>
    <col min="2054" max="2054" width="14.85546875" style="17" customWidth="1"/>
    <col min="2055" max="2304" width="11.42578125" style="17"/>
    <col min="2305" max="2305" width="18.7109375" style="17" customWidth="1"/>
    <col min="2306" max="2306" width="13.7109375" style="17" bestFit="1" customWidth="1"/>
    <col min="2307" max="2307" width="17.28515625" style="17" customWidth="1"/>
    <col min="2308" max="2308" width="11" style="17" customWidth="1"/>
    <col min="2309" max="2309" width="12" style="17" bestFit="1" customWidth="1"/>
    <col min="2310" max="2310" width="14.85546875" style="17" customWidth="1"/>
    <col min="2311" max="2560" width="11.42578125" style="17"/>
    <col min="2561" max="2561" width="18.7109375" style="17" customWidth="1"/>
    <col min="2562" max="2562" width="13.7109375" style="17" bestFit="1" customWidth="1"/>
    <col min="2563" max="2563" width="17.28515625" style="17" customWidth="1"/>
    <col min="2564" max="2564" width="11" style="17" customWidth="1"/>
    <col min="2565" max="2565" width="12" style="17" bestFit="1" customWidth="1"/>
    <col min="2566" max="2566" width="14.85546875" style="17" customWidth="1"/>
    <col min="2567" max="2816" width="11.42578125" style="17"/>
    <col min="2817" max="2817" width="18.7109375" style="17" customWidth="1"/>
    <col min="2818" max="2818" width="13.7109375" style="17" bestFit="1" customWidth="1"/>
    <col min="2819" max="2819" width="17.28515625" style="17" customWidth="1"/>
    <col min="2820" max="2820" width="11" style="17" customWidth="1"/>
    <col min="2821" max="2821" width="12" style="17" bestFit="1" customWidth="1"/>
    <col min="2822" max="2822" width="14.85546875" style="17" customWidth="1"/>
    <col min="2823" max="3072" width="11.42578125" style="17"/>
    <col min="3073" max="3073" width="18.7109375" style="17" customWidth="1"/>
    <col min="3074" max="3074" width="13.7109375" style="17" bestFit="1" customWidth="1"/>
    <col min="3075" max="3075" width="17.28515625" style="17" customWidth="1"/>
    <col min="3076" max="3076" width="11" style="17" customWidth="1"/>
    <col min="3077" max="3077" width="12" style="17" bestFit="1" customWidth="1"/>
    <col min="3078" max="3078" width="14.85546875" style="17" customWidth="1"/>
    <col min="3079" max="3328" width="11.42578125" style="17"/>
    <col min="3329" max="3329" width="18.7109375" style="17" customWidth="1"/>
    <col min="3330" max="3330" width="13.7109375" style="17" bestFit="1" customWidth="1"/>
    <col min="3331" max="3331" width="17.28515625" style="17" customWidth="1"/>
    <col min="3332" max="3332" width="11" style="17" customWidth="1"/>
    <col min="3333" max="3333" width="12" style="17" bestFit="1" customWidth="1"/>
    <col min="3334" max="3334" width="14.85546875" style="17" customWidth="1"/>
    <col min="3335" max="3584" width="11.42578125" style="17"/>
    <col min="3585" max="3585" width="18.7109375" style="17" customWidth="1"/>
    <col min="3586" max="3586" width="13.7109375" style="17" bestFit="1" customWidth="1"/>
    <col min="3587" max="3587" width="17.28515625" style="17" customWidth="1"/>
    <col min="3588" max="3588" width="11" style="17" customWidth="1"/>
    <col min="3589" max="3589" width="12" style="17" bestFit="1" customWidth="1"/>
    <col min="3590" max="3590" width="14.85546875" style="17" customWidth="1"/>
    <col min="3591" max="3840" width="11.42578125" style="17"/>
    <col min="3841" max="3841" width="18.7109375" style="17" customWidth="1"/>
    <col min="3842" max="3842" width="13.7109375" style="17" bestFit="1" customWidth="1"/>
    <col min="3843" max="3843" width="17.28515625" style="17" customWidth="1"/>
    <col min="3844" max="3844" width="11" style="17" customWidth="1"/>
    <col min="3845" max="3845" width="12" style="17" bestFit="1" customWidth="1"/>
    <col min="3846" max="3846" width="14.85546875" style="17" customWidth="1"/>
    <col min="3847" max="4096" width="11.42578125" style="17"/>
    <col min="4097" max="4097" width="18.7109375" style="17" customWidth="1"/>
    <col min="4098" max="4098" width="13.7109375" style="17" bestFit="1" customWidth="1"/>
    <col min="4099" max="4099" width="17.28515625" style="17" customWidth="1"/>
    <col min="4100" max="4100" width="11" style="17" customWidth="1"/>
    <col min="4101" max="4101" width="12" style="17" bestFit="1" customWidth="1"/>
    <col min="4102" max="4102" width="14.85546875" style="17" customWidth="1"/>
    <col min="4103" max="4352" width="11.42578125" style="17"/>
    <col min="4353" max="4353" width="18.7109375" style="17" customWidth="1"/>
    <col min="4354" max="4354" width="13.7109375" style="17" bestFit="1" customWidth="1"/>
    <col min="4355" max="4355" width="17.28515625" style="17" customWidth="1"/>
    <col min="4356" max="4356" width="11" style="17" customWidth="1"/>
    <col min="4357" max="4357" width="12" style="17" bestFit="1" customWidth="1"/>
    <col min="4358" max="4358" width="14.85546875" style="17" customWidth="1"/>
    <col min="4359" max="4608" width="11.42578125" style="17"/>
    <col min="4609" max="4609" width="18.7109375" style="17" customWidth="1"/>
    <col min="4610" max="4610" width="13.7109375" style="17" bestFit="1" customWidth="1"/>
    <col min="4611" max="4611" width="17.28515625" style="17" customWidth="1"/>
    <col min="4612" max="4612" width="11" style="17" customWidth="1"/>
    <col min="4613" max="4613" width="12" style="17" bestFit="1" customWidth="1"/>
    <col min="4614" max="4614" width="14.85546875" style="17" customWidth="1"/>
    <col min="4615" max="4864" width="11.42578125" style="17"/>
    <col min="4865" max="4865" width="18.7109375" style="17" customWidth="1"/>
    <col min="4866" max="4866" width="13.7109375" style="17" bestFit="1" customWidth="1"/>
    <col min="4867" max="4867" width="17.28515625" style="17" customWidth="1"/>
    <col min="4868" max="4868" width="11" style="17" customWidth="1"/>
    <col min="4869" max="4869" width="12" style="17" bestFit="1" customWidth="1"/>
    <col min="4870" max="4870" width="14.85546875" style="17" customWidth="1"/>
    <col min="4871" max="5120" width="11.42578125" style="17"/>
    <col min="5121" max="5121" width="18.7109375" style="17" customWidth="1"/>
    <col min="5122" max="5122" width="13.7109375" style="17" bestFit="1" customWidth="1"/>
    <col min="5123" max="5123" width="17.28515625" style="17" customWidth="1"/>
    <col min="5124" max="5124" width="11" style="17" customWidth="1"/>
    <col min="5125" max="5125" width="12" style="17" bestFit="1" customWidth="1"/>
    <col min="5126" max="5126" width="14.85546875" style="17" customWidth="1"/>
    <col min="5127" max="5376" width="11.42578125" style="17"/>
    <col min="5377" max="5377" width="18.7109375" style="17" customWidth="1"/>
    <col min="5378" max="5378" width="13.7109375" style="17" bestFit="1" customWidth="1"/>
    <col min="5379" max="5379" width="17.28515625" style="17" customWidth="1"/>
    <col min="5380" max="5380" width="11" style="17" customWidth="1"/>
    <col min="5381" max="5381" width="12" style="17" bestFit="1" customWidth="1"/>
    <col min="5382" max="5382" width="14.85546875" style="17" customWidth="1"/>
    <col min="5383" max="5632" width="11.42578125" style="17"/>
    <col min="5633" max="5633" width="18.7109375" style="17" customWidth="1"/>
    <col min="5634" max="5634" width="13.7109375" style="17" bestFit="1" customWidth="1"/>
    <col min="5635" max="5635" width="17.28515625" style="17" customWidth="1"/>
    <col min="5636" max="5636" width="11" style="17" customWidth="1"/>
    <col min="5637" max="5637" width="12" style="17" bestFit="1" customWidth="1"/>
    <col min="5638" max="5638" width="14.85546875" style="17" customWidth="1"/>
    <col min="5639" max="5888" width="11.42578125" style="17"/>
    <col min="5889" max="5889" width="18.7109375" style="17" customWidth="1"/>
    <col min="5890" max="5890" width="13.7109375" style="17" bestFit="1" customWidth="1"/>
    <col min="5891" max="5891" width="17.28515625" style="17" customWidth="1"/>
    <col min="5892" max="5892" width="11" style="17" customWidth="1"/>
    <col min="5893" max="5893" width="12" style="17" bestFit="1" customWidth="1"/>
    <col min="5894" max="5894" width="14.85546875" style="17" customWidth="1"/>
    <col min="5895" max="6144" width="11.42578125" style="17"/>
    <col min="6145" max="6145" width="18.7109375" style="17" customWidth="1"/>
    <col min="6146" max="6146" width="13.7109375" style="17" bestFit="1" customWidth="1"/>
    <col min="6147" max="6147" width="17.28515625" style="17" customWidth="1"/>
    <col min="6148" max="6148" width="11" style="17" customWidth="1"/>
    <col min="6149" max="6149" width="12" style="17" bestFit="1" customWidth="1"/>
    <col min="6150" max="6150" width="14.85546875" style="17" customWidth="1"/>
    <col min="6151" max="6400" width="11.42578125" style="17"/>
    <col min="6401" max="6401" width="18.7109375" style="17" customWidth="1"/>
    <col min="6402" max="6402" width="13.7109375" style="17" bestFit="1" customWidth="1"/>
    <col min="6403" max="6403" width="17.28515625" style="17" customWidth="1"/>
    <col min="6404" max="6404" width="11" style="17" customWidth="1"/>
    <col min="6405" max="6405" width="12" style="17" bestFit="1" customWidth="1"/>
    <col min="6406" max="6406" width="14.85546875" style="17" customWidth="1"/>
    <col min="6407" max="6656" width="11.42578125" style="17"/>
    <col min="6657" max="6657" width="18.7109375" style="17" customWidth="1"/>
    <col min="6658" max="6658" width="13.7109375" style="17" bestFit="1" customWidth="1"/>
    <col min="6659" max="6659" width="17.28515625" style="17" customWidth="1"/>
    <col min="6660" max="6660" width="11" style="17" customWidth="1"/>
    <col min="6661" max="6661" width="12" style="17" bestFit="1" customWidth="1"/>
    <col min="6662" max="6662" width="14.85546875" style="17" customWidth="1"/>
    <col min="6663" max="6912" width="11.42578125" style="17"/>
    <col min="6913" max="6913" width="18.7109375" style="17" customWidth="1"/>
    <col min="6914" max="6914" width="13.7109375" style="17" bestFit="1" customWidth="1"/>
    <col min="6915" max="6915" width="17.28515625" style="17" customWidth="1"/>
    <col min="6916" max="6916" width="11" style="17" customWidth="1"/>
    <col min="6917" max="6917" width="12" style="17" bestFit="1" customWidth="1"/>
    <col min="6918" max="6918" width="14.85546875" style="17" customWidth="1"/>
    <col min="6919" max="7168" width="11.42578125" style="17"/>
    <col min="7169" max="7169" width="18.7109375" style="17" customWidth="1"/>
    <col min="7170" max="7170" width="13.7109375" style="17" bestFit="1" customWidth="1"/>
    <col min="7171" max="7171" width="17.28515625" style="17" customWidth="1"/>
    <col min="7172" max="7172" width="11" style="17" customWidth="1"/>
    <col min="7173" max="7173" width="12" style="17" bestFit="1" customWidth="1"/>
    <col min="7174" max="7174" width="14.85546875" style="17" customWidth="1"/>
    <col min="7175" max="7424" width="11.42578125" style="17"/>
    <col min="7425" max="7425" width="18.7109375" style="17" customWidth="1"/>
    <col min="7426" max="7426" width="13.7109375" style="17" bestFit="1" customWidth="1"/>
    <col min="7427" max="7427" width="17.28515625" style="17" customWidth="1"/>
    <col min="7428" max="7428" width="11" style="17" customWidth="1"/>
    <col min="7429" max="7429" width="12" style="17" bestFit="1" customWidth="1"/>
    <col min="7430" max="7430" width="14.85546875" style="17" customWidth="1"/>
    <col min="7431" max="7680" width="11.42578125" style="17"/>
    <col min="7681" max="7681" width="18.7109375" style="17" customWidth="1"/>
    <col min="7682" max="7682" width="13.7109375" style="17" bestFit="1" customWidth="1"/>
    <col min="7683" max="7683" width="17.28515625" style="17" customWidth="1"/>
    <col min="7684" max="7684" width="11" style="17" customWidth="1"/>
    <col min="7685" max="7685" width="12" style="17" bestFit="1" customWidth="1"/>
    <col min="7686" max="7686" width="14.85546875" style="17" customWidth="1"/>
    <col min="7687" max="7936" width="11.42578125" style="17"/>
    <col min="7937" max="7937" width="18.7109375" style="17" customWidth="1"/>
    <col min="7938" max="7938" width="13.7109375" style="17" bestFit="1" customWidth="1"/>
    <col min="7939" max="7939" width="17.28515625" style="17" customWidth="1"/>
    <col min="7940" max="7940" width="11" style="17" customWidth="1"/>
    <col min="7941" max="7941" width="12" style="17" bestFit="1" customWidth="1"/>
    <col min="7942" max="7942" width="14.85546875" style="17" customWidth="1"/>
    <col min="7943" max="8192" width="11.42578125" style="17"/>
    <col min="8193" max="8193" width="18.7109375" style="17" customWidth="1"/>
    <col min="8194" max="8194" width="13.7109375" style="17" bestFit="1" customWidth="1"/>
    <col min="8195" max="8195" width="17.28515625" style="17" customWidth="1"/>
    <col min="8196" max="8196" width="11" style="17" customWidth="1"/>
    <col min="8197" max="8197" width="12" style="17" bestFit="1" customWidth="1"/>
    <col min="8198" max="8198" width="14.85546875" style="17" customWidth="1"/>
    <col min="8199" max="8448" width="11.42578125" style="17"/>
    <col min="8449" max="8449" width="18.7109375" style="17" customWidth="1"/>
    <col min="8450" max="8450" width="13.7109375" style="17" bestFit="1" customWidth="1"/>
    <col min="8451" max="8451" width="17.28515625" style="17" customWidth="1"/>
    <col min="8452" max="8452" width="11" style="17" customWidth="1"/>
    <col min="8453" max="8453" width="12" style="17" bestFit="1" customWidth="1"/>
    <col min="8454" max="8454" width="14.85546875" style="17" customWidth="1"/>
    <col min="8455" max="8704" width="11.42578125" style="17"/>
    <col min="8705" max="8705" width="18.7109375" style="17" customWidth="1"/>
    <col min="8706" max="8706" width="13.7109375" style="17" bestFit="1" customWidth="1"/>
    <col min="8707" max="8707" width="17.28515625" style="17" customWidth="1"/>
    <col min="8708" max="8708" width="11" style="17" customWidth="1"/>
    <col min="8709" max="8709" width="12" style="17" bestFit="1" customWidth="1"/>
    <col min="8710" max="8710" width="14.85546875" style="17" customWidth="1"/>
    <col min="8711" max="8960" width="11.42578125" style="17"/>
    <col min="8961" max="8961" width="18.7109375" style="17" customWidth="1"/>
    <col min="8962" max="8962" width="13.7109375" style="17" bestFit="1" customWidth="1"/>
    <col min="8963" max="8963" width="17.28515625" style="17" customWidth="1"/>
    <col min="8964" max="8964" width="11" style="17" customWidth="1"/>
    <col min="8965" max="8965" width="12" style="17" bestFit="1" customWidth="1"/>
    <col min="8966" max="8966" width="14.85546875" style="17" customWidth="1"/>
    <col min="8967" max="9216" width="11.42578125" style="17"/>
    <col min="9217" max="9217" width="18.7109375" style="17" customWidth="1"/>
    <col min="9218" max="9218" width="13.7109375" style="17" bestFit="1" customWidth="1"/>
    <col min="9219" max="9219" width="17.28515625" style="17" customWidth="1"/>
    <col min="9220" max="9220" width="11" style="17" customWidth="1"/>
    <col min="9221" max="9221" width="12" style="17" bestFit="1" customWidth="1"/>
    <col min="9222" max="9222" width="14.85546875" style="17" customWidth="1"/>
    <col min="9223" max="9472" width="11.42578125" style="17"/>
    <col min="9473" max="9473" width="18.7109375" style="17" customWidth="1"/>
    <col min="9474" max="9474" width="13.7109375" style="17" bestFit="1" customWidth="1"/>
    <col min="9475" max="9475" width="17.28515625" style="17" customWidth="1"/>
    <col min="9476" max="9476" width="11" style="17" customWidth="1"/>
    <col min="9477" max="9477" width="12" style="17" bestFit="1" customWidth="1"/>
    <col min="9478" max="9478" width="14.85546875" style="17" customWidth="1"/>
    <col min="9479" max="9728" width="11.42578125" style="17"/>
    <col min="9729" max="9729" width="18.7109375" style="17" customWidth="1"/>
    <col min="9730" max="9730" width="13.7109375" style="17" bestFit="1" customWidth="1"/>
    <col min="9731" max="9731" width="17.28515625" style="17" customWidth="1"/>
    <col min="9732" max="9732" width="11" style="17" customWidth="1"/>
    <col min="9733" max="9733" width="12" style="17" bestFit="1" customWidth="1"/>
    <col min="9734" max="9734" width="14.85546875" style="17" customWidth="1"/>
    <col min="9735" max="9984" width="11.42578125" style="17"/>
    <col min="9985" max="9985" width="18.7109375" style="17" customWidth="1"/>
    <col min="9986" max="9986" width="13.7109375" style="17" bestFit="1" customWidth="1"/>
    <col min="9987" max="9987" width="17.28515625" style="17" customWidth="1"/>
    <col min="9988" max="9988" width="11" style="17" customWidth="1"/>
    <col min="9989" max="9989" width="12" style="17" bestFit="1" customWidth="1"/>
    <col min="9990" max="9990" width="14.85546875" style="17" customWidth="1"/>
    <col min="9991" max="10240" width="11.42578125" style="17"/>
    <col min="10241" max="10241" width="18.7109375" style="17" customWidth="1"/>
    <col min="10242" max="10242" width="13.7109375" style="17" bestFit="1" customWidth="1"/>
    <col min="10243" max="10243" width="17.28515625" style="17" customWidth="1"/>
    <col min="10244" max="10244" width="11" style="17" customWidth="1"/>
    <col min="10245" max="10245" width="12" style="17" bestFit="1" customWidth="1"/>
    <col min="10246" max="10246" width="14.85546875" style="17" customWidth="1"/>
    <col min="10247" max="10496" width="11.42578125" style="17"/>
    <col min="10497" max="10497" width="18.7109375" style="17" customWidth="1"/>
    <col min="10498" max="10498" width="13.7109375" style="17" bestFit="1" customWidth="1"/>
    <col min="10499" max="10499" width="17.28515625" style="17" customWidth="1"/>
    <col min="10500" max="10500" width="11" style="17" customWidth="1"/>
    <col min="10501" max="10501" width="12" style="17" bestFit="1" customWidth="1"/>
    <col min="10502" max="10502" width="14.85546875" style="17" customWidth="1"/>
    <col min="10503" max="10752" width="11.42578125" style="17"/>
    <col min="10753" max="10753" width="18.7109375" style="17" customWidth="1"/>
    <col min="10754" max="10754" width="13.7109375" style="17" bestFit="1" customWidth="1"/>
    <col min="10755" max="10755" width="17.28515625" style="17" customWidth="1"/>
    <col min="10756" max="10756" width="11" style="17" customWidth="1"/>
    <col min="10757" max="10757" width="12" style="17" bestFit="1" customWidth="1"/>
    <col min="10758" max="10758" width="14.85546875" style="17" customWidth="1"/>
    <col min="10759" max="11008" width="11.42578125" style="17"/>
    <col min="11009" max="11009" width="18.7109375" style="17" customWidth="1"/>
    <col min="11010" max="11010" width="13.7109375" style="17" bestFit="1" customWidth="1"/>
    <col min="11011" max="11011" width="17.28515625" style="17" customWidth="1"/>
    <col min="11012" max="11012" width="11" style="17" customWidth="1"/>
    <col min="11013" max="11013" width="12" style="17" bestFit="1" customWidth="1"/>
    <col min="11014" max="11014" width="14.85546875" style="17" customWidth="1"/>
    <col min="11015" max="11264" width="11.42578125" style="17"/>
    <col min="11265" max="11265" width="18.7109375" style="17" customWidth="1"/>
    <col min="11266" max="11266" width="13.7109375" style="17" bestFit="1" customWidth="1"/>
    <col min="11267" max="11267" width="17.28515625" style="17" customWidth="1"/>
    <col min="11268" max="11268" width="11" style="17" customWidth="1"/>
    <col min="11269" max="11269" width="12" style="17" bestFit="1" customWidth="1"/>
    <col min="11270" max="11270" width="14.85546875" style="17" customWidth="1"/>
    <col min="11271" max="11520" width="11.42578125" style="17"/>
    <col min="11521" max="11521" width="18.7109375" style="17" customWidth="1"/>
    <col min="11522" max="11522" width="13.7109375" style="17" bestFit="1" customWidth="1"/>
    <col min="11523" max="11523" width="17.28515625" style="17" customWidth="1"/>
    <col min="11524" max="11524" width="11" style="17" customWidth="1"/>
    <col min="11525" max="11525" width="12" style="17" bestFit="1" customWidth="1"/>
    <col min="11526" max="11526" width="14.85546875" style="17" customWidth="1"/>
    <col min="11527" max="11776" width="11.42578125" style="17"/>
    <col min="11777" max="11777" width="18.7109375" style="17" customWidth="1"/>
    <col min="11778" max="11778" width="13.7109375" style="17" bestFit="1" customWidth="1"/>
    <col min="11779" max="11779" width="17.28515625" style="17" customWidth="1"/>
    <col min="11780" max="11780" width="11" style="17" customWidth="1"/>
    <col min="11781" max="11781" width="12" style="17" bestFit="1" customWidth="1"/>
    <col min="11782" max="11782" width="14.85546875" style="17" customWidth="1"/>
    <col min="11783" max="12032" width="11.42578125" style="17"/>
    <col min="12033" max="12033" width="18.7109375" style="17" customWidth="1"/>
    <col min="12034" max="12034" width="13.7109375" style="17" bestFit="1" customWidth="1"/>
    <col min="12035" max="12035" width="17.28515625" style="17" customWidth="1"/>
    <col min="12036" max="12036" width="11" style="17" customWidth="1"/>
    <col min="12037" max="12037" width="12" style="17" bestFit="1" customWidth="1"/>
    <col min="12038" max="12038" width="14.85546875" style="17" customWidth="1"/>
    <col min="12039" max="12288" width="11.42578125" style="17"/>
    <col min="12289" max="12289" width="18.7109375" style="17" customWidth="1"/>
    <col min="12290" max="12290" width="13.7109375" style="17" bestFit="1" customWidth="1"/>
    <col min="12291" max="12291" width="17.28515625" style="17" customWidth="1"/>
    <col min="12292" max="12292" width="11" style="17" customWidth="1"/>
    <col min="12293" max="12293" width="12" style="17" bestFit="1" customWidth="1"/>
    <col min="12294" max="12294" width="14.85546875" style="17" customWidth="1"/>
    <col min="12295" max="12544" width="11.42578125" style="17"/>
    <col min="12545" max="12545" width="18.7109375" style="17" customWidth="1"/>
    <col min="12546" max="12546" width="13.7109375" style="17" bestFit="1" customWidth="1"/>
    <col min="12547" max="12547" width="17.28515625" style="17" customWidth="1"/>
    <col min="12548" max="12548" width="11" style="17" customWidth="1"/>
    <col min="12549" max="12549" width="12" style="17" bestFit="1" customWidth="1"/>
    <col min="12550" max="12550" width="14.85546875" style="17" customWidth="1"/>
    <col min="12551" max="12800" width="11.42578125" style="17"/>
    <col min="12801" max="12801" width="18.7109375" style="17" customWidth="1"/>
    <col min="12802" max="12802" width="13.7109375" style="17" bestFit="1" customWidth="1"/>
    <col min="12803" max="12803" width="17.28515625" style="17" customWidth="1"/>
    <col min="12804" max="12804" width="11" style="17" customWidth="1"/>
    <col min="12805" max="12805" width="12" style="17" bestFit="1" customWidth="1"/>
    <col min="12806" max="12806" width="14.85546875" style="17" customWidth="1"/>
    <col min="12807" max="13056" width="11.42578125" style="17"/>
    <col min="13057" max="13057" width="18.7109375" style="17" customWidth="1"/>
    <col min="13058" max="13058" width="13.7109375" style="17" bestFit="1" customWidth="1"/>
    <col min="13059" max="13059" width="17.28515625" style="17" customWidth="1"/>
    <col min="13060" max="13060" width="11" style="17" customWidth="1"/>
    <col min="13061" max="13061" width="12" style="17" bestFit="1" customWidth="1"/>
    <col min="13062" max="13062" width="14.85546875" style="17" customWidth="1"/>
    <col min="13063" max="13312" width="11.42578125" style="17"/>
    <col min="13313" max="13313" width="18.7109375" style="17" customWidth="1"/>
    <col min="13314" max="13314" width="13.7109375" style="17" bestFit="1" customWidth="1"/>
    <col min="13315" max="13315" width="17.28515625" style="17" customWidth="1"/>
    <col min="13316" max="13316" width="11" style="17" customWidth="1"/>
    <col min="13317" max="13317" width="12" style="17" bestFit="1" customWidth="1"/>
    <col min="13318" max="13318" width="14.85546875" style="17" customWidth="1"/>
    <col min="13319" max="13568" width="11.42578125" style="17"/>
    <col min="13569" max="13569" width="18.7109375" style="17" customWidth="1"/>
    <col min="13570" max="13570" width="13.7109375" style="17" bestFit="1" customWidth="1"/>
    <col min="13571" max="13571" width="17.28515625" style="17" customWidth="1"/>
    <col min="13572" max="13572" width="11" style="17" customWidth="1"/>
    <col min="13573" max="13573" width="12" style="17" bestFit="1" customWidth="1"/>
    <col min="13574" max="13574" width="14.85546875" style="17" customWidth="1"/>
    <col min="13575" max="13824" width="11.42578125" style="17"/>
    <col min="13825" max="13825" width="18.7109375" style="17" customWidth="1"/>
    <col min="13826" max="13826" width="13.7109375" style="17" bestFit="1" customWidth="1"/>
    <col min="13827" max="13827" width="17.28515625" style="17" customWidth="1"/>
    <col min="13828" max="13828" width="11" style="17" customWidth="1"/>
    <col min="13829" max="13829" width="12" style="17" bestFit="1" customWidth="1"/>
    <col min="13830" max="13830" width="14.85546875" style="17" customWidth="1"/>
    <col min="13831" max="14080" width="11.42578125" style="17"/>
    <col min="14081" max="14081" width="18.7109375" style="17" customWidth="1"/>
    <col min="14082" max="14082" width="13.7109375" style="17" bestFit="1" customWidth="1"/>
    <col min="14083" max="14083" width="17.28515625" style="17" customWidth="1"/>
    <col min="14084" max="14084" width="11" style="17" customWidth="1"/>
    <col min="14085" max="14085" width="12" style="17" bestFit="1" customWidth="1"/>
    <col min="14086" max="14086" width="14.85546875" style="17" customWidth="1"/>
    <col min="14087" max="14336" width="11.42578125" style="17"/>
    <col min="14337" max="14337" width="18.7109375" style="17" customWidth="1"/>
    <col min="14338" max="14338" width="13.7109375" style="17" bestFit="1" customWidth="1"/>
    <col min="14339" max="14339" width="17.28515625" style="17" customWidth="1"/>
    <col min="14340" max="14340" width="11" style="17" customWidth="1"/>
    <col min="14341" max="14341" width="12" style="17" bestFit="1" customWidth="1"/>
    <col min="14342" max="14342" width="14.85546875" style="17" customWidth="1"/>
    <col min="14343" max="14592" width="11.42578125" style="17"/>
    <col min="14593" max="14593" width="18.7109375" style="17" customWidth="1"/>
    <col min="14594" max="14594" width="13.7109375" style="17" bestFit="1" customWidth="1"/>
    <col min="14595" max="14595" width="17.28515625" style="17" customWidth="1"/>
    <col min="14596" max="14596" width="11" style="17" customWidth="1"/>
    <col min="14597" max="14597" width="12" style="17" bestFit="1" customWidth="1"/>
    <col min="14598" max="14598" width="14.85546875" style="17" customWidth="1"/>
    <col min="14599" max="14848" width="11.42578125" style="17"/>
    <col min="14849" max="14849" width="18.7109375" style="17" customWidth="1"/>
    <col min="14850" max="14850" width="13.7109375" style="17" bestFit="1" customWidth="1"/>
    <col min="14851" max="14851" width="17.28515625" style="17" customWidth="1"/>
    <col min="14852" max="14852" width="11" style="17" customWidth="1"/>
    <col min="14853" max="14853" width="12" style="17" bestFit="1" customWidth="1"/>
    <col min="14854" max="14854" width="14.85546875" style="17" customWidth="1"/>
    <col min="14855" max="15104" width="11.42578125" style="17"/>
    <col min="15105" max="15105" width="18.7109375" style="17" customWidth="1"/>
    <col min="15106" max="15106" width="13.7109375" style="17" bestFit="1" customWidth="1"/>
    <col min="15107" max="15107" width="17.28515625" style="17" customWidth="1"/>
    <col min="15108" max="15108" width="11" style="17" customWidth="1"/>
    <col min="15109" max="15109" width="12" style="17" bestFit="1" customWidth="1"/>
    <col min="15110" max="15110" width="14.85546875" style="17" customWidth="1"/>
    <col min="15111" max="15360" width="11.42578125" style="17"/>
    <col min="15361" max="15361" width="18.7109375" style="17" customWidth="1"/>
    <col min="15362" max="15362" width="13.7109375" style="17" bestFit="1" customWidth="1"/>
    <col min="15363" max="15363" width="17.28515625" style="17" customWidth="1"/>
    <col min="15364" max="15364" width="11" style="17" customWidth="1"/>
    <col min="15365" max="15365" width="12" style="17" bestFit="1" customWidth="1"/>
    <col min="15366" max="15366" width="14.85546875" style="17" customWidth="1"/>
    <col min="15367" max="15616" width="11.42578125" style="17"/>
    <col min="15617" max="15617" width="18.7109375" style="17" customWidth="1"/>
    <col min="15618" max="15618" width="13.7109375" style="17" bestFit="1" customWidth="1"/>
    <col min="15619" max="15619" width="17.28515625" style="17" customWidth="1"/>
    <col min="15620" max="15620" width="11" style="17" customWidth="1"/>
    <col min="15621" max="15621" width="12" style="17" bestFit="1" customWidth="1"/>
    <col min="15622" max="15622" width="14.85546875" style="17" customWidth="1"/>
    <col min="15623" max="15872" width="11.42578125" style="17"/>
    <col min="15873" max="15873" width="18.7109375" style="17" customWidth="1"/>
    <col min="15874" max="15874" width="13.7109375" style="17" bestFit="1" customWidth="1"/>
    <col min="15875" max="15875" width="17.28515625" style="17" customWidth="1"/>
    <col min="15876" max="15876" width="11" style="17" customWidth="1"/>
    <col min="15877" max="15877" width="12" style="17" bestFit="1" customWidth="1"/>
    <col min="15878" max="15878" width="14.85546875" style="17" customWidth="1"/>
    <col min="15879" max="16128" width="11.42578125" style="17"/>
    <col min="16129" max="16129" width="18.7109375" style="17" customWidth="1"/>
    <col min="16130" max="16130" width="13.7109375" style="17" bestFit="1" customWidth="1"/>
    <col min="16131" max="16131" width="17.28515625" style="17" customWidth="1"/>
    <col min="16132" max="16132" width="11" style="17" customWidth="1"/>
    <col min="16133" max="16133" width="12" style="17" bestFit="1" customWidth="1"/>
    <col min="16134" max="16134" width="14.85546875" style="17" customWidth="1"/>
    <col min="16135" max="16384" width="11.42578125" style="17"/>
  </cols>
  <sheetData>
    <row r="2" spans="1:11" x14ac:dyDescent="0.2">
      <c r="A2" s="17" t="s">
        <v>70</v>
      </c>
      <c r="B2" s="63">
        <f>'pooled normalised values'!B75</f>
        <v>8.1464266151762957E-2</v>
      </c>
      <c r="D2" s="17" t="s">
        <v>9</v>
      </c>
      <c r="E2" s="18"/>
      <c r="F2" s="19" t="str">
        <f>'pooled normalised values'!J74</f>
        <v>estradiol 68ng/L</v>
      </c>
      <c r="G2" s="18"/>
      <c r="H2" s="20"/>
      <c r="I2" s="19" t="str">
        <f>'pooled normalised values'!R74</f>
        <v>estradiol-34ng/L + Testosterone</v>
      </c>
      <c r="J2" s="20"/>
      <c r="K2" s="17" t="s">
        <v>9</v>
      </c>
    </row>
    <row r="3" spans="1:11" x14ac:dyDescent="0.2">
      <c r="A3" s="17" t="s">
        <v>71</v>
      </c>
      <c r="B3" s="63">
        <f>'summary results'!E6</f>
        <v>0</v>
      </c>
      <c r="D3" s="21" t="s">
        <v>10</v>
      </c>
      <c r="E3" s="22"/>
      <c r="F3" s="19">
        <f>HLOOKUP(F2,'pooled normalised values'!B74:V83,2,FALSE)</f>
        <v>0.16077643521891233</v>
      </c>
      <c r="G3" s="22"/>
      <c r="H3" s="20"/>
      <c r="I3" s="19">
        <f>HLOOKUP(I2,'pooled normalised values'!N74:AL83,2,FALSE)</f>
        <v>1.305406486773349</v>
      </c>
      <c r="J3" s="20"/>
      <c r="K3" s="21" t="s">
        <v>10</v>
      </c>
    </row>
    <row r="4" spans="1:11" x14ac:dyDescent="0.2">
      <c r="A4" s="17" t="s">
        <v>72</v>
      </c>
      <c r="B4" s="63">
        <f>'pooled normalised values'!O75</f>
        <v>0.99999999999999967</v>
      </c>
      <c r="D4" s="21" t="s">
        <v>2</v>
      </c>
      <c r="E4" s="22"/>
      <c r="F4" s="19">
        <f>HLOOKUP(F2,'pooled normalised values'!B74:V83,3,FALSE)</f>
        <v>6.3261435567210381E-2</v>
      </c>
      <c r="G4" s="22"/>
      <c r="H4" s="20"/>
      <c r="I4" s="19">
        <f>HLOOKUP(I2,'pooled normalised values'!N74:AL83,3,FALSE)</f>
        <v>0.10697242238235621</v>
      </c>
      <c r="J4" s="20"/>
      <c r="K4" s="21" t="s">
        <v>2</v>
      </c>
    </row>
    <row r="5" spans="1:11" x14ac:dyDescent="0.2">
      <c r="A5" s="17" t="s">
        <v>73</v>
      </c>
      <c r="B5" s="63">
        <f>'pooled normalised values'!P75</f>
        <v>1.8373348548155883</v>
      </c>
      <c r="D5" s="23" t="s">
        <v>11</v>
      </c>
      <c r="E5" s="22"/>
      <c r="F5" s="19" t="str">
        <f>HLOOKUP(F2,'pooled normalised values'!B74:V83,10,FALSE)</f>
        <v>NS</v>
      </c>
      <c r="G5" s="22"/>
      <c r="H5" s="20"/>
      <c r="I5" s="19" t="str">
        <f>HLOOKUP(I2,'pooled normalised values'!N74:AL83,10,FALSE)</f>
        <v>NS</v>
      </c>
      <c r="J5" s="20"/>
      <c r="K5" s="23" t="s">
        <v>11</v>
      </c>
    </row>
    <row r="6" spans="1:11" x14ac:dyDescent="0.2">
      <c r="A6" s="17" t="s">
        <v>74</v>
      </c>
      <c r="B6" s="63">
        <f>'pooled normalised values'!Q75</f>
        <v>8.9642465413240446E-2</v>
      </c>
      <c r="D6" s="21" t="s">
        <v>12</v>
      </c>
      <c r="E6" s="24">
        <f>$B$2</f>
        <v>8.1464266151762957E-2</v>
      </c>
      <c r="F6" s="24">
        <f>$B$2</f>
        <v>8.1464266151762957E-2</v>
      </c>
      <c r="G6" s="24">
        <f>$B$2</f>
        <v>8.1464266151762957E-2</v>
      </c>
      <c r="H6" s="25"/>
      <c r="I6" s="25"/>
      <c r="J6" s="25"/>
      <c r="K6" s="21" t="s">
        <v>12</v>
      </c>
    </row>
    <row r="7" spans="1:11" x14ac:dyDescent="0.2">
      <c r="B7" s="26"/>
      <c r="D7" s="26" t="s">
        <v>13</v>
      </c>
      <c r="E7" s="24"/>
      <c r="F7" s="24"/>
      <c r="G7" s="27"/>
      <c r="H7" s="25">
        <f t="shared" ref="H7:J7" si="0">$B$4</f>
        <v>0.99999999999999967</v>
      </c>
      <c r="I7" s="25">
        <f t="shared" si="0"/>
        <v>0.99999999999999967</v>
      </c>
      <c r="J7" s="25">
        <f t="shared" si="0"/>
        <v>0.99999999999999967</v>
      </c>
      <c r="K7" s="26" t="s">
        <v>13</v>
      </c>
    </row>
    <row r="8" spans="1:11" x14ac:dyDescent="0.2">
      <c r="D8" s="28" t="s">
        <v>14</v>
      </c>
      <c r="E8" s="24">
        <v>0</v>
      </c>
      <c r="F8" s="24">
        <v>0</v>
      </c>
      <c r="G8" s="27">
        <v>0</v>
      </c>
      <c r="H8" s="25">
        <f>$B$6</f>
        <v>8.9642465413240446E-2</v>
      </c>
      <c r="I8" s="25">
        <f t="shared" ref="I8:J8" si="1">$B$6</f>
        <v>8.9642465413240446E-2</v>
      </c>
      <c r="J8" s="25">
        <f t="shared" si="1"/>
        <v>8.9642465413240446E-2</v>
      </c>
      <c r="K8" s="28" t="s">
        <v>14</v>
      </c>
    </row>
    <row r="9" spans="1:11" x14ac:dyDescent="0.2">
      <c r="D9" s="28" t="s">
        <v>15</v>
      </c>
      <c r="E9" s="29">
        <f>$B$3-E8</f>
        <v>0</v>
      </c>
      <c r="F9" s="29">
        <f>$B$3-F8</f>
        <v>0</v>
      </c>
      <c r="G9" s="29">
        <f>$B$3-G8</f>
        <v>0</v>
      </c>
      <c r="H9" s="25">
        <f>$B$5-H8</f>
        <v>1.7476923894023479</v>
      </c>
      <c r="I9" s="25">
        <f>$B$5-I8</f>
        <v>1.7476923894023479</v>
      </c>
      <c r="J9" s="25">
        <f>$B$5-J8</f>
        <v>1.7476923894023479</v>
      </c>
      <c r="K9" s="28" t="s">
        <v>15</v>
      </c>
    </row>
    <row r="10" spans="1:11" x14ac:dyDescent="0.2">
      <c r="D10" s="28" t="s">
        <v>16</v>
      </c>
      <c r="E10" s="27">
        <f t="shared" ref="E10:J10" si="2">2.5-E9</f>
        <v>2.5</v>
      </c>
      <c r="F10" s="27">
        <f t="shared" si="2"/>
        <v>2.5</v>
      </c>
      <c r="G10" s="27">
        <f t="shared" si="2"/>
        <v>2.5</v>
      </c>
      <c r="H10" s="25">
        <f t="shared" si="2"/>
        <v>0.75230761059765205</v>
      </c>
      <c r="I10" s="25">
        <f t="shared" si="2"/>
        <v>0.75230761059765205</v>
      </c>
      <c r="J10" s="25">
        <f t="shared" si="2"/>
        <v>0.75230761059765205</v>
      </c>
      <c r="K10" s="28" t="s">
        <v>16</v>
      </c>
    </row>
    <row r="17" spans="2:7" x14ac:dyDescent="0.2">
      <c r="C17" s="23"/>
      <c r="D17" s="23"/>
    </row>
    <row r="18" spans="2:7" x14ac:dyDescent="0.2">
      <c r="B18" s="30"/>
    </row>
    <row r="19" spans="2:7" x14ac:dyDescent="0.2">
      <c r="B19" s="30"/>
    </row>
    <row r="20" spans="2:7" x14ac:dyDescent="0.2">
      <c r="B20" s="31"/>
    </row>
    <row r="21" spans="2:7" x14ac:dyDescent="0.2">
      <c r="B21" s="30"/>
    </row>
    <row r="22" spans="2:7" x14ac:dyDescent="0.2">
      <c r="B22" s="30"/>
      <c r="G22" s="23"/>
    </row>
    <row r="23" spans="2:7" x14ac:dyDescent="0.2">
      <c r="B23" s="31"/>
      <c r="G23" s="23"/>
    </row>
    <row r="24" spans="2:7" x14ac:dyDescent="0.2">
      <c r="G24" s="23"/>
    </row>
  </sheetData>
  <pageMargins left="0.7" right="0.7" top="0.75" bottom="0.75" header="0.3" footer="0.3"/>
  <pageSetup paperSize="9" orientation="portrait" horizontalDpi="300" verticalDpi="300" r:id="rId1"/>
  <headerFooter>
    <oddFooter>&amp;C&amp;1#&amp;"Arial"&amp;10&amp;K000000Internal</oddFooter>
  </headerFooter>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000-000000000000}">
          <x14:formula1>
            <xm:f>'pooled normalised values'!$J$74:$M$74</xm:f>
          </x14:formula1>
          <xm:sqref>F2</xm:sqref>
        </x14:dataValidation>
        <x14:dataValidation type="list" allowBlank="1" showInputMessage="1" showErrorMessage="1" xr:uid="{00000000-0002-0000-1000-000001000000}">
          <x14:formula1>
            <xm:f>'pooled normalised values'!$R$74:$V$74</xm:f>
          </x14:formula1>
          <xm:sqref>I2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15"/>
  <sheetViews>
    <sheetView showGridLines="0" topLeftCell="N1" zoomScale="85" zoomScaleNormal="85" workbookViewId="0">
      <selection activeCell="U3" sqref="U3"/>
    </sheetView>
  </sheetViews>
  <sheetFormatPr defaultColWidth="11.42578125" defaultRowHeight="15" x14ac:dyDescent="0.25"/>
  <cols>
    <col min="1" max="1" width="11.42578125" style="1"/>
    <col min="3" max="3" width="15.28515625" customWidth="1"/>
    <col min="4" max="4" width="13.7109375" customWidth="1"/>
    <col min="5" max="5" width="18.28515625" customWidth="1"/>
    <col min="6" max="6" width="14" customWidth="1"/>
    <col min="7" max="7" width="14.42578125" customWidth="1"/>
    <col min="8" max="8" width="14.28515625" customWidth="1"/>
    <col min="9" max="9" width="17" customWidth="1"/>
    <col min="10" max="10" width="12.5703125" customWidth="1"/>
    <col min="11" max="11" width="13.140625" customWidth="1"/>
    <col min="12" max="12" width="15.7109375" customWidth="1"/>
    <col min="13" max="14" width="16.140625" customWidth="1"/>
    <col min="17" max="23" width="9.7109375" customWidth="1"/>
  </cols>
  <sheetData>
    <row r="1" spans="1:23" ht="45.75" thickBot="1" x14ac:dyDescent="0.3">
      <c r="A1" s="146" t="s">
        <v>102</v>
      </c>
      <c r="B1" s="146" t="s">
        <v>103</v>
      </c>
      <c r="C1" s="143" t="s">
        <v>86</v>
      </c>
      <c r="D1" s="143" t="s">
        <v>87</v>
      </c>
      <c r="E1" s="144" t="s">
        <v>88</v>
      </c>
      <c r="F1" s="144" t="s">
        <v>89</v>
      </c>
      <c r="G1" s="143" t="s">
        <v>90</v>
      </c>
      <c r="H1" s="143" t="s">
        <v>91</v>
      </c>
      <c r="I1" s="143" t="s">
        <v>92</v>
      </c>
      <c r="J1" s="143" t="s">
        <v>93</v>
      </c>
      <c r="K1" s="143" t="s">
        <v>94</v>
      </c>
      <c r="L1" s="143" t="s">
        <v>95</v>
      </c>
      <c r="M1" s="143" t="s">
        <v>96</v>
      </c>
      <c r="N1" s="143" t="s">
        <v>97</v>
      </c>
      <c r="Q1" s="236" t="s">
        <v>99</v>
      </c>
      <c r="R1" s="236"/>
      <c r="S1" s="236"/>
      <c r="U1" s="236" t="s">
        <v>98</v>
      </c>
      <c r="V1" s="236"/>
      <c r="W1" s="236"/>
    </row>
    <row r="2" spans="1:23" x14ac:dyDescent="0.25">
      <c r="A2" s="1" t="str">
        <f>Q6</f>
        <v xml:space="preserve"> </v>
      </c>
      <c r="B2" t="str">
        <f t="shared" ref="B2:B3" si="0">U6</f>
        <v>0-00 + Testostérone</v>
      </c>
      <c r="D2" t="str">
        <f>CONCATENATE(VLOOKUP(Tableau3[[#This Row],[Nom ND]],liste_groupe[],3,FALSE),VLOOKUP(Tableau3[[#This Row],[Nom ND]],liste_groupe[],4,FALSE))</f>
        <v/>
      </c>
      <c r="E2" t="e">
        <f>HLOOKUP(Tableau3[[#This Row],[Nom ND]],'pooled normalised values'!$B$74:$V$83,4,FALSE)</f>
        <v>#N/A</v>
      </c>
      <c r="F2" s="1" t="e">
        <f>HLOOKUP(Tableau3[[#This Row],[Nom ND]],'pooled normalised values'!$B$74:$V$83,8,FALSE)</f>
        <v>#N/A</v>
      </c>
      <c r="G2" t="e">
        <f>VLOOKUP(Tableau3[[#This Row],[Nom ND]],'summary results'!$A$6:$N$26,9,FALSE)</f>
        <v>#N/A</v>
      </c>
      <c r="H2" s="1" t="e">
        <f>VLOOKUP(Tableau3[[#This Row],[Nom ND]],'summary results'!$A$6:$N$26,11,FALSE)</f>
        <v>#N/A</v>
      </c>
      <c r="I2" s="1" t="e">
        <f>HLOOKUP(Tableau3[[#This Row],[Nom D]],'pooled normalised values'!$B$74:$V$83,4,FALSE)</f>
        <v>#N/A</v>
      </c>
      <c r="J2" s="1" t="e">
        <f>HLOOKUP(Tableau3[[#This Row],[Nom D]],'pooled normalised values'!$B$74:$V$83,8,FALSE)</f>
        <v>#N/A</v>
      </c>
      <c r="K2" s="1" t="e">
        <f>VLOOKUP(Tableau3[[#This Row],[Nom D]],'summary results'!$A$29:$N$51,9,FALSE)</f>
        <v>#N/A</v>
      </c>
      <c r="L2" s="1" t="e">
        <f>VLOOKUP(Tableau3[[#This Row],[Nom D]],'summary results'!$A$29:$N$51,11,FALSE)</f>
        <v>#N/A</v>
      </c>
      <c r="M2" t="e">
        <f>'summary results'!$G$30</f>
        <v>#NUM!</v>
      </c>
      <c r="N2" t="e">
        <f>'summary results'!$G$31</f>
        <v>#NUM!</v>
      </c>
      <c r="Q2" s="118" t="s">
        <v>7</v>
      </c>
      <c r="R2" s="1" t="s">
        <v>130</v>
      </c>
      <c r="U2" s="118" t="s">
        <v>7</v>
      </c>
      <c r="V2" s="1" t="s">
        <v>130</v>
      </c>
    </row>
    <row r="3" spans="1:23" x14ac:dyDescent="0.25">
      <c r="A3" s="1">
        <f>Q7</f>
        <v>0</v>
      </c>
      <c r="B3">
        <f t="shared" si="0"/>
        <v>0</v>
      </c>
      <c r="D3" t="e">
        <f>CONCATENATE(VLOOKUP(Tableau3[[#This Row],[Nom ND]],liste_groupe[],3,FALSE),VLOOKUP(Tableau3[[#This Row],[Nom ND]],liste_groupe[],4,FALSE))</f>
        <v>#N/A</v>
      </c>
      <c r="E3" t="e">
        <f>HLOOKUP(Tableau3[[#This Row],[Nom ND]],'pooled normalised values'!$B$74:$V$83,4,FALSE)</f>
        <v>#N/A</v>
      </c>
      <c r="F3" t="e">
        <f>HLOOKUP(Tableau3[[#This Row],[Nom ND]],'pooled normalised values'!$B$74:$V$83,8,FALSE)</f>
        <v>#N/A</v>
      </c>
      <c r="G3" t="e">
        <f>VLOOKUP(Tableau3[[#This Row],[Nom ND]],'summary results'!$A$6:$N$26,9,FALSE)</f>
        <v>#N/A</v>
      </c>
      <c r="H3" t="e">
        <f>VLOOKUP(Tableau3[[#This Row],[Nom ND]],'summary results'!$A$6:$N$26,11,FALSE)</f>
        <v>#N/A</v>
      </c>
      <c r="I3" t="e">
        <f>HLOOKUP(Tableau3[[#This Row],[Nom D]],'pooled normalised values'!$B$74:$V$83,4,FALSE)</f>
        <v>#N/A</v>
      </c>
      <c r="J3" t="e">
        <f>HLOOKUP(Tableau3[[#This Row],[Nom D]],'pooled normalised values'!$B$74:$V$83,8,FALSE)</f>
        <v>#N/A</v>
      </c>
      <c r="K3" t="e">
        <f>VLOOKUP(Tableau3[[#This Row],[Nom D]],'summary results'!$A$29:$N$51,9,FALSE)</f>
        <v>#N/A</v>
      </c>
      <c r="L3" t="e">
        <f>VLOOKUP(Tableau3[[#This Row],[Nom D]],'summary results'!$A$29:$N$51,11,FALSE)</f>
        <v>#N/A</v>
      </c>
      <c r="M3" s="1" t="e">
        <f>'summary results'!$G$30</f>
        <v>#NUM!</v>
      </c>
      <c r="N3" s="1" t="e">
        <f>'summary results'!$G$31</f>
        <v>#NUM!</v>
      </c>
      <c r="Q3" s="118" t="s">
        <v>78</v>
      </c>
      <c r="R3" s="1" t="s">
        <v>106</v>
      </c>
      <c r="U3" s="118" t="s">
        <v>78</v>
      </c>
      <c r="V3" s="1" t="s">
        <v>50</v>
      </c>
    </row>
    <row r="4" spans="1:23" x14ac:dyDescent="0.25">
      <c r="A4" s="1">
        <f t="shared" ref="A4:A15" si="1">Q8</f>
        <v>0</v>
      </c>
      <c r="B4" s="44">
        <f t="shared" ref="B4:B15" si="2">U8</f>
        <v>0</v>
      </c>
      <c r="D4" s="44" t="e">
        <f>CONCATENATE(VLOOKUP(Tableau3[[#This Row],[Nom ND]],liste_groupe[],3,FALSE),VLOOKUP(Tableau3[[#This Row],[Nom ND]],liste_groupe[],4,FALSE))</f>
        <v>#N/A</v>
      </c>
      <c r="E4" s="44" t="e">
        <f>HLOOKUP(Tableau3[[#This Row],[Nom ND]],'pooled normalised values'!$B$74:$V$83,4,FALSE)</f>
        <v>#N/A</v>
      </c>
      <c r="F4" s="44" t="e">
        <f>HLOOKUP(Tableau3[[#This Row],[Nom ND]],'pooled normalised values'!$B$74:$V$83,8,FALSE)</f>
        <v>#N/A</v>
      </c>
      <c r="G4" s="44" t="e">
        <f>VLOOKUP(Tableau3[[#This Row],[Nom ND]],'summary results'!$A$6:$N$26,9,FALSE)</f>
        <v>#N/A</v>
      </c>
      <c r="H4" s="44" t="e">
        <f>VLOOKUP(Tableau3[[#This Row],[Nom ND]],'summary results'!$A$6:$N$26,11,FALSE)</f>
        <v>#N/A</v>
      </c>
      <c r="I4" s="44" t="e">
        <f>HLOOKUP(Tableau3[[#This Row],[Nom D]],'pooled normalised values'!$B$74:$V$83,4,FALSE)</f>
        <v>#N/A</v>
      </c>
      <c r="J4" s="44" t="e">
        <f>HLOOKUP(Tableau3[[#This Row],[Nom D]],'pooled normalised values'!$B$74:$V$83,8,FALSE)</f>
        <v>#N/A</v>
      </c>
      <c r="K4" s="44" t="e">
        <f>VLOOKUP(Tableau3[[#This Row],[Nom D]],'summary results'!$A$29:$N$51,9,FALSE)</f>
        <v>#N/A</v>
      </c>
      <c r="L4" s="44" t="e">
        <f>VLOOKUP(Tableau3[[#This Row],[Nom D]],'summary results'!$A$29:$N$51,11,FALSE)</f>
        <v>#N/A</v>
      </c>
      <c r="M4" t="e">
        <f>'summary results'!$G$30</f>
        <v>#NUM!</v>
      </c>
      <c r="N4" t="e">
        <f>'summary results'!$G$31</f>
        <v>#NUM!</v>
      </c>
    </row>
    <row r="5" spans="1:23" x14ac:dyDescent="0.25">
      <c r="A5" s="1">
        <f t="shared" si="1"/>
        <v>0</v>
      </c>
      <c r="B5" s="44">
        <f t="shared" si="2"/>
        <v>0</v>
      </c>
      <c r="D5" s="44" t="e">
        <f>CONCATENATE(VLOOKUP(Tableau3[[#This Row],[Nom ND]],liste_groupe[],3,FALSE),VLOOKUP(Tableau3[[#This Row],[Nom ND]],liste_groupe[],4,FALSE))</f>
        <v>#N/A</v>
      </c>
      <c r="E5" s="44" t="e">
        <f>HLOOKUP(Tableau3[[#This Row],[Nom ND]],'pooled normalised values'!$B$74:$V$83,4,FALSE)</f>
        <v>#N/A</v>
      </c>
      <c r="F5" s="44" t="e">
        <f>HLOOKUP(Tableau3[[#This Row],[Nom ND]],'pooled normalised values'!$B$74:$V$83,8,FALSE)</f>
        <v>#N/A</v>
      </c>
      <c r="G5" s="44" t="e">
        <f>VLOOKUP(Tableau3[[#This Row],[Nom ND]],'summary results'!$A$6:$N$26,9,FALSE)</f>
        <v>#N/A</v>
      </c>
      <c r="H5" s="44" t="e">
        <f>VLOOKUP(Tableau3[[#This Row],[Nom ND]],'summary results'!$A$6:$N$26,11,FALSE)</f>
        <v>#N/A</v>
      </c>
      <c r="I5" s="44" t="e">
        <f>HLOOKUP(Tableau3[[#This Row],[Nom D]],'pooled normalised values'!$B$74:$V$83,4,FALSE)</f>
        <v>#N/A</v>
      </c>
      <c r="J5" s="44" t="e">
        <f>HLOOKUP(Tableau3[[#This Row],[Nom D]],'pooled normalised values'!$B$74:$V$83,8,FALSE)</f>
        <v>#N/A</v>
      </c>
      <c r="K5" s="44" t="e">
        <f>VLOOKUP(Tableau3[[#This Row],[Nom D]],'summary results'!$A$29:$N$51,9,FALSE)</f>
        <v>#N/A</v>
      </c>
      <c r="L5" s="44" t="e">
        <f>VLOOKUP(Tableau3[[#This Row],[Nom D]],'summary results'!$A$29:$N$51,11,FALSE)</f>
        <v>#N/A</v>
      </c>
      <c r="M5" t="e">
        <f>'summary results'!$G$30</f>
        <v>#NUM!</v>
      </c>
      <c r="N5" t="e">
        <f>'summary results'!$G$31</f>
        <v>#NUM!</v>
      </c>
      <c r="Q5" s="118" t="s">
        <v>100</v>
      </c>
      <c r="U5" s="118" t="s">
        <v>100</v>
      </c>
    </row>
    <row r="6" spans="1:23" x14ac:dyDescent="0.25">
      <c r="A6" s="1">
        <f t="shared" si="1"/>
        <v>0</v>
      </c>
      <c r="B6" s="44">
        <f t="shared" si="2"/>
        <v>0</v>
      </c>
      <c r="D6" s="44" t="e">
        <f>CONCATENATE(VLOOKUP(Tableau3[[#This Row],[Nom ND]],liste_groupe[],3,FALSE),VLOOKUP(Tableau3[[#This Row],[Nom ND]],liste_groupe[],4,FALSE))</f>
        <v>#N/A</v>
      </c>
      <c r="E6" s="44" t="e">
        <f>HLOOKUP(Tableau3[[#This Row],[Nom ND]],'pooled normalised values'!$B$74:$V$83,4,FALSE)</f>
        <v>#N/A</v>
      </c>
      <c r="F6" s="44" t="e">
        <f>HLOOKUP(Tableau3[[#This Row],[Nom ND]],'pooled normalised values'!$B$74:$V$83,8,FALSE)</f>
        <v>#N/A</v>
      </c>
      <c r="G6" s="44" t="e">
        <f>VLOOKUP(Tableau3[[#This Row],[Nom ND]],'summary results'!$A$6:$N$26,9,FALSE)</f>
        <v>#N/A</v>
      </c>
      <c r="H6" s="44" t="e">
        <f>VLOOKUP(Tableau3[[#This Row],[Nom ND]],'summary results'!$A$6:$N$26,11,FALSE)</f>
        <v>#N/A</v>
      </c>
      <c r="I6" s="44" t="e">
        <f>HLOOKUP(Tableau3[[#This Row],[Nom D]],'pooled normalised values'!$B$74:$V$83,4,FALSE)</f>
        <v>#N/A</v>
      </c>
      <c r="J6" s="44" t="e">
        <f>HLOOKUP(Tableau3[[#This Row],[Nom D]],'pooled normalised values'!$B$74:$V$83,8,FALSE)</f>
        <v>#N/A</v>
      </c>
      <c r="K6" s="44" t="e">
        <f>VLOOKUP(Tableau3[[#This Row],[Nom D]],'summary results'!$A$29:$N$51,9,FALSE)</f>
        <v>#N/A</v>
      </c>
      <c r="L6" s="44" t="e">
        <f>VLOOKUP(Tableau3[[#This Row],[Nom D]],'summary results'!$A$29:$N$51,11,FALSE)</f>
        <v>#N/A</v>
      </c>
      <c r="M6" t="e">
        <f>'summary results'!$G$30</f>
        <v>#NUM!</v>
      </c>
      <c r="N6" t="e">
        <f>'summary results'!$G$31</f>
        <v>#NUM!</v>
      </c>
      <c r="Q6" s="145" t="s">
        <v>112</v>
      </c>
      <c r="U6" s="145" t="s">
        <v>101</v>
      </c>
    </row>
    <row r="7" spans="1:23" x14ac:dyDescent="0.25">
      <c r="A7" s="1">
        <f t="shared" si="1"/>
        <v>0</v>
      </c>
      <c r="B7" s="44">
        <f t="shared" si="2"/>
        <v>0</v>
      </c>
      <c r="D7" s="44" t="e">
        <f>CONCATENATE(VLOOKUP(Tableau3[[#This Row],[Nom ND]],liste_groupe[],3,FALSE),VLOOKUP(Tableau3[[#This Row],[Nom ND]],liste_groupe[],4,FALSE))</f>
        <v>#N/A</v>
      </c>
      <c r="E7" s="44" t="e">
        <f>HLOOKUP(Tableau3[[#This Row],[Nom ND]],'pooled normalised values'!$B$74:$V$83,4,FALSE)</f>
        <v>#N/A</v>
      </c>
      <c r="F7" s="44" t="e">
        <f>HLOOKUP(Tableau3[[#This Row],[Nom ND]],'pooled normalised values'!$B$74:$V$83,8,FALSE)</f>
        <v>#N/A</v>
      </c>
      <c r="G7" s="44" t="e">
        <f>VLOOKUP(Tableau3[[#This Row],[Nom ND]],'summary results'!$A$6:$N$26,9,FALSE)</f>
        <v>#N/A</v>
      </c>
      <c r="H7" s="44" t="e">
        <f>VLOOKUP(Tableau3[[#This Row],[Nom ND]],'summary results'!$A$6:$N$26,11,FALSE)</f>
        <v>#N/A</v>
      </c>
      <c r="I7" s="44" t="e">
        <f>HLOOKUP(Tableau3[[#This Row],[Nom D]],'pooled normalised values'!$B$74:$V$83,4,FALSE)</f>
        <v>#N/A</v>
      </c>
      <c r="J7" s="44" t="e">
        <f>HLOOKUP(Tableau3[[#This Row],[Nom D]],'pooled normalised values'!$B$74:$V$83,8,FALSE)</f>
        <v>#N/A</v>
      </c>
      <c r="K7" s="44" t="e">
        <f>VLOOKUP(Tableau3[[#This Row],[Nom D]],'summary results'!$A$29:$N$51,9,FALSE)</f>
        <v>#N/A</v>
      </c>
      <c r="L7" s="44" t="e">
        <f>VLOOKUP(Tableau3[[#This Row],[Nom D]],'summary results'!$A$29:$N$51,11,FALSE)</f>
        <v>#N/A</v>
      </c>
      <c r="M7" t="e">
        <f>'summary results'!$G$30</f>
        <v>#NUM!</v>
      </c>
      <c r="N7" t="e">
        <f>'summary results'!$G$31</f>
        <v>#NUM!</v>
      </c>
    </row>
    <row r="8" spans="1:23" x14ac:dyDescent="0.25">
      <c r="A8" s="1">
        <f t="shared" si="1"/>
        <v>0</v>
      </c>
      <c r="B8" s="44">
        <f t="shared" si="2"/>
        <v>0</v>
      </c>
      <c r="D8" s="44" t="e">
        <f>CONCATENATE(VLOOKUP(Tableau3[[#This Row],[Nom ND]],liste_groupe[],3,FALSE),VLOOKUP(Tableau3[[#This Row],[Nom ND]],liste_groupe[],4,FALSE))</f>
        <v>#N/A</v>
      </c>
      <c r="E8" s="147" t="e">
        <f>HLOOKUP(Tableau3[[#This Row],[Nom ND]],'pooled normalised values'!$B$74:$V$83,4,FALSE)</f>
        <v>#N/A</v>
      </c>
      <c r="F8" s="44" t="e">
        <f>HLOOKUP(Tableau3[[#This Row],[Nom ND]],'pooled normalised values'!$B$74:$V$83,8,FALSE)</f>
        <v>#N/A</v>
      </c>
      <c r="G8" s="44" t="e">
        <f>VLOOKUP(Tableau3[[#This Row],[Nom ND]],'summary results'!$A$6:$N$26,9,FALSE)</f>
        <v>#N/A</v>
      </c>
      <c r="H8" s="44" t="e">
        <f>VLOOKUP(Tableau3[[#This Row],[Nom ND]],'summary results'!$A$6:$N$26,11,FALSE)</f>
        <v>#N/A</v>
      </c>
      <c r="I8" s="44" t="e">
        <f>HLOOKUP(Tableau3[[#This Row],[Nom D]],'pooled normalised values'!$B$74:$V$83,4,FALSE)</f>
        <v>#N/A</v>
      </c>
      <c r="J8" s="44" t="e">
        <f>HLOOKUP(Tableau3[[#This Row],[Nom D]],'pooled normalised values'!$B$74:$V$83,8,FALSE)</f>
        <v>#N/A</v>
      </c>
      <c r="K8" s="44" t="e">
        <f>VLOOKUP(Tableau3[[#This Row],[Nom D]],'summary results'!$A$29:$N$51,9,FALSE)</f>
        <v>#N/A</v>
      </c>
      <c r="L8" s="44" t="e">
        <f>VLOOKUP(Tableau3[[#This Row],[Nom D]],'summary results'!$A$29:$N$51,11,FALSE)</f>
        <v>#N/A</v>
      </c>
      <c r="M8" t="e">
        <f>'summary results'!$G$30</f>
        <v>#NUM!</v>
      </c>
      <c r="N8" t="e">
        <f>'summary results'!$G$31</f>
        <v>#NUM!</v>
      </c>
    </row>
    <row r="9" spans="1:23" x14ac:dyDescent="0.25">
      <c r="A9" s="1">
        <f t="shared" si="1"/>
        <v>0</v>
      </c>
      <c r="B9" s="44">
        <f t="shared" si="2"/>
        <v>0</v>
      </c>
      <c r="D9" s="44" t="e">
        <f>CONCATENATE(VLOOKUP(Tableau3[[#This Row],[Nom ND]],liste_groupe[],3,FALSE),VLOOKUP(Tableau3[[#This Row],[Nom ND]],liste_groupe[],4,FALSE))</f>
        <v>#N/A</v>
      </c>
      <c r="E9" s="44" t="e">
        <f>HLOOKUP(Tableau3[[#This Row],[Nom ND]],'pooled normalised values'!$B$74:$V$83,4,FALSE)</f>
        <v>#N/A</v>
      </c>
      <c r="F9" s="44" t="e">
        <f>HLOOKUP(Tableau3[[#This Row],[Nom ND]],'pooled normalised values'!$B$74:$V$83,8,FALSE)</f>
        <v>#N/A</v>
      </c>
      <c r="G9" s="44" t="e">
        <f>VLOOKUP(Tableau3[[#This Row],[Nom ND]],'summary results'!$A$6:$N$26,9,FALSE)</f>
        <v>#N/A</v>
      </c>
      <c r="H9" s="44" t="e">
        <f>VLOOKUP(Tableau3[[#This Row],[Nom ND]],'summary results'!$A$6:$N$26,11,FALSE)</f>
        <v>#N/A</v>
      </c>
      <c r="I9" s="44" t="e">
        <f>HLOOKUP(Tableau3[[#This Row],[Nom D]],'pooled normalised values'!$B$74:$V$83,4,FALSE)</f>
        <v>#N/A</v>
      </c>
      <c r="J9" s="44" t="e">
        <f>HLOOKUP(Tableau3[[#This Row],[Nom D]],'pooled normalised values'!$B$74:$V$83,8,FALSE)</f>
        <v>#N/A</v>
      </c>
      <c r="K9" s="44" t="e">
        <f>VLOOKUP(Tableau3[[#This Row],[Nom D]],'summary results'!$A$29:$N$51,9,FALSE)</f>
        <v>#N/A</v>
      </c>
      <c r="L9" s="44" t="e">
        <f>VLOOKUP(Tableau3[[#This Row],[Nom D]],'summary results'!$A$29:$N$51,11,FALSE)</f>
        <v>#N/A</v>
      </c>
      <c r="M9" t="e">
        <f>'summary results'!$G$30</f>
        <v>#NUM!</v>
      </c>
      <c r="N9" t="e">
        <f>'summary results'!$G$31</f>
        <v>#NUM!</v>
      </c>
    </row>
    <row r="10" spans="1:23" x14ac:dyDescent="0.25">
      <c r="A10" s="1">
        <f t="shared" si="1"/>
        <v>0</v>
      </c>
      <c r="B10" s="44">
        <f t="shared" si="2"/>
        <v>0</v>
      </c>
      <c r="D10" s="44" t="e">
        <f>CONCATENATE(VLOOKUP(Tableau3[[#This Row],[Nom ND]],liste_groupe[],3,FALSE),VLOOKUP(Tableau3[[#This Row],[Nom ND]],liste_groupe[],4,FALSE))</f>
        <v>#N/A</v>
      </c>
      <c r="E10" s="44" t="e">
        <f>HLOOKUP(Tableau3[[#This Row],[Nom ND]],'pooled normalised values'!$B$74:$V$83,4,FALSE)</f>
        <v>#N/A</v>
      </c>
      <c r="F10" s="44" t="e">
        <f>HLOOKUP(Tableau3[[#This Row],[Nom ND]],'pooled normalised values'!$B$74:$V$83,8,FALSE)</f>
        <v>#N/A</v>
      </c>
      <c r="G10" s="44" t="e">
        <f>VLOOKUP(Tableau3[[#This Row],[Nom ND]],'summary results'!$A$6:$N$26,9,FALSE)</f>
        <v>#N/A</v>
      </c>
      <c r="H10" s="44" t="e">
        <f>VLOOKUP(Tableau3[[#This Row],[Nom ND]],'summary results'!$A$6:$N$26,11,FALSE)</f>
        <v>#N/A</v>
      </c>
      <c r="I10" s="44" t="e">
        <f>HLOOKUP(Tableau3[[#This Row],[Nom D]],'pooled normalised values'!$B$74:$V$83,4,FALSE)</f>
        <v>#N/A</v>
      </c>
      <c r="J10" s="44" t="e">
        <f>HLOOKUP(Tableau3[[#This Row],[Nom D]],'pooled normalised values'!$B$74:$V$83,8,FALSE)</f>
        <v>#N/A</v>
      </c>
      <c r="K10" s="44" t="e">
        <f>VLOOKUP(Tableau3[[#This Row],[Nom D]],'summary results'!$A$29:$N$51,9,FALSE)</f>
        <v>#N/A</v>
      </c>
      <c r="L10" s="44" t="e">
        <f>VLOOKUP(Tableau3[[#This Row],[Nom D]],'summary results'!$A$29:$N$51,11,FALSE)</f>
        <v>#N/A</v>
      </c>
      <c r="M10" t="e">
        <f>'summary results'!$G$30</f>
        <v>#NUM!</v>
      </c>
      <c r="N10" t="e">
        <f>'summary results'!$G$31</f>
        <v>#NUM!</v>
      </c>
    </row>
    <row r="11" spans="1:23" x14ac:dyDescent="0.25">
      <c r="A11" s="1">
        <f t="shared" si="1"/>
        <v>0</v>
      </c>
      <c r="B11" s="44">
        <f t="shared" si="2"/>
        <v>0</v>
      </c>
      <c r="D11" s="44" t="e">
        <f>CONCATENATE(VLOOKUP(Tableau3[[#This Row],[Nom ND]],liste_groupe[],3,FALSE),VLOOKUP(Tableau3[[#This Row],[Nom ND]],liste_groupe[],4,FALSE))</f>
        <v>#N/A</v>
      </c>
      <c r="E11" s="44" t="e">
        <f>HLOOKUP(Tableau3[[#This Row],[Nom ND]],'pooled normalised values'!$B$74:$V$83,4,FALSE)</f>
        <v>#N/A</v>
      </c>
      <c r="F11" s="44" t="e">
        <f>HLOOKUP(Tableau3[[#This Row],[Nom ND]],'pooled normalised values'!$B$74:$V$83,8,FALSE)</f>
        <v>#N/A</v>
      </c>
      <c r="G11" s="44" t="e">
        <f>VLOOKUP(Tableau3[[#This Row],[Nom ND]],'summary results'!$A$6:$N$26,9,FALSE)</f>
        <v>#N/A</v>
      </c>
      <c r="H11" s="44" t="e">
        <f>VLOOKUP(Tableau3[[#This Row],[Nom ND]],'summary results'!$A$6:$N$26,11,FALSE)</f>
        <v>#N/A</v>
      </c>
      <c r="I11" s="44" t="e">
        <f>HLOOKUP(Tableau3[[#This Row],[Nom D]],'pooled normalised values'!$B$74:$V$83,4,FALSE)</f>
        <v>#N/A</v>
      </c>
      <c r="J11" s="44" t="e">
        <f>HLOOKUP(Tableau3[[#This Row],[Nom D]],'pooled normalised values'!$B$74:$V$83,8,FALSE)</f>
        <v>#N/A</v>
      </c>
      <c r="K11" s="44" t="e">
        <f>VLOOKUP(Tableau3[[#This Row],[Nom D]],'summary results'!$A$29:$N$51,9,FALSE)</f>
        <v>#N/A</v>
      </c>
      <c r="L11" s="44" t="e">
        <f>VLOOKUP(Tableau3[[#This Row],[Nom D]],'summary results'!$A$29:$N$51,11,FALSE)</f>
        <v>#N/A</v>
      </c>
      <c r="M11" t="e">
        <f>'summary results'!$G$30</f>
        <v>#NUM!</v>
      </c>
      <c r="N11" t="e">
        <f>'summary results'!$G$31</f>
        <v>#NUM!</v>
      </c>
    </row>
    <row r="12" spans="1:23" x14ac:dyDescent="0.25">
      <c r="A12" s="1">
        <f t="shared" si="1"/>
        <v>0</v>
      </c>
      <c r="B12" s="44">
        <f t="shared" si="2"/>
        <v>0</v>
      </c>
      <c r="D12" s="44" t="e">
        <f>CONCATENATE(VLOOKUP(Tableau3[[#This Row],[Nom ND]],liste_groupe[],3,FALSE),VLOOKUP(Tableau3[[#This Row],[Nom ND]],liste_groupe[],4,FALSE))</f>
        <v>#N/A</v>
      </c>
      <c r="E12" s="44" t="e">
        <f>HLOOKUP(Tableau3[[#This Row],[Nom ND]],'pooled normalised values'!$B$74:$V$83,4,FALSE)</f>
        <v>#N/A</v>
      </c>
      <c r="F12" s="44" t="e">
        <f>HLOOKUP(Tableau3[[#This Row],[Nom ND]],'pooled normalised values'!$B$74:$V$83,8,FALSE)</f>
        <v>#N/A</v>
      </c>
      <c r="G12" s="44" t="e">
        <f>VLOOKUP(Tableau3[[#This Row],[Nom ND]],'summary results'!$A$6:$N$26,9,FALSE)</f>
        <v>#N/A</v>
      </c>
      <c r="H12" s="44" t="e">
        <f>VLOOKUP(Tableau3[[#This Row],[Nom ND]],'summary results'!$A$6:$N$26,11,FALSE)</f>
        <v>#N/A</v>
      </c>
      <c r="I12" s="44" t="e">
        <f>HLOOKUP(Tableau3[[#This Row],[Nom D]],'pooled normalised values'!$B$74:$V$83,4,FALSE)</f>
        <v>#N/A</v>
      </c>
      <c r="J12" s="44" t="e">
        <f>HLOOKUP(Tableau3[[#This Row],[Nom D]],'pooled normalised values'!$B$74:$V$83,8,FALSE)</f>
        <v>#N/A</v>
      </c>
      <c r="K12" s="44" t="e">
        <f>VLOOKUP(Tableau3[[#This Row],[Nom D]],'summary results'!$A$29:$N$51,9,FALSE)</f>
        <v>#N/A</v>
      </c>
      <c r="L12" s="44" t="e">
        <f>VLOOKUP(Tableau3[[#This Row],[Nom D]],'summary results'!$A$29:$N$51,11,FALSE)</f>
        <v>#N/A</v>
      </c>
      <c r="M12" t="e">
        <f>'summary results'!$G$30</f>
        <v>#NUM!</v>
      </c>
      <c r="N12" t="e">
        <f>'summary results'!$G$31</f>
        <v>#NUM!</v>
      </c>
    </row>
    <row r="13" spans="1:23" x14ac:dyDescent="0.25">
      <c r="A13" s="1">
        <f t="shared" si="1"/>
        <v>0</v>
      </c>
      <c r="B13" s="44">
        <f t="shared" si="2"/>
        <v>0</v>
      </c>
      <c r="D13" s="44" t="e">
        <f>CONCATENATE(VLOOKUP(Tableau3[[#This Row],[Nom ND]],liste_groupe[],3,FALSE),VLOOKUP(Tableau3[[#This Row],[Nom ND]],liste_groupe[],4,FALSE))</f>
        <v>#N/A</v>
      </c>
      <c r="E13" s="44" t="e">
        <f>HLOOKUP(Tableau3[[#This Row],[Nom ND]],'pooled normalised values'!$B$74:$V$83,4,FALSE)</f>
        <v>#N/A</v>
      </c>
      <c r="F13" s="44" t="e">
        <f>HLOOKUP(Tableau3[[#This Row],[Nom ND]],'pooled normalised values'!$B$74:$V$83,8,FALSE)</f>
        <v>#N/A</v>
      </c>
      <c r="G13" s="44" t="e">
        <f>VLOOKUP(Tableau3[[#This Row],[Nom ND]],'summary results'!$A$6:$N$26,9,FALSE)</f>
        <v>#N/A</v>
      </c>
      <c r="H13" s="44" t="e">
        <f>VLOOKUP(Tableau3[[#This Row],[Nom ND]],'summary results'!$A$6:$N$26,11,FALSE)</f>
        <v>#N/A</v>
      </c>
      <c r="I13" s="44" t="e">
        <f>HLOOKUP(Tableau3[[#This Row],[Nom D]],'pooled normalised values'!$B$74:$V$83,4,FALSE)</f>
        <v>#N/A</v>
      </c>
      <c r="J13" s="44" t="e">
        <f>HLOOKUP(Tableau3[[#This Row],[Nom D]],'pooled normalised values'!$B$74:$V$83,8,FALSE)</f>
        <v>#N/A</v>
      </c>
      <c r="K13" s="44" t="e">
        <f>VLOOKUP(Tableau3[[#This Row],[Nom D]],'summary results'!$A$29:$N$51,9,FALSE)</f>
        <v>#N/A</v>
      </c>
      <c r="L13" s="44" t="e">
        <f>VLOOKUP(Tableau3[[#This Row],[Nom D]],'summary results'!$A$29:$N$51,11,FALSE)</f>
        <v>#N/A</v>
      </c>
      <c r="M13" t="e">
        <f>'summary results'!$G$30</f>
        <v>#NUM!</v>
      </c>
      <c r="N13" t="e">
        <f>'summary results'!$G$31</f>
        <v>#NUM!</v>
      </c>
    </row>
    <row r="14" spans="1:23" x14ac:dyDescent="0.25">
      <c r="A14" s="1">
        <f t="shared" si="1"/>
        <v>0</v>
      </c>
      <c r="B14" s="44">
        <f t="shared" si="2"/>
        <v>0</v>
      </c>
      <c r="D14" s="44" t="e">
        <f>CONCATENATE(VLOOKUP(Tableau3[[#This Row],[Nom ND]],liste_groupe[],3,FALSE),VLOOKUP(Tableau3[[#This Row],[Nom ND]],liste_groupe[],4,FALSE))</f>
        <v>#N/A</v>
      </c>
      <c r="E14" s="44" t="e">
        <f>HLOOKUP(Tableau3[[#This Row],[Nom ND]],'pooled normalised values'!$B$74:$V$83,4,FALSE)</f>
        <v>#N/A</v>
      </c>
      <c r="F14" s="44" t="e">
        <f>HLOOKUP(Tableau3[[#This Row],[Nom ND]],'pooled normalised values'!$B$74:$V$83,8,FALSE)</f>
        <v>#N/A</v>
      </c>
      <c r="G14" s="44" t="e">
        <f>VLOOKUP(Tableau3[[#This Row],[Nom ND]],'summary results'!$A$6:$N$26,9,FALSE)</f>
        <v>#N/A</v>
      </c>
      <c r="H14" s="44" t="e">
        <f>VLOOKUP(Tableau3[[#This Row],[Nom ND]],'summary results'!$A$6:$N$26,11,FALSE)</f>
        <v>#N/A</v>
      </c>
      <c r="I14" s="44" t="e">
        <f>HLOOKUP(Tableau3[[#This Row],[Nom D]],'pooled normalised values'!$B$74:$V$83,4,FALSE)</f>
        <v>#N/A</v>
      </c>
      <c r="J14" s="44" t="e">
        <f>HLOOKUP(Tableau3[[#This Row],[Nom D]],'pooled normalised values'!$B$74:$V$83,8,FALSE)</f>
        <v>#N/A</v>
      </c>
      <c r="K14" s="44" t="e">
        <f>VLOOKUP(Tableau3[[#This Row],[Nom D]],'summary results'!$A$29:$N$51,9,FALSE)</f>
        <v>#N/A</v>
      </c>
      <c r="L14" s="44" t="e">
        <f>VLOOKUP(Tableau3[[#This Row],[Nom D]],'summary results'!$A$29:$N$51,11,FALSE)</f>
        <v>#N/A</v>
      </c>
      <c r="M14" t="e">
        <f>'summary results'!$G$30</f>
        <v>#NUM!</v>
      </c>
      <c r="N14" t="e">
        <f>'summary results'!$G$31</f>
        <v>#NUM!</v>
      </c>
    </row>
    <row r="15" spans="1:23" x14ac:dyDescent="0.25">
      <c r="A15" s="1">
        <f t="shared" si="1"/>
        <v>0</v>
      </c>
      <c r="B15" s="44">
        <f t="shared" si="2"/>
        <v>0</v>
      </c>
      <c r="D15" s="44" t="e">
        <f>CONCATENATE(VLOOKUP(Tableau3[[#This Row],[Nom ND]],liste_groupe[],3,FALSE),VLOOKUP(Tableau3[[#This Row],[Nom ND]],liste_groupe[],4,FALSE))</f>
        <v>#N/A</v>
      </c>
      <c r="E15" s="44" t="e">
        <f>HLOOKUP(Tableau3[[#This Row],[Nom ND]],'pooled normalised values'!$B$74:$V$83,4,FALSE)</f>
        <v>#N/A</v>
      </c>
      <c r="F15" s="44" t="e">
        <f>HLOOKUP(Tableau3[[#This Row],[Nom ND]],'pooled normalised values'!$B$74:$V$83,8,FALSE)</f>
        <v>#N/A</v>
      </c>
      <c r="G15" s="44" t="e">
        <f>VLOOKUP(Tableau3[[#This Row],[Nom ND]],'summary results'!$A$6:$N$26,9,FALSE)</f>
        <v>#N/A</v>
      </c>
      <c r="H15" s="44" t="e">
        <f>VLOOKUP(Tableau3[[#This Row],[Nom ND]],'summary results'!$A$6:$N$26,11,FALSE)</f>
        <v>#N/A</v>
      </c>
      <c r="I15" s="44" t="e">
        <f>HLOOKUP(Tableau3[[#This Row],[Nom D]],'pooled normalised values'!$B$74:$V$83,4,FALSE)</f>
        <v>#N/A</v>
      </c>
      <c r="J15" s="44" t="e">
        <f>HLOOKUP(Tableau3[[#This Row],[Nom D]],'pooled normalised values'!$B$74:$V$83,8,FALSE)</f>
        <v>#N/A</v>
      </c>
      <c r="K15" s="44" t="e">
        <f>VLOOKUP(Tableau3[[#This Row],[Nom D]],'summary results'!$A$29:$N$51,9,FALSE)</f>
        <v>#N/A</v>
      </c>
      <c r="L15" s="44" t="e">
        <f>VLOOKUP(Tableau3[[#This Row],[Nom D]],'summary results'!$A$29:$N$51,11,FALSE)</f>
        <v>#N/A</v>
      </c>
      <c r="M15" t="e">
        <f>'summary results'!$G$30</f>
        <v>#NUM!</v>
      </c>
      <c r="N15" t="e">
        <f>'summary results'!$G$31</f>
        <v>#NUM!</v>
      </c>
    </row>
  </sheetData>
  <mergeCells count="2">
    <mergeCell ref="Q1:S1"/>
    <mergeCell ref="U1:W1"/>
  </mergeCells>
  <pageMargins left="0.7" right="0.7" top="0.75" bottom="0.75" header="0.3" footer="0.3"/>
  <pageSetup paperSize="9" orientation="portrait" horizontalDpi="300" verticalDpi="300" r:id="rId3"/>
  <headerFooter>
    <oddFooter>&amp;C&amp;1#&amp;"Arial"&amp;10&amp;K000000Internal</oddFooter>
  </headerFooter>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76C436BD700BD428C1C0C71E54D8B5E" ma:contentTypeVersion="18" ma:contentTypeDescription="Create a new document." ma:contentTypeScope="" ma:versionID="782111b43a65dadfbc410eb6ccb7aa06">
  <xsd:schema xmlns:xsd="http://www.w3.org/2001/XMLSchema" xmlns:xs="http://www.w3.org/2001/XMLSchema" xmlns:p="http://schemas.microsoft.com/office/2006/metadata/properties" xmlns:ns2="cc801401-75a6-4297-ad63-d4d786ff6e7c" xmlns:ns3="508cc0b8-c8e1-4e41-95d2-be8416ed53ba" targetNamespace="http://schemas.microsoft.com/office/2006/metadata/properties" ma:root="true" ma:fieldsID="7f493af8791a6264672b29a70f2a6765" ns2:_="" ns3:_="">
    <xsd:import namespace="cc801401-75a6-4297-ad63-d4d786ff6e7c"/>
    <xsd:import namespace="508cc0b8-c8e1-4e41-95d2-be8416ed53ba"/>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01401-75a6-4297-ad63-d4d786ff6e7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2e281972-ae1b-43a4-854f-cb1565a95e46" ma:internalName="TaxCatchAll" ma:showField="CatchAllData" ma:web="cc801401-75a6-4297-ad63-d4d786ff6e7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8cc0b8-c8e1-4e41-95d2-be8416ed53ba"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BDEA1B3-96F0-40CF-98E9-41742BD6E05E}">
  <ds:schemaRefs>
    <ds:schemaRef ds:uri="http://schemas.microsoft.com/sharepoint/v3/contenttype/forms"/>
  </ds:schemaRefs>
</ds:datastoreItem>
</file>

<file path=customXml/itemProps2.xml><?xml version="1.0" encoding="utf-8"?>
<ds:datastoreItem xmlns:ds="http://schemas.openxmlformats.org/officeDocument/2006/customXml" ds:itemID="{0B2AE6EA-8EA2-463B-ACC0-AFAD640CF6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801401-75a6-4297-ad63-d4d786ff6e7c"/>
    <ds:schemaRef ds:uri="508cc0b8-c8e1-4e41-95d2-be8416ed53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14</vt:i4>
      </vt:variant>
      <vt:variant>
        <vt:lpstr>Charts</vt:lpstr>
      </vt:variant>
      <vt:variant>
        <vt:i4>4</vt:i4>
      </vt:variant>
      <vt:variant>
        <vt:lpstr>Named Ranges</vt:lpstr>
      </vt:variant>
      <vt:variant>
        <vt:i4>1</vt:i4>
      </vt:variant>
    </vt:vector>
  </HeadingPairs>
  <TitlesOfParts>
    <vt:vector size="19" baseType="lpstr">
      <vt:lpstr>Page de garde</vt:lpstr>
      <vt:lpstr>Feuil1</vt:lpstr>
      <vt:lpstr>Raw data R1</vt:lpstr>
      <vt:lpstr>R1</vt:lpstr>
      <vt:lpstr>Raw data R2</vt:lpstr>
      <vt:lpstr>R2</vt:lpstr>
      <vt:lpstr>Raw data R3</vt:lpstr>
      <vt:lpstr>R3</vt:lpstr>
      <vt:lpstr>pooled normalised values</vt:lpstr>
      <vt:lpstr>summary results</vt:lpstr>
      <vt:lpstr>Notice</vt:lpstr>
      <vt:lpstr>Graph format rapport CHG</vt:lpstr>
      <vt:lpstr>Graph format rapport CHG 1éch</vt:lpstr>
      <vt:lpstr>Récap</vt:lpstr>
      <vt:lpstr>Graph R1</vt:lpstr>
      <vt:lpstr>Graph R2</vt:lpstr>
      <vt:lpstr>Graph R3</vt:lpstr>
      <vt:lpstr>pooled normalised graphe</vt:lpstr>
      <vt:lpstr>'Page de garde'!Print_Area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2023-01-10T08:34:07Z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6530cf4-8573-4c29-a912-bbcdac835909_Enabled">
    <vt:lpwstr>true</vt:lpwstr>
  </property>
  <property fmtid="{D5CDD505-2E9C-101B-9397-08002B2CF9AE}" pid="3" name="MSIP_Label_06530cf4-8573-4c29-a912-bbcdac835909_SetDate">
    <vt:lpwstr>2023-01-10T08:34:06Z</vt:lpwstr>
  </property>
  <property fmtid="{D5CDD505-2E9C-101B-9397-08002B2CF9AE}" pid="4" name="MSIP_Label_06530cf4-8573-4c29-a912-bbcdac835909_Method">
    <vt:lpwstr>Standard</vt:lpwstr>
  </property>
  <property fmtid="{D5CDD505-2E9C-101B-9397-08002B2CF9AE}" pid="5" name="MSIP_Label_06530cf4-8573-4c29-a912-bbcdac835909_Name">
    <vt:lpwstr>06530cf4-8573-4c29-a912-bbcdac835909</vt:lpwstr>
  </property>
  <property fmtid="{D5CDD505-2E9C-101B-9397-08002B2CF9AE}" pid="6" name="MSIP_Label_06530cf4-8573-4c29-a912-bbcdac835909_SiteId">
    <vt:lpwstr>ecaa386b-c8df-4ce0-ad01-740cbdb5ba55</vt:lpwstr>
  </property>
  <property fmtid="{D5CDD505-2E9C-101B-9397-08002B2CF9AE}" pid="7" name="MSIP_Label_06530cf4-8573-4c29-a912-bbcdac835909_ActionId">
    <vt:lpwstr>b1f2205d-d6fb-4bbb-b264-456c08a9315f</vt:lpwstr>
  </property>
  <property fmtid="{D5CDD505-2E9C-101B-9397-08002B2CF9AE}" pid="8" name="MSIP_Label_06530cf4-8573-4c29-a912-bbcdac835909_ContentBits">
    <vt:lpwstr>2</vt:lpwstr>
  </property>
</Properties>
</file>